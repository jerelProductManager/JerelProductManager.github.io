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jerelscs/Downloads/"/>
    </mc:Choice>
  </mc:AlternateContent>
  <xr:revisionPtr revIDLastSave="0" documentId="8_{91FF8C07-F2A5-A448-A426-928E2A046811}" xr6:coauthVersionLast="47" xr6:coauthVersionMax="47" xr10:uidLastSave="{00000000-0000-0000-0000-000000000000}"/>
  <bookViews>
    <workbookView xWindow="21600" yWindow="7560" windowWidth="38400" windowHeight="21000" xr2:uid="{A076985F-6CFB-DB49-A7AE-C6E23E578DA1}"/>
  </bookViews>
  <sheets>
    <sheet name="Roadmap (Auto)" sheetId="13" r:id="rId1"/>
    <sheet name="Quaterly" sheetId="2" state="hidden" r:id="rId2"/>
    <sheet name="Monthly" sheetId="3" state="hidden" r:id="rId3"/>
    <sheet name="UX Weekly" sheetId="4" r:id="rId4"/>
    <sheet name="Dev Tracker" sheetId="5" r:id="rId5"/>
    <sheet name="Model (Don't Touch)" sheetId="11" state="hidden" r:id="rId6"/>
    <sheet name="Obsolete" sheetId="7" state="hidden" r:id="rId7"/>
    <sheet name="Control" sheetId="6" r:id="rId8"/>
    <sheet name="Metrics" sheetId="9" r:id="rId9"/>
    <sheet name="GA4" sheetId="10" r:id="rId10"/>
    <sheet name="Roadmap Calc (Don’t Touch)" sheetId="14" state="hidden" r:id="rId11"/>
  </sheets>
  <definedNames>
    <definedName name="_xlnm._FilterDatabase" localSheetId="4" hidden="1">'Dev Tracker'!$A$1:$K$1</definedName>
    <definedName name="_xlnm._FilterDatabase" localSheetId="3" hidden="1">'UX Weekly'!$A$1:$AS$46</definedName>
    <definedName name="_xlnm.Print_Area" localSheetId="3">'UX Weekly'!$A$1:$AC$32</definedName>
  </definedName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14" l="1"/>
  <c r="R2" i="14"/>
  <c r="I2" i="14"/>
  <c r="N2" i="14"/>
  <c r="V3" i="14"/>
  <c r="R3" i="14"/>
  <c r="I3" i="14"/>
  <c r="N3" i="14"/>
  <c r="V4" i="14"/>
  <c r="R4" i="14"/>
  <c r="I4" i="14"/>
  <c r="N4" i="14"/>
  <c r="V5" i="14"/>
  <c r="R5" i="14"/>
  <c r="I5" i="14"/>
  <c r="N5" i="14"/>
  <c r="V6" i="14"/>
  <c r="R6" i="14"/>
  <c r="S6" i="14"/>
  <c r="I6" i="14"/>
  <c r="N6" i="14"/>
  <c r="V151" i="14"/>
  <c r="N151" i="14"/>
  <c r="V150" i="14"/>
  <c r="N150" i="14"/>
  <c r="V149" i="14"/>
  <c r="N149" i="14"/>
  <c r="V148" i="14"/>
  <c r="N148" i="14"/>
  <c r="V147" i="14"/>
  <c r="N147" i="14"/>
  <c r="V146" i="14"/>
  <c r="N146" i="14"/>
  <c r="V145" i="14"/>
  <c r="N145" i="14"/>
  <c r="V144" i="14"/>
  <c r="N144" i="14"/>
  <c r="V143" i="14"/>
  <c r="N143" i="14"/>
  <c r="V142" i="14"/>
  <c r="N142" i="14"/>
  <c r="V141" i="14"/>
  <c r="N141" i="14"/>
  <c r="V140" i="14"/>
  <c r="N140" i="14"/>
  <c r="V139" i="14"/>
  <c r="N139" i="14"/>
  <c r="V138" i="14"/>
  <c r="N138" i="14"/>
  <c r="V137" i="14"/>
  <c r="N137" i="14"/>
  <c r="V136" i="14"/>
  <c r="N136" i="14"/>
  <c r="V135" i="14"/>
  <c r="N135" i="14"/>
  <c r="V134" i="14"/>
  <c r="N134" i="14"/>
  <c r="V133" i="14"/>
  <c r="N133" i="14"/>
  <c r="V132" i="14"/>
  <c r="N132" i="14"/>
  <c r="V131" i="14"/>
  <c r="N131" i="14"/>
  <c r="V130" i="14"/>
  <c r="N130" i="14"/>
  <c r="V129" i="14"/>
  <c r="N129" i="14"/>
  <c r="V128" i="14"/>
  <c r="N128" i="14"/>
  <c r="V127" i="14"/>
  <c r="N127" i="14"/>
  <c r="V126" i="14"/>
  <c r="N126" i="14"/>
  <c r="V125" i="14"/>
  <c r="N125" i="14"/>
  <c r="V124" i="14"/>
  <c r="N124" i="14"/>
  <c r="V123" i="14"/>
  <c r="N123" i="14"/>
  <c r="V122" i="14"/>
  <c r="N122" i="14"/>
  <c r="V121" i="14"/>
  <c r="N121" i="14"/>
  <c r="V120" i="14"/>
  <c r="N120" i="14"/>
  <c r="V119" i="14"/>
  <c r="N119" i="14"/>
  <c r="V118" i="14"/>
  <c r="N118" i="14"/>
  <c r="V117" i="14"/>
  <c r="N117" i="14"/>
  <c r="V116" i="14"/>
  <c r="N116" i="14"/>
  <c r="V115" i="14"/>
  <c r="N115" i="14"/>
  <c r="V114" i="14"/>
  <c r="N114" i="14"/>
  <c r="V113" i="14"/>
  <c r="N113" i="14"/>
  <c r="V112" i="14"/>
  <c r="N112" i="14"/>
  <c r="V111" i="14"/>
  <c r="N111" i="14"/>
  <c r="V110" i="14"/>
  <c r="N110" i="14"/>
  <c r="V109" i="14"/>
  <c r="N109" i="14"/>
  <c r="V108" i="14"/>
  <c r="N108" i="14"/>
  <c r="V107" i="14"/>
  <c r="N107" i="14"/>
  <c r="V106" i="14"/>
  <c r="N106" i="14"/>
  <c r="V105" i="14"/>
  <c r="N105" i="14"/>
  <c r="V104" i="14"/>
  <c r="N104" i="14"/>
  <c r="V103" i="14"/>
  <c r="N103" i="14"/>
  <c r="V102" i="14"/>
  <c r="N102" i="14"/>
  <c r="V101" i="14"/>
  <c r="N101" i="14"/>
  <c r="V100" i="14"/>
  <c r="N100" i="14"/>
  <c r="V99" i="14"/>
  <c r="N99" i="14"/>
  <c r="V98" i="14"/>
  <c r="N98" i="14"/>
  <c r="V97" i="14"/>
  <c r="N97" i="14"/>
  <c r="V96" i="14"/>
  <c r="N96" i="14"/>
  <c r="V95" i="14"/>
  <c r="N95" i="14"/>
  <c r="V94" i="14"/>
  <c r="N94" i="14"/>
  <c r="V93" i="14"/>
  <c r="N93" i="14"/>
  <c r="V92" i="14"/>
  <c r="N92" i="14"/>
  <c r="V91" i="14"/>
  <c r="N91" i="14"/>
  <c r="V90" i="14"/>
  <c r="N90" i="14"/>
  <c r="V89" i="14"/>
  <c r="N89" i="14"/>
  <c r="V88" i="14"/>
  <c r="N88" i="14"/>
  <c r="V87" i="14"/>
  <c r="N87" i="14"/>
  <c r="V86" i="14"/>
  <c r="N86" i="14"/>
  <c r="V85" i="14"/>
  <c r="N85" i="14"/>
  <c r="V84" i="14"/>
  <c r="N84" i="14"/>
  <c r="V83" i="14"/>
  <c r="N83" i="14"/>
  <c r="V82" i="14"/>
  <c r="N82" i="14"/>
  <c r="V81" i="14"/>
  <c r="N81" i="14"/>
  <c r="V80" i="14"/>
  <c r="N80" i="14"/>
  <c r="V79" i="14"/>
  <c r="N79" i="14"/>
  <c r="V78" i="14"/>
  <c r="N78" i="14"/>
  <c r="V77" i="14"/>
  <c r="N77" i="14"/>
  <c r="V76" i="14"/>
  <c r="N76" i="14"/>
  <c r="V75" i="14"/>
  <c r="N75" i="14"/>
  <c r="V74" i="14"/>
  <c r="N74" i="14"/>
  <c r="V73" i="14"/>
  <c r="N73" i="14"/>
  <c r="V72" i="14"/>
  <c r="N72" i="14"/>
  <c r="V71" i="14"/>
  <c r="N71" i="14"/>
  <c r="V70" i="14"/>
  <c r="N70" i="14"/>
  <c r="V69" i="14"/>
  <c r="N69" i="14"/>
  <c r="V68" i="14"/>
  <c r="N68" i="14"/>
  <c r="V67" i="14"/>
  <c r="N67" i="14"/>
  <c r="V66" i="14"/>
  <c r="N66" i="14"/>
  <c r="V65" i="14"/>
  <c r="N65" i="14"/>
  <c r="V64" i="14"/>
  <c r="N64" i="14"/>
  <c r="V63" i="14"/>
  <c r="N63" i="14"/>
  <c r="V62" i="14"/>
  <c r="N62" i="14"/>
  <c r="V61" i="14"/>
  <c r="N61" i="14"/>
  <c r="V60" i="14"/>
  <c r="N60" i="14"/>
  <c r="V59" i="14"/>
  <c r="N59" i="14"/>
  <c r="V58" i="14"/>
  <c r="N58" i="14"/>
  <c r="V57" i="14"/>
  <c r="N57" i="14"/>
  <c r="V56" i="14"/>
  <c r="N56" i="14"/>
  <c r="V55" i="14"/>
  <c r="N55" i="14"/>
  <c r="V54" i="14"/>
  <c r="N54" i="14"/>
  <c r="V53" i="14"/>
  <c r="N53" i="14"/>
  <c r="V52" i="14"/>
  <c r="N52" i="14"/>
  <c r="V51" i="14"/>
  <c r="N51" i="14"/>
  <c r="V50" i="14"/>
  <c r="N50" i="14"/>
  <c r="V49" i="14"/>
  <c r="N49" i="14"/>
  <c r="V48" i="14"/>
  <c r="N48" i="14"/>
  <c r="V47" i="14"/>
  <c r="N47" i="14"/>
  <c r="V46" i="14"/>
  <c r="R46" i="14"/>
  <c r="S46" i="14"/>
  <c r="I46" i="14"/>
  <c r="N46" i="14"/>
  <c r="V45" i="14"/>
  <c r="R45" i="14"/>
  <c r="S45" i="14"/>
  <c r="I45" i="14"/>
  <c r="N45" i="14"/>
  <c r="V44" i="14"/>
  <c r="R44" i="14"/>
  <c r="I44" i="14"/>
  <c r="N44" i="14"/>
  <c r="V43" i="14"/>
  <c r="R43" i="14"/>
  <c r="S43" i="14"/>
  <c r="I43" i="14"/>
  <c r="N43" i="14"/>
  <c r="V42" i="14"/>
  <c r="R42" i="14"/>
  <c r="S42" i="14"/>
  <c r="I42" i="14"/>
  <c r="N42" i="14"/>
  <c r="V41" i="14"/>
  <c r="R41" i="14"/>
  <c r="S41" i="14"/>
  <c r="I41" i="14"/>
  <c r="N41" i="14"/>
  <c r="V40" i="14"/>
  <c r="R40" i="14"/>
  <c r="S40" i="14"/>
  <c r="I40" i="14"/>
  <c r="N40" i="14"/>
  <c r="V39" i="14"/>
  <c r="R39" i="14"/>
  <c r="S39" i="14"/>
  <c r="I39" i="14"/>
  <c r="N39" i="14"/>
  <c r="V38" i="14"/>
  <c r="R38" i="14"/>
  <c r="S38" i="14"/>
  <c r="I38" i="14"/>
  <c r="N38" i="14"/>
  <c r="V37" i="14"/>
  <c r="R37" i="14"/>
  <c r="I37" i="14"/>
  <c r="N37" i="14"/>
  <c r="V36" i="14"/>
  <c r="R36" i="14"/>
  <c r="I36" i="14"/>
  <c r="N36" i="14"/>
  <c r="V35" i="14"/>
  <c r="R35" i="14"/>
  <c r="I35" i="14"/>
  <c r="N35" i="14"/>
  <c r="V34" i="14"/>
  <c r="R34" i="14"/>
  <c r="I34" i="14"/>
  <c r="N34" i="14"/>
  <c r="V33" i="14"/>
  <c r="R33" i="14"/>
  <c r="I33" i="14"/>
  <c r="N33" i="14"/>
  <c r="V32" i="14"/>
  <c r="R32" i="14"/>
  <c r="I32" i="14"/>
  <c r="N32" i="14"/>
  <c r="V31" i="14"/>
  <c r="R31" i="14"/>
  <c r="I31" i="14"/>
  <c r="N31" i="14"/>
  <c r="V30" i="14"/>
  <c r="R30" i="14"/>
  <c r="I30" i="14"/>
  <c r="N30" i="14"/>
  <c r="V29" i="14"/>
  <c r="P29" i="14"/>
  <c r="R29" i="14"/>
  <c r="I29" i="14"/>
  <c r="N29" i="14"/>
  <c r="V28" i="14"/>
  <c r="P28" i="14"/>
  <c r="R28" i="14"/>
  <c r="I28" i="14"/>
  <c r="N28" i="14"/>
  <c r="V27" i="14"/>
  <c r="R27" i="14"/>
  <c r="I27" i="14"/>
  <c r="N27" i="14"/>
  <c r="V26" i="14"/>
  <c r="R26" i="14"/>
  <c r="I26" i="14"/>
  <c r="N26" i="14"/>
  <c r="V25" i="14"/>
  <c r="R25" i="14"/>
  <c r="S25" i="14"/>
  <c r="I25" i="14"/>
  <c r="N25" i="14"/>
  <c r="V24" i="14"/>
  <c r="R24" i="14"/>
  <c r="I24" i="14"/>
  <c r="N24" i="14"/>
  <c r="V23" i="14"/>
  <c r="R23" i="14"/>
  <c r="I23" i="14"/>
  <c r="N23" i="14"/>
  <c r="V22" i="14"/>
  <c r="R22" i="14"/>
  <c r="I22" i="14"/>
  <c r="N22" i="14"/>
  <c r="V21" i="14"/>
  <c r="R21" i="14"/>
  <c r="I21" i="14"/>
  <c r="N21" i="14"/>
  <c r="V20" i="14"/>
  <c r="R20" i="14"/>
  <c r="I20" i="14"/>
  <c r="N20" i="14"/>
  <c r="V19" i="14"/>
  <c r="R19" i="14"/>
  <c r="I19" i="14"/>
  <c r="N19" i="14"/>
  <c r="V18" i="14"/>
  <c r="R18" i="14"/>
  <c r="I18" i="14"/>
  <c r="N18" i="14"/>
  <c r="V17" i="14"/>
  <c r="R17" i="14"/>
  <c r="I17" i="14"/>
  <c r="N17" i="14"/>
  <c r="V16" i="14"/>
  <c r="R16" i="14"/>
  <c r="I16" i="14"/>
  <c r="N16" i="14"/>
  <c r="V15" i="14"/>
  <c r="R15" i="14"/>
  <c r="I15" i="14"/>
  <c r="N15" i="14"/>
  <c r="V14" i="14"/>
  <c r="R14" i="14"/>
  <c r="I14" i="14"/>
  <c r="N14" i="14"/>
  <c r="V13" i="14"/>
  <c r="R13" i="14"/>
  <c r="I13" i="14"/>
  <c r="N13" i="14"/>
  <c r="V12" i="14"/>
  <c r="R12" i="14"/>
  <c r="I12" i="14"/>
  <c r="N12" i="14"/>
  <c r="V11" i="14"/>
  <c r="R11" i="14"/>
  <c r="I11" i="14"/>
  <c r="N11" i="14"/>
  <c r="V10" i="14"/>
  <c r="R10" i="14"/>
  <c r="I10" i="14"/>
  <c r="N10" i="14"/>
  <c r="V9" i="14"/>
  <c r="R9" i="14"/>
  <c r="I9" i="14"/>
  <c r="N9" i="14"/>
  <c r="V8" i="14"/>
  <c r="R8" i="14"/>
  <c r="I8" i="14"/>
  <c r="N8" i="14"/>
  <c r="V7" i="14"/>
  <c r="R7" i="14"/>
  <c r="S7" i="14"/>
  <c r="I7" i="14"/>
  <c r="N7" i="14"/>
  <c r="O2" i="14"/>
  <c r="O3" i="14"/>
  <c r="O4" i="14"/>
  <c r="O5" i="14"/>
  <c r="O151" i="14"/>
  <c r="O150" i="14"/>
  <c r="O149" i="14"/>
  <c r="O148" i="14"/>
  <c r="O147" i="14"/>
  <c r="O146" i="14"/>
  <c r="O145" i="14"/>
  <c r="O144" i="14"/>
  <c r="O143" i="14"/>
  <c r="O142" i="14"/>
  <c r="O141" i="14"/>
  <c r="O140" i="14"/>
  <c r="O139" i="14"/>
  <c r="O138" i="14"/>
  <c r="O137" i="14"/>
  <c r="O136" i="14"/>
  <c r="O135" i="14"/>
  <c r="O134" i="14"/>
  <c r="O133" i="14"/>
  <c r="O132" i="14"/>
  <c r="O131" i="14"/>
  <c r="O130" i="14"/>
  <c r="O129" i="14"/>
  <c r="O128" i="14"/>
  <c r="O127" i="14"/>
  <c r="O126" i="14"/>
  <c r="O125" i="14"/>
  <c r="O124" i="14"/>
  <c r="O123" i="14"/>
  <c r="O122" i="14"/>
  <c r="O121" i="14"/>
  <c r="O120" i="14"/>
  <c r="O119" i="14"/>
  <c r="O118" i="14"/>
  <c r="O117" i="14"/>
  <c r="O116" i="14"/>
  <c r="O115" i="14"/>
  <c r="O114" i="14"/>
  <c r="O113" i="14"/>
  <c r="O112" i="14"/>
  <c r="O111" i="14"/>
  <c r="O110" i="14"/>
  <c r="O109" i="14"/>
  <c r="O108" i="14"/>
  <c r="O107" i="14"/>
  <c r="O106" i="14"/>
  <c r="O105" i="14"/>
  <c r="O104" i="14"/>
  <c r="O103" i="14"/>
  <c r="O102" i="14"/>
  <c r="O101" i="14"/>
  <c r="O100" i="14"/>
  <c r="O99" i="14"/>
  <c r="O98" i="14"/>
  <c r="O97" i="14"/>
  <c r="O96" i="14"/>
  <c r="O95" i="14"/>
  <c r="O94" i="14"/>
  <c r="O93" i="14"/>
  <c r="O92" i="14"/>
  <c r="O91" i="14"/>
  <c r="O90" i="14"/>
  <c r="O89" i="14"/>
  <c r="O88" i="14"/>
  <c r="O87" i="14"/>
  <c r="O86" i="14"/>
  <c r="O85" i="14"/>
  <c r="O84" i="14"/>
  <c r="O83" i="14"/>
  <c r="O82" i="14"/>
  <c r="O81" i="14"/>
  <c r="O80" i="14"/>
  <c r="O79" i="14"/>
  <c r="O78" i="14"/>
  <c r="O77" i="14"/>
  <c r="O76" i="14"/>
  <c r="O75" i="14"/>
  <c r="O74" i="14"/>
  <c r="O73" i="14"/>
  <c r="O72" i="14"/>
  <c r="O71" i="14"/>
  <c r="O70" i="14"/>
  <c r="O69" i="14"/>
  <c r="O68" i="14"/>
  <c r="O67" i="14"/>
  <c r="O66" i="14"/>
  <c r="O65" i="14"/>
  <c r="O64" i="14"/>
  <c r="O63" i="14"/>
  <c r="O62" i="14"/>
  <c r="O61" i="14"/>
  <c r="O60" i="14"/>
  <c r="O59" i="14"/>
  <c r="O58" i="14"/>
  <c r="O57" i="14"/>
  <c r="O56" i="14"/>
  <c r="O55" i="14"/>
  <c r="O54" i="14"/>
  <c r="O53" i="14"/>
  <c r="O52" i="14"/>
  <c r="O51" i="14"/>
  <c r="O50" i="14"/>
  <c r="O49" i="14"/>
  <c r="O48" i="14"/>
  <c r="O47" i="14"/>
  <c r="O46" i="14"/>
  <c r="O45" i="14"/>
  <c r="O44" i="14"/>
  <c r="O43" i="14"/>
  <c r="O42" i="14"/>
  <c r="O41" i="14"/>
  <c r="O40" i="14"/>
  <c r="O39" i="14"/>
  <c r="O38" i="14"/>
  <c r="O37" i="14"/>
  <c r="O36" i="14"/>
  <c r="O35" i="14"/>
  <c r="O34" i="14"/>
  <c r="O33" i="14"/>
  <c r="O32" i="14"/>
  <c r="O31" i="14"/>
  <c r="O30" i="14"/>
  <c r="O29" i="14"/>
  <c r="O28" i="14"/>
  <c r="O27" i="14"/>
  <c r="O26" i="14"/>
  <c r="O25" i="14"/>
  <c r="O24" i="14"/>
  <c r="O23" i="14"/>
  <c r="O22" i="14"/>
  <c r="O21" i="14"/>
  <c r="O20" i="14"/>
  <c r="O19" i="14"/>
  <c r="O18" i="14"/>
  <c r="O17" i="14"/>
  <c r="O16" i="14"/>
  <c r="O15" i="14"/>
  <c r="O14" i="14"/>
  <c r="O13" i="14"/>
  <c r="O12" i="14"/>
  <c r="O11" i="14"/>
  <c r="O10" i="14"/>
  <c r="O9" i="14"/>
  <c r="O8" i="14"/>
  <c r="O7" i="14"/>
  <c r="O6" i="14"/>
  <c r="AI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AI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AI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AI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AI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AI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AI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AI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AI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AI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AI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AI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AI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AI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AI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AI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AI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AI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AI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AI70" i="13"/>
  <c r="AG70" i="13"/>
  <c r="AF70" i="13"/>
  <c r="AE70" i="13"/>
  <c r="AD70" i="13"/>
  <c r="AC70" i="13"/>
  <c r="AB70" i="13"/>
  <c r="AA70" i="13"/>
  <c r="Z70" i="13"/>
  <c r="Y70" i="13"/>
  <c r="X70" i="13"/>
  <c r="W70" i="13"/>
  <c r="V70" i="13"/>
  <c r="U70" i="13"/>
  <c r="T70" i="13"/>
  <c r="S70" i="13"/>
  <c r="R70" i="13"/>
  <c r="Q70" i="13"/>
  <c r="P70" i="13"/>
  <c r="O70" i="13"/>
  <c r="N70" i="13"/>
  <c r="M70" i="13"/>
  <c r="L70" i="13"/>
  <c r="K70" i="13"/>
  <c r="J70" i="13"/>
  <c r="AI69" i="13"/>
  <c r="AG69" i="13"/>
  <c r="AF69" i="13"/>
  <c r="AE69" i="13"/>
  <c r="AD69" i="13"/>
  <c r="AC69" i="13"/>
  <c r="AB69" i="13"/>
  <c r="AA69" i="13"/>
  <c r="Z69" i="13"/>
  <c r="Y69" i="13"/>
  <c r="X69" i="13"/>
  <c r="W69" i="13"/>
  <c r="V69" i="13"/>
  <c r="U69" i="13"/>
  <c r="T69" i="13"/>
  <c r="S69" i="13"/>
  <c r="R69" i="13"/>
  <c r="Q69" i="13"/>
  <c r="P69" i="13"/>
  <c r="O69" i="13"/>
  <c r="N69" i="13"/>
  <c r="M69" i="13"/>
  <c r="L69" i="13"/>
  <c r="K69" i="13"/>
  <c r="J69" i="13"/>
  <c r="AI68" i="13"/>
  <c r="AG68" i="13"/>
  <c r="AF68" i="13"/>
  <c r="AE68" i="13"/>
  <c r="AD68" i="13"/>
  <c r="AC68" i="13"/>
  <c r="AB68" i="13"/>
  <c r="AA68" i="13"/>
  <c r="Z68" i="13"/>
  <c r="Y68" i="13"/>
  <c r="X68" i="13"/>
  <c r="W68" i="13"/>
  <c r="V68" i="13"/>
  <c r="U68" i="13"/>
  <c r="T68" i="13"/>
  <c r="S68" i="13"/>
  <c r="R68" i="13"/>
  <c r="Q68" i="13"/>
  <c r="P68" i="13"/>
  <c r="O68" i="13"/>
  <c r="N68" i="13"/>
  <c r="M68" i="13"/>
  <c r="L68" i="13"/>
  <c r="K68" i="13"/>
  <c r="J68" i="13"/>
  <c r="AI67" i="13"/>
  <c r="AG67" i="13"/>
  <c r="AF67" i="13"/>
  <c r="AE67" i="13"/>
  <c r="AD67" i="13"/>
  <c r="AC67" i="13"/>
  <c r="AB67" i="13"/>
  <c r="AA67" i="13"/>
  <c r="Z67" i="13"/>
  <c r="Y67" i="13"/>
  <c r="X67" i="13"/>
  <c r="W67" i="13"/>
  <c r="V67" i="13"/>
  <c r="U67" i="13"/>
  <c r="T67" i="13"/>
  <c r="S67" i="13"/>
  <c r="R67" i="13"/>
  <c r="Q67" i="13"/>
  <c r="P67" i="13"/>
  <c r="O67" i="13"/>
  <c r="N67" i="13"/>
  <c r="M67" i="13"/>
  <c r="L67" i="13"/>
  <c r="K67" i="13"/>
  <c r="J67" i="13"/>
  <c r="AI66" i="13"/>
  <c r="AG66" i="13"/>
  <c r="AF66" i="13"/>
  <c r="AE66" i="13"/>
  <c r="AD66" i="13"/>
  <c r="AC66" i="13"/>
  <c r="AB66" i="13"/>
  <c r="AA66" i="13"/>
  <c r="Z66" i="13"/>
  <c r="Y66" i="13"/>
  <c r="X66" i="13"/>
  <c r="W66" i="13"/>
  <c r="V66" i="13"/>
  <c r="U66" i="13"/>
  <c r="T66" i="13"/>
  <c r="S66" i="13"/>
  <c r="R66" i="13"/>
  <c r="Q66" i="13"/>
  <c r="P66" i="13"/>
  <c r="O66" i="13"/>
  <c r="N66" i="13"/>
  <c r="M66" i="13"/>
  <c r="L66" i="13"/>
  <c r="K66" i="13"/>
  <c r="J66" i="13"/>
  <c r="AI65" i="13"/>
  <c r="AG65" i="13"/>
  <c r="AF65" i="13"/>
  <c r="AE65" i="13"/>
  <c r="AD65" i="13"/>
  <c r="AC65" i="13"/>
  <c r="AB65" i="13"/>
  <c r="AA65" i="13"/>
  <c r="Z65" i="13"/>
  <c r="Y65" i="13"/>
  <c r="X65" i="13"/>
  <c r="W65" i="13"/>
  <c r="V65" i="13"/>
  <c r="U65" i="13"/>
  <c r="T65" i="13"/>
  <c r="S65" i="13"/>
  <c r="R65" i="13"/>
  <c r="Q65" i="13"/>
  <c r="P65" i="13"/>
  <c r="O65" i="13"/>
  <c r="N65" i="13"/>
  <c r="M65" i="13"/>
  <c r="L65" i="13"/>
  <c r="K65" i="13"/>
  <c r="J65" i="13"/>
  <c r="AI64" i="13"/>
  <c r="AG64" i="13"/>
  <c r="AF64" i="13"/>
  <c r="AE64" i="13"/>
  <c r="AD64" i="13"/>
  <c r="AC64" i="13"/>
  <c r="AB64" i="13"/>
  <c r="AA64" i="13"/>
  <c r="Z64" i="13"/>
  <c r="Y64" i="13"/>
  <c r="X64" i="13"/>
  <c r="W64" i="13"/>
  <c r="V64" i="13"/>
  <c r="U64" i="13"/>
  <c r="T64" i="13"/>
  <c r="S64" i="13"/>
  <c r="R64" i="13"/>
  <c r="Q64" i="13"/>
  <c r="P64" i="13"/>
  <c r="O64" i="13"/>
  <c r="N64" i="13"/>
  <c r="M64" i="13"/>
  <c r="L64" i="13"/>
  <c r="K64" i="13"/>
  <c r="J64" i="13"/>
  <c r="AI63" i="13"/>
  <c r="AG63" i="13"/>
  <c r="AF63" i="13"/>
  <c r="AE63" i="13"/>
  <c r="AD63" i="13"/>
  <c r="AC63" i="13"/>
  <c r="AB63" i="13"/>
  <c r="AA63" i="13"/>
  <c r="Z63" i="13"/>
  <c r="Y63" i="13"/>
  <c r="X63" i="13"/>
  <c r="W63" i="13"/>
  <c r="V63" i="13"/>
  <c r="U63" i="13"/>
  <c r="T63" i="13"/>
  <c r="S63" i="13"/>
  <c r="R63" i="13"/>
  <c r="Q63" i="13"/>
  <c r="P63" i="13"/>
  <c r="O63" i="13"/>
  <c r="N63" i="13"/>
  <c r="M63" i="13"/>
  <c r="L63" i="13"/>
  <c r="K63" i="13"/>
  <c r="J63" i="13"/>
  <c r="AI62" i="13"/>
  <c r="AG62" i="13"/>
  <c r="AF62" i="13"/>
  <c r="AE62" i="13"/>
  <c r="AD62" i="13"/>
  <c r="AC62" i="13"/>
  <c r="AB62" i="13"/>
  <c r="AA62" i="13"/>
  <c r="Z62" i="13"/>
  <c r="Y62" i="13"/>
  <c r="X62" i="13"/>
  <c r="W62" i="13"/>
  <c r="V62" i="13"/>
  <c r="U62" i="13"/>
  <c r="T62" i="13"/>
  <c r="S62" i="13"/>
  <c r="R62" i="13"/>
  <c r="Q62" i="13"/>
  <c r="P62" i="13"/>
  <c r="O62" i="13"/>
  <c r="N62" i="13"/>
  <c r="M62" i="13"/>
  <c r="L62" i="13"/>
  <c r="K62" i="13"/>
  <c r="J62" i="13"/>
  <c r="AI61" i="13"/>
  <c r="AG61" i="13"/>
  <c r="AF61" i="13"/>
  <c r="AE61" i="13"/>
  <c r="AD61" i="13"/>
  <c r="AC61" i="13"/>
  <c r="AB61" i="13"/>
  <c r="AA61" i="13"/>
  <c r="Z61" i="13"/>
  <c r="Y61" i="13"/>
  <c r="X61" i="13"/>
  <c r="W61" i="13"/>
  <c r="V61" i="13"/>
  <c r="U61" i="13"/>
  <c r="T61" i="13"/>
  <c r="S61" i="13"/>
  <c r="R61" i="13"/>
  <c r="Q61" i="13"/>
  <c r="P61" i="13"/>
  <c r="O61" i="13"/>
  <c r="N61" i="13"/>
  <c r="M61" i="13"/>
  <c r="L61" i="13"/>
  <c r="K61" i="13"/>
  <c r="J61" i="13"/>
  <c r="AI60" i="13"/>
  <c r="H60" i="13"/>
  <c r="S10" i="14"/>
  <c r="J10" i="14"/>
  <c r="S44" i="14"/>
  <c r="J44" i="14"/>
  <c r="J46" i="14"/>
  <c r="I60" i="13"/>
  <c r="AG60" i="13"/>
  <c r="AF60" i="13"/>
  <c r="AE60" i="13"/>
  <c r="AD60" i="13"/>
  <c r="AC60" i="13"/>
  <c r="AB60" i="13"/>
  <c r="AA60" i="13"/>
  <c r="Z60" i="13"/>
  <c r="Y60" i="13"/>
  <c r="X60" i="13"/>
  <c r="W60" i="13"/>
  <c r="V60" i="13"/>
  <c r="U60" i="13"/>
  <c r="T60" i="13"/>
  <c r="S60" i="13"/>
  <c r="R60" i="13"/>
  <c r="Q60" i="13"/>
  <c r="P60" i="13"/>
  <c r="O60" i="13"/>
  <c r="N60" i="13"/>
  <c r="M60" i="13"/>
  <c r="L60" i="13"/>
  <c r="K60" i="13"/>
  <c r="J60" i="13"/>
  <c r="AI59" i="13"/>
  <c r="H59" i="13"/>
  <c r="S4" i="14"/>
  <c r="J4" i="14"/>
  <c r="J45" i="14"/>
  <c r="I59" i="13"/>
  <c r="AG59" i="13"/>
  <c r="AF59" i="13"/>
  <c r="AE59" i="13"/>
  <c r="AD59" i="13"/>
  <c r="AC59" i="13"/>
  <c r="AB59" i="13"/>
  <c r="AA59" i="13"/>
  <c r="Z59" i="13"/>
  <c r="Y59" i="13"/>
  <c r="X59" i="13"/>
  <c r="W59" i="13"/>
  <c r="V59" i="13"/>
  <c r="U59" i="13"/>
  <c r="T59" i="13"/>
  <c r="S59" i="13"/>
  <c r="R59" i="13"/>
  <c r="Q59" i="13"/>
  <c r="P59" i="13"/>
  <c r="O59" i="13"/>
  <c r="N59" i="13"/>
  <c r="M59" i="13"/>
  <c r="L59" i="13"/>
  <c r="K59" i="13"/>
  <c r="J59" i="13"/>
  <c r="AI58" i="13"/>
  <c r="H58" i="13"/>
  <c r="S16" i="14"/>
  <c r="J16" i="14"/>
  <c r="J43" i="14"/>
  <c r="I58" i="13"/>
  <c r="AG58" i="13"/>
  <c r="AF58" i="13"/>
  <c r="AE58" i="13"/>
  <c r="AD58" i="13"/>
  <c r="AC58" i="13"/>
  <c r="AB58" i="13"/>
  <c r="AA58" i="13"/>
  <c r="Z58" i="13"/>
  <c r="Y58" i="13"/>
  <c r="X58" i="13"/>
  <c r="W58" i="13"/>
  <c r="V58" i="13"/>
  <c r="U58" i="13"/>
  <c r="T58" i="13"/>
  <c r="S58" i="13"/>
  <c r="R58" i="13"/>
  <c r="Q58" i="13"/>
  <c r="P58" i="13"/>
  <c r="O58" i="13"/>
  <c r="N58" i="13"/>
  <c r="M58" i="13"/>
  <c r="L58" i="13"/>
  <c r="K58" i="13"/>
  <c r="J58" i="13"/>
  <c r="AI57" i="13"/>
  <c r="H57" i="13"/>
  <c r="S12" i="14"/>
  <c r="J12" i="14"/>
  <c r="J42" i="14"/>
  <c r="I57" i="13"/>
  <c r="AG57" i="13"/>
  <c r="AF57" i="13"/>
  <c r="AE57" i="13"/>
  <c r="AD57" i="13"/>
  <c r="AC57" i="13"/>
  <c r="AB57" i="13"/>
  <c r="AA57" i="13"/>
  <c r="Z57" i="13"/>
  <c r="Y57" i="13"/>
  <c r="X57" i="13"/>
  <c r="W57" i="13"/>
  <c r="V57" i="13"/>
  <c r="U57" i="13"/>
  <c r="T57" i="13"/>
  <c r="S57" i="13"/>
  <c r="R57" i="13"/>
  <c r="Q57" i="13"/>
  <c r="P57" i="13"/>
  <c r="O57" i="13"/>
  <c r="N57" i="13"/>
  <c r="M57" i="13"/>
  <c r="L57" i="13"/>
  <c r="K57" i="13"/>
  <c r="J57" i="13"/>
  <c r="AI56" i="13"/>
  <c r="H56" i="13"/>
  <c r="S5" i="14"/>
  <c r="J5" i="14"/>
  <c r="J41" i="14"/>
  <c r="I56" i="13"/>
  <c r="AG56" i="13"/>
  <c r="AF56" i="13"/>
  <c r="AE56" i="13"/>
  <c r="AD56" i="13"/>
  <c r="AC56" i="13"/>
  <c r="AB56" i="13"/>
  <c r="AA56" i="13"/>
  <c r="Z56" i="13"/>
  <c r="Y56" i="13"/>
  <c r="X56" i="13"/>
  <c r="W56" i="13"/>
  <c r="V56" i="13"/>
  <c r="U56" i="13"/>
  <c r="T56" i="13"/>
  <c r="S56" i="13"/>
  <c r="R56" i="13"/>
  <c r="Q56" i="13"/>
  <c r="P56" i="13"/>
  <c r="O56" i="13"/>
  <c r="N56" i="13"/>
  <c r="M56" i="13"/>
  <c r="L56" i="13"/>
  <c r="K56" i="13"/>
  <c r="J56" i="13"/>
  <c r="AI55" i="13"/>
  <c r="H55" i="13"/>
  <c r="J40" i="14"/>
  <c r="I55" i="13"/>
  <c r="AG55" i="13"/>
  <c r="AF55" i="13"/>
  <c r="AE55" i="13"/>
  <c r="AD55" i="13"/>
  <c r="AC55" i="13"/>
  <c r="AB55" i="13"/>
  <c r="AA55" i="13"/>
  <c r="Z55" i="13"/>
  <c r="Y55" i="13"/>
  <c r="X55" i="13"/>
  <c r="W55" i="13"/>
  <c r="V55" i="13"/>
  <c r="U55" i="13"/>
  <c r="T55" i="13"/>
  <c r="S55" i="13"/>
  <c r="R55" i="13"/>
  <c r="Q55" i="13"/>
  <c r="P55" i="13"/>
  <c r="O55" i="13"/>
  <c r="N55" i="13"/>
  <c r="M55" i="13"/>
  <c r="L55" i="13"/>
  <c r="K55" i="13"/>
  <c r="J55" i="13"/>
  <c r="AI54" i="13"/>
  <c r="H54" i="13"/>
  <c r="S33" i="14"/>
  <c r="J33" i="14"/>
  <c r="J39" i="14"/>
  <c r="I54" i="13"/>
  <c r="AG54" i="13"/>
  <c r="AF54" i="13"/>
  <c r="AE54" i="13"/>
  <c r="AD54" i="13"/>
  <c r="AC54" i="13"/>
  <c r="AB54" i="13"/>
  <c r="AA54" i="13"/>
  <c r="Z54" i="13"/>
  <c r="Y54" i="13"/>
  <c r="X54" i="13"/>
  <c r="W54" i="13"/>
  <c r="V54" i="13"/>
  <c r="U54" i="13"/>
  <c r="T54" i="13"/>
  <c r="S54" i="13"/>
  <c r="R54" i="13"/>
  <c r="Q54" i="13"/>
  <c r="P54" i="13"/>
  <c r="O54" i="13"/>
  <c r="N54" i="13"/>
  <c r="M54" i="13"/>
  <c r="L54" i="13"/>
  <c r="K54" i="13"/>
  <c r="J54" i="13"/>
  <c r="AI53" i="13"/>
  <c r="H53" i="13"/>
  <c r="S30" i="14"/>
  <c r="J30" i="14"/>
  <c r="J38" i="14"/>
  <c r="I53" i="13"/>
  <c r="AG53" i="13"/>
  <c r="AF53" i="13"/>
  <c r="AE53" i="13"/>
  <c r="AD53" i="13"/>
  <c r="AC53" i="13"/>
  <c r="AB53" i="13"/>
  <c r="AA53" i="13"/>
  <c r="Z53" i="13"/>
  <c r="Y53" i="13"/>
  <c r="X53" i="13"/>
  <c r="W53" i="13"/>
  <c r="V53" i="13"/>
  <c r="U53" i="13"/>
  <c r="T53" i="13"/>
  <c r="S53" i="13"/>
  <c r="R53" i="13"/>
  <c r="Q53" i="13"/>
  <c r="P53" i="13"/>
  <c r="O53" i="13"/>
  <c r="N53" i="13"/>
  <c r="M53" i="13"/>
  <c r="L53" i="13"/>
  <c r="K53" i="13"/>
  <c r="J53" i="13"/>
  <c r="AI52" i="13"/>
  <c r="H52" i="13"/>
  <c r="S29" i="14"/>
  <c r="J29" i="14"/>
  <c r="J25" i="14"/>
  <c r="S35" i="14"/>
  <c r="J35" i="14"/>
  <c r="I52" i="13"/>
  <c r="AG52" i="13"/>
  <c r="AF52" i="13"/>
  <c r="AE52" i="13"/>
  <c r="AD52" i="13"/>
  <c r="AC52" i="13"/>
  <c r="AB52" i="13"/>
  <c r="AA52" i="13"/>
  <c r="Z52" i="13"/>
  <c r="Y52" i="13"/>
  <c r="X52" i="13"/>
  <c r="W52" i="13"/>
  <c r="V52" i="13"/>
  <c r="U52" i="13"/>
  <c r="T52" i="13"/>
  <c r="S52" i="13"/>
  <c r="R52" i="13"/>
  <c r="Q52" i="13"/>
  <c r="P52" i="13"/>
  <c r="O52" i="13"/>
  <c r="N52" i="13"/>
  <c r="M52" i="13"/>
  <c r="L52" i="13"/>
  <c r="K52" i="13"/>
  <c r="J52" i="13"/>
  <c r="AI51" i="13"/>
  <c r="H51" i="13"/>
  <c r="S28" i="14"/>
  <c r="J28" i="14"/>
  <c r="S37" i="14"/>
  <c r="J37" i="14"/>
  <c r="J7" i="14"/>
  <c r="S34" i="14"/>
  <c r="J34" i="14"/>
  <c r="I51" i="13"/>
  <c r="AG51" i="13"/>
  <c r="AF51" i="13"/>
  <c r="AE51" i="13"/>
  <c r="AD51" i="13"/>
  <c r="AC51" i="13"/>
  <c r="AB51" i="13"/>
  <c r="AA51" i="13"/>
  <c r="Z51" i="13"/>
  <c r="Y51" i="13"/>
  <c r="X51" i="13"/>
  <c r="W51" i="13"/>
  <c r="V51" i="13"/>
  <c r="U51" i="13"/>
  <c r="T51" i="13"/>
  <c r="S51" i="13"/>
  <c r="R51" i="13"/>
  <c r="Q51" i="13"/>
  <c r="P51" i="13"/>
  <c r="O51" i="13"/>
  <c r="N51" i="13"/>
  <c r="M51" i="13"/>
  <c r="L51" i="13"/>
  <c r="K51" i="13"/>
  <c r="J51" i="13"/>
  <c r="AI50" i="13"/>
  <c r="H50" i="13"/>
  <c r="J6" i="14"/>
  <c r="S36" i="14"/>
  <c r="J36" i="14"/>
  <c r="S31" i="14"/>
  <c r="J31" i="14"/>
  <c r="I50" i="13"/>
  <c r="AG50" i="13"/>
  <c r="AF50" i="13"/>
  <c r="AE50" i="13"/>
  <c r="AD50" i="13"/>
  <c r="AC50" i="13"/>
  <c r="AB50" i="13"/>
  <c r="AA50" i="13"/>
  <c r="Z50" i="13"/>
  <c r="Y50" i="13"/>
  <c r="X50" i="13"/>
  <c r="W50" i="13"/>
  <c r="V50" i="13"/>
  <c r="U50" i="13"/>
  <c r="T50" i="13"/>
  <c r="S50" i="13"/>
  <c r="R50" i="13"/>
  <c r="Q50" i="13"/>
  <c r="P50" i="13"/>
  <c r="O50" i="13"/>
  <c r="N50" i="13"/>
  <c r="M50" i="13"/>
  <c r="L50" i="13"/>
  <c r="K50" i="13"/>
  <c r="J50" i="13"/>
  <c r="AI49" i="13"/>
  <c r="H49" i="13"/>
  <c r="S3" i="14"/>
  <c r="J3" i="14"/>
  <c r="S14" i="14"/>
  <c r="J14" i="14"/>
  <c r="I49" i="13"/>
  <c r="AG49" i="13"/>
  <c r="AF49" i="13"/>
  <c r="AE49" i="13"/>
  <c r="AD49" i="13"/>
  <c r="AC49" i="13"/>
  <c r="AB49" i="13"/>
  <c r="AA49" i="13"/>
  <c r="Z49" i="13"/>
  <c r="Y49" i="13"/>
  <c r="X49" i="13"/>
  <c r="W49" i="13"/>
  <c r="V49" i="13"/>
  <c r="U49" i="13"/>
  <c r="T49" i="13"/>
  <c r="S49" i="13"/>
  <c r="R49" i="13"/>
  <c r="Q49" i="13"/>
  <c r="P49" i="13"/>
  <c r="O49" i="13"/>
  <c r="N49" i="13"/>
  <c r="M49" i="13"/>
  <c r="L49" i="13"/>
  <c r="K49" i="13"/>
  <c r="J49" i="13"/>
  <c r="AI48" i="13"/>
  <c r="H48" i="13"/>
  <c r="S24" i="14"/>
  <c r="J24" i="14"/>
  <c r="I48" i="13"/>
  <c r="AG48" i="13"/>
  <c r="AF48" i="13"/>
  <c r="AE48" i="13"/>
  <c r="AD48" i="13"/>
  <c r="AC48" i="13"/>
  <c r="AB48" i="13"/>
  <c r="AA48" i="13"/>
  <c r="Z48" i="13"/>
  <c r="Y48" i="13"/>
  <c r="X48" i="13"/>
  <c r="W48" i="13"/>
  <c r="V48" i="13"/>
  <c r="U48" i="13"/>
  <c r="T48" i="13"/>
  <c r="S48" i="13"/>
  <c r="R48" i="13"/>
  <c r="Q48" i="13"/>
  <c r="P48" i="13"/>
  <c r="O48" i="13"/>
  <c r="N48" i="13"/>
  <c r="M48" i="13"/>
  <c r="L48" i="13"/>
  <c r="K48" i="13"/>
  <c r="J48" i="13"/>
  <c r="AI47" i="13"/>
  <c r="H47" i="13"/>
  <c r="S13" i="14"/>
  <c r="J13" i="14"/>
  <c r="I47" i="13"/>
  <c r="AG47" i="13"/>
  <c r="AF47" i="13"/>
  <c r="AE47" i="13"/>
  <c r="AD47" i="13"/>
  <c r="AC47" i="13"/>
  <c r="AB47" i="13"/>
  <c r="AA47" i="13"/>
  <c r="Z47" i="13"/>
  <c r="Y47" i="13"/>
  <c r="X47" i="13"/>
  <c r="W47" i="13"/>
  <c r="V47" i="13"/>
  <c r="U47" i="13"/>
  <c r="T47" i="13"/>
  <c r="S47" i="13"/>
  <c r="R47" i="13"/>
  <c r="Q47" i="13"/>
  <c r="P47" i="13"/>
  <c r="O47" i="13"/>
  <c r="N47" i="13"/>
  <c r="M47" i="13"/>
  <c r="L47" i="13"/>
  <c r="K47" i="13"/>
  <c r="J47" i="13"/>
  <c r="AI46" i="13"/>
  <c r="H46" i="13"/>
  <c r="S2" i="14"/>
  <c r="J2" i="14"/>
  <c r="S32" i="14"/>
  <c r="J32" i="14"/>
  <c r="S11" i="14"/>
  <c r="J11" i="14"/>
  <c r="S9" i="14"/>
  <c r="J9" i="14"/>
  <c r="I46" i="13"/>
  <c r="AG46" i="13"/>
  <c r="AF46" i="13"/>
  <c r="AE46" i="13"/>
  <c r="AD46" i="13"/>
  <c r="AC46" i="13"/>
  <c r="AB46" i="13"/>
  <c r="AA46" i="13"/>
  <c r="Z46" i="13"/>
  <c r="Y46" i="13"/>
  <c r="X46" i="13"/>
  <c r="W46" i="13"/>
  <c r="V46" i="13"/>
  <c r="U46" i="13"/>
  <c r="T46" i="13"/>
  <c r="S46" i="13"/>
  <c r="R46" i="13"/>
  <c r="Q46" i="13"/>
  <c r="P46" i="13"/>
  <c r="O46" i="13"/>
  <c r="N46" i="13"/>
  <c r="M46" i="13"/>
  <c r="L46" i="13"/>
  <c r="K46" i="13"/>
  <c r="J46" i="13"/>
  <c r="AI45" i="13"/>
  <c r="H45" i="13"/>
  <c r="S20" i="14"/>
  <c r="J20" i="14"/>
  <c r="I45" i="13"/>
  <c r="AG45" i="13"/>
  <c r="AF45" i="13"/>
  <c r="AE45" i="13"/>
  <c r="AD45" i="13"/>
  <c r="AC45" i="13"/>
  <c r="AB45" i="13"/>
  <c r="AA45" i="13"/>
  <c r="Z45" i="13"/>
  <c r="Y45" i="13"/>
  <c r="X45" i="13"/>
  <c r="W45" i="13"/>
  <c r="V45" i="13"/>
  <c r="U45" i="13"/>
  <c r="T45" i="13"/>
  <c r="S45" i="13"/>
  <c r="R45" i="13"/>
  <c r="Q45" i="13"/>
  <c r="P45" i="13"/>
  <c r="O45" i="13"/>
  <c r="N45" i="13"/>
  <c r="M45" i="13"/>
  <c r="L45" i="13"/>
  <c r="K45" i="13"/>
  <c r="J45" i="13"/>
  <c r="AI44" i="13"/>
  <c r="H44" i="13"/>
  <c r="I44" i="13"/>
  <c r="AG44" i="13"/>
  <c r="AF44" i="13"/>
  <c r="AE44" i="13"/>
  <c r="AD44" i="13"/>
  <c r="AC44" i="13"/>
  <c r="AB44" i="13"/>
  <c r="AA44" i="13"/>
  <c r="Z44" i="13"/>
  <c r="Y44" i="13"/>
  <c r="X44" i="13"/>
  <c r="W44" i="13"/>
  <c r="V44" i="13"/>
  <c r="U44" i="13"/>
  <c r="T44" i="13"/>
  <c r="S44" i="13"/>
  <c r="R44" i="13"/>
  <c r="Q44" i="13"/>
  <c r="P44" i="13"/>
  <c r="O44" i="13"/>
  <c r="N44" i="13"/>
  <c r="M44" i="13"/>
  <c r="L44" i="13"/>
  <c r="K44" i="13"/>
  <c r="J44" i="13"/>
  <c r="AI43" i="13"/>
  <c r="H43" i="13"/>
  <c r="S23" i="14"/>
  <c r="J23" i="14"/>
  <c r="S18" i="14"/>
  <c r="J18" i="14"/>
  <c r="I43" i="13"/>
  <c r="AG43" i="13"/>
  <c r="AF43" i="13"/>
  <c r="AE43" i="13"/>
  <c r="AD43" i="13"/>
  <c r="AC43" i="13"/>
  <c r="AB43" i="13"/>
  <c r="AA43" i="13"/>
  <c r="Z43" i="13"/>
  <c r="Y43" i="13"/>
  <c r="X43" i="13"/>
  <c r="W43" i="13"/>
  <c r="V43" i="13"/>
  <c r="U43" i="13"/>
  <c r="T43" i="13"/>
  <c r="S43" i="13"/>
  <c r="R43" i="13"/>
  <c r="Q43" i="13"/>
  <c r="P43" i="13"/>
  <c r="O43" i="13"/>
  <c r="N43" i="13"/>
  <c r="M43" i="13"/>
  <c r="L43" i="13"/>
  <c r="K43" i="13"/>
  <c r="J43" i="13"/>
  <c r="AI42" i="13"/>
  <c r="H42" i="13"/>
  <c r="S22" i="14"/>
  <c r="J22" i="14"/>
  <c r="S17" i="14"/>
  <c r="J17" i="14"/>
  <c r="I42" i="13"/>
  <c r="AG42" i="13"/>
  <c r="AF42" i="13"/>
  <c r="AE42" i="13"/>
  <c r="AD42" i="13"/>
  <c r="AC42" i="13"/>
  <c r="AB42" i="13"/>
  <c r="AA42" i="13"/>
  <c r="Z42" i="13"/>
  <c r="Y42" i="13"/>
  <c r="X42" i="13"/>
  <c r="W42" i="13"/>
  <c r="V42" i="13"/>
  <c r="U42" i="13"/>
  <c r="T42" i="13"/>
  <c r="S42" i="13"/>
  <c r="R42" i="13"/>
  <c r="Q42" i="13"/>
  <c r="P42" i="13"/>
  <c r="O42" i="13"/>
  <c r="N42" i="13"/>
  <c r="M42" i="13"/>
  <c r="L42" i="13"/>
  <c r="K42" i="13"/>
  <c r="J42" i="13"/>
  <c r="AI41" i="13"/>
  <c r="H41" i="13"/>
  <c r="S21" i="14"/>
  <c r="J21" i="14"/>
  <c r="S26" i="14"/>
  <c r="J26" i="14"/>
  <c r="S8" i="14"/>
  <c r="J8" i="14"/>
  <c r="I41" i="13"/>
  <c r="AG41" i="13"/>
  <c r="AF41" i="13"/>
  <c r="AE41" i="13"/>
  <c r="AD41" i="13"/>
  <c r="AC41" i="13"/>
  <c r="AB41" i="13"/>
  <c r="AA41" i="13"/>
  <c r="Z41" i="13"/>
  <c r="Y41" i="13"/>
  <c r="X41" i="13"/>
  <c r="W41" i="13"/>
  <c r="V41" i="13"/>
  <c r="U41" i="13"/>
  <c r="T41" i="13"/>
  <c r="S41" i="13"/>
  <c r="R41" i="13"/>
  <c r="Q41" i="13"/>
  <c r="P41" i="13"/>
  <c r="O41" i="13"/>
  <c r="N41" i="13"/>
  <c r="M41" i="13"/>
  <c r="L41" i="13"/>
  <c r="K41" i="13"/>
  <c r="J41" i="13"/>
  <c r="AI40" i="13"/>
  <c r="H40" i="13"/>
  <c r="S27" i="14"/>
  <c r="J27" i="14"/>
  <c r="I40" i="13"/>
  <c r="AG40" i="13"/>
  <c r="AF40" i="13"/>
  <c r="AE40" i="13"/>
  <c r="AD40" i="13"/>
  <c r="AC40" i="13"/>
  <c r="AB40" i="13"/>
  <c r="AA40" i="13"/>
  <c r="Z40" i="13"/>
  <c r="Y40" i="13"/>
  <c r="X40" i="13"/>
  <c r="W40" i="13"/>
  <c r="V40" i="13"/>
  <c r="U40" i="13"/>
  <c r="T40" i="13"/>
  <c r="S40" i="13"/>
  <c r="R40" i="13"/>
  <c r="Q40" i="13"/>
  <c r="P40" i="13"/>
  <c r="O40" i="13"/>
  <c r="N40" i="13"/>
  <c r="M40" i="13"/>
  <c r="L40" i="13"/>
  <c r="K40" i="13"/>
  <c r="J40" i="13"/>
  <c r="AI39" i="13"/>
  <c r="H39" i="13"/>
  <c r="S15" i="14"/>
  <c r="J15" i="14"/>
  <c r="I39" i="13"/>
  <c r="AG39" i="13"/>
  <c r="AF39" i="13"/>
  <c r="AE39" i="13"/>
  <c r="AD39" i="13"/>
  <c r="AC39" i="13"/>
  <c r="AB39" i="13"/>
  <c r="AA39" i="13"/>
  <c r="Z39" i="13"/>
  <c r="Y39" i="13"/>
  <c r="X39" i="13"/>
  <c r="W39" i="13"/>
  <c r="V39" i="13"/>
  <c r="U39" i="13"/>
  <c r="T39" i="13"/>
  <c r="S39" i="13"/>
  <c r="R39" i="13"/>
  <c r="Q39" i="13"/>
  <c r="P39" i="13"/>
  <c r="O39" i="13"/>
  <c r="N39" i="13"/>
  <c r="M39" i="13"/>
  <c r="L39" i="13"/>
  <c r="K39" i="13"/>
  <c r="J39" i="13"/>
  <c r="AI38" i="13"/>
  <c r="H38" i="13"/>
  <c r="I38" i="13"/>
  <c r="AG38" i="13"/>
  <c r="AF38" i="13"/>
  <c r="AE38" i="13"/>
  <c r="AD38" i="13"/>
  <c r="AC38" i="13"/>
  <c r="AB38" i="13"/>
  <c r="AA38" i="13"/>
  <c r="Z38" i="13"/>
  <c r="Y38" i="13"/>
  <c r="X38" i="13"/>
  <c r="W38" i="13"/>
  <c r="V38" i="13"/>
  <c r="U38" i="13"/>
  <c r="T38" i="13"/>
  <c r="S38" i="13"/>
  <c r="R38" i="13"/>
  <c r="Q38" i="13"/>
  <c r="P38" i="13"/>
  <c r="O38" i="13"/>
  <c r="N38" i="13"/>
  <c r="M38" i="13"/>
  <c r="L38" i="13"/>
  <c r="K38" i="13"/>
  <c r="J38" i="13"/>
  <c r="AI37" i="13"/>
  <c r="H37" i="13"/>
  <c r="I37" i="13"/>
  <c r="AG37" i="13"/>
  <c r="AF37" i="13"/>
  <c r="AE37" i="13"/>
  <c r="AD37" i="13"/>
  <c r="AC37" i="13"/>
  <c r="AB37" i="13"/>
  <c r="AA37" i="13"/>
  <c r="Z37" i="13"/>
  <c r="Y37" i="13"/>
  <c r="X37" i="13"/>
  <c r="W37" i="13"/>
  <c r="V37" i="13"/>
  <c r="U37" i="13"/>
  <c r="T37" i="13"/>
  <c r="S37" i="13"/>
  <c r="R37" i="13"/>
  <c r="Q37" i="13"/>
  <c r="P37" i="13"/>
  <c r="O37" i="13"/>
  <c r="N37" i="13"/>
  <c r="M37" i="13"/>
  <c r="L37" i="13"/>
  <c r="K37" i="13"/>
  <c r="J37" i="13"/>
  <c r="AI36" i="13"/>
  <c r="H36" i="13"/>
  <c r="I36" i="13"/>
  <c r="AG36" i="13"/>
  <c r="AF36" i="13"/>
  <c r="AE36" i="13"/>
  <c r="AD36" i="13"/>
  <c r="AC36" i="13"/>
  <c r="AB36" i="13"/>
  <c r="AA36" i="13"/>
  <c r="Z36" i="13"/>
  <c r="Y36" i="13"/>
  <c r="X36" i="13"/>
  <c r="W36" i="13"/>
  <c r="V36" i="13"/>
  <c r="U36" i="13"/>
  <c r="T36" i="13"/>
  <c r="S36" i="13"/>
  <c r="R36" i="13"/>
  <c r="Q36" i="13"/>
  <c r="P36" i="13"/>
  <c r="O36" i="13"/>
  <c r="N36" i="13"/>
  <c r="M36" i="13"/>
  <c r="L36" i="13"/>
  <c r="K36" i="13"/>
  <c r="J36" i="13"/>
  <c r="AI35" i="13"/>
  <c r="H35" i="13"/>
  <c r="I35" i="13"/>
  <c r="AG35" i="13"/>
  <c r="AF35" i="13"/>
  <c r="AE35" i="13"/>
  <c r="AD35" i="13"/>
  <c r="AC35" i="13"/>
  <c r="AB35" i="13"/>
  <c r="AA35" i="13"/>
  <c r="Z35" i="13"/>
  <c r="Y35" i="13"/>
  <c r="X35" i="13"/>
  <c r="W35" i="13"/>
  <c r="V35" i="13"/>
  <c r="U35" i="13"/>
  <c r="T35" i="13"/>
  <c r="S35" i="13"/>
  <c r="R35" i="13"/>
  <c r="Q35" i="13"/>
  <c r="P35" i="13"/>
  <c r="O35" i="13"/>
  <c r="N35" i="13"/>
  <c r="M35" i="13"/>
  <c r="L35" i="13"/>
  <c r="K35" i="13"/>
  <c r="J35" i="13"/>
  <c r="AI34" i="13"/>
  <c r="H34" i="13"/>
  <c r="S19" i="14"/>
  <c r="J19" i="14"/>
  <c r="I34" i="13"/>
  <c r="AG34" i="13"/>
  <c r="AF34" i="13"/>
  <c r="AE34" i="13"/>
  <c r="AD34" i="13"/>
  <c r="AC34" i="13"/>
  <c r="AB34" i="13"/>
  <c r="AA34" i="13"/>
  <c r="Z34" i="13"/>
  <c r="Y34" i="13"/>
  <c r="X34" i="13"/>
  <c r="W34" i="13"/>
  <c r="V34" i="13"/>
  <c r="U34" i="13"/>
  <c r="T34" i="13"/>
  <c r="S34" i="13"/>
  <c r="R34" i="13"/>
  <c r="Q34" i="13"/>
  <c r="P34" i="13"/>
  <c r="O34" i="13"/>
  <c r="N34" i="13"/>
  <c r="M34" i="13"/>
  <c r="L34" i="13"/>
  <c r="K34" i="13"/>
  <c r="J34" i="13"/>
  <c r="AI33" i="13"/>
  <c r="H33" i="13"/>
  <c r="I33" i="13"/>
  <c r="AG33" i="13"/>
  <c r="AF33" i="13"/>
  <c r="AE33" i="13"/>
  <c r="AD33" i="13"/>
  <c r="AC33" i="13"/>
  <c r="AB33" i="13"/>
  <c r="AA33" i="13"/>
  <c r="Z33" i="13"/>
  <c r="Y33" i="13"/>
  <c r="X33" i="13"/>
  <c r="W33" i="13"/>
  <c r="V33" i="13"/>
  <c r="U33" i="13"/>
  <c r="T33" i="13"/>
  <c r="S33" i="13"/>
  <c r="R33" i="13"/>
  <c r="Q33" i="13"/>
  <c r="P33" i="13"/>
  <c r="O33" i="13"/>
  <c r="N33" i="13"/>
  <c r="M33" i="13"/>
  <c r="L33" i="13"/>
  <c r="K33" i="13"/>
  <c r="J33" i="13"/>
  <c r="AI32" i="13"/>
  <c r="H32" i="13"/>
  <c r="I32" i="13"/>
  <c r="AG32" i="13"/>
  <c r="AF32" i="13"/>
  <c r="AE32" i="13"/>
  <c r="AD32" i="13"/>
  <c r="AC32" i="13"/>
  <c r="AB32" i="13"/>
  <c r="AA32" i="13"/>
  <c r="Z32" i="13"/>
  <c r="Y32" i="13"/>
  <c r="X32" i="13"/>
  <c r="W32" i="13"/>
  <c r="V32" i="13"/>
  <c r="U32" i="13"/>
  <c r="T32" i="13"/>
  <c r="S32" i="13"/>
  <c r="R32" i="13"/>
  <c r="Q32" i="13"/>
  <c r="P32" i="13"/>
  <c r="O32" i="13"/>
  <c r="N32" i="13"/>
  <c r="M32" i="13"/>
  <c r="L32" i="13"/>
  <c r="K32" i="13"/>
  <c r="J32" i="13"/>
  <c r="AI31" i="13"/>
  <c r="H31" i="13"/>
  <c r="I31" i="13"/>
  <c r="AG31" i="13"/>
  <c r="AF31" i="13"/>
  <c r="AE31" i="13"/>
  <c r="AD31" i="13"/>
  <c r="AC31" i="13"/>
  <c r="AB31" i="13"/>
  <c r="AA31" i="13"/>
  <c r="Z31" i="13"/>
  <c r="Y31" i="13"/>
  <c r="X31" i="13"/>
  <c r="W31" i="13"/>
  <c r="V31" i="13"/>
  <c r="U31" i="13"/>
  <c r="T31" i="13"/>
  <c r="S31" i="13"/>
  <c r="R31" i="13"/>
  <c r="Q31" i="13"/>
  <c r="P31" i="13"/>
  <c r="O31" i="13"/>
  <c r="N31" i="13"/>
  <c r="M31" i="13"/>
  <c r="L31" i="13"/>
  <c r="K31" i="13"/>
  <c r="J31" i="13"/>
  <c r="AI30" i="13"/>
  <c r="H30" i="13"/>
  <c r="I30" i="13"/>
  <c r="AG30" i="13"/>
  <c r="AF30" i="13"/>
  <c r="AE30" i="13"/>
  <c r="AD30" i="13"/>
  <c r="AC30" i="13"/>
  <c r="AB30" i="13"/>
  <c r="AA30" i="13"/>
  <c r="Z30" i="13"/>
  <c r="Y30" i="13"/>
  <c r="X30" i="13"/>
  <c r="W30" i="13"/>
  <c r="V30" i="13"/>
  <c r="U30" i="13"/>
  <c r="T30" i="13"/>
  <c r="S30" i="13"/>
  <c r="R30" i="13"/>
  <c r="Q30" i="13"/>
  <c r="P30" i="13"/>
  <c r="O30" i="13"/>
  <c r="N30" i="13"/>
  <c r="M30" i="13"/>
  <c r="L30" i="13"/>
  <c r="K30" i="13"/>
  <c r="J30" i="13"/>
  <c r="AI29" i="13"/>
  <c r="H29" i="13"/>
  <c r="I29" i="13"/>
  <c r="AG29" i="13"/>
  <c r="AF29" i="13"/>
  <c r="AE29" i="13"/>
  <c r="AD29" i="13"/>
  <c r="AC29" i="13"/>
  <c r="AB29" i="13"/>
  <c r="AA29" i="13"/>
  <c r="Z29" i="13"/>
  <c r="Y29" i="13"/>
  <c r="X29" i="13"/>
  <c r="W29" i="13"/>
  <c r="V29" i="13"/>
  <c r="U29" i="13"/>
  <c r="T29" i="13"/>
  <c r="S29" i="13"/>
  <c r="R29" i="13"/>
  <c r="Q29" i="13"/>
  <c r="P29" i="13"/>
  <c r="O29" i="13"/>
  <c r="N29" i="13"/>
  <c r="M29" i="13"/>
  <c r="L29" i="13"/>
  <c r="K29" i="13"/>
  <c r="J29" i="13"/>
  <c r="AI28" i="13"/>
  <c r="H28" i="13"/>
  <c r="I28" i="13"/>
  <c r="AG28" i="13"/>
  <c r="AF28" i="13"/>
  <c r="AE28" i="13"/>
  <c r="AD28" i="13"/>
  <c r="AC28" i="13"/>
  <c r="AB28" i="13"/>
  <c r="AA28" i="13"/>
  <c r="Z28" i="13"/>
  <c r="Y28" i="13"/>
  <c r="X28" i="13"/>
  <c r="W28" i="13"/>
  <c r="V28" i="13"/>
  <c r="U28" i="13"/>
  <c r="T28" i="13"/>
  <c r="S28" i="13"/>
  <c r="R28" i="13"/>
  <c r="Q28" i="13"/>
  <c r="P28" i="13"/>
  <c r="O28" i="13"/>
  <c r="N28" i="13"/>
  <c r="M28" i="13"/>
  <c r="L28" i="13"/>
  <c r="K28" i="13"/>
  <c r="J28" i="13"/>
  <c r="AI27" i="13"/>
  <c r="H27" i="13"/>
  <c r="I27" i="13"/>
  <c r="AG27" i="13"/>
  <c r="AF27" i="13"/>
  <c r="AE27" i="13"/>
  <c r="AD27" i="13"/>
  <c r="AC27" i="13"/>
  <c r="AB27" i="13"/>
  <c r="AA27" i="13"/>
  <c r="Z27" i="13"/>
  <c r="Y27" i="13"/>
  <c r="X27" i="13"/>
  <c r="W27" i="13"/>
  <c r="V27" i="13"/>
  <c r="U27" i="13"/>
  <c r="T27" i="13"/>
  <c r="S27" i="13"/>
  <c r="R27" i="13"/>
  <c r="Q27" i="13"/>
  <c r="P27" i="13"/>
  <c r="O27" i="13"/>
  <c r="N27" i="13"/>
  <c r="M27" i="13"/>
  <c r="L27" i="13"/>
  <c r="K27" i="13"/>
  <c r="J27" i="13"/>
  <c r="AI26" i="13"/>
  <c r="H26" i="13"/>
  <c r="I26" i="13"/>
  <c r="AG26" i="13"/>
  <c r="AF26" i="13"/>
  <c r="AE26" i="13"/>
  <c r="AD26" i="13"/>
  <c r="AC26" i="13"/>
  <c r="AB26" i="13"/>
  <c r="AA26" i="13"/>
  <c r="Z26" i="13"/>
  <c r="Y26" i="13"/>
  <c r="X26" i="13"/>
  <c r="W26" i="13"/>
  <c r="V26" i="13"/>
  <c r="U26" i="13"/>
  <c r="T26" i="13"/>
  <c r="S26" i="13"/>
  <c r="R26" i="13"/>
  <c r="Q26" i="13"/>
  <c r="P26" i="13"/>
  <c r="O26" i="13"/>
  <c r="N26" i="13"/>
  <c r="M26" i="13"/>
  <c r="L26" i="13"/>
  <c r="K26" i="13"/>
  <c r="J26" i="13"/>
  <c r="AI25" i="13"/>
  <c r="H25" i="13"/>
  <c r="I25" i="13"/>
  <c r="AG25" i="13"/>
  <c r="AF25" i="13"/>
  <c r="AE25" i="13"/>
  <c r="AD25" i="13"/>
  <c r="AC25" i="13"/>
  <c r="AB25" i="13"/>
  <c r="AA25" i="13"/>
  <c r="Z25" i="13"/>
  <c r="Y25" i="13"/>
  <c r="X25" i="13"/>
  <c r="W25" i="13"/>
  <c r="V25" i="13"/>
  <c r="U25" i="13"/>
  <c r="T25" i="13"/>
  <c r="S25" i="13"/>
  <c r="R25" i="13"/>
  <c r="Q25" i="13"/>
  <c r="P25" i="13"/>
  <c r="O25" i="13"/>
  <c r="N25" i="13"/>
  <c r="M25" i="13"/>
  <c r="L25" i="13"/>
  <c r="K25" i="13"/>
  <c r="J25" i="13"/>
  <c r="AI24" i="13"/>
  <c r="H24" i="13"/>
  <c r="I24" i="13"/>
  <c r="AG24" i="13"/>
  <c r="AF24" i="13"/>
  <c r="AE24" i="13"/>
  <c r="AD24" i="13"/>
  <c r="AC24" i="13"/>
  <c r="AB24" i="13"/>
  <c r="AA24" i="13"/>
  <c r="Z24" i="13"/>
  <c r="Y24" i="13"/>
  <c r="X24" i="13"/>
  <c r="W24" i="13"/>
  <c r="V24" i="13"/>
  <c r="U24" i="13"/>
  <c r="T24" i="13"/>
  <c r="S24" i="13"/>
  <c r="R24" i="13"/>
  <c r="Q24" i="13"/>
  <c r="P24" i="13"/>
  <c r="O24" i="13"/>
  <c r="N24" i="13"/>
  <c r="M24" i="13"/>
  <c r="L24" i="13"/>
  <c r="K24" i="13"/>
  <c r="J24" i="13"/>
  <c r="AI23" i="13"/>
  <c r="H23" i="13"/>
  <c r="I23" i="13"/>
  <c r="AG23" i="13"/>
  <c r="AF23" i="13"/>
  <c r="AE23" i="13"/>
  <c r="AD23" i="13"/>
  <c r="AC23" i="13"/>
  <c r="AB23" i="13"/>
  <c r="AA23" i="13"/>
  <c r="Z23" i="13"/>
  <c r="Y23" i="13"/>
  <c r="X23" i="13"/>
  <c r="W23" i="13"/>
  <c r="V23" i="13"/>
  <c r="U23" i="13"/>
  <c r="T23" i="13"/>
  <c r="S23" i="13"/>
  <c r="R23" i="13"/>
  <c r="Q23" i="13"/>
  <c r="P23" i="13"/>
  <c r="O23" i="13"/>
  <c r="N23" i="13"/>
  <c r="M23" i="13"/>
  <c r="L23" i="13"/>
  <c r="K23" i="13"/>
  <c r="J23" i="13"/>
  <c r="AI22" i="13"/>
  <c r="H22" i="13"/>
  <c r="I22" i="13"/>
  <c r="AG22" i="13"/>
  <c r="AF22" i="13"/>
  <c r="AE22" i="13"/>
  <c r="AD22" i="13"/>
  <c r="AC22" i="13"/>
  <c r="AB22" i="13"/>
  <c r="AA22" i="13"/>
  <c r="Z22" i="13"/>
  <c r="Y22" i="13"/>
  <c r="X22" i="13"/>
  <c r="W22" i="13"/>
  <c r="V22" i="13"/>
  <c r="U22" i="13"/>
  <c r="T22" i="13"/>
  <c r="S22" i="13"/>
  <c r="R22" i="13"/>
  <c r="Q22" i="13"/>
  <c r="P22" i="13"/>
  <c r="O22" i="13"/>
  <c r="N22" i="13"/>
  <c r="M22" i="13"/>
  <c r="L22" i="13"/>
  <c r="K22" i="13"/>
  <c r="J22" i="13"/>
  <c r="AI21" i="13"/>
  <c r="H21" i="13"/>
  <c r="I21" i="13"/>
  <c r="AG21" i="13"/>
  <c r="AF21" i="13"/>
  <c r="AE21" i="13"/>
  <c r="AD21" i="13"/>
  <c r="AC21" i="13"/>
  <c r="AB21" i="13"/>
  <c r="AA21" i="13"/>
  <c r="Z21" i="13"/>
  <c r="Y21" i="13"/>
  <c r="X21" i="13"/>
  <c r="W21" i="13"/>
  <c r="V21" i="13"/>
  <c r="U21" i="13"/>
  <c r="T21" i="13"/>
  <c r="S21" i="13"/>
  <c r="R21" i="13"/>
  <c r="Q21" i="13"/>
  <c r="P21" i="13"/>
  <c r="O21" i="13"/>
  <c r="N21" i="13"/>
  <c r="M21" i="13"/>
  <c r="L21" i="13"/>
  <c r="K21" i="13"/>
  <c r="J21" i="13"/>
  <c r="AI20" i="13"/>
  <c r="H20" i="13"/>
  <c r="I20" i="13"/>
  <c r="AG20" i="13"/>
  <c r="AF20" i="13"/>
  <c r="AE20" i="13"/>
  <c r="AD20" i="13"/>
  <c r="AC20" i="13"/>
  <c r="AB20" i="13"/>
  <c r="AA20" i="13"/>
  <c r="Z20" i="13"/>
  <c r="Y20" i="13"/>
  <c r="X20" i="13"/>
  <c r="W20" i="13"/>
  <c r="V20" i="13"/>
  <c r="U20" i="13"/>
  <c r="T20" i="13"/>
  <c r="S20" i="13"/>
  <c r="R20" i="13"/>
  <c r="Q20" i="13"/>
  <c r="P20" i="13"/>
  <c r="O20" i="13"/>
  <c r="N20" i="13"/>
  <c r="M20" i="13"/>
  <c r="L20" i="13"/>
  <c r="K20" i="13"/>
  <c r="J20" i="13"/>
  <c r="AI19" i="13"/>
  <c r="H19" i="13"/>
  <c r="I19" i="13"/>
  <c r="AG19" i="13"/>
  <c r="AF19" i="13"/>
  <c r="AE19" i="13"/>
  <c r="AD19" i="13"/>
  <c r="AC19" i="13"/>
  <c r="AB19" i="13"/>
  <c r="AA19" i="13"/>
  <c r="Z19" i="13"/>
  <c r="Y19" i="13"/>
  <c r="X19" i="13"/>
  <c r="W19" i="13"/>
  <c r="V19" i="13"/>
  <c r="U19" i="13"/>
  <c r="T19" i="13"/>
  <c r="S19" i="13"/>
  <c r="R19" i="13"/>
  <c r="Q19" i="13"/>
  <c r="P19" i="13"/>
  <c r="O19" i="13"/>
  <c r="N19" i="13"/>
  <c r="M19" i="13"/>
  <c r="L19" i="13"/>
  <c r="K19" i="13"/>
  <c r="J19" i="13"/>
  <c r="AI18" i="13"/>
  <c r="H18" i="13"/>
  <c r="I18" i="13"/>
  <c r="AG18" i="13"/>
  <c r="AF18" i="13"/>
  <c r="AE18" i="13"/>
  <c r="AD18" i="13"/>
  <c r="AC18" i="13"/>
  <c r="AB18" i="13"/>
  <c r="AA18" i="13"/>
  <c r="Z18" i="13"/>
  <c r="Y18" i="13"/>
  <c r="X18" i="13"/>
  <c r="W18" i="13"/>
  <c r="V18" i="13"/>
  <c r="U18" i="13"/>
  <c r="T18" i="13"/>
  <c r="S18" i="13"/>
  <c r="R18" i="13"/>
  <c r="Q18" i="13"/>
  <c r="P18" i="13"/>
  <c r="O18" i="13"/>
  <c r="N18" i="13"/>
  <c r="M18" i="13"/>
  <c r="L18" i="13"/>
  <c r="K18" i="13"/>
  <c r="J18" i="13"/>
  <c r="AI17" i="13"/>
  <c r="H17" i="13"/>
  <c r="I17" i="13"/>
  <c r="AG17" i="13"/>
  <c r="AF17" i="13"/>
  <c r="AE17" i="13"/>
  <c r="AD17" i="13"/>
  <c r="AC17" i="13"/>
  <c r="AB17" i="13"/>
  <c r="AA17" i="13"/>
  <c r="Z17" i="13"/>
  <c r="Y17" i="13"/>
  <c r="X17" i="13"/>
  <c r="W17" i="13"/>
  <c r="V17" i="13"/>
  <c r="U17" i="13"/>
  <c r="T17" i="13"/>
  <c r="S17" i="13"/>
  <c r="R17" i="13"/>
  <c r="Q17" i="13"/>
  <c r="P17" i="13"/>
  <c r="O17" i="13"/>
  <c r="N17" i="13"/>
  <c r="M17" i="13"/>
  <c r="L17" i="13"/>
  <c r="K17" i="13"/>
  <c r="J17" i="13"/>
  <c r="AI16" i="13"/>
  <c r="H16" i="13"/>
  <c r="I16" i="13"/>
  <c r="AG16" i="13"/>
  <c r="AF16" i="13"/>
  <c r="AE16" i="13"/>
  <c r="AD16" i="13"/>
  <c r="AC16" i="13"/>
  <c r="AB16" i="13"/>
  <c r="AA16" i="13"/>
  <c r="Z16" i="13"/>
  <c r="Y16" i="13"/>
  <c r="X16" i="13"/>
  <c r="W16" i="13"/>
  <c r="V16" i="13"/>
  <c r="U16" i="13"/>
  <c r="T16" i="13"/>
  <c r="S16" i="13"/>
  <c r="R16" i="13"/>
  <c r="Q16" i="13"/>
  <c r="P16" i="13"/>
  <c r="O16" i="13"/>
  <c r="N16" i="13"/>
  <c r="M16" i="13"/>
  <c r="L16" i="13"/>
  <c r="K16" i="13"/>
  <c r="J16" i="13"/>
  <c r="BA4" i="14"/>
  <c r="BA5" i="14"/>
  <c r="B7" i="13"/>
  <c r="AJ4" i="13"/>
  <c r="AK4" i="13"/>
  <c r="AL4" i="13"/>
  <c r="AJ5" i="13"/>
  <c r="AK5" i="13"/>
  <c r="AL5" i="13"/>
  <c r="B151" i="14"/>
  <c r="AX151" i="14"/>
  <c r="AW151" i="14"/>
  <c r="AV151" i="14"/>
  <c r="AU151" i="14"/>
  <c r="AT151" i="14"/>
  <c r="AS151" i="14"/>
  <c r="AR151" i="14"/>
  <c r="AQ151" i="14"/>
  <c r="AP151" i="14"/>
  <c r="AO151" i="14"/>
  <c r="AN151" i="14"/>
  <c r="AM151" i="14"/>
  <c r="AL151" i="14"/>
  <c r="AK151" i="14"/>
  <c r="AJ151" i="14"/>
  <c r="AI151" i="14"/>
  <c r="AH151" i="14"/>
  <c r="AG151" i="14"/>
  <c r="AF151" i="14"/>
  <c r="AE151" i="14"/>
  <c r="AD151" i="14"/>
  <c r="AC151" i="14"/>
  <c r="AB151" i="14"/>
  <c r="AA151" i="14"/>
  <c r="Y151" i="14"/>
  <c r="X151" i="14"/>
  <c r="W151" i="14"/>
  <c r="U151" i="14"/>
  <c r="T151" i="14"/>
  <c r="Q151" i="14"/>
  <c r="S151" i="14"/>
  <c r="P151" i="14"/>
  <c r="R151" i="14"/>
  <c r="M151" i="14"/>
  <c r="L151" i="14"/>
  <c r="K151" i="14"/>
  <c r="J151" i="14"/>
  <c r="I151" i="14"/>
  <c r="H151" i="14" a="1"/>
  <c r="H151" i="14"/>
  <c r="G151" i="14" a="1"/>
  <c r="G151" i="14"/>
  <c r="F151" i="14"/>
  <c r="E151" i="14"/>
  <c r="D151" i="14"/>
  <c r="C151" i="14"/>
  <c r="B150" i="14"/>
  <c r="AX150" i="14"/>
  <c r="AW150" i="14"/>
  <c r="AV150" i="14"/>
  <c r="AU150" i="14"/>
  <c r="AT150" i="14"/>
  <c r="AS150" i="14"/>
  <c r="AR150" i="14"/>
  <c r="AQ150" i="14"/>
  <c r="AP150" i="14"/>
  <c r="AO150" i="14"/>
  <c r="AN150" i="14"/>
  <c r="AM150" i="14"/>
  <c r="AL150" i="14"/>
  <c r="AK150" i="14"/>
  <c r="AJ150" i="14"/>
  <c r="AI150" i="14"/>
  <c r="AH150" i="14"/>
  <c r="AG150" i="14"/>
  <c r="AF150" i="14"/>
  <c r="AE150" i="14"/>
  <c r="AD150" i="14"/>
  <c r="AC150" i="14"/>
  <c r="AB150" i="14"/>
  <c r="AA150" i="14"/>
  <c r="Y150" i="14"/>
  <c r="X150" i="14"/>
  <c r="W150" i="14"/>
  <c r="U150" i="14"/>
  <c r="T150" i="14"/>
  <c r="Q150" i="14"/>
  <c r="S150" i="14"/>
  <c r="P150" i="14"/>
  <c r="R150" i="14"/>
  <c r="M150" i="14"/>
  <c r="L150" i="14"/>
  <c r="K150" i="14"/>
  <c r="J150" i="14"/>
  <c r="I150" i="14"/>
  <c r="H150" i="14" a="1"/>
  <c r="H150" i="14"/>
  <c r="G150" i="14" a="1"/>
  <c r="G150" i="14"/>
  <c r="F150" i="14"/>
  <c r="E150" i="14"/>
  <c r="D150" i="14"/>
  <c r="C150" i="14"/>
  <c r="B149" i="14"/>
  <c r="AX149" i="14"/>
  <c r="AW149" i="14"/>
  <c r="AV149" i="14"/>
  <c r="AU149" i="14"/>
  <c r="AT149" i="14"/>
  <c r="AS149" i="14"/>
  <c r="AR149" i="14"/>
  <c r="AQ149" i="14"/>
  <c r="AP149" i="14"/>
  <c r="AO149" i="14"/>
  <c r="AN149" i="14"/>
  <c r="AM149" i="14"/>
  <c r="AL149" i="14"/>
  <c r="AK149" i="14"/>
  <c r="AJ149" i="14"/>
  <c r="AI149" i="14"/>
  <c r="AH149" i="14"/>
  <c r="AG149" i="14"/>
  <c r="AF149" i="14"/>
  <c r="AE149" i="14"/>
  <c r="AD149" i="14"/>
  <c r="AC149" i="14"/>
  <c r="AB149" i="14"/>
  <c r="AA149" i="14"/>
  <c r="Y149" i="14"/>
  <c r="X149" i="14"/>
  <c r="W149" i="14"/>
  <c r="U149" i="14"/>
  <c r="T149" i="14"/>
  <c r="Q149" i="14"/>
  <c r="S149" i="14"/>
  <c r="P149" i="14"/>
  <c r="R149" i="14"/>
  <c r="M149" i="14"/>
  <c r="L149" i="14"/>
  <c r="K149" i="14"/>
  <c r="J149" i="14"/>
  <c r="I149" i="14"/>
  <c r="H149" i="14" a="1"/>
  <c r="H149" i="14"/>
  <c r="G149" i="14" a="1"/>
  <c r="G149" i="14"/>
  <c r="F149" i="14"/>
  <c r="E149" i="14"/>
  <c r="D149" i="14"/>
  <c r="C149" i="14"/>
  <c r="B148" i="14"/>
  <c r="AX148" i="14"/>
  <c r="AW148" i="14"/>
  <c r="AV148" i="14"/>
  <c r="AU148" i="14"/>
  <c r="AT148" i="14"/>
  <c r="AS148" i="14"/>
  <c r="AR148" i="14"/>
  <c r="AQ148" i="14"/>
  <c r="AP148" i="14"/>
  <c r="AO148" i="14"/>
  <c r="AN148" i="14"/>
  <c r="AM148" i="14"/>
  <c r="AL148" i="14"/>
  <c r="AK148" i="14"/>
  <c r="AJ148" i="14"/>
  <c r="AI148" i="14"/>
  <c r="AH148" i="14"/>
  <c r="AG148" i="14"/>
  <c r="AF148" i="14"/>
  <c r="AE148" i="14"/>
  <c r="AD148" i="14"/>
  <c r="AC148" i="14"/>
  <c r="AB148" i="14"/>
  <c r="AA148" i="14"/>
  <c r="Y148" i="14"/>
  <c r="X148" i="14"/>
  <c r="W148" i="14"/>
  <c r="U148" i="14"/>
  <c r="T148" i="14"/>
  <c r="Q148" i="14"/>
  <c r="S148" i="14"/>
  <c r="P148" i="14"/>
  <c r="R148" i="14"/>
  <c r="M148" i="14"/>
  <c r="L148" i="14"/>
  <c r="K148" i="14"/>
  <c r="J148" i="14"/>
  <c r="I148" i="14"/>
  <c r="H148" i="14" a="1"/>
  <c r="H148" i="14"/>
  <c r="G148" i="14" a="1"/>
  <c r="G148" i="14"/>
  <c r="F148" i="14"/>
  <c r="E148" i="14"/>
  <c r="D148" i="14"/>
  <c r="C148" i="14"/>
  <c r="B147" i="14"/>
  <c r="AX147" i="14"/>
  <c r="AW147" i="14"/>
  <c r="AV147" i="14"/>
  <c r="AU147" i="14"/>
  <c r="AT147" i="14"/>
  <c r="AS147" i="14"/>
  <c r="AR147" i="14"/>
  <c r="AQ147" i="14"/>
  <c r="AP147" i="14"/>
  <c r="AO147" i="14"/>
  <c r="AN147" i="14"/>
  <c r="AM147" i="14"/>
  <c r="AL147" i="14"/>
  <c r="AK147" i="14"/>
  <c r="AJ147" i="14"/>
  <c r="AI147" i="14"/>
  <c r="AH147" i="14"/>
  <c r="AG147" i="14"/>
  <c r="AF147" i="14"/>
  <c r="AE147" i="14"/>
  <c r="AD147" i="14"/>
  <c r="AC147" i="14"/>
  <c r="AB147" i="14"/>
  <c r="AA147" i="14"/>
  <c r="Y147" i="14"/>
  <c r="X147" i="14"/>
  <c r="W147" i="14"/>
  <c r="U147" i="14"/>
  <c r="T147" i="14"/>
  <c r="Q147" i="14"/>
  <c r="S147" i="14"/>
  <c r="P147" i="14"/>
  <c r="R147" i="14"/>
  <c r="M147" i="14"/>
  <c r="L147" i="14"/>
  <c r="K147" i="14"/>
  <c r="J147" i="14"/>
  <c r="I147" i="14"/>
  <c r="H147" i="14" a="1"/>
  <c r="H147" i="14"/>
  <c r="G147" i="14" a="1"/>
  <c r="G147" i="14"/>
  <c r="F147" i="14"/>
  <c r="E147" i="14"/>
  <c r="D147" i="14"/>
  <c r="C147" i="14"/>
  <c r="B146" i="14"/>
  <c r="AX146" i="14"/>
  <c r="AW146" i="14"/>
  <c r="AV146" i="14"/>
  <c r="AU146" i="14"/>
  <c r="AT146" i="14"/>
  <c r="AS146" i="14"/>
  <c r="AR146" i="14"/>
  <c r="AQ146" i="14"/>
  <c r="AP146" i="14"/>
  <c r="AO146" i="14"/>
  <c r="AN146" i="14"/>
  <c r="AM146" i="14"/>
  <c r="AL146" i="14"/>
  <c r="AK146" i="14"/>
  <c r="AJ146" i="14"/>
  <c r="AI146" i="14"/>
  <c r="AH146" i="14"/>
  <c r="AG146" i="14"/>
  <c r="AF146" i="14"/>
  <c r="AE146" i="14"/>
  <c r="AD146" i="14"/>
  <c r="AC146" i="14"/>
  <c r="AB146" i="14"/>
  <c r="AA146" i="14"/>
  <c r="Y146" i="14"/>
  <c r="X146" i="14"/>
  <c r="W146" i="14"/>
  <c r="U146" i="14"/>
  <c r="T146" i="14"/>
  <c r="Q146" i="14"/>
  <c r="S146" i="14"/>
  <c r="P146" i="14"/>
  <c r="R146" i="14"/>
  <c r="M146" i="14"/>
  <c r="L146" i="14"/>
  <c r="K146" i="14"/>
  <c r="J146" i="14"/>
  <c r="I146" i="14"/>
  <c r="H146" i="14" a="1"/>
  <c r="H146" i="14"/>
  <c r="G146" i="14" a="1"/>
  <c r="G146" i="14"/>
  <c r="F146" i="14"/>
  <c r="E146" i="14"/>
  <c r="D146" i="14"/>
  <c r="C146" i="14"/>
  <c r="B145" i="14"/>
  <c r="AX145" i="14"/>
  <c r="AW145" i="14"/>
  <c r="AV145" i="14"/>
  <c r="AU145" i="14"/>
  <c r="AT145" i="14"/>
  <c r="AS145" i="14"/>
  <c r="AR145" i="14"/>
  <c r="AQ145" i="14"/>
  <c r="AP145" i="14"/>
  <c r="AO145" i="14"/>
  <c r="AN145" i="14"/>
  <c r="AM145" i="14"/>
  <c r="AL145" i="14"/>
  <c r="AK145" i="14"/>
  <c r="AJ145" i="14"/>
  <c r="AI145" i="14"/>
  <c r="AH145" i="14"/>
  <c r="AG145" i="14"/>
  <c r="AF145" i="14"/>
  <c r="AE145" i="14"/>
  <c r="AD145" i="14"/>
  <c r="AC145" i="14"/>
  <c r="AB145" i="14"/>
  <c r="AA145" i="14"/>
  <c r="Y145" i="14"/>
  <c r="X145" i="14"/>
  <c r="W145" i="14"/>
  <c r="U145" i="14"/>
  <c r="T145" i="14"/>
  <c r="Q145" i="14"/>
  <c r="S145" i="14"/>
  <c r="P145" i="14"/>
  <c r="R145" i="14"/>
  <c r="M145" i="14"/>
  <c r="L145" i="14"/>
  <c r="K145" i="14"/>
  <c r="J145" i="14"/>
  <c r="I145" i="14"/>
  <c r="H145" i="14" a="1"/>
  <c r="H145" i="14"/>
  <c r="G145" i="14" a="1"/>
  <c r="G145" i="14"/>
  <c r="F145" i="14"/>
  <c r="E145" i="14"/>
  <c r="D145" i="14"/>
  <c r="C145" i="14"/>
  <c r="B144" i="14"/>
  <c r="AX144" i="14"/>
  <c r="AW144" i="14"/>
  <c r="AV144" i="14"/>
  <c r="AU144" i="14"/>
  <c r="AT144" i="14"/>
  <c r="AS144" i="14"/>
  <c r="AR144" i="14"/>
  <c r="AQ144" i="14"/>
  <c r="AP144" i="14"/>
  <c r="AO144" i="14"/>
  <c r="AN144" i="14"/>
  <c r="AM144" i="14"/>
  <c r="AL144" i="14"/>
  <c r="AK144" i="14"/>
  <c r="AJ144" i="14"/>
  <c r="AI144" i="14"/>
  <c r="AH144" i="14"/>
  <c r="AG144" i="14"/>
  <c r="AF144" i="14"/>
  <c r="AE144" i="14"/>
  <c r="AD144" i="14"/>
  <c r="AC144" i="14"/>
  <c r="AB144" i="14"/>
  <c r="AA144" i="14"/>
  <c r="Y144" i="14"/>
  <c r="X144" i="14"/>
  <c r="W144" i="14"/>
  <c r="U144" i="14"/>
  <c r="T144" i="14"/>
  <c r="Q144" i="14"/>
  <c r="S144" i="14"/>
  <c r="P144" i="14"/>
  <c r="R144" i="14"/>
  <c r="M144" i="14"/>
  <c r="L144" i="14"/>
  <c r="K144" i="14"/>
  <c r="J144" i="14"/>
  <c r="I144" i="14"/>
  <c r="H144" i="14" a="1"/>
  <c r="H144" i="14"/>
  <c r="G144" i="14" a="1"/>
  <c r="G144" i="14"/>
  <c r="F144" i="14"/>
  <c r="E144" i="14"/>
  <c r="D144" i="14"/>
  <c r="C144" i="14"/>
  <c r="B143" i="14"/>
  <c r="AX143" i="14"/>
  <c r="AW143" i="14"/>
  <c r="AV143" i="14"/>
  <c r="AU143" i="14"/>
  <c r="AT143" i="14"/>
  <c r="AS143" i="14"/>
  <c r="AR143" i="14"/>
  <c r="AQ143" i="14"/>
  <c r="AP143" i="14"/>
  <c r="AO143" i="14"/>
  <c r="AN143" i="14"/>
  <c r="AM143" i="14"/>
  <c r="AL143" i="14"/>
  <c r="AK143" i="14"/>
  <c r="AJ143" i="14"/>
  <c r="AI143" i="14"/>
  <c r="AH143" i="14"/>
  <c r="AG143" i="14"/>
  <c r="AF143" i="14"/>
  <c r="AE143" i="14"/>
  <c r="AD143" i="14"/>
  <c r="AC143" i="14"/>
  <c r="AB143" i="14"/>
  <c r="AA143" i="14"/>
  <c r="Y143" i="14"/>
  <c r="X143" i="14"/>
  <c r="W143" i="14"/>
  <c r="U143" i="14"/>
  <c r="T143" i="14"/>
  <c r="Q143" i="14"/>
  <c r="S143" i="14"/>
  <c r="P143" i="14"/>
  <c r="R143" i="14"/>
  <c r="M143" i="14"/>
  <c r="L143" i="14"/>
  <c r="K143" i="14"/>
  <c r="J143" i="14"/>
  <c r="I143" i="14"/>
  <c r="H143" i="14" a="1"/>
  <c r="H143" i="14"/>
  <c r="G143" i="14" a="1"/>
  <c r="G143" i="14"/>
  <c r="F143" i="14"/>
  <c r="E143" i="14"/>
  <c r="D143" i="14"/>
  <c r="C143" i="14"/>
  <c r="B142" i="14"/>
  <c r="AX142" i="14"/>
  <c r="AW142" i="14"/>
  <c r="AV142" i="14"/>
  <c r="AU142" i="14"/>
  <c r="AT142" i="14"/>
  <c r="AS142" i="14"/>
  <c r="AR142" i="14"/>
  <c r="AQ142" i="14"/>
  <c r="AP142" i="14"/>
  <c r="AO142" i="14"/>
  <c r="AN142" i="14"/>
  <c r="AM142" i="14"/>
  <c r="AL142" i="14"/>
  <c r="AK142" i="14"/>
  <c r="AJ142" i="14"/>
  <c r="AI142" i="14"/>
  <c r="AH142" i="14"/>
  <c r="AG142" i="14"/>
  <c r="AF142" i="14"/>
  <c r="AE142" i="14"/>
  <c r="AD142" i="14"/>
  <c r="AC142" i="14"/>
  <c r="AB142" i="14"/>
  <c r="AA142" i="14"/>
  <c r="Y142" i="14"/>
  <c r="X142" i="14"/>
  <c r="W142" i="14"/>
  <c r="U142" i="14"/>
  <c r="T142" i="14"/>
  <c r="Q142" i="14"/>
  <c r="S142" i="14"/>
  <c r="P142" i="14"/>
  <c r="R142" i="14"/>
  <c r="M142" i="14"/>
  <c r="L142" i="14"/>
  <c r="K142" i="14"/>
  <c r="J142" i="14"/>
  <c r="I142" i="14"/>
  <c r="H142" i="14" a="1"/>
  <c r="H142" i="14"/>
  <c r="G142" i="14" a="1"/>
  <c r="G142" i="14"/>
  <c r="F142" i="14"/>
  <c r="E142" i="14"/>
  <c r="D142" i="14"/>
  <c r="C142" i="14"/>
  <c r="B141" i="14"/>
  <c r="AX141" i="14"/>
  <c r="AW141" i="14"/>
  <c r="AV141" i="14"/>
  <c r="AU141" i="14"/>
  <c r="AT141" i="14"/>
  <c r="AS141" i="14"/>
  <c r="AR141" i="14"/>
  <c r="AQ141" i="14"/>
  <c r="AP141" i="14"/>
  <c r="AO141" i="14"/>
  <c r="AN141" i="14"/>
  <c r="AM141" i="14"/>
  <c r="AL141" i="14"/>
  <c r="AK141" i="14"/>
  <c r="AJ141" i="14"/>
  <c r="AI141" i="14"/>
  <c r="AH141" i="14"/>
  <c r="AG141" i="14"/>
  <c r="AF141" i="14"/>
  <c r="AE141" i="14"/>
  <c r="AD141" i="14"/>
  <c r="AC141" i="14"/>
  <c r="AB141" i="14"/>
  <c r="AA141" i="14"/>
  <c r="Y141" i="14"/>
  <c r="X141" i="14"/>
  <c r="W141" i="14"/>
  <c r="U141" i="14"/>
  <c r="T141" i="14"/>
  <c r="Q141" i="14"/>
  <c r="S141" i="14"/>
  <c r="P141" i="14"/>
  <c r="R141" i="14"/>
  <c r="M141" i="14"/>
  <c r="L141" i="14"/>
  <c r="K141" i="14"/>
  <c r="J141" i="14"/>
  <c r="I141" i="14"/>
  <c r="H141" i="14" a="1"/>
  <c r="H141" i="14"/>
  <c r="G141" i="14" a="1"/>
  <c r="G141" i="14"/>
  <c r="F141" i="14"/>
  <c r="E141" i="14"/>
  <c r="D141" i="14"/>
  <c r="C141" i="14"/>
  <c r="B140" i="14"/>
  <c r="AX140" i="14"/>
  <c r="AW140" i="14"/>
  <c r="AV140" i="14"/>
  <c r="AU140" i="14"/>
  <c r="AT140" i="14"/>
  <c r="AS140" i="14"/>
  <c r="AR140" i="14"/>
  <c r="AQ140" i="14"/>
  <c r="AP140" i="14"/>
  <c r="AO140" i="14"/>
  <c r="AN140" i="14"/>
  <c r="AM140" i="14"/>
  <c r="AL140" i="14"/>
  <c r="AK140" i="14"/>
  <c r="AJ140" i="14"/>
  <c r="AI140" i="14"/>
  <c r="AH140" i="14"/>
  <c r="AG140" i="14"/>
  <c r="AF140" i="14"/>
  <c r="AE140" i="14"/>
  <c r="AD140" i="14"/>
  <c r="AC140" i="14"/>
  <c r="AB140" i="14"/>
  <c r="AA140" i="14"/>
  <c r="Y140" i="14"/>
  <c r="X140" i="14"/>
  <c r="W140" i="14"/>
  <c r="U140" i="14"/>
  <c r="T140" i="14"/>
  <c r="Q140" i="14"/>
  <c r="S140" i="14"/>
  <c r="P140" i="14"/>
  <c r="R140" i="14"/>
  <c r="M140" i="14"/>
  <c r="L140" i="14"/>
  <c r="K140" i="14"/>
  <c r="J140" i="14"/>
  <c r="I140" i="14"/>
  <c r="H140" i="14" a="1"/>
  <c r="H140" i="14"/>
  <c r="G140" i="14" a="1"/>
  <c r="G140" i="14"/>
  <c r="F140" i="14"/>
  <c r="E140" i="14"/>
  <c r="D140" i="14"/>
  <c r="C140" i="14"/>
  <c r="B139" i="14"/>
  <c r="AX139" i="14"/>
  <c r="AW139" i="14"/>
  <c r="AV139" i="14"/>
  <c r="AU139" i="14"/>
  <c r="AT139" i="14"/>
  <c r="AS139" i="14"/>
  <c r="AR139" i="14"/>
  <c r="AQ139" i="14"/>
  <c r="AP139" i="14"/>
  <c r="AO139" i="14"/>
  <c r="AN139" i="14"/>
  <c r="AM139" i="14"/>
  <c r="AL139" i="14"/>
  <c r="AK139" i="14"/>
  <c r="AJ139" i="14"/>
  <c r="AI139" i="14"/>
  <c r="AH139" i="14"/>
  <c r="AG139" i="14"/>
  <c r="AF139" i="14"/>
  <c r="AE139" i="14"/>
  <c r="AD139" i="14"/>
  <c r="AC139" i="14"/>
  <c r="AB139" i="14"/>
  <c r="AA139" i="14"/>
  <c r="Y139" i="14"/>
  <c r="X139" i="14"/>
  <c r="W139" i="14"/>
  <c r="U139" i="14"/>
  <c r="T139" i="14"/>
  <c r="Q139" i="14"/>
  <c r="S139" i="14"/>
  <c r="P139" i="14"/>
  <c r="R139" i="14"/>
  <c r="M139" i="14"/>
  <c r="L139" i="14"/>
  <c r="K139" i="14"/>
  <c r="J139" i="14"/>
  <c r="I139" i="14"/>
  <c r="H139" i="14" a="1"/>
  <c r="H139" i="14"/>
  <c r="G139" i="14" a="1"/>
  <c r="G139" i="14"/>
  <c r="F139" i="14"/>
  <c r="E139" i="14"/>
  <c r="D139" i="14"/>
  <c r="C139" i="14"/>
  <c r="B138" i="14"/>
  <c r="AX138" i="14"/>
  <c r="AW138" i="14"/>
  <c r="AV138" i="14"/>
  <c r="AU138" i="14"/>
  <c r="AT138" i="14"/>
  <c r="AS138" i="14"/>
  <c r="AR138" i="14"/>
  <c r="AQ138" i="14"/>
  <c r="AP138" i="14"/>
  <c r="AO138" i="14"/>
  <c r="AN138" i="14"/>
  <c r="AM138" i="14"/>
  <c r="AL138" i="14"/>
  <c r="AK138" i="14"/>
  <c r="AJ138" i="14"/>
  <c r="AI138" i="14"/>
  <c r="AH138" i="14"/>
  <c r="AG138" i="14"/>
  <c r="AF138" i="14"/>
  <c r="AE138" i="14"/>
  <c r="AD138" i="14"/>
  <c r="AC138" i="14"/>
  <c r="AB138" i="14"/>
  <c r="AA138" i="14"/>
  <c r="Y138" i="14"/>
  <c r="X138" i="14"/>
  <c r="W138" i="14"/>
  <c r="U138" i="14"/>
  <c r="T138" i="14"/>
  <c r="Q138" i="14"/>
  <c r="S138" i="14"/>
  <c r="P138" i="14"/>
  <c r="R138" i="14"/>
  <c r="M138" i="14"/>
  <c r="L138" i="14"/>
  <c r="K138" i="14"/>
  <c r="J138" i="14"/>
  <c r="I138" i="14"/>
  <c r="H138" i="14" a="1"/>
  <c r="H138" i="14"/>
  <c r="G138" i="14" a="1"/>
  <c r="G138" i="14"/>
  <c r="F138" i="14"/>
  <c r="E138" i="14"/>
  <c r="D138" i="14"/>
  <c r="C138" i="14"/>
  <c r="B137" i="14"/>
  <c r="AX137" i="14"/>
  <c r="AW137" i="14"/>
  <c r="AV137" i="14"/>
  <c r="AU137" i="14"/>
  <c r="AT137" i="14"/>
  <c r="AS137" i="14"/>
  <c r="AR137" i="14"/>
  <c r="AQ137" i="14"/>
  <c r="AP137" i="14"/>
  <c r="AO137" i="14"/>
  <c r="AN137" i="14"/>
  <c r="AM137" i="14"/>
  <c r="AL137" i="14"/>
  <c r="AK137" i="14"/>
  <c r="AJ137" i="14"/>
  <c r="AI137" i="14"/>
  <c r="AH137" i="14"/>
  <c r="AG137" i="14"/>
  <c r="AF137" i="14"/>
  <c r="AE137" i="14"/>
  <c r="AD137" i="14"/>
  <c r="AC137" i="14"/>
  <c r="AB137" i="14"/>
  <c r="AA137" i="14"/>
  <c r="Y137" i="14"/>
  <c r="X137" i="14"/>
  <c r="W137" i="14"/>
  <c r="U137" i="14"/>
  <c r="T137" i="14"/>
  <c r="Q137" i="14"/>
  <c r="S137" i="14"/>
  <c r="P137" i="14"/>
  <c r="R137" i="14"/>
  <c r="M137" i="14"/>
  <c r="L137" i="14"/>
  <c r="K137" i="14"/>
  <c r="J137" i="14"/>
  <c r="I137" i="14"/>
  <c r="H137" i="14" a="1"/>
  <c r="H137" i="14"/>
  <c r="G137" i="14" a="1"/>
  <c r="G137" i="14"/>
  <c r="F137" i="14"/>
  <c r="E137" i="14"/>
  <c r="D137" i="14"/>
  <c r="C137" i="14"/>
  <c r="B136" i="14"/>
  <c r="AX136" i="14"/>
  <c r="AW136" i="14"/>
  <c r="AV136" i="14"/>
  <c r="AU136" i="14"/>
  <c r="AT136" i="14"/>
  <c r="AS136" i="14"/>
  <c r="AR136" i="14"/>
  <c r="AQ136" i="14"/>
  <c r="AP136" i="14"/>
  <c r="AO136" i="14"/>
  <c r="AN136" i="14"/>
  <c r="AM136" i="14"/>
  <c r="AL136" i="14"/>
  <c r="AK136" i="14"/>
  <c r="AJ136" i="14"/>
  <c r="AI136" i="14"/>
  <c r="AH136" i="14"/>
  <c r="AG136" i="14"/>
  <c r="AF136" i="14"/>
  <c r="AE136" i="14"/>
  <c r="AD136" i="14"/>
  <c r="AC136" i="14"/>
  <c r="AB136" i="14"/>
  <c r="AA136" i="14"/>
  <c r="Y136" i="14"/>
  <c r="X136" i="14"/>
  <c r="W136" i="14"/>
  <c r="U136" i="14"/>
  <c r="T136" i="14"/>
  <c r="Q136" i="14"/>
  <c r="S136" i="14"/>
  <c r="P136" i="14"/>
  <c r="R136" i="14"/>
  <c r="M136" i="14"/>
  <c r="L136" i="14"/>
  <c r="K136" i="14"/>
  <c r="J136" i="14"/>
  <c r="I136" i="14"/>
  <c r="H136" i="14" a="1"/>
  <c r="H136" i="14"/>
  <c r="G136" i="14" a="1"/>
  <c r="G136" i="14"/>
  <c r="F136" i="14"/>
  <c r="E136" i="14"/>
  <c r="D136" i="14"/>
  <c r="C136" i="14"/>
  <c r="B135" i="14"/>
  <c r="AX135" i="14"/>
  <c r="AW135" i="14"/>
  <c r="AV135" i="14"/>
  <c r="AU135" i="14"/>
  <c r="AT135" i="14"/>
  <c r="AS135" i="14"/>
  <c r="AR135" i="14"/>
  <c r="AQ135" i="14"/>
  <c r="AP135" i="14"/>
  <c r="AO135" i="14"/>
  <c r="AN135" i="14"/>
  <c r="AM135" i="14"/>
  <c r="AL135" i="14"/>
  <c r="AK135" i="14"/>
  <c r="AJ135" i="14"/>
  <c r="AI135" i="14"/>
  <c r="AH135" i="14"/>
  <c r="AG135" i="14"/>
  <c r="AF135" i="14"/>
  <c r="AE135" i="14"/>
  <c r="AD135" i="14"/>
  <c r="AC135" i="14"/>
  <c r="AB135" i="14"/>
  <c r="AA135" i="14"/>
  <c r="Y135" i="14"/>
  <c r="X135" i="14"/>
  <c r="W135" i="14"/>
  <c r="U135" i="14"/>
  <c r="T135" i="14"/>
  <c r="Q135" i="14"/>
  <c r="S135" i="14"/>
  <c r="P135" i="14"/>
  <c r="R135" i="14"/>
  <c r="M135" i="14"/>
  <c r="L135" i="14"/>
  <c r="K135" i="14"/>
  <c r="J135" i="14"/>
  <c r="I135" i="14"/>
  <c r="H135" i="14" a="1"/>
  <c r="H135" i="14"/>
  <c r="G135" i="14" a="1"/>
  <c r="G135" i="14"/>
  <c r="F135" i="14"/>
  <c r="E135" i="14"/>
  <c r="D135" i="14"/>
  <c r="C135" i="14"/>
  <c r="B134" i="14"/>
  <c r="AX134" i="14"/>
  <c r="AW134" i="14"/>
  <c r="AV134" i="14"/>
  <c r="AU134" i="14"/>
  <c r="AT134" i="14"/>
  <c r="AS134" i="14"/>
  <c r="AR134" i="14"/>
  <c r="AQ134" i="14"/>
  <c r="AP134" i="14"/>
  <c r="AO134" i="14"/>
  <c r="AN134" i="14"/>
  <c r="AM134" i="14"/>
  <c r="AL134" i="14"/>
  <c r="AK134" i="14"/>
  <c r="AJ134" i="14"/>
  <c r="AI134" i="14"/>
  <c r="AH134" i="14"/>
  <c r="AG134" i="14"/>
  <c r="AF134" i="14"/>
  <c r="AE134" i="14"/>
  <c r="AD134" i="14"/>
  <c r="AC134" i="14"/>
  <c r="AB134" i="14"/>
  <c r="AA134" i="14"/>
  <c r="Y134" i="14"/>
  <c r="X134" i="14"/>
  <c r="W134" i="14"/>
  <c r="U134" i="14"/>
  <c r="T134" i="14"/>
  <c r="Q134" i="14"/>
  <c r="S134" i="14"/>
  <c r="P134" i="14"/>
  <c r="R134" i="14"/>
  <c r="M134" i="14"/>
  <c r="L134" i="14"/>
  <c r="K134" i="14"/>
  <c r="J134" i="14"/>
  <c r="I134" i="14"/>
  <c r="H134" i="14" a="1"/>
  <c r="H134" i="14"/>
  <c r="G134" i="14" a="1"/>
  <c r="G134" i="14"/>
  <c r="F134" i="14"/>
  <c r="E134" i="14"/>
  <c r="D134" i="14"/>
  <c r="C134" i="14"/>
  <c r="B133" i="14"/>
  <c r="AX133" i="14"/>
  <c r="AW133" i="14"/>
  <c r="AV133" i="14"/>
  <c r="AU133" i="14"/>
  <c r="AT133" i="14"/>
  <c r="AS133" i="14"/>
  <c r="AR133" i="14"/>
  <c r="AQ133" i="14"/>
  <c r="AP133" i="14"/>
  <c r="AO133" i="14"/>
  <c r="AN133" i="14"/>
  <c r="AM133" i="14"/>
  <c r="AL133" i="14"/>
  <c r="AK133" i="14"/>
  <c r="AJ133" i="14"/>
  <c r="AI133" i="14"/>
  <c r="AH133" i="14"/>
  <c r="AG133" i="14"/>
  <c r="AF133" i="14"/>
  <c r="AE133" i="14"/>
  <c r="AD133" i="14"/>
  <c r="AC133" i="14"/>
  <c r="AB133" i="14"/>
  <c r="AA133" i="14"/>
  <c r="Y133" i="14"/>
  <c r="X133" i="14"/>
  <c r="W133" i="14"/>
  <c r="U133" i="14"/>
  <c r="T133" i="14"/>
  <c r="Q133" i="14"/>
  <c r="S133" i="14"/>
  <c r="P133" i="14"/>
  <c r="R133" i="14"/>
  <c r="M133" i="14"/>
  <c r="L133" i="14"/>
  <c r="K133" i="14"/>
  <c r="J133" i="14"/>
  <c r="I133" i="14"/>
  <c r="H133" i="14" a="1"/>
  <c r="H133" i="14"/>
  <c r="G133" i="14" a="1"/>
  <c r="G133" i="14"/>
  <c r="F133" i="14"/>
  <c r="E133" i="14"/>
  <c r="D133" i="14"/>
  <c r="C133" i="14"/>
  <c r="B132" i="14"/>
  <c r="AX132" i="14"/>
  <c r="AW132" i="14"/>
  <c r="AV132" i="14"/>
  <c r="AU132" i="14"/>
  <c r="AT132" i="14"/>
  <c r="AS132" i="14"/>
  <c r="AR132" i="14"/>
  <c r="AQ132" i="14"/>
  <c r="AP132" i="14"/>
  <c r="AO132" i="14"/>
  <c r="AN132" i="14"/>
  <c r="AM132" i="14"/>
  <c r="AL132" i="14"/>
  <c r="AK132" i="14"/>
  <c r="AJ132" i="14"/>
  <c r="AI132" i="14"/>
  <c r="AH132" i="14"/>
  <c r="AG132" i="14"/>
  <c r="AF132" i="14"/>
  <c r="AE132" i="14"/>
  <c r="AD132" i="14"/>
  <c r="AC132" i="14"/>
  <c r="AB132" i="14"/>
  <c r="AA132" i="14"/>
  <c r="Y132" i="14"/>
  <c r="X132" i="14"/>
  <c r="W132" i="14"/>
  <c r="U132" i="14"/>
  <c r="T132" i="14"/>
  <c r="Q132" i="14"/>
  <c r="S132" i="14"/>
  <c r="P132" i="14"/>
  <c r="R132" i="14"/>
  <c r="M132" i="14"/>
  <c r="L132" i="14"/>
  <c r="K132" i="14"/>
  <c r="J132" i="14"/>
  <c r="I132" i="14"/>
  <c r="H132" i="14" a="1"/>
  <c r="H132" i="14"/>
  <c r="G132" i="14" a="1"/>
  <c r="G132" i="14"/>
  <c r="F132" i="14"/>
  <c r="E132" i="14"/>
  <c r="D132" i="14"/>
  <c r="C132" i="14"/>
  <c r="B131" i="14"/>
  <c r="AX131" i="14"/>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Y131" i="14"/>
  <c r="X131" i="14"/>
  <c r="W131" i="14"/>
  <c r="U131" i="14"/>
  <c r="T131" i="14"/>
  <c r="Q131" i="14"/>
  <c r="S131" i="14"/>
  <c r="P131" i="14"/>
  <c r="R131" i="14"/>
  <c r="M131" i="14"/>
  <c r="L131" i="14"/>
  <c r="K131" i="14"/>
  <c r="J131" i="14"/>
  <c r="I131" i="14"/>
  <c r="H131" i="14" a="1"/>
  <c r="H131" i="14"/>
  <c r="G131" i="14" a="1"/>
  <c r="G131" i="14"/>
  <c r="F131" i="14"/>
  <c r="E131" i="14"/>
  <c r="D131" i="14"/>
  <c r="C131" i="14"/>
  <c r="B130" i="14"/>
  <c r="AX130" i="14"/>
  <c r="AW130" i="14"/>
  <c r="AV130" i="14"/>
  <c r="AU130" i="14"/>
  <c r="AT130" i="14"/>
  <c r="AS130" i="14"/>
  <c r="AR130" i="14"/>
  <c r="AQ130" i="14"/>
  <c r="AP130" i="14"/>
  <c r="AO130" i="14"/>
  <c r="AN130" i="14"/>
  <c r="AM130" i="14"/>
  <c r="AL130" i="14"/>
  <c r="AK130" i="14"/>
  <c r="AJ130" i="14"/>
  <c r="AI130" i="14"/>
  <c r="AH130" i="14"/>
  <c r="AG130" i="14"/>
  <c r="AF130" i="14"/>
  <c r="AE130" i="14"/>
  <c r="AD130" i="14"/>
  <c r="AC130" i="14"/>
  <c r="AB130" i="14"/>
  <c r="AA130" i="14"/>
  <c r="Y130" i="14"/>
  <c r="X130" i="14"/>
  <c r="W130" i="14"/>
  <c r="U130" i="14"/>
  <c r="T130" i="14"/>
  <c r="Q130" i="14"/>
  <c r="S130" i="14"/>
  <c r="P130" i="14"/>
  <c r="R130" i="14"/>
  <c r="M130" i="14"/>
  <c r="L130" i="14"/>
  <c r="K130" i="14"/>
  <c r="J130" i="14"/>
  <c r="I130" i="14"/>
  <c r="H130" i="14" a="1"/>
  <c r="H130" i="14"/>
  <c r="G130" i="14" a="1"/>
  <c r="G130" i="14"/>
  <c r="F130" i="14"/>
  <c r="E130" i="14"/>
  <c r="D130" i="14"/>
  <c r="C130" i="14"/>
  <c r="B129" i="14"/>
  <c r="AX129" i="14"/>
  <c r="AW129" i="14"/>
  <c r="AV129" i="14"/>
  <c r="AU129" i="14"/>
  <c r="AT129" i="14"/>
  <c r="AS129" i="14"/>
  <c r="AR129" i="14"/>
  <c r="AQ129" i="14"/>
  <c r="AP129" i="14"/>
  <c r="AO129" i="14"/>
  <c r="AN129" i="14"/>
  <c r="AM129" i="14"/>
  <c r="AL129" i="14"/>
  <c r="AK129" i="14"/>
  <c r="AJ129" i="14"/>
  <c r="AI129" i="14"/>
  <c r="AH129" i="14"/>
  <c r="AG129" i="14"/>
  <c r="AF129" i="14"/>
  <c r="AE129" i="14"/>
  <c r="AD129" i="14"/>
  <c r="AC129" i="14"/>
  <c r="AB129" i="14"/>
  <c r="AA129" i="14"/>
  <c r="Y129" i="14"/>
  <c r="X129" i="14"/>
  <c r="W129" i="14"/>
  <c r="U129" i="14"/>
  <c r="T129" i="14"/>
  <c r="Q129" i="14"/>
  <c r="S129" i="14"/>
  <c r="P129" i="14"/>
  <c r="R129" i="14"/>
  <c r="M129" i="14"/>
  <c r="L129" i="14"/>
  <c r="K129" i="14"/>
  <c r="J129" i="14"/>
  <c r="I129" i="14"/>
  <c r="H129" i="14" a="1"/>
  <c r="H129" i="14"/>
  <c r="G129" i="14" a="1"/>
  <c r="G129" i="14"/>
  <c r="F129" i="14"/>
  <c r="E129" i="14"/>
  <c r="D129" i="14"/>
  <c r="C129" i="14"/>
  <c r="B128" i="14"/>
  <c r="AX128" i="14"/>
  <c r="AW128" i="14"/>
  <c r="AV128" i="14"/>
  <c r="AU128" i="14"/>
  <c r="AT128" i="14"/>
  <c r="AS128" i="14"/>
  <c r="AR128" i="14"/>
  <c r="AQ128" i="14"/>
  <c r="AP128" i="14"/>
  <c r="AO128" i="14"/>
  <c r="AN128" i="14"/>
  <c r="AM128" i="14"/>
  <c r="AL128" i="14"/>
  <c r="AK128" i="14"/>
  <c r="AJ128" i="14"/>
  <c r="AI128" i="14"/>
  <c r="AH128" i="14"/>
  <c r="AG128" i="14"/>
  <c r="AF128" i="14"/>
  <c r="AE128" i="14"/>
  <c r="AD128" i="14"/>
  <c r="AC128" i="14"/>
  <c r="AB128" i="14"/>
  <c r="AA128" i="14"/>
  <c r="Y128" i="14"/>
  <c r="X128" i="14"/>
  <c r="W128" i="14"/>
  <c r="U128" i="14"/>
  <c r="T128" i="14"/>
  <c r="Q128" i="14"/>
  <c r="S128" i="14"/>
  <c r="P128" i="14"/>
  <c r="R128" i="14"/>
  <c r="M128" i="14"/>
  <c r="L128" i="14"/>
  <c r="K128" i="14"/>
  <c r="J128" i="14"/>
  <c r="I128" i="14"/>
  <c r="H128" i="14" a="1"/>
  <c r="H128" i="14"/>
  <c r="G128" i="14" a="1"/>
  <c r="G128" i="14"/>
  <c r="F128" i="14"/>
  <c r="E128" i="14"/>
  <c r="D128" i="14"/>
  <c r="C128" i="14"/>
  <c r="B127" i="14"/>
  <c r="AX127" i="14"/>
  <c r="AW127" i="14"/>
  <c r="AV127" i="14"/>
  <c r="AU127" i="14"/>
  <c r="AT127" i="14"/>
  <c r="AS127" i="14"/>
  <c r="AR127" i="14"/>
  <c r="AQ127" i="14"/>
  <c r="AP127" i="14"/>
  <c r="AO127" i="14"/>
  <c r="AN127" i="14"/>
  <c r="AM127" i="14"/>
  <c r="AL127" i="14"/>
  <c r="AK127" i="14"/>
  <c r="AJ127" i="14"/>
  <c r="AI127" i="14"/>
  <c r="AH127" i="14"/>
  <c r="AG127" i="14"/>
  <c r="AF127" i="14"/>
  <c r="AE127" i="14"/>
  <c r="AD127" i="14"/>
  <c r="AC127" i="14"/>
  <c r="AB127" i="14"/>
  <c r="AA127" i="14"/>
  <c r="Y127" i="14"/>
  <c r="X127" i="14"/>
  <c r="W127" i="14"/>
  <c r="U127" i="14"/>
  <c r="T127" i="14"/>
  <c r="Q127" i="14"/>
  <c r="S127" i="14"/>
  <c r="P127" i="14"/>
  <c r="R127" i="14"/>
  <c r="M127" i="14"/>
  <c r="L127" i="14"/>
  <c r="K127" i="14"/>
  <c r="J127" i="14"/>
  <c r="I127" i="14"/>
  <c r="H127" i="14" a="1"/>
  <c r="H127" i="14"/>
  <c r="G127" i="14" a="1"/>
  <c r="G127" i="14"/>
  <c r="F127" i="14"/>
  <c r="E127" i="14"/>
  <c r="D127" i="14"/>
  <c r="C127" i="14"/>
  <c r="B126" i="14"/>
  <c r="AX126" i="14"/>
  <c r="AW126" i="14"/>
  <c r="AV126" i="14"/>
  <c r="AU126" i="14"/>
  <c r="AT126" i="14"/>
  <c r="AS126" i="14"/>
  <c r="AR126" i="14"/>
  <c r="AQ126" i="14"/>
  <c r="AP126" i="14"/>
  <c r="AO126" i="14"/>
  <c r="AN126" i="14"/>
  <c r="AM126" i="14"/>
  <c r="AL126" i="14"/>
  <c r="AK126" i="14"/>
  <c r="AJ126" i="14"/>
  <c r="AI126" i="14"/>
  <c r="AH126" i="14"/>
  <c r="AG126" i="14"/>
  <c r="AF126" i="14"/>
  <c r="AE126" i="14"/>
  <c r="AD126" i="14"/>
  <c r="AC126" i="14"/>
  <c r="AB126" i="14"/>
  <c r="AA126" i="14"/>
  <c r="Y126" i="14"/>
  <c r="X126" i="14"/>
  <c r="W126" i="14"/>
  <c r="U126" i="14"/>
  <c r="T126" i="14"/>
  <c r="Q126" i="14"/>
  <c r="S126" i="14"/>
  <c r="P126" i="14"/>
  <c r="R126" i="14"/>
  <c r="M126" i="14"/>
  <c r="L126" i="14"/>
  <c r="K126" i="14"/>
  <c r="J126" i="14"/>
  <c r="I126" i="14"/>
  <c r="H126" i="14" a="1"/>
  <c r="H126" i="14"/>
  <c r="G126" i="14" a="1"/>
  <c r="G126" i="14"/>
  <c r="F126" i="14"/>
  <c r="E126" i="14"/>
  <c r="D126" i="14"/>
  <c r="C126" i="14"/>
  <c r="B125" i="14"/>
  <c r="AX125" i="14"/>
  <c r="AW125" i="14"/>
  <c r="AV125" i="14"/>
  <c r="AU125" i="14"/>
  <c r="AT125" i="14"/>
  <c r="AS125" i="14"/>
  <c r="AR125" i="14"/>
  <c r="AQ125" i="14"/>
  <c r="AP125" i="14"/>
  <c r="AO125" i="14"/>
  <c r="AN125" i="14"/>
  <c r="AM125" i="14"/>
  <c r="AL125" i="14"/>
  <c r="AK125" i="14"/>
  <c r="AJ125" i="14"/>
  <c r="AI125" i="14"/>
  <c r="AH125" i="14"/>
  <c r="AG125" i="14"/>
  <c r="AF125" i="14"/>
  <c r="AE125" i="14"/>
  <c r="AD125" i="14"/>
  <c r="AC125" i="14"/>
  <c r="AB125" i="14"/>
  <c r="AA125" i="14"/>
  <c r="Y125" i="14"/>
  <c r="X125" i="14"/>
  <c r="W125" i="14"/>
  <c r="U125" i="14"/>
  <c r="T125" i="14"/>
  <c r="Q125" i="14"/>
  <c r="S125" i="14"/>
  <c r="P125" i="14"/>
  <c r="R125" i="14"/>
  <c r="M125" i="14"/>
  <c r="L125" i="14"/>
  <c r="K125" i="14"/>
  <c r="J125" i="14"/>
  <c r="I125" i="14"/>
  <c r="H125" i="14" a="1"/>
  <c r="H125" i="14"/>
  <c r="G125" i="14" a="1"/>
  <c r="G125" i="14"/>
  <c r="F125" i="14"/>
  <c r="E125" i="14"/>
  <c r="D125" i="14"/>
  <c r="C125" i="14"/>
  <c r="B124" i="14"/>
  <c r="AX124" i="14"/>
  <c r="AW124" i="14"/>
  <c r="AV124" i="14"/>
  <c r="AU124" i="14"/>
  <c r="AT124" i="14"/>
  <c r="AS124" i="14"/>
  <c r="AR124" i="14"/>
  <c r="AQ124" i="14"/>
  <c r="AP124" i="14"/>
  <c r="AO124" i="14"/>
  <c r="AN124" i="14"/>
  <c r="AM124" i="14"/>
  <c r="AL124" i="14"/>
  <c r="AK124" i="14"/>
  <c r="AJ124" i="14"/>
  <c r="AI124" i="14"/>
  <c r="AH124" i="14"/>
  <c r="AG124" i="14"/>
  <c r="AF124" i="14"/>
  <c r="AE124" i="14"/>
  <c r="AD124" i="14"/>
  <c r="AC124" i="14"/>
  <c r="AB124" i="14"/>
  <c r="AA124" i="14"/>
  <c r="Y124" i="14"/>
  <c r="X124" i="14"/>
  <c r="W124" i="14"/>
  <c r="U124" i="14"/>
  <c r="T124" i="14"/>
  <c r="Q124" i="14"/>
  <c r="S124" i="14"/>
  <c r="P124" i="14"/>
  <c r="R124" i="14"/>
  <c r="M124" i="14"/>
  <c r="L124" i="14"/>
  <c r="K124" i="14"/>
  <c r="J124" i="14"/>
  <c r="I124" i="14"/>
  <c r="H124" i="14" a="1"/>
  <c r="H124" i="14"/>
  <c r="G124" i="14" a="1"/>
  <c r="G124" i="14"/>
  <c r="F124" i="14"/>
  <c r="E124" i="14"/>
  <c r="D124" i="14"/>
  <c r="C124" i="14"/>
  <c r="B123" i="14"/>
  <c r="AX123" i="14"/>
  <c r="AW123" i="14"/>
  <c r="AV123" i="14"/>
  <c r="AU123" i="14"/>
  <c r="AT123" i="14"/>
  <c r="AS123" i="14"/>
  <c r="AR123" i="14"/>
  <c r="AQ123" i="14"/>
  <c r="AP123" i="14"/>
  <c r="AO123" i="14"/>
  <c r="AN123" i="14"/>
  <c r="AM123" i="14"/>
  <c r="AL123" i="14"/>
  <c r="AK123" i="14"/>
  <c r="AJ123" i="14"/>
  <c r="AI123" i="14"/>
  <c r="AH123" i="14"/>
  <c r="AG123" i="14"/>
  <c r="AF123" i="14"/>
  <c r="AE123" i="14"/>
  <c r="AD123" i="14"/>
  <c r="AC123" i="14"/>
  <c r="AB123" i="14"/>
  <c r="AA123" i="14"/>
  <c r="Y123" i="14"/>
  <c r="X123" i="14"/>
  <c r="W123" i="14"/>
  <c r="U123" i="14"/>
  <c r="T123" i="14"/>
  <c r="Q123" i="14"/>
  <c r="S123" i="14"/>
  <c r="P123" i="14"/>
  <c r="R123" i="14"/>
  <c r="M123" i="14"/>
  <c r="L123" i="14"/>
  <c r="K123" i="14"/>
  <c r="J123" i="14"/>
  <c r="I123" i="14"/>
  <c r="H123" i="14" a="1"/>
  <c r="H123" i="14"/>
  <c r="G123" i="14" a="1"/>
  <c r="G123" i="14"/>
  <c r="F123" i="14"/>
  <c r="E123" i="14"/>
  <c r="D123" i="14"/>
  <c r="C123" i="14"/>
  <c r="B122" i="14"/>
  <c r="AX122" i="14"/>
  <c r="AW122" i="14"/>
  <c r="AV122" i="14"/>
  <c r="AU122" i="14"/>
  <c r="AT122" i="14"/>
  <c r="AS122" i="14"/>
  <c r="AR122" i="14"/>
  <c r="AQ122" i="14"/>
  <c r="AP122" i="14"/>
  <c r="AO122" i="14"/>
  <c r="AN122" i="14"/>
  <c r="AM122" i="14"/>
  <c r="AL122" i="14"/>
  <c r="AK122" i="14"/>
  <c r="AJ122" i="14"/>
  <c r="AI122" i="14"/>
  <c r="AH122" i="14"/>
  <c r="AG122" i="14"/>
  <c r="AF122" i="14"/>
  <c r="AE122" i="14"/>
  <c r="AD122" i="14"/>
  <c r="AC122" i="14"/>
  <c r="AB122" i="14"/>
  <c r="AA122" i="14"/>
  <c r="Y122" i="14"/>
  <c r="X122" i="14"/>
  <c r="W122" i="14"/>
  <c r="U122" i="14"/>
  <c r="T122" i="14"/>
  <c r="Q122" i="14"/>
  <c r="S122" i="14"/>
  <c r="P122" i="14"/>
  <c r="R122" i="14"/>
  <c r="M122" i="14"/>
  <c r="L122" i="14"/>
  <c r="K122" i="14"/>
  <c r="J122" i="14"/>
  <c r="I122" i="14"/>
  <c r="H122" i="14" a="1"/>
  <c r="H122" i="14"/>
  <c r="G122" i="14" a="1"/>
  <c r="G122" i="14"/>
  <c r="F122" i="14"/>
  <c r="E122" i="14"/>
  <c r="D122" i="14"/>
  <c r="C122" i="14"/>
  <c r="B121" i="14"/>
  <c r="AX121" i="14"/>
  <c r="AW121" i="14"/>
  <c r="AV121" i="14"/>
  <c r="AU121" i="14"/>
  <c r="AT121" i="14"/>
  <c r="AS121" i="14"/>
  <c r="AR121" i="14"/>
  <c r="AQ121" i="14"/>
  <c r="AP121" i="14"/>
  <c r="AO121" i="14"/>
  <c r="AN121" i="14"/>
  <c r="AM121" i="14"/>
  <c r="AL121" i="14"/>
  <c r="AK121" i="14"/>
  <c r="AJ121" i="14"/>
  <c r="AI121" i="14"/>
  <c r="AH121" i="14"/>
  <c r="AG121" i="14"/>
  <c r="AF121" i="14"/>
  <c r="AE121" i="14"/>
  <c r="AD121" i="14"/>
  <c r="AC121" i="14"/>
  <c r="AB121" i="14"/>
  <c r="AA121" i="14"/>
  <c r="Y121" i="14"/>
  <c r="X121" i="14"/>
  <c r="W121" i="14"/>
  <c r="U121" i="14"/>
  <c r="T121" i="14"/>
  <c r="Q121" i="14"/>
  <c r="S121" i="14"/>
  <c r="P121" i="14"/>
  <c r="R121" i="14"/>
  <c r="M121" i="14"/>
  <c r="L121" i="14"/>
  <c r="K121" i="14"/>
  <c r="J121" i="14"/>
  <c r="I121" i="14"/>
  <c r="H121" i="14" a="1"/>
  <c r="H121" i="14"/>
  <c r="G121" i="14" a="1"/>
  <c r="G121" i="14"/>
  <c r="F121" i="14"/>
  <c r="E121" i="14"/>
  <c r="D121" i="14"/>
  <c r="C121" i="14"/>
  <c r="B120" i="14"/>
  <c r="AX120" i="14"/>
  <c r="AW120" i="14"/>
  <c r="AV120" i="14"/>
  <c r="AU120" i="14"/>
  <c r="AT120" i="14"/>
  <c r="AS120" i="14"/>
  <c r="AR120" i="14"/>
  <c r="AQ120" i="14"/>
  <c r="AP120" i="14"/>
  <c r="AO120" i="14"/>
  <c r="AN120" i="14"/>
  <c r="AM120" i="14"/>
  <c r="AL120" i="14"/>
  <c r="AK120" i="14"/>
  <c r="AJ120" i="14"/>
  <c r="AI120" i="14"/>
  <c r="AH120" i="14"/>
  <c r="AG120" i="14"/>
  <c r="AF120" i="14"/>
  <c r="AE120" i="14"/>
  <c r="AD120" i="14"/>
  <c r="AC120" i="14"/>
  <c r="AB120" i="14"/>
  <c r="AA120" i="14"/>
  <c r="Y120" i="14"/>
  <c r="X120" i="14"/>
  <c r="W120" i="14"/>
  <c r="U120" i="14"/>
  <c r="T120" i="14"/>
  <c r="Q120" i="14"/>
  <c r="S120" i="14"/>
  <c r="P120" i="14"/>
  <c r="R120" i="14"/>
  <c r="M120" i="14"/>
  <c r="L120" i="14"/>
  <c r="K120" i="14"/>
  <c r="J120" i="14"/>
  <c r="I120" i="14"/>
  <c r="H120" i="14" a="1"/>
  <c r="H120" i="14"/>
  <c r="G120" i="14" a="1"/>
  <c r="G120" i="14"/>
  <c r="F120" i="14"/>
  <c r="E120" i="14"/>
  <c r="D120" i="14"/>
  <c r="C120" i="14"/>
  <c r="B119" i="14"/>
  <c r="AX119" i="14"/>
  <c r="AW119" i="14"/>
  <c r="AV119" i="14"/>
  <c r="AU119" i="14"/>
  <c r="AT119" i="14"/>
  <c r="AS119" i="14"/>
  <c r="AR119" i="14"/>
  <c r="AQ119" i="14"/>
  <c r="AP119" i="14"/>
  <c r="AO119" i="14"/>
  <c r="AN119" i="14"/>
  <c r="AM119" i="14"/>
  <c r="AL119" i="14"/>
  <c r="AK119" i="14"/>
  <c r="AJ119" i="14"/>
  <c r="AI119" i="14"/>
  <c r="AH119" i="14"/>
  <c r="AG119" i="14"/>
  <c r="AF119" i="14"/>
  <c r="AE119" i="14"/>
  <c r="AD119" i="14"/>
  <c r="AC119" i="14"/>
  <c r="AB119" i="14"/>
  <c r="AA119" i="14"/>
  <c r="Y119" i="14"/>
  <c r="X119" i="14"/>
  <c r="W119" i="14"/>
  <c r="U119" i="14"/>
  <c r="T119" i="14"/>
  <c r="Q119" i="14"/>
  <c r="S119" i="14"/>
  <c r="P119" i="14"/>
  <c r="R119" i="14"/>
  <c r="M119" i="14"/>
  <c r="L119" i="14"/>
  <c r="K119" i="14"/>
  <c r="J119" i="14"/>
  <c r="I119" i="14"/>
  <c r="H119" i="14" a="1"/>
  <c r="H119" i="14"/>
  <c r="G119" i="14" a="1"/>
  <c r="G119" i="14"/>
  <c r="F119" i="14"/>
  <c r="E119" i="14"/>
  <c r="D119" i="14"/>
  <c r="C119" i="14"/>
  <c r="B118" i="14"/>
  <c r="AX118" i="14"/>
  <c r="AW118" i="14"/>
  <c r="AV118" i="14"/>
  <c r="AU118" i="14"/>
  <c r="AT118" i="14"/>
  <c r="AS118" i="14"/>
  <c r="AR118" i="14"/>
  <c r="AQ118" i="14"/>
  <c r="AP118" i="14"/>
  <c r="AO118" i="14"/>
  <c r="AN118" i="14"/>
  <c r="AM118" i="14"/>
  <c r="AL118" i="14"/>
  <c r="AK118" i="14"/>
  <c r="AJ118" i="14"/>
  <c r="AI118" i="14"/>
  <c r="AH118" i="14"/>
  <c r="AG118" i="14"/>
  <c r="AF118" i="14"/>
  <c r="AE118" i="14"/>
  <c r="AD118" i="14"/>
  <c r="AC118" i="14"/>
  <c r="AB118" i="14"/>
  <c r="AA118" i="14"/>
  <c r="Y118" i="14"/>
  <c r="X118" i="14"/>
  <c r="W118" i="14"/>
  <c r="U118" i="14"/>
  <c r="T118" i="14"/>
  <c r="Q118" i="14"/>
  <c r="S118" i="14"/>
  <c r="P118" i="14"/>
  <c r="R118" i="14"/>
  <c r="M118" i="14"/>
  <c r="L118" i="14"/>
  <c r="K118" i="14"/>
  <c r="J118" i="14"/>
  <c r="I118" i="14"/>
  <c r="H118" i="14" a="1"/>
  <c r="H118" i="14"/>
  <c r="G118" i="14" a="1"/>
  <c r="G118" i="14"/>
  <c r="F118" i="14"/>
  <c r="E118" i="14"/>
  <c r="D118" i="14"/>
  <c r="C118" i="14"/>
  <c r="B117" i="14"/>
  <c r="AX117" i="14"/>
  <c r="AW117" i="14"/>
  <c r="AV117" i="14"/>
  <c r="AU117" i="14"/>
  <c r="AT117" i="14"/>
  <c r="AS117" i="14"/>
  <c r="AR117" i="14"/>
  <c r="AQ117" i="14"/>
  <c r="AP117" i="14"/>
  <c r="AO117" i="14"/>
  <c r="AN117" i="14"/>
  <c r="AM117" i="14"/>
  <c r="AL117" i="14"/>
  <c r="AK117" i="14"/>
  <c r="AJ117" i="14"/>
  <c r="AI117" i="14"/>
  <c r="AH117" i="14"/>
  <c r="AG117" i="14"/>
  <c r="AF117" i="14"/>
  <c r="AE117" i="14"/>
  <c r="AD117" i="14"/>
  <c r="AC117" i="14"/>
  <c r="AB117" i="14"/>
  <c r="AA117" i="14"/>
  <c r="Y117" i="14"/>
  <c r="X117" i="14"/>
  <c r="W117" i="14"/>
  <c r="U117" i="14"/>
  <c r="T117" i="14"/>
  <c r="Q117" i="14"/>
  <c r="S117" i="14"/>
  <c r="P117" i="14"/>
  <c r="R117" i="14"/>
  <c r="M117" i="14"/>
  <c r="L117" i="14"/>
  <c r="K117" i="14"/>
  <c r="J117" i="14"/>
  <c r="I117" i="14"/>
  <c r="H117" i="14" a="1"/>
  <c r="H117" i="14"/>
  <c r="G117" i="14" a="1"/>
  <c r="G117" i="14"/>
  <c r="F117" i="14"/>
  <c r="E117" i="14"/>
  <c r="D117" i="14"/>
  <c r="C117" i="14"/>
  <c r="B116" i="14"/>
  <c r="AX116" i="14"/>
  <c r="AW116" i="14"/>
  <c r="AV116" i="14"/>
  <c r="AU116" i="14"/>
  <c r="AT116" i="14"/>
  <c r="AS116" i="14"/>
  <c r="AR116" i="14"/>
  <c r="AQ116" i="14"/>
  <c r="AP116" i="14"/>
  <c r="AO116" i="14"/>
  <c r="AN116" i="14"/>
  <c r="AM116" i="14"/>
  <c r="AL116" i="14"/>
  <c r="AK116" i="14"/>
  <c r="AJ116" i="14"/>
  <c r="AI116" i="14"/>
  <c r="AH116" i="14"/>
  <c r="AG116" i="14"/>
  <c r="AF116" i="14"/>
  <c r="AE116" i="14"/>
  <c r="AD116" i="14"/>
  <c r="AC116" i="14"/>
  <c r="AB116" i="14"/>
  <c r="AA116" i="14"/>
  <c r="Y116" i="14"/>
  <c r="X116" i="14"/>
  <c r="W116" i="14"/>
  <c r="U116" i="14"/>
  <c r="T116" i="14"/>
  <c r="Q116" i="14"/>
  <c r="S116" i="14"/>
  <c r="P116" i="14"/>
  <c r="R116" i="14"/>
  <c r="M116" i="14"/>
  <c r="L116" i="14"/>
  <c r="K116" i="14"/>
  <c r="J116" i="14"/>
  <c r="I116" i="14"/>
  <c r="H116" i="14" a="1"/>
  <c r="H116" i="14"/>
  <c r="G116" i="14" a="1"/>
  <c r="G116" i="14"/>
  <c r="F116" i="14"/>
  <c r="E116" i="14"/>
  <c r="D116" i="14"/>
  <c r="C116" i="14"/>
  <c r="B115" i="14"/>
  <c r="AX115" i="14"/>
  <c r="AW115" i="14"/>
  <c r="AV115" i="14"/>
  <c r="AU115" i="14"/>
  <c r="AT115" i="14"/>
  <c r="AS115" i="14"/>
  <c r="AR115" i="14"/>
  <c r="AQ115" i="14"/>
  <c r="AP115" i="14"/>
  <c r="AO115" i="14"/>
  <c r="AN115" i="14"/>
  <c r="AM115" i="14"/>
  <c r="AL115" i="14"/>
  <c r="AK115" i="14"/>
  <c r="AJ115" i="14"/>
  <c r="AI115" i="14"/>
  <c r="AH115" i="14"/>
  <c r="AG115" i="14"/>
  <c r="AF115" i="14"/>
  <c r="AE115" i="14"/>
  <c r="AD115" i="14"/>
  <c r="AC115" i="14"/>
  <c r="AB115" i="14"/>
  <c r="AA115" i="14"/>
  <c r="Y115" i="14"/>
  <c r="X115" i="14"/>
  <c r="W115" i="14"/>
  <c r="U115" i="14"/>
  <c r="T115" i="14"/>
  <c r="Q115" i="14"/>
  <c r="S115" i="14"/>
  <c r="P115" i="14"/>
  <c r="R115" i="14"/>
  <c r="M115" i="14"/>
  <c r="L115" i="14"/>
  <c r="K115" i="14"/>
  <c r="J115" i="14"/>
  <c r="I115" i="14"/>
  <c r="H115" i="14" a="1"/>
  <c r="H115" i="14"/>
  <c r="G115" i="14" a="1"/>
  <c r="G115" i="14"/>
  <c r="F115" i="14"/>
  <c r="E115" i="14"/>
  <c r="D115" i="14"/>
  <c r="C115" i="14"/>
  <c r="B114" i="14"/>
  <c r="AX114" i="14"/>
  <c r="AW114" i="14"/>
  <c r="AV114" i="14"/>
  <c r="AU114" i="14"/>
  <c r="AT114" i="14"/>
  <c r="AS114" i="14"/>
  <c r="AR114" i="14"/>
  <c r="AQ114" i="14"/>
  <c r="AP114" i="14"/>
  <c r="AO114" i="14"/>
  <c r="AN114" i="14"/>
  <c r="AM114" i="14"/>
  <c r="AL114" i="14"/>
  <c r="AK114" i="14"/>
  <c r="AJ114" i="14"/>
  <c r="AI114" i="14"/>
  <c r="AH114" i="14"/>
  <c r="AG114" i="14"/>
  <c r="AF114" i="14"/>
  <c r="AE114" i="14"/>
  <c r="AD114" i="14"/>
  <c r="AC114" i="14"/>
  <c r="AB114" i="14"/>
  <c r="AA114" i="14"/>
  <c r="Y114" i="14"/>
  <c r="X114" i="14"/>
  <c r="W114" i="14"/>
  <c r="U114" i="14"/>
  <c r="T114" i="14"/>
  <c r="Q114" i="14"/>
  <c r="S114" i="14"/>
  <c r="P114" i="14"/>
  <c r="R114" i="14"/>
  <c r="M114" i="14"/>
  <c r="L114" i="14"/>
  <c r="K114" i="14"/>
  <c r="J114" i="14"/>
  <c r="I114" i="14"/>
  <c r="H114" i="14" a="1"/>
  <c r="H114" i="14"/>
  <c r="G114" i="14" a="1"/>
  <c r="G114" i="14"/>
  <c r="F114" i="14"/>
  <c r="E114" i="14"/>
  <c r="D114" i="14"/>
  <c r="C114" i="14"/>
  <c r="B113" i="14"/>
  <c r="AX113" i="14"/>
  <c r="AW113" i="14"/>
  <c r="AV113" i="14"/>
  <c r="AU113" i="14"/>
  <c r="AT113" i="14"/>
  <c r="AS113" i="14"/>
  <c r="AR113" i="14"/>
  <c r="AQ113" i="14"/>
  <c r="AP113" i="14"/>
  <c r="AO113" i="14"/>
  <c r="AN113" i="14"/>
  <c r="AM113" i="14"/>
  <c r="AL113" i="14"/>
  <c r="AK113" i="14"/>
  <c r="AJ113" i="14"/>
  <c r="AI113" i="14"/>
  <c r="AH113" i="14"/>
  <c r="AG113" i="14"/>
  <c r="AF113" i="14"/>
  <c r="AE113" i="14"/>
  <c r="AD113" i="14"/>
  <c r="AC113" i="14"/>
  <c r="AB113" i="14"/>
  <c r="AA113" i="14"/>
  <c r="Y113" i="14"/>
  <c r="X113" i="14"/>
  <c r="W113" i="14"/>
  <c r="U113" i="14"/>
  <c r="T113" i="14"/>
  <c r="Q113" i="14"/>
  <c r="S113" i="14"/>
  <c r="P113" i="14"/>
  <c r="R113" i="14"/>
  <c r="M113" i="14"/>
  <c r="L113" i="14"/>
  <c r="K113" i="14"/>
  <c r="J113" i="14"/>
  <c r="I113" i="14"/>
  <c r="H113" i="14" a="1"/>
  <c r="H113" i="14"/>
  <c r="G113" i="14" a="1"/>
  <c r="G113" i="14"/>
  <c r="F113" i="14"/>
  <c r="E113" i="14"/>
  <c r="D113" i="14"/>
  <c r="C113" i="14"/>
  <c r="B112" i="14"/>
  <c r="AX112" i="14"/>
  <c r="AW112" i="14"/>
  <c r="AV112" i="14"/>
  <c r="AU112" i="14"/>
  <c r="AT112" i="14"/>
  <c r="AS112" i="14"/>
  <c r="AR112" i="14"/>
  <c r="AQ112" i="14"/>
  <c r="AP112" i="14"/>
  <c r="AO112" i="14"/>
  <c r="AN112" i="14"/>
  <c r="AM112" i="14"/>
  <c r="AL112" i="14"/>
  <c r="AK112" i="14"/>
  <c r="AJ112" i="14"/>
  <c r="AI112" i="14"/>
  <c r="AH112" i="14"/>
  <c r="AG112" i="14"/>
  <c r="AF112" i="14"/>
  <c r="AE112" i="14"/>
  <c r="AD112" i="14"/>
  <c r="AC112" i="14"/>
  <c r="AB112" i="14"/>
  <c r="AA112" i="14"/>
  <c r="Y112" i="14"/>
  <c r="X112" i="14"/>
  <c r="W112" i="14"/>
  <c r="U112" i="14"/>
  <c r="T112" i="14"/>
  <c r="Q112" i="14"/>
  <c r="S112" i="14"/>
  <c r="P112" i="14"/>
  <c r="R112" i="14"/>
  <c r="M112" i="14"/>
  <c r="L112" i="14"/>
  <c r="K112" i="14"/>
  <c r="J112" i="14"/>
  <c r="I112" i="14"/>
  <c r="H112" i="14" a="1"/>
  <c r="H112" i="14"/>
  <c r="G112" i="14" a="1"/>
  <c r="G112" i="14"/>
  <c r="F112" i="14"/>
  <c r="E112" i="14"/>
  <c r="D112" i="14"/>
  <c r="C112" i="14"/>
  <c r="B111" i="14"/>
  <c r="AX111" i="14"/>
  <c r="AW111" i="14"/>
  <c r="AV111" i="14"/>
  <c r="AU111" i="14"/>
  <c r="AT111" i="14"/>
  <c r="AS111" i="14"/>
  <c r="AR111" i="14"/>
  <c r="AQ111" i="14"/>
  <c r="AP111" i="14"/>
  <c r="AO111" i="14"/>
  <c r="AN111" i="14"/>
  <c r="AM111" i="14"/>
  <c r="AL111" i="14"/>
  <c r="AK111" i="14"/>
  <c r="AJ111" i="14"/>
  <c r="AI111" i="14"/>
  <c r="AH111" i="14"/>
  <c r="AG111" i="14"/>
  <c r="AF111" i="14"/>
  <c r="AE111" i="14"/>
  <c r="AD111" i="14"/>
  <c r="AC111" i="14"/>
  <c r="AB111" i="14"/>
  <c r="AA111" i="14"/>
  <c r="Y111" i="14"/>
  <c r="X111" i="14"/>
  <c r="W111" i="14"/>
  <c r="U111" i="14"/>
  <c r="T111" i="14"/>
  <c r="Q111" i="14"/>
  <c r="S111" i="14"/>
  <c r="P111" i="14"/>
  <c r="R111" i="14"/>
  <c r="M111" i="14"/>
  <c r="L111" i="14"/>
  <c r="K111" i="14"/>
  <c r="J111" i="14"/>
  <c r="I111" i="14"/>
  <c r="H111" i="14" a="1"/>
  <c r="H111" i="14"/>
  <c r="G111" i="14" a="1"/>
  <c r="G111" i="14"/>
  <c r="F111" i="14"/>
  <c r="E111" i="14"/>
  <c r="D111" i="14"/>
  <c r="C111" i="14"/>
  <c r="B110" i="14"/>
  <c r="AX110" i="14"/>
  <c r="AW110" i="14"/>
  <c r="AV110" i="14"/>
  <c r="AU110" i="14"/>
  <c r="AT110" i="14"/>
  <c r="AS110" i="14"/>
  <c r="AR110" i="14"/>
  <c r="AQ110" i="14"/>
  <c r="AP110" i="14"/>
  <c r="AO110" i="14"/>
  <c r="AN110" i="14"/>
  <c r="AM110" i="14"/>
  <c r="AL110" i="14"/>
  <c r="AK110" i="14"/>
  <c r="AJ110" i="14"/>
  <c r="AI110" i="14"/>
  <c r="AH110" i="14"/>
  <c r="AG110" i="14"/>
  <c r="AF110" i="14"/>
  <c r="AE110" i="14"/>
  <c r="AD110" i="14"/>
  <c r="AC110" i="14"/>
  <c r="AB110" i="14"/>
  <c r="AA110" i="14"/>
  <c r="Y110" i="14"/>
  <c r="X110" i="14"/>
  <c r="W110" i="14"/>
  <c r="U110" i="14"/>
  <c r="T110" i="14"/>
  <c r="Q110" i="14"/>
  <c r="S110" i="14"/>
  <c r="P110" i="14"/>
  <c r="R110" i="14"/>
  <c r="M110" i="14"/>
  <c r="L110" i="14"/>
  <c r="K110" i="14"/>
  <c r="J110" i="14"/>
  <c r="I110" i="14"/>
  <c r="H110" i="14" a="1"/>
  <c r="H110" i="14"/>
  <c r="G110" i="14" a="1"/>
  <c r="G110" i="14"/>
  <c r="F110" i="14"/>
  <c r="E110" i="14"/>
  <c r="D110" i="14"/>
  <c r="C110" i="14"/>
  <c r="B109" i="14"/>
  <c r="AX109" i="14"/>
  <c r="AW109" i="14"/>
  <c r="AV109" i="14"/>
  <c r="AU109" i="14"/>
  <c r="AT109" i="14"/>
  <c r="AS109" i="14"/>
  <c r="AR109" i="14"/>
  <c r="AQ109" i="14"/>
  <c r="AP109" i="14"/>
  <c r="AO109" i="14"/>
  <c r="AN109" i="14"/>
  <c r="AM109" i="14"/>
  <c r="AL109" i="14"/>
  <c r="AK109" i="14"/>
  <c r="AJ109" i="14"/>
  <c r="AI109" i="14"/>
  <c r="AH109" i="14"/>
  <c r="AG109" i="14"/>
  <c r="AF109" i="14"/>
  <c r="AE109" i="14"/>
  <c r="AD109" i="14"/>
  <c r="AC109" i="14"/>
  <c r="AB109" i="14"/>
  <c r="AA109" i="14"/>
  <c r="Y109" i="14"/>
  <c r="X109" i="14"/>
  <c r="W109" i="14"/>
  <c r="U109" i="14"/>
  <c r="T109" i="14"/>
  <c r="Q109" i="14"/>
  <c r="S109" i="14"/>
  <c r="P109" i="14"/>
  <c r="R109" i="14"/>
  <c r="M109" i="14"/>
  <c r="L109" i="14"/>
  <c r="K109" i="14"/>
  <c r="J109" i="14"/>
  <c r="I109" i="14"/>
  <c r="H109" i="14" a="1"/>
  <c r="H109" i="14"/>
  <c r="G109" i="14" a="1"/>
  <c r="G109" i="14"/>
  <c r="F109" i="14"/>
  <c r="E109" i="14"/>
  <c r="D109" i="14"/>
  <c r="C109" i="14"/>
  <c r="B108" i="14"/>
  <c r="AX108" i="14"/>
  <c r="AW108" i="14"/>
  <c r="AV108" i="14"/>
  <c r="AU108" i="14"/>
  <c r="AT108" i="14"/>
  <c r="AS108" i="14"/>
  <c r="AR108" i="14"/>
  <c r="AQ108" i="14"/>
  <c r="AP108" i="14"/>
  <c r="AO108" i="14"/>
  <c r="AN108" i="14"/>
  <c r="AM108" i="14"/>
  <c r="AL108" i="14"/>
  <c r="AK108" i="14"/>
  <c r="AJ108" i="14"/>
  <c r="AI108" i="14"/>
  <c r="AH108" i="14"/>
  <c r="AG108" i="14"/>
  <c r="AF108" i="14"/>
  <c r="AE108" i="14"/>
  <c r="AD108" i="14"/>
  <c r="AC108" i="14"/>
  <c r="AB108" i="14"/>
  <c r="AA108" i="14"/>
  <c r="Y108" i="14"/>
  <c r="X108" i="14"/>
  <c r="W108" i="14"/>
  <c r="U108" i="14"/>
  <c r="T108" i="14"/>
  <c r="Q108" i="14"/>
  <c r="S108" i="14"/>
  <c r="P108" i="14"/>
  <c r="R108" i="14"/>
  <c r="M108" i="14"/>
  <c r="L108" i="14"/>
  <c r="K108" i="14"/>
  <c r="J108" i="14"/>
  <c r="I108" i="14"/>
  <c r="H108" i="14" a="1"/>
  <c r="H108" i="14"/>
  <c r="G108" i="14" a="1"/>
  <c r="G108" i="14"/>
  <c r="F108" i="14"/>
  <c r="E108" i="14"/>
  <c r="D108" i="14"/>
  <c r="C108" i="14"/>
  <c r="B107" i="14"/>
  <c r="AX107" i="14"/>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Y107" i="14"/>
  <c r="X107" i="14"/>
  <c r="W107" i="14"/>
  <c r="U107" i="14"/>
  <c r="T107" i="14"/>
  <c r="Q107" i="14"/>
  <c r="S107" i="14"/>
  <c r="P107" i="14"/>
  <c r="R107" i="14"/>
  <c r="M107" i="14"/>
  <c r="L107" i="14"/>
  <c r="K107" i="14"/>
  <c r="J107" i="14"/>
  <c r="I107" i="14"/>
  <c r="H107" i="14" a="1"/>
  <c r="H107" i="14"/>
  <c r="G107" i="14" a="1"/>
  <c r="G107" i="14"/>
  <c r="F107" i="14"/>
  <c r="E107" i="14"/>
  <c r="D107" i="14"/>
  <c r="C107" i="14"/>
  <c r="B106" i="14"/>
  <c r="AX106" i="14"/>
  <c r="AW106" i="14"/>
  <c r="AV106" i="14"/>
  <c r="AU106" i="14"/>
  <c r="AT106" i="14"/>
  <c r="AS106" i="14"/>
  <c r="AR106" i="14"/>
  <c r="AQ106" i="14"/>
  <c r="AP106" i="14"/>
  <c r="AO106" i="14"/>
  <c r="AN106" i="14"/>
  <c r="AM106" i="14"/>
  <c r="AL106" i="14"/>
  <c r="AK106" i="14"/>
  <c r="AJ106" i="14"/>
  <c r="AI106" i="14"/>
  <c r="AH106" i="14"/>
  <c r="AG106" i="14"/>
  <c r="AF106" i="14"/>
  <c r="AE106" i="14"/>
  <c r="AD106" i="14"/>
  <c r="AC106" i="14"/>
  <c r="AB106" i="14"/>
  <c r="AA106" i="14"/>
  <c r="Y106" i="14"/>
  <c r="X106" i="14"/>
  <c r="W106" i="14"/>
  <c r="U106" i="14"/>
  <c r="T106" i="14"/>
  <c r="Q106" i="14"/>
  <c r="S106" i="14"/>
  <c r="P106" i="14"/>
  <c r="R106" i="14"/>
  <c r="M106" i="14"/>
  <c r="L106" i="14"/>
  <c r="K106" i="14"/>
  <c r="J106" i="14"/>
  <c r="I106" i="14"/>
  <c r="H106" i="14" a="1"/>
  <c r="H106" i="14"/>
  <c r="G106" i="14" a="1"/>
  <c r="G106" i="14"/>
  <c r="F106" i="14"/>
  <c r="E106" i="14"/>
  <c r="D106" i="14"/>
  <c r="C106" i="14"/>
  <c r="B105" i="14"/>
  <c r="AX105" i="14"/>
  <c r="AW105" i="14"/>
  <c r="AV105" i="14"/>
  <c r="AU105" i="14"/>
  <c r="AT105" i="14"/>
  <c r="AS105" i="14"/>
  <c r="AR105" i="14"/>
  <c r="AQ105" i="14"/>
  <c r="AP105" i="14"/>
  <c r="AO105" i="14"/>
  <c r="AN105" i="14"/>
  <c r="AM105" i="14"/>
  <c r="AL105" i="14"/>
  <c r="AK105" i="14"/>
  <c r="AJ105" i="14"/>
  <c r="AI105" i="14"/>
  <c r="AH105" i="14"/>
  <c r="AG105" i="14"/>
  <c r="AF105" i="14"/>
  <c r="AE105" i="14"/>
  <c r="AD105" i="14"/>
  <c r="AC105" i="14"/>
  <c r="AB105" i="14"/>
  <c r="AA105" i="14"/>
  <c r="Y105" i="14"/>
  <c r="X105" i="14"/>
  <c r="W105" i="14"/>
  <c r="U105" i="14"/>
  <c r="T105" i="14"/>
  <c r="Q105" i="14"/>
  <c r="S105" i="14"/>
  <c r="P105" i="14"/>
  <c r="R105" i="14"/>
  <c r="M105" i="14"/>
  <c r="L105" i="14"/>
  <c r="K105" i="14"/>
  <c r="J105" i="14"/>
  <c r="I105" i="14"/>
  <c r="H105" i="14" a="1"/>
  <c r="H105" i="14"/>
  <c r="G105" i="14" a="1"/>
  <c r="G105" i="14"/>
  <c r="F105" i="14"/>
  <c r="E105" i="14"/>
  <c r="D105" i="14"/>
  <c r="C105" i="14"/>
  <c r="B104" i="14"/>
  <c r="AX104" i="14"/>
  <c r="AW104" i="14"/>
  <c r="AV104" i="14"/>
  <c r="AU104" i="14"/>
  <c r="AT104" i="14"/>
  <c r="AS104" i="14"/>
  <c r="AR104" i="14"/>
  <c r="AQ104" i="14"/>
  <c r="AP104" i="14"/>
  <c r="AO104" i="14"/>
  <c r="AN104" i="14"/>
  <c r="AM104" i="14"/>
  <c r="AL104" i="14"/>
  <c r="AK104" i="14"/>
  <c r="AJ104" i="14"/>
  <c r="AI104" i="14"/>
  <c r="AH104" i="14"/>
  <c r="AG104" i="14"/>
  <c r="AF104" i="14"/>
  <c r="AE104" i="14"/>
  <c r="AD104" i="14"/>
  <c r="AC104" i="14"/>
  <c r="AB104" i="14"/>
  <c r="AA104" i="14"/>
  <c r="Y104" i="14"/>
  <c r="X104" i="14"/>
  <c r="W104" i="14"/>
  <c r="U104" i="14"/>
  <c r="T104" i="14"/>
  <c r="Q104" i="14"/>
  <c r="S104" i="14"/>
  <c r="P104" i="14"/>
  <c r="R104" i="14"/>
  <c r="M104" i="14"/>
  <c r="L104" i="14"/>
  <c r="K104" i="14"/>
  <c r="J104" i="14"/>
  <c r="I104" i="14"/>
  <c r="H104" i="14" a="1"/>
  <c r="H104" i="14"/>
  <c r="G104" i="14" a="1"/>
  <c r="G104" i="14"/>
  <c r="F104" i="14"/>
  <c r="E104" i="14"/>
  <c r="D104" i="14"/>
  <c r="C104" i="14"/>
  <c r="B103" i="14"/>
  <c r="AX103" i="14"/>
  <c r="AW103" i="14"/>
  <c r="AV103" i="14"/>
  <c r="AU103" i="14"/>
  <c r="AT103" i="14"/>
  <c r="AS103" i="14"/>
  <c r="AR103" i="14"/>
  <c r="AQ103" i="14"/>
  <c r="AP103" i="14"/>
  <c r="AO103" i="14"/>
  <c r="AN103" i="14"/>
  <c r="AM103" i="14"/>
  <c r="AL103" i="14"/>
  <c r="AK103" i="14"/>
  <c r="AJ103" i="14"/>
  <c r="AI103" i="14"/>
  <c r="AH103" i="14"/>
  <c r="AG103" i="14"/>
  <c r="AF103" i="14"/>
  <c r="AE103" i="14"/>
  <c r="AD103" i="14"/>
  <c r="AC103" i="14"/>
  <c r="AB103" i="14"/>
  <c r="AA103" i="14"/>
  <c r="Y103" i="14"/>
  <c r="X103" i="14"/>
  <c r="W103" i="14"/>
  <c r="U103" i="14"/>
  <c r="T103" i="14"/>
  <c r="Q103" i="14"/>
  <c r="S103" i="14"/>
  <c r="P103" i="14"/>
  <c r="R103" i="14"/>
  <c r="M103" i="14"/>
  <c r="L103" i="14"/>
  <c r="K103" i="14"/>
  <c r="J103" i="14"/>
  <c r="I103" i="14"/>
  <c r="H103" i="14" a="1"/>
  <c r="H103" i="14"/>
  <c r="G103" i="14" a="1"/>
  <c r="G103" i="14"/>
  <c r="F103" i="14"/>
  <c r="E103" i="14"/>
  <c r="D103" i="14"/>
  <c r="C103" i="14"/>
  <c r="B102" i="14"/>
  <c r="AX102" i="14"/>
  <c r="AW102" i="14"/>
  <c r="AV102" i="14"/>
  <c r="AU102" i="14"/>
  <c r="AT102" i="14"/>
  <c r="AS102" i="14"/>
  <c r="AR102" i="14"/>
  <c r="AQ102" i="14"/>
  <c r="AP102" i="14"/>
  <c r="AO102" i="14"/>
  <c r="AN102" i="14"/>
  <c r="AM102" i="14"/>
  <c r="AL102" i="14"/>
  <c r="AK102" i="14"/>
  <c r="AJ102" i="14"/>
  <c r="AI102" i="14"/>
  <c r="AH102" i="14"/>
  <c r="AG102" i="14"/>
  <c r="AF102" i="14"/>
  <c r="AE102" i="14"/>
  <c r="AD102" i="14"/>
  <c r="AC102" i="14"/>
  <c r="AB102" i="14"/>
  <c r="AA102" i="14"/>
  <c r="Y102" i="14"/>
  <c r="X102" i="14"/>
  <c r="W102" i="14"/>
  <c r="U102" i="14"/>
  <c r="T102" i="14"/>
  <c r="Q102" i="14"/>
  <c r="S102" i="14"/>
  <c r="P102" i="14"/>
  <c r="R102" i="14"/>
  <c r="M102" i="14"/>
  <c r="L102" i="14"/>
  <c r="K102" i="14"/>
  <c r="J102" i="14"/>
  <c r="I102" i="14"/>
  <c r="H102" i="14" a="1"/>
  <c r="H102" i="14"/>
  <c r="G102" i="14" a="1"/>
  <c r="G102" i="14"/>
  <c r="F102" i="14"/>
  <c r="E102" i="14"/>
  <c r="D102" i="14"/>
  <c r="C102" i="14"/>
  <c r="B101" i="14"/>
  <c r="AX101" i="14"/>
  <c r="AW101" i="14"/>
  <c r="AV101" i="14"/>
  <c r="AU101" i="14"/>
  <c r="AT101" i="14"/>
  <c r="AS101" i="14"/>
  <c r="AR101" i="14"/>
  <c r="AQ101" i="14"/>
  <c r="AP101" i="14"/>
  <c r="AO101" i="14"/>
  <c r="AN101" i="14"/>
  <c r="AM101" i="14"/>
  <c r="AL101" i="14"/>
  <c r="AK101" i="14"/>
  <c r="AJ101" i="14"/>
  <c r="AI101" i="14"/>
  <c r="AH101" i="14"/>
  <c r="AG101" i="14"/>
  <c r="AF101" i="14"/>
  <c r="AE101" i="14"/>
  <c r="AD101" i="14"/>
  <c r="AC101" i="14"/>
  <c r="AB101" i="14"/>
  <c r="AA101" i="14"/>
  <c r="Y101" i="14"/>
  <c r="X101" i="14"/>
  <c r="W101" i="14"/>
  <c r="U101" i="14"/>
  <c r="T101" i="14"/>
  <c r="Q101" i="14"/>
  <c r="S101" i="14"/>
  <c r="P101" i="14"/>
  <c r="R101" i="14"/>
  <c r="M101" i="14"/>
  <c r="L101" i="14"/>
  <c r="K101" i="14"/>
  <c r="J101" i="14"/>
  <c r="I101" i="14"/>
  <c r="H101" i="14" a="1"/>
  <c r="H101" i="14"/>
  <c r="G101" i="14" a="1"/>
  <c r="G101" i="14"/>
  <c r="F101" i="14"/>
  <c r="E101" i="14"/>
  <c r="D101" i="14"/>
  <c r="C101" i="14"/>
  <c r="B100" i="14"/>
  <c r="AX100" i="14"/>
  <c r="AW100" i="14"/>
  <c r="AV100" i="14"/>
  <c r="AU100" i="14"/>
  <c r="AT100" i="14"/>
  <c r="AS100" i="14"/>
  <c r="AR100" i="14"/>
  <c r="AQ100" i="14"/>
  <c r="AP100" i="14"/>
  <c r="AO100" i="14"/>
  <c r="AN100" i="14"/>
  <c r="AM100" i="14"/>
  <c r="AL100" i="14"/>
  <c r="AK100" i="14"/>
  <c r="AJ100" i="14"/>
  <c r="AI100" i="14"/>
  <c r="AH100" i="14"/>
  <c r="AG100" i="14"/>
  <c r="AF100" i="14"/>
  <c r="AE100" i="14"/>
  <c r="AD100" i="14"/>
  <c r="AC100" i="14"/>
  <c r="AB100" i="14"/>
  <c r="AA100" i="14"/>
  <c r="Y100" i="14"/>
  <c r="X100" i="14"/>
  <c r="W100" i="14"/>
  <c r="U100" i="14"/>
  <c r="T100" i="14"/>
  <c r="Q100" i="14"/>
  <c r="S100" i="14"/>
  <c r="P100" i="14"/>
  <c r="R100" i="14"/>
  <c r="M100" i="14"/>
  <c r="L100" i="14"/>
  <c r="K100" i="14"/>
  <c r="J100" i="14"/>
  <c r="I100" i="14"/>
  <c r="H100" i="14" a="1"/>
  <c r="H100" i="14"/>
  <c r="G100" i="14" a="1"/>
  <c r="G100" i="14"/>
  <c r="F100" i="14"/>
  <c r="E100" i="14"/>
  <c r="D100" i="14"/>
  <c r="C100" i="14"/>
  <c r="B99" i="14"/>
  <c r="AX99" i="14"/>
  <c r="AW99" i="14"/>
  <c r="AV99" i="14"/>
  <c r="AU99" i="14"/>
  <c r="AT99" i="14"/>
  <c r="AS99" i="14"/>
  <c r="AR99" i="14"/>
  <c r="AQ99" i="14"/>
  <c r="AP99" i="14"/>
  <c r="AO99" i="14"/>
  <c r="AN99" i="14"/>
  <c r="AM99" i="14"/>
  <c r="AL99" i="14"/>
  <c r="AK99" i="14"/>
  <c r="AJ99" i="14"/>
  <c r="AI99" i="14"/>
  <c r="AH99" i="14"/>
  <c r="AG99" i="14"/>
  <c r="AF99" i="14"/>
  <c r="AE99" i="14"/>
  <c r="AD99" i="14"/>
  <c r="AC99" i="14"/>
  <c r="AB99" i="14"/>
  <c r="AA99" i="14"/>
  <c r="Y99" i="14"/>
  <c r="X99" i="14"/>
  <c r="W99" i="14"/>
  <c r="U99" i="14"/>
  <c r="T99" i="14"/>
  <c r="Q99" i="14"/>
  <c r="S99" i="14"/>
  <c r="P99" i="14"/>
  <c r="R99" i="14"/>
  <c r="M99" i="14"/>
  <c r="L99" i="14"/>
  <c r="K99" i="14"/>
  <c r="J99" i="14"/>
  <c r="I99" i="14"/>
  <c r="H99" i="14" a="1"/>
  <c r="H99" i="14"/>
  <c r="G99" i="14" a="1"/>
  <c r="G99" i="14"/>
  <c r="F99" i="14"/>
  <c r="E99" i="14"/>
  <c r="D99" i="14"/>
  <c r="C99" i="14"/>
  <c r="B98" i="14"/>
  <c r="AX98" i="14"/>
  <c r="AW98" i="14"/>
  <c r="AV98" i="14"/>
  <c r="AU98" i="14"/>
  <c r="AT98" i="14"/>
  <c r="AS98" i="14"/>
  <c r="AR98" i="14"/>
  <c r="AQ98" i="14"/>
  <c r="AP98" i="14"/>
  <c r="AO98" i="14"/>
  <c r="AN98" i="14"/>
  <c r="AM98" i="14"/>
  <c r="AL98" i="14"/>
  <c r="AK98" i="14"/>
  <c r="AJ98" i="14"/>
  <c r="AI98" i="14"/>
  <c r="AH98" i="14"/>
  <c r="AG98" i="14"/>
  <c r="AF98" i="14"/>
  <c r="AE98" i="14"/>
  <c r="AD98" i="14"/>
  <c r="AC98" i="14"/>
  <c r="AB98" i="14"/>
  <c r="AA98" i="14"/>
  <c r="Y98" i="14"/>
  <c r="X98" i="14"/>
  <c r="W98" i="14"/>
  <c r="U98" i="14"/>
  <c r="T98" i="14"/>
  <c r="Q98" i="14"/>
  <c r="S98" i="14"/>
  <c r="P98" i="14"/>
  <c r="R98" i="14"/>
  <c r="M98" i="14"/>
  <c r="L98" i="14"/>
  <c r="K98" i="14"/>
  <c r="J98" i="14"/>
  <c r="I98" i="14"/>
  <c r="H98" i="14" a="1"/>
  <c r="H98" i="14"/>
  <c r="G98" i="14" a="1"/>
  <c r="G98" i="14"/>
  <c r="F98" i="14"/>
  <c r="E98" i="14"/>
  <c r="D98" i="14"/>
  <c r="C98" i="14"/>
  <c r="B97" i="14"/>
  <c r="AX97" i="14"/>
  <c r="AW97" i="14"/>
  <c r="AV97" i="14"/>
  <c r="AU97" i="14"/>
  <c r="AT97" i="14"/>
  <c r="AS97" i="14"/>
  <c r="AR97" i="14"/>
  <c r="AQ97" i="14"/>
  <c r="AP97" i="14"/>
  <c r="AO97" i="14"/>
  <c r="AN97" i="14"/>
  <c r="AM97" i="14"/>
  <c r="AL97" i="14"/>
  <c r="AK97" i="14"/>
  <c r="AJ97" i="14"/>
  <c r="AI97" i="14"/>
  <c r="AH97" i="14"/>
  <c r="AG97" i="14"/>
  <c r="AF97" i="14"/>
  <c r="AE97" i="14"/>
  <c r="AD97" i="14"/>
  <c r="AC97" i="14"/>
  <c r="AB97" i="14"/>
  <c r="AA97" i="14"/>
  <c r="Y97" i="14"/>
  <c r="X97" i="14"/>
  <c r="W97" i="14"/>
  <c r="U97" i="14"/>
  <c r="T97" i="14"/>
  <c r="Q97" i="14"/>
  <c r="S97" i="14"/>
  <c r="P97" i="14"/>
  <c r="R97" i="14"/>
  <c r="M97" i="14"/>
  <c r="L97" i="14"/>
  <c r="K97" i="14"/>
  <c r="J97" i="14"/>
  <c r="I97" i="14"/>
  <c r="H97" i="14" a="1"/>
  <c r="H97" i="14"/>
  <c r="G97" i="14" a="1"/>
  <c r="G97" i="14"/>
  <c r="F97" i="14"/>
  <c r="E97" i="14"/>
  <c r="D97" i="14"/>
  <c r="C97" i="14"/>
  <c r="B96" i="14"/>
  <c r="AX96" i="14"/>
  <c r="AW96" i="14"/>
  <c r="AV96" i="14"/>
  <c r="AU96" i="14"/>
  <c r="AT96" i="14"/>
  <c r="AS96" i="14"/>
  <c r="AR96" i="14"/>
  <c r="AQ96" i="14"/>
  <c r="AP96" i="14"/>
  <c r="AO96" i="14"/>
  <c r="AN96" i="14"/>
  <c r="AM96" i="14"/>
  <c r="AL96" i="14"/>
  <c r="AK96" i="14"/>
  <c r="AJ96" i="14"/>
  <c r="AI96" i="14"/>
  <c r="AH96" i="14"/>
  <c r="AG96" i="14"/>
  <c r="AF96" i="14"/>
  <c r="AE96" i="14"/>
  <c r="AD96" i="14"/>
  <c r="AC96" i="14"/>
  <c r="AB96" i="14"/>
  <c r="AA96" i="14"/>
  <c r="Y96" i="14"/>
  <c r="X96" i="14"/>
  <c r="W96" i="14"/>
  <c r="U96" i="14"/>
  <c r="T96" i="14"/>
  <c r="Q96" i="14"/>
  <c r="S96" i="14"/>
  <c r="P96" i="14"/>
  <c r="R96" i="14"/>
  <c r="M96" i="14"/>
  <c r="L96" i="14"/>
  <c r="K96" i="14"/>
  <c r="J96" i="14"/>
  <c r="I96" i="14"/>
  <c r="H96" i="14" a="1"/>
  <c r="H96" i="14"/>
  <c r="G96" i="14" a="1"/>
  <c r="G96" i="14"/>
  <c r="F96" i="14"/>
  <c r="E96" i="14"/>
  <c r="D96" i="14"/>
  <c r="C96" i="14"/>
  <c r="B95" i="14"/>
  <c r="AX95" i="14"/>
  <c r="AW95" i="14"/>
  <c r="AV95" i="14"/>
  <c r="AU95" i="14"/>
  <c r="AT95" i="14"/>
  <c r="AS95" i="14"/>
  <c r="AR95" i="14"/>
  <c r="AQ95" i="14"/>
  <c r="AP95" i="14"/>
  <c r="AO95" i="14"/>
  <c r="AN95" i="14"/>
  <c r="AM95" i="14"/>
  <c r="AL95" i="14"/>
  <c r="AK95" i="14"/>
  <c r="AJ95" i="14"/>
  <c r="AI95" i="14"/>
  <c r="AH95" i="14"/>
  <c r="AG95" i="14"/>
  <c r="AF95" i="14"/>
  <c r="AE95" i="14"/>
  <c r="AD95" i="14"/>
  <c r="AC95" i="14"/>
  <c r="AB95" i="14"/>
  <c r="AA95" i="14"/>
  <c r="Y95" i="14"/>
  <c r="X95" i="14"/>
  <c r="W95" i="14"/>
  <c r="U95" i="14"/>
  <c r="T95" i="14"/>
  <c r="Q95" i="14"/>
  <c r="S95" i="14"/>
  <c r="P95" i="14"/>
  <c r="R95" i="14"/>
  <c r="M95" i="14"/>
  <c r="L95" i="14"/>
  <c r="K95" i="14"/>
  <c r="J95" i="14"/>
  <c r="I95" i="14"/>
  <c r="H95" i="14" a="1"/>
  <c r="H95" i="14"/>
  <c r="G95" i="14" a="1"/>
  <c r="G95" i="14"/>
  <c r="F95" i="14"/>
  <c r="E95" i="14"/>
  <c r="D95" i="14"/>
  <c r="C95" i="14"/>
  <c r="B94" i="14"/>
  <c r="AX94" i="14"/>
  <c r="AW94" i="14"/>
  <c r="AV94" i="14"/>
  <c r="AU94" i="14"/>
  <c r="AT94" i="14"/>
  <c r="AS94" i="14"/>
  <c r="AR94" i="14"/>
  <c r="AQ94" i="14"/>
  <c r="AP94" i="14"/>
  <c r="AO94" i="14"/>
  <c r="AN94" i="14"/>
  <c r="AM94" i="14"/>
  <c r="AL94" i="14"/>
  <c r="AK94" i="14"/>
  <c r="AJ94" i="14"/>
  <c r="AI94" i="14"/>
  <c r="AH94" i="14"/>
  <c r="AG94" i="14"/>
  <c r="AF94" i="14"/>
  <c r="AE94" i="14"/>
  <c r="AD94" i="14"/>
  <c r="AC94" i="14"/>
  <c r="AB94" i="14"/>
  <c r="AA94" i="14"/>
  <c r="Y94" i="14"/>
  <c r="X94" i="14"/>
  <c r="W94" i="14"/>
  <c r="U94" i="14"/>
  <c r="T94" i="14"/>
  <c r="Q94" i="14"/>
  <c r="S94" i="14"/>
  <c r="P94" i="14"/>
  <c r="R94" i="14"/>
  <c r="M94" i="14"/>
  <c r="L94" i="14"/>
  <c r="K94" i="14"/>
  <c r="J94" i="14"/>
  <c r="I94" i="14"/>
  <c r="H94" i="14" a="1"/>
  <c r="H94" i="14"/>
  <c r="G94" i="14" a="1"/>
  <c r="G94" i="14"/>
  <c r="F94" i="14"/>
  <c r="E94" i="14"/>
  <c r="D94" i="14"/>
  <c r="C94" i="14"/>
  <c r="B93" i="14"/>
  <c r="AX93" i="14"/>
  <c r="AW93" i="14"/>
  <c r="AV93" i="14"/>
  <c r="AU93" i="14"/>
  <c r="AT93" i="14"/>
  <c r="AS93" i="14"/>
  <c r="AR93" i="14"/>
  <c r="AQ93" i="14"/>
  <c r="AP93" i="14"/>
  <c r="AO93" i="14"/>
  <c r="AN93" i="14"/>
  <c r="AM93" i="14"/>
  <c r="AL93" i="14"/>
  <c r="AK93" i="14"/>
  <c r="AJ93" i="14"/>
  <c r="AI93" i="14"/>
  <c r="AH93" i="14"/>
  <c r="AG93" i="14"/>
  <c r="AF93" i="14"/>
  <c r="AE93" i="14"/>
  <c r="AD93" i="14"/>
  <c r="AC93" i="14"/>
  <c r="AB93" i="14"/>
  <c r="AA93" i="14"/>
  <c r="Y93" i="14"/>
  <c r="X93" i="14"/>
  <c r="W93" i="14"/>
  <c r="U93" i="14"/>
  <c r="T93" i="14"/>
  <c r="Q93" i="14"/>
  <c r="S93" i="14"/>
  <c r="P93" i="14"/>
  <c r="R93" i="14"/>
  <c r="M93" i="14"/>
  <c r="L93" i="14"/>
  <c r="K93" i="14"/>
  <c r="J93" i="14"/>
  <c r="I93" i="14"/>
  <c r="H93" i="14" a="1"/>
  <c r="H93" i="14"/>
  <c r="G93" i="14" a="1"/>
  <c r="G93" i="14"/>
  <c r="F93" i="14"/>
  <c r="E93" i="14"/>
  <c r="D93" i="14"/>
  <c r="C93" i="14"/>
  <c r="B92" i="14"/>
  <c r="AX92" i="14"/>
  <c r="AW92" i="14"/>
  <c r="AV92" i="14"/>
  <c r="AU92" i="14"/>
  <c r="AT92" i="14"/>
  <c r="AS92" i="14"/>
  <c r="AR92" i="14"/>
  <c r="AQ92" i="14"/>
  <c r="AP92" i="14"/>
  <c r="AO92" i="14"/>
  <c r="AN92" i="14"/>
  <c r="AM92" i="14"/>
  <c r="AL92" i="14"/>
  <c r="AK92" i="14"/>
  <c r="AJ92" i="14"/>
  <c r="AI92" i="14"/>
  <c r="AH92" i="14"/>
  <c r="AG92" i="14"/>
  <c r="AF92" i="14"/>
  <c r="AE92" i="14"/>
  <c r="AD92" i="14"/>
  <c r="AC92" i="14"/>
  <c r="AB92" i="14"/>
  <c r="AA92" i="14"/>
  <c r="Y92" i="14"/>
  <c r="X92" i="14"/>
  <c r="W92" i="14"/>
  <c r="U92" i="14"/>
  <c r="T92" i="14"/>
  <c r="Q92" i="14"/>
  <c r="S92" i="14"/>
  <c r="P92" i="14"/>
  <c r="R92" i="14"/>
  <c r="M92" i="14"/>
  <c r="L92" i="14"/>
  <c r="K92" i="14"/>
  <c r="J92" i="14"/>
  <c r="I92" i="14"/>
  <c r="H92" i="14" a="1"/>
  <c r="H92" i="14"/>
  <c r="G92" i="14" a="1"/>
  <c r="G92" i="14"/>
  <c r="F92" i="14"/>
  <c r="E92" i="14"/>
  <c r="D92" i="14"/>
  <c r="C92" i="14"/>
  <c r="B91" i="14"/>
  <c r="AX91" i="14"/>
  <c r="AW91" i="14"/>
  <c r="AV91" i="14"/>
  <c r="AU91" i="14"/>
  <c r="AT91" i="14"/>
  <c r="AS91" i="14"/>
  <c r="AR91" i="14"/>
  <c r="AQ91" i="14"/>
  <c r="AP91" i="14"/>
  <c r="AO91" i="14"/>
  <c r="AN91" i="14"/>
  <c r="AM91" i="14"/>
  <c r="AL91" i="14"/>
  <c r="AK91" i="14"/>
  <c r="AJ91" i="14"/>
  <c r="AI91" i="14"/>
  <c r="AH91" i="14"/>
  <c r="AG91" i="14"/>
  <c r="AF91" i="14"/>
  <c r="AE91" i="14"/>
  <c r="AD91" i="14"/>
  <c r="AC91" i="14"/>
  <c r="AB91" i="14"/>
  <c r="AA91" i="14"/>
  <c r="Y91" i="14"/>
  <c r="X91" i="14"/>
  <c r="W91" i="14"/>
  <c r="U91" i="14"/>
  <c r="T91" i="14"/>
  <c r="Q91" i="14"/>
  <c r="S91" i="14"/>
  <c r="P91" i="14"/>
  <c r="R91" i="14"/>
  <c r="M91" i="14"/>
  <c r="L91" i="14"/>
  <c r="K91" i="14"/>
  <c r="J91" i="14"/>
  <c r="I91" i="14"/>
  <c r="H91" i="14" a="1"/>
  <c r="H91" i="14"/>
  <c r="G91" i="14" a="1"/>
  <c r="G91" i="14"/>
  <c r="F91" i="14"/>
  <c r="E91" i="14"/>
  <c r="D91" i="14"/>
  <c r="C91" i="14"/>
  <c r="B90" i="14"/>
  <c r="AX90" i="14"/>
  <c r="AW90" i="14"/>
  <c r="AV90" i="14"/>
  <c r="AU90" i="14"/>
  <c r="AT90" i="14"/>
  <c r="AS90" i="14"/>
  <c r="AR90" i="14"/>
  <c r="AQ90" i="14"/>
  <c r="AP90" i="14"/>
  <c r="AO90" i="14"/>
  <c r="AN90" i="14"/>
  <c r="AM90" i="14"/>
  <c r="AL90" i="14"/>
  <c r="AK90" i="14"/>
  <c r="AJ90" i="14"/>
  <c r="AI90" i="14"/>
  <c r="AH90" i="14"/>
  <c r="AG90" i="14"/>
  <c r="AF90" i="14"/>
  <c r="AE90" i="14"/>
  <c r="AD90" i="14"/>
  <c r="AC90" i="14"/>
  <c r="AB90" i="14"/>
  <c r="AA90" i="14"/>
  <c r="Y90" i="14"/>
  <c r="X90" i="14"/>
  <c r="W90" i="14"/>
  <c r="U90" i="14"/>
  <c r="T90" i="14"/>
  <c r="Q90" i="14"/>
  <c r="S90" i="14"/>
  <c r="P90" i="14"/>
  <c r="R90" i="14"/>
  <c r="M90" i="14"/>
  <c r="L90" i="14"/>
  <c r="K90" i="14"/>
  <c r="J90" i="14"/>
  <c r="I90" i="14"/>
  <c r="H90" i="14" a="1"/>
  <c r="H90" i="14"/>
  <c r="G90" i="14" a="1"/>
  <c r="G90" i="14"/>
  <c r="F90" i="14"/>
  <c r="E90" i="14"/>
  <c r="D90" i="14"/>
  <c r="C90" i="14"/>
  <c r="B89" i="14"/>
  <c r="AX89" i="14"/>
  <c r="AW89" i="14"/>
  <c r="AV89" i="14"/>
  <c r="AU89" i="14"/>
  <c r="AT89" i="14"/>
  <c r="AS89" i="14"/>
  <c r="AR89" i="14"/>
  <c r="AQ89" i="14"/>
  <c r="AP89" i="14"/>
  <c r="AO89" i="14"/>
  <c r="AN89" i="14"/>
  <c r="AM89" i="14"/>
  <c r="AL89" i="14"/>
  <c r="AK89" i="14"/>
  <c r="AJ89" i="14"/>
  <c r="AI89" i="14"/>
  <c r="AH89" i="14"/>
  <c r="AG89" i="14"/>
  <c r="AF89" i="14"/>
  <c r="AE89" i="14"/>
  <c r="AD89" i="14"/>
  <c r="AC89" i="14"/>
  <c r="AB89" i="14"/>
  <c r="AA89" i="14"/>
  <c r="Y89" i="14"/>
  <c r="X89" i="14"/>
  <c r="W89" i="14"/>
  <c r="U89" i="14"/>
  <c r="T89" i="14"/>
  <c r="Q89" i="14"/>
  <c r="S89" i="14"/>
  <c r="P89" i="14"/>
  <c r="R89" i="14"/>
  <c r="M89" i="14"/>
  <c r="L89" i="14"/>
  <c r="K89" i="14"/>
  <c r="J89" i="14"/>
  <c r="I89" i="14"/>
  <c r="H89" i="14" a="1"/>
  <c r="H89" i="14"/>
  <c r="G89" i="14" a="1"/>
  <c r="G89" i="14"/>
  <c r="F89" i="14"/>
  <c r="E89" i="14"/>
  <c r="D89" i="14"/>
  <c r="C89" i="14"/>
  <c r="B88" i="14"/>
  <c r="AX88" i="14"/>
  <c r="AW88" i="14"/>
  <c r="AV88" i="14"/>
  <c r="AU88" i="14"/>
  <c r="AT88" i="14"/>
  <c r="AS88" i="14"/>
  <c r="AR88" i="14"/>
  <c r="AQ88" i="14"/>
  <c r="AP88" i="14"/>
  <c r="AO88" i="14"/>
  <c r="AN88" i="14"/>
  <c r="AM88" i="14"/>
  <c r="AL88" i="14"/>
  <c r="AK88" i="14"/>
  <c r="AJ88" i="14"/>
  <c r="AI88" i="14"/>
  <c r="AH88" i="14"/>
  <c r="AG88" i="14"/>
  <c r="AF88" i="14"/>
  <c r="AE88" i="14"/>
  <c r="AD88" i="14"/>
  <c r="AC88" i="14"/>
  <c r="AB88" i="14"/>
  <c r="AA88" i="14"/>
  <c r="Y88" i="14"/>
  <c r="X88" i="14"/>
  <c r="W88" i="14"/>
  <c r="U88" i="14"/>
  <c r="T88" i="14"/>
  <c r="Q88" i="14"/>
  <c r="S88" i="14"/>
  <c r="P88" i="14"/>
  <c r="R88" i="14"/>
  <c r="M88" i="14"/>
  <c r="L88" i="14"/>
  <c r="K88" i="14"/>
  <c r="J88" i="14"/>
  <c r="I88" i="14"/>
  <c r="H88" i="14" a="1"/>
  <c r="H88" i="14"/>
  <c r="G88" i="14" a="1"/>
  <c r="G88" i="14"/>
  <c r="F88" i="14"/>
  <c r="E88" i="14"/>
  <c r="D88" i="14"/>
  <c r="C88" i="14"/>
  <c r="B87" i="14"/>
  <c r="AX87" i="14"/>
  <c r="AW87" i="14"/>
  <c r="AV87" i="14"/>
  <c r="AU87" i="14"/>
  <c r="AT87" i="14"/>
  <c r="AS87" i="14"/>
  <c r="AR87" i="14"/>
  <c r="AQ87" i="14"/>
  <c r="AP87" i="14"/>
  <c r="AO87" i="14"/>
  <c r="AN87" i="14"/>
  <c r="AM87" i="14"/>
  <c r="AL87" i="14"/>
  <c r="AK87" i="14"/>
  <c r="AJ87" i="14"/>
  <c r="AI87" i="14"/>
  <c r="AH87" i="14"/>
  <c r="AG87" i="14"/>
  <c r="AF87" i="14"/>
  <c r="AE87" i="14"/>
  <c r="AD87" i="14"/>
  <c r="AC87" i="14"/>
  <c r="AB87" i="14"/>
  <c r="AA87" i="14"/>
  <c r="Y87" i="14"/>
  <c r="X87" i="14"/>
  <c r="W87" i="14"/>
  <c r="U87" i="14"/>
  <c r="T87" i="14"/>
  <c r="Q87" i="14"/>
  <c r="S87" i="14"/>
  <c r="P87" i="14"/>
  <c r="R87" i="14"/>
  <c r="M87" i="14"/>
  <c r="L87" i="14"/>
  <c r="K87" i="14"/>
  <c r="J87" i="14"/>
  <c r="I87" i="14"/>
  <c r="H87" i="14" a="1"/>
  <c r="H87" i="14"/>
  <c r="G87" i="14" a="1"/>
  <c r="G87" i="14"/>
  <c r="F87" i="14"/>
  <c r="E87" i="14"/>
  <c r="D87" i="14"/>
  <c r="C87" i="14"/>
  <c r="B86" i="14"/>
  <c r="AX86" i="14"/>
  <c r="AW86" i="14"/>
  <c r="AV86" i="14"/>
  <c r="AU86" i="14"/>
  <c r="AT86" i="14"/>
  <c r="AS86" i="14"/>
  <c r="AR86" i="14"/>
  <c r="AQ86" i="14"/>
  <c r="AP86" i="14"/>
  <c r="AO86" i="14"/>
  <c r="AN86" i="14"/>
  <c r="AM86" i="14"/>
  <c r="AL86" i="14"/>
  <c r="AK86" i="14"/>
  <c r="AJ86" i="14"/>
  <c r="AI86" i="14"/>
  <c r="AH86" i="14"/>
  <c r="AG86" i="14"/>
  <c r="AF86" i="14"/>
  <c r="AE86" i="14"/>
  <c r="AD86" i="14"/>
  <c r="AC86" i="14"/>
  <c r="AB86" i="14"/>
  <c r="AA86" i="14"/>
  <c r="Y86" i="14"/>
  <c r="X86" i="14"/>
  <c r="W86" i="14"/>
  <c r="U86" i="14"/>
  <c r="T86" i="14"/>
  <c r="Q86" i="14"/>
  <c r="S86" i="14"/>
  <c r="P86" i="14"/>
  <c r="R86" i="14"/>
  <c r="M86" i="14"/>
  <c r="L86" i="14"/>
  <c r="K86" i="14"/>
  <c r="J86" i="14"/>
  <c r="I86" i="14"/>
  <c r="H86" i="14" a="1"/>
  <c r="H86" i="14"/>
  <c r="G86" i="14" a="1"/>
  <c r="G86" i="14"/>
  <c r="F86" i="14"/>
  <c r="E86" i="14"/>
  <c r="D86" i="14"/>
  <c r="C86" i="14"/>
  <c r="B85" i="14"/>
  <c r="AX85" i="14"/>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Y85" i="14"/>
  <c r="X85" i="14"/>
  <c r="W85" i="14"/>
  <c r="U85" i="14"/>
  <c r="T85" i="14"/>
  <c r="Q85" i="14"/>
  <c r="S85" i="14"/>
  <c r="P85" i="14"/>
  <c r="R85" i="14"/>
  <c r="M85" i="14"/>
  <c r="L85" i="14"/>
  <c r="K85" i="14"/>
  <c r="J85" i="14"/>
  <c r="I85" i="14"/>
  <c r="H85" i="14" a="1"/>
  <c r="H85" i="14"/>
  <c r="G85" i="14" a="1"/>
  <c r="G85" i="14"/>
  <c r="F85" i="14"/>
  <c r="E85" i="14"/>
  <c r="D85" i="14"/>
  <c r="C85" i="14"/>
  <c r="B84" i="14"/>
  <c r="AX84" i="14"/>
  <c r="AW84" i="14"/>
  <c r="AV84" i="14"/>
  <c r="AU84" i="14"/>
  <c r="AT84" i="14"/>
  <c r="AS84" i="14"/>
  <c r="AR84" i="14"/>
  <c r="AQ84" i="14"/>
  <c r="AP84" i="14"/>
  <c r="AO84" i="14"/>
  <c r="AN84" i="14"/>
  <c r="AM84" i="14"/>
  <c r="AL84" i="14"/>
  <c r="AK84" i="14"/>
  <c r="AJ84" i="14"/>
  <c r="AI84" i="14"/>
  <c r="AH84" i="14"/>
  <c r="AG84" i="14"/>
  <c r="AF84" i="14"/>
  <c r="AE84" i="14"/>
  <c r="AD84" i="14"/>
  <c r="AC84" i="14"/>
  <c r="AB84" i="14"/>
  <c r="AA84" i="14"/>
  <c r="Y84" i="14"/>
  <c r="X84" i="14"/>
  <c r="W84" i="14"/>
  <c r="U84" i="14"/>
  <c r="T84" i="14"/>
  <c r="Q84" i="14"/>
  <c r="S84" i="14"/>
  <c r="P84" i="14"/>
  <c r="R84" i="14"/>
  <c r="M84" i="14"/>
  <c r="L84" i="14"/>
  <c r="K84" i="14"/>
  <c r="J84" i="14"/>
  <c r="I84" i="14"/>
  <c r="H84" i="14" a="1"/>
  <c r="H84" i="14"/>
  <c r="G84" i="14" a="1"/>
  <c r="G84" i="14"/>
  <c r="F84" i="14"/>
  <c r="E84" i="14"/>
  <c r="D84" i="14"/>
  <c r="C84" i="14"/>
  <c r="B83" i="14"/>
  <c r="AX83" i="14"/>
  <c r="AW83" i="14"/>
  <c r="AV83" i="14"/>
  <c r="AU83" i="14"/>
  <c r="AT83" i="14"/>
  <c r="AS83" i="14"/>
  <c r="AR83" i="14"/>
  <c r="AQ83" i="14"/>
  <c r="AP83" i="14"/>
  <c r="AO83" i="14"/>
  <c r="AN83" i="14"/>
  <c r="AM83" i="14"/>
  <c r="AL83" i="14"/>
  <c r="AK83" i="14"/>
  <c r="AJ83" i="14"/>
  <c r="AI83" i="14"/>
  <c r="AH83" i="14"/>
  <c r="AG83" i="14"/>
  <c r="AF83" i="14"/>
  <c r="AE83" i="14"/>
  <c r="AD83" i="14"/>
  <c r="AC83" i="14"/>
  <c r="AB83" i="14"/>
  <c r="AA83" i="14"/>
  <c r="Y83" i="14"/>
  <c r="X83" i="14"/>
  <c r="W83" i="14"/>
  <c r="U83" i="14"/>
  <c r="T83" i="14"/>
  <c r="Q83" i="14"/>
  <c r="S83" i="14"/>
  <c r="P83" i="14"/>
  <c r="R83" i="14"/>
  <c r="M83" i="14"/>
  <c r="L83" i="14"/>
  <c r="K83" i="14"/>
  <c r="J83" i="14"/>
  <c r="I83" i="14"/>
  <c r="H83" i="14" a="1"/>
  <c r="H83" i="14"/>
  <c r="G83" i="14" a="1"/>
  <c r="G83" i="14"/>
  <c r="F83" i="14"/>
  <c r="E83" i="14"/>
  <c r="D83" i="14"/>
  <c r="C83" i="14"/>
  <c r="B82" i="14"/>
  <c r="AX82" i="14"/>
  <c r="AW82" i="14"/>
  <c r="AV82" i="14"/>
  <c r="AU82" i="14"/>
  <c r="AT82" i="14"/>
  <c r="AS82" i="14"/>
  <c r="AR82" i="14"/>
  <c r="AQ82" i="14"/>
  <c r="AP82" i="14"/>
  <c r="AO82" i="14"/>
  <c r="AN82" i="14"/>
  <c r="AM82" i="14"/>
  <c r="AL82" i="14"/>
  <c r="AK82" i="14"/>
  <c r="AJ82" i="14"/>
  <c r="AI82" i="14"/>
  <c r="AH82" i="14"/>
  <c r="AG82" i="14"/>
  <c r="AF82" i="14"/>
  <c r="AE82" i="14"/>
  <c r="AD82" i="14"/>
  <c r="AC82" i="14"/>
  <c r="AB82" i="14"/>
  <c r="AA82" i="14"/>
  <c r="Y82" i="14"/>
  <c r="X82" i="14"/>
  <c r="W82" i="14"/>
  <c r="U82" i="14"/>
  <c r="T82" i="14"/>
  <c r="Q82" i="14"/>
  <c r="S82" i="14"/>
  <c r="P82" i="14"/>
  <c r="R82" i="14"/>
  <c r="M82" i="14"/>
  <c r="L82" i="14"/>
  <c r="K82" i="14"/>
  <c r="J82" i="14"/>
  <c r="I82" i="14"/>
  <c r="H82" i="14" a="1"/>
  <c r="H82" i="14"/>
  <c r="G82" i="14" a="1"/>
  <c r="G82" i="14"/>
  <c r="F82" i="14"/>
  <c r="E82" i="14"/>
  <c r="D82" i="14"/>
  <c r="C82" i="14"/>
  <c r="B81" i="14"/>
  <c r="AX81" i="14"/>
  <c r="AW81" i="14"/>
  <c r="AV81" i="14"/>
  <c r="AU81" i="14"/>
  <c r="AT81" i="14"/>
  <c r="AS81" i="14"/>
  <c r="AR81" i="14"/>
  <c r="AQ81" i="14"/>
  <c r="AP81" i="14"/>
  <c r="AO81" i="14"/>
  <c r="AN81" i="14"/>
  <c r="AM81" i="14"/>
  <c r="AL81" i="14"/>
  <c r="AK81" i="14"/>
  <c r="AJ81" i="14"/>
  <c r="AI81" i="14"/>
  <c r="AH81" i="14"/>
  <c r="AG81" i="14"/>
  <c r="AF81" i="14"/>
  <c r="AE81" i="14"/>
  <c r="AD81" i="14"/>
  <c r="AC81" i="14"/>
  <c r="AB81" i="14"/>
  <c r="AA81" i="14"/>
  <c r="Y81" i="14"/>
  <c r="X81" i="14"/>
  <c r="W81" i="14"/>
  <c r="U81" i="14"/>
  <c r="T81" i="14"/>
  <c r="Q81" i="14"/>
  <c r="S81" i="14"/>
  <c r="P81" i="14"/>
  <c r="R81" i="14"/>
  <c r="M81" i="14"/>
  <c r="L81" i="14"/>
  <c r="K81" i="14"/>
  <c r="J81" i="14"/>
  <c r="I81" i="14"/>
  <c r="H81" i="14" a="1"/>
  <c r="H81" i="14"/>
  <c r="G81" i="14" a="1"/>
  <c r="G81" i="14"/>
  <c r="F81" i="14"/>
  <c r="E81" i="14"/>
  <c r="D81" i="14"/>
  <c r="C81" i="14"/>
  <c r="B80" i="14"/>
  <c r="AX80" i="14"/>
  <c r="AW80" i="14"/>
  <c r="AV80" i="14"/>
  <c r="AU80" i="14"/>
  <c r="AT80" i="14"/>
  <c r="AS80" i="14"/>
  <c r="AR80" i="14"/>
  <c r="AQ80" i="14"/>
  <c r="AP80" i="14"/>
  <c r="AO80" i="14"/>
  <c r="AN80" i="14"/>
  <c r="AM80" i="14"/>
  <c r="AL80" i="14"/>
  <c r="AK80" i="14"/>
  <c r="AJ80" i="14"/>
  <c r="AI80" i="14"/>
  <c r="AH80" i="14"/>
  <c r="AG80" i="14"/>
  <c r="AF80" i="14"/>
  <c r="AE80" i="14"/>
  <c r="AD80" i="14"/>
  <c r="AC80" i="14"/>
  <c r="AB80" i="14"/>
  <c r="AA80" i="14"/>
  <c r="Y80" i="14"/>
  <c r="X80" i="14"/>
  <c r="W80" i="14"/>
  <c r="U80" i="14"/>
  <c r="T80" i="14"/>
  <c r="Q80" i="14"/>
  <c r="S80" i="14"/>
  <c r="P80" i="14"/>
  <c r="R80" i="14"/>
  <c r="M80" i="14"/>
  <c r="L80" i="14"/>
  <c r="K80" i="14"/>
  <c r="J80" i="14"/>
  <c r="I80" i="14"/>
  <c r="H80" i="14" a="1"/>
  <c r="H80" i="14"/>
  <c r="G80" i="14" a="1"/>
  <c r="G80" i="14"/>
  <c r="F80" i="14"/>
  <c r="E80" i="14"/>
  <c r="D80" i="14"/>
  <c r="C80" i="14"/>
  <c r="B79" i="14"/>
  <c r="AX79" i="14"/>
  <c r="AW79" i="14"/>
  <c r="AV79" i="14"/>
  <c r="AU79" i="14"/>
  <c r="AT79" i="14"/>
  <c r="AS79" i="14"/>
  <c r="AR79" i="14"/>
  <c r="AQ79" i="14"/>
  <c r="AP79" i="14"/>
  <c r="AO79" i="14"/>
  <c r="AN79" i="14"/>
  <c r="AM79" i="14"/>
  <c r="AL79" i="14"/>
  <c r="AK79" i="14"/>
  <c r="AJ79" i="14"/>
  <c r="AI79" i="14"/>
  <c r="AH79" i="14"/>
  <c r="AG79" i="14"/>
  <c r="AF79" i="14"/>
  <c r="AE79" i="14"/>
  <c r="AD79" i="14"/>
  <c r="AC79" i="14"/>
  <c r="AB79" i="14"/>
  <c r="AA79" i="14"/>
  <c r="Y79" i="14"/>
  <c r="X79" i="14"/>
  <c r="W79" i="14"/>
  <c r="U79" i="14"/>
  <c r="T79" i="14"/>
  <c r="Q79" i="14"/>
  <c r="S79" i="14"/>
  <c r="P79" i="14"/>
  <c r="R79" i="14"/>
  <c r="M79" i="14"/>
  <c r="L79" i="14"/>
  <c r="K79" i="14"/>
  <c r="J79" i="14"/>
  <c r="I79" i="14"/>
  <c r="H79" i="14" a="1"/>
  <c r="H79" i="14"/>
  <c r="G79" i="14" a="1"/>
  <c r="G79" i="14"/>
  <c r="F79" i="14"/>
  <c r="E79" i="14"/>
  <c r="D79" i="14"/>
  <c r="C79" i="14"/>
  <c r="B78" i="14"/>
  <c r="AX78" i="14"/>
  <c r="AW78" i="14"/>
  <c r="AV78" i="14"/>
  <c r="AU78" i="14"/>
  <c r="AT78" i="14"/>
  <c r="AS78" i="14"/>
  <c r="AR78" i="14"/>
  <c r="AQ78" i="14"/>
  <c r="AP78" i="14"/>
  <c r="AO78" i="14"/>
  <c r="AN78" i="14"/>
  <c r="AM78" i="14"/>
  <c r="AL78" i="14"/>
  <c r="AK78" i="14"/>
  <c r="AJ78" i="14"/>
  <c r="AI78" i="14"/>
  <c r="AH78" i="14"/>
  <c r="AG78" i="14"/>
  <c r="AF78" i="14"/>
  <c r="AE78" i="14"/>
  <c r="AD78" i="14"/>
  <c r="AC78" i="14"/>
  <c r="AB78" i="14"/>
  <c r="AA78" i="14"/>
  <c r="Y78" i="14"/>
  <c r="X78" i="14"/>
  <c r="W78" i="14"/>
  <c r="U78" i="14"/>
  <c r="T78" i="14"/>
  <c r="Q78" i="14"/>
  <c r="S78" i="14"/>
  <c r="P78" i="14"/>
  <c r="R78" i="14"/>
  <c r="M78" i="14"/>
  <c r="L78" i="14"/>
  <c r="K78" i="14"/>
  <c r="J78" i="14"/>
  <c r="I78" i="14"/>
  <c r="H78" i="14" a="1"/>
  <c r="H78" i="14"/>
  <c r="G78" i="14" a="1"/>
  <c r="G78" i="14"/>
  <c r="F78" i="14"/>
  <c r="E78" i="14"/>
  <c r="D78" i="14"/>
  <c r="C78" i="14"/>
  <c r="B77" i="14"/>
  <c r="AX77" i="14"/>
  <c r="AW77" i="14"/>
  <c r="AV77" i="14"/>
  <c r="AU77" i="14"/>
  <c r="AT77" i="14"/>
  <c r="AS77" i="14"/>
  <c r="AR77" i="14"/>
  <c r="AQ77" i="14"/>
  <c r="AP77" i="14"/>
  <c r="AO77" i="14"/>
  <c r="AN77" i="14"/>
  <c r="AM77" i="14"/>
  <c r="AL77" i="14"/>
  <c r="AK77" i="14"/>
  <c r="AJ77" i="14"/>
  <c r="AI77" i="14"/>
  <c r="AH77" i="14"/>
  <c r="AG77" i="14"/>
  <c r="AF77" i="14"/>
  <c r="AE77" i="14"/>
  <c r="AD77" i="14"/>
  <c r="AC77" i="14"/>
  <c r="AB77" i="14"/>
  <c r="AA77" i="14"/>
  <c r="Y77" i="14"/>
  <c r="X77" i="14"/>
  <c r="W77" i="14"/>
  <c r="U77" i="14"/>
  <c r="T77" i="14"/>
  <c r="Q77" i="14"/>
  <c r="S77" i="14"/>
  <c r="P77" i="14"/>
  <c r="R77" i="14"/>
  <c r="M77" i="14"/>
  <c r="L77" i="14"/>
  <c r="K77" i="14"/>
  <c r="J77" i="14"/>
  <c r="I77" i="14"/>
  <c r="H77" i="14" a="1"/>
  <c r="H77" i="14"/>
  <c r="G77" i="14" a="1"/>
  <c r="G77" i="14"/>
  <c r="F77" i="14"/>
  <c r="E77" i="14"/>
  <c r="D77" i="14"/>
  <c r="C77" i="14"/>
  <c r="B76" i="14"/>
  <c r="AX76" i="14"/>
  <c r="AW76" i="14"/>
  <c r="AV76" i="14"/>
  <c r="AU76" i="14"/>
  <c r="AT76" i="14"/>
  <c r="AS76" i="14"/>
  <c r="AR76" i="14"/>
  <c r="AQ76" i="14"/>
  <c r="AP76" i="14"/>
  <c r="AO76" i="14"/>
  <c r="AN76" i="14"/>
  <c r="AM76" i="14"/>
  <c r="AL76" i="14"/>
  <c r="AK76" i="14"/>
  <c r="AJ76" i="14"/>
  <c r="AI76" i="14"/>
  <c r="AH76" i="14"/>
  <c r="AG76" i="14"/>
  <c r="AF76" i="14"/>
  <c r="AE76" i="14"/>
  <c r="AD76" i="14"/>
  <c r="AC76" i="14"/>
  <c r="AB76" i="14"/>
  <c r="AA76" i="14"/>
  <c r="Y76" i="14"/>
  <c r="X76" i="14"/>
  <c r="W76" i="14"/>
  <c r="U76" i="14"/>
  <c r="T76" i="14"/>
  <c r="Q76" i="14"/>
  <c r="S76" i="14"/>
  <c r="P76" i="14"/>
  <c r="R76" i="14"/>
  <c r="M76" i="14"/>
  <c r="L76" i="14"/>
  <c r="K76" i="14"/>
  <c r="J76" i="14"/>
  <c r="I76" i="14"/>
  <c r="H76" i="14" a="1"/>
  <c r="H76" i="14"/>
  <c r="G76" i="14" a="1"/>
  <c r="G76" i="14"/>
  <c r="F76" i="14"/>
  <c r="E76" i="14"/>
  <c r="D76" i="14"/>
  <c r="C76" i="14"/>
  <c r="B75" i="14"/>
  <c r="AX75" i="14"/>
  <c r="AW75" i="14"/>
  <c r="AV75" i="14"/>
  <c r="AU75" i="14"/>
  <c r="AT75" i="14"/>
  <c r="AS75" i="14"/>
  <c r="AR75" i="14"/>
  <c r="AQ75" i="14"/>
  <c r="AP75" i="14"/>
  <c r="AO75" i="14"/>
  <c r="AN75" i="14"/>
  <c r="AM75" i="14"/>
  <c r="AL75" i="14"/>
  <c r="AK75" i="14"/>
  <c r="AJ75" i="14"/>
  <c r="AI75" i="14"/>
  <c r="AH75" i="14"/>
  <c r="AG75" i="14"/>
  <c r="AF75" i="14"/>
  <c r="AE75" i="14"/>
  <c r="AD75" i="14"/>
  <c r="AC75" i="14"/>
  <c r="AB75" i="14"/>
  <c r="AA75" i="14"/>
  <c r="Y75" i="14"/>
  <c r="X75" i="14"/>
  <c r="W75" i="14"/>
  <c r="U75" i="14"/>
  <c r="T75" i="14"/>
  <c r="Q75" i="14"/>
  <c r="S75" i="14"/>
  <c r="P75" i="14"/>
  <c r="R75" i="14"/>
  <c r="M75" i="14"/>
  <c r="L75" i="14"/>
  <c r="K75" i="14"/>
  <c r="J75" i="14"/>
  <c r="I75" i="14"/>
  <c r="H75" i="14" a="1"/>
  <c r="H75" i="14"/>
  <c r="G75" i="14" a="1"/>
  <c r="G75" i="14"/>
  <c r="F75" i="14"/>
  <c r="E75" i="14"/>
  <c r="D75" i="14"/>
  <c r="C75" i="14"/>
  <c r="B74" i="14"/>
  <c r="AX74" i="14"/>
  <c r="AW74" i="14"/>
  <c r="AV74" i="14"/>
  <c r="AU74" i="14"/>
  <c r="AT74" i="14"/>
  <c r="AS74" i="14"/>
  <c r="AR74" i="14"/>
  <c r="AQ74" i="14"/>
  <c r="AP74" i="14"/>
  <c r="AO74" i="14"/>
  <c r="AN74" i="14"/>
  <c r="AM74" i="14"/>
  <c r="AL74" i="14"/>
  <c r="AK74" i="14"/>
  <c r="AJ74" i="14"/>
  <c r="AI74" i="14"/>
  <c r="AH74" i="14"/>
  <c r="AG74" i="14"/>
  <c r="AF74" i="14"/>
  <c r="AE74" i="14"/>
  <c r="AD74" i="14"/>
  <c r="AC74" i="14"/>
  <c r="AB74" i="14"/>
  <c r="AA74" i="14"/>
  <c r="Y74" i="14"/>
  <c r="X74" i="14"/>
  <c r="W74" i="14"/>
  <c r="U74" i="14"/>
  <c r="T74" i="14"/>
  <c r="Q74" i="14"/>
  <c r="S74" i="14"/>
  <c r="P74" i="14"/>
  <c r="R74" i="14"/>
  <c r="M74" i="14"/>
  <c r="L74" i="14"/>
  <c r="K74" i="14"/>
  <c r="J74" i="14"/>
  <c r="I74" i="14"/>
  <c r="H74" i="14" a="1"/>
  <c r="H74" i="14"/>
  <c r="G74" i="14" a="1"/>
  <c r="G74" i="14"/>
  <c r="F74" i="14"/>
  <c r="E74" i="14"/>
  <c r="D74" i="14"/>
  <c r="C74" i="14"/>
  <c r="B73" i="14"/>
  <c r="AX73" i="14"/>
  <c r="AW73" i="14"/>
  <c r="AV73" i="14"/>
  <c r="AU73" i="14"/>
  <c r="AT73" i="14"/>
  <c r="AS73" i="14"/>
  <c r="AR73" i="14"/>
  <c r="AQ73" i="14"/>
  <c r="AP73" i="14"/>
  <c r="AO73" i="14"/>
  <c r="AN73" i="14"/>
  <c r="AM73" i="14"/>
  <c r="AL73" i="14"/>
  <c r="AK73" i="14"/>
  <c r="AJ73" i="14"/>
  <c r="AI73" i="14"/>
  <c r="AH73" i="14"/>
  <c r="AG73" i="14"/>
  <c r="AF73" i="14"/>
  <c r="AE73" i="14"/>
  <c r="AD73" i="14"/>
  <c r="AC73" i="14"/>
  <c r="AB73" i="14"/>
  <c r="AA73" i="14"/>
  <c r="Y73" i="14"/>
  <c r="X73" i="14"/>
  <c r="W73" i="14"/>
  <c r="U73" i="14"/>
  <c r="T73" i="14"/>
  <c r="Q73" i="14"/>
  <c r="S73" i="14"/>
  <c r="P73" i="14"/>
  <c r="R73" i="14"/>
  <c r="M73" i="14"/>
  <c r="L73" i="14"/>
  <c r="K73" i="14"/>
  <c r="J73" i="14"/>
  <c r="I73" i="14"/>
  <c r="H73" i="14" a="1"/>
  <c r="H73" i="14"/>
  <c r="G73" i="14" a="1"/>
  <c r="G73" i="14"/>
  <c r="F73" i="14"/>
  <c r="E73" i="14"/>
  <c r="D73" i="14"/>
  <c r="C73" i="14"/>
  <c r="B72" i="14"/>
  <c r="AX72" i="14"/>
  <c r="AW72" i="14"/>
  <c r="AV72" i="14"/>
  <c r="AU72" i="14"/>
  <c r="AT72" i="14"/>
  <c r="AS72" i="14"/>
  <c r="AR72" i="14"/>
  <c r="AQ72" i="14"/>
  <c r="AP72" i="14"/>
  <c r="AO72" i="14"/>
  <c r="AN72" i="14"/>
  <c r="AM72" i="14"/>
  <c r="AL72" i="14"/>
  <c r="AK72" i="14"/>
  <c r="AJ72" i="14"/>
  <c r="AI72" i="14"/>
  <c r="AH72" i="14"/>
  <c r="AG72" i="14"/>
  <c r="AF72" i="14"/>
  <c r="AE72" i="14"/>
  <c r="AD72" i="14"/>
  <c r="AC72" i="14"/>
  <c r="AB72" i="14"/>
  <c r="AA72" i="14"/>
  <c r="Y72" i="14"/>
  <c r="X72" i="14"/>
  <c r="W72" i="14"/>
  <c r="U72" i="14"/>
  <c r="T72" i="14"/>
  <c r="Q72" i="14"/>
  <c r="S72" i="14"/>
  <c r="P72" i="14"/>
  <c r="R72" i="14"/>
  <c r="M72" i="14"/>
  <c r="L72" i="14"/>
  <c r="K72" i="14"/>
  <c r="J72" i="14"/>
  <c r="I72" i="14"/>
  <c r="H72" i="14" a="1"/>
  <c r="H72" i="14"/>
  <c r="G72" i="14" a="1"/>
  <c r="G72" i="14"/>
  <c r="F72" i="14"/>
  <c r="E72" i="14"/>
  <c r="D72" i="14"/>
  <c r="C72" i="14"/>
  <c r="B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Y71" i="14"/>
  <c r="X71" i="14"/>
  <c r="W71" i="14"/>
  <c r="U71" i="14"/>
  <c r="T71" i="14"/>
  <c r="Q71" i="14"/>
  <c r="S71" i="14"/>
  <c r="P71" i="14"/>
  <c r="R71" i="14"/>
  <c r="M71" i="14"/>
  <c r="L71" i="14"/>
  <c r="K71" i="14"/>
  <c r="J71" i="14"/>
  <c r="I71" i="14"/>
  <c r="H71" i="14" a="1"/>
  <c r="H71" i="14"/>
  <c r="G71" i="14" a="1"/>
  <c r="G71" i="14"/>
  <c r="F71" i="14"/>
  <c r="E71" i="14"/>
  <c r="D71" i="14"/>
  <c r="C71" i="14"/>
  <c r="B70" i="14"/>
  <c r="AX70" i="14"/>
  <c r="AW70" i="14"/>
  <c r="AV70" i="14"/>
  <c r="AU70" i="14"/>
  <c r="AT70" i="14"/>
  <c r="AS70" i="14"/>
  <c r="AR70" i="14"/>
  <c r="AQ70" i="14"/>
  <c r="AP70" i="14"/>
  <c r="AO70" i="14"/>
  <c r="AN70" i="14"/>
  <c r="AM70" i="14"/>
  <c r="AL70" i="14"/>
  <c r="AK70" i="14"/>
  <c r="AJ70" i="14"/>
  <c r="AI70" i="14"/>
  <c r="AH70" i="14"/>
  <c r="AG70" i="14"/>
  <c r="AF70" i="14"/>
  <c r="AE70" i="14"/>
  <c r="AD70" i="14"/>
  <c r="AC70" i="14"/>
  <c r="AB70" i="14"/>
  <c r="AA70" i="14"/>
  <c r="Y70" i="14"/>
  <c r="X70" i="14"/>
  <c r="W70" i="14"/>
  <c r="U70" i="14"/>
  <c r="T70" i="14"/>
  <c r="Q70" i="14"/>
  <c r="S70" i="14"/>
  <c r="P70" i="14"/>
  <c r="R70" i="14"/>
  <c r="M70" i="14"/>
  <c r="L70" i="14"/>
  <c r="K70" i="14"/>
  <c r="J70" i="14"/>
  <c r="I70" i="14"/>
  <c r="H70" i="14" a="1"/>
  <c r="H70" i="14"/>
  <c r="G70" i="14" a="1"/>
  <c r="G70" i="14"/>
  <c r="F70" i="14"/>
  <c r="E70" i="14"/>
  <c r="D70" i="14"/>
  <c r="C70" i="14"/>
  <c r="B69" i="14"/>
  <c r="AX69" i="14"/>
  <c r="AW69" i="14"/>
  <c r="AV69" i="14"/>
  <c r="AU69" i="14"/>
  <c r="AT69" i="14"/>
  <c r="AS69" i="14"/>
  <c r="AR69" i="14"/>
  <c r="AQ69" i="14"/>
  <c r="AP69" i="14"/>
  <c r="AO69" i="14"/>
  <c r="AN69" i="14"/>
  <c r="AM69" i="14"/>
  <c r="AL69" i="14"/>
  <c r="AK69" i="14"/>
  <c r="AJ69" i="14"/>
  <c r="AI69" i="14"/>
  <c r="AH69" i="14"/>
  <c r="AG69" i="14"/>
  <c r="AF69" i="14"/>
  <c r="AE69" i="14"/>
  <c r="AD69" i="14"/>
  <c r="AC69" i="14"/>
  <c r="AB69" i="14"/>
  <c r="AA69" i="14"/>
  <c r="Y69" i="14"/>
  <c r="X69" i="14"/>
  <c r="W69" i="14"/>
  <c r="U69" i="14"/>
  <c r="T69" i="14"/>
  <c r="Q69" i="14"/>
  <c r="S69" i="14"/>
  <c r="P69" i="14"/>
  <c r="R69" i="14"/>
  <c r="M69" i="14"/>
  <c r="L69" i="14"/>
  <c r="K69" i="14"/>
  <c r="J69" i="14"/>
  <c r="I69" i="14"/>
  <c r="H69" i="14" a="1"/>
  <c r="H69" i="14"/>
  <c r="G69" i="14" a="1"/>
  <c r="G69" i="14"/>
  <c r="F69" i="14"/>
  <c r="E69" i="14"/>
  <c r="D69" i="14"/>
  <c r="C69" i="14"/>
  <c r="B68" i="14"/>
  <c r="AX68" i="14"/>
  <c r="AW68" i="14"/>
  <c r="AV68" i="14"/>
  <c r="AU68" i="14"/>
  <c r="AT68" i="14"/>
  <c r="AS68" i="14"/>
  <c r="AR68" i="14"/>
  <c r="AQ68" i="14"/>
  <c r="AP68" i="14"/>
  <c r="AO68" i="14"/>
  <c r="AN68" i="14"/>
  <c r="AM68" i="14"/>
  <c r="AL68" i="14"/>
  <c r="AK68" i="14"/>
  <c r="AJ68" i="14"/>
  <c r="AI68" i="14"/>
  <c r="AH68" i="14"/>
  <c r="AG68" i="14"/>
  <c r="AF68" i="14"/>
  <c r="AE68" i="14"/>
  <c r="AD68" i="14"/>
  <c r="AC68" i="14"/>
  <c r="AB68" i="14"/>
  <c r="AA68" i="14"/>
  <c r="Y68" i="14"/>
  <c r="X68" i="14"/>
  <c r="W68" i="14"/>
  <c r="U68" i="14"/>
  <c r="T68" i="14"/>
  <c r="Q68" i="14"/>
  <c r="S68" i="14"/>
  <c r="P68" i="14"/>
  <c r="R68" i="14"/>
  <c r="M68" i="14"/>
  <c r="L68" i="14"/>
  <c r="K68" i="14"/>
  <c r="J68" i="14"/>
  <c r="I68" i="14"/>
  <c r="H68" i="14" a="1"/>
  <c r="H68" i="14"/>
  <c r="G68" i="14" a="1"/>
  <c r="G68" i="14"/>
  <c r="F68" i="14"/>
  <c r="E68" i="14"/>
  <c r="D68" i="14"/>
  <c r="C68" i="14"/>
  <c r="B67" i="14"/>
  <c r="AX67" i="14"/>
  <c r="AW67" i="14"/>
  <c r="AV67" i="14"/>
  <c r="AU67" i="14"/>
  <c r="AT67" i="14"/>
  <c r="AS67" i="14"/>
  <c r="AR67" i="14"/>
  <c r="AQ67" i="14"/>
  <c r="AP67" i="14"/>
  <c r="AO67" i="14"/>
  <c r="AN67" i="14"/>
  <c r="AM67" i="14"/>
  <c r="AL67" i="14"/>
  <c r="AK67" i="14"/>
  <c r="AJ67" i="14"/>
  <c r="AI67" i="14"/>
  <c r="AH67" i="14"/>
  <c r="AG67" i="14"/>
  <c r="AF67" i="14"/>
  <c r="AE67" i="14"/>
  <c r="AD67" i="14"/>
  <c r="AC67" i="14"/>
  <c r="AB67" i="14"/>
  <c r="AA67" i="14"/>
  <c r="Y67" i="14"/>
  <c r="X67" i="14"/>
  <c r="W67" i="14"/>
  <c r="U67" i="14"/>
  <c r="T67" i="14"/>
  <c r="Q67" i="14"/>
  <c r="S67" i="14"/>
  <c r="P67" i="14"/>
  <c r="R67" i="14"/>
  <c r="M67" i="14"/>
  <c r="L67" i="14"/>
  <c r="K67" i="14"/>
  <c r="J67" i="14"/>
  <c r="I67" i="14"/>
  <c r="H67" i="14" a="1"/>
  <c r="H67" i="14"/>
  <c r="G67" i="14" a="1"/>
  <c r="G67" i="14"/>
  <c r="F67" i="14"/>
  <c r="E67" i="14"/>
  <c r="D67" i="14"/>
  <c r="C67" i="14"/>
  <c r="B66" i="14"/>
  <c r="AX66" i="14"/>
  <c r="AW66" i="14"/>
  <c r="AV66" i="14"/>
  <c r="AU66" i="14"/>
  <c r="AT66" i="14"/>
  <c r="AS66" i="14"/>
  <c r="AR66" i="14"/>
  <c r="AQ66" i="14"/>
  <c r="AP66" i="14"/>
  <c r="AO66" i="14"/>
  <c r="AN66" i="14"/>
  <c r="AM66" i="14"/>
  <c r="AL66" i="14"/>
  <c r="AK66" i="14"/>
  <c r="AJ66" i="14"/>
  <c r="AI66" i="14"/>
  <c r="AH66" i="14"/>
  <c r="AG66" i="14"/>
  <c r="AF66" i="14"/>
  <c r="AE66" i="14"/>
  <c r="AD66" i="14"/>
  <c r="AC66" i="14"/>
  <c r="AB66" i="14"/>
  <c r="AA66" i="14"/>
  <c r="Y66" i="14"/>
  <c r="X66" i="14"/>
  <c r="W66" i="14"/>
  <c r="U66" i="14"/>
  <c r="T66" i="14"/>
  <c r="Q66" i="14"/>
  <c r="S66" i="14"/>
  <c r="P66" i="14"/>
  <c r="R66" i="14"/>
  <c r="M66" i="14"/>
  <c r="L66" i="14"/>
  <c r="K66" i="14"/>
  <c r="J66" i="14"/>
  <c r="I66" i="14"/>
  <c r="H66" i="14" a="1"/>
  <c r="H66" i="14"/>
  <c r="G66" i="14" a="1"/>
  <c r="G66" i="14"/>
  <c r="F66" i="14"/>
  <c r="E66" i="14"/>
  <c r="D66" i="14"/>
  <c r="C66" i="14"/>
  <c r="B65" i="14"/>
  <c r="AX65" i="14"/>
  <c r="AW65" i="14"/>
  <c r="AV65" i="14"/>
  <c r="AU65" i="14"/>
  <c r="AT65" i="14"/>
  <c r="AS65" i="14"/>
  <c r="AR65" i="14"/>
  <c r="AQ65" i="14"/>
  <c r="AP65" i="14"/>
  <c r="AO65" i="14"/>
  <c r="AN65" i="14"/>
  <c r="AM65" i="14"/>
  <c r="AL65" i="14"/>
  <c r="AK65" i="14"/>
  <c r="AJ65" i="14"/>
  <c r="AI65" i="14"/>
  <c r="AH65" i="14"/>
  <c r="AG65" i="14"/>
  <c r="AF65" i="14"/>
  <c r="AE65" i="14"/>
  <c r="AD65" i="14"/>
  <c r="AC65" i="14"/>
  <c r="AB65" i="14"/>
  <c r="AA65" i="14"/>
  <c r="Y65" i="14"/>
  <c r="X65" i="14"/>
  <c r="W65" i="14"/>
  <c r="U65" i="14"/>
  <c r="T65" i="14"/>
  <c r="Q65" i="14"/>
  <c r="S65" i="14"/>
  <c r="P65" i="14"/>
  <c r="R65" i="14"/>
  <c r="M65" i="14"/>
  <c r="L65" i="14"/>
  <c r="K65" i="14"/>
  <c r="J65" i="14"/>
  <c r="I65" i="14"/>
  <c r="H65" i="14" a="1"/>
  <c r="H65" i="14"/>
  <c r="G65" i="14" a="1"/>
  <c r="G65" i="14"/>
  <c r="F65" i="14"/>
  <c r="E65" i="14"/>
  <c r="D65" i="14"/>
  <c r="C65" i="14"/>
  <c r="B64" i="14"/>
  <c r="AX64" i="14"/>
  <c r="AW64" i="14"/>
  <c r="AV64" i="14"/>
  <c r="AU64" i="14"/>
  <c r="AT64" i="14"/>
  <c r="AS64" i="14"/>
  <c r="AR64" i="14"/>
  <c r="AQ64" i="14"/>
  <c r="AP64" i="14"/>
  <c r="AO64" i="14"/>
  <c r="AN64" i="14"/>
  <c r="AM64" i="14"/>
  <c r="AL64" i="14"/>
  <c r="AK64" i="14"/>
  <c r="AJ64" i="14"/>
  <c r="AI64" i="14"/>
  <c r="AH64" i="14"/>
  <c r="AG64" i="14"/>
  <c r="AF64" i="14"/>
  <c r="AE64" i="14"/>
  <c r="AD64" i="14"/>
  <c r="AC64" i="14"/>
  <c r="AB64" i="14"/>
  <c r="AA64" i="14"/>
  <c r="Y64" i="14"/>
  <c r="X64" i="14"/>
  <c r="W64" i="14"/>
  <c r="U64" i="14"/>
  <c r="T64" i="14"/>
  <c r="Q64" i="14"/>
  <c r="S64" i="14"/>
  <c r="P64" i="14"/>
  <c r="R64" i="14"/>
  <c r="M64" i="14"/>
  <c r="L64" i="14"/>
  <c r="K64" i="14"/>
  <c r="J64" i="14"/>
  <c r="I64" i="14"/>
  <c r="H64" i="14" a="1"/>
  <c r="H64" i="14"/>
  <c r="G64" i="14" a="1"/>
  <c r="G64" i="14"/>
  <c r="F64" i="14"/>
  <c r="E64" i="14"/>
  <c r="D64" i="14"/>
  <c r="C64" i="14"/>
  <c r="B63" i="14"/>
  <c r="AX63" i="14"/>
  <c r="AW63" i="14"/>
  <c r="AV63" i="14"/>
  <c r="AU63" i="14"/>
  <c r="AT63" i="14"/>
  <c r="AS63" i="14"/>
  <c r="AR63" i="14"/>
  <c r="AQ63" i="14"/>
  <c r="AP63" i="14"/>
  <c r="AO63" i="14"/>
  <c r="AN63" i="14"/>
  <c r="AM63" i="14"/>
  <c r="AL63" i="14"/>
  <c r="AK63" i="14"/>
  <c r="AJ63" i="14"/>
  <c r="AI63" i="14"/>
  <c r="AH63" i="14"/>
  <c r="AG63" i="14"/>
  <c r="AF63" i="14"/>
  <c r="AE63" i="14"/>
  <c r="AD63" i="14"/>
  <c r="AC63" i="14"/>
  <c r="AB63" i="14"/>
  <c r="AA63" i="14"/>
  <c r="Y63" i="14"/>
  <c r="X63" i="14"/>
  <c r="W63" i="14"/>
  <c r="U63" i="14"/>
  <c r="T63" i="14"/>
  <c r="Q63" i="14"/>
  <c r="S63" i="14"/>
  <c r="P63" i="14"/>
  <c r="R63" i="14"/>
  <c r="M63" i="14"/>
  <c r="L63" i="14"/>
  <c r="K63" i="14"/>
  <c r="J63" i="14"/>
  <c r="I63" i="14"/>
  <c r="H63" i="14" a="1"/>
  <c r="H63" i="14"/>
  <c r="G63" i="14" a="1"/>
  <c r="G63" i="14"/>
  <c r="F63" i="14"/>
  <c r="E63" i="14"/>
  <c r="D63" i="14"/>
  <c r="C63" i="14"/>
  <c r="B62" i="14"/>
  <c r="AX62" i="14"/>
  <c r="AW62" i="14"/>
  <c r="AV62" i="14"/>
  <c r="AU62" i="14"/>
  <c r="AT62" i="14"/>
  <c r="AS62" i="14"/>
  <c r="AR62" i="14"/>
  <c r="AQ62" i="14"/>
  <c r="AP62" i="14"/>
  <c r="AO62" i="14"/>
  <c r="AN62" i="14"/>
  <c r="AM62" i="14"/>
  <c r="AL62" i="14"/>
  <c r="AK62" i="14"/>
  <c r="AJ62" i="14"/>
  <c r="AI62" i="14"/>
  <c r="AH62" i="14"/>
  <c r="AG62" i="14"/>
  <c r="AF62" i="14"/>
  <c r="AE62" i="14"/>
  <c r="AD62" i="14"/>
  <c r="AC62" i="14"/>
  <c r="AB62" i="14"/>
  <c r="AA62" i="14"/>
  <c r="Y62" i="14"/>
  <c r="X62" i="14"/>
  <c r="W62" i="14"/>
  <c r="U62" i="14"/>
  <c r="T62" i="14"/>
  <c r="Q62" i="14"/>
  <c r="S62" i="14"/>
  <c r="P62" i="14"/>
  <c r="R62" i="14"/>
  <c r="M62" i="14"/>
  <c r="L62" i="14"/>
  <c r="K62" i="14"/>
  <c r="J62" i="14"/>
  <c r="I62" i="14"/>
  <c r="H62" i="14" a="1"/>
  <c r="H62" i="14"/>
  <c r="G62" i="14" a="1"/>
  <c r="G62" i="14"/>
  <c r="F62" i="14"/>
  <c r="E62" i="14"/>
  <c r="D62" i="14"/>
  <c r="C62" i="14"/>
  <c r="B61" i="14"/>
  <c r="AX61" i="14"/>
  <c r="AW61" i="14"/>
  <c r="AV61" i="14"/>
  <c r="AU61" i="14"/>
  <c r="AT61" i="14"/>
  <c r="AS61" i="14"/>
  <c r="AR61" i="14"/>
  <c r="AQ61" i="14"/>
  <c r="AP61" i="14"/>
  <c r="AO61" i="14"/>
  <c r="AN61" i="14"/>
  <c r="AM61" i="14"/>
  <c r="AL61" i="14"/>
  <c r="AK61" i="14"/>
  <c r="AJ61" i="14"/>
  <c r="AI61" i="14"/>
  <c r="AH61" i="14"/>
  <c r="AG61" i="14"/>
  <c r="AF61" i="14"/>
  <c r="AE61" i="14"/>
  <c r="AD61" i="14"/>
  <c r="AC61" i="14"/>
  <c r="AB61" i="14"/>
  <c r="AA61" i="14"/>
  <c r="Y61" i="14"/>
  <c r="X61" i="14"/>
  <c r="W61" i="14"/>
  <c r="U61" i="14"/>
  <c r="T61" i="14"/>
  <c r="Q61" i="14"/>
  <c r="S61" i="14"/>
  <c r="P61" i="14"/>
  <c r="R61" i="14"/>
  <c r="M61" i="14"/>
  <c r="L61" i="14"/>
  <c r="K61" i="14"/>
  <c r="J61" i="14"/>
  <c r="I61" i="14"/>
  <c r="H61" i="14" a="1"/>
  <c r="H61" i="14"/>
  <c r="G61" i="14" a="1"/>
  <c r="G61" i="14"/>
  <c r="F61" i="14"/>
  <c r="E61" i="14"/>
  <c r="D61" i="14"/>
  <c r="C61" i="14"/>
  <c r="B60" i="14"/>
  <c r="AX60" i="14"/>
  <c r="AW60" i="14"/>
  <c r="AV60" i="14"/>
  <c r="AU60" i="14"/>
  <c r="AT60" i="14"/>
  <c r="AS60" i="14"/>
  <c r="AR60" i="14"/>
  <c r="AQ60" i="14"/>
  <c r="AP60" i="14"/>
  <c r="AO60" i="14"/>
  <c r="AN60" i="14"/>
  <c r="AM60" i="14"/>
  <c r="AL60" i="14"/>
  <c r="AK60" i="14"/>
  <c r="AJ60" i="14"/>
  <c r="AI60" i="14"/>
  <c r="AH60" i="14"/>
  <c r="AG60" i="14"/>
  <c r="AF60" i="14"/>
  <c r="AE60" i="14"/>
  <c r="AD60" i="14"/>
  <c r="AC60" i="14"/>
  <c r="AB60" i="14"/>
  <c r="AA60" i="14"/>
  <c r="Y60" i="14"/>
  <c r="X60" i="14"/>
  <c r="W60" i="14"/>
  <c r="U60" i="14"/>
  <c r="T60" i="14"/>
  <c r="Q60" i="14"/>
  <c r="S60" i="14"/>
  <c r="P60" i="14"/>
  <c r="R60" i="14"/>
  <c r="M60" i="14"/>
  <c r="L60" i="14"/>
  <c r="K60" i="14"/>
  <c r="J60" i="14"/>
  <c r="I60" i="14"/>
  <c r="H60" i="14" a="1"/>
  <c r="H60" i="14"/>
  <c r="G60" i="14" a="1"/>
  <c r="G60" i="14"/>
  <c r="F60" i="14"/>
  <c r="E60" i="14"/>
  <c r="D60" i="14"/>
  <c r="C60" i="14"/>
  <c r="B59" i="14"/>
  <c r="AX59" i="14"/>
  <c r="AW59" i="14"/>
  <c r="AV59" i="14"/>
  <c r="AU59" i="14"/>
  <c r="AT59" i="14"/>
  <c r="AS59" i="14"/>
  <c r="AR59" i="14"/>
  <c r="AQ59" i="14"/>
  <c r="AP59" i="14"/>
  <c r="AO59" i="14"/>
  <c r="AN59" i="14"/>
  <c r="AM59" i="14"/>
  <c r="AL59" i="14"/>
  <c r="AK59" i="14"/>
  <c r="AJ59" i="14"/>
  <c r="AI59" i="14"/>
  <c r="AH59" i="14"/>
  <c r="AG59" i="14"/>
  <c r="AF59" i="14"/>
  <c r="AE59" i="14"/>
  <c r="AD59" i="14"/>
  <c r="AC59" i="14"/>
  <c r="AB59" i="14"/>
  <c r="AA59" i="14"/>
  <c r="Y59" i="14"/>
  <c r="X59" i="14"/>
  <c r="W59" i="14"/>
  <c r="U59" i="14"/>
  <c r="T59" i="14"/>
  <c r="Q59" i="14"/>
  <c r="S59" i="14"/>
  <c r="P59" i="14"/>
  <c r="R59" i="14"/>
  <c r="M59" i="14"/>
  <c r="L59" i="14"/>
  <c r="K59" i="14"/>
  <c r="J59" i="14"/>
  <c r="I59" i="14"/>
  <c r="H59" i="14" a="1"/>
  <c r="H59" i="14"/>
  <c r="G59" i="14" a="1"/>
  <c r="G59" i="14"/>
  <c r="F59" i="14"/>
  <c r="E59" i="14"/>
  <c r="D59" i="14"/>
  <c r="C59" i="14"/>
  <c r="B58" i="14"/>
  <c r="AX58" i="14"/>
  <c r="AW58" i="14"/>
  <c r="AV58" i="14"/>
  <c r="AU58" i="14"/>
  <c r="AT58" i="14"/>
  <c r="AS58" i="14"/>
  <c r="AR58" i="14"/>
  <c r="AQ58" i="14"/>
  <c r="AP58" i="14"/>
  <c r="AO58" i="14"/>
  <c r="AN58" i="14"/>
  <c r="AM58" i="14"/>
  <c r="AL58" i="14"/>
  <c r="AK58" i="14"/>
  <c r="AJ58" i="14"/>
  <c r="AI58" i="14"/>
  <c r="AH58" i="14"/>
  <c r="AG58" i="14"/>
  <c r="AF58" i="14"/>
  <c r="AE58" i="14"/>
  <c r="AD58" i="14"/>
  <c r="AC58" i="14"/>
  <c r="AB58" i="14"/>
  <c r="AA58" i="14"/>
  <c r="Y58" i="14"/>
  <c r="X58" i="14"/>
  <c r="W58" i="14"/>
  <c r="U58" i="14"/>
  <c r="T58" i="14"/>
  <c r="Q58" i="14"/>
  <c r="S58" i="14"/>
  <c r="P58" i="14"/>
  <c r="R58" i="14"/>
  <c r="M58" i="14"/>
  <c r="L58" i="14"/>
  <c r="K58" i="14"/>
  <c r="J58" i="14"/>
  <c r="I58" i="14"/>
  <c r="H58" i="14" a="1"/>
  <c r="H58" i="14"/>
  <c r="G58" i="14" a="1"/>
  <c r="G58" i="14"/>
  <c r="F58" i="14"/>
  <c r="E58" i="14"/>
  <c r="D58" i="14"/>
  <c r="C58" i="14"/>
  <c r="B57" i="14"/>
  <c r="AX57" i="14"/>
  <c r="AW57" i="14"/>
  <c r="AV57" i="14"/>
  <c r="AU57" i="14"/>
  <c r="AT57" i="14"/>
  <c r="AS57" i="14"/>
  <c r="AR57" i="14"/>
  <c r="AQ57" i="14"/>
  <c r="AP57" i="14"/>
  <c r="AO57" i="14"/>
  <c r="AN57" i="14"/>
  <c r="AM57" i="14"/>
  <c r="AL57" i="14"/>
  <c r="AK57" i="14"/>
  <c r="AJ57" i="14"/>
  <c r="AI57" i="14"/>
  <c r="AH57" i="14"/>
  <c r="AG57" i="14"/>
  <c r="AF57" i="14"/>
  <c r="AE57" i="14"/>
  <c r="AD57" i="14"/>
  <c r="AC57" i="14"/>
  <c r="AB57" i="14"/>
  <c r="AA57" i="14"/>
  <c r="Y57" i="14"/>
  <c r="X57" i="14"/>
  <c r="W57" i="14"/>
  <c r="U57" i="14"/>
  <c r="T57" i="14"/>
  <c r="Q57" i="14"/>
  <c r="S57" i="14"/>
  <c r="P57" i="14"/>
  <c r="R57" i="14"/>
  <c r="M57" i="14"/>
  <c r="L57" i="14"/>
  <c r="K57" i="14"/>
  <c r="J57" i="14"/>
  <c r="I57" i="14"/>
  <c r="H57" i="14" a="1"/>
  <c r="H57" i="14"/>
  <c r="G57" i="14" a="1"/>
  <c r="G57" i="14"/>
  <c r="F57" i="14"/>
  <c r="E57" i="14"/>
  <c r="D57" i="14"/>
  <c r="C57" i="14"/>
  <c r="B56" i="14"/>
  <c r="AX56" i="14"/>
  <c r="AW56" i="14"/>
  <c r="AV56" i="14"/>
  <c r="AU56" i="14"/>
  <c r="AT56" i="14"/>
  <c r="AS56" i="14"/>
  <c r="AR56" i="14"/>
  <c r="AQ56" i="14"/>
  <c r="AP56" i="14"/>
  <c r="AO56" i="14"/>
  <c r="AN56" i="14"/>
  <c r="AM56" i="14"/>
  <c r="AL56" i="14"/>
  <c r="AK56" i="14"/>
  <c r="AJ56" i="14"/>
  <c r="AI56" i="14"/>
  <c r="AH56" i="14"/>
  <c r="AG56" i="14"/>
  <c r="AF56" i="14"/>
  <c r="AE56" i="14"/>
  <c r="AD56" i="14"/>
  <c r="AC56" i="14"/>
  <c r="AB56" i="14"/>
  <c r="AA56" i="14"/>
  <c r="Y56" i="14"/>
  <c r="X56" i="14"/>
  <c r="W56" i="14"/>
  <c r="U56" i="14"/>
  <c r="T56" i="14"/>
  <c r="Q56" i="14"/>
  <c r="S56" i="14"/>
  <c r="P56" i="14"/>
  <c r="R56" i="14"/>
  <c r="M56" i="14"/>
  <c r="L56" i="14"/>
  <c r="K56" i="14"/>
  <c r="J56" i="14"/>
  <c r="I56" i="14"/>
  <c r="H56" i="14" a="1"/>
  <c r="H56" i="14"/>
  <c r="G56" i="14" a="1"/>
  <c r="G56" i="14"/>
  <c r="F56" i="14"/>
  <c r="E56" i="14"/>
  <c r="D56" i="14"/>
  <c r="C56" i="14"/>
  <c r="B55" i="14"/>
  <c r="AX55" i="14"/>
  <c r="AW55" i="14"/>
  <c r="AV55" i="14"/>
  <c r="AU55" i="14"/>
  <c r="AT55" i="14"/>
  <c r="AS55" i="14"/>
  <c r="AR55" i="14"/>
  <c r="AQ55" i="14"/>
  <c r="AP55" i="14"/>
  <c r="AO55" i="14"/>
  <c r="AN55" i="14"/>
  <c r="AM55" i="14"/>
  <c r="AL55" i="14"/>
  <c r="AK55" i="14"/>
  <c r="AJ55" i="14"/>
  <c r="AI55" i="14"/>
  <c r="AH55" i="14"/>
  <c r="AG55" i="14"/>
  <c r="AF55" i="14"/>
  <c r="AE55" i="14"/>
  <c r="AD55" i="14"/>
  <c r="AC55" i="14"/>
  <c r="AB55" i="14"/>
  <c r="AA55" i="14"/>
  <c r="Y55" i="14"/>
  <c r="X55" i="14"/>
  <c r="W55" i="14"/>
  <c r="U55" i="14"/>
  <c r="T55" i="14"/>
  <c r="Q55" i="14"/>
  <c r="S55" i="14"/>
  <c r="P55" i="14"/>
  <c r="R55" i="14"/>
  <c r="M55" i="14"/>
  <c r="L55" i="14"/>
  <c r="K55" i="14"/>
  <c r="J55" i="14"/>
  <c r="I55" i="14"/>
  <c r="H55" i="14" a="1"/>
  <c r="H55" i="14"/>
  <c r="G55" i="14" a="1"/>
  <c r="G55" i="14"/>
  <c r="F55" i="14"/>
  <c r="E55" i="14"/>
  <c r="D55" i="14"/>
  <c r="C55" i="14"/>
  <c r="B54" i="14"/>
  <c r="AX54" i="14"/>
  <c r="AW54" i="14"/>
  <c r="AV54" i="14"/>
  <c r="AU54" i="14"/>
  <c r="AT54" i="14"/>
  <c r="AS54" i="14"/>
  <c r="AR54" i="14"/>
  <c r="AQ54" i="14"/>
  <c r="AP54" i="14"/>
  <c r="AO54" i="14"/>
  <c r="AN54" i="14"/>
  <c r="AM54" i="14"/>
  <c r="AL54" i="14"/>
  <c r="AK54" i="14"/>
  <c r="AJ54" i="14"/>
  <c r="AI54" i="14"/>
  <c r="AH54" i="14"/>
  <c r="AG54" i="14"/>
  <c r="AF54" i="14"/>
  <c r="AE54" i="14"/>
  <c r="AD54" i="14"/>
  <c r="AC54" i="14"/>
  <c r="AB54" i="14"/>
  <c r="AA54" i="14"/>
  <c r="Y54" i="14"/>
  <c r="X54" i="14"/>
  <c r="W54" i="14"/>
  <c r="U54" i="14"/>
  <c r="T54" i="14"/>
  <c r="Q54" i="14"/>
  <c r="S54" i="14"/>
  <c r="P54" i="14"/>
  <c r="R54" i="14"/>
  <c r="M54" i="14"/>
  <c r="L54" i="14"/>
  <c r="K54" i="14"/>
  <c r="J54" i="14"/>
  <c r="I54" i="14"/>
  <c r="H54" i="14" a="1"/>
  <c r="H54" i="14"/>
  <c r="G54" i="14" a="1"/>
  <c r="G54" i="14"/>
  <c r="F54" i="14"/>
  <c r="E54" i="14"/>
  <c r="D54" i="14"/>
  <c r="C54" i="14"/>
  <c r="B53" i="14"/>
  <c r="AX53" i="14"/>
  <c r="AW53" i="14"/>
  <c r="AV53" i="14"/>
  <c r="AU53" i="14"/>
  <c r="AT53" i="14"/>
  <c r="AS53" i="14"/>
  <c r="AR53" i="14"/>
  <c r="AQ53" i="14"/>
  <c r="AP53" i="14"/>
  <c r="AO53" i="14"/>
  <c r="AN53" i="14"/>
  <c r="AM53" i="14"/>
  <c r="AL53" i="14"/>
  <c r="AK53" i="14"/>
  <c r="AJ53" i="14"/>
  <c r="AI53" i="14"/>
  <c r="AH53" i="14"/>
  <c r="AG53" i="14"/>
  <c r="AF53" i="14"/>
  <c r="AE53" i="14"/>
  <c r="AD53" i="14"/>
  <c r="AC53" i="14"/>
  <c r="AB53" i="14"/>
  <c r="AA53" i="14"/>
  <c r="Y53" i="14"/>
  <c r="X53" i="14"/>
  <c r="W53" i="14"/>
  <c r="U53" i="14"/>
  <c r="T53" i="14"/>
  <c r="Q53" i="14"/>
  <c r="S53" i="14"/>
  <c r="P53" i="14"/>
  <c r="R53" i="14"/>
  <c r="M53" i="14"/>
  <c r="L53" i="14"/>
  <c r="K53" i="14"/>
  <c r="J53" i="14"/>
  <c r="I53" i="14"/>
  <c r="H53" i="14" a="1"/>
  <c r="H53" i="14"/>
  <c r="G53" i="14" a="1"/>
  <c r="G53" i="14"/>
  <c r="F53" i="14"/>
  <c r="E53" i="14"/>
  <c r="D53" i="14"/>
  <c r="C53" i="14"/>
  <c r="B52" i="14"/>
  <c r="AX52" i="14"/>
  <c r="AW52" i="14"/>
  <c r="AV52" i="14"/>
  <c r="AU52" i="14"/>
  <c r="AT52" i="14"/>
  <c r="AS52" i="14"/>
  <c r="AR52" i="14"/>
  <c r="AQ52" i="14"/>
  <c r="AP52" i="14"/>
  <c r="AO52" i="14"/>
  <c r="AN52" i="14"/>
  <c r="AM52" i="14"/>
  <c r="AL52" i="14"/>
  <c r="AK52" i="14"/>
  <c r="AJ52" i="14"/>
  <c r="AI52" i="14"/>
  <c r="AH52" i="14"/>
  <c r="AG52" i="14"/>
  <c r="AF52" i="14"/>
  <c r="AE52" i="14"/>
  <c r="AD52" i="14"/>
  <c r="AC52" i="14"/>
  <c r="AB52" i="14"/>
  <c r="AA52" i="14"/>
  <c r="Y52" i="14"/>
  <c r="X52" i="14"/>
  <c r="W52" i="14"/>
  <c r="U52" i="14"/>
  <c r="T52" i="14"/>
  <c r="Q52" i="14"/>
  <c r="S52" i="14"/>
  <c r="P52" i="14"/>
  <c r="R52" i="14"/>
  <c r="M52" i="14"/>
  <c r="L52" i="14"/>
  <c r="K52" i="14"/>
  <c r="J52" i="14"/>
  <c r="I52" i="14"/>
  <c r="H52" i="14" a="1"/>
  <c r="H52" i="14"/>
  <c r="G52" i="14" a="1"/>
  <c r="G52" i="14"/>
  <c r="F52" i="14"/>
  <c r="E52" i="14"/>
  <c r="D52" i="14"/>
  <c r="C52" i="14"/>
  <c r="B51" i="14"/>
  <c r="AX51" i="14"/>
  <c r="AW51" i="14"/>
  <c r="AV51" i="14"/>
  <c r="AU51" i="14"/>
  <c r="AT51" i="14"/>
  <c r="AS51" i="14"/>
  <c r="AR51" i="14"/>
  <c r="AQ51" i="14"/>
  <c r="AP51" i="14"/>
  <c r="AO51" i="14"/>
  <c r="AN51" i="14"/>
  <c r="AM51" i="14"/>
  <c r="AL51" i="14"/>
  <c r="AK51" i="14"/>
  <c r="AJ51" i="14"/>
  <c r="AI51" i="14"/>
  <c r="AH51" i="14"/>
  <c r="AG51" i="14"/>
  <c r="AF51" i="14"/>
  <c r="AE51" i="14"/>
  <c r="AD51" i="14"/>
  <c r="AC51" i="14"/>
  <c r="AB51" i="14"/>
  <c r="AA51" i="14"/>
  <c r="Y51" i="14"/>
  <c r="X51" i="14"/>
  <c r="W51" i="14"/>
  <c r="U51" i="14"/>
  <c r="T51" i="14"/>
  <c r="Q51" i="14"/>
  <c r="S51" i="14"/>
  <c r="P51" i="14"/>
  <c r="R51" i="14"/>
  <c r="M51" i="14"/>
  <c r="L51" i="14"/>
  <c r="K51" i="14"/>
  <c r="J51" i="14"/>
  <c r="I51" i="14"/>
  <c r="H51" i="14" a="1"/>
  <c r="H51" i="14"/>
  <c r="G51" i="14" a="1"/>
  <c r="G51" i="14"/>
  <c r="F51" i="14"/>
  <c r="E51" i="14"/>
  <c r="D51" i="14"/>
  <c r="C51" i="14"/>
  <c r="B50" i="14"/>
  <c r="AX50" i="14"/>
  <c r="AW50" i="14"/>
  <c r="AV50" i="14"/>
  <c r="AU50" i="14"/>
  <c r="AT50" i="14"/>
  <c r="AS50" i="14"/>
  <c r="AR50" i="14"/>
  <c r="AQ50" i="14"/>
  <c r="AP50" i="14"/>
  <c r="AO50" i="14"/>
  <c r="AN50" i="14"/>
  <c r="AM50" i="14"/>
  <c r="AL50" i="14"/>
  <c r="AK50" i="14"/>
  <c r="AJ50" i="14"/>
  <c r="AI50" i="14"/>
  <c r="AH50" i="14"/>
  <c r="AG50" i="14"/>
  <c r="AF50" i="14"/>
  <c r="AE50" i="14"/>
  <c r="AD50" i="14"/>
  <c r="AC50" i="14"/>
  <c r="AB50" i="14"/>
  <c r="AA50" i="14"/>
  <c r="Y50" i="14"/>
  <c r="X50" i="14"/>
  <c r="W50" i="14"/>
  <c r="U50" i="14"/>
  <c r="T50" i="14"/>
  <c r="Q50" i="14"/>
  <c r="S50" i="14"/>
  <c r="P50" i="14"/>
  <c r="R50" i="14"/>
  <c r="M50" i="14"/>
  <c r="L50" i="14"/>
  <c r="K50" i="14"/>
  <c r="J50" i="14"/>
  <c r="I50" i="14"/>
  <c r="H50" i="14" a="1"/>
  <c r="H50" i="14"/>
  <c r="G50" i="14" a="1"/>
  <c r="G50" i="14"/>
  <c r="F50" i="14"/>
  <c r="E50" i="14"/>
  <c r="D50" i="14"/>
  <c r="C50" i="14"/>
  <c r="B49" i="14"/>
  <c r="AX49" i="14"/>
  <c r="AW49" i="14"/>
  <c r="AV49" i="14"/>
  <c r="AU49" i="14"/>
  <c r="AT49" i="14"/>
  <c r="AS49" i="14"/>
  <c r="AR49" i="14"/>
  <c r="AQ49" i="14"/>
  <c r="AP49" i="14"/>
  <c r="AO49" i="14"/>
  <c r="AN49" i="14"/>
  <c r="AM49" i="14"/>
  <c r="AL49" i="14"/>
  <c r="AK49" i="14"/>
  <c r="AJ49" i="14"/>
  <c r="AI49" i="14"/>
  <c r="AH49" i="14"/>
  <c r="AG49" i="14"/>
  <c r="AF49" i="14"/>
  <c r="AE49" i="14"/>
  <c r="AD49" i="14"/>
  <c r="AC49" i="14"/>
  <c r="AB49" i="14"/>
  <c r="AA49" i="14"/>
  <c r="Y49" i="14"/>
  <c r="X49" i="14"/>
  <c r="W49" i="14"/>
  <c r="U49" i="14"/>
  <c r="T49" i="14"/>
  <c r="Q49" i="14"/>
  <c r="S49" i="14"/>
  <c r="P49" i="14"/>
  <c r="R49" i="14"/>
  <c r="M49" i="14"/>
  <c r="L49" i="14"/>
  <c r="K49" i="14"/>
  <c r="J49" i="14"/>
  <c r="I49" i="14"/>
  <c r="H49" i="14" a="1"/>
  <c r="H49" i="14"/>
  <c r="G49" i="14" a="1"/>
  <c r="G49" i="14"/>
  <c r="F49" i="14"/>
  <c r="E49" i="14"/>
  <c r="D49" i="14"/>
  <c r="C49" i="14"/>
  <c r="B48" i="14"/>
  <c r="AX48" i="14"/>
  <c r="AW48" i="14"/>
  <c r="AV48" i="14"/>
  <c r="AU48" i="14"/>
  <c r="AT48" i="14"/>
  <c r="AS48" i="14"/>
  <c r="AR48" i="14"/>
  <c r="AQ48" i="14"/>
  <c r="AP48" i="14"/>
  <c r="AO48" i="14"/>
  <c r="AN48" i="14"/>
  <c r="AM48" i="14"/>
  <c r="AL48" i="14"/>
  <c r="AK48" i="14"/>
  <c r="AJ48" i="14"/>
  <c r="AI48" i="14"/>
  <c r="AH48" i="14"/>
  <c r="AG48" i="14"/>
  <c r="AF48" i="14"/>
  <c r="AE48" i="14"/>
  <c r="AD48" i="14"/>
  <c r="AC48" i="14"/>
  <c r="AB48" i="14"/>
  <c r="AA48" i="14"/>
  <c r="Y48" i="14"/>
  <c r="X48" i="14"/>
  <c r="W48" i="14"/>
  <c r="U48" i="14"/>
  <c r="T48" i="14"/>
  <c r="Q48" i="14"/>
  <c r="S48" i="14"/>
  <c r="P48" i="14"/>
  <c r="R48" i="14"/>
  <c r="M48" i="14"/>
  <c r="L48" i="14"/>
  <c r="K48" i="14"/>
  <c r="J48" i="14"/>
  <c r="I48" i="14"/>
  <c r="H48" i="14" a="1"/>
  <c r="H48" i="14"/>
  <c r="G48" i="14" a="1"/>
  <c r="G48" i="14"/>
  <c r="F48" i="14"/>
  <c r="E48" i="14"/>
  <c r="D48" i="14"/>
  <c r="C48" i="14"/>
  <c r="B47" i="14"/>
  <c r="AX47" i="14"/>
  <c r="AW47" i="14"/>
  <c r="AV47" i="14"/>
  <c r="AU47" i="14"/>
  <c r="AT47" i="14"/>
  <c r="AS47" i="14"/>
  <c r="AR47" i="14"/>
  <c r="AQ47" i="14"/>
  <c r="AP47" i="14"/>
  <c r="AO47" i="14"/>
  <c r="AN47" i="14"/>
  <c r="AM47" i="14"/>
  <c r="AL47" i="14"/>
  <c r="AK47" i="14"/>
  <c r="AJ47" i="14"/>
  <c r="AI47" i="14"/>
  <c r="AH47" i="14"/>
  <c r="AG47" i="14"/>
  <c r="AF47" i="14"/>
  <c r="AE47" i="14"/>
  <c r="AD47" i="14"/>
  <c r="AC47" i="14"/>
  <c r="AB47" i="14"/>
  <c r="AA47" i="14"/>
  <c r="Y47" i="14"/>
  <c r="X47" i="14"/>
  <c r="W47" i="14"/>
  <c r="U47" i="14"/>
  <c r="T47" i="14"/>
  <c r="Q47" i="14"/>
  <c r="S47" i="14"/>
  <c r="P47" i="14"/>
  <c r="R47" i="14"/>
  <c r="M47" i="14"/>
  <c r="L47" i="14"/>
  <c r="K47" i="14"/>
  <c r="J47" i="14"/>
  <c r="I47" i="14"/>
  <c r="H47" i="14" a="1"/>
  <c r="H47" i="14"/>
  <c r="G47" i="14" a="1"/>
  <c r="G47" i="14"/>
  <c r="F47" i="14"/>
  <c r="E47" i="14"/>
  <c r="D47" i="14"/>
  <c r="C47" i="14"/>
  <c r="B46" i="14"/>
  <c r="AX46" i="14"/>
  <c r="AW46" i="14"/>
  <c r="AV46" i="14"/>
  <c r="AU46" i="14"/>
  <c r="AT46" i="14"/>
  <c r="AS46" i="14"/>
  <c r="AR46" i="14"/>
  <c r="AQ46" i="14"/>
  <c r="AP46" i="14"/>
  <c r="AO46" i="14"/>
  <c r="AN46" i="14"/>
  <c r="AM46" i="14"/>
  <c r="AL46" i="14"/>
  <c r="AK46" i="14"/>
  <c r="AJ46" i="14"/>
  <c r="AI46" i="14"/>
  <c r="AH46" i="14"/>
  <c r="AG46" i="14"/>
  <c r="AF46" i="14"/>
  <c r="AE46" i="14"/>
  <c r="AD46" i="14"/>
  <c r="AC46" i="14"/>
  <c r="AB46" i="14"/>
  <c r="AA46" i="14"/>
  <c r="Y46" i="14"/>
  <c r="X46" i="14"/>
  <c r="B2" i="14"/>
  <c r="Y2" i="14"/>
  <c r="B3" i="14"/>
  <c r="Y3" i="14"/>
  <c r="B4" i="14"/>
  <c r="Y4" i="14"/>
  <c r="B5" i="14"/>
  <c r="Y5" i="14"/>
  <c r="B45" i="14"/>
  <c r="Y45" i="14"/>
  <c r="B44" i="14"/>
  <c r="Y44" i="14"/>
  <c r="B43" i="14"/>
  <c r="Y43" i="14"/>
  <c r="B42" i="14"/>
  <c r="Y42" i="14"/>
  <c r="B41" i="14"/>
  <c r="Y41" i="14"/>
  <c r="B40" i="14"/>
  <c r="Y40" i="14"/>
  <c r="B39" i="14"/>
  <c r="Y39" i="14"/>
  <c r="B38" i="14"/>
  <c r="Y38" i="14"/>
  <c r="B37" i="14"/>
  <c r="Y37" i="14"/>
  <c r="B36" i="14"/>
  <c r="Y36" i="14"/>
  <c r="B35" i="14"/>
  <c r="Y35" i="14"/>
  <c r="B34" i="14"/>
  <c r="Y34" i="14"/>
  <c r="B33" i="14"/>
  <c r="Y33" i="14"/>
  <c r="B32" i="14"/>
  <c r="Y32" i="14"/>
  <c r="B31" i="14"/>
  <c r="Y31" i="14"/>
  <c r="B30" i="14"/>
  <c r="Y30" i="14"/>
  <c r="B29" i="14"/>
  <c r="Y29" i="14"/>
  <c r="B28" i="14"/>
  <c r="Y28" i="14"/>
  <c r="B27" i="14"/>
  <c r="Y27" i="14"/>
  <c r="B26" i="14"/>
  <c r="Y26" i="14"/>
  <c r="B25" i="14"/>
  <c r="Y25" i="14"/>
  <c r="B24" i="14"/>
  <c r="Y24" i="14"/>
  <c r="B23" i="14"/>
  <c r="Y23" i="14"/>
  <c r="B22" i="14"/>
  <c r="Y22" i="14"/>
  <c r="B21" i="14"/>
  <c r="Y21" i="14"/>
  <c r="B20" i="14"/>
  <c r="Y20" i="14"/>
  <c r="B19" i="14"/>
  <c r="Y19" i="14"/>
  <c r="B18" i="14"/>
  <c r="Y18" i="14"/>
  <c r="B17" i="14"/>
  <c r="Y17" i="14"/>
  <c r="B16" i="14"/>
  <c r="Y16" i="14"/>
  <c r="B15" i="14"/>
  <c r="Y15" i="14"/>
  <c r="B14" i="14"/>
  <c r="Y14" i="14"/>
  <c r="B13" i="14"/>
  <c r="Y13" i="14"/>
  <c r="B12" i="14"/>
  <c r="Y12" i="14"/>
  <c r="B11" i="14"/>
  <c r="Y11" i="14"/>
  <c r="B10" i="14"/>
  <c r="Y10" i="14"/>
  <c r="B9" i="14"/>
  <c r="Y9" i="14"/>
  <c r="B8" i="14"/>
  <c r="Y8" i="14"/>
  <c r="B7" i="14"/>
  <c r="Y7" i="14"/>
  <c r="B6" i="14"/>
  <c r="Y6" i="14"/>
  <c r="W46" i="14"/>
  <c r="C46" i="14"/>
  <c r="D46" i="14"/>
  <c r="F46" i="14"/>
  <c r="U46" i="14"/>
  <c r="T46" i="14"/>
  <c r="Q46" i="14"/>
  <c r="P46" i="14"/>
  <c r="L46" i="14"/>
  <c r="M46" i="14"/>
  <c r="C2" i="14"/>
  <c r="D2" i="14"/>
  <c r="X2" i="14"/>
  <c r="F2" i="14"/>
  <c r="L2" i="14"/>
  <c r="M2" i="14"/>
  <c r="C3" i="14"/>
  <c r="D3" i="14"/>
  <c r="X3" i="14"/>
  <c r="F3" i="14"/>
  <c r="L3" i="14"/>
  <c r="M3" i="14"/>
  <c r="C4" i="14"/>
  <c r="D4" i="14"/>
  <c r="X4" i="14"/>
  <c r="F4" i="14"/>
  <c r="L4" i="14"/>
  <c r="M4" i="14"/>
  <c r="C45" i="14"/>
  <c r="D45" i="14"/>
  <c r="X45" i="14"/>
  <c r="F45" i="14"/>
  <c r="L45" i="14"/>
  <c r="M45" i="14"/>
  <c r="C44" i="14"/>
  <c r="D44" i="14"/>
  <c r="X44" i="14"/>
  <c r="F44" i="14"/>
  <c r="L44" i="14"/>
  <c r="M44" i="14"/>
  <c r="C43" i="14"/>
  <c r="D43" i="14"/>
  <c r="X43" i="14"/>
  <c r="F43" i="14"/>
  <c r="L43" i="14"/>
  <c r="M43" i="14"/>
  <c r="C42" i="14"/>
  <c r="D42" i="14"/>
  <c r="X42" i="14"/>
  <c r="F42" i="14"/>
  <c r="L42" i="14"/>
  <c r="M42" i="14"/>
  <c r="C41" i="14"/>
  <c r="D41" i="14"/>
  <c r="X41" i="14"/>
  <c r="F41" i="14"/>
  <c r="L41" i="14"/>
  <c r="M41" i="14"/>
  <c r="C40" i="14"/>
  <c r="D40" i="14"/>
  <c r="X40" i="14"/>
  <c r="F40" i="14"/>
  <c r="L40" i="14"/>
  <c r="M40" i="14"/>
  <c r="C39" i="14"/>
  <c r="D39" i="14"/>
  <c r="X39" i="14"/>
  <c r="F39" i="14"/>
  <c r="L39" i="14"/>
  <c r="M39" i="14"/>
  <c r="C38" i="14"/>
  <c r="D38" i="14"/>
  <c r="X38" i="14"/>
  <c r="F38" i="14"/>
  <c r="L38" i="14"/>
  <c r="M38" i="14"/>
  <c r="C37" i="14"/>
  <c r="D37" i="14"/>
  <c r="X37" i="14"/>
  <c r="F37" i="14"/>
  <c r="L37" i="14"/>
  <c r="M37" i="14"/>
  <c r="C36" i="14"/>
  <c r="D36" i="14"/>
  <c r="X36" i="14"/>
  <c r="F36" i="14"/>
  <c r="L36" i="14"/>
  <c r="M36" i="14"/>
  <c r="C35" i="14"/>
  <c r="D35" i="14"/>
  <c r="X35" i="14"/>
  <c r="F35" i="14"/>
  <c r="L35" i="14"/>
  <c r="M35" i="14"/>
  <c r="C34" i="14"/>
  <c r="D34" i="14"/>
  <c r="X34" i="14"/>
  <c r="F34" i="14"/>
  <c r="L34" i="14"/>
  <c r="M34" i="14"/>
  <c r="C33" i="14"/>
  <c r="D33" i="14"/>
  <c r="X33" i="14"/>
  <c r="F33" i="14"/>
  <c r="L33" i="14"/>
  <c r="M33" i="14"/>
  <c r="C32" i="14"/>
  <c r="D32" i="14"/>
  <c r="X32" i="14"/>
  <c r="F32" i="14"/>
  <c r="L32" i="14"/>
  <c r="M32" i="14"/>
  <c r="C31" i="14"/>
  <c r="D31" i="14"/>
  <c r="X31" i="14"/>
  <c r="F31" i="14"/>
  <c r="L31" i="14"/>
  <c r="M31" i="14"/>
  <c r="C30" i="14"/>
  <c r="D30" i="14"/>
  <c r="X30" i="14"/>
  <c r="F30" i="14"/>
  <c r="L30" i="14"/>
  <c r="M30" i="14"/>
  <c r="C29" i="14"/>
  <c r="D29" i="14"/>
  <c r="X29" i="14"/>
  <c r="F29" i="14"/>
  <c r="L29" i="14"/>
  <c r="M29" i="14"/>
  <c r="C28" i="14"/>
  <c r="D28" i="14"/>
  <c r="X28" i="14"/>
  <c r="F28" i="14"/>
  <c r="L28" i="14"/>
  <c r="M28" i="14"/>
  <c r="C27" i="14"/>
  <c r="D27" i="14"/>
  <c r="X27" i="14"/>
  <c r="F27" i="14"/>
  <c r="L27" i="14"/>
  <c r="M27" i="14"/>
  <c r="C26" i="14"/>
  <c r="D26" i="14"/>
  <c r="X26" i="14"/>
  <c r="F26" i="14"/>
  <c r="L26" i="14"/>
  <c r="M26" i="14"/>
  <c r="C25" i="14"/>
  <c r="D25" i="14"/>
  <c r="X25" i="14"/>
  <c r="F25" i="14"/>
  <c r="L25" i="14"/>
  <c r="M25" i="14"/>
  <c r="C24" i="14"/>
  <c r="D24" i="14"/>
  <c r="X24" i="14"/>
  <c r="F24" i="14"/>
  <c r="L24" i="14"/>
  <c r="M24" i="14"/>
  <c r="C23" i="14"/>
  <c r="D23" i="14"/>
  <c r="X23" i="14"/>
  <c r="F23" i="14"/>
  <c r="L23" i="14"/>
  <c r="M23" i="14"/>
  <c r="C22" i="14"/>
  <c r="D22" i="14"/>
  <c r="X22" i="14"/>
  <c r="F22" i="14"/>
  <c r="L22" i="14"/>
  <c r="M22" i="14"/>
  <c r="C21" i="14"/>
  <c r="D21" i="14"/>
  <c r="X21" i="14"/>
  <c r="F21" i="14"/>
  <c r="L21" i="14"/>
  <c r="M21" i="14"/>
  <c r="C20" i="14"/>
  <c r="D20" i="14"/>
  <c r="X20" i="14"/>
  <c r="F20" i="14"/>
  <c r="L20" i="14"/>
  <c r="M20" i="14"/>
  <c r="C19" i="14"/>
  <c r="D19" i="14"/>
  <c r="X19" i="14"/>
  <c r="F19" i="14"/>
  <c r="L19" i="14"/>
  <c r="M19" i="14"/>
  <c r="C18" i="14"/>
  <c r="D18" i="14"/>
  <c r="X18" i="14"/>
  <c r="F18" i="14"/>
  <c r="L18" i="14"/>
  <c r="M18" i="14"/>
  <c r="C17" i="14"/>
  <c r="D17" i="14"/>
  <c r="X17" i="14"/>
  <c r="F17" i="14"/>
  <c r="L17" i="14"/>
  <c r="M17" i="14"/>
  <c r="C16" i="14"/>
  <c r="D16" i="14"/>
  <c r="X16" i="14"/>
  <c r="F16" i="14"/>
  <c r="L16" i="14"/>
  <c r="M16" i="14"/>
  <c r="C15" i="14"/>
  <c r="D15" i="14"/>
  <c r="X15" i="14"/>
  <c r="F15" i="14"/>
  <c r="L15" i="14"/>
  <c r="M15" i="14"/>
  <c r="C14" i="14"/>
  <c r="D14" i="14"/>
  <c r="X14" i="14"/>
  <c r="F14" i="14"/>
  <c r="L14" i="14"/>
  <c r="M14" i="14"/>
  <c r="C13" i="14"/>
  <c r="D13" i="14"/>
  <c r="X13" i="14"/>
  <c r="F13" i="14"/>
  <c r="L13" i="14"/>
  <c r="M13" i="14"/>
  <c r="C12" i="14"/>
  <c r="D12" i="14"/>
  <c r="X12" i="14"/>
  <c r="F12" i="14"/>
  <c r="L12" i="14"/>
  <c r="M12" i="14"/>
  <c r="C11" i="14"/>
  <c r="D11" i="14"/>
  <c r="X11" i="14"/>
  <c r="F11" i="14"/>
  <c r="L11" i="14"/>
  <c r="M11" i="14"/>
  <c r="C10" i="14"/>
  <c r="D10" i="14"/>
  <c r="X10" i="14"/>
  <c r="F10" i="14"/>
  <c r="L10" i="14"/>
  <c r="M10" i="14"/>
  <c r="C9" i="14"/>
  <c r="D9" i="14"/>
  <c r="X9" i="14"/>
  <c r="F9" i="14"/>
  <c r="L9" i="14"/>
  <c r="M9" i="14"/>
  <c r="C8" i="14"/>
  <c r="D8" i="14"/>
  <c r="X8" i="14"/>
  <c r="F8" i="14"/>
  <c r="L8" i="14"/>
  <c r="M8" i="14"/>
  <c r="C7" i="14"/>
  <c r="D7" i="14"/>
  <c r="X7" i="14"/>
  <c r="F7" i="14"/>
  <c r="L7" i="14"/>
  <c r="M7" i="14"/>
  <c r="C6" i="14"/>
  <c r="D6" i="14"/>
  <c r="X6" i="14"/>
  <c r="F6" i="14"/>
  <c r="L6" i="14"/>
  <c r="M6" i="14"/>
  <c r="C5" i="14"/>
  <c r="D5" i="14"/>
  <c r="X5" i="14"/>
  <c r="F5" i="14"/>
  <c r="L5" i="14"/>
  <c r="M5" i="14"/>
  <c r="K46" i="14"/>
  <c r="H46" i="14" a="1"/>
  <c r="H46" i="14"/>
  <c r="G46" i="14" a="1"/>
  <c r="G46" i="14"/>
  <c r="E46" i="14"/>
  <c r="AX45" i="14"/>
  <c r="AW45" i="14"/>
  <c r="AV45" i="14"/>
  <c r="AU45" i="14"/>
  <c r="AT45" i="14"/>
  <c r="AS45" i="14"/>
  <c r="AR45" i="14"/>
  <c r="AQ45" i="14"/>
  <c r="AP45" i="14"/>
  <c r="AO45" i="14"/>
  <c r="AN45" i="14"/>
  <c r="AM45" i="14"/>
  <c r="AL45" i="14"/>
  <c r="AK45" i="14"/>
  <c r="AJ45" i="14"/>
  <c r="AI45" i="14"/>
  <c r="AH45" i="14"/>
  <c r="AG45" i="14"/>
  <c r="AF45" i="14"/>
  <c r="AE45" i="14"/>
  <c r="AD45" i="14"/>
  <c r="AC45" i="14"/>
  <c r="AB45" i="14"/>
  <c r="AA45" i="14"/>
  <c r="W45" i="14"/>
  <c r="U45" i="14"/>
  <c r="T45" i="14"/>
  <c r="Q45" i="14"/>
  <c r="P45" i="14"/>
  <c r="K45" i="14"/>
  <c r="H45" i="14" a="1"/>
  <c r="H45" i="14"/>
  <c r="G45" i="14" a="1"/>
  <c r="G45" i="14"/>
  <c r="E45" i="14"/>
  <c r="AX44" i="14"/>
  <c r="AW44" i="14"/>
  <c r="AV44" i="14"/>
  <c r="AU44" i="14"/>
  <c r="AT44" i="14"/>
  <c r="AS44" i="14"/>
  <c r="AR44" i="14"/>
  <c r="AQ44" i="14"/>
  <c r="AP44" i="14"/>
  <c r="AO44" i="14"/>
  <c r="AN44" i="14"/>
  <c r="AM44" i="14"/>
  <c r="AL44" i="14"/>
  <c r="AK44" i="14"/>
  <c r="AJ44" i="14"/>
  <c r="AI44" i="14"/>
  <c r="AH44" i="14"/>
  <c r="AG44" i="14"/>
  <c r="AF44" i="14"/>
  <c r="AE44" i="14"/>
  <c r="AD44" i="14"/>
  <c r="AC44" i="14"/>
  <c r="AB44" i="14"/>
  <c r="AA44" i="14"/>
  <c r="W44" i="14"/>
  <c r="U44" i="14"/>
  <c r="T44" i="14"/>
  <c r="Q44" i="14"/>
  <c r="P44" i="14"/>
  <c r="K44" i="14"/>
  <c r="H44" i="14" a="1"/>
  <c r="H44" i="14"/>
  <c r="G44" i="14" a="1"/>
  <c r="G44" i="14"/>
  <c r="E44"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W43" i="14"/>
  <c r="U43" i="14"/>
  <c r="T43" i="14"/>
  <c r="Q43" i="14"/>
  <c r="P43" i="14"/>
  <c r="K43" i="14"/>
  <c r="H43" i="14" a="1"/>
  <c r="H43" i="14"/>
  <c r="G43" i="14" a="1"/>
  <c r="G43" i="14"/>
  <c r="E43" i="14"/>
  <c r="AX42" i="14"/>
  <c r="AW42" i="14"/>
  <c r="AV42" i="14"/>
  <c r="AU42" i="14"/>
  <c r="AT42" i="14"/>
  <c r="AS42" i="14"/>
  <c r="AR42" i="14"/>
  <c r="AQ42" i="14"/>
  <c r="AP42" i="14"/>
  <c r="AO42" i="14"/>
  <c r="AN42" i="14"/>
  <c r="AM42" i="14"/>
  <c r="AL42" i="14"/>
  <c r="AK42" i="14"/>
  <c r="AJ42" i="14"/>
  <c r="AI42" i="14"/>
  <c r="AH42" i="14"/>
  <c r="AG42" i="14"/>
  <c r="AF42" i="14"/>
  <c r="AE42" i="14"/>
  <c r="AD42" i="14"/>
  <c r="AC42" i="14"/>
  <c r="AB42" i="14"/>
  <c r="AA42" i="14"/>
  <c r="W42" i="14"/>
  <c r="U42" i="14"/>
  <c r="T42" i="14"/>
  <c r="Q42" i="14"/>
  <c r="P42" i="14"/>
  <c r="K42" i="14"/>
  <c r="H42" i="14" a="1"/>
  <c r="H42" i="14"/>
  <c r="G42" i="14" a="1"/>
  <c r="G42" i="14"/>
  <c r="E42" i="14"/>
  <c r="AX41" i="14"/>
  <c r="AW41" i="14"/>
  <c r="AV41" i="14"/>
  <c r="AU41" i="14"/>
  <c r="AT41" i="14"/>
  <c r="AS41" i="14"/>
  <c r="AR41" i="14"/>
  <c r="AQ41" i="14"/>
  <c r="AP41" i="14"/>
  <c r="AO41" i="14"/>
  <c r="AN41" i="14"/>
  <c r="AM41" i="14"/>
  <c r="AL41" i="14"/>
  <c r="AK41" i="14"/>
  <c r="AJ41" i="14"/>
  <c r="AI41" i="14"/>
  <c r="AH41" i="14"/>
  <c r="AG41" i="14"/>
  <c r="AF41" i="14"/>
  <c r="AE41" i="14"/>
  <c r="AD41" i="14"/>
  <c r="AC41" i="14"/>
  <c r="AB41" i="14"/>
  <c r="AA41" i="14"/>
  <c r="W41" i="14"/>
  <c r="U41" i="14"/>
  <c r="T41" i="14"/>
  <c r="Q41" i="14"/>
  <c r="P41" i="14"/>
  <c r="K41" i="14"/>
  <c r="H41" i="14" a="1"/>
  <c r="H41" i="14"/>
  <c r="G41" i="14" a="1"/>
  <c r="G41" i="14"/>
  <c r="E41" i="14"/>
  <c r="AX40" i="14"/>
  <c r="AW40" i="14"/>
  <c r="AV40" i="14"/>
  <c r="AU40" i="14"/>
  <c r="AT40" i="14"/>
  <c r="AS40" i="14"/>
  <c r="AR40" i="14"/>
  <c r="AQ40" i="14"/>
  <c r="AP40" i="14"/>
  <c r="AO40" i="14"/>
  <c r="AN40" i="14"/>
  <c r="AM40" i="14"/>
  <c r="AL40" i="14"/>
  <c r="AK40" i="14"/>
  <c r="AJ40" i="14"/>
  <c r="AI40" i="14"/>
  <c r="AH40" i="14"/>
  <c r="AG40" i="14"/>
  <c r="AF40" i="14"/>
  <c r="AE40" i="14"/>
  <c r="AD40" i="14"/>
  <c r="AC40" i="14"/>
  <c r="AB40" i="14"/>
  <c r="AA40" i="14"/>
  <c r="W40" i="14"/>
  <c r="U40" i="14"/>
  <c r="T40" i="14"/>
  <c r="Q40" i="14"/>
  <c r="P40" i="14"/>
  <c r="K40" i="14"/>
  <c r="H40" i="14" a="1"/>
  <c r="H40" i="14"/>
  <c r="G40" i="14" a="1"/>
  <c r="G40" i="14"/>
  <c r="E40" i="14"/>
  <c r="AX39" i="14"/>
  <c r="AW39" i="14"/>
  <c r="AV39" i="14"/>
  <c r="AU39" i="14"/>
  <c r="AT39" i="14"/>
  <c r="AS39" i="14"/>
  <c r="AR39" i="14"/>
  <c r="AQ39" i="14"/>
  <c r="AP39" i="14"/>
  <c r="AO39" i="14"/>
  <c r="AN39" i="14"/>
  <c r="AM39" i="14"/>
  <c r="AL39" i="14"/>
  <c r="AK39" i="14"/>
  <c r="AJ39" i="14"/>
  <c r="AI39" i="14"/>
  <c r="AH39" i="14"/>
  <c r="AG39" i="14"/>
  <c r="AF39" i="14"/>
  <c r="AE39" i="14"/>
  <c r="AD39" i="14"/>
  <c r="AC39" i="14"/>
  <c r="AB39" i="14"/>
  <c r="AA39" i="14"/>
  <c r="W39" i="14"/>
  <c r="U39" i="14"/>
  <c r="T39" i="14"/>
  <c r="Q39" i="14"/>
  <c r="P39" i="14"/>
  <c r="K39" i="14"/>
  <c r="H39" i="14" a="1"/>
  <c r="H39" i="14"/>
  <c r="G39" i="14" a="1"/>
  <c r="G39" i="14"/>
  <c r="E39" i="14"/>
  <c r="AX38" i="14"/>
  <c r="AW38" i="14"/>
  <c r="AV38" i="14"/>
  <c r="AU38" i="14"/>
  <c r="AT38" i="14"/>
  <c r="AS38" i="14"/>
  <c r="AR38" i="14"/>
  <c r="AQ38" i="14"/>
  <c r="AP38" i="14"/>
  <c r="AO38" i="14"/>
  <c r="AN38" i="14"/>
  <c r="AM38" i="14"/>
  <c r="AL38" i="14"/>
  <c r="AK38" i="14"/>
  <c r="AJ38" i="14"/>
  <c r="AI38" i="14"/>
  <c r="AH38" i="14"/>
  <c r="AG38" i="14"/>
  <c r="AF38" i="14"/>
  <c r="AE38" i="14"/>
  <c r="AD38" i="14"/>
  <c r="AC38" i="14"/>
  <c r="AB38" i="14"/>
  <c r="AA38" i="14"/>
  <c r="W38" i="14"/>
  <c r="U38" i="14"/>
  <c r="T38" i="14"/>
  <c r="Q38" i="14"/>
  <c r="P38" i="14"/>
  <c r="K38" i="14"/>
  <c r="H38" i="14" a="1"/>
  <c r="H38" i="14"/>
  <c r="G38" i="14" a="1"/>
  <c r="G38" i="14"/>
  <c r="E38" i="14"/>
  <c r="AX37" i="14"/>
  <c r="AW37" i="14"/>
  <c r="AV37" i="14"/>
  <c r="AU37" i="14"/>
  <c r="AT37" i="14"/>
  <c r="AS37" i="14"/>
  <c r="AR37" i="14"/>
  <c r="AQ37" i="14"/>
  <c r="AP37" i="14"/>
  <c r="AO37" i="14"/>
  <c r="AN37" i="14"/>
  <c r="AM37" i="14"/>
  <c r="AL37" i="14"/>
  <c r="AK37" i="14"/>
  <c r="AJ37" i="14"/>
  <c r="AI37" i="14"/>
  <c r="AH37" i="14"/>
  <c r="AG37" i="14"/>
  <c r="AF37" i="14"/>
  <c r="AE37" i="14"/>
  <c r="AD37" i="14"/>
  <c r="AC37" i="14"/>
  <c r="AB37" i="14"/>
  <c r="AA37" i="14"/>
  <c r="W37" i="14"/>
  <c r="U37" i="14"/>
  <c r="T37" i="14"/>
  <c r="Q37" i="14"/>
  <c r="P37" i="14"/>
  <c r="K37" i="14"/>
  <c r="H37" i="14" a="1"/>
  <c r="H37" i="14"/>
  <c r="G37" i="14" a="1"/>
  <c r="G37" i="14"/>
  <c r="E37" i="14"/>
  <c r="AX36" i="14"/>
  <c r="AW36" i="14"/>
  <c r="AV36" i="14"/>
  <c r="AU36" i="14"/>
  <c r="AT36" i="14"/>
  <c r="AS36" i="14"/>
  <c r="AR36" i="14"/>
  <c r="AQ36" i="14"/>
  <c r="AP36" i="14"/>
  <c r="AO36" i="14"/>
  <c r="AN36" i="14"/>
  <c r="AM36" i="14"/>
  <c r="AL36" i="14"/>
  <c r="AK36" i="14"/>
  <c r="AJ36" i="14"/>
  <c r="AI36" i="14"/>
  <c r="AH36" i="14"/>
  <c r="AG36" i="14"/>
  <c r="AF36" i="14"/>
  <c r="AE36" i="14"/>
  <c r="AD36" i="14"/>
  <c r="AC36" i="14"/>
  <c r="AB36" i="14"/>
  <c r="AA36" i="14"/>
  <c r="W36" i="14"/>
  <c r="U36" i="14"/>
  <c r="T36" i="14"/>
  <c r="Q36" i="14"/>
  <c r="P36" i="14"/>
  <c r="K36" i="14"/>
  <c r="H36" i="14" a="1"/>
  <c r="H36" i="14"/>
  <c r="G36" i="14" a="1"/>
  <c r="G36" i="14"/>
  <c r="E36" i="14"/>
  <c r="AX35" i="14"/>
  <c r="AW35" i="14"/>
  <c r="AV35" i="14"/>
  <c r="AU35" i="14"/>
  <c r="AT35" i="14"/>
  <c r="AS35" i="14"/>
  <c r="AR35" i="14"/>
  <c r="AQ35" i="14"/>
  <c r="AP35" i="14"/>
  <c r="AO35" i="14"/>
  <c r="AN35" i="14"/>
  <c r="AM35" i="14"/>
  <c r="AL35" i="14"/>
  <c r="AK35" i="14"/>
  <c r="AJ35" i="14"/>
  <c r="AI35" i="14"/>
  <c r="AH35" i="14"/>
  <c r="AG35" i="14"/>
  <c r="AF35" i="14"/>
  <c r="AE35" i="14"/>
  <c r="AD35" i="14"/>
  <c r="AC35" i="14"/>
  <c r="AB35" i="14"/>
  <c r="AA35" i="14"/>
  <c r="W35" i="14"/>
  <c r="U35" i="14"/>
  <c r="T35" i="14"/>
  <c r="Q35" i="14"/>
  <c r="P35" i="14"/>
  <c r="K35" i="14"/>
  <c r="H35" i="14" a="1"/>
  <c r="H35" i="14"/>
  <c r="G35" i="14" a="1"/>
  <c r="G35" i="14"/>
  <c r="E35" i="14"/>
  <c r="AX34" i="14"/>
  <c r="AW34" i="14"/>
  <c r="AV34" i="14"/>
  <c r="AU34" i="14"/>
  <c r="AT34" i="14"/>
  <c r="AS34" i="14"/>
  <c r="AR34" i="14"/>
  <c r="AQ34" i="14"/>
  <c r="AP34" i="14"/>
  <c r="AO34" i="14"/>
  <c r="AN34" i="14"/>
  <c r="AM34" i="14"/>
  <c r="AL34" i="14"/>
  <c r="AK34" i="14"/>
  <c r="AJ34" i="14"/>
  <c r="AI34" i="14"/>
  <c r="AH34" i="14"/>
  <c r="AG34" i="14"/>
  <c r="AF34" i="14"/>
  <c r="AE34" i="14"/>
  <c r="AD34" i="14"/>
  <c r="AC34" i="14"/>
  <c r="AB34" i="14"/>
  <c r="AA34" i="14"/>
  <c r="W34" i="14"/>
  <c r="U34" i="14"/>
  <c r="T34" i="14"/>
  <c r="Q34" i="14"/>
  <c r="P34" i="14"/>
  <c r="K34" i="14"/>
  <c r="H34" i="14" a="1"/>
  <c r="H34" i="14"/>
  <c r="G34" i="14" a="1"/>
  <c r="G34" i="14"/>
  <c r="E34" i="14"/>
  <c r="AX33" i="14"/>
  <c r="AW33" i="14"/>
  <c r="AV33" i="14"/>
  <c r="AU33" i="14"/>
  <c r="AT33" i="14"/>
  <c r="AS33" i="14"/>
  <c r="AR33" i="14"/>
  <c r="AQ33" i="14"/>
  <c r="AP33" i="14"/>
  <c r="AO33" i="14"/>
  <c r="AN33" i="14"/>
  <c r="AM33" i="14"/>
  <c r="AL33" i="14"/>
  <c r="AK33" i="14"/>
  <c r="AJ33" i="14"/>
  <c r="AI33" i="14"/>
  <c r="AH33" i="14"/>
  <c r="AG33" i="14"/>
  <c r="AF33" i="14"/>
  <c r="AE33" i="14"/>
  <c r="AD33" i="14"/>
  <c r="AC33" i="14"/>
  <c r="AB33" i="14"/>
  <c r="AA33" i="14"/>
  <c r="W33" i="14"/>
  <c r="U33" i="14"/>
  <c r="T33" i="14"/>
  <c r="Q33" i="14"/>
  <c r="P33" i="14"/>
  <c r="K33" i="14"/>
  <c r="H33" i="14" a="1"/>
  <c r="H33" i="14"/>
  <c r="G33" i="14" a="1"/>
  <c r="G33" i="14"/>
  <c r="E33" i="14"/>
  <c r="AX32" i="14"/>
  <c r="AW32" i="14"/>
  <c r="AV32" i="14"/>
  <c r="AU32" i="14"/>
  <c r="AT32" i="14"/>
  <c r="AS32" i="14"/>
  <c r="AR32" i="14"/>
  <c r="AQ32" i="14"/>
  <c r="AP32" i="14"/>
  <c r="AO32" i="14"/>
  <c r="AN32" i="14"/>
  <c r="AM32" i="14"/>
  <c r="AL32" i="14"/>
  <c r="AK32" i="14"/>
  <c r="AJ32" i="14"/>
  <c r="AI32" i="14"/>
  <c r="AH32" i="14"/>
  <c r="AG32" i="14"/>
  <c r="AF32" i="14"/>
  <c r="AE32" i="14"/>
  <c r="AD32" i="14"/>
  <c r="AC32" i="14"/>
  <c r="AB32" i="14"/>
  <c r="AA32" i="14"/>
  <c r="W32" i="14"/>
  <c r="U32" i="14"/>
  <c r="T32" i="14"/>
  <c r="Q32" i="14"/>
  <c r="P32" i="14"/>
  <c r="K32" i="14"/>
  <c r="H32" i="14" a="1"/>
  <c r="H32" i="14"/>
  <c r="G32" i="14" a="1"/>
  <c r="G32" i="14"/>
  <c r="E32" i="14"/>
  <c r="AX31" i="14"/>
  <c r="AW31" i="14"/>
  <c r="AV31" i="14"/>
  <c r="AU31" i="14"/>
  <c r="AT31" i="14"/>
  <c r="AS31" i="14"/>
  <c r="AR31" i="14"/>
  <c r="AQ31" i="14"/>
  <c r="AP31" i="14"/>
  <c r="AO31" i="14"/>
  <c r="AN31" i="14"/>
  <c r="AM31" i="14"/>
  <c r="AL31" i="14"/>
  <c r="AK31" i="14"/>
  <c r="AJ31" i="14"/>
  <c r="AI31" i="14"/>
  <c r="AH31" i="14"/>
  <c r="AG31" i="14"/>
  <c r="AF31" i="14"/>
  <c r="AE31" i="14"/>
  <c r="AD31" i="14"/>
  <c r="AC31" i="14"/>
  <c r="AB31" i="14"/>
  <c r="AA31" i="14"/>
  <c r="W31" i="14"/>
  <c r="U31" i="14"/>
  <c r="T31" i="14"/>
  <c r="Q31" i="14"/>
  <c r="P31" i="14"/>
  <c r="K31" i="14"/>
  <c r="H31" i="14" a="1"/>
  <c r="H31" i="14"/>
  <c r="G31" i="14" a="1"/>
  <c r="G31" i="14"/>
  <c r="E31" i="14"/>
  <c r="AX30" i="14"/>
  <c r="AW30" i="14"/>
  <c r="AV30" i="14"/>
  <c r="AU30" i="14"/>
  <c r="AT30" i="14"/>
  <c r="AS30" i="14"/>
  <c r="AR30" i="14"/>
  <c r="AQ30" i="14"/>
  <c r="AP30" i="14"/>
  <c r="AO30" i="14"/>
  <c r="AN30" i="14"/>
  <c r="AM30" i="14"/>
  <c r="AL30" i="14"/>
  <c r="AK30" i="14"/>
  <c r="AJ30" i="14"/>
  <c r="AI30" i="14"/>
  <c r="AH30" i="14"/>
  <c r="AG30" i="14"/>
  <c r="AF30" i="14"/>
  <c r="AE30" i="14"/>
  <c r="AD30" i="14"/>
  <c r="AC30" i="14"/>
  <c r="AB30" i="14"/>
  <c r="AA30" i="14"/>
  <c r="W30" i="14"/>
  <c r="U30" i="14"/>
  <c r="T30" i="14"/>
  <c r="Q30" i="14"/>
  <c r="P30" i="14"/>
  <c r="K30" i="14"/>
  <c r="H30" i="14" a="1"/>
  <c r="H30" i="14"/>
  <c r="G30" i="14" a="1"/>
  <c r="G30" i="14"/>
  <c r="E30" i="14"/>
  <c r="AX29" i="14"/>
  <c r="AW29" i="14"/>
  <c r="AV29" i="14"/>
  <c r="AU29" i="14"/>
  <c r="AT29" i="14"/>
  <c r="AS29" i="14"/>
  <c r="AR29" i="14"/>
  <c r="AQ29" i="14"/>
  <c r="AP29" i="14"/>
  <c r="AO29" i="14"/>
  <c r="AN29" i="14"/>
  <c r="AM29" i="14"/>
  <c r="AL29" i="14"/>
  <c r="AK29" i="14"/>
  <c r="AJ29" i="14"/>
  <c r="AI29" i="14"/>
  <c r="AH29" i="14"/>
  <c r="AG29" i="14"/>
  <c r="AF29" i="14"/>
  <c r="AE29" i="14"/>
  <c r="AD29" i="14"/>
  <c r="AC29" i="14"/>
  <c r="AB29" i="14"/>
  <c r="AA29" i="14"/>
  <c r="W29" i="14"/>
  <c r="U29" i="14"/>
  <c r="T29" i="14"/>
  <c r="Q29" i="14"/>
  <c r="K29" i="14"/>
  <c r="H29" i="14" a="1"/>
  <c r="H29" i="14"/>
  <c r="G29" i="14" a="1"/>
  <c r="G29" i="14"/>
  <c r="E29" i="14"/>
  <c r="AX28" i="14"/>
  <c r="AW28" i="14"/>
  <c r="AV28" i="14"/>
  <c r="AU28" i="14"/>
  <c r="AT28" i="14"/>
  <c r="AS28" i="14"/>
  <c r="AR28" i="14"/>
  <c r="AQ28" i="14"/>
  <c r="AP28" i="14"/>
  <c r="AO28" i="14"/>
  <c r="AN28" i="14"/>
  <c r="AM28" i="14"/>
  <c r="AL28" i="14"/>
  <c r="AK28" i="14"/>
  <c r="AJ28" i="14"/>
  <c r="AI28" i="14"/>
  <c r="AH28" i="14"/>
  <c r="AG28" i="14"/>
  <c r="AF28" i="14"/>
  <c r="AE28" i="14"/>
  <c r="AD28" i="14"/>
  <c r="AC28" i="14"/>
  <c r="AB28" i="14"/>
  <c r="AA28" i="14"/>
  <c r="W28" i="14"/>
  <c r="U28" i="14"/>
  <c r="T28" i="14"/>
  <c r="Q28" i="14"/>
  <c r="K28" i="14"/>
  <c r="H28" i="14" a="1"/>
  <c r="H28" i="14"/>
  <c r="G28" i="14" a="1"/>
  <c r="G28" i="14"/>
  <c r="E28" i="14"/>
  <c r="AX27" i="14"/>
  <c r="AW27" i="14"/>
  <c r="AV27" i="14"/>
  <c r="AU27" i="14"/>
  <c r="AT27" i="14"/>
  <c r="AS27" i="14"/>
  <c r="AR27" i="14"/>
  <c r="AQ27" i="14"/>
  <c r="AP27" i="14"/>
  <c r="AO27" i="14"/>
  <c r="AN27" i="14"/>
  <c r="AM27" i="14"/>
  <c r="AL27" i="14"/>
  <c r="AK27" i="14"/>
  <c r="AJ27" i="14"/>
  <c r="AI27" i="14"/>
  <c r="AH27" i="14"/>
  <c r="AG27" i="14"/>
  <c r="AF27" i="14"/>
  <c r="AE27" i="14"/>
  <c r="AD27" i="14"/>
  <c r="AC27" i="14"/>
  <c r="AB27" i="14"/>
  <c r="AA27" i="14"/>
  <c r="W27" i="14"/>
  <c r="U27" i="14"/>
  <c r="T27" i="14"/>
  <c r="Q27" i="14"/>
  <c r="P27" i="14"/>
  <c r="K27" i="14"/>
  <c r="H27" i="14" a="1"/>
  <c r="H27" i="14"/>
  <c r="G27" i="14" a="1"/>
  <c r="G27" i="14"/>
  <c r="E27" i="14"/>
  <c r="AX26" i="14"/>
  <c r="AW26" i="14"/>
  <c r="AV26" i="14"/>
  <c r="AU26" i="14"/>
  <c r="AT26" i="14"/>
  <c r="AS26" i="14"/>
  <c r="AR26" i="14"/>
  <c r="AQ26" i="14"/>
  <c r="AP26" i="14"/>
  <c r="AO26" i="14"/>
  <c r="AN26" i="14"/>
  <c r="AM26" i="14"/>
  <c r="AL26" i="14"/>
  <c r="AK26" i="14"/>
  <c r="AJ26" i="14"/>
  <c r="AI26" i="14"/>
  <c r="AH26" i="14"/>
  <c r="AG26" i="14"/>
  <c r="AF26" i="14"/>
  <c r="AE26" i="14"/>
  <c r="AD26" i="14"/>
  <c r="AC26" i="14"/>
  <c r="AB26" i="14"/>
  <c r="AA26" i="14"/>
  <c r="W26" i="14"/>
  <c r="U26" i="14"/>
  <c r="T26" i="14"/>
  <c r="Q26" i="14"/>
  <c r="P26" i="14"/>
  <c r="K26" i="14"/>
  <c r="H26" i="14" a="1"/>
  <c r="H26" i="14"/>
  <c r="G26" i="14" a="1"/>
  <c r="G26" i="14"/>
  <c r="E26" i="14"/>
  <c r="AX25" i="14"/>
  <c r="AW25" i="14"/>
  <c r="AV25" i="14"/>
  <c r="AU25" i="14"/>
  <c r="AT25" i="14"/>
  <c r="AS25" i="14"/>
  <c r="AR25" i="14"/>
  <c r="AQ25" i="14"/>
  <c r="AP25" i="14"/>
  <c r="AO25" i="14"/>
  <c r="AN25" i="14"/>
  <c r="AM25" i="14"/>
  <c r="AL25" i="14"/>
  <c r="AK25" i="14"/>
  <c r="AJ25" i="14"/>
  <c r="AI25" i="14"/>
  <c r="AH25" i="14"/>
  <c r="AG25" i="14"/>
  <c r="AF25" i="14"/>
  <c r="AE25" i="14"/>
  <c r="AD25" i="14"/>
  <c r="AC25" i="14"/>
  <c r="AB25" i="14"/>
  <c r="AA25" i="14"/>
  <c r="W25" i="14"/>
  <c r="U25" i="14"/>
  <c r="T25" i="14"/>
  <c r="Q25" i="14"/>
  <c r="P25" i="14"/>
  <c r="K25" i="14"/>
  <c r="H25" i="14" a="1"/>
  <c r="H25" i="14"/>
  <c r="G25" i="14" a="1"/>
  <c r="G25" i="14"/>
  <c r="E25" i="14"/>
  <c r="AX24" i="14"/>
  <c r="AW24" i="14"/>
  <c r="AV24" i="14"/>
  <c r="AU24" i="14"/>
  <c r="AT24" i="14"/>
  <c r="AS24" i="14"/>
  <c r="AR24" i="14"/>
  <c r="AQ24" i="14"/>
  <c r="AP24" i="14"/>
  <c r="AO24" i="14"/>
  <c r="AN24" i="14"/>
  <c r="AM24" i="14"/>
  <c r="AL24" i="14"/>
  <c r="AK24" i="14"/>
  <c r="AJ24" i="14"/>
  <c r="AI24" i="14"/>
  <c r="AH24" i="14"/>
  <c r="AG24" i="14"/>
  <c r="AF24" i="14"/>
  <c r="AE24" i="14"/>
  <c r="AD24" i="14"/>
  <c r="AC24" i="14"/>
  <c r="AB24" i="14"/>
  <c r="AA24" i="14"/>
  <c r="W24" i="14"/>
  <c r="U24" i="14"/>
  <c r="T24" i="14"/>
  <c r="Q24" i="14"/>
  <c r="P24" i="14"/>
  <c r="K24" i="14"/>
  <c r="H24" i="14" a="1"/>
  <c r="H24" i="14"/>
  <c r="G24" i="14" a="1"/>
  <c r="G24" i="14"/>
  <c r="E24" i="14"/>
  <c r="AX23" i="14"/>
  <c r="AW23" i="14"/>
  <c r="AV23" i="14"/>
  <c r="AU23" i="14"/>
  <c r="AT23" i="14"/>
  <c r="AS23" i="14"/>
  <c r="AR23" i="14"/>
  <c r="AQ23" i="14"/>
  <c r="AP23" i="14"/>
  <c r="AO23" i="14"/>
  <c r="AN23" i="14"/>
  <c r="AM23" i="14"/>
  <c r="AL23" i="14"/>
  <c r="AK23" i="14"/>
  <c r="AJ23" i="14"/>
  <c r="AI23" i="14"/>
  <c r="AH23" i="14"/>
  <c r="AG23" i="14"/>
  <c r="AF23" i="14"/>
  <c r="AE23" i="14"/>
  <c r="AD23" i="14"/>
  <c r="AC23" i="14"/>
  <c r="AB23" i="14"/>
  <c r="AA23" i="14"/>
  <c r="W23" i="14"/>
  <c r="U23" i="14"/>
  <c r="T23" i="14"/>
  <c r="Q23" i="14"/>
  <c r="P23" i="14"/>
  <c r="K23" i="14"/>
  <c r="H23" i="14" a="1"/>
  <c r="H23" i="14"/>
  <c r="G23" i="14" a="1"/>
  <c r="G23" i="14"/>
  <c r="E23" i="14"/>
  <c r="AX22" i="14"/>
  <c r="AW22" i="14"/>
  <c r="AV22" i="14"/>
  <c r="AU22" i="14"/>
  <c r="AT22" i="14"/>
  <c r="AS22" i="14"/>
  <c r="AR22" i="14"/>
  <c r="AQ22" i="14"/>
  <c r="AP22" i="14"/>
  <c r="AO22" i="14"/>
  <c r="AN22" i="14"/>
  <c r="AM22" i="14"/>
  <c r="AL22" i="14"/>
  <c r="AK22" i="14"/>
  <c r="AJ22" i="14"/>
  <c r="AI22" i="14"/>
  <c r="AH22" i="14"/>
  <c r="AG22" i="14"/>
  <c r="AF22" i="14"/>
  <c r="AE22" i="14"/>
  <c r="AD22" i="14"/>
  <c r="AC22" i="14"/>
  <c r="AB22" i="14"/>
  <c r="AA22" i="14"/>
  <c r="W22" i="14"/>
  <c r="U22" i="14"/>
  <c r="T22" i="14"/>
  <c r="Q22" i="14"/>
  <c r="P22" i="14"/>
  <c r="K22" i="14"/>
  <c r="H22" i="14" a="1"/>
  <c r="H22" i="14"/>
  <c r="G22" i="14" a="1"/>
  <c r="G22" i="14"/>
  <c r="E22" i="14"/>
  <c r="AX21" i="14"/>
  <c r="AW21" i="14"/>
  <c r="AV21" i="14"/>
  <c r="AU21" i="14"/>
  <c r="AT21" i="14"/>
  <c r="AS21" i="14"/>
  <c r="AR21" i="14"/>
  <c r="AQ21" i="14"/>
  <c r="AP21" i="14"/>
  <c r="AO21" i="14"/>
  <c r="AN21" i="14"/>
  <c r="AM21" i="14"/>
  <c r="AL21" i="14"/>
  <c r="AK21" i="14"/>
  <c r="AJ21" i="14"/>
  <c r="AI21" i="14"/>
  <c r="AH21" i="14"/>
  <c r="AG21" i="14"/>
  <c r="AF21" i="14"/>
  <c r="AE21" i="14"/>
  <c r="AD21" i="14"/>
  <c r="AC21" i="14"/>
  <c r="AB21" i="14"/>
  <c r="AA21" i="14"/>
  <c r="W21" i="14"/>
  <c r="U21" i="14"/>
  <c r="T21" i="14"/>
  <c r="Q21" i="14"/>
  <c r="P21" i="14"/>
  <c r="K21" i="14"/>
  <c r="H21" i="14" a="1"/>
  <c r="H21" i="14"/>
  <c r="G21" i="14" a="1"/>
  <c r="G21" i="14"/>
  <c r="E21" i="14"/>
  <c r="AX20" i="14"/>
  <c r="AW20" i="14"/>
  <c r="AV20" i="14"/>
  <c r="AU20" i="14"/>
  <c r="AT20" i="14"/>
  <c r="AS20" i="14"/>
  <c r="AR20" i="14"/>
  <c r="AQ20" i="14"/>
  <c r="AP20" i="14"/>
  <c r="AO20" i="14"/>
  <c r="AN20" i="14"/>
  <c r="AM20" i="14"/>
  <c r="AL20" i="14"/>
  <c r="AK20" i="14"/>
  <c r="AJ20" i="14"/>
  <c r="AI20" i="14"/>
  <c r="AH20" i="14"/>
  <c r="AG20" i="14"/>
  <c r="AF20" i="14"/>
  <c r="AE20" i="14"/>
  <c r="AD20" i="14"/>
  <c r="AC20" i="14"/>
  <c r="AB20" i="14"/>
  <c r="AA20" i="14"/>
  <c r="W20" i="14"/>
  <c r="U20" i="14"/>
  <c r="T20" i="14"/>
  <c r="Q20" i="14"/>
  <c r="P20" i="14"/>
  <c r="K20" i="14"/>
  <c r="H20" i="14" a="1"/>
  <c r="H20" i="14"/>
  <c r="G20" i="14" a="1"/>
  <c r="G20" i="14"/>
  <c r="E20" i="14"/>
  <c r="AX19" i="14"/>
  <c r="AW19" i="14"/>
  <c r="AV19" i="14"/>
  <c r="AU19" i="14"/>
  <c r="AT19" i="14"/>
  <c r="AS19" i="14"/>
  <c r="AR19" i="14"/>
  <c r="AQ19" i="14"/>
  <c r="AP19" i="14"/>
  <c r="AO19" i="14"/>
  <c r="AN19" i="14"/>
  <c r="AM19" i="14"/>
  <c r="AL19" i="14"/>
  <c r="AK19" i="14"/>
  <c r="AJ19" i="14"/>
  <c r="AI19" i="14"/>
  <c r="AH19" i="14"/>
  <c r="AG19" i="14"/>
  <c r="AF19" i="14"/>
  <c r="AE19" i="14"/>
  <c r="AD19" i="14"/>
  <c r="AC19" i="14"/>
  <c r="AB19" i="14"/>
  <c r="AA19" i="14"/>
  <c r="W19" i="14"/>
  <c r="U19" i="14"/>
  <c r="T19" i="14"/>
  <c r="Q19" i="14"/>
  <c r="P19" i="14"/>
  <c r="K19" i="14"/>
  <c r="H19" i="14" a="1"/>
  <c r="H19" i="14"/>
  <c r="G19" i="14" a="1"/>
  <c r="G19" i="14"/>
  <c r="E19" i="14"/>
  <c r="AX18" i="14"/>
  <c r="AW18" i="14"/>
  <c r="AV18" i="14"/>
  <c r="AU18" i="14"/>
  <c r="AT18" i="14"/>
  <c r="AS18" i="14"/>
  <c r="AR18" i="14"/>
  <c r="AQ18" i="14"/>
  <c r="AP18" i="14"/>
  <c r="AO18" i="14"/>
  <c r="AN18" i="14"/>
  <c r="AM18" i="14"/>
  <c r="AL18" i="14"/>
  <c r="AK18" i="14"/>
  <c r="AJ18" i="14"/>
  <c r="AI18" i="14"/>
  <c r="AH18" i="14"/>
  <c r="AG18" i="14"/>
  <c r="AF18" i="14"/>
  <c r="AE18" i="14"/>
  <c r="AD18" i="14"/>
  <c r="AC18" i="14"/>
  <c r="AB18" i="14"/>
  <c r="AA18" i="14"/>
  <c r="W18" i="14"/>
  <c r="U18" i="14"/>
  <c r="T18" i="14"/>
  <c r="Q18" i="14"/>
  <c r="P18" i="14"/>
  <c r="K18" i="14"/>
  <c r="H18" i="14" a="1"/>
  <c r="H18" i="14"/>
  <c r="G18" i="14" a="1"/>
  <c r="G18" i="14"/>
  <c r="E18" i="14"/>
  <c r="AX17" i="14"/>
  <c r="AW17" i="14"/>
  <c r="AV17" i="14"/>
  <c r="AU17" i="14"/>
  <c r="AT17" i="14"/>
  <c r="AS17" i="14"/>
  <c r="AR17" i="14"/>
  <c r="AQ17" i="14"/>
  <c r="AP17" i="14"/>
  <c r="AO17" i="14"/>
  <c r="AN17" i="14"/>
  <c r="AM17" i="14"/>
  <c r="AL17" i="14"/>
  <c r="AK17" i="14"/>
  <c r="AJ17" i="14"/>
  <c r="AI17" i="14"/>
  <c r="AH17" i="14"/>
  <c r="AG17" i="14"/>
  <c r="AF17" i="14"/>
  <c r="AE17" i="14"/>
  <c r="AD17" i="14"/>
  <c r="AC17" i="14"/>
  <c r="AB17" i="14"/>
  <c r="AA17" i="14"/>
  <c r="W17" i="14"/>
  <c r="U17" i="14"/>
  <c r="T17" i="14"/>
  <c r="Q17" i="14"/>
  <c r="P17" i="14"/>
  <c r="K17" i="14"/>
  <c r="H17" i="14" a="1"/>
  <c r="H17" i="14"/>
  <c r="G17" i="14" a="1"/>
  <c r="G17" i="14"/>
  <c r="E17" i="14"/>
  <c r="AX16" i="14"/>
  <c r="AW16" i="14"/>
  <c r="AV16" i="14"/>
  <c r="AU16" i="14"/>
  <c r="AT16" i="14"/>
  <c r="AS16" i="14"/>
  <c r="AR16" i="14"/>
  <c r="AQ16" i="14"/>
  <c r="AP16" i="14"/>
  <c r="AO16" i="14"/>
  <c r="AN16" i="14"/>
  <c r="AM16" i="14"/>
  <c r="AL16" i="14"/>
  <c r="AK16" i="14"/>
  <c r="AJ16" i="14"/>
  <c r="AI16" i="14"/>
  <c r="AH16" i="14"/>
  <c r="AG16" i="14"/>
  <c r="AF16" i="14"/>
  <c r="AE16" i="14"/>
  <c r="AD16" i="14"/>
  <c r="AC16" i="14"/>
  <c r="AB16" i="14"/>
  <c r="AA16" i="14"/>
  <c r="W16" i="14"/>
  <c r="U16" i="14"/>
  <c r="T16" i="14"/>
  <c r="Q16" i="14"/>
  <c r="P16" i="14"/>
  <c r="K16" i="14"/>
  <c r="H16" i="14" a="1"/>
  <c r="H16" i="14"/>
  <c r="G16" i="14" a="1"/>
  <c r="G16" i="14"/>
  <c r="E16" i="14"/>
  <c r="AX15" i="14"/>
  <c r="AW15" i="14"/>
  <c r="AV15" i="14"/>
  <c r="AU15" i="14"/>
  <c r="AT15" i="14"/>
  <c r="AS15" i="14"/>
  <c r="AR15" i="14"/>
  <c r="AQ15" i="14"/>
  <c r="AP15" i="14"/>
  <c r="AO15" i="14"/>
  <c r="AN15" i="14"/>
  <c r="AM15" i="14"/>
  <c r="AL15" i="14"/>
  <c r="AK15" i="14"/>
  <c r="AJ15" i="14"/>
  <c r="AI15" i="14"/>
  <c r="AH15" i="14"/>
  <c r="AG15" i="14"/>
  <c r="AF15" i="14"/>
  <c r="AE15" i="14"/>
  <c r="AD15" i="14"/>
  <c r="AC15" i="14"/>
  <c r="AB15" i="14"/>
  <c r="AA15" i="14"/>
  <c r="W15" i="14"/>
  <c r="U15" i="14"/>
  <c r="T15" i="14"/>
  <c r="Q15" i="14"/>
  <c r="P15" i="14"/>
  <c r="K15" i="14"/>
  <c r="H15" i="14" a="1"/>
  <c r="H15" i="14"/>
  <c r="G15" i="14" a="1"/>
  <c r="G15" i="14"/>
  <c r="E15" i="14"/>
  <c r="AX14" i="14"/>
  <c r="AW14" i="14"/>
  <c r="AV14" i="14"/>
  <c r="AU14" i="14"/>
  <c r="AT14" i="14"/>
  <c r="AS14" i="14"/>
  <c r="AR14" i="14"/>
  <c r="AQ14" i="14"/>
  <c r="AP14" i="14"/>
  <c r="AO14" i="14"/>
  <c r="AN14" i="14"/>
  <c r="AM14" i="14"/>
  <c r="AL14" i="14"/>
  <c r="AK14" i="14"/>
  <c r="AJ14" i="14"/>
  <c r="AI14" i="14"/>
  <c r="AH14" i="14"/>
  <c r="AG14" i="14"/>
  <c r="AF14" i="14"/>
  <c r="AE14" i="14"/>
  <c r="AD14" i="14"/>
  <c r="AC14" i="14"/>
  <c r="AB14" i="14"/>
  <c r="AA14" i="14"/>
  <c r="W14" i="14"/>
  <c r="U14" i="14"/>
  <c r="T14" i="14"/>
  <c r="Q14" i="14"/>
  <c r="P14" i="14"/>
  <c r="K14" i="14"/>
  <c r="H14" i="14" a="1"/>
  <c r="H14" i="14"/>
  <c r="G14" i="14" a="1"/>
  <c r="G14" i="14"/>
  <c r="E14" i="14"/>
  <c r="AX13" i="14"/>
  <c r="AW13" i="14"/>
  <c r="AV13" i="14"/>
  <c r="AU13" i="14"/>
  <c r="AT13" i="14"/>
  <c r="AS13" i="14"/>
  <c r="AR13" i="14"/>
  <c r="AQ13" i="14"/>
  <c r="AP13" i="14"/>
  <c r="AO13" i="14"/>
  <c r="AN13" i="14"/>
  <c r="AM13" i="14"/>
  <c r="AL13" i="14"/>
  <c r="AK13" i="14"/>
  <c r="AJ13" i="14"/>
  <c r="AI13" i="14"/>
  <c r="AH13" i="14"/>
  <c r="AG13" i="14"/>
  <c r="AF13" i="14"/>
  <c r="AE13" i="14"/>
  <c r="AD13" i="14"/>
  <c r="AC13" i="14"/>
  <c r="AB13" i="14"/>
  <c r="AA13" i="14"/>
  <c r="W13" i="14"/>
  <c r="U13" i="14"/>
  <c r="T13" i="14"/>
  <c r="Q13" i="14"/>
  <c r="P13" i="14"/>
  <c r="K13" i="14"/>
  <c r="H13" i="14" a="1"/>
  <c r="H13" i="14"/>
  <c r="G13" i="14" a="1"/>
  <c r="G13" i="14"/>
  <c r="E13" i="14"/>
  <c r="AX12" i="14"/>
  <c r="AW12" i="14"/>
  <c r="AV12" i="14"/>
  <c r="AU12" i="14"/>
  <c r="AT12" i="14"/>
  <c r="AS12" i="14"/>
  <c r="AR12" i="14"/>
  <c r="AQ12" i="14"/>
  <c r="AP12" i="14"/>
  <c r="AO12" i="14"/>
  <c r="AN12" i="14"/>
  <c r="AM12" i="14"/>
  <c r="AL12" i="14"/>
  <c r="AK12" i="14"/>
  <c r="AJ12" i="14"/>
  <c r="AI12" i="14"/>
  <c r="AH12" i="14"/>
  <c r="AG12" i="14"/>
  <c r="AF12" i="14"/>
  <c r="AE12" i="14"/>
  <c r="AD12" i="14"/>
  <c r="AC12" i="14"/>
  <c r="AB12" i="14"/>
  <c r="AA12" i="14"/>
  <c r="W12" i="14"/>
  <c r="U12" i="14"/>
  <c r="T12" i="14"/>
  <c r="Q12" i="14"/>
  <c r="P12" i="14"/>
  <c r="K12" i="14"/>
  <c r="H12" i="14" a="1"/>
  <c r="H12" i="14"/>
  <c r="G12" i="14" a="1"/>
  <c r="G12" i="14"/>
  <c r="E12" i="14"/>
  <c r="AX11" i="14"/>
  <c r="AW11" i="14"/>
  <c r="AV11" i="14"/>
  <c r="AU11" i="14"/>
  <c r="AT11" i="14"/>
  <c r="AS11" i="14"/>
  <c r="AR11" i="14"/>
  <c r="AQ11" i="14"/>
  <c r="AP11" i="14"/>
  <c r="AO11" i="14"/>
  <c r="AN11" i="14"/>
  <c r="AM11" i="14"/>
  <c r="AL11" i="14"/>
  <c r="AK11" i="14"/>
  <c r="AJ11" i="14"/>
  <c r="AI11" i="14"/>
  <c r="AH11" i="14"/>
  <c r="AG11" i="14"/>
  <c r="AF11" i="14"/>
  <c r="AE11" i="14"/>
  <c r="AD11" i="14"/>
  <c r="AC11" i="14"/>
  <c r="AB11" i="14"/>
  <c r="AA11" i="14"/>
  <c r="W11" i="14"/>
  <c r="U11" i="14"/>
  <c r="T11" i="14"/>
  <c r="Q11" i="14"/>
  <c r="P11" i="14"/>
  <c r="K11" i="14"/>
  <c r="H11" i="14" a="1"/>
  <c r="H11" i="14"/>
  <c r="G11" i="14" a="1"/>
  <c r="G11" i="14"/>
  <c r="E11" i="14"/>
  <c r="AX10" i="14"/>
  <c r="AW10" i="14"/>
  <c r="AV10" i="14"/>
  <c r="AU10" i="14"/>
  <c r="AT10" i="14"/>
  <c r="AS10" i="14"/>
  <c r="AR10" i="14"/>
  <c r="AQ10" i="14"/>
  <c r="AP10" i="14"/>
  <c r="AO10" i="14"/>
  <c r="AN10" i="14"/>
  <c r="AM10" i="14"/>
  <c r="AL10" i="14"/>
  <c r="AK10" i="14"/>
  <c r="AJ10" i="14"/>
  <c r="AI10" i="14"/>
  <c r="AH10" i="14"/>
  <c r="AG10" i="14"/>
  <c r="AF10" i="14"/>
  <c r="AE10" i="14"/>
  <c r="AD10" i="14"/>
  <c r="AC10" i="14"/>
  <c r="AB10" i="14"/>
  <c r="AA10" i="14"/>
  <c r="W10" i="14"/>
  <c r="U10" i="14"/>
  <c r="T10" i="14"/>
  <c r="Q10" i="14"/>
  <c r="P10" i="14"/>
  <c r="K10" i="14"/>
  <c r="H10" i="14" a="1"/>
  <c r="H10" i="14"/>
  <c r="G10" i="14" a="1"/>
  <c r="G10" i="14"/>
  <c r="E10" i="14"/>
  <c r="AX9" i="14"/>
  <c r="AW9" i="14"/>
  <c r="AV9" i="14"/>
  <c r="AU9" i="14"/>
  <c r="AT9" i="14"/>
  <c r="AS9" i="14"/>
  <c r="AR9" i="14"/>
  <c r="AQ9" i="14"/>
  <c r="AP9" i="14"/>
  <c r="AO9" i="14"/>
  <c r="AN9" i="14"/>
  <c r="AM9" i="14"/>
  <c r="AL9" i="14"/>
  <c r="AK9" i="14"/>
  <c r="AJ9" i="14"/>
  <c r="AI9" i="14"/>
  <c r="AH9" i="14"/>
  <c r="AG9" i="14"/>
  <c r="AF9" i="14"/>
  <c r="AE9" i="14"/>
  <c r="AD9" i="14"/>
  <c r="AC9" i="14"/>
  <c r="AB9" i="14"/>
  <c r="AA9" i="14"/>
  <c r="W9" i="14"/>
  <c r="U9" i="14"/>
  <c r="T9" i="14"/>
  <c r="Q9" i="14"/>
  <c r="P9" i="14"/>
  <c r="K9" i="14"/>
  <c r="H9" i="14" a="1"/>
  <c r="H9" i="14"/>
  <c r="G9" i="14" a="1"/>
  <c r="G9" i="14"/>
  <c r="E9" i="14"/>
  <c r="AX8" i="14"/>
  <c r="AW8" i="14"/>
  <c r="AV8" i="14"/>
  <c r="AU8" i="14"/>
  <c r="AT8" i="14"/>
  <c r="AS8" i="14"/>
  <c r="AR8" i="14"/>
  <c r="AQ8" i="14"/>
  <c r="AP8" i="14"/>
  <c r="AO8" i="14"/>
  <c r="AN8" i="14"/>
  <c r="AM8" i="14"/>
  <c r="AL8" i="14"/>
  <c r="AK8" i="14"/>
  <c r="AJ8" i="14"/>
  <c r="AI8" i="14"/>
  <c r="AH8" i="14"/>
  <c r="AG8" i="14"/>
  <c r="AF8" i="14"/>
  <c r="AE8" i="14"/>
  <c r="AD8" i="14"/>
  <c r="AC8" i="14"/>
  <c r="AB8" i="14"/>
  <c r="AA8" i="14"/>
  <c r="W8" i="14"/>
  <c r="U8" i="14"/>
  <c r="T8" i="14"/>
  <c r="Q8" i="14"/>
  <c r="P8" i="14"/>
  <c r="K8" i="14"/>
  <c r="H8" i="14" a="1"/>
  <c r="H8" i="14"/>
  <c r="G8" i="14" a="1"/>
  <c r="G8" i="14"/>
  <c r="E8" i="14"/>
  <c r="BA7" i="14"/>
  <c r="AX7" i="14"/>
  <c r="AW7" i="14"/>
  <c r="AV7" i="14"/>
  <c r="AU7" i="14"/>
  <c r="AT7" i="14"/>
  <c r="AS7" i="14"/>
  <c r="AR7" i="14"/>
  <c r="AQ7" i="14"/>
  <c r="AP7" i="14"/>
  <c r="AO7" i="14"/>
  <c r="AN7" i="14"/>
  <c r="AM7" i="14"/>
  <c r="AL7" i="14"/>
  <c r="AK7" i="14"/>
  <c r="AJ7" i="14"/>
  <c r="AI7" i="14"/>
  <c r="AH7" i="14"/>
  <c r="AG7" i="14"/>
  <c r="AF7" i="14"/>
  <c r="AE7" i="14"/>
  <c r="AD7" i="14"/>
  <c r="AC7" i="14"/>
  <c r="AB7" i="14"/>
  <c r="AA7" i="14"/>
  <c r="W7" i="14"/>
  <c r="U7" i="14"/>
  <c r="T7" i="14"/>
  <c r="Q7" i="14"/>
  <c r="P7" i="14"/>
  <c r="K7" i="14"/>
  <c r="H7" i="14" a="1"/>
  <c r="H7" i="14"/>
  <c r="G7" i="14" a="1"/>
  <c r="G7" i="14"/>
  <c r="E7" i="14"/>
  <c r="BA6" i="14"/>
  <c r="AX6" i="14"/>
  <c r="AW6" i="14"/>
  <c r="AV6" i="14"/>
  <c r="AU6" i="14"/>
  <c r="AT6" i="14"/>
  <c r="AS6" i="14"/>
  <c r="AR6" i="14"/>
  <c r="AQ6" i="14"/>
  <c r="AP6" i="14"/>
  <c r="AO6" i="14"/>
  <c r="AN6" i="14"/>
  <c r="AM6" i="14"/>
  <c r="AL6" i="14"/>
  <c r="AK6" i="14"/>
  <c r="AJ6" i="14"/>
  <c r="AI6" i="14"/>
  <c r="AH6" i="14"/>
  <c r="AG6" i="14"/>
  <c r="AF6" i="14"/>
  <c r="AE6" i="14"/>
  <c r="AD6" i="14"/>
  <c r="AC6" i="14"/>
  <c r="AB6" i="14"/>
  <c r="AA6" i="14"/>
  <c r="W6" i="14"/>
  <c r="U6" i="14"/>
  <c r="T6" i="14"/>
  <c r="Q6" i="14"/>
  <c r="P6" i="14"/>
  <c r="K6" i="14"/>
  <c r="H6" i="14" a="1"/>
  <c r="H6" i="14"/>
  <c r="G6" i="14" a="1"/>
  <c r="G6" i="14"/>
  <c r="E6" i="14"/>
  <c r="AX5" i="14"/>
  <c r="AW5" i="14"/>
  <c r="AV5" i="14"/>
  <c r="AU5" i="14"/>
  <c r="AT5" i="14"/>
  <c r="AS5" i="14"/>
  <c r="AR5" i="14"/>
  <c r="AQ5" i="14"/>
  <c r="AP5" i="14"/>
  <c r="AO5" i="14"/>
  <c r="AN5" i="14"/>
  <c r="AM5" i="14"/>
  <c r="AL5" i="14"/>
  <c r="AK5" i="14"/>
  <c r="AJ5" i="14"/>
  <c r="AI5" i="14"/>
  <c r="AH5" i="14"/>
  <c r="AG5" i="14"/>
  <c r="AF5" i="14"/>
  <c r="AE5" i="14"/>
  <c r="AD5" i="14"/>
  <c r="AC5" i="14"/>
  <c r="AB5" i="14"/>
  <c r="AA5" i="14"/>
  <c r="W5" i="14"/>
  <c r="U5" i="14"/>
  <c r="T5" i="14"/>
  <c r="Q5" i="14"/>
  <c r="P5" i="14"/>
  <c r="K5" i="14"/>
  <c r="H5" i="14" a="1"/>
  <c r="H5" i="14"/>
  <c r="G5" i="14" a="1"/>
  <c r="G5" i="14"/>
  <c r="E5" i="14"/>
  <c r="AX4" i="14"/>
  <c r="AW4" i="14"/>
  <c r="AV4" i="14"/>
  <c r="AU4" i="14"/>
  <c r="AT4" i="14"/>
  <c r="AS4" i="14"/>
  <c r="AR4" i="14"/>
  <c r="AQ4" i="14"/>
  <c r="AP4" i="14"/>
  <c r="AO4" i="14"/>
  <c r="AN4" i="14"/>
  <c r="AM4" i="14"/>
  <c r="AL4" i="14"/>
  <c r="AK4" i="14"/>
  <c r="AJ4" i="14"/>
  <c r="AI4" i="14"/>
  <c r="AH4" i="14"/>
  <c r="AG4" i="14"/>
  <c r="AF4" i="14"/>
  <c r="AE4" i="14"/>
  <c r="AD4" i="14"/>
  <c r="AC4" i="14"/>
  <c r="AB4" i="14"/>
  <c r="AA4" i="14"/>
  <c r="W4" i="14"/>
  <c r="U4" i="14"/>
  <c r="T4" i="14"/>
  <c r="Q4" i="14"/>
  <c r="P4" i="14"/>
  <c r="K4" i="14"/>
  <c r="H4" i="14" a="1"/>
  <c r="H4" i="14"/>
  <c r="G4" i="14" a="1"/>
  <c r="G4" i="14"/>
  <c r="E4" i="14"/>
  <c r="AX3" i="14"/>
  <c r="AW3" i="14"/>
  <c r="AV3" i="14"/>
  <c r="AU3" i="14"/>
  <c r="AT3" i="14"/>
  <c r="AS3" i="14"/>
  <c r="AR3" i="14"/>
  <c r="AQ3" i="14"/>
  <c r="AP3" i="14"/>
  <c r="AO3" i="14"/>
  <c r="AN3" i="14"/>
  <c r="AM3" i="14"/>
  <c r="AL3" i="14"/>
  <c r="AK3" i="14"/>
  <c r="AJ3" i="14"/>
  <c r="AI3" i="14"/>
  <c r="AH3" i="14"/>
  <c r="AG3" i="14"/>
  <c r="AF3" i="14"/>
  <c r="AE3" i="14"/>
  <c r="AD3" i="14"/>
  <c r="AC3" i="14"/>
  <c r="AB3" i="14"/>
  <c r="AA3" i="14"/>
  <c r="W3" i="14"/>
  <c r="U3" i="14"/>
  <c r="T3" i="14"/>
  <c r="Q3" i="14"/>
  <c r="P3" i="14"/>
  <c r="K3" i="14"/>
  <c r="H3" i="14" a="1"/>
  <c r="H3" i="14"/>
  <c r="G3" i="14" a="1"/>
  <c r="G3" i="14"/>
  <c r="E3" i="14"/>
  <c r="AX2" i="14"/>
  <c r="AW2" i="14"/>
  <c r="AV2" i="14"/>
  <c r="AU2" i="14"/>
  <c r="AT2" i="14"/>
  <c r="AS2" i="14"/>
  <c r="AR2" i="14"/>
  <c r="AQ2" i="14"/>
  <c r="AP2" i="14"/>
  <c r="AO2" i="14"/>
  <c r="AN2" i="14"/>
  <c r="AM2" i="14"/>
  <c r="AL2" i="14"/>
  <c r="AK2" i="14"/>
  <c r="AJ2" i="14"/>
  <c r="AI2" i="14"/>
  <c r="AH2" i="14"/>
  <c r="AG2" i="14"/>
  <c r="AF2" i="14"/>
  <c r="AE2" i="14"/>
  <c r="AD2" i="14"/>
  <c r="AC2" i="14"/>
  <c r="AB2" i="14"/>
  <c r="AA2" i="14"/>
  <c r="W2" i="14"/>
  <c r="U2" i="14"/>
  <c r="T2" i="14"/>
  <c r="Q2" i="14"/>
  <c r="P2" i="14"/>
  <c r="K2" i="14"/>
  <c r="H2" i="14" a="1"/>
  <c r="H2" i="14"/>
  <c r="G2" i="14" a="1"/>
  <c r="G2" i="14"/>
  <c r="E2" i="14"/>
  <c r="Q123" i="13"/>
  <c r="G123" i="13"/>
  <c r="B123" i="13"/>
  <c r="A123" i="13"/>
  <c r="Q122" i="13"/>
  <c r="G122" i="13"/>
  <c r="B122" i="13"/>
  <c r="A122" i="13"/>
  <c r="Q121" i="13"/>
  <c r="G121" i="13"/>
  <c r="B121" i="13"/>
  <c r="A121" i="13"/>
  <c r="Q120" i="13"/>
  <c r="G120" i="13"/>
  <c r="B120" i="13"/>
  <c r="A120" i="13"/>
  <c r="Q119" i="13"/>
  <c r="G119" i="13"/>
  <c r="B119" i="13"/>
  <c r="A119" i="13"/>
  <c r="Q118" i="13"/>
  <c r="G118" i="13"/>
  <c r="B118" i="13"/>
  <c r="A118" i="13"/>
  <c r="Q117" i="13"/>
  <c r="G117" i="13"/>
  <c r="B117" i="13"/>
  <c r="A117" i="13"/>
  <c r="Q116" i="13"/>
  <c r="G116" i="13"/>
  <c r="B116" i="13"/>
  <c r="A116" i="13"/>
  <c r="Q115" i="13"/>
  <c r="G115" i="13"/>
  <c r="B115" i="13"/>
  <c r="A115" i="13"/>
  <c r="Q114" i="13"/>
  <c r="G114" i="13"/>
  <c r="B114" i="13"/>
  <c r="A114" i="13"/>
  <c r="Q113" i="13"/>
  <c r="G113" i="13"/>
  <c r="B113" i="13"/>
  <c r="A113" i="13"/>
  <c r="Q112" i="13"/>
  <c r="G112" i="13"/>
  <c r="B112" i="13"/>
  <c r="A112" i="13"/>
  <c r="Q111" i="13"/>
  <c r="G111" i="13"/>
  <c r="B111" i="13"/>
  <c r="A111" i="13"/>
  <c r="Q110" i="13"/>
  <c r="G110" i="13"/>
  <c r="B110" i="13"/>
  <c r="A110" i="13"/>
  <c r="Q109" i="13"/>
  <c r="G109" i="13"/>
  <c r="B109" i="13"/>
  <c r="A109" i="13"/>
  <c r="Q108" i="13"/>
  <c r="G108" i="13"/>
  <c r="B108" i="13"/>
  <c r="A108" i="13"/>
  <c r="AH89" i="13"/>
  <c r="I89" i="13"/>
  <c r="H89" i="13"/>
  <c r="G89" i="13"/>
  <c r="F89" i="13"/>
  <c r="E89" i="13"/>
  <c r="D89" i="13"/>
  <c r="C89" i="13"/>
  <c r="B89" i="13"/>
  <c r="A89" i="13"/>
  <c r="AH88" i="13"/>
  <c r="I88" i="13"/>
  <c r="H88" i="13"/>
  <c r="G88" i="13"/>
  <c r="F88" i="13"/>
  <c r="E88" i="13"/>
  <c r="D88" i="13"/>
  <c r="C88" i="13"/>
  <c r="B88" i="13"/>
  <c r="A88" i="13"/>
  <c r="AH87" i="13"/>
  <c r="I87" i="13"/>
  <c r="H87" i="13"/>
  <c r="G87" i="13"/>
  <c r="F87" i="13"/>
  <c r="E87" i="13"/>
  <c r="D87" i="13"/>
  <c r="C87" i="13"/>
  <c r="B87" i="13"/>
  <c r="A87" i="13"/>
  <c r="AH86" i="13"/>
  <c r="I86" i="13"/>
  <c r="H86" i="13"/>
  <c r="G86" i="13"/>
  <c r="F86" i="13"/>
  <c r="E86" i="13"/>
  <c r="D86" i="13"/>
  <c r="C86" i="13"/>
  <c r="B86" i="13"/>
  <c r="A86" i="13"/>
  <c r="AH85" i="13"/>
  <c r="I85" i="13"/>
  <c r="H85" i="13"/>
  <c r="G85" i="13"/>
  <c r="F85" i="13"/>
  <c r="E85" i="13"/>
  <c r="D85" i="13"/>
  <c r="C85" i="13"/>
  <c r="B85" i="13"/>
  <c r="A85" i="13"/>
  <c r="AH84" i="13"/>
  <c r="I84" i="13"/>
  <c r="H84" i="13"/>
  <c r="G84" i="13"/>
  <c r="F84" i="13"/>
  <c r="E84" i="13"/>
  <c r="D84" i="13"/>
  <c r="C84" i="13"/>
  <c r="B84" i="13"/>
  <c r="A84" i="13"/>
  <c r="AH83" i="13"/>
  <c r="I83" i="13"/>
  <c r="H83" i="13"/>
  <c r="G83" i="13"/>
  <c r="F83" i="13"/>
  <c r="E83" i="13"/>
  <c r="D83" i="13"/>
  <c r="C83" i="13"/>
  <c r="B83" i="13"/>
  <c r="A83" i="13"/>
  <c r="AH82" i="13"/>
  <c r="I82" i="13"/>
  <c r="H82" i="13"/>
  <c r="G82" i="13"/>
  <c r="F82" i="13"/>
  <c r="E82" i="13"/>
  <c r="D82" i="13"/>
  <c r="C82" i="13"/>
  <c r="B82" i="13"/>
  <c r="A82" i="13"/>
  <c r="AH81" i="13"/>
  <c r="I81" i="13"/>
  <c r="H81" i="13"/>
  <c r="G81" i="13"/>
  <c r="F81" i="13"/>
  <c r="E81" i="13"/>
  <c r="D81" i="13"/>
  <c r="C81" i="13"/>
  <c r="B81" i="13"/>
  <c r="A81" i="13"/>
  <c r="AH80" i="13"/>
  <c r="I80" i="13"/>
  <c r="H80" i="13"/>
  <c r="G80" i="13"/>
  <c r="F80" i="13"/>
  <c r="E80" i="13"/>
  <c r="D80" i="13"/>
  <c r="C80" i="13"/>
  <c r="B80" i="13"/>
  <c r="A80" i="13"/>
  <c r="AH79" i="13"/>
  <c r="I79" i="13"/>
  <c r="H79" i="13"/>
  <c r="G79" i="13"/>
  <c r="F79" i="13"/>
  <c r="E79" i="13"/>
  <c r="D79" i="13"/>
  <c r="C79" i="13"/>
  <c r="B79" i="13"/>
  <c r="A79" i="13"/>
  <c r="AH78" i="13"/>
  <c r="I78" i="13"/>
  <c r="H78" i="13"/>
  <c r="G78" i="13"/>
  <c r="F78" i="13"/>
  <c r="E78" i="13"/>
  <c r="D78" i="13"/>
  <c r="C78" i="13"/>
  <c r="B78" i="13"/>
  <c r="A78" i="13"/>
  <c r="AH77" i="13"/>
  <c r="I77" i="13"/>
  <c r="H77" i="13"/>
  <c r="G77" i="13"/>
  <c r="F77" i="13"/>
  <c r="E77" i="13"/>
  <c r="D77" i="13"/>
  <c r="C77" i="13"/>
  <c r="B77" i="13"/>
  <c r="A77" i="13"/>
  <c r="AH76" i="13"/>
  <c r="I76" i="13"/>
  <c r="H76" i="13"/>
  <c r="G76" i="13"/>
  <c r="F76" i="13"/>
  <c r="E76" i="13"/>
  <c r="D76" i="13"/>
  <c r="C76" i="13"/>
  <c r="B76" i="13"/>
  <c r="A76" i="13"/>
  <c r="AH75" i="13"/>
  <c r="I75" i="13"/>
  <c r="H75" i="13"/>
  <c r="G75" i="13"/>
  <c r="F75" i="13"/>
  <c r="E75" i="13"/>
  <c r="D75" i="13"/>
  <c r="C75" i="13"/>
  <c r="B75" i="13"/>
  <c r="A75" i="13"/>
  <c r="AH74" i="13"/>
  <c r="I74" i="13"/>
  <c r="H74" i="13"/>
  <c r="G74" i="13"/>
  <c r="F74" i="13"/>
  <c r="E74" i="13"/>
  <c r="D74" i="13"/>
  <c r="C74" i="13"/>
  <c r="B74" i="13"/>
  <c r="A74" i="13"/>
  <c r="AH73" i="13"/>
  <c r="I73" i="13"/>
  <c r="H73" i="13"/>
  <c r="G73" i="13"/>
  <c r="F73" i="13"/>
  <c r="E73" i="13"/>
  <c r="D73" i="13"/>
  <c r="C73" i="13"/>
  <c r="B73" i="13"/>
  <c r="A73" i="13"/>
  <c r="AH72" i="13"/>
  <c r="I72" i="13"/>
  <c r="H72" i="13"/>
  <c r="G72" i="13"/>
  <c r="F72" i="13"/>
  <c r="E72" i="13"/>
  <c r="D72" i="13"/>
  <c r="C72" i="13"/>
  <c r="B72" i="13"/>
  <c r="A72" i="13"/>
  <c r="AH71" i="13"/>
  <c r="I71" i="13"/>
  <c r="H71" i="13"/>
  <c r="G71" i="13"/>
  <c r="F71" i="13"/>
  <c r="E71" i="13"/>
  <c r="D71" i="13"/>
  <c r="C71" i="13"/>
  <c r="B71" i="13"/>
  <c r="A71" i="13"/>
  <c r="AH70" i="13"/>
  <c r="I70" i="13"/>
  <c r="H70" i="13"/>
  <c r="G70" i="13"/>
  <c r="F70" i="13"/>
  <c r="E70" i="13"/>
  <c r="D70" i="13"/>
  <c r="C70" i="13"/>
  <c r="B70" i="13"/>
  <c r="A70" i="13"/>
  <c r="AH69" i="13"/>
  <c r="I69" i="13"/>
  <c r="H69" i="13"/>
  <c r="G69" i="13"/>
  <c r="F69" i="13"/>
  <c r="E69" i="13"/>
  <c r="D69" i="13"/>
  <c r="C69" i="13"/>
  <c r="B69" i="13"/>
  <c r="A69" i="13"/>
  <c r="AH68" i="13"/>
  <c r="I68" i="13"/>
  <c r="H68" i="13"/>
  <c r="G68" i="13"/>
  <c r="F68" i="13"/>
  <c r="E68" i="13"/>
  <c r="D68" i="13"/>
  <c r="C68" i="13"/>
  <c r="B68" i="13"/>
  <c r="A68" i="13"/>
  <c r="AH67" i="13"/>
  <c r="I67" i="13"/>
  <c r="H67" i="13"/>
  <c r="G67" i="13"/>
  <c r="F67" i="13"/>
  <c r="E67" i="13"/>
  <c r="D67" i="13"/>
  <c r="C67" i="13"/>
  <c r="B67" i="13"/>
  <c r="A67" i="13"/>
  <c r="AH66" i="13"/>
  <c r="I66" i="13"/>
  <c r="H66" i="13"/>
  <c r="G66" i="13"/>
  <c r="F66" i="13"/>
  <c r="E66" i="13"/>
  <c r="D66" i="13"/>
  <c r="C66" i="13"/>
  <c r="B66" i="13"/>
  <c r="A66" i="13"/>
  <c r="AH65" i="13"/>
  <c r="I65" i="13"/>
  <c r="H65" i="13"/>
  <c r="G65" i="13"/>
  <c r="F65" i="13"/>
  <c r="E65" i="13"/>
  <c r="D65" i="13"/>
  <c r="C65" i="13"/>
  <c r="B65" i="13"/>
  <c r="A65" i="13"/>
  <c r="AH64" i="13"/>
  <c r="I64" i="13"/>
  <c r="H64" i="13"/>
  <c r="G64" i="13"/>
  <c r="F64" i="13"/>
  <c r="E64" i="13"/>
  <c r="D64" i="13"/>
  <c r="C64" i="13"/>
  <c r="B64" i="13"/>
  <c r="A64" i="13"/>
  <c r="AH63" i="13"/>
  <c r="I63" i="13"/>
  <c r="H63" i="13"/>
  <c r="G63" i="13"/>
  <c r="F63" i="13"/>
  <c r="E63" i="13"/>
  <c r="D63" i="13"/>
  <c r="C63" i="13"/>
  <c r="B63" i="13"/>
  <c r="A63" i="13"/>
  <c r="AH62" i="13"/>
  <c r="I62" i="13"/>
  <c r="H62" i="13"/>
  <c r="G62" i="13"/>
  <c r="F62" i="13"/>
  <c r="E62" i="13"/>
  <c r="D62" i="13"/>
  <c r="C62" i="13"/>
  <c r="B62" i="13"/>
  <c r="A62" i="13"/>
  <c r="AH61" i="13"/>
  <c r="I61" i="13"/>
  <c r="H61" i="13"/>
  <c r="G61" i="13"/>
  <c r="F61" i="13"/>
  <c r="E61" i="13"/>
  <c r="D61" i="13"/>
  <c r="C61" i="13"/>
  <c r="B61" i="13"/>
  <c r="A61" i="13"/>
  <c r="AH60" i="13"/>
  <c r="G60" i="13"/>
  <c r="F60" i="13"/>
  <c r="E60" i="13"/>
  <c r="D60" i="13"/>
  <c r="C60" i="13"/>
  <c r="B60" i="13"/>
  <c r="AH59" i="13"/>
  <c r="A60" i="13"/>
  <c r="G59" i="13"/>
  <c r="F59" i="13"/>
  <c r="E59" i="13"/>
  <c r="D59" i="13"/>
  <c r="C59" i="13"/>
  <c r="B59" i="13"/>
  <c r="AH58" i="13"/>
  <c r="A59" i="13"/>
  <c r="G58" i="13"/>
  <c r="F58" i="13"/>
  <c r="E58" i="13"/>
  <c r="D58" i="13"/>
  <c r="C58" i="13"/>
  <c r="B58" i="13"/>
  <c r="AH57" i="13"/>
  <c r="A58" i="13"/>
  <c r="G57" i="13"/>
  <c r="F57" i="13"/>
  <c r="E57" i="13"/>
  <c r="D57" i="13"/>
  <c r="C57" i="13"/>
  <c r="B57" i="13"/>
  <c r="AH56" i="13"/>
  <c r="A57" i="13"/>
  <c r="G56" i="13"/>
  <c r="F56" i="13"/>
  <c r="E56" i="13"/>
  <c r="D56" i="13"/>
  <c r="C56" i="13"/>
  <c r="B56" i="13"/>
  <c r="AH55" i="13"/>
  <c r="A56" i="13"/>
  <c r="G55" i="13"/>
  <c r="F55" i="13"/>
  <c r="E55" i="13"/>
  <c r="D55" i="13"/>
  <c r="C55" i="13"/>
  <c r="B55" i="13"/>
  <c r="AH54" i="13"/>
  <c r="A55" i="13"/>
  <c r="G54" i="13"/>
  <c r="F54" i="13"/>
  <c r="E54" i="13"/>
  <c r="D54" i="13"/>
  <c r="C54" i="13"/>
  <c r="B54" i="13"/>
  <c r="AH53" i="13"/>
  <c r="A54" i="13"/>
  <c r="G53" i="13"/>
  <c r="F53" i="13"/>
  <c r="E53" i="13"/>
  <c r="D53" i="13"/>
  <c r="C53" i="13"/>
  <c r="B53" i="13"/>
  <c r="AH52" i="13"/>
  <c r="A53" i="13"/>
  <c r="G52" i="13"/>
  <c r="F52" i="13"/>
  <c r="E52" i="13"/>
  <c r="D52" i="13"/>
  <c r="C52" i="13"/>
  <c r="B52" i="13"/>
  <c r="AH51" i="13"/>
  <c r="A52" i="13"/>
  <c r="G51" i="13"/>
  <c r="F51" i="13"/>
  <c r="E51" i="13"/>
  <c r="D51" i="13"/>
  <c r="C51" i="13"/>
  <c r="B51" i="13"/>
  <c r="AH50" i="13"/>
  <c r="A51" i="13"/>
  <c r="G50" i="13"/>
  <c r="F50" i="13"/>
  <c r="E50" i="13"/>
  <c r="D50" i="13"/>
  <c r="C50" i="13"/>
  <c r="B50" i="13"/>
  <c r="AH49" i="13"/>
  <c r="A50" i="13"/>
  <c r="G49" i="13"/>
  <c r="F49" i="13"/>
  <c r="E49" i="13"/>
  <c r="D49" i="13"/>
  <c r="C49" i="13"/>
  <c r="B49" i="13"/>
  <c r="AH48" i="13"/>
  <c r="A49" i="13"/>
  <c r="G48" i="13"/>
  <c r="F48" i="13"/>
  <c r="E48" i="13"/>
  <c r="D48" i="13"/>
  <c r="C48" i="13"/>
  <c r="B48" i="13"/>
  <c r="AH47" i="13"/>
  <c r="A48" i="13"/>
  <c r="G47" i="13"/>
  <c r="F47" i="13"/>
  <c r="E47" i="13"/>
  <c r="D47" i="13"/>
  <c r="C47" i="13"/>
  <c r="B47" i="13"/>
  <c r="AH46" i="13"/>
  <c r="A47" i="13"/>
  <c r="G46" i="13"/>
  <c r="F46" i="13"/>
  <c r="E46" i="13"/>
  <c r="D46" i="13"/>
  <c r="C46" i="13"/>
  <c r="B46" i="13"/>
  <c r="AH45" i="13"/>
  <c r="A46" i="13"/>
  <c r="G45" i="13"/>
  <c r="F45" i="13"/>
  <c r="E45" i="13"/>
  <c r="D45" i="13"/>
  <c r="C45" i="13"/>
  <c r="B45" i="13"/>
  <c r="AH44" i="13"/>
  <c r="A45" i="13"/>
  <c r="G44" i="13"/>
  <c r="F44" i="13"/>
  <c r="E44" i="13"/>
  <c r="D44" i="13"/>
  <c r="C44" i="13"/>
  <c r="B44" i="13"/>
  <c r="AH43" i="13"/>
  <c r="A44" i="13"/>
  <c r="G43" i="13"/>
  <c r="F43" i="13"/>
  <c r="E43" i="13"/>
  <c r="D43" i="13"/>
  <c r="C43" i="13"/>
  <c r="B43" i="13"/>
  <c r="AH42" i="13"/>
  <c r="A43" i="13"/>
  <c r="G42" i="13"/>
  <c r="F42" i="13"/>
  <c r="E42" i="13"/>
  <c r="D42" i="13"/>
  <c r="C42" i="13"/>
  <c r="B42" i="13"/>
  <c r="AH41" i="13"/>
  <c r="A42" i="13"/>
  <c r="G41" i="13"/>
  <c r="F41" i="13"/>
  <c r="E41" i="13"/>
  <c r="D41" i="13"/>
  <c r="C41" i="13"/>
  <c r="B41" i="13"/>
  <c r="AH40" i="13"/>
  <c r="A41" i="13"/>
  <c r="G40" i="13"/>
  <c r="F40" i="13"/>
  <c r="E40" i="13"/>
  <c r="D40" i="13"/>
  <c r="C40" i="13"/>
  <c r="B40" i="13"/>
  <c r="AH39" i="13"/>
  <c r="A40" i="13"/>
  <c r="G39" i="13"/>
  <c r="F39" i="13"/>
  <c r="E39" i="13"/>
  <c r="D39" i="13"/>
  <c r="C39" i="13"/>
  <c r="B39" i="13"/>
  <c r="AH38" i="13"/>
  <c r="A39" i="13"/>
  <c r="G38" i="13"/>
  <c r="F38" i="13"/>
  <c r="E38" i="13"/>
  <c r="D38" i="13"/>
  <c r="C38" i="13"/>
  <c r="B38" i="13"/>
  <c r="AH37" i="13"/>
  <c r="A38" i="13"/>
  <c r="G37" i="13"/>
  <c r="F37" i="13"/>
  <c r="E37" i="13"/>
  <c r="D37" i="13"/>
  <c r="C37" i="13"/>
  <c r="B37" i="13"/>
  <c r="AH36" i="13"/>
  <c r="A37" i="13"/>
  <c r="G36" i="13"/>
  <c r="F36" i="13"/>
  <c r="E36" i="13"/>
  <c r="D36" i="13"/>
  <c r="C36" i="13"/>
  <c r="B36" i="13"/>
  <c r="AH35" i="13"/>
  <c r="A36" i="13"/>
  <c r="G35" i="13"/>
  <c r="F35" i="13"/>
  <c r="E35" i="13"/>
  <c r="D35" i="13"/>
  <c r="C35" i="13"/>
  <c r="B35" i="13"/>
  <c r="AH34" i="13"/>
  <c r="A35" i="13"/>
  <c r="G34" i="13"/>
  <c r="F34" i="13"/>
  <c r="E34" i="13"/>
  <c r="D34" i="13"/>
  <c r="C34" i="13"/>
  <c r="B34" i="13"/>
  <c r="AH33" i="13"/>
  <c r="A34" i="13"/>
  <c r="G33" i="13"/>
  <c r="F33" i="13"/>
  <c r="E33" i="13"/>
  <c r="D33" i="13"/>
  <c r="C33" i="13"/>
  <c r="B33" i="13"/>
  <c r="AH32" i="13"/>
  <c r="A33" i="13"/>
  <c r="G32" i="13"/>
  <c r="F32" i="13"/>
  <c r="E32" i="13"/>
  <c r="D32" i="13"/>
  <c r="C32" i="13"/>
  <c r="B32" i="13"/>
  <c r="AH31" i="13"/>
  <c r="A32" i="13"/>
  <c r="G31" i="13"/>
  <c r="F31" i="13"/>
  <c r="E31" i="13"/>
  <c r="D31" i="13"/>
  <c r="C31" i="13"/>
  <c r="B31" i="13"/>
  <c r="AH30" i="13"/>
  <c r="A31" i="13"/>
  <c r="G30" i="13"/>
  <c r="F30" i="13"/>
  <c r="E30" i="13"/>
  <c r="D30" i="13"/>
  <c r="C30" i="13"/>
  <c r="B30" i="13"/>
  <c r="AH29" i="13"/>
  <c r="A30" i="13"/>
  <c r="G29" i="13"/>
  <c r="F29" i="13"/>
  <c r="E29" i="13"/>
  <c r="D29" i="13"/>
  <c r="C29" i="13"/>
  <c r="B29" i="13"/>
  <c r="AH28" i="13"/>
  <c r="A29" i="13"/>
  <c r="G28" i="13"/>
  <c r="F28" i="13"/>
  <c r="E28" i="13"/>
  <c r="D28" i="13"/>
  <c r="C28" i="13"/>
  <c r="B28" i="13"/>
  <c r="AH27" i="13"/>
  <c r="A28" i="13"/>
  <c r="G27" i="13"/>
  <c r="F27" i="13"/>
  <c r="E27" i="13"/>
  <c r="D27" i="13"/>
  <c r="C27" i="13"/>
  <c r="B27" i="13"/>
  <c r="AH26" i="13"/>
  <c r="A27" i="13"/>
  <c r="G26" i="13"/>
  <c r="F26" i="13"/>
  <c r="E26" i="13"/>
  <c r="D26" i="13"/>
  <c r="C26" i="13"/>
  <c r="B26" i="13"/>
  <c r="AH25" i="13"/>
  <c r="A26" i="13"/>
  <c r="G25" i="13"/>
  <c r="F25" i="13"/>
  <c r="E25" i="13"/>
  <c r="D25" i="13"/>
  <c r="C25" i="13"/>
  <c r="B25" i="13"/>
  <c r="AH24" i="13"/>
  <c r="A25" i="13"/>
  <c r="AL24" i="13"/>
  <c r="G24" i="13"/>
  <c r="F24" i="13"/>
  <c r="E24" i="13"/>
  <c r="D24" i="13"/>
  <c r="C24" i="13"/>
  <c r="B24" i="13"/>
  <c r="AH23" i="13"/>
  <c r="A24" i="13"/>
  <c r="AL23" i="13"/>
  <c r="G23" i="13"/>
  <c r="F23" i="13"/>
  <c r="E23" i="13"/>
  <c r="D23" i="13"/>
  <c r="C23" i="13"/>
  <c r="B23" i="13"/>
  <c r="AH22" i="13"/>
  <c r="A23" i="13"/>
  <c r="AL22" i="13"/>
  <c r="G22" i="13"/>
  <c r="F22" i="13"/>
  <c r="E22" i="13"/>
  <c r="D22" i="13"/>
  <c r="C22" i="13"/>
  <c r="B22" i="13"/>
  <c r="AH21" i="13"/>
  <c r="A22" i="13"/>
  <c r="AL21" i="13"/>
  <c r="G21" i="13"/>
  <c r="F21" i="13"/>
  <c r="E21" i="13"/>
  <c r="D21" i="13"/>
  <c r="C21" i="13"/>
  <c r="B21" i="13"/>
  <c r="AH20" i="13"/>
  <c r="A21" i="13"/>
  <c r="AL20" i="13"/>
  <c r="AK20" i="13"/>
  <c r="G20" i="13"/>
  <c r="F20" i="13"/>
  <c r="E20" i="13"/>
  <c r="D20" i="13"/>
  <c r="C20" i="13"/>
  <c r="B20" i="13"/>
  <c r="AH19" i="13"/>
  <c r="A20" i="13"/>
  <c r="AL19" i="13"/>
  <c r="AK19" i="13"/>
  <c r="G19" i="13"/>
  <c r="F19" i="13"/>
  <c r="E19" i="13"/>
  <c r="D19" i="13"/>
  <c r="C19" i="13"/>
  <c r="B19" i="13"/>
  <c r="AH18" i="13"/>
  <c r="A19" i="13"/>
  <c r="AL18" i="13"/>
  <c r="AK18" i="13"/>
  <c r="G18" i="13"/>
  <c r="F18" i="13"/>
  <c r="E18" i="13"/>
  <c r="D18" i="13"/>
  <c r="C18" i="13"/>
  <c r="B18" i="13"/>
  <c r="AH17" i="13"/>
  <c r="A18" i="13"/>
  <c r="AL17" i="13"/>
  <c r="AK17" i="13"/>
  <c r="G17" i="13"/>
  <c r="F17" i="13"/>
  <c r="E17" i="13"/>
  <c r="D17" i="13"/>
  <c r="C17" i="13"/>
  <c r="B17" i="13"/>
  <c r="AH16" i="13"/>
  <c r="A17" i="13"/>
  <c r="AL16" i="13"/>
  <c r="AK16" i="13"/>
  <c r="G16" i="13"/>
  <c r="F16" i="13"/>
  <c r="E16" i="13"/>
  <c r="D16" i="13"/>
  <c r="C16" i="13"/>
  <c r="B16" i="13"/>
  <c r="A16" i="13"/>
  <c r="AL15" i="13"/>
  <c r="AK15" i="13"/>
  <c r="AL14" i="13"/>
  <c r="AK14" i="13"/>
  <c r="AL13" i="13"/>
  <c r="AK13" i="13"/>
  <c r="AL12" i="13"/>
  <c r="AK12" i="13"/>
  <c r="AL11" i="13"/>
  <c r="AK11" i="13"/>
  <c r="AJ11" i="13"/>
  <c r="AL9" i="13"/>
  <c r="AK9" i="13"/>
  <c r="AJ9" i="13"/>
  <c r="B9" i="13"/>
  <c r="AL8" i="13"/>
  <c r="AK8" i="13"/>
  <c r="AJ8" i="13"/>
  <c r="B8" i="13"/>
  <c r="AL7" i="13"/>
  <c r="AK7" i="13"/>
  <c r="AJ7" i="13"/>
  <c r="D1" i="13"/>
  <c r="F49" i="5"/>
  <c r="E49" i="5"/>
  <c r="D49" i="5"/>
  <c r="F48" i="5"/>
  <c r="E48" i="5"/>
  <c r="D48" i="5"/>
  <c r="F47" i="5"/>
  <c r="E47" i="5"/>
  <c r="D47" i="5"/>
  <c r="F46" i="5"/>
  <c r="E46" i="5"/>
  <c r="D46" i="5"/>
  <c r="C46" i="5"/>
  <c r="B46" i="5"/>
  <c r="A46" i="5"/>
  <c r="F45" i="5"/>
  <c r="E45" i="5"/>
  <c r="D45" i="5"/>
  <c r="C45" i="5"/>
  <c r="B45" i="5"/>
  <c r="A45" i="5"/>
  <c r="F44" i="5"/>
  <c r="E44" i="5"/>
  <c r="D44" i="5"/>
  <c r="C44" i="5"/>
  <c r="B44" i="5"/>
  <c r="A44" i="5"/>
  <c r="F43" i="5"/>
  <c r="E43" i="5"/>
  <c r="D43" i="5"/>
  <c r="C43" i="5"/>
  <c r="B43" i="5"/>
  <c r="A43" i="5"/>
  <c r="F42" i="5"/>
  <c r="E42" i="5"/>
  <c r="D42" i="5"/>
  <c r="C42" i="5"/>
  <c r="B42" i="5"/>
  <c r="A42" i="5"/>
  <c r="F41" i="5"/>
  <c r="E41" i="5"/>
  <c r="D41" i="5"/>
  <c r="C41" i="5"/>
  <c r="B41" i="5"/>
  <c r="A41" i="5"/>
  <c r="F40" i="5"/>
  <c r="E40" i="5"/>
  <c r="D40" i="5"/>
  <c r="C40" i="5"/>
  <c r="B40" i="5"/>
  <c r="A40" i="5"/>
  <c r="F39" i="5"/>
  <c r="E39" i="5"/>
  <c r="D39" i="5"/>
  <c r="C39" i="5"/>
  <c r="B39" i="5"/>
  <c r="A39" i="5"/>
  <c r="F38" i="5"/>
  <c r="E38" i="5"/>
  <c r="D38" i="5"/>
  <c r="C38" i="5"/>
  <c r="B38" i="5"/>
  <c r="A38" i="5"/>
  <c r="F37" i="5"/>
  <c r="E37" i="5"/>
  <c r="D37" i="5"/>
  <c r="C37" i="5"/>
  <c r="B37" i="5"/>
  <c r="A37" i="5"/>
  <c r="F36" i="5"/>
  <c r="E36" i="5"/>
  <c r="D36" i="5"/>
  <c r="C36" i="5"/>
  <c r="B36" i="5"/>
  <c r="A36" i="5"/>
  <c r="F35" i="5"/>
  <c r="E35" i="5"/>
  <c r="D35" i="5"/>
  <c r="C35" i="5"/>
  <c r="B35" i="5"/>
  <c r="A35" i="5"/>
  <c r="F34" i="5"/>
  <c r="E34" i="5"/>
  <c r="D34" i="5"/>
  <c r="C34" i="5"/>
  <c r="B34" i="5"/>
  <c r="A34" i="5"/>
  <c r="F33" i="5"/>
  <c r="E33" i="5"/>
  <c r="D33" i="5"/>
  <c r="C33" i="5"/>
  <c r="B33" i="5"/>
  <c r="A33" i="5"/>
  <c r="F32" i="5"/>
  <c r="E32" i="5"/>
  <c r="D32" i="5"/>
  <c r="C32" i="5"/>
  <c r="B32" i="5"/>
  <c r="A32" i="5"/>
  <c r="F31" i="5"/>
  <c r="E31" i="5"/>
  <c r="D31" i="5"/>
  <c r="C31" i="5"/>
  <c r="B31" i="5"/>
  <c r="A31" i="5"/>
  <c r="F30" i="5"/>
  <c r="E30" i="5"/>
  <c r="D30" i="5"/>
  <c r="C30" i="5"/>
  <c r="B30" i="5"/>
  <c r="A30" i="5"/>
  <c r="F29" i="5"/>
  <c r="E29" i="5"/>
  <c r="D29" i="5"/>
  <c r="C29" i="5"/>
  <c r="B29" i="5"/>
  <c r="A29" i="5"/>
  <c r="F28" i="5"/>
  <c r="E28" i="5"/>
  <c r="D28" i="5"/>
  <c r="C28" i="5"/>
  <c r="B28" i="5"/>
  <c r="A28" i="5"/>
  <c r="F27" i="5"/>
  <c r="E27" i="5"/>
  <c r="D27" i="5"/>
  <c r="C27" i="5"/>
  <c r="B27" i="5"/>
  <c r="A27" i="5"/>
  <c r="F26" i="5"/>
  <c r="E26" i="5"/>
  <c r="D26" i="5"/>
  <c r="C26" i="5"/>
  <c r="B26" i="5"/>
  <c r="A26" i="5"/>
  <c r="F25" i="5"/>
  <c r="E25" i="5"/>
  <c r="D25" i="5"/>
  <c r="C25" i="5"/>
  <c r="B25" i="5"/>
  <c r="A25" i="5"/>
  <c r="F24" i="5"/>
  <c r="E24" i="5"/>
  <c r="D24" i="5"/>
  <c r="C24" i="5"/>
  <c r="B24" i="5"/>
  <c r="A24" i="5"/>
  <c r="F23" i="5"/>
  <c r="E23" i="5"/>
  <c r="D23" i="5"/>
  <c r="C23" i="5"/>
  <c r="B23" i="5"/>
  <c r="A23" i="5"/>
  <c r="F22" i="5"/>
  <c r="E22" i="5"/>
  <c r="D22" i="5"/>
  <c r="C22" i="5"/>
  <c r="B22" i="5"/>
  <c r="A22" i="5"/>
  <c r="F21" i="5"/>
  <c r="E21" i="5"/>
  <c r="D21" i="5"/>
  <c r="C21" i="5"/>
  <c r="B21" i="5"/>
  <c r="A21" i="5"/>
  <c r="F20" i="5"/>
  <c r="E20" i="5"/>
  <c r="D20" i="5"/>
  <c r="C20" i="5"/>
  <c r="B20" i="5"/>
  <c r="A20" i="5"/>
  <c r="F19" i="5"/>
  <c r="E19" i="5"/>
  <c r="D19" i="5"/>
  <c r="C19" i="5"/>
  <c r="B19" i="5"/>
  <c r="A19" i="5"/>
  <c r="F18" i="5"/>
  <c r="E18" i="5"/>
  <c r="D18" i="5"/>
  <c r="C18" i="5"/>
  <c r="B18" i="5"/>
  <c r="A18" i="5"/>
  <c r="F17" i="5"/>
  <c r="E17" i="5"/>
  <c r="D17" i="5"/>
  <c r="C17" i="5"/>
  <c r="B17" i="5"/>
  <c r="A17" i="5"/>
  <c r="F16" i="5"/>
  <c r="E16" i="5"/>
  <c r="D16" i="5"/>
  <c r="C16" i="5"/>
  <c r="B16" i="5"/>
  <c r="A16" i="5"/>
  <c r="F15" i="5"/>
  <c r="E15" i="5"/>
  <c r="D15" i="5"/>
  <c r="C15" i="5"/>
  <c r="B15" i="5"/>
  <c r="A15" i="5"/>
  <c r="F14" i="5"/>
  <c r="E14" i="5"/>
  <c r="D14" i="5"/>
  <c r="C14" i="5"/>
  <c r="B14" i="5"/>
  <c r="A14" i="5"/>
  <c r="F13" i="5"/>
  <c r="E13" i="5"/>
  <c r="D13" i="5"/>
  <c r="C13" i="5"/>
  <c r="B13" i="5"/>
  <c r="A13" i="5"/>
  <c r="F12" i="5"/>
  <c r="E12" i="5"/>
  <c r="D12" i="5"/>
  <c r="C12" i="5"/>
  <c r="B12" i="5"/>
  <c r="A12" i="5"/>
  <c r="F11" i="5"/>
  <c r="E11" i="5"/>
  <c r="D11" i="5"/>
  <c r="C11" i="5"/>
  <c r="B11" i="5"/>
  <c r="A11" i="5"/>
  <c r="F10" i="5"/>
  <c r="E10" i="5"/>
  <c r="D10" i="5"/>
  <c r="C10" i="5"/>
  <c r="B10" i="5"/>
  <c r="A10" i="5"/>
  <c r="F9" i="5"/>
  <c r="E9" i="5"/>
  <c r="D9" i="5"/>
  <c r="C9" i="5"/>
  <c r="B9" i="5"/>
  <c r="A9" i="5"/>
  <c r="F8" i="5"/>
  <c r="E8" i="5"/>
  <c r="D8" i="5"/>
  <c r="C8" i="5"/>
  <c r="B8" i="5"/>
  <c r="A8" i="5"/>
  <c r="F7" i="5"/>
  <c r="E7" i="5"/>
  <c r="D7" i="5"/>
  <c r="C7" i="5"/>
  <c r="B7" i="5"/>
  <c r="A7" i="5"/>
  <c r="F6" i="5"/>
  <c r="E6" i="5"/>
  <c r="D6" i="5"/>
  <c r="C6" i="5"/>
  <c r="B6" i="5"/>
  <c r="A6" i="5"/>
  <c r="F5" i="5"/>
  <c r="E5" i="5"/>
  <c r="D5" i="5"/>
  <c r="C5" i="5"/>
  <c r="B5" i="5"/>
  <c r="A5" i="5"/>
  <c r="F4" i="5"/>
  <c r="E4" i="5"/>
  <c r="D4" i="5"/>
  <c r="C4" i="5"/>
  <c r="B4" i="5"/>
  <c r="A4" i="5"/>
  <c r="F3" i="5"/>
  <c r="E3" i="5"/>
  <c r="D3" i="5"/>
  <c r="C3" i="5"/>
  <c r="B3" i="5"/>
  <c r="A3" i="5"/>
  <c r="F2" i="5"/>
  <c r="E2" i="5"/>
  <c r="D2" i="5"/>
  <c r="C2" i="5"/>
  <c r="B2" i="5"/>
  <c r="A2" i="5"/>
  <c r="C1" i="5"/>
  <c r="B1" i="5"/>
  <c r="A1" i="5"/>
</calcChain>
</file>

<file path=xl/sharedStrings.xml><?xml version="1.0" encoding="utf-8"?>
<sst xmlns="http://schemas.openxmlformats.org/spreadsheetml/2006/main" count="2192" uniqueCount="929">
  <si>
    <t>Product Roadmap - 2026-2027</t>
  </si>
  <si>
    <t>(All)</t>
  </si>
  <si>
    <t>Theme, then Status</t>
  </si>
  <si>
    <t>Select Portfolio</t>
  </si>
  <si>
    <t>Select Theme</t>
  </si>
  <si>
    <t>Select Status</t>
  </si>
  <si>
    <t>Sort by</t>
  </si>
  <si>
    <t>Status, then Theme</t>
  </si>
  <si>
    <t>Dev start (earliest)</t>
  </si>
  <si>
    <t>Description</t>
  </si>
  <si>
    <t>UX start (earliest)</t>
  </si>
  <si>
    <t>Measure adoption</t>
  </si>
  <si>
    <t>Deliverable A-Z</t>
  </si>
  <si>
    <t>Measure impact</t>
  </si>
  <si>
    <t>UX</t>
  </si>
  <si>
    <t>UX work in month</t>
  </si>
  <si>
    <t>DEV</t>
  </si>
  <si>
    <t>Dev sprint</t>
  </si>
  <si>
    <t>BOTH</t>
  </si>
  <si>
    <t>Both, same month</t>
  </si>
  <si>
    <t>Q1</t>
  </si>
  <si>
    <t>Q2</t>
  </si>
  <si>
    <t>Q3</t>
  </si>
  <si>
    <t>Q4</t>
  </si>
  <si>
    <t>Theme (swim lane)</t>
  </si>
  <si>
    <t>Deliverable (BHP Link)</t>
  </si>
  <si>
    <t>Jira</t>
  </si>
  <si>
    <t>Status</t>
  </si>
  <si>
    <t>UX From</t>
  </si>
  <si>
    <t>UX To</t>
  </si>
  <si>
    <t>UX Wks</t>
  </si>
  <si>
    <t>Dev From</t>
  </si>
  <si>
    <t>Dev To</t>
  </si>
  <si>
    <t>Jan</t>
  </si>
  <si>
    <t>Feb</t>
  </si>
  <si>
    <t>Mar</t>
  </si>
  <si>
    <t>Apr</t>
  </si>
  <si>
    <t>May</t>
  </si>
  <si>
    <t>Jun</t>
  </si>
  <si>
    <t>Jul</t>
  </si>
  <si>
    <t>Aug</t>
  </si>
  <si>
    <t>Sep</t>
  </si>
  <si>
    <t>Oct</t>
  </si>
  <si>
    <t>Nov</t>
  </si>
  <si>
    <t>Dec</t>
  </si>
  <si>
    <t>_theme</t>
  </si>
  <si>
    <t>_row</t>
  </si>
  <si>
    <t>How this tab works</t>
  </si>
  <si>
    <t>• Every row is generated from the UX Weekly tab. Add, edit or delete a row there — Theme #1, Title, Jira, Status and the weekly resourcing cells — and this roadmap redraws itself. Nothing here is typed by hand.</t>
  </si>
  <si>
    <t>• The cream cells in the control panel are the only cells you edit. Filter by portfolio, theme or status and re-sort with them; the list recompacts, so there are never gaps to scroll past. Portfolio matches partially, so “B2B” also catches “B2B/Used”, and the theme filter looks at both Theme #1 and Theme #2. Set all three back to (All) to see everything.</t>
  </si>
  <si>
    <t>• Sorting by anything other than Theme breaks the lanes apart on purpose — the theme name then repeats beside each row so you can still see which lane it belongs to.</t>
  </si>
  <si>
    <t>• Swim lanes = Theme #1, ordered by the Theme list on the Control tab; rows sort by Theme, then Status. Click a theme name to jump to its definition on Control; click a Jira number or a deliverable to open the ticket in Jira.</t>
  </si>
  <si>
    <t>• Blue “U” means that month contains at least one week resourced to a designer on UX Weekly. Gaps are real — a month with no name in any of its week columns stays blank, so stop-start work reads as stop-start.</t>
  </si>
  <si>
    <t>• “UX From”/“UX To” are the first and last resourced week; “UX Wks” counts the weeks actually resourced between them. A wide envelope with a low week count means the work is scheduled in separate blocks.</t>
  </si>
  <si>
    <t>• Green “D” is the dev sprint window from Start Sprint / End Sprint on Dev Tracker, which is month-level rather than weekly. Purple “B” = both in the same month.</t>
  </si>
  <si>
    <t>• Dev Tracker is row-aligned with UX Weekly (row 12 there is row 12 here), so sprint dates are read directly — no title matching, and nothing can drift out of sync.</t>
  </si>
  <si>
    <t>• The amber column is the current month. Rows 7–80 are pre-wired, so up to 74 deliverables fit without touching a formula. A Start/End Sprint with no year is read as the current year.</t>
  </si>
  <si>
    <t>• Deliverable links use the Product Ticket column (L) on Dev Tracker. Add a ticket there for a new row and its link starts working here.</t>
  </si>
  <si>
    <t>• The theme detail panel under the controls follows the Show theme dropdown and shows that theme's description and measures from the Control tab. Collapse it with the minus sign in the row gutter if you want the space back. Where it says nothing is defined, that is a real gap on Control, not a lookup failure.</t>
  </si>
  <si>
    <t>• The full theme reference below the notes prints with the sheet, so a shared or printed copy carries the definitions even though the panel only shows one theme at a time.</t>
  </si>
  <si>
    <t>• Hidden tab “Roadmap Calc (Don’t Touch)” does the lookup, the per-month week test and the sorting. Unhide it to audit; don’t edit it.</t>
  </si>
  <si>
    <t>Theme reference — pulled live from the Control tab</t>
  </si>
  <si>
    <t>Theme</t>
  </si>
  <si>
    <t>2026 Roadmap - Jerel Smith</t>
  </si>
  <si>
    <t>Q1 2026</t>
  </si>
  <si>
    <t>Q2 2026</t>
  </si>
  <si>
    <t>Q3 2026</t>
  </si>
  <si>
    <t>Q4 2026</t>
  </si>
  <si>
    <t>Q1 2027</t>
  </si>
  <si>
    <t>Q2 2027</t>
  </si>
  <si>
    <t>Q3 2027</t>
  </si>
  <si>
    <t>Q4 2027</t>
  </si>
  <si>
    <t>Q1 2028</t>
  </si>
  <si>
    <t>Q2 2028</t>
  </si>
  <si>
    <t>Q3 2028</t>
  </si>
  <si>
    <t>Q4 2028</t>
  </si>
  <si>
    <t>1. B2B</t>
  </si>
  <si>
    <t>Freeze</t>
  </si>
  <si>
    <t>PMO-5000</t>
  </si>
  <si>
    <t>&gt;CMS Lite</t>
  </si>
  <si>
    <t>Discovery</t>
  </si>
  <si>
    <t>Design + Dev</t>
  </si>
  <si>
    <t>Dev + Live</t>
  </si>
  <si>
    <t>&gt;Sign Up</t>
  </si>
  <si>
    <t>&gt;Internal Pages</t>
  </si>
  <si>
    <t>Discovery + Research</t>
  </si>
  <si>
    <t>B2B Hub Health Dashboard</t>
  </si>
  <si>
    <t>All</t>
  </si>
  <si>
    <t>The Studio</t>
  </si>
  <si>
    <t>Categories</t>
  </si>
  <si>
    <t>Stakeholder Input</t>
  </si>
  <si>
    <t>&gt;Landing Page</t>
  </si>
  <si>
    <t>&gt;Multi-Page</t>
  </si>
  <si>
    <t>2. Used</t>
  </si>
  <si>
    <t>Sell Used/Trade In</t>
  </si>
  <si>
    <t>&gt;Sell Used Experience</t>
  </si>
  <si>
    <t>Live</t>
  </si>
  <si>
    <t>&gt;Trade In Experience</t>
  </si>
  <si>
    <t>Trade In Emails</t>
  </si>
  <si>
    <t>…Live</t>
  </si>
  <si>
    <t>Used Hub Health Dashboard</t>
  </si>
  <si>
    <t>Condition Rating Scale</t>
  </si>
  <si>
    <t>&gt;New Condition Rating Scale</t>
  </si>
  <si>
    <t>Design</t>
  </si>
  <si>
    <t>PDP - Group By Condition</t>
  </si>
  <si>
    <t>PLP - Roll Up By Condition</t>
  </si>
  <si>
    <t>Actual Used Images (Tim)</t>
  </si>
  <si>
    <t>Dev</t>
  </si>
  <si>
    <t>Operationalize</t>
  </si>
  <si>
    <t>3. Legacy Find (Submitting to Dev - Not Owning Afterwards)</t>
  </si>
  <si>
    <t>Mega Menu</t>
  </si>
  <si>
    <t>Roll Up SKUs</t>
  </si>
  <si>
    <t>Design + Grooming</t>
  </si>
  <si>
    <t>Nested Refinements</t>
  </si>
  <si>
    <t>Discovery + Design</t>
  </si>
  <si>
    <t xml:space="preserve">Journey/Initiative </t>
  </si>
  <si>
    <t>Enterprise Platforms &amp; Used</t>
  </si>
  <si>
    <t>January</t>
  </si>
  <si>
    <t>February</t>
  </si>
  <si>
    <t>March</t>
  </si>
  <si>
    <t>April</t>
  </si>
  <si>
    <t>June</t>
  </si>
  <si>
    <t>July</t>
  </si>
  <si>
    <t>August</t>
  </si>
  <si>
    <t>September</t>
  </si>
  <si>
    <t>October</t>
  </si>
  <si>
    <t>November</t>
  </si>
  <si>
    <t>December</t>
  </si>
  <si>
    <t>&gt;Weblogic-&gt; Apeture/JSON Led</t>
  </si>
  <si>
    <t>Research</t>
  </si>
  <si>
    <t>EDU</t>
  </si>
  <si>
    <t>Socialize</t>
  </si>
  <si>
    <t>Product</t>
  </si>
  <si>
    <t>Portfolio</t>
  </si>
  <si>
    <t>Theme #1</t>
  </si>
  <si>
    <t>Theme #2</t>
  </si>
  <si>
    <t>Title</t>
  </si>
  <si>
    <t>Jerel Smith</t>
  </si>
  <si>
    <t>Used</t>
  </si>
  <si>
    <t>Improve Buy Used Customer Experience</t>
  </si>
  <si>
    <t>Improve Trade In User Flow</t>
  </si>
  <si>
    <t>New Condition Rating Scale</t>
  </si>
  <si>
    <t>BHUX-33510</t>
  </si>
  <si>
    <t>00. Parking Lot</t>
  </si>
  <si>
    <t>Leo</t>
  </si>
  <si>
    <t>B2B</t>
  </si>
  <si>
    <t>Increase B2B Acquisition</t>
  </si>
  <si>
    <t>B2B Hub - Logged In B2B Experience</t>
  </si>
  <si>
    <t>BHP-6901</t>
  </si>
  <si>
    <t>Jaye</t>
  </si>
  <si>
    <t>Improve The Studio B&amp;H Customer Experience</t>
  </si>
  <si>
    <t>B2B - The Studio Categories</t>
  </si>
  <si>
    <t>BHUX-33434</t>
  </si>
  <si>
    <t>01. Prod Discovery</t>
  </si>
  <si>
    <t>Hilli</t>
  </si>
  <si>
    <t>Increase The Studio B&amp;H Awareness</t>
  </si>
  <si>
    <t>The Studio - Stand Alone Website</t>
  </si>
  <si>
    <t>Sumit</t>
  </si>
  <si>
    <t>Homepage Header: B2B</t>
  </si>
  <si>
    <t>BHP-7274</t>
  </si>
  <si>
    <t>Increase Trade In Awareness</t>
  </si>
  <si>
    <t>Decouple Sell Used from Used Hub</t>
  </si>
  <si>
    <t>BHP-7431</t>
  </si>
  <si>
    <t>Sell Used Purchase Look Up</t>
  </si>
  <si>
    <t>BHP-7236</t>
  </si>
  <si>
    <t>02. UX Req</t>
  </si>
  <si>
    <t>John</t>
  </si>
  <si>
    <t>Used Activity Notification</t>
  </si>
  <si>
    <t>BHP-7237</t>
  </si>
  <si>
    <t>The Studio - Enhanced Landing Page</t>
  </si>
  <si>
    <t>BHP-6444</t>
  </si>
  <si>
    <t>Increase Buy Used Awareness</t>
  </si>
  <si>
    <t>Used Hub - Just Added Component</t>
  </si>
  <si>
    <t>BHP-7229</t>
  </si>
  <si>
    <t>The Studio - Category Hybrid Page</t>
  </si>
  <si>
    <t>BHP-7301</t>
  </si>
  <si>
    <t>Used Just Added Page</t>
  </si>
  <si>
    <t>BHP-7230</t>
  </si>
  <si>
    <t>Nachman</t>
  </si>
  <si>
    <t>Increase Awareness of Trade In Offers - Best Buy Inspiration/Competitive Effort</t>
  </si>
  <si>
    <t>BHP-6827</t>
  </si>
  <si>
    <t>Out of stock Alerts for used products</t>
  </si>
  <si>
    <t>BHUX-35020</t>
  </si>
  <si>
    <t>03. UX Discovery</t>
  </si>
  <si>
    <t>The Studio - B&amp;H Awareness on High Ticket Items</t>
  </si>
  <si>
    <t>BHUX-35304</t>
  </si>
  <si>
    <t>Improve Discovery</t>
  </si>
  <si>
    <t>Add New | Used tab to all listing pages and search results pages</t>
  </si>
  <si>
    <t>BHUX-35303</t>
  </si>
  <si>
    <t>Find</t>
  </si>
  <si>
    <t>Highlighted Refinements Enhancement</t>
  </si>
  <si>
    <t>BHUX-35302 </t>
  </si>
  <si>
    <t>04. UX Design</t>
  </si>
  <si>
    <t>Trade In Email - Comprehensive Refresh Discovery</t>
  </si>
  <si>
    <t>BHUX-34772</t>
  </si>
  <si>
    <t>Used - Sell Used Experience</t>
  </si>
  <si>
    <t>BHUX-33009</t>
  </si>
  <si>
    <t>Add 'shop by popular brands' section to Used Homepage</t>
  </si>
  <si>
    <t>BHUX-34844</t>
  </si>
  <si>
    <t>Shop By Popular Brand' Listing Pages Discovery</t>
  </si>
  <si>
    <t>BHUX-34845</t>
  </si>
  <si>
    <t>My Account &gt; Trade In Awareness</t>
  </si>
  <si>
    <t>BHUX-35010</t>
  </si>
  <si>
    <t>Mehek</t>
  </si>
  <si>
    <t>B2B/Used</t>
  </si>
  <si>
    <t>B2B &amp; Used Visibility in the Nav</t>
  </si>
  <si>
    <t>BHUX-34378</t>
  </si>
  <si>
    <t>Sell Used User Flow Design Validation</t>
  </si>
  <si>
    <t>BHUR-133</t>
  </si>
  <si>
    <t>04A. Research - Design Validation</t>
  </si>
  <si>
    <t>Hanna</t>
  </si>
  <si>
    <t>Used Status Email Update</t>
  </si>
  <si>
    <t>BHUX-34723</t>
  </si>
  <si>
    <t>06. Architecture</t>
  </si>
  <si>
    <t>PDP Purchased in 20XX, Trade In Value is $YYY.YY</t>
  </si>
  <si>
    <t>BHUX-35309</t>
  </si>
  <si>
    <t>Alice</t>
  </si>
  <si>
    <t>B2B Hub Landing Page - redesign</t>
  </si>
  <si>
    <t>BHUX-26541 </t>
  </si>
  <si>
    <t>07. Grooming</t>
  </si>
  <si>
    <t>B2B Hub - Revisit Signup Flow</t>
  </si>
  <si>
    <t>BHUX-31874</t>
  </si>
  <si>
    <t>B2B Hub Redesign - Internal Pages</t>
  </si>
  <si>
    <t>BHUX-32257</t>
  </si>
  <si>
    <t>New Condition Rating Scale (Intermediate Step)</t>
  </si>
  <si>
    <t>BHJ-121278</t>
  </si>
  <si>
    <t>BHUX-29580</t>
  </si>
  <si>
    <t>08. Ready for Dev</t>
  </si>
  <si>
    <t>Laura</t>
  </si>
  <si>
    <t>School Safety Landing Page</t>
  </si>
  <si>
    <t>BHUX-34377</t>
  </si>
  <si>
    <t>BHUX-32621</t>
  </si>
  <si>
    <t>Sunset Modals for Drawers</t>
  </si>
  <si>
    <t>BHUX-32543 </t>
  </si>
  <si>
    <t>09. In Dev</t>
  </si>
  <si>
    <t>Trade In Discrepancy Email Refresh (Copy Only)</t>
  </si>
  <si>
    <t>Condition Grouping</t>
  </si>
  <si>
    <t>BHUX-33519</t>
  </si>
  <si>
    <t>10. QA</t>
  </si>
  <si>
    <t>Sliders</t>
  </si>
  <si>
    <t>BHUX-17615</t>
  </si>
  <si>
    <t>13. Live</t>
  </si>
  <si>
    <t>Refinement - Select All/Deselect All</t>
  </si>
  <si>
    <t>BHUX-23755</t>
  </si>
  <si>
    <t>My Gear 2 - Tray</t>
  </si>
  <si>
    <t>BHUX-28124</t>
  </si>
  <si>
    <t>H2 on listing pages</t>
  </si>
  <si>
    <t>BHUX-31245</t>
  </si>
  <si>
    <t>Sunset Dealzone</t>
  </si>
  <si>
    <t>BHUX-32071</t>
  </si>
  <si>
    <t>Highlighted Refinements</t>
  </si>
  <si>
    <t>BHUX-29921</t>
  </si>
  <si>
    <t>EDU Homepage</t>
  </si>
  <si>
    <t>BHUX-25601</t>
  </si>
  <si>
    <t>Actual Used Images</t>
  </si>
  <si>
    <t>BHP-4563</t>
  </si>
  <si>
    <t>Used Hub Enhancements</t>
  </si>
  <si>
    <t>BHUX-31354 </t>
  </si>
  <si>
    <t>Ticket</t>
  </si>
  <si>
    <t>Component</t>
  </si>
  <si>
    <t>Tech</t>
  </si>
  <si>
    <t>Start Sprint</t>
  </si>
  <si>
    <t>End Sprint</t>
  </si>
  <si>
    <t>Notes</t>
  </si>
  <si>
    <t>Product Ticket</t>
  </si>
  <si>
    <t>B2B Hub</t>
  </si>
  <si>
    <t>BHJ</t>
  </si>
  <si>
    <t>Jan 2027</t>
  </si>
  <si>
    <t>BHP-4771</t>
  </si>
  <si>
    <t>B2B Hub Plus</t>
  </si>
  <si>
    <t>Mar 2027</t>
  </si>
  <si>
    <t>May 2027</t>
  </si>
  <si>
    <t>Dec 2026</t>
  </si>
  <si>
    <t>BHP-6446</t>
  </si>
  <si>
    <t>Navigation</t>
  </si>
  <si>
    <t>BHJ, BHIA, BIDW</t>
  </si>
  <si>
    <t>PLP/Search</t>
  </si>
  <si>
    <t>BHJ, Search, BHIA</t>
  </si>
  <si>
    <t>Nov 2026</t>
  </si>
  <si>
    <t>Sell Used</t>
  </si>
  <si>
    <t>UNIX, BHJ, SEARCH</t>
  </si>
  <si>
    <t>PLP/PDP</t>
  </si>
  <si>
    <t>UNIX, BHJ</t>
  </si>
  <si>
    <t>PDP/ Images</t>
  </si>
  <si>
    <t>BHJ, BHIA</t>
  </si>
  <si>
    <t>Feb 2027</t>
  </si>
  <si>
    <t>Trade In Email</t>
  </si>
  <si>
    <t>UNIX</t>
  </si>
  <si>
    <t>Oct 2026</t>
  </si>
  <si>
    <t>BIDW</t>
  </si>
  <si>
    <t>BHJ, BHIA, SEARCH</t>
  </si>
  <si>
    <t>My Gear</t>
  </si>
  <si>
    <t>BHP-4792</t>
  </si>
  <si>
    <t>BHP-7239</t>
  </si>
  <si>
    <t>Category Landing Page</t>
  </si>
  <si>
    <t>BHP-5726</t>
  </si>
  <si>
    <t>BHP-7266</t>
  </si>
  <si>
    <t>BHP-6391</t>
  </si>
  <si>
    <t>BHP-6434</t>
  </si>
  <si>
    <t>BHP-6735</t>
  </si>
  <si>
    <t>PDP</t>
  </si>
  <si>
    <t>BHJ, UNIX</t>
  </si>
  <si>
    <t>BHP-7196</t>
  </si>
  <si>
    <t>BHP-6900</t>
  </si>
  <si>
    <t>Used Hub</t>
  </si>
  <si>
    <t>BHP-7145</t>
  </si>
  <si>
    <t>BHP-7228</t>
  </si>
  <si>
    <t>DBA</t>
  </si>
  <si>
    <t>BHP-7238</t>
  </si>
  <si>
    <t>Sep 2026</t>
  </si>
  <si>
    <t>BHP-5830</t>
  </si>
  <si>
    <t>BHP-2802</t>
  </si>
  <si>
    <t>Aug 2026</t>
  </si>
  <si>
    <t>BHP-6228</t>
  </si>
  <si>
    <t>Jul 2026</t>
  </si>
  <si>
    <t>BHP-4518</t>
  </si>
  <si>
    <t>BHP-3757</t>
  </si>
  <si>
    <t>BHP-2638</t>
  </si>
  <si>
    <t>BHP-5060</t>
  </si>
  <si>
    <t>MRCH-2202</t>
  </si>
  <si>
    <t>BHJ-119850</t>
  </si>
  <si>
    <t>BHP-5132</t>
  </si>
  <si>
    <t>BHP-3583</t>
  </si>
  <si>
    <t>BHP-5817</t>
  </si>
  <si>
    <t>Reduce impediments and increase transparency/trust across internal teams by answering the following questions:</t>
  </si>
  <si>
    <t>Who wants this?</t>
  </si>
  <si>
    <t>Why are we doing this?</t>
  </si>
  <si>
    <t>What's the bigger picture?</t>
  </si>
  <si>
    <t>How do we know if it worked?</t>
  </si>
  <si>
    <t>Where will the customer encounter this experience?</t>
  </si>
  <si>
    <t>Portfolios</t>
  </si>
  <si>
    <t>Who are the primary stakeholders?</t>
  </si>
  <si>
    <t>What are the ongoing high level efforts that create a positive impact on customer experience and revenue?</t>
  </si>
  <si>
    <t>What is the sequence of deliverables and why?</t>
  </si>
  <si>
    <t>Metrics</t>
  </si>
  <si>
    <t>Through which lens do we judge performance/success?</t>
  </si>
  <si>
    <t>Components</t>
  </si>
  <si>
    <t>What elements are involved in this theme/request?</t>
  </si>
  <si>
    <t>GA4</t>
  </si>
  <si>
    <t>Is the Component tagged? If so, is it tagged in a meaningful way?</t>
  </si>
  <si>
    <t>Brendan Bagley</t>
  </si>
  <si>
    <t>Tax &amp; Net 30 Terms On CompanyID</t>
  </si>
  <si>
    <t>BHUX-33524</t>
  </si>
  <si>
    <t>06. Architecutre</t>
  </si>
  <si>
    <t>B2B Updated Expired Tax Exemption</t>
  </si>
  <si>
    <t>BHUX-33186</t>
  </si>
  <si>
    <t>05. Business Review</t>
  </si>
  <si>
    <t>Site Support</t>
  </si>
  <si>
    <t>Enable Editable Email Addresses in the ShipTo</t>
  </si>
  <si>
    <t>BHUX-34079</t>
  </si>
  <si>
    <t>B2B Portals</t>
  </si>
  <si>
    <t>Identify Users via the PunchoutSetupRequest and Give them Limited User-Based Features</t>
  </si>
  <si>
    <t>BHUX-33409</t>
  </si>
  <si>
    <t>Update Punch out Cart to match B2B/B2B cart/checkout</t>
  </si>
  <si>
    <t>BHUX-33526</t>
  </si>
  <si>
    <t>Gradus equivalents in B2B Quotes</t>
  </si>
  <si>
    <t>BHUX-33797</t>
  </si>
  <si>
    <t>Closed as later</t>
  </si>
  <si>
    <t>Measure Adoption</t>
  </si>
  <si>
    <t>Measure Impact</t>
  </si>
  <si>
    <t>Event Taxonomy</t>
  </si>
  <si>
    <t>Sprint</t>
  </si>
  <si>
    <t>OG Find initaitives that Jerel still owns</t>
  </si>
  <si>
    <t>Refinement usage rate, Search-to-listing CTR, Mega menu / nav click through rate, Sessions using two or more filters</t>
  </si>
  <si>
    <t>Listing-to-PDP rate, Zero-result search rate, Search-attributed conversion rate, Time to first PDP view</t>
  </si>
  <si>
    <t>01A. Research - Foundational</t>
  </si>
  <si>
    <t>Surface trade-in as a clear, relevant option at high-intent moments, Order History, PDPs, post-purchase, so customers who own eligible gear know they can trade it in.</t>
  </si>
  <si>
    <t>Trade-in CTA Impressions (Order History/PDP), CTA Click through rate, % of eligible sessions exposed to CTA</t>
  </si>
  <si>
    <t>New to trade in quote starts, Quote start rate among CTA exposed users, Assisted trade-in revenue (CTA attributed)</t>
  </si>
  <si>
    <t>listing_page_clicks</t>
  </si>
  <si>
    <t>Jan 2026</t>
  </si>
  <si>
    <t>Reduce friction in the sell/trade-in submission flow: search, quote, shipping/drop-off, to raise completion and quote-to-conversion rates.</t>
  </si>
  <si>
    <t>% started quotes completed, Time to quote (median), Post-acceptance ststus engagement rate</t>
  </si>
  <si>
    <t>Quote-to-accepted-offer rate, Drop-off rate by flow step, sell-flow CSAT (isolated), Support contact rate per quote, Payout cycle time (accepted&gt;paid)</t>
  </si>
  <si>
    <t>category_page_clicks</t>
  </si>
  <si>
    <t>Feb 2026</t>
  </si>
  <si>
    <t>Increase Trade In Reactivation</t>
  </si>
  <si>
    <t>Re-engage past customers with unused eligible gear via triggered emails tied to purchase timing and inventory demand signals.</t>
  </si>
  <si>
    <t>Reactivation email open rate, reactivation email CTR, quote starts attributed to email</t>
  </si>
  <si>
    <t>Reactivated quote to completion rate, revenue from reactivated sellers, days since last purchase &gt; trade in (trend)</t>
  </si>
  <si>
    <t>detail_page_clicks</t>
  </si>
  <si>
    <t>Mar 2026</t>
  </si>
  <si>
    <t>Grow discovery of the Used Hub and used inventory through SEO, brand listing pages, and internal linking so more shoppers know B&amp;H sells used gear.</t>
  </si>
  <si>
    <t>Organic sessions to Used Hub/brand pages, Search impressions &amp; CTR (used pages), Internal link CTR (New&gt;used cross links), Cross-sell CTA impressions (used alt. on New PDP)</t>
  </si>
  <si>
    <t>New-to-used buyer sessions, Used PDP views per session, Used share to total category traffic, cross sell attributed used PDP views/purchases</t>
  </si>
  <si>
    <t>header_clicks</t>
  </si>
  <si>
    <t>Apr 2026</t>
  </si>
  <si>
    <t>Make used PDPs and listing pages easier to evaluate, increase condition clarity, provide product photos, and filtering, so shoppers can confidently purchase used gear</t>
  </si>
  <si>
    <t>PLP filter usage rate, used pdp engagement rate (photo/spec expansion), order status page engagement rate</t>
  </si>
  <si>
    <t>Used PDP-to-cart rate, Used cart-to-purchase rate, Post-Purchase CSAT (isolated)</t>
  </si>
  <si>
    <t>mega_menu_clicks</t>
  </si>
  <si>
    <t>May 2026</t>
  </si>
  <si>
    <t>Increase Buy Used Reactivation</t>
  </si>
  <si>
    <t>Win back past buyers with relevant used-inventory alerts and win-back offers matched to their purchase history</t>
  </si>
  <si>
    <t>Win Back email open rate, win-back email CTR, Browse to used PDP rate from email</t>
  </si>
  <si>
    <t>Repeat used-purchase rate, Revenue from reactivated buyers, Time-since-last-purchase &gt; repurchase (trend)</t>
  </si>
  <si>
    <t>typeahead_suggestion_clicks</t>
  </si>
  <si>
    <t>Jun 2026</t>
  </si>
  <si>
    <t>Grow the pipeline of registered B2B accounts by making the B2B Hub, EDU and vertical landing pages easier to find and sign up from, so qualifying organisations self-serve rather than routing through sales.</t>
  </si>
  <si>
    <t>Sessions to B2B Hub / EDU / vertical landing pages, Sign-up form starts, Sign-up CTA click through rate, % of B2B sessions reaching a landing page</t>
  </si>
  <si>
    <t>Completed B2B registrations, Registration-to-first-order rate, New B2B accounts per month, Revenue from newly registered accounts</t>
  </si>
  <si>
    <t>footer_clicks</t>
  </si>
  <si>
    <t>Build awareness that The Studio is a B&amp;H offering by surfacing B&amp;H branding and cross-links on high-ticket products and Studio entry points, so customers connect the two.</t>
  </si>
  <si>
    <t>Sessions to Studio landing and category pages, B&amp;H awareness module impressions on high-ticket PDPs, Cross-link click through rate, Organic impressions for Studio terms</t>
  </si>
  <si>
    <t>New-to-Studio sessions, Studio PDP views per session, Studio share of high-ticket category traffic, Assisted Studio revenue</t>
  </si>
  <si>
    <t>home_page_clicks</t>
  </si>
  <si>
    <t>Make Studio category, landing and hybrid pages easier to evaluate and navigate, so customers can compare and specify Studio products without leaving for a sales conversation.</t>
  </si>
  <si>
    <t>Studio category page engagement rate, Hybrid page filter usage, Spec / detail expansion rate, Quote or enquiry form starts</t>
  </si>
  <si>
    <t>Studio PDP-to-cart rate, Enquiry-to-quote rate, Studio CSAT (isolated), Support contact rate per Studio session</t>
  </si>
  <si>
    <t>nav_drawer_clicks</t>
  </si>
  <si>
    <t>Increase Trust &amp; Condition Transparency</t>
  </si>
  <si>
    <t>Cross-cutting theme covering whether customers believe the grading/condition information is accurate and complete, ties directly to condition rating scale and PDP condition grouping work, and carries COO-level visibility</t>
  </si>
  <si>
    <t>Condition information expansion rate on used PDPs, Actual-image gallery engagement rate, Condition rating scale page views, Filter usage by condition</t>
  </si>
  <si>
    <t>Used PDP-to-cart rate by condition, Condition-related return rate, Condition-related support contacts per order, Post-purchase CSAT on condition accuracy</t>
  </si>
  <si>
    <t>cart_page_clicks</t>
  </si>
  <si>
    <t>Improve Search &amp; Findability</t>
  </si>
  <si>
    <t>Cross-cutting theme spanning sell-side item search (finding what you own to quote it) and buy-side discovery (finding used inventory to purchase). Flagged as the single highest-priority friction point across VoC research on both sides.</t>
  </si>
  <si>
    <t>Search usage rate (sell and buy side), Refinement usage per search, Typeahead selection rate, Searches per session</t>
  </si>
  <si>
    <t>Zero-result search rate, Search-to-PDP rate, Search-attributed quote starts (sell side), Search-attributed used purchases (buy side)</t>
  </si>
  <si>
    <t>checkout_page_clicks</t>
  </si>
  <si>
    <t>checkout_impression</t>
  </si>
  <si>
    <t>11. UAT</t>
  </si>
  <si>
    <t>login_layer_clicks</t>
  </si>
  <si>
    <t>12. Release</t>
  </si>
  <si>
    <t>profile_menu_clicks</t>
  </si>
  <si>
    <t>my_account_clicks</t>
  </si>
  <si>
    <t>order_history_detail_clicks</t>
  </si>
  <si>
    <t>Apr 2027</t>
  </si>
  <si>
    <t>modify_order_page_clicks</t>
  </si>
  <si>
    <t>static_pages_clicks</t>
  </si>
  <si>
    <t>Jun 2027</t>
  </si>
  <si>
    <t>gift_ideas_clicks</t>
  </si>
  <si>
    <t>Jul 2027</t>
  </si>
  <si>
    <t>leasing_page_clicks</t>
  </si>
  <si>
    <t>Aug 2027</t>
  </si>
  <si>
    <t>payboo_page_clicks</t>
  </si>
  <si>
    <t>Sep 2027</t>
  </si>
  <si>
    <t>payboo_sdk_clicks</t>
  </si>
  <si>
    <t>Oct 2027</t>
  </si>
  <si>
    <t>Nov 2027</t>
  </si>
  <si>
    <t>Dec 2027</t>
  </si>
  <si>
    <t>Metric</t>
  </si>
  <si>
    <t>Calculation</t>
  </si>
  <si>
    <t>Why it Matters</t>
  </si>
  <si>
    <t>Type</t>
  </si>
  <si>
    <t>Source</t>
  </si>
  <si>
    <t>Available</t>
  </si>
  <si>
    <t>Trade-in CTA Impressions (Order History/PDP)</t>
  </si>
  <si>
    <t>The number of times a trade-in call-to-action (button, banner, or module) was actually rendered and seen through out the site.</t>
  </si>
  <si>
    <t>Count of CTA element view events, deduped per session.</t>
  </si>
  <si>
    <t>Impressions are the ceiling on everything downstream. If the CTA isn't being shown, nothing else in this theme can move.</t>
  </si>
  <si>
    <t>Adoption</t>
  </si>
  <si>
    <t>Homepage Banner, PDP, PLP, My Account</t>
  </si>
  <si>
    <t>CTA Click through rate</t>
  </si>
  <si>
    <t>Of the sessions where the CTA was shown, the share that clicked it.</t>
  </si>
  <si>
    <t>CTA clicks ÷ CTA impressions.</t>
  </si>
  <si>
    <t>Tells you whether the CTA itself (copy, placement, design) is compelling, independent of how often it's shown.</t>
  </si>
  <si>
    <t>% of eligible sessions exposed to CTA</t>
  </si>
  <si>
    <t>Of all sessions where a customer has an eligible order/product (i.e. the CTA logic should have fired), the share that actually saw it.</t>
  </si>
  <si>
    <t>Sessions with CTA impression ÷ sessions meeting eligibility criteria.</t>
  </si>
  <si>
    <t>Separates "the CTA doesn't work well" from "the CTA isn't reaching who it should," a targeting/eligibility-logic health check.</t>
  </si>
  <si>
    <t>New to trade in quote starts</t>
  </si>
  <si>
    <t>Quote submissions started by customers who have never started a trade-in quote before.</t>
  </si>
  <si>
    <t>Count of first-ever quote-start events, matched against customer history in the Quote system.</t>
  </si>
  <si>
    <t>Isolates net-new acquisition from repeat sellers, so the awareness theme is measured on bringing in new sellers, not just repeat activity.</t>
  </si>
  <si>
    <t>Impact</t>
  </si>
  <si>
    <t>Quote system</t>
  </si>
  <si>
    <t>Sell Used Search, My Account Trade In Module, Trade In Page</t>
  </si>
  <si>
    <t>Quote start rate among CTA exposed users</t>
  </si>
  <si>
    <t>Of customers exposed to the trade-in CTA, the share who went on to start a quote (not necessarily via the CTA itself, any path).</t>
  </si>
  <si>
    <t>Quote starts among CTA-exposed users ÷ CTA-exposed users.</t>
  </si>
  <si>
    <t>The real end-to-end conversion signal for the awareness surface, closer to business outcome than CTR alone.</t>
  </si>
  <si>
    <t>GA4 + Quote system</t>
  </si>
  <si>
    <t>Assisted trade-in revenue (CTA attributed)</t>
  </si>
  <si>
    <t>Dollar value of inventory acquired through trade-ins where the CTA played a role in the customer's path, even if not the last touch before quoting.</t>
  </si>
  <si>
    <t>Sum of accepted-quote $ value for quotes with a CTA touchpoint anywhere in the session/journey.</t>
  </si>
  <si>
    <t>Awareness surfaces often assist rather than directly convert. Last-touch attribution alone would undercount their value.</t>
  </si>
  <si>
    <t>GA4 + Finance</t>
  </si>
  <si>
    <t>Cross-sell CTA impressions (New PDP / brand pages)</t>
  </si>
  <si>
    <t>Impressions of a trade-in prompt shown while a customer is browsing new (not used) gear, e.g. "have an old one? trade it in."</t>
  </si>
  <si>
    <t>Count of CTA view events on New PDP / brand pages, deduped per session.</t>
  </si>
  <si>
    <t>This is a different acquisition channel than Order History awareness. It reaches people who haven't bought from B&amp;H recently.</t>
  </si>
  <si>
    <t>New PDP Trade In Your Gear</t>
  </si>
  <si>
    <t>Cross-sell-attributed quote starts</t>
  </si>
  <si>
    <t>Quote starts that can be traced back to the cross-sell CTA shown on New PDP/brand pages.</t>
  </si>
  <si>
    <t>Quote-start events with a cross-sell CTA touchpoint in the preceding session(s).</t>
  </si>
  <si>
    <t>Tests whether pulling people out of the New funnel into trade-in actually works as an acquisition channel, distinct from Order History awareness.</t>
  </si>
  <si>
    <t>% started quotes completed</t>
  </si>
  <si>
    <t>Of all quote flows a customer started (searched/selected at least one item), the share that reached a final submitted quote.</t>
  </si>
  <si>
    <t>Completed quote submissions ÷ quote flows started.</t>
  </si>
  <si>
    <t>The single clearest signal of overall flow friction, the headline number for this theme.</t>
  </si>
  <si>
    <t>Time to quote (median)</t>
  </si>
  <si>
    <t>How long it takes a customer to go from starting the flow to receiving a quote value, at the midpoint of the distribution.</t>
  </si>
  <si>
    <t>Median of (quote-received timestamp − flow-start timestamp) across completed quotes.</t>
  </si>
  <si>
    <t>Slow quoting is a known drop-off driver; median avoids a few slow outliers skewing the picture.</t>
  </si>
  <si>
    <t>Post-acceptance status engagement rate</t>
  </si>
  <si>
    <t>Of customers who accepted a quote, the share who opened a status update (email or status page) about shipping/payout progress.</t>
  </si>
  <si>
    <t>Unique opens/views of post-acceptance status content ÷ accepted quotes.</t>
  </si>
  <si>
    <t>Checks whether status communications meant to reduce post-acceptance uncertainty are actually being read.</t>
  </si>
  <si>
    <t>ESP + GA4</t>
  </si>
  <si>
    <t>Email Shipping Email, Trade in Quote Notification</t>
  </si>
  <si>
    <t>Quote-to-accepted-offer rate</t>
  </si>
  <si>
    <t>Of quotes issued to customers, the share the customer actually accepted.</t>
  </si>
  <si>
    <t>Accepted quotes ÷ quotes issued.</t>
  </si>
  <si>
    <t>Distinguishes "the flow works but the price is wrong" (low acceptance) from "the flow itself is broken" (low completion, above).</t>
  </si>
  <si>
    <t>Email CTA</t>
  </si>
  <si>
    <t>Drop-off rate by flow step</t>
  </si>
  <si>
    <t>The percentage of customers who exit at each individual step of the sell flow (e.g. item search, condition selection, shipping info).</t>
  </si>
  <si>
    <t>(Users entering step − users entering next step) ÷ users entering step, per step.</t>
  </si>
  <si>
    <t>Pinpoints exactly where in the flow friction is worst, so fixes can be targeted rather than guessed at.</t>
  </si>
  <si>
    <t>Sell Used Search Box, Sell Used Type Ahead, Sell Used Listing Page, Sell Used Detail Page, Sell Used Review Page</t>
  </si>
  <si>
    <t>Sell-flow CSAT (isolated)</t>
  </si>
  <si>
    <t>Customer satisfaction score from a survey specifically scoped to the sell/trade-in flow, kept separate from site-wide CSAT.</t>
  </si>
  <si>
    <t>Medallia CSAT question average/top-box %, filtered to sell-flow survey instance.</t>
  </si>
  <si>
    <t>Site-wide CSAT would dilute sell-flow-specific pain; isolating it makes the score actionable for this theme.</t>
  </si>
  <si>
    <t>Medallia</t>
  </si>
  <si>
    <t>Support contact rate per quote</t>
  </si>
  <si>
    <t>How often a customer contacts support (chat, phone, email) in connection with a given quote.</t>
  </si>
  <si>
    <t>Support tickets tagged to a quote ID ÷ total quotes.</t>
  </si>
  <si>
    <t>A proxy for hidden friction. High contact rates mean customers can't self-serve through confusion or problems in the flow.</t>
  </si>
  <si>
    <t>Support / CRM</t>
  </si>
  <si>
    <t>Payout cycle time (accepted&gt;paid)</t>
  </si>
  <si>
    <t>Time elapsed from a customer accepting a quote to the payout actually being issued.</t>
  </si>
  <si>
    <t>Payout-issued timestamp − quote-accepted timestamp, median across accepted quotes.</t>
  </si>
  <si>
    <t>Payout speed is a top driver of seller trust and repeat behavior.</t>
  </si>
  <si>
    <t>Finance + WMS</t>
  </si>
  <si>
    <t>Reactivation email open rate</t>
  </si>
  <si>
    <t>Share of sent trade-in reactivation emails that were opened.</t>
  </si>
  <si>
    <t>Unique opens ÷ emails delivered.</t>
  </si>
  <si>
    <t>The first checkpoint. If subject lines/targeting aren't landing, nothing downstream can work.</t>
  </si>
  <si>
    <t>ESP</t>
  </si>
  <si>
    <t>Trade in email</t>
  </si>
  <si>
    <t>Reactivation email CTR</t>
  </si>
  <si>
    <t>Share of sent reactivation emails that resulted in a click.</t>
  </si>
  <si>
    <t>Unique clicks ÷ emails delivered (or ÷ opens, for click-to-open rate).</t>
  </si>
  <si>
    <t>Tests whether the email content/offer itself is compelling once someone opens it.</t>
  </si>
  <si>
    <t>Used Email, Used Email CTA</t>
  </si>
  <si>
    <t>Quote starts attributed to email</t>
  </si>
  <si>
    <t>Quote flows started by a customer within a defined attribution window after clicking a reactivation email.</t>
  </si>
  <si>
    <t>Quote-start events with a reactivation-email click in the prior N days (window TBD).</t>
  </si>
  <si>
    <t>Bridges "they clicked" to "they actually engaged with the trade-in flow."</t>
  </si>
  <si>
    <t>ESP + Quote system</t>
  </si>
  <si>
    <t>Reactivated quote to completion rate</t>
  </si>
  <si>
    <t>Of quotes started via reactivation email, the share that reach a completed/accepted quote.</t>
  </si>
  <si>
    <t>Completed quotes (email-attributed) ÷ quote starts (email-attributed).</t>
  </si>
  <si>
    <t>Checks whether reactivated sellers behave differently than new/organic sellers once in the flow.</t>
  </si>
  <si>
    <t>Revenue from reactivated sellers</t>
  </si>
  <si>
    <t>Total $ value of inventory acquired from customers reactivated via this campaign.</t>
  </si>
  <si>
    <t>Sum of accepted-quote $ value for email-attributed reactivated sellers.</t>
  </si>
  <si>
    <t>The bottom-line business case for continuing to invest in reactivation campaigns.</t>
  </si>
  <si>
    <t>Finance + Quote system</t>
  </si>
  <si>
    <t>Days since last purchase &gt; trade in (trend)</t>
  </si>
  <si>
    <t>How long, on average, it takes a past purchaser to trade in gear after their last purchase, tracked as a trend over time.</t>
  </si>
  <si>
    <t>Trade-in date − most recent prior purchase date, averaged/median across reactivated sellers, tracked quarter over quarter.</t>
  </si>
  <si>
    <t>If this trend is shortening, it suggests the timing/targeting logic behind the campaign triggers is improving.</t>
  </si>
  <si>
    <t>CRM</t>
  </si>
  <si>
    <t>Organic sessions to Used Hub/brand pages</t>
  </si>
  <si>
    <t>Sessions landing on Used Hub or used brand listing pages via unpaid search.</t>
  </si>
  <si>
    <t>GA4 sessions filtered to organic-search channel + landing page = Used Hub/brand pages.</t>
  </si>
  <si>
    <t>The core SEO health signal for the whole awareness theme, a direct read on whether the hybrid listing-page architecture is working.</t>
  </si>
  <si>
    <t>Used Hub, Used Brand Listing Page</t>
  </si>
  <si>
    <t>Search impressions &amp; CTR (used pages)</t>
  </si>
  <si>
    <t>How often used pages show up in Google search results, and what share of those impressions turn into a click.</t>
  </si>
  <si>
    <t>Pulled directly from Google Search Console, filtered to used-page URLs.</t>
  </si>
  <si>
    <t>A leading indicator ahead of organic sessions, showing whether pages are being surfaced/ranked before traffic shows up.</t>
  </si>
  <si>
    <t>Google Search Console</t>
  </si>
  <si>
    <t>Internal link CTR (New&gt;used cross links)</t>
  </si>
  <si>
    <t>Click-through rate on links that point from new-gear pages (e.g. brand pages owned by Sammy) into used inventory.</t>
  </si>
  <si>
    <t>Clicks on internal used-links ÷ impressions of those links.</t>
  </si>
  <si>
    <t>Internal linking is both an SEO signal and a direct discovery channel. This checks it's actually being used.</t>
  </si>
  <si>
    <t>New PDP, Used PDP</t>
  </si>
  <si>
    <t>Cross-sell CTA impressions (used alt. on New PDP)</t>
  </si>
  <si>
    <t>Impressions of a "used alternative available" prompt shown on a new-gear product page.</t>
  </si>
  <si>
    <t>Count of CTA view events on New PDPs, deduped per session.</t>
  </si>
  <si>
    <t>Catches price-sensitive shoppers already in a New PDP session, a distinct discovery channel from search/SEO.</t>
  </si>
  <si>
    <t>New-to-used buyer sessions</t>
  </si>
  <si>
    <t>Sessions from customers who have never viewed or purchased a used product before.</t>
  </si>
  <si>
    <t>Sessions with a used PDP view, matched against customer history for first-time-used flag.</t>
  </si>
  <si>
    <t>Awareness should be judged on growing the used buyer base, not just increasing traffic from existing used shoppers.</t>
  </si>
  <si>
    <t>Used PDP views per session</t>
  </si>
  <si>
    <t>Average number of used product pages viewed within a single session.</t>
  </si>
  <si>
    <t>Total used PDP views ÷ total sessions with at least one used PDP view.</t>
  </si>
  <si>
    <t>A rough proxy for browsing depth/engagement once a shopper lands in the used ecosystem.</t>
  </si>
  <si>
    <t>Used share to total category traffic</t>
  </si>
  <si>
    <t>Used PDP/category traffic as a percentage of all traffic (new + used) to the same product categories.</t>
  </si>
  <si>
    <t>Used-category sessions ÷ (used + new-category sessions), by category.</t>
  </si>
  <si>
    <t>Shows whether used is growing its footprint relative to new, not just growing alongside site-wide traffic.</t>
  </si>
  <si>
    <t>Used PDP, Used Category Landing Page, Used Category Listing Page, New PDP, New Category Landing Page, New Category Listing Page</t>
  </si>
  <si>
    <t>Cross sell attributed used PDP views/purchases</t>
  </si>
  <si>
    <t>Used PDP views or purchases that followed a cross-sell CTA click on a New PDP.</t>
  </si>
  <si>
    <t>Used PDP views/purchases with a cross-sell CTA touchpoint in the preceding session(s).</t>
  </si>
  <si>
    <t>Validates whether the New→Used cross-sell mechanism is actually converting, not just generating impressions.</t>
  </si>
  <si>
    <t>Used PDP, Used Check Out?, New Product Card Used From</t>
  </si>
  <si>
    <t>PLP filter usage rate</t>
  </si>
  <si>
    <t>Share of used listing-page sessions where a customer applies at least one filter (price, brand, condition, etc.).</t>
  </si>
  <si>
    <t>Sessions with a filter-applied event ÷ used PLP sessions.</t>
  </si>
  <si>
    <t>Low usage can mean filters aren't helpful/discoverable; high usage with low downstream conversion can flag a filter/inventory mismatch.</t>
  </si>
  <si>
    <t>Used PLP, Used SRP, Used Filter</t>
  </si>
  <si>
    <t>Used PDP engagement rate (photo/spec expansion)</t>
  </si>
  <si>
    <t>Share of used PDP sessions where a customer interacts with photos (zoom/gallery) or expands spec/condition detail sections.</t>
  </si>
  <si>
    <t>Sessions with photo-interaction or spec-expansion events ÷ used PDP sessions.</t>
  </si>
  <si>
    <t>A proxy for how much evaluation effort shoppers are putting in, tied directly to the photography and condition-clarity investments underway.</t>
  </si>
  <si>
    <t>Order status page engagement rate</t>
  </si>
  <si>
    <t>Share of used-order customers who view their order status page after purchase.</t>
  </si>
  <si>
    <t>Unique order-status-page views ÷ used orders placed.</t>
  </si>
  <si>
    <t>Post-purchase visibility affects trust and support load, mirroring the post-acceptance metric on the sell side.</t>
  </si>
  <si>
    <t>My Orders</t>
  </si>
  <si>
    <t>Used PDP-to-cart rate</t>
  </si>
  <si>
    <t>Share of used PDP sessions that result in an add-to-cart.</t>
  </si>
  <si>
    <t>Add-to-cart events on used PDPs ÷ used PDP sessions.</t>
  </si>
  <si>
    <t>The core "does the PDP convince the shopper" metric, most sensitive to condition clarity and photography quality.</t>
  </si>
  <si>
    <t>Used PDP, Used PDP CTA</t>
  </si>
  <si>
    <t>Used cart-to-purchase rate</t>
  </si>
  <si>
    <t>Share of used add-to-cart events that result in a completed purchase.</t>
  </si>
  <si>
    <t>Used purchases ÷ used add-to-cart events.</t>
  </si>
  <si>
    <t>Isolates checkout-stage friction from PDP-stage persuasion, since the two have different fixes.</t>
  </si>
  <si>
    <t>Used PDP, Used PDP CTA, Used PLP, Used PLP CTA</t>
  </si>
  <si>
    <t>Post-Purchase CSAT (isolated)</t>
  </si>
  <si>
    <t>Customer satisfaction score from a survey scoped specifically to the used buying experience after delivery.</t>
  </si>
  <si>
    <t>Medallia CSAT average/top-box %, filtered to used post-purchase survey instance.</t>
  </si>
  <si>
    <t>Captures whether the product matched expectations set on the PDP, the buy-side counterpart to sell-flow CSAT.</t>
  </si>
  <si>
    <t>Medallia Survey</t>
  </si>
  <si>
    <t>Win-Back email open rate</t>
  </si>
  <si>
    <t>Share of sent win-back emails that were opened.</t>
  </si>
  <si>
    <t>Same logic as trade-in reactivation, the entry checkpoint for the whole campaign.</t>
  </si>
  <si>
    <t>Win-back email CTR</t>
  </si>
  <si>
    <t>Share of sent win-back emails that resulted in a click.</t>
  </si>
  <si>
    <t>Unique clicks ÷ emails delivered (or ÷ opens for click-to-open).</t>
  </si>
  <si>
    <t>Tests whether the specific inventory/offer surfaced in the email is relevant enough to act on.</t>
  </si>
  <si>
    <t>Browse to used PDP rate from email</t>
  </si>
  <si>
    <t>Of customers who clicked into the site from a win-back email, the share who viewed a used PDP during that session.</t>
  </si>
  <si>
    <t>Sessions with used PDP view ÷ sessions originating from win-back email click.</t>
  </si>
  <si>
    <t>Confirms the email is routing people to relevant used inventory, not just generic site traffic.</t>
  </si>
  <si>
    <t>GA4 + ESP</t>
  </si>
  <si>
    <t>Email CTA, Used PDP</t>
  </si>
  <si>
    <t>Repeat used-purchase rate</t>
  </si>
  <si>
    <t>Of past used buyers targeted by win-back campaigns, the share who complete another used purchase.</t>
  </si>
  <si>
    <t>Repeat used purchases (email-attributed) ÷ past used buyers targeted.</t>
  </si>
  <si>
    <t>The core outcome metric for this theme: did the campaign actually bring buyers back.</t>
  </si>
  <si>
    <t>Order system</t>
  </si>
  <si>
    <t>Revenue from reactivated buyers</t>
  </si>
  <si>
    <t>Total $ revenue from purchases made by win-back-campaign-attributed customers.</t>
  </si>
  <si>
    <t>Sum of order value for email-attributed repeat purchases.</t>
  </si>
  <si>
    <t>The bottom-line business case, mirroring "Revenue from reactivated sellers" on the sell side.</t>
  </si>
  <si>
    <t>Finance + Order system</t>
  </si>
  <si>
    <t>Time-since-last-purchase &gt; repurchase (trend)</t>
  </si>
  <si>
    <t>How long, on average, it takes a past buyer to make another used purchase after being targeted, tracked as a trend over time.</t>
  </si>
  <si>
    <t>Repurchase date − most recent prior purchase date, averaged/median, tracked quarter over quarter.</t>
  </si>
  <si>
    <t>A shortening trend suggests campaign timing/targeting is getting more effective at catching buyers when they're ready.</t>
  </si>
  <si>
    <t>Search &amp; Findability</t>
  </si>
  <si>
    <t>Sell-item search success rate (Solr)</t>
  </si>
  <si>
    <t>Share of sell-flow item searches where the customer found and selected their item (vs. abandoning or falling back to manual entry).</t>
  </si>
  <si>
    <t>Searches ending in item selection ÷ total sell-flow searches.</t>
  </si>
  <si>
    <t>Search friction is the #1 flagged issue in VoC research for the sell side specifically. This is the direct health check on it.</t>
  </si>
  <si>
    <t>Solr logs</t>
  </si>
  <si>
    <t>Sell Used Search Box, Sell Used Type Ahead, Sell Used Listing Page</t>
  </si>
  <si>
    <t>Used PLP/search zero-result rate</t>
  </si>
  <si>
    <t>Share of used-inventory searches that return no results.</t>
  </si>
  <si>
    <t>Zero-result searches ÷ total used-inventory searches.</t>
  </si>
  <si>
    <t>A hard failure signal. Every zero-result search is a shopper who couldn't find anything, regardless of whether inventory actually existed.</t>
  </si>
  <si>
    <t>Site Search, Used Site Search</t>
  </si>
  <si>
    <t>Used search-to-click rate</t>
  </si>
  <si>
    <t>Share of used-inventory searches where the customer clicked a result.</t>
  </si>
  <si>
    <t>Searches with a result click ÷ total used-inventory searches.</t>
  </si>
  <si>
    <t>Distinguishes "no results" failures from "results shown but not relevant/appealing" failures.</t>
  </si>
  <si>
    <t>Site Search, Used Site Search, Used Product Card</t>
  </si>
  <si>
    <t>Search-originated quote starts (sell side)</t>
  </si>
  <si>
    <t>Quote starts that began with a successful sell-flow search.</t>
  </si>
  <si>
    <t>Quote starts preceded by a search-with-selection event.</t>
  </si>
  <si>
    <t>Connects search quality directly to the acquisition funnel, not just to search-specific metrics.</t>
  </si>
  <si>
    <t>Solr logs + Quote system</t>
  </si>
  <si>
    <t>Sell Used Serach</t>
  </si>
  <si>
    <t>Search-originated used purchases (buy side)</t>
  </si>
  <si>
    <t>Used purchases that began with a used-inventory search (as opposed to browsing/category navigation).</t>
  </si>
  <si>
    <t>Purchases preceded by a used search-with-click event in the same session.</t>
  </si>
  <si>
    <t>Shows how much revenue depends on search working well, making the business case for search investment concrete.</t>
  </si>
  <si>
    <t>Search abandonment rate</t>
  </si>
  <si>
    <t>Share of search sessions (sell or buy) where the customer leaves the site shortly after searching, without further engagement.</t>
  </si>
  <si>
    <t>Sessions ending within N actions of a search event ÷ total search sessions.</t>
  </si>
  <si>
    <t>The most direct "we lost them" signal. A search that doesn't even get a follow-up click or scroll is a clear failure.</t>
  </si>
  <si>
    <t>GA4 + Solr logs</t>
  </si>
  <si>
    <t>Site Search, Used Site Search, Sell Used Search</t>
  </si>
  <si>
    <t>Trust &amp; Condition Transparency</t>
  </si>
  <si>
    <t>Condition-tab view rate</t>
  </si>
  <si>
    <t>Share of used PDP sessions where the customer opens/expands the condition detail tab or section.</t>
  </si>
  <si>
    <t>Sessions with condition-tab-expand event ÷ used PDP sessions.</t>
  </si>
  <si>
    <t>Shows how much shoppers are actively seeking out condition information, the core evaluation input for a used purchase.</t>
  </si>
  <si>
    <t>PDP Condition Rating Link, PDP Condition Rating Tray</t>
  </si>
  <si>
    <t>Condition rating comprehension (usability test pass rate)</t>
  </si>
  <si>
    <t>In moderated or unmoderated usability testing, the share of participants who correctly interpret what a given condition rating (e.g. "Good," "Excellent") means for the product they're evaluating.</t>
  </si>
  <si>
    <t>Correct interpretations ÷ total test participants, per study.</t>
  </si>
  <si>
    <t>Adoption metrics from analytics can't tell you if customers actually understand the rating scale. This is the qualitative check that they do, tied directly to the new five-tier scale rollout.</t>
  </si>
  <si>
    <t>Research / usability testing</t>
  </si>
  <si>
    <t>"Not as described" return rate</t>
  </si>
  <si>
    <t>Share of used-order returns where the customer's stated reason is that the item didn't match its condition description.</t>
  </si>
  <si>
    <t>Returns coded "not as described" ÷ total used orders.</t>
  </si>
  <si>
    <t>The clearest hard evidence of a trust failure. A rising rate means the condition info shown isn't matching what customers receive.</t>
  </si>
  <si>
    <t>Returns / CRM</t>
  </si>
  <si>
    <t>Medallia condition-satisfaction / trust score</t>
  </si>
  <si>
    <t>Survey-based score measuring how satisfied/confident customers felt about the accuracy of condition information before and after receiving their item.</t>
  </si>
  <si>
    <t>Medallia average/top-box % on the condition-trust survey question(s).</t>
  </si>
  <si>
    <t>A softer, earlier-warning companion to the return-rate metric, capturing dissatisfaction even among customers who keep the item.</t>
  </si>
  <si>
    <t>Grading accuracy / consistency (QA re-grade audit)</t>
  </si>
  <si>
    <t>How often an independent re-grade of a sampled item matches the original evaluator's condition grade.</t>
  </si>
  <si>
    <t>Re-grades matching original grade ÷ total items re-graded in the audit sample.</t>
  </si>
  <si>
    <t>Traces trust problems back to their root cause, inaccurate grading upstream, rather than just a PDP/description-clarity issue.</t>
  </si>
  <si>
    <t>DES eval + QA audit</t>
  </si>
  <si>
    <t>Product_Type</t>
  </si>
  <si>
    <t>Element</t>
  </si>
  <si>
    <t>component type</t>
  </si>
  <si>
    <t>eventName</t>
  </si>
  <si>
    <t>component_GA4</t>
  </si>
  <si>
    <t>label</t>
  </si>
  <si>
    <t>label_value</t>
  </si>
  <si>
    <t>site_type</t>
  </si>
  <si>
    <t>page_type</t>
  </si>
  <si>
    <t>Trigger &amp; Other Parameters</t>
  </si>
  <si>
    <t>Flag</t>
  </si>
  <si>
    <t>N/A</t>
  </si>
  <si>
    <t>Page Load</t>
  </si>
  <si>
    <t>page_view</t>
  </si>
  <si>
    <t>—</t>
  </si>
  <si>
    <t>Desktop</t>
  </si>
  <si>
    <t>productList</t>
  </si>
  <si>
    <t>Initial render and every filter/sort/paging change (pushState)content_group: productList · site_langauge: E · bi: NoValue · pwa_source: NoValue · bh_user_id · category_page_id: 9811</t>
  </si>
  <si>
    <t>observed</t>
  </si>
  <si>
    <t>view_item_list</t>
  </si>
  <si>
    <t>Results grid rendered — 28 items in one senditems[]: item_id, item_code, item_list_name, index, sales_comment · position_index: 1</t>
  </si>
  <si>
    <t>absent</t>
  </si>
  <si>
    <t>Google Ads remarketing duplicate — separate send, not the GA4 propertysend_to: google_ads · ecomm_pagetype: productList · ecomm_prodid[] · tag: AW-1056059933</t>
  </si>
  <si>
    <t>by design</t>
  </si>
  <si>
    <t>view_promotion</t>
  </si>
  <si>
    <t>Hero banner impression — the Nikon trade-in unitcreative_name: IO Image Banner · creative_slot: HERO · promotion_name: 3385025 - BHUX 35089 Nikon Z6III Listing Page · promotion_url: /a/trade-in/64435</t>
  </si>
  <si>
    <t>Sponsored carousel — one event per slotcreative_name: spotfront list item · creative_slot: TOP · promotion_position: 1, 2, 3 · promotion_id (uuid) · promotion_url</t>
  </si>
  <si>
    <t>Email slide-out and mega-menu banner impressionscreative_name: Email Slideout Signup / IO Banner · creative_slot: SLIDER / Top Nav · promotion_id: ESS</t>
  </si>
  <si>
    <t>New</t>
  </si>
  <si>
    <t>Homepage Banner</t>
  </si>
  <si>
    <t>Banner</t>
  </si>
  <si>
    <t>select_promotion</t>
  </si>
  <si>
    <t>Top Nav</t>
  </si>
  <si>
    <t>Computers</t>
  </si>
  <si>
    <t>category</t>
  </si>
  <si>
    <t>New Mega Menu</t>
  </si>
  <si>
    <t>Navigation - Mega Menu</t>
  </si>
  <si>
    <t>Pro Audio menu</t>
  </si>
  <si>
    <t>Live sound</t>
  </si>
  <si>
    <t>New Site Search Box</t>
  </si>
  <si>
    <t>Search</t>
  </si>
  <si>
    <t>Enter Search</t>
  </si>
  <si>
    <t>home</t>
  </si>
  <si>
    <t>New Site Search Type Ahead</t>
  </si>
  <si>
    <t>Typeahead Suggestions</t>
  </si>
  <si>
    <t>New Item Category Listing Page</t>
  </si>
  <si>
    <t>PLP</t>
  </si>
  <si>
    <t>New Item Category Listing Page Product Card Used From CTA</t>
  </si>
  <si>
    <t>CTA</t>
  </si>
  <si>
    <t>Refinements</t>
  </si>
  <si>
    <t>Filters</t>
  </si>
  <si>
    <t>Left-rail facet checkboxfilter_value: Full Frame (35mm) · filter_section: Sensor Size · filter_n_value: fct_sensor-size_3087 · from: left refinements</t>
  </si>
  <si>
    <t>Left-rail Categories link (Mirrorless Cameras)filter_value: "undefined" · filter_section: Category · filter_n_value: Mirrorless Cameras · from: "undefined"</t>
  </si>
  <si>
    <t>F1</t>
  </si>
  <si>
    <t>Filter Labels</t>
  </si>
  <si>
    <t>Still Image Resolution</t>
  </si>
  <si>
    <t>Facet accordion expand/collapse — label carries the section name</t>
  </si>
  <si>
    <t>Listing See All Info</t>
  </si>
  <si>
    <t>left refinements</t>
  </si>
  <si>
    <t>"See all + 10" opens the full-facet modal — label carries placement, not which facet</t>
  </si>
  <si>
    <t>F3</t>
  </si>
  <si>
    <t>Listing See All Modal</t>
  </si>
  <si>
    <t>Clear All</t>
  </si>
  <si>
    <t>Clear All inside the modal — the only modal control that emits anything</t>
  </si>
  <si>
    <t>F2</t>
  </si>
  <si>
    <t>Listing Controls</t>
  </si>
  <si>
    <t>Sort By</t>
  </si>
  <si>
    <t>"" (empty)</t>
  </si>
  <si>
    <t>Opening the sort dropdown — fires with an empty label before any choice is made</t>
  </si>
  <si>
    <t>F4</t>
  </si>
  <si>
    <t>PRICE_LOW_TO_HIGH</t>
  </si>
  <si>
    <t>Sort selected — label is the enum, not the visible "Price: Low to High"</t>
  </si>
  <si>
    <t>View</t>
  </si>
  <si>
    <t>Grid View · List View</t>
  </si>
  <si>
    <t>Grid/list density toggle</t>
  </si>
  <si>
    <t>Paging</t>
  </si>
  <si>
    <t>page 2</t>
  </si>
  <si>
    <t>Pagination control — label is the literal "page " prefix plus the number</t>
  </si>
  <si>
    <t>Product Title</t>
  </si>
  <si>
    <t>select_item</t>
  </si>
  <si>
    <t>Item List</t>
  </si>
  <si>
    <t>Product title click — GA4 ecommerce event, not a listing_page_clicksitems: [{ item_id }] · section_path: Category</t>
  </si>
  <si>
    <t>New Item Category Listing Page Product Card</t>
  </si>
  <si>
    <t>Other Buying Options</t>
  </si>
  <si>
    <t>1910936-REG</t>
  </si>
  <si>
    <t>"Used for $39.95" link on a tile — the only component on this page that populates label_valuesection_path: Category · label = buying-option type · label_value = SKU</t>
  </si>
  <si>
    <t>Show More</t>
  </si>
  <si>
    <t>Expanding a tile's Key Featuressection_path: Category — no item_id, so it cannot be tied to a product</t>
  </si>
  <si>
    <t>F5</t>
  </si>
  <si>
    <t>Add to Compare</t>
  </si>
  <si>
    <t>Compare checkbox on a tile — no label, no item identifier</t>
  </si>
  <si>
    <t>Promo &amp; Navigation</t>
  </si>
  <si>
    <t>Hero banner click — mirrors the view_promotion paramscreative_name: IO Image Banner · creative_slot: HERO · promotion_url: /a/trade-in/64435</t>
  </si>
  <si>
    <t>breadcrumbs</t>
  </si>
  <si>
    <t>Breadcrumb</t>
  </si>
  <si>
    <t>Breadcrumb link clickbreadcrumbs: Photography — destination in its own param rather than label</t>
  </si>
  <si>
    <t>New Item Category Landing Page</t>
  </si>
  <si>
    <t>Navigation into the Catalog</t>
  </si>
  <si>
    <t>Category Groups</t>
  </si>
  <si>
    <t>Cameras &amp; Lenses</t>
  </si>
  <si>
    <t>Digital Cameras</t>
  </si>
  <si>
    <t>Category tile — label is the section, label_value the destinationcategory_page_id: 989</t>
  </si>
  <si>
    <t>model</t>
  </si>
  <si>
    <t>Accessories</t>
  </si>
  <si>
    <t>Lens Accessories</t>
  </si>
  <si>
    <t>Same component, second section — the convention holds across the page</t>
  </si>
  <si>
    <t>Applications</t>
  </si>
  <si>
    <t>Portrait Photography</t>
  </si>
  <si>
    <t>The "What would you like to shoot?" rail — reports under its internal key, Applicationsthe only section whose label doesn't match its visible heading</t>
  </si>
  <si>
    <t>C3</t>
  </si>
  <si>
    <t>Content &amp; Banners</t>
  </si>
  <si>
    <t>Explora banner</t>
  </si>
  <si>
    <t>Venus Optics Delivers Two New Ultra-Macro Laowa Lenses</t>
  </si>
  <si>
    <t>Editorial rail — label carries the full article title, so content performance is readable</t>
  </si>
  <si>
    <t>Category Banner</t>
  </si>
  <si>
    <t>The Hasselblad "Learn More" unit — no label, so which brand banner was clicked is unknowable</t>
  </si>
  <si>
    <t>C2</t>
  </si>
  <si>
    <t>chatBanner</t>
  </si>
  <si>
    <t>"Video Chat with a Photography Expert" strip — opens the chat widget, sends nothing about which expert path</t>
  </si>
  <si>
    <t>SEO Text</t>
  </si>
  <si>
    <t>Expanding the bottom copy block — same component and label as on the listing page</t>
  </si>
  <si>
    <t>Promo &amp; Exits</t>
  </si>
  <si>
    <t>Trade-in banner clicked — mirrors its impression event exactly, same promotion_idcreative_slot: TOP · promotion_url: /a/trade-in/64435</t>
  </si>
  <si>
    <t>Spotfront product rail item clicked — impression and click share promotion_id and promotion_position, so slot-level CTR is directly computable</t>
  </si>
  <si>
    <t>Trade in Your Gear</t>
  </si>
  <si>
    <t>Footer trade-in link — a different event family from the banner above it, same destination</t>
  </si>
  <si>
    <t>C5</t>
  </si>
  <si>
    <t>view_item</t>
  </si>
  <si>
    <t>productDetail</t>
  </si>
  <si>
    <t>Product rendered — the richest payload on the page, and still condition-blindcurrency: USD · value: 2136.95 · items: [{ item_id: 803528607-USE, item_code: 3528607, price: 2136.95, stock_status: IN_STOCK, shipping_message: FREE_ONE_DAY_DELIVERY, store_pickup_message: AVAILABLE_IN_PICKUP_TIME }]</t>
  </si>
  <si>
    <t>U1 U5</t>
  </si>
  <si>
    <t>Google Ads remarketing — this one knows it's usedecomm_pcat: ["BH Photo", "Used Department", "Photography", "Point &amp; Shoot Cameras", "Sony RX10 V"] · ecomm_prodid: 803528607-USE · ecomm_totalvalue: 2136.95</t>
  </si>
  <si>
    <t>U1</t>
  </si>
  <si>
    <t>Page load — content_group also productDetail, so neither dimension separates used from newsite_langauge: E · bi: NoValue · pwa_source: NoValue · bh_user_id: id_NoValue</t>
  </si>
  <si>
    <t>Overview banner (an Explora article on this camera) and the email slide-outcreative_slot: Overview Banner / SLIDER · promotion_name · detail_page_sku</t>
  </si>
  <si>
    <t>Used PDP</t>
  </si>
  <si>
    <t>Used Specific Interaction</t>
  </si>
  <si>
    <t>Used Item Condition</t>
  </si>
  <si>
    <t>"Condition: 9 Minor surface marks" → opens the B&amp;H Used Equipment Rating System drawerdetail_page_sku only — the grade the shopper just clicked on is not sent</t>
  </si>
  <si>
    <t>U2</t>
  </si>
  <si>
    <t>"New for $2,298.00" — the used → new switchno label_value, though the same component on the listing page sends the SKU there</t>
  </si>
  <si>
    <t>U4</t>
  </si>
  <si>
    <t>Trade In - Learn More</t>
  </si>
  <si>
    <t>"Trade in your gear for cash — Get Started" — present and tagged on used PDPs exactly as on new onesdetail_page_sku</t>
  </si>
  <si>
    <t>Breadcrumb click — the one place "Used Department" reaches GA4 as a valuebreadcrumbs: "Used Department" · only fires if someone actually clicks it</t>
  </si>
  <si>
    <t>U6</t>
  </si>
  <si>
    <t>Generic PDP Furniture</t>
  </si>
  <si>
    <t>searchDropdown</t>
  </si>
  <si>
    <t>The header search scope selector, which is pre-set to "Used" on this page — but the event doesn't say which scope was chosen</t>
  </si>
  <si>
    <t>Compare checkbox — carries the SKU here, unlike its listing-page counterpart, which carries nothing</t>
  </si>
  <si>
    <t>Tab Navigation</t>
  </si>
  <si>
    <t>Specs · Reviews · Q&amp;A</t>
  </si>
  <si>
    <t>Content tabs — not exercised on this page; carried over from the new-PDP audit, where label carried the tab namedetail_page_sku</t>
  </si>
  <si>
    <t>new PDP</t>
  </si>
  <si>
    <t>No event: Share · Print · the "Used Savings $161.05" figure · the "Warranty: B&amp;H 90 Days" line · the 90-Second Intro video badge</t>
  </si>
  <si>
    <t>U7</t>
  </si>
  <si>
    <t>New Item PDP Trade In Your Gear CTA</t>
  </si>
  <si>
    <t>Cart</t>
  </si>
  <si>
    <t>Check Out</t>
  </si>
  <si>
    <t>My Account</t>
  </si>
  <si>
    <t xml:space="preserve">Used Hub </t>
  </si>
  <si>
    <t>Landing Page</t>
  </si>
  <si>
    <t>Used Hub Switcher</t>
  </si>
  <si>
    <t>Used Hub Category Navigation</t>
  </si>
  <si>
    <t>Used Hub See Our Rating System</t>
  </si>
  <si>
    <t>Link</t>
  </si>
  <si>
    <t>Used Hub Visit Our Used Dept FAQ For Further Details</t>
  </si>
  <si>
    <t>Used Hub 90 Days Parts And Labor Warranty See Details</t>
  </si>
  <si>
    <t>Used Hub Free Shipping See Details</t>
  </si>
  <si>
    <t>Used Hub Sell Your Gear in 3 Easy Steps Video</t>
  </si>
  <si>
    <t>Video</t>
  </si>
  <si>
    <t>Used Hub NYC SuperStore</t>
  </si>
  <si>
    <t>Used Hub Get Started Online CTA</t>
  </si>
  <si>
    <t>Used Hub Customer Reviews</t>
  </si>
  <si>
    <t>Carousel</t>
  </si>
  <si>
    <t>Used Hub FAQ Search</t>
  </si>
  <si>
    <t>Used Hub FAQ Title</t>
  </si>
  <si>
    <t>Used Hub FAQ Description</t>
  </si>
  <si>
    <t>Used Hub FAQ See All</t>
  </si>
  <si>
    <t>Used Hub Address</t>
  </si>
  <si>
    <t>Used Hub Phone Number</t>
  </si>
  <si>
    <t>Footer Trade In Your Gear</t>
  </si>
  <si>
    <t>Used Top Nav</t>
  </si>
  <si>
    <t>Used Mega Menu</t>
  </si>
  <si>
    <t>Used Mega Menu Category</t>
  </si>
  <si>
    <t>Mega Menu Category</t>
  </si>
  <si>
    <t>Used Mega Menu Sell Your Gear</t>
  </si>
  <si>
    <t>Used Site Search Box</t>
  </si>
  <si>
    <t>Search Field</t>
  </si>
  <si>
    <t>Used Site Search Type Ahead</t>
  </si>
  <si>
    <t>Search Field Type Ahead</t>
  </si>
  <si>
    <t>Used Category Landing Page</t>
  </si>
  <si>
    <t>Used Category Listing Page</t>
  </si>
  <si>
    <t>Used Category Listing Page Filter</t>
  </si>
  <si>
    <t>Used Category Listing Page Product Card</t>
  </si>
  <si>
    <t>Product Card</t>
  </si>
  <si>
    <t>Used Category Listing Page Product Card Used From CTA</t>
  </si>
  <si>
    <t>Used Brand Listing Page</t>
  </si>
  <si>
    <t>Trade In Page</t>
  </si>
  <si>
    <t>Sell Used Landing Page</t>
  </si>
  <si>
    <t>Sell Used Search Box</t>
  </si>
  <si>
    <t>Sell Used Detail Page</t>
  </si>
  <si>
    <t>Sell Used Review Page</t>
  </si>
  <si>
    <t>Sell Used Listing Page</t>
  </si>
  <si>
    <t>My Account Trade In Module</t>
  </si>
  <si>
    <t>Weekly Row</t>
  </si>
  <si>
    <t>Theme Rank</t>
  </si>
  <si>
    <t>Status Rank</t>
  </si>
  <si>
    <t>Sort Key</t>
  </si>
  <si>
    <t>Rank</t>
  </si>
  <si>
    <t>Dev From Raw</t>
  </si>
  <si>
    <t>Dev To Raw</t>
  </si>
  <si>
    <t>Dev From Parsed</t>
  </si>
  <si>
    <t>Dev To Parsed</t>
  </si>
  <si>
    <t>UX Weeks</t>
  </si>
  <si>
    <t>Theme Ctrl Row</t>
  </si>
  <si>
    <t>Included</t>
  </si>
  <si>
    <t>Alpha Rank</t>
  </si>
  <si>
    <t>Sort Name</t>
  </si>
  <si>
    <t>AUTO-GENERATED HELPER — do not edit. Row r here = UX Weekly row r = Dev Tracker row r. Columns AA-AX flag, per month, whether that month holds at least one resourced UX week. Month names are parsed from a literal string, so nothing here breaks if a row is deleted.</t>
  </si>
  <si>
    <t>Theme detail — drives the panel on Roadmap (Auto)</t>
  </si>
  <si>
    <t>Control 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</si>
</sst>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d\ mmm\ yyyy"/>
    <numFmt numFmtId="166" formatCode="mmm\ yyyy"/>
    <numFmt numFmtId="167" formatCode="d\ mmm\ yy"/>
    <numFmt numFmtId="168" formatCode="mmm\ yy"/>
    <numFmt numFmtId="169" formatCode="[$-409]mmm\-yy;@"/>
  </numFmts>
  <fonts count="50" x14ac:knownFonts="1">
    <font>
      <sz val="12"/>
      <color theme="1"/>
      <name val="Aptos Narrow"/>
      <family val="2"/>
      <scheme val="minor"/>
    </font>
    <font>
      <sz val="20"/>
      <color rgb="FF000000"/>
      <name val="Calibri"/>
      <family val="2"/>
    </font>
    <font>
      <sz val="11"/>
      <color rgb="FF000000"/>
      <name val="Calibri"/>
      <family val="2"/>
    </font>
    <font>
      <b/>
      <sz val="11"/>
      <color rgb="FF000000"/>
      <name val="Calibri"/>
      <family val="2"/>
    </font>
    <font>
      <sz val="11"/>
      <color theme="1"/>
      <name val="Calibri"/>
      <family val="2"/>
    </font>
    <font>
      <b/>
      <sz val="11"/>
      <color theme="1"/>
      <name val="Calibri"/>
      <family val="2"/>
    </font>
    <font>
      <b/>
      <sz val="12"/>
      <color theme="1"/>
      <name val="Aptos Narrow"/>
      <scheme val="minor"/>
    </font>
    <font>
      <sz val="14"/>
      <color rgb="FF000000"/>
      <name val="Calibri"/>
      <family val="2"/>
    </font>
    <font>
      <b/>
      <sz val="14"/>
      <color rgb="FF000000"/>
      <name val="Aptos Narrow"/>
      <family val="2"/>
      <scheme val="minor"/>
    </font>
    <font>
      <b/>
      <sz val="11"/>
      <color rgb="FF000000"/>
      <name val="Aptos Narrow"/>
      <family val="2"/>
      <scheme val="minor"/>
    </font>
    <font>
      <sz val="11"/>
      <color rgb="FF000000"/>
      <name val="Aptos Narrow"/>
      <family val="2"/>
      <scheme val="minor"/>
    </font>
    <font>
      <b/>
      <sz val="11"/>
      <color theme="1"/>
      <name val="Aptos Narrow"/>
      <family val="2"/>
      <scheme val="minor"/>
    </font>
    <font>
      <u/>
      <sz val="12"/>
      <color theme="10"/>
      <name val="Aptos Narrow"/>
      <family val="2"/>
      <scheme val="minor"/>
    </font>
    <font>
      <sz val="12"/>
      <color rgb="FF000000"/>
      <name val="Aptos Narrow"/>
    </font>
    <font>
      <sz val="16"/>
      <color theme="1"/>
      <name val="Aptos Narrow"/>
      <scheme val="minor"/>
    </font>
    <font>
      <b/>
      <sz val="16"/>
      <color theme="1"/>
      <name val="Aptos Narrow"/>
      <scheme val="minor"/>
    </font>
    <font>
      <sz val="16"/>
      <color theme="1"/>
      <name val="Aptos Narrow"/>
      <family val="2"/>
      <scheme val="minor"/>
    </font>
    <font>
      <strike/>
      <sz val="16"/>
      <color theme="1"/>
      <name val="Aptos Narrow"/>
      <scheme val="minor"/>
    </font>
    <font>
      <sz val="12"/>
      <color theme="9" tint="-0.249977111117893"/>
      <name val="Aptos Narrow"/>
      <family val="2"/>
      <scheme val="minor"/>
    </font>
    <font>
      <b/>
      <i/>
      <u/>
      <sz val="12"/>
      <color theme="10"/>
      <name val="Aptos Narrow"/>
      <scheme val="minor"/>
    </font>
    <font>
      <sz val="8"/>
      <name val="Aptos Narrow"/>
      <family val="2"/>
      <scheme val="minor"/>
    </font>
    <font>
      <sz val="16"/>
      <color rgb="FF000000"/>
      <name val="Aptos Narrow"/>
      <scheme val="minor"/>
    </font>
    <font>
      <sz val="16"/>
      <name val="Aptos Narrow"/>
      <scheme val="minor"/>
    </font>
    <font>
      <b/>
      <sz val="9"/>
      <color rgb="FFFFFFFF"/>
      <name val="Arial"/>
      <family val="2"/>
    </font>
    <font>
      <b/>
      <sz val="9"/>
      <color rgb="FFB03A2E"/>
      <name val="Arial"/>
      <family val="2"/>
    </font>
    <font>
      <b/>
      <sz val="8"/>
      <color rgb="FFFFFFFF"/>
      <name val="Arial"/>
      <family val="2"/>
    </font>
    <font>
      <sz val="9"/>
      <color rgb="FF1F2933"/>
      <name val="Arial"/>
      <family val="2"/>
    </font>
    <font>
      <sz val="8"/>
      <color rgb="FF6B7785"/>
      <name val="Arial"/>
      <family val="2"/>
    </font>
    <font>
      <sz val="8"/>
      <color rgb="FF1F2933"/>
      <name val="Arial"/>
      <family val="2"/>
    </font>
    <font>
      <b/>
      <sz val="9"/>
      <color rgb="FF1F3B57"/>
      <name val="Arial"/>
      <family val="2"/>
    </font>
    <font>
      <b/>
      <sz val="8"/>
      <color rgb="FF1F3B57"/>
      <name val="Arial"/>
      <family val="2"/>
    </font>
    <font>
      <u/>
      <sz val="16"/>
      <color rgb="FF0563C1"/>
      <name val="Aptos Narrow"/>
      <family val="2"/>
    </font>
    <font>
      <b/>
      <sz val="16"/>
      <color rgb="FF1F3B57"/>
      <name val="Aptos Narrow"/>
      <scheme val="minor"/>
    </font>
    <font>
      <sz val="12"/>
      <color theme="1"/>
      <name val="Aptos Narrow"/>
      <scheme val="minor"/>
    </font>
    <font>
      <sz val="12"/>
      <color rgb="FF6B7785"/>
      <name val="Aptos Narrow"/>
      <scheme val="minor"/>
    </font>
    <font>
      <sz val="14"/>
      <color theme="1"/>
      <name val="Aptos Narrow"/>
      <scheme val="minor"/>
    </font>
    <font>
      <sz val="14"/>
      <color rgb="FF1F2933"/>
      <name val="Aptos Narrow"/>
      <scheme val="minor"/>
    </font>
    <font>
      <sz val="14"/>
      <color rgb="FF6B7785"/>
      <name val="Aptos Narrow"/>
      <scheme val="minor"/>
    </font>
    <font>
      <b/>
      <sz val="14"/>
      <color rgb="FFFFFFFF"/>
      <name val="Aptos Narrow"/>
      <scheme val="minor"/>
    </font>
    <font>
      <sz val="14"/>
      <color rgb="FF1F3B57"/>
      <name val="Aptos Narrow"/>
      <scheme val="minor"/>
    </font>
    <font>
      <b/>
      <u/>
      <sz val="14"/>
      <color rgb="FF1F3B57"/>
      <name val="Aptos Narrow"/>
      <scheme val="minor"/>
    </font>
    <font>
      <u/>
      <sz val="14"/>
      <color rgb="FF1F5FA8"/>
      <name val="Aptos Narrow"/>
      <scheme val="minor"/>
    </font>
    <font>
      <sz val="16"/>
      <color rgb="FF1F2933"/>
      <name val="Aptos Narrow"/>
      <scheme val="minor"/>
    </font>
    <font>
      <u/>
      <sz val="16"/>
      <color rgb="FF1F5FA8"/>
      <name val="Aptos Narrow"/>
      <scheme val="minor"/>
    </font>
    <font>
      <i/>
      <sz val="14"/>
      <color rgb="FF1F3B57"/>
      <name val="Aptos Narrow"/>
      <scheme val="minor"/>
    </font>
    <font>
      <sz val="14"/>
      <color rgb="FFFFFFFF"/>
      <name val="Aptos Narrow"/>
      <scheme val="minor"/>
    </font>
    <font>
      <i/>
      <sz val="12"/>
      <color rgb="FF6B7785"/>
      <name val="Aptos Narrow"/>
      <scheme val="minor"/>
    </font>
    <font>
      <sz val="18"/>
      <color rgb="FF1F3B57"/>
      <name val="Aptos Narrow"/>
      <scheme val="minor"/>
    </font>
    <font>
      <u/>
      <sz val="18"/>
      <color rgb="FF1F3B57"/>
      <name val="Aptos Narrow"/>
      <scheme val="minor"/>
    </font>
    <font>
      <b/>
      <u/>
      <sz val="18"/>
      <color rgb="FF1F3B57"/>
      <name val="Aptos Narrow"/>
      <scheme val="minor"/>
    </font>
  </fonts>
  <fills count="38">
    <fill>
      <patternFill patternType="none"/>
    </fill>
    <fill>
      <patternFill patternType="gray125"/>
    </fill>
    <fill>
      <patternFill patternType="solid">
        <fgColor rgb="FFF2F2F2"/>
        <bgColor rgb="FF000000"/>
      </patternFill>
    </fill>
    <fill>
      <patternFill patternType="solid">
        <fgColor rgb="FFA9D08E"/>
        <bgColor rgb="FF000000"/>
      </patternFill>
    </fill>
    <fill>
      <patternFill patternType="solid">
        <fgColor rgb="FF82BA5D"/>
        <bgColor rgb="FF000000"/>
      </patternFill>
    </fill>
    <fill>
      <patternFill patternType="solid">
        <fgColor rgb="FFC6E0B4"/>
        <bgColor rgb="FF000000"/>
      </patternFill>
    </fill>
    <fill>
      <patternFill patternType="solid">
        <fgColor rgb="FFE2EFDA"/>
        <bgColor rgb="FF000000"/>
      </patternFill>
    </fill>
    <fill>
      <patternFill patternType="solid">
        <fgColor theme="9"/>
        <bgColor rgb="FF000000"/>
      </patternFill>
    </fill>
    <fill>
      <patternFill patternType="solid">
        <fgColor theme="9"/>
        <bgColor indexed="64"/>
      </patternFill>
    </fill>
    <fill>
      <patternFill patternType="solid">
        <fgColor rgb="FF82BA5D"/>
        <bgColor indexed="64"/>
      </patternFill>
    </fill>
    <fill>
      <patternFill patternType="solid">
        <fgColor theme="5" tint="0.39997558519241921"/>
        <bgColor indexed="64"/>
      </patternFill>
    </fill>
    <fill>
      <patternFill patternType="solid">
        <fgColor rgb="FFF2F2F2"/>
        <bgColor indexed="64"/>
      </patternFill>
    </fill>
    <fill>
      <patternFill patternType="solid">
        <fgColor rgb="FFE2EFDA"/>
        <bgColor indexed="64"/>
      </patternFill>
    </fill>
    <fill>
      <patternFill patternType="solid">
        <fgColor rgb="FFA9D08E"/>
        <bgColor indexed="64"/>
      </patternFill>
    </fill>
    <fill>
      <patternFill patternType="solid">
        <fgColor theme="4" tint="0.39997558519241921"/>
        <bgColor rgb="FF000000"/>
      </patternFill>
    </fill>
    <fill>
      <patternFill patternType="solid">
        <fgColor rgb="FFD0D0D0"/>
        <bgColor rgb="FF000000"/>
      </patternFill>
    </fill>
    <fill>
      <patternFill patternType="solid">
        <fgColor rgb="FFC0E6F5"/>
        <bgColor rgb="FF000000"/>
      </patternFill>
    </fill>
    <fill>
      <patternFill patternType="solid">
        <fgColor rgb="FF0F9ED5"/>
        <bgColor rgb="FF000000"/>
      </patternFill>
    </fill>
    <fill>
      <patternFill patternType="solid">
        <fgColor rgb="FF4EA72E"/>
        <bgColor rgb="FF000000"/>
      </patternFill>
    </fill>
    <fill>
      <patternFill patternType="solid">
        <fgColor rgb="FFF7C7AC"/>
        <bgColor rgb="FF000000"/>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0"/>
        <bgColor indexed="64"/>
      </patternFill>
    </fill>
    <fill>
      <patternFill patternType="solid">
        <fgColor theme="2" tint="-9.9978637043366805E-2"/>
        <bgColor indexed="64"/>
      </patternFill>
    </fill>
    <fill>
      <patternFill patternType="solid">
        <fgColor rgb="FFFFC000"/>
        <bgColor indexed="64"/>
      </patternFill>
    </fill>
    <fill>
      <patternFill patternType="solid">
        <fgColor theme="0" tint="-0.14999847407452621"/>
        <bgColor indexed="64"/>
      </patternFill>
    </fill>
    <fill>
      <patternFill patternType="solid">
        <fgColor rgb="FFC00000"/>
        <bgColor indexed="64"/>
      </patternFill>
    </fill>
    <fill>
      <patternFill patternType="solid">
        <fgColor rgb="FF92D050"/>
        <bgColor indexed="64"/>
      </patternFill>
    </fill>
    <fill>
      <patternFill patternType="solid">
        <fgColor rgb="FFFFEB9C"/>
        <bgColor indexed="64"/>
      </patternFill>
    </fill>
    <fill>
      <patternFill patternType="solid">
        <fgColor rgb="FFC22536"/>
        <bgColor indexed="64"/>
      </patternFill>
    </fill>
    <fill>
      <patternFill patternType="none"/>
    </fill>
    <fill>
      <patternFill patternType="solid">
        <fgColor rgb="FF1F3B57"/>
      </patternFill>
    </fill>
    <fill>
      <patternFill patternType="solid">
        <fgColor rgb="FFEEF2F6"/>
      </patternFill>
    </fill>
    <fill>
      <patternFill patternType="solid">
        <fgColor rgb="FF2F6FB5"/>
      </patternFill>
    </fill>
    <fill>
      <patternFill patternType="solid">
        <fgColor rgb="FF2E8B57"/>
      </patternFill>
    </fill>
    <fill>
      <patternFill patternType="solid">
        <fgColor rgb="FF6A4C93"/>
      </patternFill>
    </fill>
    <fill>
      <patternFill patternType="solid">
        <fgColor rgb="FF2F5675"/>
      </patternFill>
    </fill>
    <fill>
      <patternFill patternType="solid">
        <fgColor rgb="FFFFF8DC"/>
        <bgColor indexed="64"/>
      </patternFill>
    </fill>
  </fills>
  <borders count="44">
    <border>
      <left/>
      <right/>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double">
        <color rgb="FFFFFF00"/>
      </top>
      <bottom style="thin">
        <color indexed="64"/>
      </bottom>
      <diagonal/>
    </border>
    <border>
      <left/>
      <right style="double">
        <color rgb="FFFFFF00"/>
      </right>
      <top style="double">
        <color rgb="FFFFFF00"/>
      </top>
      <bottom style="double">
        <color rgb="FFFFFF00"/>
      </bottom>
      <diagonal/>
    </border>
    <border>
      <left style="thin">
        <color theme="1"/>
      </left>
      <right style="thin">
        <color theme="1"/>
      </right>
      <top style="thin">
        <color theme="1"/>
      </top>
      <bottom style="thin">
        <color theme="1"/>
      </bottom>
      <diagonal/>
    </border>
    <border>
      <left style="medium">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diagonal/>
    </border>
    <border>
      <left/>
      <right/>
      <top/>
      <bottom/>
      <diagonal/>
    </border>
    <border>
      <left style="thin">
        <color rgb="FFFFFFFF"/>
      </left>
      <right/>
      <top/>
      <bottom/>
      <diagonal/>
    </border>
    <border>
      <left/>
      <right/>
      <top/>
      <bottom style="medium">
        <color rgb="FF0F2233"/>
      </bottom>
      <diagonal/>
    </border>
    <border>
      <left style="thin">
        <color rgb="FF3D5A75"/>
      </left>
      <right/>
      <top/>
      <bottom style="medium">
        <color rgb="FF0F2233"/>
      </bottom>
      <diagonal/>
    </border>
    <border>
      <left/>
      <right style="thin">
        <color rgb="FFEDF0F2"/>
      </right>
      <top/>
      <bottom/>
      <diagonal/>
    </border>
    <border>
      <left style="thin">
        <color rgb="FFEDF0F2"/>
      </left>
      <right/>
      <top/>
      <bottom/>
      <diagonal/>
    </border>
    <border>
      <left/>
      <right/>
      <top/>
      <bottom style="thin">
        <color rgb="FFD5DBE1"/>
      </bottom>
      <diagonal/>
    </border>
    <border>
      <left/>
      <right/>
      <top/>
      <bottom style="thin">
        <color indexed="64"/>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263">
    <xf numFmtId="0" fontId="0" fillId="0" borderId="0" xfId="0"/>
    <xf numFmtId="0" fontId="1" fillId="0" borderId="0" xfId="0" applyFont="1"/>
    <xf numFmtId="0" fontId="2" fillId="0" borderId="0" xfId="0" applyFont="1"/>
    <xf numFmtId="0" fontId="2" fillId="3" borderId="0" xfId="0" applyFont="1" applyFill="1"/>
    <xf numFmtId="0" fontId="2" fillId="4" borderId="0" xfId="0" applyFont="1" applyFill="1"/>
    <xf numFmtId="0" fontId="2" fillId="5" borderId="0" xfId="0" applyFont="1" applyFill="1"/>
    <xf numFmtId="0" fontId="2" fillId="6" borderId="0" xfId="0" applyFont="1" applyFill="1"/>
    <xf numFmtId="0" fontId="2" fillId="10" borderId="0" xfId="0" applyFont="1" applyFill="1"/>
    <xf numFmtId="0" fontId="2" fillId="2" borderId="1" xfId="0" applyFont="1" applyFill="1" applyBorder="1"/>
    <xf numFmtId="0" fontId="2" fillId="2" borderId="2" xfId="0" applyFont="1" applyFill="1" applyBorder="1"/>
    <xf numFmtId="0" fontId="3" fillId="0" borderId="3" xfId="0" applyFont="1" applyBorder="1"/>
    <xf numFmtId="0" fontId="2" fillId="0" borderId="3" xfId="0" applyFont="1" applyBorder="1" applyAlignment="1">
      <alignment horizontal="left" indent="1"/>
    </xf>
    <xf numFmtId="0" fontId="2" fillId="2" borderId="3" xfId="0" applyFont="1" applyFill="1" applyBorder="1"/>
    <xf numFmtId="0" fontId="3" fillId="0" borderId="3" xfId="0" applyFont="1" applyBorder="1" applyAlignment="1">
      <alignment horizontal="left"/>
    </xf>
    <xf numFmtId="0" fontId="2" fillId="0" borderId="3" xfId="0" applyFont="1" applyBorder="1" applyAlignment="1">
      <alignment horizontal="left" indent="2"/>
    </xf>
    <xf numFmtId="0" fontId="2" fillId="0" borderId="5" xfId="0" applyFont="1" applyBorder="1" applyAlignment="1">
      <alignment horizontal="left" indent="1"/>
    </xf>
    <xf numFmtId="0" fontId="0" fillId="13" borderId="6" xfId="0" applyFill="1" applyBorder="1"/>
    <xf numFmtId="0" fontId="2" fillId="8" borderId="6" xfId="0" applyFont="1" applyFill="1" applyBorder="1"/>
    <xf numFmtId="0" fontId="3" fillId="0" borderId="3" xfId="0" applyFont="1" applyBorder="1" applyAlignment="1">
      <alignment horizontal="left" indent="1"/>
    </xf>
    <xf numFmtId="0" fontId="2" fillId="0" borderId="3" xfId="0" applyFont="1" applyBorder="1" applyAlignment="1">
      <alignment horizontal="left"/>
    </xf>
    <xf numFmtId="0" fontId="5" fillId="0" borderId="3" xfId="0" applyFont="1" applyBorder="1" applyAlignment="1">
      <alignment horizontal="left" indent="1"/>
    </xf>
    <xf numFmtId="0" fontId="6" fillId="0" borderId="0" xfId="0" applyFont="1"/>
    <xf numFmtId="0" fontId="2" fillId="2" borderId="3" xfId="0" applyFont="1" applyFill="1" applyBorder="1" applyAlignment="1">
      <alignment wrapText="1"/>
    </xf>
    <xf numFmtId="0" fontId="3" fillId="0" borderId="3" xfId="0" applyFont="1" applyBorder="1" applyAlignment="1">
      <alignment wrapText="1"/>
    </xf>
    <xf numFmtId="0" fontId="2" fillId="0" borderId="3" xfId="0" applyFont="1" applyBorder="1" applyAlignment="1">
      <alignment horizontal="left" wrapText="1" indent="1"/>
    </xf>
    <xf numFmtId="0" fontId="2" fillId="0" borderId="3" xfId="0" applyFont="1" applyBorder="1" applyAlignment="1">
      <alignment horizontal="left" wrapText="1"/>
    </xf>
    <xf numFmtId="0" fontId="3" fillId="0" borderId="3" xfId="0" applyFont="1" applyBorder="1" applyAlignment="1">
      <alignment horizontal="left" wrapText="1"/>
    </xf>
    <xf numFmtId="0" fontId="2" fillId="0" borderId="3" xfId="0" applyFont="1" applyBorder="1" applyAlignment="1">
      <alignment horizontal="left" wrapText="1" indent="2"/>
    </xf>
    <xf numFmtId="0" fontId="3" fillId="0" borderId="3" xfId="0" applyFont="1" applyBorder="1" applyAlignment="1">
      <alignment horizontal="left" wrapText="1" indent="1"/>
    </xf>
    <xf numFmtId="0" fontId="2" fillId="0" borderId="5" xfId="0" applyFont="1" applyBorder="1" applyAlignment="1">
      <alignment horizontal="left" wrapText="1" indent="1"/>
    </xf>
    <xf numFmtId="0" fontId="11" fillId="20" borderId="9" xfId="0" applyFont="1" applyFill="1" applyBorder="1" applyAlignment="1">
      <alignment wrapText="1"/>
    </xf>
    <xf numFmtId="0" fontId="0" fillId="22" borderId="0" xfId="0" applyFill="1"/>
    <xf numFmtId="0" fontId="0" fillId="23" borderId="12" xfId="0" applyFill="1" applyBorder="1"/>
    <xf numFmtId="0" fontId="0" fillId="23" borderId="12" xfId="0" applyFill="1" applyBorder="1" applyAlignment="1">
      <alignment horizontal="center" vertical="center"/>
    </xf>
    <xf numFmtId="0" fontId="0" fillId="0" borderId="12" xfId="0" applyBorder="1" applyAlignment="1">
      <alignment horizontal="center"/>
    </xf>
    <xf numFmtId="0" fontId="0" fillId="22" borderId="12" xfId="0" applyFill="1" applyBorder="1" applyAlignment="1">
      <alignment horizontal="center"/>
    </xf>
    <xf numFmtId="0" fontId="0" fillId="25" borderId="12" xfId="0" applyFill="1" applyBorder="1" applyAlignment="1">
      <alignment horizontal="center"/>
    </xf>
    <xf numFmtId="0" fontId="0" fillId="0" borderId="12" xfId="0" applyBorder="1"/>
    <xf numFmtId="0" fontId="0" fillId="25" borderId="12" xfId="0" applyFill="1" applyBorder="1"/>
    <xf numFmtId="0" fontId="12" fillId="0" borderId="12" xfId="1" applyBorder="1"/>
    <xf numFmtId="0" fontId="10" fillId="0" borderId="0" xfId="0" applyFont="1"/>
    <xf numFmtId="0" fontId="2" fillId="18" borderId="0" xfId="0" applyFont="1" applyFill="1"/>
    <xf numFmtId="0" fontId="10" fillId="19" borderId="0" xfId="0" applyFont="1" applyFill="1"/>
    <xf numFmtId="0" fontId="2" fillId="6" borderId="6" xfId="0" applyFont="1" applyFill="1" applyBorder="1"/>
    <xf numFmtId="0" fontId="2" fillId="4" borderId="6" xfId="0" applyFont="1" applyFill="1" applyBorder="1"/>
    <xf numFmtId="0" fontId="2" fillId="18" borderId="6" xfId="0" applyFont="1" applyFill="1" applyBorder="1"/>
    <xf numFmtId="0" fontId="10" fillId="0" borderId="6" xfId="0" applyFont="1" applyBorder="1"/>
    <xf numFmtId="0" fontId="15" fillId="0" borderId="12" xfId="0" applyFont="1" applyBorder="1"/>
    <xf numFmtId="0" fontId="14" fillId="0" borderId="12" xfId="0" applyFont="1" applyBorder="1"/>
    <xf numFmtId="0" fontId="16" fillId="0" borderId="12" xfId="0" applyFont="1" applyBorder="1"/>
    <xf numFmtId="0" fontId="2" fillId="9" borderId="0" xfId="0" applyFont="1" applyFill="1"/>
    <xf numFmtId="0" fontId="2" fillId="8" borderId="0" xfId="0" applyFont="1" applyFill="1"/>
    <xf numFmtId="0" fontId="2" fillId="7" borderId="0" xfId="0" applyFont="1" applyFill="1"/>
    <xf numFmtId="0" fontId="2" fillId="11" borderId="0" xfId="0" applyFont="1" applyFill="1"/>
    <xf numFmtId="0" fontId="0" fillId="12" borderId="0" xfId="0" applyFill="1"/>
    <xf numFmtId="0" fontId="2" fillId="3" borderId="6" xfId="0" applyFont="1" applyFill="1" applyBorder="1"/>
    <xf numFmtId="0" fontId="3" fillId="2" borderId="2" xfId="0" applyFont="1" applyFill="1" applyBorder="1" applyAlignment="1">
      <alignment vertical="center"/>
    </xf>
    <xf numFmtId="0" fontId="0" fillId="22" borderId="12" xfId="0" applyFill="1" applyBorder="1"/>
    <xf numFmtId="0" fontId="17" fillId="0" borderId="12" xfId="0" applyFont="1" applyBorder="1"/>
    <xf numFmtId="0" fontId="0" fillId="26" borderId="12" xfId="0" applyFill="1" applyBorder="1" applyAlignment="1">
      <alignment horizontal="center"/>
    </xf>
    <xf numFmtId="0" fontId="0" fillId="27" borderId="12" xfId="0" applyFill="1" applyBorder="1" applyAlignment="1">
      <alignment horizontal="center" vertical="center"/>
    </xf>
    <xf numFmtId="0" fontId="0" fillId="24" borderId="12" xfId="0" applyFill="1" applyBorder="1" applyAlignment="1">
      <alignment horizontal="center"/>
    </xf>
    <xf numFmtId="0" fontId="0" fillId="25" borderId="12" xfId="0" applyFill="1" applyBorder="1" applyAlignment="1">
      <alignment horizontal="center" vertical="center"/>
    </xf>
    <xf numFmtId="0" fontId="0" fillId="24" borderId="12" xfId="0" applyFill="1" applyBorder="1" applyAlignment="1">
      <alignment horizontal="center" vertical="center"/>
    </xf>
    <xf numFmtId="0" fontId="12" fillId="22" borderId="12" xfId="1" applyFill="1" applyBorder="1" applyAlignment="1">
      <alignment wrapText="1"/>
    </xf>
    <xf numFmtId="0" fontId="14" fillId="0" borderId="12" xfId="0" applyFont="1" applyBorder="1" applyAlignment="1">
      <alignment wrapText="1"/>
    </xf>
    <xf numFmtId="0" fontId="13" fillId="23" borderId="12" xfId="0" applyFont="1" applyFill="1" applyBorder="1" applyAlignment="1">
      <alignment horizontal="center"/>
    </xf>
    <xf numFmtId="0" fontId="0" fillId="23" borderId="12" xfId="0" applyFill="1" applyBorder="1" applyAlignment="1">
      <alignment horizontal="center"/>
    </xf>
    <xf numFmtId="0" fontId="0" fillId="27" borderId="12" xfId="0" applyFill="1" applyBorder="1" applyAlignment="1">
      <alignment horizontal="center"/>
    </xf>
    <xf numFmtId="0" fontId="0" fillId="0" borderId="21" xfId="0" applyBorder="1"/>
    <xf numFmtId="0" fontId="0" fillId="0" borderId="8" xfId="0" applyBorder="1"/>
    <xf numFmtId="0" fontId="14" fillId="0" borderId="19" xfId="0" applyFont="1" applyBorder="1"/>
    <xf numFmtId="0" fontId="0" fillId="0" borderId="22" xfId="0" applyBorder="1"/>
    <xf numFmtId="0" fontId="0" fillId="0" borderId="23" xfId="0" applyBorder="1"/>
    <xf numFmtId="0" fontId="0" fillId="22" borderId="21" xfId="0" applyFill="1" applyBorder="1"/>
    <xf numFmtId="0" fontId="0" fillId="23" borderId="0" xfId="0" applyFill="1" applyAlignment="1">
      <alignment horizontal="center" vertical="center"/>
    </xf>
    <xf numFmtId="0" fontId="0" fillId="0" borderId="24" xfId="0" applyBorder="1"/>
    <xf numFmtId="0" fontId="6" fillId="0" borderId="12" xfId="0" applyFont="1" applyBorder="1"/>
    <xf numFmtId="0" fontId="6" fillId="0" borderId="19" xfId="0" applyFont="1" applyBorder="1"/>
    <xf numFmtId="0" fontId="0" fillId="29" borderId="12" xfId="0" applyFill="1" applyBorder="1" applyAlignment="1">
      <alignment horizontal="center"/>
    </xf>
    <xf numFmtId="0" fontId="6" fillId="0" borderId="21" xfId="0" applyFont="1" applyBorder="1"/>
    <xf numFmtId="0" fontId="0" fillId="23" borderId="0" xfId="0" applyFill="1"/>
    <xf numFmtId="0" fontId="0" fillId="25" borderId="0" xfId="0" applyFill="1" applyAlignment="1">
      <alignment horizontal="center"/>
    </xf>
    <xf numFmtId="0" fontId="0" fillId="0" borderId="0" xfId="0" applyAlignment="1">
      <alignment horizontal="center"/>
    </xf>
    <xf numFmtId="0" fontId="0" fillId="25" borderId="0" xfId="0" applyFill="1" applyAlignment="1">
      <alignment horizontal="center" vertical="center"/>
    </xf>
    <xf numFmtId="0" fontId="0" fillId="23" borderId="0" xfId="0" applyFill="1" applyAlignment="1">
      <alignment horizontal="center"/>
    </xf>
    <xf numFmtId="0" fontId="13" fillId="23" borderId="0" xfId="0" applyFont="1" applyFill="1" applyAlignment="1">
      <alignment horizontal="center"/>
    </xf>
    <xf numFmtId="0" fontId="15" fillId="0" borderId="0" xfId="0" applyFont="1"/>
    <xf numFmtId="0" fontId="16" fillId="0" borderId="0" xfId="0" applyFont="1"/>
    <xf numFmtId="0" fontId="16" fillId="0" borderId="0" xfId="0" applyFont="1" applyAlignment="1">
      <alignment wrapText="1"/>
    </xf>
    <xf numFmtId="0" fontId="16" fillId="0" borderId="12" xfId="0" applyFont="1" applyBorder="1" applyAlignment="1">
      <alignment vertical="center" wrapText="1"/>
    </xf>
    <xf numFmtId="0" fontId="16" fillId="0" borderId="12" xfId="0" applyFont="1" applyBorder="1" applyAlignment="1">
      <alignment wrapText="1"/>
    </xf>
    <xf numFmtId="0" fontId="12" fillId="22" borderId="12" xfId="1" applyFill="1" applyBorder="1"/>
    <xf numFmtId="0" fontId="12" fillId="0" borderId="12" xfId="1" applyBorder="1" applyAlignment="1">
      <alignment vertical="top"/>
    </xf>
    <xf numFmtId="0" fontId="12" fillId="0" borderId="12" xfId="1" quotePrefix="1" applyBorder="1"/>
    <xf numFmtId="0" fontId="18" fillId="28" borderId="12" xfId="0" applyFont="1" applyFill="1" applyBorder="1"/>
    <xf numFmtId="0" fontId="19" fillId="0" borderId="12" xfId="1" applyFont="1" applyBorder="1"/>
    <xf numFmtId="0" fontId="4" fillId="0" borderId="0" xfId="0" applyFont="1"/>
    <xf numFmtId="0" fontId="0" fillId="0" borderId="0" xfId="0" applyAlignment="1">
      <alignment horizontal="left" indent="1"/>
    </xf>
    <xf numFmtId="0" fontId="7" fillId="0" borderId="3" xfId="0" applyFont="1" applyBorder="1" applyAlignment="1">
      <alignment horizontal="center" vertical="center"/>
    </xf>
    <xf numFmtId="0" fontId="0" fillId="0" borderId="4" xfId="0" applyBorder="1"/>
    <xf numFmtId="0" fontId="2" fillId="0" borderId="4" xfId="0" applyFont="1" applyBorder="1"/>
    <xf numFmtId="0" fontId="4" fillId="0" borderId="4" xfId="0" applyFont="1" applyBorder="1"/>
    <xf numFmtId="0" fontId="7" fillId="0" borderId="5" xfId="0" applyFont="1" applyBorder="1" applyAlignment="1">
      <alignment horizontal="center" vertical="center"/>
    </xf>
    <xf numFmtId="0" fontId="0" fillId="0" borderId="6" xfId="0" applyBorder="1"/>
    <xf numFmtId="0" fontId="0" fillId="0" borderId="7" xfId="0" applyBorder="1"/>
    <xf numFmtId="0" fontId="0" fillId="0" borderId="3" xfId="0" applyBorder="1"/>
    <xf numFmtId="0" fontId="2" fillId="0" borderId="3" xfId="0" applyFont="1" applyBorder="1"/>
    <xf numFmtId="0" fontId="4" fillId="0" borderId="3" xfId="0" applyFont="1" applyBorder="1"/>
    <xf numFmtId="0" fontId="0" fillId="0" borderId="5" xfId="0" applyBorder="1"/>
    <xf numFmtId="0" fontId="3" fillId="2" borderId="9" xfId="0" applyFont="1" applyFill="1" applyBorder="1" applyAlignment="1">
      <alignment vertical="center"/>
    </xf>
    <xf numFmtId="0" fontId="3" fillId="2" borderId="10" xfId="0" applyFont="1" applyFill="1" applyBorder="1" applyAlignment="1">
      <alignment vertical="center"/>
    </xf>
    <xf numFmtId="0" fontId="3" fillId="2" borderId="11" xfId="0" applyFont="1" applyFill="1" applyBorder="1" applyAlignment="1">
      <alignment vertical="center"/>
    </xf>
    <xf numFmtId="0" fontId="14" fillId="0" borderId="0" xfId="0" applyFont="1"/>
    <xf numFmtId="0" fontId="21" fillId="0" borderId="12" xfId="0" applyFont="1" applyBorder="1"/>
    <xf numFmtId="0" fontId="21" fillId="0" borderId="12" xfId="0" applyFont="1" applyBorder="1" applyAlignment="1">
      <alignment vertical="center" wrapText="1"/>
    </xf>
    <xf numFmtId="0" fontId="14" fillId="0" borderId="12" xfId="0" applyFont="1" applyBorder="1" applyAlignment="1">
      <alignment vertical="center" wrapText="1"/>
    </xf>
    <xf numFmtId="0" fontId="8" fillId="15" borderId="25" xfId="0" applyFont="1" applyFill="1" applyBorder="1" applyAlignment="1">
      <alignment horizontal="center" wrapText="1"/>
    </xf>
    <xf numFmtId="0" fontId="9" fillId="16" borderId="9" xfId="0" applyFont="1" applyFill="1" applyBorder="1" applyAlignment="1">
      <alignment horizontal="center"/>
    </xf>
    <xf numFmtId="0" fontId="9" fillId="16" borderId="10" xfId="0" applyFont="1" applyFill="1" applyBorder="1" applyAlignment="1">
      <alignment horizontal="center"/>
    </xf>
    <xf numFmtId="0" fontId="9" fillId="16" borderId="11" xfId="0" applyFont="1" applyFill="1" applyBorder="1" applyAlignment="1">
      <alignment horizontal="center"/>
    </xf>
    <xf numFmtId="0" fontId="12" fillId="0" borderId="8" xfId="1" applyBorder="1"/>
    <xf numFmtId="0" fontId="0" fillId="23" borderId="8" xfId="0" applyFill="1" applyBorder="1" applyAlignment="1">
      <alignment horizontal="center" vertical="center"/>
    </xf>
    <xf numFmtId="0" fontId="0" fillId="23" borderId="8" xfId="0" applyFill="1" applyBorder="1"/>
    <xf numFmtId="0" fontId="0" fillId="25" borderId="8" xfId="0" applyFill="1" applyBorder="1" applyAlignment="1">
      <alignment horizontal="center"/>
    </xf>
    <xf numFmtId="0" fontId="0" fillId="22" borderId="8" xfId="0" applyFill="1" applyBorder="1" applyAlignment="1">
      <alignment horizontal="center"/>
    </xf>
    <xf numFmtId="0" fontId="0" fillId="22" borderId="8" xfId="0" applyFill="1" applyBorder="1"/>
    <xf numFmtId="0" fontId="6" fillId="0" borderId="26" xfId="0" applyFont="1" applyBorder="1"/>
    <xf numFmtId="0" fontId="6" fillId="0" borderId="27" xfId="0" applyFont="1" applyBorder="1"/>
    <xf numFmtId="16" fontId="6" fillId="23" borderId="27" xfId="0" applyNumberFormat="1" applyFont="1" applyFill="1" applyBorder="1"/>
    <xf numFmtId="16" fontId="6" fillId="25" borderId="27" xfId="0" applyNumberFormat="1" applyFont="1" applyFill="1" applyBorder="1" applyAlignment="1">
      <alignment horizontal="center"/>
    </xf>
    <xf numFmtId="16" fontId="6" fillId="0" borderId="27" xfId="0" applyNumberFormat="1" applyFont="1" applyBorder="1" applyAlignment="1">
      <alignment horizontal="center"/>
    </xf>
    <xf numFmtId="16" fontId="6" fillId="0" borderId="28" xfId="0" applyNumberFormat="1" applyFont="1" applyBorder="1" applyAlignment="1">
      <alignment horizontal="center"/>
    </xf>
    <xf numFmtId="0" fontId="16" fillId="0" borderId="0" xfId="0" applyFont="1" applyAlignment="1">
      <alignment vertical="center" wrapText="1"/>
    </xf>
    <xf numFmtId="0" fontId="21" fillId="0" borderId="0" xfId="0" applyFont="1"/>
    <xf numFmtId="0" fontId="15" fillId="0" borderId="12" xfId="0" applyFont="1" applyBorder="1" applyAlignment="1">
      <alignment wrapText="1"/>
    </xf>
    <xf numFmtId="0" fontId="0" fillId="0" borderId="0" xfId="0" applyAlignment="1">
      <alignment wrapText="1"/>
    </xf>
    <xf numFmtId="0" fontId="14" fillId="0" borderId="0" xfId="0" applyFont="1" applyAlignment="1">
      <alignment vertical="center" wrapText="1"/>
    </xf>
    <xf numFmtId="0" fontId="22" fillId="0" borderId="0" xfId="0" applyFont="1"/>
    <xf numFmtId="0" fontId="16" fillId="0" borderId="0" xfId="0" applyFont="1" applyAlignment="1">
      <alignment horizontal="left" indent="1"/>
    </xf>
    <xf numFmtId="169" fontId="14" fillId="0" borderId="12" xfId="0" applyNumberFormat="1" applyFont="1" applyBorder="1"/>
    <xf numFmtId="49" fontId="0" fillId="0" borderId="0" xfId="0" applyNumberFormat="1"/>
    <xf numFmtId="49" fontId="16" fillId="0" borderId="0" xfId="0" applyNumberFormat="1" applyFont="1"/>
    <xf numFmtId="0" fontId="28" fillId="30" borderId="30" xfId="0" applyFont="1" applyFill="1" applyBorder="1"/>
    <xf numFmtId="0" fontId="29" fillId="30" borderId="30" xfId="0" applyFont="1" applyFill="1" applyBorder="1" applyAlignment="1">
      <alignment vertical="top"/>
    </xf>
    <xf numFmtId="0" fontId="27" fillId="30" borderId="30" xfId="0" applyFont="1" applyFill="1" applyBorder="1" applyAlignment="1">
      <alignment vertical="top"/>
    </xf>
    <xf numFmtId="0" fontId="29" fillId="30" borderId="30" xfId="0" applyFont="1" applyFill="1" applyBorder="1"/>
    <xf numFmtId="0" fontId="25" fillId="31" borderId="30" xfId="0" applyFont="1" applyFill="1" applyBorder="1" applyAlignment="1">
      <alignment horizontal="left" vertical="center"/>
    </xf>
    <xf numFmtId="0" fontId="30" fillId="30" borderId="36" xfId="0" applyFont="1" applyFill="1" applyBorder="1" applyAlignment="1">
      <alignment horizontal="left" vertical="top" wrapText="1"/>
    </xf>
    <xf numFmtId="0" fontId="23" fillId="31" borderId="30" xfId="0" applyFont="1" applyFill="1" applyBorder="1" applyAlignment="1">
      <alignment horizontal="center" vertical="center" wrapText="1"/>
    </xf>
    <xf numFmtId="164" fontId="25" fillId="31" borderId="30" xfId="0" applyNumberFormat="1" applyFont="1" applyFill="1" applyBorder="1"/>
    <xf numFmtId="0" fontId="24" fillId="30" borderId="30" xfId="0" applyFont="1" applyFill="1" applyBorder="1"/>
    <xf numFmtId="0" fontId="26" fillId="30" borderId="30" xfId="0" applyFont="1" applyFill="1" applyBorder="1"/>
    <xf numFmtId="165" fontId="26" fillId="30" borderId="30" xfId="0" applyNumberFormat="1" applyFont="1" applyFill="1" applyBorder="1"/>
    <xf numFmtId="166" fontId="26" fillId="30" borderId="30" xfId="0" applyNumberFormat="1" applyFont="1" applyFill="1" applyBorder="1"/>
    <xf numFmtId="0" fontId="27" fillId="30" borderId="30" xfId="0" applyFont="1" applyFill="1" applyBorder="1"/>
    <xf numFmtId="0" fontId="31" fillId="0" borderId="12" xfId="0" applyFont="1" applyBorder="1"/>
    <xf numFmtId="0" fontId="16" fillId="37" borderId="12" xfId="0" applyFont="1" applyFill="1" applyBorder="1" applyAlignment="1">
      <alignment vertical="center" wrapText="1"/>
    </xf>
    <xf numFmtId="0" fontId="0" fillId="0" borderId="30" xfId="0" applyBorder="1"/>
    <xf numFmtId="0" fontId="33" fillId="22" borderId="30" xfId="0" applyFont="1" applyFill="1" applyBorder="1"/>
    <xf numFmtId="0" fontId="35" fillId="0" borderId="0" xfId="0" applyFont="1"/>
    <xf numFmtId="0" fontId="35" fillId="22" borderId="0" xfId="0" applyFont="1" applyFill="1"/>
    <xf numFmtId="0" fontId="36" fillId="30" borderId="30" xfId="0" applyFont="1" applyFill="1" applyBorder="1"/>
    <xf numFmtId="0" fontId="35" fillId="0" borderId="30" xfId="0" applyFont="1" applyBorder="1"/>
    <xf numFmtId="0" fontId="35" fillId="22" borderId="30" xfId="0" applyFont="1" applyFill="1" applyBorder="1"/>
    <xf numFmtId="164" fontId="37" fillId="30" borderId="30" xfId="0" applyNumberFormat="1" applyFont="1" applyFill="1" applyBorder="1"/>
    <xf numFmtId="0" fontId="39" fillId="31" borderId="30" xfId="0" applyFont="1" applyFill="1" applyBorder="1"/>
    <xf numFmtId="0" fontId="40" fillId="30" borderId="34" xfId="0" applyFont="1" applyFill="1" applyBorder="1" applyAlignment="1">
      <alignment vertical="center" wrapText="1"/>
    </xf>
    <xf numFmtId="0" fontId="41" fillId="30" borderId="34" xfId="0" applyFont="1" applyFill="1" applyBorder="1" applyAlignment="1">
      <alignment vertical="center"/>
    </xf>
    <xf numFmtId="0" fontId="36" fillId="30" borderId="34" xfId="0" applyFont="1" applyFill="1" applyBorder="1" applyAlignment="1">
      <alignment horizontal="center" vertical="center"/>
    </xf>
    <xf numFmtId="167" fontId="37" fillId="30" borderId="34" xfId="0" applyNumberFormat="1" applyFont="1" applyFill="1" applyBorder="1" applyAlignment="1">
      <alignment horizontal="center" vertical="center"/>
    </xf>
    <xf numFmtId="1" fontId="37" fillId="30" borderId="34" xfId="0" applyNumberFormat="1" applyFont="1" applyFill="1" applyBorder="1" applyAlignment="1">
      <alignment horizontal="center" vertical="center"/>
    </xf>
    <xf numFmtId="168" fontId="37" fillId="30" borderId="34" xfId="0" applyNumberFormat="1" applyFont="1" applyFill="1" applyBorder="1" applyAlignment="1">
      <alignment horizontal="center" vertical="center"/>
    </xf>
    <xf numFmtId="0" fontId="38" fillId="30" borderId="35" xfId="0" applyFont="1" applyFill="1" applyBorder="1" applyAlignment="1">
      <alignment horizontal="center" vertical="center"/>
    </xf>
    <xf numFmtId="0" fontId="43" fillId="30" borderId="34" xfId="0" applyFont="1" applyFill="1" applyBorder="1" applyAlignment="1">
      <alignment vertical="center"/>
    </xf>
    <xf numFmtId="0" fontId="42" fillId="30" borderId="34" xfId="0" applyFont="1" applyFill="1" applyBorder="1" applyAlignment="1">
      <alignment horizontal="center" vertical="center"/>
    </xf>
    <xf numFmtId="0" fontId="42" fillId="30" borderId="34" xfId="0" applyFont="1" applyFill="1" applyBorder="1" applyAlignment="1">
      <alignment horizontal="left" vertical="center"/>
    </xf>
    <xf numFmtId="0" fontId="44" fillId="22" borderId="30" xfId="0" applyFont="1" applyFill="1" applyBorder="1" applyAlignment="1">
      <alignment vertical="center" wrapText="1"/>
    </xf>
    <xf numFmtId="0" fontId="35" fillId="0" borderId="12" xfId="0" applyFont="1" applyBorder="1"/>
    <xf numFmtId="0" fontId="45" fillId="34" borderId="30" xfId="0" applyFont="1" applyFill="1" applyBorder="1" applyAlignment="1">
      <alignment horizontal="center" vertical="center"/>
    </xf>
    <xf numFmtId="0" fontId="45" fillId="31" borderId="32" xfId="0" applyFont="1" applyFill="1" applyBorder="1" applyAlignment="1">
      <alignment horizontal="left" vertical="center" wrapText="1"/>
    </xf>
    <xf numFmtId="0" fontId="45" fillId="31" borderId="32" xfId="0" applyFont="1" applyFill="1" applyBorder="1" applyAlignment="1">
      <alignment horizontal="center" vertical="center" wrapText="1"/>
    </xf>
    <xf numFmtId="0" fontId="45" fillId="31" borderId="33" xfId="0" applyFont="1" applyFill="1" applyBorder="1" applyAlignment="1">
      <alignment horizontal="center" vertical="center"/>
    </xf>
    <xf numFmtId="0" fontId="35" fillId="0" borderId="0" xfId="0" applyFont="1" applyAlignment="1">
      <alignment wrapText="1"/>
    </xf>
    <xf numFmtId="0" fontId="35" fillId="0" borderId="19" xfId="0" applyFont="1" applyBorder="1"/>
    <xf numFmtId="0" fontId="46" fillId="32" borderId="19" xfId="0" applyFont="1" applyFill="1" applyBorder="1" applyAlignment="1">
      <alignment horizontal="left" vertical="center"/>
    </xf>
    <xf numFmtId="0" fontId="32" fillId="25" borderId="8" xfId="0" applyFont="1" applyFill="1" applyBorder="1" applyAlignment="1">
      <alignment horizontal="left" vertical="center"/>
    </xf>
    <xf numFmtId="0" fontId="46" fillId="32" borderId="13" xfId="0" applyFont="1" applyFill="1" applyBorder="1" applyAlignment="1">
      <alignment horizontal="left" vertical="center"/>
    </xf>
    <xf numFmtId="0" fontId="32" fillId="25" borderId="17" xfId="0" applyFont="1" applyFill="1" applyBorder="1" applyAlignment="1">
      <alignment horizontal="left" vertical="center"/>
    </xf>
    <xf numFmtId="0" fontId="46" fillId="32" borderId="19" xfId="0" applyFont="1" applyFill="1" applyBorder="1" applyAlignment="1">
      <alignment vertical="center"/>
    </xf>
    <xf numFmtId="0" fontId="32" fillId="25" borderId="8" xfId="0" applyFont="1" applyFill="1" applyBorder="1" applyAlignment="1">
      <alignment vertical="center"/>
    </xf>
    <xf numFmtId="0" fontId="46" fillId="32" borderId="29" xfId="0" applyFont="1" applyFill="1" applyBorder="1" applyAlignment="1">
      <alignment vertical="center"/>
    </xf>
    <xf numFmtId="0" fontId="32" fillId="25" borderId="37" xfId="0" applyFont="1" applyFill="1" applyBorder="1" applyAlignment="1">
      <alignment vertical="center"/>
    </xf>
    <xf numFmtId="0" fontId="37" fillId="0" borderId="14" xfId="0" applyFont="1" applyBorder="1" applyAlignment="1">
      <alignment vertical="center"/>
    </xf>
    <xf numFmtId="0" fontId="35" fillId="0" borderId="16" xfId="0" applyFont="1" applyBorder="1"/>
    <xf numFmtId="0" fontId="37" fillId="0" borderId="16" xfId="0" applyFont="1" applyBorder="1" applyAlignment="1">
      <alignment vertical="center"/>
    </xf>
    <xf numFmtId="0" fontId="37" fillId="0" borderId="18" xfId="0" applyFont="1" applyBorder="1" applyAlignment="1">
      <alignment vertical="center"/>
    </xf>
    <xf numFmtId="0" fontId="16" fillId="0" borderId="19" xfId="0" applyFont="1" applyBorder="1" applyAlignment="1">
      <alignment vertical="center" wrapText="1"/>
    </xf>
    <xf numFmtId="0" fontId="16" fillId="37" borderId="19" xfId="0" applyFont="1" applyFill="1" applyBorder="1" applyAlignment="1">
      <alignment vertical="center" wrapText="1"/>
    </xf>
    <xf numFmtId="0" fontId="14" fillId="0" borderId="29" xfId="0" applyFont="1" applyBorder="1"/>
    <xf numFmtId="0" fontId="0" fillId="0" borderId="29" xfId="0" applyBorder="1"/>
    <xf numFmtId="0" fontId="14" fillId="30" borderId="16" xfId="0" applyFont="1" applyFill="1" applyBorder="1"/>
    <xf numFmtId="0" fontId="35" fillId="22" borderId="30" xfId="0" applyFont="1" applyFill="1" applyBorder="1" applyAlignment="1">
      <alignment horizontal="left" vertical="center"/>
    </xf>
    <xf numFmtId="0" fontId="36" fillId="22" borderId="30" xfId="0" applyFont="1" applyFill="1" applyBorder="1" applyAlignment="1">
      <alignment horizontal="left" vertical="center" wrapText="1"/>
    </xf>
    <xf numFmtId="0" fontId="36" fillId="22" borderId="16" xfId="0" applyFont="1" applyFill="1" applyBorder="1" applyAlignment="1">
      <alignment horizontal="left" vertical="center" wrapText="1"/>
    </xf>
    <xf numFmtId="0" fontId="35" fillId="22" borderId="12" xfId="0" applyFont="1" applyFill="1" applyBorder="1"/>
    <xf numFmtId="0" fontId="35" fillId="22" borderId="0" xfId="0" applyFont="1" applyFill="1" applyAlignment="1">
      <alignment wrapText="1"/>
    </xf>
    <xf numFmtId="0" fontId="35" fillId="0" borderId="14" xfId="0" applyFont="1" applyBorder="1"/>
    <xf numFmtId="0" fontId="47" fillId="30" borderId="30" xfId="0" applyFont="1" applyFill="1" applyBorder="1" applyAlignment="1">
      <alignment vertical="center"/>
    </xf>
    <xf numFmtId="0" fontId="35" fillId="32" borderId="39" xfId="0" applyFont="1" applyFill="1" applyBorder="1" applyAlignment="1">
      <alignment horizontal="left" vertical="center"/>
    </xf>
    <xf numFmtId="0" fontId="35" fillId="32" borderId="42" xfId="0" applyFont="1" applyFill="1" applyBorder="1" applyAlignment="1">
      <alignment horizontal="left" vertical="center"/>
    </xf>
    <xf numFmtId="0" fontId="35" fillId="32" borderId="5" xfId="0" applyFont="1" applyFill="1" applyBorder="1" applyAlignment="1">
      <alignment horizontal="left" vertical="center"/>
    </xf>
    <xf numFmtId="0" fontId="45" fillId="33" borderId="29" xfId="0" applyFont="1" applyFill="1" applyBorder="1" applyAlignment="1">
      <alignment horizontal="center" vertical="center"/>
    </xf>
    <xf numFmtId="0" fontId="45" fillId="35" borderId="37" xfId="0" applyFont="1" applyFill="1" applyBorder="1" applyAlignment="1">
      <alignment horizontal="center" vertical="center"/>
    </xf>
    <xf numFmtId="0" fontId="48" fillId="30" borderId="34" xfId="0" applyFont="1" applyFill="1" applyBorder="1" applyAlignment="1">
      <alignment vertical="center" wrapText="1"/>
    </xf>
    <xf numFmtId="0" fontId="49" fillId="30" borderId="34" xfId="0" applyFont="1" applyFill="1" applyBorder="1" applyAlignment="1">
      <alignment vertical="center" wrapText="1"/>
    </xf>
    <xf numFmtId="0" fontId="12" fillId="30" borderId="12" xfId="1" applyFill="1" applyBorder="1"/>
    <xf numFmtId="0" fontId="12" fillId="0" borderId="30" xfId="1" applyBorder="1"/>
    <xf numFmtId="0" fontId="45" fillId="31" borderId="31" xfId="0" applyFont="1" applyFill="1" applyBorder="1" applyAlignment="1">
      <alignment horizontal="center" vertical="center"/>
    </xf>
    <xf numFmtId="0" fontId="35" fillId="31" borderId="31" xfId="0" applyFont="1" applyFill="1" applyBorder="1"/>
    <xf numFmtId="0" fontId="27" fillId="30" borderId="36" xfId="0" applyFont="1" applyFill="1" applyBorder="1" applyAlignment="1">
      <alignment horizontal="left" vertical="top" wrapText="1"/>
    </xf>
    <xf numFmtId="0" fontId="0" fillId="0" borderId="0" xfId="0"/>
    <xf numFmtId="0" fontId="45" fillId="36" borderId="31" xfId="0" applyFont="1" applyFill="1" applyBorder="1" applyAlignment="1">
      <alignment horizontal="center" vertical="center"/>
    </xf>
    <xf numFmtId="0" fontId="35" fillId="36" borderId="30" xfId="0" applyFont="1" applyFill="1" applyBorder="1"/>
    <xf numFmtId="0" fontId="25" fillId="31" borderId="30" xfId="0" applyFont="1" applyFill="1" applyBorder="1" applyAlignment="1">
      <alignment horizontal="left" vertical="center"/>
    </xf>
    <xf numFmtId="0" fontId="36" fillId="32" borderId="40" xfId="0" applyFont="1" applyFill="1" applyBorder="1" applyAlignment="1">
      <alignment horizontal="left" vertical="center" wrapText="1"/>
    </xf>
    <xf numFmtId="0" fontId="36" fillId="32" borderId="41" xfId="0" applyFont="1" applyFill="1" applyBorder="1" applyAlignment="1">
      <alignment horizontal="left" vertical="center" wrapText="1"/>
    </xf>
    <xf numFmtId="0" fontId="36" fillId="32" borderId="38" xfId="0" applyFont="1" applyFill="1" applyBorder="1" applyAlignment="1">
      <alignment horizontal="left" vertical="center" wrapText="1"/>
    </xf>
    <xf numFmtId="0" fontId="36" fillId="32" borderId="43" xfId="0" applyFont="1" applyFill="1" applyBorder="1" applyAlignment="1">
      <alignment horizontal="left" vertical="center" wrapText="1"/>
    </xf>
    <xf numFmtId="0" fontId="36" fillId="32" borderId="6" xfId="0" applyFont="1" applyFill="1" applyBorder="1" applyAlignment="1">
      <alignment horizontal="left" vertical="center" wrapText="1"/>
    </xf>
    <xf numFmtId="0" fontId="36" fillId="32" borderId="7" xfId="0" applyFont="1" applyFill="1" applyBorder="1" applyAlignment="1">
      <alignment horizontal="left" vertical="center" wrapText="1"/>
    </xf>
    <xf numFmtId="0" fontId="37" fillId="22" borderId="30" xfId="0" applyFont="1" applyFill="1" applyBorder="1" applyAlignment="1">
      <alignment horizontal="left" vertical="center"/>
    </xf>
    <xf numFmtId="0" fontId="35" fillId="22" borderId="0" xfId="0" applyFont="1" applyFill="1"/>
    <xf numFmtId="0" fontId="34" fillId="22" borderId="30" xfId="0" applyFont="1" applyFill="1" applyBorder="1" applyAlignment="1">
      <alignment horizontal="left" vertical="center"/>
    </xf>
    <xf numFmtId="0" fontId="7" fillId="14" borderId="2" xfId="0" applyFont="1" applyFill="1" applyBorder="1" applyAlignment="1">
      <alignment horizontal="center" vertical="center"/>
    </xf>
    <xf numFmtId="0" fontId="7" fillId="14" borderId="0" xfId="0" applyFont="1" applyFill="1" applyAlignment="1">
      <alignment horizontal="center" vertical="center"/>
    </xf>
    <xf numFmtId="0" fontId="7" fillId="14" borderId="6" xfId="0" applyFont="1" applyFill="1" applyBorder="1" applyAlignment="1">
      <alignment horizontal="center" vertical="center"/>
    </xf>
    <xf numFmtId="0" fontId="10" fillId="21" borderId="0" xfId="0" applyFont="1" applyFill="1" applyAlignment="1">
      <alignment horizontal="center"/>
    </xf>
    <xf numFmtId="0" fontId="10" fillId="17" borderId="0" xfId="0" applyFont="1" applyFill="1" applyAlignment="1">
      <alignment horizontal="center" vertical="center"/>
    </xf>
    <xf numFmtId="0" fontId="10" fillId="17" borderId="4" xfId="0" applyFont="1" applyFill="1" applyBorder="1" applyAlignment="1">
      <alignment horizontal="center" vertical="center"/>
    </xf>
    <xf numFmtId="0" fontId="10" fillId="17" borderId="6" xfId="0" applyFont="1" applyFill="1" applyBorder="1" applyAlignment="1">
      <alignment horizontal="center" vertical="center"/>
    </xf>
    <xf numFmtId="0" fontId="10" fillId="17" borderId="7"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3" borderId="18"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15"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17" xfId="0" applyFont="1" applyFill="1" applyBorder="1" applyAlignment="1">
      <alignment horizontal="center" vertical="center"/>
    </xf>
    <xf numFmtId="0" fontId="2" fillId="4" borderId="18" xfId="0" applyFont="1" applyFill="1" applyBorder="1" applyAlignment="1">
      <alignment horizontal="center" vertical="center"/>
    </xf>
    <xf numFmtId="0" fontId="2" fillId="18" borderId="19" xfId="0" applyFont="1" applyFill="1" applyBorder="1" applyAlignment="1">
      <alignment horizontal="center" vertical="center"/>
    </xf>
    <xf numFmtId="0" fontId="2" fillId="18" borderId="20" xfId="0" applyFont="1" applyFill="1" applyBorder="1" applyAlignment="1">
      <alignment horizontal="center" vertical="center"/>
    </xf>
    <xf numFmtId="0" fontId="2" fillId="18" borderId="8" xfId="0" applyFont="1" applyFill="1" applyBorder="1" applyAlignment="1">
      <alignment horizontal="center" vertical="center"/>
    </xf>
    <xf numFmtId="0" fontId="2" fillId="3" borderId="0" xfId="0" applyFont="1" applyFill="1" applyAlignment="1">
      <alignment horizontal="center"/>
    </xf>
    <xf numFmtId="0" fontId="2" fillId="3" borderId="6" xfId="0" applyFont="1" applyFill="1" applyBorder="1" applyAlignment="1">
      <alignment horizontal="center"/>
    </xf>
    <xf numFmtId="0" fontId="11" fillId="20" borderId="9" xfId="0" applyFont="1" applyFill="1" applyBorder="1" applyAlignment="1">
      <alignment horizontal="center"/>
    </xf>
    <xf numFmtId="0" fontId="11" fillId="20" borderId="10" xfId="0" applyFont="1" applyFill="1" applyBorder="1" applyAlignment="1">
      <alignment horizontal="center"/>
    </xf>
    <xf numFmtId="0" fontId="11" fillId="20" borderId="11" xfId="0" applyFont="1" applyFill="1" applyBorder="1" applyAlignment="1">
      <alignment horizontal="center"/>
    </xf>
    <xf numFmtId="0" fontId="16" fillId="0" borderId="0" xfId="0" applyFont="1" applyAlignment="1">
      <alignment horizontal="left" vertical="center" wrapText="1"/>
    </xf>
  </cellXfs>
  <cellStyles count="2">
    <cellStyle name="Hyperlink" xfId="1" builtinId="8"/>
    <cellStyle name="Normal" xfId="0" builtinId="0"/>
  </cellStyles>
  <dxfs count="23">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F3CD"/>
        </patternFill>
      </fill>
      <border>
        <bottom style="thin">
          <color rgb="FFD5DBE1"/>
        </bottom>
      </border>
    </dxf>
    <dxf>
      <font>
        <b/>
        <color rgb="FFFFFFFF"/>
      </font>
      <fill>
        <patternFill>
          <bgColor rgb="FF6A4C93"/>
        </patternFill>
      </fill>
      <border>
        <bottom style="thin">
          <color rgb="FFD5DBE1"/>
        </bottom>
      </border>
    </dxf>
    <dxf>
      <font>
        <b/>
        <color rgb="FFFFFFFF"/>
      </font>
      <fill>
        <patternFill>
          <bgColor rgb="FF2E8B57"/>
        </patternFill>
      </fill>
      <border>
        <bottom style="thin">
          <color rgb="FFD5DBE1"/>
        </bottom>
      </border>
    </dxf>
    <dxf>
      <font>
        <b/>
        <color rgb="FFFFFFFF"/>
      </font>
      <fill>
        <patternFill>
          <bgColor rgb="FF2F6FB5"/>
        </patternFill>
      </fill>
      <border>
        <bottom style="thin">
          <color rgb="FFD5DBE1"/>
        </bottom>
      </border>
    </dxf>
    <dxf>
      <font>
        <b/>
        <color rgb="FF7A4F01"/>
      </font>
      <fill>
        <patternFill>
          <bgColor rgb="FFFFF3CD"/>
        </patternFill>
      </fill>
    </dxf>
    <dxf>
      <font>
        <b/>
        <color rgb="FF1F4E79"/>
      </font>
      <fill>
        <patternFill>
          <bgColor rgb="FFDDE9F5"/>
        </patternFill>
      </fill>
      <border>
        <bottom style="thin">
          <color rgb="FFD5DBE1"/>
        </bottom>
      </border>
    </dxf>
    <dxf>
      <font>
        <b/>
        <color rgb="FF6B7785"/>
      </font>
      <fill>
        <patternFill>
          <bgColor rgb="FFE7EAEC"/>
        </patternFill>
      </fill>
      <border>
        <bottom style="thin">
          <color rgb="FFD5DBE1"/>
        </bottom>
      </border>
    </dxf>
    <dxf>
      <font>
        <b/>
        <color rgb="FF8A5300"/>
      </font>
      <fill>
        <patternFill>
          <bgColor rgb="FFFCE8CD"/>
        </patternFill>
      </fill>
      <border>
        <bottom style="thin">
          <color rgb="FFD5DBE1"/>
        </bottom>
      </border>
    </dxf>
    <dxf>
      <font>
        <b/>
        <color rgb="FF1E6B3D"/>
      </font>
      <fill>
        <patternFill>
          <bgColor rgb="FFD6EEDC"/>
        </patternFill>
      </fill>
      <border>
        <bottom style="thin">
          <color rgb="FFD5DBE1"/>
        </bottom>
      </border>
    </dxf>
    <dxf>
      <border>
        <bottom style="thin">
          <color rgb="FFD5DBE1"/>
        </bottom>
      </border>
    </dxf>
    <dxf>
      <border>
        <top style="medium">
          <color rgb="FF1F3B57"/>
        </top>
        <bottom style="thin">
          <color rgb="FFD5DBE1"/>
        </bottom>
      </border>
    </dxf>
  </dxfs>
  <tableStyles count="0" defaultTableStyle="TableStyleMedium2" defaultPivotStyle="PivotStyleLight16"/>
  <colors>
    <mruColors>
      <color rgb="FFEEF2F6"/>
      <color rgb="FFFFEB9C"/>
      <color rgb="FFC22536"/>
      <color rgb="FFC0452B"/>
      <color rgb="FF82BA5D"/>
      <color rgb="FFA9D08E"/>
      <color rgb="FFFFD6EC"/>
      <color rgb="FFF2F2F2"/>
      <color rgb="FFE2EF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accent1_5#1">
  <dgm:title val=""/>
  <dgm:desc val=""/>
  <dgm:catLst>
    <dgm:cat type="accent1" pri="11500"/>
  </dgm:catLst>
  <dgm:styleLbl name="node0">
    <dgm:fillClrLst meth="cycle">
      <a:schemeClr val="accent1">
        <a:alpha val="80000"/>
      </a:schemeClr>
    </dgm:fillClrLst>
    <dgm:linClrLst meth="repeat">
      <a:schemeClr val="lt1"/>
    </dgm:linClrLst>
    <dgm:effectClrLst/>
    <dgm:txLinClrLst/>
    <dgm:txFillClrLst/>
    <dgm:txEffectClrLst/>
  </dgm:styleLbl>
  <dgm:styleLbl name="node1">
    <dgm:fillClrLst>
      <a:schemeClr val="accent1">
        <a:alpha val="90000"/>
      </a:schemeClr>
      <a:schemeClr val="accent1">
        <a:alpha val="50000"/>
      </a:schemeClr>
    </dgm:fillClrLst>
    <dgm:linClrLst meth="repeat">
      <a:schemeClr val="lt1"/>
    </dgm:linClrLst>
    <dgm:effectClrLst/>
    <dgm:txLinClrLst/>
    <dgm:txFillClrLst/>
    <dgm:txEffectClrLst/>
  </dgm:styleLbl>
  <dgm:styleLbl name="alignNode1">
    <dgm:fillClrLst>
      <a:schemeClr val="accent1">
        <a:alpha val="90000"/>
      </a:schemeClr>
      <a:schemeClr val="accent1">
        <a:alpha val="50000"/>
      </a:schemeClr>
    </dgm:fillClrLst>
    <dgm:linClrLst>
      <a:schemeClr val="accent1">
        <a:alpha val="90000"/>
      </a:schemeClr>
      <a:schemeClr val="accent1">
        <a:alpha val="50000"/>
      </a:schemeClr>
    </dgm:linClrLst>
    <dgm:effectClrLst/>
    <dgm:txLinClrLst/>
    <dgm:txFillClrLst/>
    <dgm:txEffectClrLst/>
  </dgm:styleLbl>
  <dgm:styleLbl name="lnNode1">
    <dgm:fillClrLst>
      <a:schemeClr val="accent1">
        <a:shade val="90000"/>
      </a:schemeClr>
      <a:schemeClr val="accent1">
        <a:alpha val="50000"/>
        <a:tint val="50000"/>
      </a:schemeClr>
    </dgm:fillClrLst>
    <dgm:linClrLst meth="repeat">
      <a:schemeClr val="lt1"/>
    </dgm:linClrLst>
    <dgm:effectClrLst/>
    <dgm:txLinClrLst/>
    <dgm:txFillClrLst/>
    <dgm:txEffectClrLst/>
  </dgm:styleLbl>
  <dgm:styleLbl name="vennNode1">
    <dgm:fillClrLst>
      <a:schemeClr val="accent1">
        <a:shade val="80000"/>
        <a:alpha val="50000"/>
      </a:schemeClr>
      <a:schemeClr val="accent1">
        <a:alpha val="80000"/>
      </a:schemeClr>
    </dgm:fillClrLst>
    <dgm:linClrLst meth="repeat">
      <a:schemeClr val="lt1"/>
    </dgm:linClrLst>
    <dgm:effectClrLst/>
    <dgm:txLinClrLst/>
    <dgm:txFillClrLst/>
    <dgm:txEffectClrLst/>
  </dgm:styleLbl>
  <dgm:styleLbl name="node2">
    <dgm:fillClrLst>
      <a:schemeClr val="accent1">
        <a:alpha val="70000"/>
      </a:schemeClr>
    </dgm:fillClrLst>
    <dgm:linClrLst meth="repeat">
      <a:schemeClr val="lt1"/>
    </dgm:linClrLst>
    <dgm:effectClrLst/>
    <dgm:txLinClrLst/>
    <dgm:txFillClrLst/>
    <dgm:txEffectClrLst/>
  </dgm:styleLbl>
  <dgm:styleLbl name="node3">
    <dgm:fillClrLst>
      <a:schemeClr val="accent1">
        <a:alpha val="50000"/>
      </a:schemeClr>
    </dgm:fillClrLst>
    <dgm:linClrLst meth="repeat">
      <a:schemeClr val="lt1"/>
    </dgm:linClrLst>
    <dgm:effectClrLst/>
    <dgm:txLinClrLst/>
    <dgm:txFillClrLst/>
    <dgm:txEffectClrLst/>
  </dgm:styleLbl>
  <dgm:styleLbl name="node4">
    <dgm:fillClrLst>
      <a:schemeClr val="accent1">
        <a:alpha val="30000"/>
      </a:schemeClr>
    </dgm:fillClrLst>
    <dgm:linClrLst meth="repeat">
      <a:schemeClr val="lt1"/>
    </dgm:linClrLst>
    <dgm:effectClrLst/>
    <dgm:txLinClrLst/>
    <dgm:txFillClrLst/>
    <dgm:txEffectClrLst/>
  </dgm:styleLbl>
  <dgm:styleLbl name="fgImgPlace1">
    <dgm:fillClrLst>
      <a:schemeClr val="accent1">
        <a:tint val="50000"/>
        <a:alpha val="90000"/>
      </a:schemeClr>
      <a:schemeClr val="accent1">
        <a:tint val="20000"/>
        <a:alpha val="50000"/>
      </a:schemeClr>
    </dgm:fillClrLst>
    <dgm:linClrLst meth="repeat">
      <a:schemeClr val="lt1"/>
    </dgm:linClrLst>
    <dgm:effectClrLst/>
    <dgm:txLinClrLst/>
    <dgm:txFillClrLst meth="repeat">
      <a:schemeClr val="lt1"/>
    </dgm:txFillClrLst>
    <dgm:txEffectClrLst/>
  </dgm:styleLbl>
  <dgm:styleLbl name="alignImgPlace1">
    <dgm:fillClrLst>
      <a:schemeClr val="accent1">
        <a:tint val="50000"/>
      </a:schemeClr>
      <a:schemeClr val="accent1">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1">
        <a:tint val="50000"/>
      </a:schemeClr>
      <a:schemeClr val="accent1">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1">
        <a:shade val="90000"/>
      </a:schemeClr>
      <a:schemeClr val="accent1">
        <a:tint val="50000"/>
      </a:schemeClr>
    </dgm:fillClrLst>
    <dgm:linClrLst>
      <a:schemeClr val="accent1">
        <a:shade val="90000"/>
      </a:schemeClr>
      <a:schemeClr val="accent1">
        <a:tint val="50000"/>
      </a:schemeClr>
    </dgm:linClrLst>
    <dgm:effectClrLst/>
    <dgm:txLinClrLst/>
    <dgm:txFillClrLst/>
    <dgm:txEffectClrLst/>
  </dgm:styleLbl>
  <dgm:styleLbl name="fgSibTrans2D1">
    <dgm:fillClrLst>
      <a:schemeClr val="accent1">
        <a:shade val="90000"/>
      </a:schemeClr>
      <a:schemeClr val="accent1">
        <a:tint val="50000"/>
      </a:schemeClr>
    </dgm:fillClrLst>
    <dgm:linClrLst>
      <a:schemeClr val="accent1">
        <a:shade val="90000"/>
      </a:schemeClr>
      <a:schemeClr val="accent1">
        <a:tint val="50000"/>
      </a:schemeClr>
    </dgm:linClrLst>
    <dgm:effectClrLst/>
    <dgm:txLinClrLst/>
    <dgm:txFillClrLst/>
    <dgm:txEffectClrLst/>
  </dgm:styleLbl>
  <dgm:styleLbl name="bgSibTrans2D1">
    <dgm:fillClrLst>
      <a:schemeClr val="accent1">
        <a:shade val="90000"/>
      </a:schemeClr>
      <a:schemeClr val="accent1">
        <a:tint val="50000"/>
      </a:schemeClr>
    </dgm:fillClrLst>
    <dgm:linClrLst>
      <a:schemeClr val="accent1">
        <a:shade val="90000"/>
      </a:schemeClr>
      <a:schemeClr val="accent1">
        <a:tint val="50000"/>
      </a:schemeClr>
    </dgm:linClrLst>
    <dgm:effectClrLst/>
    <dgm:txLinClrLst/>
    <dgm:txFillClrLst/>
    <dgm:txEffectClrLst/>
  </dgm:styleLbl>
  <dgm:styleLbl name="sibTrans1D1">
    <dgm:fillClrLst>
      <a:schemeClr val="accent1">
        <a:shade val="90000"/>
      </a:schemeClr>
      <a:schemeClr val="accent1">
        <a:tint val="50000"/>
      </a:schemeClr>
    </dgm:fillClrLst>
    <dgm:linClrLst>
      <a:schemeClr val="accent1">
        <a:shade val="90000"/>
      </a:schemeClr>
      <a:schemeClr val="accent1">
        <a:tint val="50000"/>
      </a:schemeClr>
    </dgm:linClrLst>
    <dgm:effectClrLst/>
    <dgm:txLinClrLst/>
    <dgm:txFillClrLst meth="repeat">
      <a:schemeClr val="tx1"/>
    </dgm:txFillClrLst>
    <dgm:txEffectClrLst/>
  </dgm:styleLbl>
  <dgm:styleLbl name="callout">
    <dgm:fillClrLst meth="repeat">
      <a:schemeClr val="accent1"/>
    </dgm:fillClrLst>
    <dgm:linClrLst meth="repeat">
      <a:schemeClr val="accent1"/>
    </dgm:linClrLst>
    <dgm:effectClrLst/>
    <dgm:txLinClrLst/>
    <dgm:txFillClrLst meth="repeat">
      <a:schemeClr val="tx1"/>
    </dgm:txFillClrLst>
    <dgm:txEffectClrLst/>
  </dgm:styleLbl>
  <dgm:styleLbl name="asst0">
    <dgm:fillClrLst meth="repeat">
      <a:schemeClr val="accent1">
        <a:alpha val="90000"/>
      </a:schemeClr>
    </dgm:fillClrLst>
    <dgm:linClrLst meth="repeat">
      <a:schemeClr val="lt1"/>
    </dgm:linClrLst>
    <dgm:effectClrLst/>
    <dgm:txLinClrLst/>
    <dgm:txFillClrLst/>
    <dgm:txEffectClrLst/>
  </dgm:styleLbl>
  <dgm:styleLbl name="asst1">
    <dgm:fillClrLst meth="repeat">
      <a:schemeClr val="accent1">
        <a:alpha val="90000"/>
      </a:schemeClr>
    </dgm:fillClrLst>
    <dgm:linClrLst meth="repeat">
      <a:schemeClr val="lt1"/>
    </dgm:linClrLst>
    <dgm:effectClrLst/>
    <dgm:txLinClrLst/>
    <dgm:txFillClrLst/>
    <dgm:txEffectClrLst/>
  </dgm:styleLbl>
  <dgm:styleLbl name="asst2">
    <dgm:fillClrLst>
      <a:schemeClr val="accent1">
        <a:alpha val="90000"/>
      </a:schemeClr>
    </dgm:fillClrLst>
    <dgm:linClrLst meth="repeat">
      <a:schemeClr val="lt1"/>
    </dgm:linClrLst>
    <dgm:effectClrLst/>
    <dgm:txLinClrLst/>
    <dgm:txFillClrLst/>
    <dgm:txEffectClrLst/>
  </dgm:styleLbl>
  <dgm:styleLbl name="asst3">
    <dgm:fillClrLst>
      <a:schemeClr val="accent1">
        <a:alpha val="70000"/>
      </a:schemeClr>
    </dgm:fillClrLst>
    <dgm:linClrLst meth="repeat">
      <a:schemeClr val="lt1"/>
    </dgm:linClrLst>
    <dgm:effectClrLst/>
    <dgm:txLinClrLst/>
    <dgm:txFillClrLst/>
    <dgm:txEffectClrLst/>
  </dgm:styleLbl>
  <dgm:styleLbl name="asst4">
    <dgm:fillClrLst>
      <a:schemeClr val="accent1">
        <a:alpha val="50000"/>
      </a:schemeClr>
    </dgm:fillClrLst>
    <dgm:linClrLst meth="repeat">
      <a:schemeClr val="lt1"/>
    </dgm:linClrLst>
    <dgm:effectClrLst/>
    <dgm:txLinClrLst/>
    <dgm:txFillClrLst/>
    <dgm:txEffectClrLst/>
  </dgm:styleLbl>
  <dgm:styleLbl name="parChTrans2D1">
    <dgm:fillClrLst meth="repeat">
      <a:schemeClr val="accent1">
        <a:shade val="80000"/>
      </a:schemeClr>
    </dgm:fillClrLst>
    <dgm:linClrLst meth="repeat">
      <a:schemeClr val="accent1">
        <a:shade val="80000"/>
      </a:schemeClr>
    </dgm:linClrLst>
    <dgm:effectClrLst/>
    <dgm:txLinClrLst/>
    <dgm:txFillClrLst/>
    <dgm:txEffectClrLst/>
  </dgm:styleLbl>
  <dgm:styleLbl name="parChTrans2D2">
    <dgm:fillClrLst meth="repeat">
      <a:schemeClr val="accent1">
        <a:tint val="90000"/>
      </a:schemeClr>
    </dgm:fillClrLst>
    <dgm:linClrLst meth="repeat">
      <a:schemeClr val="accent1">
        <a:tint val="90000"/>
      </a:schemeClr>
    </dgm:linClrLst>
    <dgm:effectClrLst/>
    <dgm:txLinClrLst/>
    <dgm:txFillClrLst/>
    <dgm:txEffectClrLst/>
  </dgm:styleLbl>
  <dgm:styleLbl name="parChTrans2D3">
    <dgm:fillClrLst meth="repeat">
      <a:schemeClr val="accent1">
        <a:tint val="70000"/>
      </a:schemeClr>
    </dgm:fillClrLst>
    <dgm:linClrLst meth="repeat">
      <a:schemeClr val="accent1">
        <a:tint val="70000"/>
      </a:schemeClr>
    </dgm:linClrLst>
    <dgm:effectClrLst/>
    <dgm:txLinClrLst/>
    <dgm:txFillClrLst/>
    <dgm:txEffectClrLst/>
  </dgm:styleLbl>
  <dgm:styleLbl name="parChTrans2D4">
    <dgm:fillClrLst meth="repeat">
      <a:schemeClr val="accent1">
        <a:tint val="50000"/>
      </a:schemeClr>
    </dgm:fillClrLst>
    <dgm:linClrLst meth="repeat">
      <a:schemeClr val="accent1">
        <a:tint val="50000"/>
      </a:schemeClr>
    </dgm:linClrLst>
    <dgm:effectClrLst/>
    <dgm:txLinClrLst/>
    <dgm:txFillClrLst meth="repeat">
      <a:schemeClr val="dk1"/>
    </dgm:txFillClrLst>
    <dgm:txEffectClrLst/>
  </dgm:styleLbl>
  <dgm:styleLbl name="parChTrans1D1">
    <dgm:fillClrLst meth="repeat">
      <a:schemeClr val="accent1">
        <a:shade val="80000"/>
      </a:schemeClr>
    </dgm:fillClrLst>
    <dgm:linClrLst meth="repeat">
      <a:schemeClr val="accent1">
        <a:shade val="80000"/>
      </a:schemeClr>
    </dgm:linClrLst>
    <dgm:effectClrLst/>
    <dgm:txLinClrLst/>
    <dgm:txFillClrLst meth="repeat">
      <a:schemeClr val="tx1"/>
    </dgm:txFillClrLst>
    <dgm:txEffectClrLst/>
  </dgm:styleLbl>
  <dgm:styleLbl name="parChTrans1D2">
    <dgm:fillClrLst meth="repeat">
      <a:schemeClr val="accent1">
        <a:tint val="90000"/>
      </a:schemeClr>
    </dgm:fillClrLst>
    <dgm:linClrLst meth="repeat">
      <a:schemeClr val="accent1">
        <a:tint val="90000"/>
      </a:schemeClr>
    </dgm:linClrLst>
    <dgm:effectClrLst/>
    <dgm:txLinClrLst/>
    <dgm:txFillClrLst meth="repeat">
      <a:schemeClr val="tx1"/>
    </dgm:txFillClrLst>
    <dgm:txEffectClrLst/>
  </dgm:styleLbl>
  <dgm:styleLbl name="parChTrans1D3">
    <dgm:fillClrLst meth="repeat">
      <a:schemeClr val="accent1">
        <a:tint val="70000"/>
      </a:schemeClr>
    </dgm:fillClrLst>
    <dgm:linClrLst meth="repeat">
      <a:schemeClr val="accent1">
        <a:tint val="70000"/>
      </a:schemeClr>
    </dgm:linClrLst>
    <dgm:effectClrLst/>
    <dgm:txLinClrLst/>
    <dgm:txFillClrLst meth="repeat">
      <a:schemeClr val="tx1"/>
    </dgm:txFillClrLst>
    <dgm:txEffectClrLst/>
  </dgm:styleLbl>
  <dgm:styleLbl name="parChTrans1D4">
    <dgm:fillClrLst meth="repeat">
      <a:schemeClr val="accent1">
        <a:tint val="50000"/>
      </a:schemeClr>
    </dgm:fillClrLst>
    <dgm:linClrLst meth="repeat">
      <a:schemeClr val="accent1">
        <a:tint val="50000"/>
      </a:schemeClr>
    </dgm:linClrLst>
    <dgm:effectClrLst/>
    <dgm:txLinClrLst/>
    <dgm:txFillClrLst meth="repeat">
      <a:schemeClr val="tx1"/>
    </dgm:txFillClrLst>
    <dgm:txEffectClrLst/>
  </dgm:styleLbl>
  <dgm:styleLbl name="fgAcc1">
    <dgm:fillClrLst meth="repeat">
      <a:schemeClr val="lt1">
        <a:alpha val="90000"/>
      </a:schemeClr>
    </dgm:fillClrLst>
    <dgm:linClrLst>
      <a:schemeClr val="accent1">
        <a:alpha val="90000"/>
      </a:schemeClr>
      <a:schemeClr val="accent1">
        <a:alpha val="50000"/>
      </a:schemeClr>
    </dgm:linClrLst>
    <dgm:effectClrLst/>
    <dgm:txLinClrLst/>
    <dgm:txFillClrLst meth="repeat">
      <a:schemeClr val="dk1"/>
    </dgm:txFillClrLst>
    <dgm:txEffectClrLst/>
  </dgm:styleLbl>
  <dgm:styleLbl name="conFgAcc1">
    <dgm:fillClrLst meth="repeat">
      <a:schemeClr val="lt1">
        <a:alpha val="90000"/>
      </a:schemeClr>
    </dgm:fillClrLst>
    <dgm:linClrLst>
      <a:schemeClr val="accent1">
        <a:alpha val="90000"/>
      </a:schemeClr>
      <a:schemeClr val="accent1">
        <a:alpha val="50000"/>
      </a:schemeClr>
    </dgm:linClrLst>
    <dgm:effectClrLst/>
    <dgm:txLinClrLst/>
    <dgm:txFillClrLst meth="repeat">
      <a:schemeClr val="dk1"/>
    </dgm:txFillClrLst>
    <dgm:txEffectClrLst/>
  </dgm:styleLbl>
  <dgm:styleLbl name="alignAcc1">
    <dgm:fillClrLst meth="repeat">
      <a:schemeClr val="lt1">
        <a:alpha val="90000"/>
      </a:schemeClr>
    </dgm:fillClrLst>
    <dgm:linClrLst>
      <a:schemeClr val="accent1">
        <a:alpha val="90000"/>
      </a:schemeClr>
      <a:schemeClr val="accent1">
        <a:alpha val="50000"/>
      </a:schemeClr>
    </dgm:linClrLst>
    <dgm:effectClrLst/>
    <dgm:txLinClrLst/>
    <dgm:txFillClrLst meth="repeat">
      <a:schemeClr val="dk1"/>
    </dgm:txFillClrLst>
    <dgm:txEffectClrLst/>
  </dgm:styleLbl>
  <dgm:styleLbl name="trAlignAcc1">
    <dgm:fillClrLst meth="repeat">
      <a:schemeClr val="lt1">
        <a:alpha val="40000"/>
      </a:schemeClr>
    </dgm:fillClrLst>
    <dgm:linClrLst>
      <a:schemeClr val="accent1">
        <a:alpha val="90000"/>
      </a:schemeClr>
      <a:schemeClr val="accent1">
        <a:alpha val="50000"/>
      </a:schemeClr>
    </dgm:linClrLst>
    <dgm:effectClrLst/>
    <dgm:txLinClrLst/>
    <dgm:txFillClrLst meth="repeat">
      <a:schemeClr val="dk1"/>
    </dgm:txFillClrLst>
    <dgm:txEffectClrLst/>
  </dgm:styleLbl>
  <dgm:styleLbl name="bgAcc1">
    <dgm:fillClrLst meth="repeat">
      <a:schemeClr val="lt1">
        <a:alpha val="90000"/>
      </a:schemeClr>
    </dgm:fillClrLst>
    <dgm:linClrLst>
      <a:schemeClr val="accent1">
        <a:alpha val="90000"/>
      </a:schemeClr>
      <a:schemeClr val="accent1">
        <a:alpha val="50000"/>
      </a:schemeClr>
    </dgm:linClrLst>
    <dgm:effectClrLst/>
    <dgm:txLinClrLst/>
    <dgm:txFillClrLst meth="repeat">
      <a:schemeClr val="dk1"/>
    </dgm:txFillClrLst>
    <dgm:txEffectClrLst/>
  </dgm:styleLbl>
  <dgm:styleLbl name="solidFgAcc1">
    <dgm:fillClrLst meth="repeat">
      <a:schemeClr val="lt1"/>
    </dgm:fillClrLst>
    <dgm:linClrLst>
      <a:schemeClr val="accent1">
        <a:alpha val="90000"/>
      </a:schemeClr>
      <a:schemeClr val="accent1">
        <a:alpha val="50000"/>
      </a:schemeClr>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a:schemeClr val="accent1">
        <a:alpha val="90000"/>
        <a:tint val="40000"/>
      </a:schemeClr>
      <a:schemeClr val="accent1">
        <a:alpha val="5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lt1"/>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a:shade val="80000"/>
      </a:schemeClr>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a:tint val="90000"/>
      </a:schemeClr>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a:tint val="70000"/>
      </a:schemeClr>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a:tint val="50000"/>
      </a:schemeClr>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1">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F1612F52-234C-2141-8C7B-7D54F4D59076}" type="doc">
      <dgm:prSet loTypeId="urn:microsoft.com/office/officeart/2024/layout/HorizontalActionList" loCatId="" qsTypeId="urn:microsoft.com/office/officeart/2005/8/quickstyle/simple5#1" qsCatId="simple" csTypeId="urn:microsoft.com/office/officeart/2005/8/colors/accent1_5#1" csCatId="accent1" phldr="1"/>
      <dgm:spPr/>
      <dgm:t>
        <a:bodyPr/>
        <a:lstStyle/>
        <a:p>
          <a:endParaRPr lang="en-US"/>
        </a:p>
      </dgm:t>
    </dgm:pt>
    <dgm:pt modelId="{E73A88CA-1EB8-294F-8ECF-07473D6D17A5}">
      <dgm:prSet phldrT="[Text]" custT="1"/>
      <dgm:spPr/>
      <dgm:t>
        <a:bodyPr/>
        <a:lstStyle/>
        <a:p>
          <a:r>
            <a:rPr lang="en-US" sz="2400"/>
            <a:t>Portfolios</a:t>
          </a:r>
        </a:p>
      </dgm:t>
    </dgm:pt>
    <dgm:pt modelId="{45CBB9AD-B352-AD4A-9CF0-14D2076A430F}" type="parTrans" cxnId="{B6AF1A96-C7B0-2944-A1B4-E05547466A42}">
      <dgm:prSet/>
      <dgm:spPr/>
      <dgm:t>
        <a:bodyPr/>
        <a:lstStyle/>
        <a:p>
          <a:endParaRPr lang="en-US"/>
        </a:p>
      </dgm:t>
    </dgm:pt>
    <dgm:pt modelId="{5BA1A021-156D-9343-9D4D-2571E42F1D30}" type="sibTrans" cxnId="{B6AF1A96-C7B0-2944-A1B4-E05547466A42}">
      <dgm:prSet phldrT="1" phldr="0"/>
      <dgm:spPr/>
    </dgm:pt>
    <dgm:pt modelId="{CCDE4DFD-2E1B-5D41-B803-10B2C6B794D5}">
      <dgm:prSet phldrT="[Text]" custT="1"/>
      <dgm:spPr/>
      <dgm:t>
        <a:bodyPr/>
        <a:lstStyle/>
        <a:p>
          <a:r>
            <a:rPr lang="en-US" sz="2000" b="1"/>
            <a:t>Used</a:t>
          </a:r>
          <a:r>
            <a:rPr lang="en-US" sz="2000"/>
            <a:t> - Isaac Mittelman</a:t>
          </a:r>
        </a:p>
      </dgm:t>
    </dgm:pt>
    <dgm:pt modelId="{F4D0F1C9-8D28-4E40-AB0F-ED2AA0185726}" type="parTrans" cxnId="{E8540AD2-F076-5943-B4B3-390275EE29A3}">
      <dgm:prSet/>
      <dgm:spPr/>
      <dgm:t>
        <a:bodyPr/>
        <a:lstStyle/>
        <a:p>
          <a:endParaRPr lang="en-US"/>
        </a:p>
      </dgm:t>
    </dgm:pt>
    <dgm:pt modelId="{441C1B48-C508-3042-9694-6E5D8E69490B}" type="sibTrans" cxnId="{E8540AD2-F076-5943-B4B3-390275EE29A3}">
      <dgm:prSet/>
      <dgm:spPr/>
      <dgm:t>
        <a:bodyPr/>
        <a:lstStyle/>
        <a:p>
          <a:endParaRPr lang="en-US"/>
        </a:p>
      </dgm:t>
    </dgm:pt>
    <dgm:pt modelId="{4E174DEB-3FE1-C847-B335-69EEA40C1AFF}">
      <dgm:prSet phldrT="[Text]" custT="1"/>
      <dgm:spPr/>
      <dgm:t>
        <a:bodyPr/>
        <a:lstStyle/>
        <a:p>
          <a:r>
            <a:rPr lang="en-US" sz="2000" b="1"/>
            <a:t>Find</a:t>
          </a:r>
          <a:r>
            <a:rPr lang="en-US" sz="2000"/>
            <a:t> - Eli Goldstein</a:t>
          </a:r>
        </a:p>
      </dgm:t>
    </dgm:pt>
    <dgm:pt modelId="{EB42EF59-8CFC-9744-85C1-A94BE6FD5AD4}" type="parTrans" cxnId="{1BD51867-641A-F747-AAF8-960E30C2F478}">
      <dgm:prSet/>
      <dgm:spPr/>
      <dgm:t>
        <a:bodyPr/>
        <a:lstStyle/>
        <a:p>
          <a:endParaRPr lang="en-US"/>
        </a:p>
      </dgm:t>
    </dgm:pt>
    <dgm:pt modelId="{87B305F3-CA94-A748-881D-F93F291E111F}" type="sibTrans" cxnId="{1BD51867-641A-F747-AAF8-960E30C2F478}">
      <dgm:prSet/>
      <dgm:spPr/>
      <dgm:t>
        <a:bodyPr/>
        <a:lstStyle/>
        <a:p>
          <a:endParaRPr lang="en-US"/>
        </a:p>
      </dgm:t>
    </dgm:pt>
    <dgm:pt modelId="{BEB8CCBC-00DD-D445-AD9A-A5611DF3A8F0}">
      <dgm:prSet phldrT="[Text]" custT="1"/>
      <dgm:spPr/>
      <dgm:t>
        <a:bodyPr/>
        <a:lstStyle/>
        <a:p>
          <a:r>
            <a:rPr lang="en-US" sz="2400"/>
            <a:t>Themes</a:t>
          </a:r>
        </a:p>
      </dgm:t>
    </dgm:pt>
    <dgm:pt modelId="{A184216D-A49D-AF4E-B7DC-60BF70A91683}" type="parTrans" cxnId="{36788808-543A-C148-9F6C-B6EB58DD6CBB}">
      <dgm:prSet/>
      <dgm:spPr/>
      <dgm:t>
        <a:bodyPr/>
        <a:lstStyle/>
        <a:p>
          <a:endParaRPr lang="en-US"/>
        </a:p>
      </dgm:t>
    </dgm:pt>
    <dgm:pt modelId="{696FEF52-F6CE-B742-8ABE-D54CCAB327C4}" type="sibTrans" cxnId="{36788808-543A-C148-9F6C-B6EB58DD6CBB}">
      <dgm:prSet phldrT="2" phldr="0"/>
      <dgm:spPr/>
    </dgm:pt>
    <dgm:pt modelId="{EE405F44-65F1-074A-B2CF-AC9E1093FF81}">
      <dgm:prSet phldrT="[Text]" custT="1"/>
      <dgm:spPr/>
      <dgm:t>
        <a:bodyPr/>
        <a:lstStyle/>
        <a:p>
          <a:r>
            <a:rPr lang="en-US" sz="2000"/>
            <a:t>Increase Awareness</a:t>
          </a:r>
        </a:p>
      </dgm:t>
    </dgm:pt>
    <dgm:pt modelId="{D5A786D1-B84C-AE44-B0C1-ACE319630D0A}" type="parTrans" cxnId="{03B2057B-7019-7840-9CE9-A72F763BB50C}">
      <dgm:prSet/>
      <dgm:spPr/>
      <dgm:t>
        <a:bodyPr/>
        <a:lstStyle/>
        <a:p>
          <a:endParaRPr lang="en-US"/>
        </a:p>
      </dgm:t>
    </dgm:pt>
    <dgm:pt modelId="{E70133D5-01DB-4C4A-BE1D-1ADB93D0DC72}" type="sibTrans" cxnId="{03B2057B-7019-7840-9CE9-A72F763BB50C}">
      <dgm:prSet/>
      <dgm:spPr/>
      <dgm:t>
        <a:bodyPr/>
        <a:lstStyle/>
        <a:p>
          <a:endParaRPr lang="en-US"/>
        </a:p>
      </dgm:t>
    </dgm:pt>
    <dgm:pt modelId="{91087808-874D-1744-998A-127D7DC581F1}">
      <dgm:prSet phldrT="[Text]" custT="1"/>
      <dgm:spPr/>
      <dgm:t>
        <a:bodyPr/>
        <a:lstStyle/>
        <a:p>
          <a:r>
            <a:rPr lang="en-US" sz="2000"/>
            <a:t>Improve User Flow</a:t>
          </a:r>
        </a:p>
      </dgm:t>
    </dgm:pt>
    <dgm:pt modelId="{484822E6-8465-884C-89FD-55421D13C88F}" type="parTrans" cxnId="{73CB1207-6E02-D44F-931E-ED177573F2F1}">
      <dgm:prSet/>
      <dgm:spPr/>
      <dgm:t>
        <a:bodyPr/>
        <a:lstStyle/>
        <a:p>
          <a:endParaRPr lang="en-US"/>
        </a:p>
      </dgm:t>
    </dgm:pt>
    <dgm:pt modelId="{301FB0F9-FD1D-5743-BD7B-079CDE08FDA6}" type="sibTrans" cxnId="{73CB1207-6E02-D44F-931E-ED177573F2F1}">
      <dgm:prSet/>
      <dgm:spPr/>
      <dgm:t>
        <a:bodyPr/>
        <a:lstStyle/>
        <a:p>
          <a:endParaRPr lang="en-US"/>
        </a:p>
      </dgm:t>
    </dgm:pt>
    <dgm:pt modelId="{75867D3A-F27F-3548-8145-82326C585F90}">
      <dgm:prSet phldrT="[Text]" custT="1"/>
      <dgm:spPr/>
      <dgm:t>
        <a:bodyPr/>
        <a:lstStyle/>
        <a:p>
          <a:r>
            <a:rPr lang="en-US" sz="2400"/>
            <a:t>Metrics</a:t>
          </a:r>
        </a:p>
      </dgm:t>
    </dgm:pt>
    <dgm:pt modelId="{DD06C621-6647-494B-8B09-F0F2FEC9D38B}" type="parTrans" cxnId="{91572D97-96B2-E24C-8A65-B5DEC6D12B29}">
      <dgm:prSet/>
      <dgm:spPr/>
      <dgm:t>
        <a:bodyPr/>
        <a:lstStyle/>
        <a:p>
          <a:endParaRPr lang="en-US"/>
        </a:p>
      </dgm:t>
    </dgm:pt>
    <dgm:pt modelId="{13310445-3BF4-2148-A306-5C45908AE28C}" type="sibTrans" cxnId="{91572D97-96B2-E24C-8A65-B5DEC6D12B29}">
      <dgm:prSet phldrT="3" phldr="0"/>
      <dgm:spPr/>
    </dgm:pt>
    <dgm:pt modelId="{E55D85D8-253E-E241-A687-B093866560DD}">
      <dgm:prSet phldrT="[Text]" custT="1"/>
      <dgm:spPr/>
      <dgm:t>
        <a:bodyPr/>
        <a:lstStyle/>
        <a:p>
          <a:r>
            <a:rPr lang="en-US" sz="2000"/>
            <a:t>Adoption</a:t>
          </a:r>
        </a:p>
      </dgm:t>
    </dgm:pt>
    <dgm:pt modelId="{9AA48CB5-DD1D-9643-A782-923B5CFAF02B}" type="parTrans" cxnId="{A96085D0-7E98-F247-A17A-B0127EB5B8C4}">
      <dgm:prSet/>
      <dgm:spPr/>
      <dgm:t>
        <a:bodyPr/>
        <a:lstStyle/>
        <a:p>
          <a:endParaRPr lang="en-US"/>
        </a:p>
      </dgm:t>
    </dgm:pt>
    <dgm:pt modelId="{7A12488D-ABE4-7045-8D87-2F2292B75A27}" type="sibTrans" cxnId="{A96085D0-7E98-F247-A17A-B0127EB5B8C4}">
      <dgm:prSet/>
      <dgm:spPr/>
      <dgm:t>
        <a:bodyPr/>
        <a:lstStyle/>
        <a:p>
          <a:endParaRPr lang="en-US"/>
        </a:p>
      </dgm:t>
    </dgm:pt>
    <dgm:pt modelId="{2E458F7C-9C1A-AA4A-BD82-BDBDCAEEF0FE}">
      <dgm:prSet phldrT="[Text]" custT="1"/>
      <dgm:spPr/>
      <dgm:t>
        <a:bodyPr/>
        <a:lstStyle/>
        <a:p>
          <a:r>
            <a:rPr lang="en-US" sz="2000"/>
            <a:t>Impact</a:t>
          </a:r>
        </a:p>
      </dgm:t>
    </dgm:pt>
    <dgm:pt modelId="{CE78A2F4-457B-C048-BFA2-7BB42F6A7640}" type="parTrans" cxnId="{E58CD0A4-BE0E-1244-99B1-553ACC3577DC}">
      <dgm:prSet/>
      <dgm:spPr/>
      <dgm:t>
        <a:bodyPr/>
        <a:lstStyle/>
        <a:p>
          <a:endParaRPr lang="en-US"/>
        </a:p>
      </dgm:t>
    </dgm:pt>
    <dgm:pt modelId="{961A2021-A909-644E-82A5-0836DB8C20DF}" type="sibTrans" cxnId="{E58CD0A4-BE0E-1244-99B1-553ACC3577DC}">
      <dgm:prSet/>
      <dgm:spPr/>
      <dgm:t>
        <a:bodyPr/>
        <a:lstStyle/>
        <a:p>
          <a:endParaRPr lang="en-US"/>
        </a:p>
      </dgm:t>
    </dgm:pt>
    <dgm:pt modelId="{07A36E04-CF7B-4440-B096-220F8869BE9C}">
      <dgm:prSet phldrT="[Text]" custT="1"/>
      <dgm:spPr/>
      <dgm:t>
        <a:bodyPr/>
        <a:lstStyle/>
        <a:p>
          <a:r>
            <a:rPr lang="en-US" sz="2400"/>
            <a:t>GA4</a:t>
          </a:r>
        </a:p>
      </dgm:t>
    </dgm:pt>
    <dgm:pt modelId="{34B86729-4D35-A349-9982-68AE221F82AB}" type="parTrans" cxnId="{BAF75D65-7227-BB4D-9F0C-2103E7CB8C60}">
      <dgm:prSet/>
      <dgm:spPr/>
      <dgm:t>
        <a:bodyPr/>
        <a:lstStyle/>
        <a:p>
          <a:endParaRPr lang="en-US"/>
        </a:p>
      </dgm:t>
    </dgm:pt>
    <dgm:pt modelId="{F6CC92EA-ADFF-1B44-8CBC-39904476D671}" type="sibTrans" cxnId="{BAF75D65-7227-BB4D-9F0C-2103E7CB8C60}">
      <dgm:prSet phldrT="5" phldr="0"/>
      <dgm:spPr/>
    </dgm:pt>
    <dgm:pt modelId="{FE952394-0880-0549-9C6C-416B14DC48CD}">
      <dgm:prSet phldrT="[Text]" custT="1"/>
      <dgm:spPr/>
      <dgm:t>
        <a:bodyPr/>
        <a:lstStyle/>
        <a:p>
          <a:r>
            <a:rPr lang="en-US" sz="2000" b="1"/>
            <a:t>B2B</a:t>
          </a:r>
          <a:r>
            <a:rPr lang="en-US" sz="2000"/>
            <a:t> - Danielo Garcia - The Studio B&amp;H, Kailee Richey - EDU, Rachel DiCastro - School Safety, Ariel Goldman - B2B Hub</a:t>
          </a:r>
        </a:p>
      </dgm:t>
    </dgm:pt>
    <dgm:pt modelId="{33DCBC9A-62C9-094C-A92D-BD388BF998A3}" type="parTrans" cxnId="{F4E0C42C-19F0-6D42-A8BA-B12F9A90E3F9}">
      <dgm:prSet/>
      <dgm:spPr/>
      <dgm:t>
        <a:bodyPr/>
        <a:lstStyle/>
        <a:p>
          <a:endParaRPr lang="en-US"/>
        </a:p>
      </dgm:t>
    </dgm:pt>
    <dgm:pt modelId="{C8DAF2C2-AF7B-2449-B2E3-E08EDD2226A9}" type="sibTrans" cxnId="{F4E0C42C-19F0-6D42-A8BA-B12F9A90E3F9}">
      <dgm:prSet/>
      <dgm:spPr/>
      <dgm:t>
        <a:bodyPr/>
        <a:lstStyle/>
        <a:p>
          <a:endParaRPr lang="en-US"/>
        </a:p>
      </dgm:t>
    </dgm:pt>
    <dgm:pt modelId="{5B05B22C-733C-5348-8BE5-94704A367077}">
      <dgm:prSet phldrT="[Text]" custT="1"/>
      <dgm:spPr/>
      <dgm:t>
        <a:bodyPr/>
        <a:lstStyle/>
        <a:p>
          <a:r>
            <a:rPr lang="en-US" sz="2000"/>
            <a:t>Increase Reactivation</a:t>
          </a:r>
        </a:p>
        <a:p>
          <a:r>
            <a:rPr lang="en-US" sz="2000"/>
            <a:t>Increase Acquisition</a:t>
          </a:r>
        </a:p>
      </dgm:t>
    </dgm:pt>
    <dgm:pt modelId="{515FBE73-2C7F-1F45-8691-8FE1A2D51AFD}" type="parTrans" cxnId="{90EE56DE-C3FA-B544-AB47-782349A04393}">
      <dgm:prSet/>
      <dgm:spPr/>
      <dgm:t>
        <a:bodyPr/>
        <a:lstStyle/>
        <a:p>
          <a:endParaRPr lang="en-US"/>
        </a:p>
      </dgm:t>
    </dgm:pt>
    <dgm:pt modelId="{C8AC27C6-5C08-9045-8AED-33E1A79E4015}" type="sibTrans" cxnId="{90EE56DE-C3FA-B544-AB47-782349A04393}">
      <dgm:prSet/>
      <dgm:spPr/>
      <dgm:t>
        <a:bodyPr/>
        <a:lstStyle/>
        <a:p>
          <a:endParaRPr lang="en-US"/>
        </a:p>
      </dgm:t>
    </dgm:pt>
    <dgm:pt modelId="{D7E1FB30-4EC7-F142-83B6-1846662D3DE0}">
      <dgm:prSet phldrT="[Text]" custT="1"/>
      <dgm:spPr/>
      <dgm:t>
        <a:bodyPr/>
        <a:lstStyle/>
        <a:p>
          <a:r>
            <a:rPr lang="en-US" sz="2000"/>
            <a:t>Improve Search &amp; Findability</a:t>
          </a:r>
        </a:p>
      </dgm:t>
    </dgm:pt>
    <dgm:pt modelId="{9898F444-5325-6E43-BF9C-51085F39471E}" type="parTrans" cxnId="{AE33C6EA-26ED-9041-A0A0-66CB23C298DC}">
      <dgm:prSet/>
      <dgm:spPr/>
      <dgm:t>
        <a:bodyPr/>
        <a:lstStyle/>
        <a:p>
          <a:endParaRPr lang="en-US"/>
        </a:p>
      </dgm:t>
    </dgm:pt>
    <dgm:pt modelId="{E8EC6E11-E1AD-3341-8552-AC80B7916ED5}" type="sibTrans" cxnId="{AE33C6EA-26ED-9041-A0A0-66CB23C298DC}">
      <dgm:prSet/>
      <dgm:spPr/>
      <dgm:t>
        <a:bodyPr/>
        <a:lstStyle/>
        <a:p>
          <a:endParaRPr lang="en-US"/>
        </a:p>
      </dgm:t>
    </dgm:pt>
    <dgm:pt modelId="{AD87869B-3A0D-0E4F-A03C-1032C0B93A0C}">
      <dgm:prSet phldrT="[Text]" custT="1"/>
      <dgm:spPr/>
      <dgm:t>
        <a:bodyPr/>
        <a:lstStyle/>
        <a:p>
          <a:r>
            <a:rPr lang="en-US" sz="2400"/>
            <a:t>Components</a:t>
          </a:r>
        </a:p>
      </dgm:t>
    </dgm:pt>
    <dgm:pt modelId="{A470B52C-2749-1341-82BE-26C5880A6F15}" type="parTrans" cxnId="{5AB946CA-266D-B84B-B48D-B1827EDC2FA0}">
      <dgm:prSet/>
      <dgm:spPr/>
      <dgm:t>
        <a:bodyPr/>
        <a:lstStyle/>
        <a:p>
          <a:endParaRPr lang="en-US"/>
        </a:p>
      </dgm:t>
    </dgm:pt>
    <dgm:pt modelId="{18D4B0C3-5BE2-8D46-AD72-504050400BBD}" type="sibTrans" cxnId="{5AB946CA-266D-B84B-B48D-B1827EDC2FA0}">
      <dgm:prSet phldrT="4" phldr="0"/>
      <dgm:spPr/>
    </dgm:pt>
    <dgm:pt modelId="{3EAB79CB-EB45-9649-A2F3-0A2209C06874}">
      <dgm:prSet phldrT="[Text]" custT="1"/>
      <dgm:spPr/>
      <dgm:t>
        <a:bodyPr/>
        <a:lstStyle/>
        <a:p>
          <a:r>
            <a:rPr lang="en-US" sz="2000"/>
            <a:t>PLP</a:t>
          </a:r>
        </a:p>
      </dgm:t>
    </dgm:pt>
    <dgm:pt modelId="{1FA7D950-1903-3040-A3C0-4A08485F104D}" type="parTrans" cxnId="{9F62EE6A-D3BF-1148-8E01-F1AD96A0E9D6}">
      <dgm:prSet/>
      <dgm:spPr/>
      <dgm:t>
        <a:bodyPr/>
        <a:lstStyle/>
        <a:p>
          <a:endParaRPr lang="en-US"/>
        </a:p>
      </dgm:t>
    </dgm:pt>
    <dgm:pt modelId="{23B7371F-0F85-CE4D-A120-1AA6784283D7}" type="sibTrans" cxnId="{9F62EE6A-D3BF-1148-8E01-F1AD96A0E9D6}">
      <dgm:prSet/>
      <dgm:spPr/>
      <dgm:t>
        <a:bodyPr/>
        <a:lstStyle/>
        <a:p>
          <a:endParaRPr lang="en-US"/>
        </a:p>
      </dgm:t>
    </dgm:pt>
    <dgm:pt modelId="{D08992F8-BDBB-004F-AECC-50B975A4ED3B}">
      <dgm:prSet phldrT="[Text]" custT="1"/>
      <dgm:spPr/>
      <dgm:t>
        <a:bodyPr/>
        <a:lstStyle/>
        <a:p>
          <a:r>
            <a:rPr lang="en-US" sz="2000"/>
            <a:t>PDP</a:t>
          </a:r>
        </a:p>
      </dgm:t>
    </dgm:pt>
    <dgm:pt modelId="{A0F8F0AF-4CE2-404A-88D3-269E11487AD2}" type="parTrans" cxnId="{B446557E-1B10-2A45-BA45-E5DB36C7E1C4}">
      <dgm:prSet/>
      <dgm:spPr/>
      <dgm:t>
        <a:bodyPr/>
        <a:lstStyle/>
        <a:p>
          <a:endParaRPr lang="en-US"/>
        </a:p>
      </dgm:t>
    </dgm:pt>
    <dgm:pt modelId="{3EB103D6-7719-5B4C-8C65-95270BFFAA33}" type="sibTrans" cxnId="{B446557E-1B10-2A45-BA45-E5DB36C7E1C4}">
      <dgm:prSet/>
      <dgm:spPr/>
      <dgm:t>
        <a:bodyPr/>
        <a:lstStyle/>
        <a:p>
          <a:endParaRPr lang="en-US"/>
        </a:p>
      </dgm:t>
    </dgm:pt>
    <dgm:pt modelId="{1A2E09FE-5BAD-0043-8906-FAACA506B185}">
      <dgm:prSet phldrT="[Text]" custT="1"/>
      <dgm:spPr/>
      <dgm:t>
        <a:bodyPr/>
        <a:lstStyle/>
        <a:p>
          <a:r>
            <a:rPr lang="en-US" sz="2000"/>
            <a:t>CTA</a:t>
          </a:r>
        </a:p>
      </dgm:t>
    </dgm:pt>
    <dgm:pt modelId="{19E63FC8-E0B6-4748-88C1-BF10C0F9EE56}" type="parTrans" cxnId="{D6ED251E-D4C4-1649-B0E1-0BC2D348FB2B}">
      <dgm:prSet/>
      <dgm:spPr/>
      <dgm:t>
        <a:bodyPr/>
        <a:lstStyle/>
        <a:p>
          <a:endParaRPr lang="en-US"/>
        </a:p>
      </dgm:t>
    </dgm:pt>
    <dgm:pt modelId="{3E6378C4-CF5F-D142-9A86-55C1850B8672}" type="sibTrans" cxnId="{D6ED251E-D4C4-1649-B0E1-0BC2D348FB2B}">
      <dgm:prSet/>
      <dgm:spPr/>
      <dgm:t>
        <a:bodyPr/>
        <a:lstStyle/>
        <a:p>
          <a:endParaRPr lang="en-US"/>
        </a:p>
      </dgm:t>
    </dgm:pt>
    <dgm:pt modelId="{345DA019-8CD4-4940-9558-C53C95994DC5}">
      <dgm:prSet phldrT="[Text]" custT="1"/>
      <dgm:spPr/>
      <dgm:t>
        <a:bodyPr/>
        <a:lstStyle/>
        <a:p>
          <a:r>
            <a:rPr lang="en-US" sz="2000"/>
            <a:t>Banner</a:t>
          </a:r>
        </a:p>
      </dgm:t>
    </dgm:pt>
    <dgm:pt modelId="{98C89D6D-25C2-5D43-BD59-03CAD0D78E9D}" type="parTrans" cxnId="{65D20BE9-F014-C347-B877-5A1339179F2D}">
      <dgm:prSet/>
      <dgm:spPr/>
      <dgm:t>
        <a:bodyPr/>
        <a:lstStyle/>
        <a:p>
          <a:endParaRPr lang="en-US"/>
        </a:p>
      </dgm:t>
    </dgm:pt>
    <dgm:pt modelId="{889A38C9-ED19-6949-9AD2-F8B1E4CC8C4B}" type="sibTrans" cxnId="{65D20BE9-F014-C347-B877-5A1339179F2D}">
      <dgm:prSet/>
      <dgm:spPr/>
      <dgm:t>
        <a:bodyPr/>
        <a:lstStyle/>
        <a:p>
          <a:endParaRPr lang="en-US"/>
        </a:p>
      </dgm:t>
    </dgm:pt>
    <dgm:pt modelId="{31E89515-660A-CE40-BB52-7F8A1FB0FD4D}">
      <dgm:prSet phldrT="[Text]" custT="1"/>
      <dgm:spPr/>
      <dgm:t>
        <a:bodyPr/>
        <a:lstStyle/>
        <a:p>
          <a:r>
            <a:rPr lang="en-US" sz="2000"/>
            <a:t>Event Name</a:t>
          </a:r>
        </a:p>
      </dgm:t>
    </dgm:pt>
    <dgm:pt modelId="{860FC772-53AD-A445-8420-E5CFCF3C76F9}" type="parTrans" cxnId="{28E5340D-6B7A-1D43-BC9E-325CD297BCF0}">
      <dgm:prSet/>
      <dgm:spPr/>
      <dgm:t>
        <a:bodyPr/>
        <a:lstStyle/>
        <a:p>
          <a:endParaRPr lang="en-US"/>
        </a:p>
      </dgm:t>
    </dgm:pt>
    <dgm:pt modelId="{466CAD51-328E-3F49-B4D5-F0A95B629272}" type="sibTrans" cxnId="{28E5340D-6B7A-1D43-BC9E-325CD297BCF0}">
      <dgm:prSet/>
      <dgm:spPr/>
      <dgm:t>
        <a:bodyPr/>
        <a:lstStyle/>
        <a:p>
          <a:endParaRPr lang="en-US"/>
        </a:p>
      </dgm:t>
    </dgm:pt>
    <dgm:pt modelId="{E1F05352-CE41-8740-918E-12446EB6A27B}">
      <dgm:prSet phldrT="[Text]" custT="1"/>
      <dgm:spPr/>
      <dgm:t>
        <a:bodyPr/>
        <a:lstStyle/>
        <a:p>
          <a:r>
            <a:rPr lang="en-US" sz="2000"/>
            <a:t>Component</a:t>
          </a:r>
        </a:p>
      </dgm:t>
    </dgm:pt>
    <dgm:pt modelId="{3827E87F-4F1B-D442-88F4-AFAC62A4CCA0}" type="parTrans" cxnId="{6E55E2D5-FB42-9D46-94F3-CF72C50EF4EA}">
      <dgm:prSet/>
      <dgm:spPr/>
      <dgm:t>
        <a:bodyPr/>
        <a:lstStyle/>
        <a:p>
          <a:endParaRPr lang="en-US"/>
        </a:p>
      </dgm:t>
    </dgm:pt>
    <dgm:pt modelId="{5ED47843-BE80-F745-8082-40A6889AC4CE}" type="sibTrans" cxnId="{6E55E2D5-FB42-9D46-94F3-CF72C50EF4EA}">
      <dgm:prSet/>
      <dgm:spPr/>
      <dgm:t>
        <a:bodyPr/>
        <a:lstStyle/>
        <a:p>
          <a:endParaRPr lang="en-US"/>
        </a:p>
      </dgm:t>
    </dgm:pt>
    <dgm:pt modelId="{B632ACC1-E52B-8F43-8D77-1900AD2B68B3}">
      <dgm:prSet phldrT="[Text]" custT="1"/>
      <dgm:spPr/>
      <dgm:t>
        <a:bodyPr/>
        <a:lstStyle/>
        <a:p>
          <a:r>
            <a:rPr lang="en-US" sz="2000"/>
            <a:t>Page Type</a:t>
          </a:r>
        </a:p>
      </dgm:t>
    </dgm:pt>
    <dgm:pt modelId="{4F521BE2-E43D-B44A-BE9C-2C4BAB0A084B}" type="parTrans" cxnId="{66CED186-16CB-9A48-9110-2EC589BFF850}">
      <dgm:prSet/>
      <dgm:spPr/>
      <dgm:t>
        <a:bodyPr/>
        <a:lstStyle/>
        <a:p>
          <a:endParaRPr lang="en-US"/>
        </a:p>
      </dgm:t>
    </dgm:pt>
    <dgm:pt modelId="{EBBE2E8A-89C2-154B-B269-BBBC85DDB0F8}" type="sibTrans" cxnId="{66CED186-16CB-9A48-9110-2EC589BFF850}">
      <dgm:prSet/>
      <dgm:spPr/>
      <dgm:t>
        <a:bodyPr/>
        <a:lstStyle/>
        <a:p>
          <a:endParaRPr lang="en-US"/>
        </a:p>
      </dgm:t>
    </dgm:pt>
    <dgm:pt modelId="{8EEC38C7-6412-C541-BC32-51C0201A0599}">
      <dgm:prSet phldrT="[Text]" custT="1"/>
      <dgm:spPr/>
      <dgm:t>
        <a:bodyPr/>
        <a:lstStyle/>
        <a:p>
          <a:r>
            <a:rPr lang="en-US" sz="2400"/>
            <a:t>Roadmap </a:t>
          </a:r>
        </a:p>
      </dgm:t>
    </dgm:pt>
    <dgm:pt modelId="{77DE5599-143B-1B46-B450-CDDBB84B4E5C}" type="parTrans" cxnId="{AA29C513-7A12-2B44-A8F1-7067B0F1BD1F}">
      <dgm:prSet/>
      <dgm:spPr/>
      <dgm:t>
        <a:bodyPr/>
        <a:lstStyle/>
        <a:p>
          <a:endParaRPr lang="en-US"/>
        </a:p>
      </dgm:t>
    </dgm:pt>
    <dgm:pt modelId="{42B584B2-1583-9C4D-B654-1D9DC098FEAC}" type="sibTrans" cxnId="{AA29C513-7A12-2B44-A8F1-7067B0F1BD1F}">
      <dgm:prSet/>
      <dgm:spPr/>
      <dgm:t>
        <a:bodyPr/>
        <a:lstStyle/>
        <a:p>
          <a:endParaRPr lang="en-US"/>
        </a:p>
      </dgm:t>
    </dgm:pt>
    <dgm:pt modelId="{838F359B-E822-CA44-8C8F-C0663DD10C49}">
      <dgm:prSet/>
      <dgm:spPr/>
      <dgm:t>
        <a:bodyPr/>
        <a:lstStyle/>
        <a:p>
          <a:endParaRPr lang="en-US"/>
        </a:p>
      </dgm:t>
    </dgm:pt>
    <dgm:pt modelId="{5E36BF8E-99DF-D74B-875E-B8B52195D98F}" type="parTrans" cxnId="{A6A6CF71-7B6B-4E4C-9C2E-C713A3EDDA06}">
      <dgm:prSet/>
      <dgm:spPr/>
      <dgm:t>
        <a:bodyPr/>
        <a:lstStyle/>
        <a:p>
          <a:endParaRPr lang="en-US"/>
        </a:p>
      </dgm:t>
    </dgm:pt>
    <dgm:pt modelId="{38B20DA5-B9BF-FD41-9D01-98BA219291ED}" type="sibTrans" cxnId="{A6A6CF71-7B6B-4E4C-9C2E-C713A3EDDA06}">
      <dgm:prSet/>
      <dgm:spPr/>
      <dgm:t>
        <a:bodyPr/>
        <a:lstStyle/>
        <a:p>
          <a:endParaRPr lang="en-US"/>
        </a:p>
      </dgm:t>
    </dgm:pt>
    <dgm:pt modelId="{5F9EC1CF-A5DB-234B-B634-A3D94C54CBF6}" type="pres">
      <dgm:prSet presAssocID="{F1612F52-234C-2141-8C7B-7D54F4D59076}" presName="Name0" presStyleCnt="0">
        <dgm:presLayoutVars>
          <dgm:dir/>
          <dgm:animLvl val="lvl"/>
          <dgm:resizeHandles val="exact"/>
        </dgm:presLayoutVars>
      </dgm:prSet>
      <dgm:spPr/>
    </dgm:pt>
    <dgm:pt modelId="{4D2723EA-C21F-5D4E-8004-31926F4D1343}" type="pres">
      <dgm:prSet presAssocID="{E73A88CA-1EB8-294F-8ECF-07473D6D17A5}" presName="composite" presStyleCnt="0"/>
      <dgm:spPr/>
    </dgm:pt>
    <dgm:pt modelId="{A43AEC31-881E-464B-8139-BAED7279CB01}" type="pres">
      <dgm:prSet presAssocID="{E73A88CA-1EB8-294F-8ECF-07473D6D17A5}" presName="parTx" presStyleLbl="alignNode1" presStyleIdx="0" presStyleCnt="6">
        <dgm:presLayoutVars>
          <dgm:chMax val="0"/>
          <dgm:chPref val="0"/>
        </dgm:presLayoutVars>
      </dgm:prSet>
      <dgm:spPr/>
    </dgm:pt>
    <dgm:pt modelId="{ABCEB2D3-D845-5246-9E2C-4E01AB5341F0}" type="pres">
      <dgm:prSet presAssocID="{E73A88CA-1EB8-294F-8ECF-07473D6D17A5}" presName="bgOutline" presStyleLbl="fgAcc1" presStyleIdx="0" presStyleCnt="6">
        <dgm:presLayoutVars>
          <dgm:bulletEnabled/>
        </dgm:presLayoutVars>
      </dgm:prSet>
      <dgm:spPr/>
    </dgm:pt>
    <dgm:pt modelId="{643C81B4-41F8-3848-A745-B552BEB90497}" type="pres">
      <dgm:prSet presAssocID="{5BA1A021-156D-9343-9D4D-2571E42F1D30}" presName="space" presStyleCnt="0"/>
      <dgm:spPr/>
    </dgm:pt>
    <dgm:pt modelId="{D26ABEA2-C65B-D244-B802-5E27C9F13AD8}" type="pres">
      <dgm:prSet presAssocID="{BEB8CCBC-00DD-D445-AD9A-A5611DF3A8F0}" presName="composite" presStyleCnt="0"/>
      <dgm:spPr/>
    </dgm:pt>
    <dgm:pt modelId="{6B12D967-7C08-0E46-A9A8-85EA6BDA5BC8}" type="pres">
      <dgm:prSet presAssocID="{BEB8CCBC-00DD-D445-AD9A-A5611DF3A8F0}" presName="parTx" presStyleLbl="alignNode1" presStyleIdx="1" presStyleCnt="6">
        <dgm:presLayoutVars>
          <dgm:chMax val="0"/>
          <dgm:chPref val="0"/>
        </dgm:presLayoutVars>
      </dgm:prSet>
      <dgm:spPr/>
    </dgm:pt>
    <dgm:pt modelId="{E8DCCF41-854F-2F4F-ACB7-35F95962CD9C}" type="pres">
      <dgm:prSet presAssocID="{BEB8CCBC-00DD-D445-AD9A-A5611DF3A8F0}" presName="bgOutline" presStyleLbl="fgAcc1" presStyleIdx="1" presStyleCnt="6">
        <dgm:presLayoutVars>
          <dgm:bulletEnabled/>
        </dgm:presLayoutVars>
      </dgm:prSet>
      <dgm:spPr/>
    </dgm:pt>
    <dgm:pt modelId="{CB6E908F-D245-244E-972C-6114C51F1079}" type="pres">
      <dgm:prSet presAssocID="{696FEF52-F6CE-B742-8ABE-D54CCAB327C4}" presName="space" presStyleCnt="0"/>
      <dgm:spPr/>
    </dgm:pt>
    <dgm:pt modelId="{7D4C02D7-4B10-ED4B-B3EE-1CA6A081BF82}" type="pres">
      <dgm:prSet presAssocID="{8EEC38C7-6412-C541-BC32-51C0201A0599}" presName="composite" presStyleCnt="0"/>
      <dgm:spPr/>
    </dgm:pt>
    <dgm:pt modelId="{516746DD-69D0-E74E-B2D3-3C2783191F3B}" type="pres">
      <dgm:prSet presAssocID="{8EEC38C7-6412-C541-BC32-51C0201A0599}" presName="parTx" presStyleLbl="alignNode1" presStyleIdx="2" presStyleCnt="6">
        <dgm:presLayoutVars>
          <dgm:chMax val="0"/>
          <dgm:chPref val="0"/>
        </dgm:presLayoutVars>
      </dgm:prSet>
      <dgm:spPr/>
    </dgm:pt>
    <dgm:pt modelId="{D46AE679-08A1-E94C-87A0-6593CFDBFB5C}" type="pres">
      <dgm:prSet presAssocID="{8EEC38C7-6412-C541-BC32-51C0201A0599}" presName="bgOutline" presStyleLbl="fgAcc1" presStyleIdx="2" presStyleCnt="6">
        <dgm:presLayoutVars>
          <dgm:bulletEnabled/>
        </dgm:presLayoutVars>
      </dgm:prSet>
      <dgm:spPr/>
    </dgm:pt>
    <dgm:pt modelId="{AC08F8DD-2362-DA4D-B1FB-6C8E1C5FE993}" type="pres">
      <dgm:prSet presAssocID="{42B584B2-1583-9C4D-B654-1D9DC098FEAC}" presName="space" presStyleCnt="0"/>
      <dgm:spPr/>
    </dgm:pt>
    <dgm:pt modelId="{650D170A-E5B8-0645-9741-DC65EFAB4FDA}" type="pres">
      <dgm:prSet presAssocID="{75867D3A-F27F-3548-8145-82326C585F90}" presName="composite" presStyleCnt="0"/>
      <dgm:spPr/>
    </dgm:pt>
    <dgm:pt modelId="{CBA54FD0-8649-8B46-8731-481C940FB1B5}" type="pres">
      <dgm:prSet presAssocID="{75867D3A-F27F-3548-8145-82326C585F90}" presName="parTx" presStyleLbl="alignNode1" presStyleIdx="3" presStyleCnt="6">
        <dgm:presLayoutVars>
          <dgm:chMax val="0"/>
          <dgm:chPref val="0"/>
        </dgm:presLayoutVars>
      </dgm:prSet>
      <dgm:spPr/>
    </dgm:pt>
    <dgm:pt modelId="{7C72AFED-13FD-FE41-98E6-4CA8FE290E66}" type="pres">
      <dgm:prSet presAssocID="{75867D3A-F27F-3548-8145-82326C585F90}" presName="bgOutline" presStyleLbl="fgAcc1" presStyleIdx="3" presStyleCnt="6" custLinFactNeighborY="-1299">
        <dgm:presLayoutVars>
          <dgm:bulletEnabled/>
        </dgm:presLayoutVars>
      </dgm:prSet>
      <dgm:spPr/>
    </dgm:pt>
    <dgm:pt modelId="{9BC575F5-CC84-DD43-9EED-CD21321BA647}" type="pres">
      <dgm:prSet presAssocID="{13310445-3BF4-2148-A306-5C45908AE28C}" presName="space" presStyleCnt="0"/>
      <dgm:spPr/>
    </dgm:pt>
    <dgm:pt modelId="{E8EE9121-D896-6346-9816-7D22F0E6C8D7}" type="pres">
      <dgm:prSet presAssocID="{AD87869B-3A0D-0E4F-A03C-1032C0B93A0C}" presName="composite" presStyleCnt="0"/>
      <dgm:spPr/>
    </dgm:pt>
    <dgm:pt modelId="{82EFCBE4-F483-F249-A7D0-CFFF85B0EFAC}" type="pres">
      <dgm:prSet presAssocID="{AD87869B-3A0D-0E4F-A03C-1032C0B93A0C}" presName="parTx" presStyleLbl="alignNode1" presStyleIdx="4" presStyleCnt="6">
        <dgm:presLayoutVars>
          <dgm:chMax val="0"/>
          <dgm:chPref val="0"/>
        </dgm:presLayoutVars>
      </dgm:prSet>
      <dgm:spPr/>
    </dgm:pt>
    <dgm:pt modelId="{201D1C0A-4E9D-0945-917F-83CC8E219E95}" type="pres">
      <dgm:prSet presAssocID="{AD87869B-3A0D-0E4F-A03C-1032C0B93A0C}" presName="bgOutline" presStyleLbl="fgAcc1" presStyleIdx="4" presStyleCnt="6">
        <dgm:presLayoutVars>
          <dgm:bulletEnabled/>
        </dgm:presLayoutVars>
      </dgm:prSet>
      <dgm:spPr/>
    </dgm:pt>
    <dgm:pt modelId="{5441F07C-69F1-674C-8D10-38B77184C3A8}" type="pres">
      <dgm:prSet presAssocID="{18D4B0C3-5BE2-8D46-AD72-504050400BBD}" presName="space" presStyleCnt="0"/>
      <dgm:spPr/>
    </dgm:pt>
    <dgm:pt modelId="{F63B712E-1E2C-2A48-9340-5DA4226F474B}" type="pres">
      <dgm:prSet presAssocID="{07A36E04-CF7B-4440-B096-220F8869BE9C}" presName="composite" presStyleCnt="0"/>
      <dgm:spPr/>
    </dgm:pt>
    <dgm:pt modelId="{E05A329D-2B7C-CA4D-B7B2-F8298E500F2A}" type="pres">
      <dgm:prSet presAssocID="{07A36E04-CF7B-4440-B096-220F8869BE9C}" presName="parTx" presStyleLbl="alignNode1" presStyleIdx="5" presStyleCnt="6">
        <dgm:presLayoutVars>
          <dgm:chMax val="0"/>
          <dgm:chPref val="0"/>
        </dgm:presLayoutVars>
      </dgm:prSet>
      <dgm:spPr/>
    </dgm:pt>
    <dgm:pt modelId="{46A67BDC-C2E4-7642-8FA3-AFD58E487B49}" type="pres">
      <dgm:prSet presAssocID="{07A36E04-CF7B-4440-B096-220F8869BE9C}" presName="bgOutline" presStyleLbl="fgAcc1" presStyleIdx="5" presStyleCnt="6">
        <dgm:presLayoutVars>
          <dgm:bulletEnabled/>
        </dgm:presLayoutVars>
      </dgm:prSet>
      <dgm:spPr/>
    </dgm:pt>
  </dgm:ptLst>
  <dgm:cxnLst>
    <dgm:cxn modelId="{800C0902-B52D-9240-A36E-F7A42CA0F06E}" type="presOf" srcId="{91087808-874D-1744-998A-127D7DC581F1}" destId="{E8DCCF41-854F-2F4F-ACB7-35F95962CD9C}" srcOrd="0" destOrd="1" presId="urn:microsoft.com/office/officeart/2024/layout/HorizontalActionList"/>
    <dgm:cxn modelId="{73CB1207-6E02-D44F-931E-ED177573F2F1}" srcId="{BEB8CCBC-00DD-D445-AD9A-A5611DF3A8F0}" destId="{91087808-874D-1744-998A-127D7DC581F1}" srcOrd="1" destOrd="0" parTransId="{484822E6-8465-884C-89FD-55421D13C88F}" sibTransId="{301FB0F9-FD1D-5743-BD7B-079CDE08FDA6}"/>
    <dgm:cxn modelId="{36788808-543A-C148-9F6C-B6EB58DD6CBB}" srcId="{F1612F52-234C-2141-8C7B-7D54F4D59076}" destId="{BEB8CCBC-00DD-D445-AD9A-A5611DF3A8F0}" srcOrd="1" destOrd="0" parTransId="{A184216D-A49D-AF4E-B7DC-60BF70A91683}" sibTransId="{696FEF52-F6CE-B742-8ABE-D54CCAB327C4}"/>
    <dgm:cxn modelId="{28E5340D-6B7A-1D43-BC9E-325CD297BCF0}" srcId="{07A36E04-CF7B-4440-B096-220F8869BE9C}" destId="{31E89515-660A-CE40-BB52-7F8A1FB0FD4D}" srcOrd="0" destOrd="0" parTransId="{860FC772-53AD-A445-8420-E5CFCF3C76F9}" sibTransId="{466CAD51-328E-3F49-B4D5-F0A95B629272}"/>
    <dgm:cxn modelId="{A5D4F30E-C1F7-A542-B0CA-99C7FDA09E9A}" type="presOf" srcId="{D7E1FB30-4EC7-F142-83B6-1846662D3DE0}" destId="{E8DCCF41-854F-2F4F-ACB7-35F95962CD9C}" srcOrd="0" destOrd="3" presId="urn:microsoft.com/office/officeart/2024/layout/HorizontalActionList"/>
    <dgm:cxn modelId="{AA29C513-7A12-2B44-A8F1-7067B0F1BD1F}" srcId="{F1612F52-234C-2141-8C7B-7D54F4D59076}" destId="{8EEC38C7-6412-C541-BC32-51C0201A0599}" srcOrd="2" destOrd="0" parTransId="{77DE5599-143B-1B46-B450-CDDBB84B4E5C}" sibTransId="{42B584B2-1583-9C4D-B654-1D9DC098FEAC}"/>
    <dgm:cxn modelId="{C162211C-8BD6-4D4D-B4CB-B1C5793A630B}" type="presOf" srcId="{3EAB79CB-EB45-9649-A2F3-0A2209C06874}" destId="{201D1C0A-4E9D-0945-917F-83CC8E219E95}" srcOrd="0" destOrd="0" presId="urn:microsoft.com/office/officeart/2024/layout/HorizontalActionList"/>
    <dgm:cxn modelId="{D6ED251E-D4C4-1649-B0E1-0BC2D348FB2B}" srcId="{AD87869B-3A0D-0E4F-A03C-1032C0B93A0C}" destId="{1A2E09FE-5BAD-0043-8906-FAACA506B185}" srcOrd="2" destOrd="0" parTransId="{19E63FC8-E0B6-4748-88C1-BF10C0F9EE56}" sibTransId="{3E6378C4-CF5F-D142-9A86-55C1850B8672}"/>
    <dgm:cxn modelId="{F4E0C42C-19F0-6D42-A8BA-B12F9A90E3F9}" srcId="{E73A88CA-1EB8-294F-8ECF-07473D6D17A5}" destId="{FE952394-0880-0549-9C6C-416B14DC48CD}" srcOrd="1" destOrd="0" parTransId="{33DCBC9A-62C9-094C-A92D-BD388BF998A3}" sibTransId="{C8DAF2C2-AF7B-2449-B2E3-E08EDD2226A9}"/>
    <dgm:cxn modelId="{EA97DE2F-DDA0-7541-9E8F-7D044246F42F}" type="presOf" srcId="{07A36E04-CF7B-4440-B096-220F8869BE9C}" destId="{E05A329D-2B7C-CA4D-B7B2-F8298E500F2A}" srcOrd="0" destOrd="0" presId="urn:microsoft.com/office/officeart/2024/layout/HorizontalActionList"/>
    <dgm:cxn modelId="{54974C38-1989-3241-9057-CA79D878C4C1}" type="presOf" srcId="{CCDE4DFD-2E1B-5D41-B803-10B2C6B794D5}" destId="{ABCEB2D3-D845-5246-9E2C-4E01AB5341F0}" srcOrd="0" destOrd="0" presId="urn:microsoft.com/office/officeart/2024/layout/HorizontalActionList"/>
    <dgm:cxn modelId="{DF959141-E3D1-A84C-BD91-414748C52B29}" type="presOf" srcId="{345DA019-8CD4-4940-9558-C53C95994DC5}" destId="{201D1C0A-4E9D-0945-917F-83CC8E219E95}" srcOrd="0" destOrd="3" presId="urn:microsoft.com/office/officeart/2024/layout/HorizontalActionList"/>
    <dgm:cxn modelId="{94CC284E-94EE-A24D-9E25-15E2C0CB2A73}" type="presOf" srcId="{E55D85D8-253E-E241-A687-B093866560DD}" destId="{7C72AFED-13FD-FE41-98E6-4CA8FE290E66}" srcOrd="0" destOrd="0" presId="urn:microsoft.com/office/officeart/2024/layout/HorizontalActionList"/>
    <dgm:cxn modelId="{BAF75D65-7227-BB4D-9F0C-2103E7CB8C60}" srcId="{F1612F52-234C-2141-8C7B-7D54F4D59076}" destId="{07A36E04-CF7B-4440-B096-220F8869BE9C}" srcOrd="5" destOrd="0" parTransId="{34B86729-4D35-A349-9982-68AE221F82AB}" sibTransId="{F6CC92EA-ADFF-1B44-8CBC-39904476D671}"/>
    <dgm:cxn modelId="{C69E2866-2D4B-F343-B19B-BF58E2B83B49}" type="presOf" srcId="{E1F05352-CE41-8740-918E-12446EB6A27B}" destId="{46A67BDC-C2E4-7642-8FA3-AFD58E487B49}" srcOrd="0" destOrd="1" presId="urn:microsoft.com/office/officeart/2024/layout/HorizontalActionList"/>
    <dgm:cxn modelId="{1BD51867-641A-F747-AAF8-960E30C2F478}" srcId="{E73A88CA-1EB8-294F-8ECF-07473D6D17A5}" destId="{4E174DEB-3FE1-C847-B335-69EEA40C1AFF}" srcOrd="2" destOrd="0" parTransId="{EB42EF59-8CFC-9744-85C1-A94BE6FD5AD4}" sibTransId="{87B305F3-CA94-A748-881D-F93F291E111F}"/>
    <dgm:cxn modelId="{9F62EE6A-D3BF-1148-8E01-F1AD96A0E9D6}" srcId="{AD87869B-3A0D-0E4F-A03C-1032C0B93A0C}" destId="{3EAB79CB-EB45-9649-A2F3-0A2209C06874}" srcOrd="0" destOrd="0" parTransId="{1FA7D950-1903-3040-A3C0-4A08485F104D}" sibTransId="{23B7371F-0F85-CE4D-A120-1AA6784283D7}"/>
    <dgm:cxn modelId="{ECE3156C-FD20-E941-9CC3-2C0A22C597E4}" type="presOf" srcId="{2E458F7C-9C1A-AA4A-BD82-BDBDCAEEF0FE}" destId="{7C72AFED-13FD-FE41-98E6-4CA8FE290E66}" srcOrd="0" destOrd="1" presId="urn:microsoft.com/office/officeart/2024/layout/HorizontalActionList"/>
    <dgm:cxn modelId="{A6A6CF71-7B6B-4E4C-9C2E-C713A3EDDA06}" srcId="{8EEC38C7-6412-C541-BC32-51C0201A0599}" destId="{838F359B-E822-CA44-8C8F-C0663DD10C49}" srcOrd="0" destOrd="0" parTransId="{5E36BF8E-99DF-D74B-875E-B8B52195D98F}" sibTransId="{38B20DA5-B9BF-FD41-9D01-98BA219291ED}"/>
    <dgm:cxn modelId="{03B2057B-7019-7840-9CE9-A72F763BB50C}" srcId="{BEB8CCBC-00DD-D445-AD9A-A5611DF3A8F0}" destId="{EE405F44-65F1-074A-B2CF-AC9E1093FF81}" srcOrd="0" destOrd="0" parTransId="{D5A786D1-B84C-AE44-B0C1-ACE319630D0A}" sibTransId="{E70133D5-01DB-4C4A-BE1D-1ADB93D0DC72}"/>
    <dgm:cxn modelId="{B446557E-1B10-2A45-BA45-E5DB36C7E1C4}" srcId="{AD87869B-3A0D-0E4F-A03C-1032C0B93A0C}" destId="{D08992F8-BDBB-004F-AECC-50B975A4ED3B}" srcOrd="1" destOrd="0" parTransId="{A0F8F0AF-4CE2-404A-88D3-269E11487AD2}" sibTransId="{3EB103D6-7719-5B4C-8C65-95270BFFAA33}"/>
    <dgm:cxn modelId="{865E5083-91BE-B54E-988C-3BE857D53010}" type="presOf" srcId="{AD87869B-3A0D-0E4F-A03C-1032C0B93A0C}" destId="{82EFCBE4-F483-F249-A7D0-CFFF85B0EFAC}" srcOrd="0" destOrd="0" presId="urn:microsoft.com/office/officeart/2024/layout/HorizontalActionList"/>
    <dgm:cxn modelId="{845C7185-E4CF-594A-9A28-A833AFD74674}" type="presOf" srcId="{75867D3A-F27F-3548-8145-82326C585F90}" destId="{CBA54FD0-8649-8B46-8731-481C940FB1B5}" srcOrd="0" destOrd="0" presId="urn:microsoft.com/office/officeart/2024/layout/HorizontalActionList"/>
    <dgm:cxn modelId="{66CED186-16CB-9A48-9110-2EC589BFF850}" srcId="{07A36E04-CF7B-4440-B096-220F8869BE9C}" destId="{B632ACC1-E52B-8F43-8D77-1900AD2B68B3}" srcOrd="2" destOrd="0" parTransId="{4F521BE2-E43D-B44A-BE9C-2C4BAB0A084B}" sibTransId="{EBBE2E8A-89C2-154B-B269-BBBC85DDB0F8}"/>
    <dgm:cxn modelId="{66807294-9215-EA47-A850-1A707D9696EF}" type="presOf" srcId="{D08992F8-BDBB-004F-AECC-50B975A4ED3B}" destId="{201D1C0A-4E9D-0945-917F-83CC8E219E95}" srcOrd="0" destOrd="1" presId="urn:microsoft.com/office/officeart/2024/layout/HorizontalActionList"/>
    <dgm:cxn modelId="{B6AF1A96-C7B0-2944-A1B4-E05547466A42}" srcId="{F1612F52-234C-2141-8C7B-7D54F4D59076}" destId="{E73A88CA-1EB8-294F-8ECF-07473D6D17A5}" srcOrd="0" destOrd="0" parTransId="{45CBB9AD-B352-AD4A-9CF0-14D2076A430F}" sibTransId="{5BA1A021-156D-9343-9D4D-2571E42F1D30}"/>
    <dgm:cxn modelId="{91572D97-96B2-E24C-8A65-B5DEC6D12B29}" srcId="{F1612F52-234C-2141-8C7B-7D54F4D59076}" destId="{75867D3A-F27F-3548-8145-82326C585F90}" srcOrd="3" destOrd="0" parTransId="{DD06C621-6647-494B-8B09-F0F2FEC9D38B}" sibTransId="{13310445-3BF4-2148-A306-5C45908AE28C}"/>
    <dgm:cxn modelId="{0186EA98-6212-334E-BB68-A67A874C6F52}" type="presOf" srcId="{E73A88CA-1EB8-294F-8ECF-07473D6D17A5}" destId="{A43AEC31-881E-464B-8139-BAED7279CB01}" srcOrd="0" destOrd="0" presId="urn:microsoft.com/office/officeart/2024/layout/HorizontalActionList"/>
    <dgm:cxn modelId="{D188119D-70FD-4440-BC13-61322720E7B1}" type="presOf" srcId="{BEB8CCBC-00DD-D445-AD9A-A5611DF3A8F0}" destId="{6B12D967-7C08-0E46-A9A8-85EA6BDA5BC8}" srcOrd="0" destOrd="0" presId="urn:microsoft.com/office/officeart/2024/layout/HorizontalActionList"/>
    <dgm:cxn modelId="{E58CD0A4-BE0E-1244-99B1-553ACC3577DC}" srcId="{75867D3A-F27F-3548-8145-82326C585F90}" destId="{2E458F7C-9C1A-AA4A-BD82-BDBDCAEEF0FE}" srcOrd="1" destOrd="0" parTransId="{CE78A2F4-457B-C048-BFA2-7BB42F6A7640}" sibTransId="{961A2021-A909-644E-82A5-0836DB8C20DF}"/>
    <dgm:cxn modelId="{C64970B1-9B7B-B041-A236-C4566A77C3E9}" type="presOf" srcId="{1A2E09FE-5BAD-0043-8906-FAACA506B185}" destId="{201D1C0A-4E9D-0945-917F-83CC8E219E95}" srcOrd="0" destOrd="2" presId="urn:microsoft.com/office/officeart/2024/layout/HorizontalActionList"/>
    <dgm:cxn modelId="{387C6CC7-57C2-EA47-ABA0-643C3CFB972C}" type="presOf" srcId="{F1612F52-234C-2141-8C7B-7D54F4D59076}" destId="{5F9EC1CF-A5DB-234B-B634-A3D94C54CBF6}" srcOrd="0" destOrd="0" presId="urn:microsoft.com/office/officeart/2024/layout/HorizontalActionList"/>
    <dgm:cxn modelId="{5BE0CDC8-8D9D-714E-A764-EF58872F8659}" type="presOf" srcId="{FE952394-0880-0549-9C6C-416B14DC48CD}" destId="{ABCEB2D3-D845-5246-9E2C-4E01AB5341F0}" srcOrd="0" destOrd="1" presId="urn:microsoft.com/office/officeart/2024/layout/HorizontalActionList"/>
    <dgm:cxn modelId="{5AB946CA-266D-B84B-B48D-B1827EDC2FA0}" srcId="{F1612F52-234C-2141-8C7B-7D54F4D59076}" destId="{AD87869B-3A0D-0E4F-A03C-1032C0B93A0C}" srcOrd="4" destOrd="0" parTransId="{A470B52C-2749-1341-82BE-26C5880A6F15}" sibTransId="{18D4B0C3-5BE2-8D46-AD72-504050400BBD}"/>
    <dgm:cxn modelId="{414E42CC-B7D5-2F4C-9F60-81F02317F6CF}" type="presOf" srcId="{31E89515-660A-CE40-BB52-7F8A1FB0FD4D}" destId="{46A67BDC-C2E4-7642-8FA3-AFD58E487B49}" srcOrd="0" destOrd="0" presId="urn:microsoft.com/office/officeart/2024/layout/HorizontalActionList"/>
    <dgm:cxn modelId="{C81B7BCD-8F93-F242-B41A-2A98FDA925A1}" type="presOf" srcId="{8EEC38C7-6412-C541-BC32-51C0201A0599}" destId="{516746DD-69D0-E74E-B2D3-3C2783191F3B}" srcOrd="0" destOrd="0" presId="urn:microsoft.com/office/officeart/2024/layout/HorizontalActionList"/>
    <dgm:cxn modelId="{14B31BD0-882D-034B-8177-B8FB30098F2A}" type="presOf" srcId="{5B05B22C-733C-5348-8BE5-94704A367077}" destId="{E8DCCF41-854F-2F4F-ACB7-35F95962CD9C}" srcOrd="0" destOrd="2" presId="urn:microsoft.com/office/officeart/2024/layout/HorizontalActionList"/>
    <dgm:cxn modelId="{A96085D0-7E98-F247-A17A-B0127EB5B8C4}" srcId="{75867D3A-F27F-3548-8145-82326C585F90}" destId="{E55D85D8-253E-E241-A687-B093866560DD}" srcOrd="0" destOrd="0" parTransId="{9AA48CB5-DD1D-9643-A782-923B5CFAF02B}" sibTransId="{7A12488D-ABE4-7045-8D87-2F2292B75A27}"/>
    <dgm:cxn modelId="{E8540AD2-F076-5943-B4B3-390275EE29A3}" srcId="{E73A88CA-1EB8-294F-8ECF-07473D6D17A5}" destId="{CCDE4DFD-2E1B-5D41-B803-10B2C6B794D5}" srcOrd="0" destOrd="0" parTransId="{F4D0F1C9-8D28-4E40-AB0F-ED2AA0185726}" sibTransId="{441C1B48-C508-3042-9694-6E5D8E69490B}"/>
    <dgm:cxn modelId="{6E55E2D5-FB42-9D46-94F3-CF72C50EF4EA}" srcId="{07A36E04-CF7B-4440-B096-220F8869BE9C}" destId="{E1F05352-CE41-8740-918E-12446EB6A27B}" srcOrd="1" destOrd="0" parTransId="{3827E87F-4F1B-D442-88F4-AFAC62A4CCA0}" sibTransId="{5ED47843-BE80-F745-8082-40A6889AC4CE}"/>
    <dgm:cxn modelId="{9E013DD6-E63B-6C41-BF0C-322EE390E609}" type="presOf" srcId="{B632ACC1-E52B-8F43-8D77-1900AD2B68B3}" destId="{46A67BDC-C2E4-7642-8FA3-AFD58E487B49}" srcOrd="0" destOrd="2" presId="urn:microsoft.com/office/officeart/2024/layout/HorizontalActionList"/>
    <dgm:cxn modelId="{A9A137DD-4111-8B47-8381-D6E91AFB573F}" type="presOf" srcId="{4E174DEB-3FE1-C847-B335-69EEA40C1AFF}" destId="{ABCEB2D3-D845-5246-9E2C-4E01AB5341F0}" srcOrd="0" destOrd="2" presId="urn:microsoft.com/office/officeart/2024/layout/HorizontalActionList"/>
    <dgm:cxn modelId="{90EE56DE-C3FA-B544-AB47-782349A04393}" srcId="{BEB8CCBC-00DD-D445-AD9A-A5611DF3A8F0}" destId="{5B05B22C-733C-5348-8BE5-94704A367077}" srcOrd="2" destOrd="0" parTransId="{515FBE73-2C7F-1F45-8691-8FE1A2D51AFD}" sibTransId="{C8AC27C6-5C08-9045-8AED-33E1A79E4015}"/>
    <dgm:cxn modelId="{65D20BE9-F014-C347-B877-5A1339179F2D}" srcId="{AD87869B-3A0D-0E4F-A03C-1032C0B93A0C}" destId="{345DA019-8CD4-4940-9558-C53C95994DC5}" srcOrd="3" destOrd="0" parTransId="{98C89D6D-25C2-5D43-BD59-03CAD0D78E9D}" sibTransId="{889A38C9-ED19-6949-9AD2-F8B1E4CC8C4B}"/>
    <dgm:cxn modelId="{AE33C6EA-26ED-9041-A0A0-66CB23C298DC}" srcId="{BEB8CCBC-00DD-D445-AD9A-A5611DF3A8F0}" destId="{D7E1FB30-4EC7-F142-83B6-1846662D3DE0}" srcOrd="3" destOrd="0" parTransId="{9898F444-5325-6E43-BF9C-51085F39471E}" sibTransId="{E8EC6E11-E1AD-3341-8552-AC80B7916ED5}"/>
    <dgm:cxn modelId="{F42CE6EA-2D31-364E-8044-7372ED5DC1EE}" type="presOf" srcId="{EE405F44-65F1-074A-B2CF-AC9E1093FF81}" destId="{E8DCCF41-854F-2F4F-ACB7-35F95962CD9C}" srcOrd="0" destOrd="0" presId="urn:microsoft.com/office/officeart/2024/layout/HorizontalActionList"/>
    <dgm:cxn modelId="{0892ABF8-0EF5-544F-9C81-968F985B2413}" type="presOf" srcId="{838F359B-E822-CA44-8C8F-C0663DD10C49}" destId="{D46AE679-08A1-E94C-87A0-6593CFDBFB5C}" srcOrd="0" destOrd="0" presId="urn:microsoft.com/office/officeart/2024/layout/HorizontalActionList"/>
    <dgm:cxn modelId="{93180B53-5FC7-864A-892B-17CECC35DFEE}" type="presParOf" srcId="{5F9EC1CF-A5DB-234B-B634-A3D94C54CBF6}" destId="{4D2723EA-C21F-5D4E-8004-31926F4D1343}" srcOrd="0" destOrd="0" presId="urn:microsoft.com/office/officeart/2024/layout/HorizontalActionList"/>
    <dgm:cxn modelId="{2759C40E-528B-A34C-A0EA-30DF92AEE0E2}" type="presParOf" srcId="{4D2723EA-C21F-5D4E-8004-31926F4D1343}" destId="{A43AEC31-881E-464B-8139-BAED7279CB01}" srcOrd="0" destOrd="0" presId="urn:microsoft.com/office/officeart/2024/layout/HorizontalActionList"/>
    <dgm:cxn modelId="{F2F8BB25-2BA9-0546-AFED-5A940C26403F}" type="presParOf" srcId="{4D2723EA-C21F-5D4E-8004-31926F4D1343}" destId="{ABCEB2D3-D845-5246-9E2C-4E01AB5341F0}" srcOrd="1" destOrd="0" presId="urn:microsoft.com/office/officeart/2024/layout/HorizontalActionList"/>
    <dgm:cxn modelId="{9BFE0696-95EE-2D49-A0CB-5DB9DA5FCEFC}" type="presParOf" srcId="{5F9EC1CF-A5DB-234B-B634-A3D94C54CBF6}" destId="{643C81B4-41F8-3848-A745-B552BEB90497}" srcOrd="1" destOrd="0" presId="urn:microsoft.com/office/officeart/2024/layout/HorizontalActionList"/>
    <dgm:cxn modelId="{ACAA9910-7AE2-B64D-B735-FAC079CFF89B}" type="presParOf" srcId="{5F9EC1CF-A5DB-234B-B634-A3D94C54CBF6}" destId="{D26ABEA2-C65B-D244-B802-5E27C9F13AD8}" srcOrd="2" destOrd="0" presId="urn:microsoft.com/office/officeart/2024/layout/HorizontalActionList"/>
    <dgm:cxn modelId="{44B32451-2C48-314A-A109-C0B1B976B36A}" type="presParOf" srcId="{D26ABEA2-C65B-D244-B802-5E27C9F13AD8}" destId="{6B12D967-7C08-0E46-A9A8-85EA6BDA5BC8}" srcOrd="0" destOrd="0" presId="urn:microsoft.com/office/officeart/2024/layout/HorizontalActionList"/>
    <dgm:cxn modelId="{42A36C2F-3C41-D64A-AEC7-040E5B1AE525}" type="presParOf" srcId="{D26ABEA2-C65B-D244-B802-5E27C9F13AD8}" destId="{E8DCCF41-854F-2F4F-ACB7-35F95962CD9C}" srcOrd="1" destOrd="0" presId="urn:microsoft.com/office/officeart/2024/layout/HorizontalActionList"/>
    <dgm:cxn modelId="{D381DD37-6731-364E-9982-F8F5A95A12F8}" type="presParOf" srcId="{5F9EC1CF-A5DB-234B-B634-A3D94C54CBF6}" destId="{CB6E908F-D245-244E-972C-6114C51F1079}" srcOrd="3" destOrd="0" presId="urn:microsoft.com/office/officeart/2024/layout/HorizontalActionList"/>
    <dgm:cxn modelId="{C6EB7373-6F87-A043-8DC0-9DAB0605837D}" type="presParOf" srcId="{5F9EC1CF-A5DB-234B-B634-A3D94C54CBF6}" destId="{7D4C02D7-4B10-ED4B-B3EE-1CA6A081BF82}" srcOrd="4" destOrd="0" presId="urn:microsoft.com/office/officeart/2024/layout/HorizontalActionList"/>
    <dgm:cxn modelId="{1204D28F-705C-F749-A0E3-522B88B71BBE}" type="presParOf" srcId="{7D4C02D7-4B10-ED4B-B3EE-1CA6A081BF82}" destId="{516746DD-69D0-E74E-B2D3-3C2783191F3B}" srcOrd="0" destOrd="0" presId="urn:microsoft.com/office/officeart/2024/layout/HorizontalActionList"/>
    <dgm:cxn modelId="{F23CEC6D-A1BE-EF4F-B62F-F0E20E4C2E07}" type="presParOf" srcId="{7D4C02D7-4B10-ED4B-B3EE-1CA6A081BF82}" destId="{D46AE679-08A1-E94C-87A0-6593CFDBFB5C}" srcOrd="1" destOrd="0" presId="urn:microsoft.com/office/officeart/2024/layout/HorizontalActionList"/>
    <dgm:cxn modelId="{B74BCC1D-C5FC-044A-8851-FB878A5DDA52}" type="presParOf" srcId="{5F9EC1CF-A5DB-234B-B634-A3D94C54CBF6}" destId="{AC08F8DD-2362-DA4D-B1FB-6C8E1C5FE993}" srcOrd="5" destOrd="0" presId="urn:microsoft.com/office/officeart/2024/layout/HorizontalActionList"/>
    <dgm:cxn modelId="{4B84AE1C-9E95-024D-8F1A-07708927776A}" type="presParOf" srcId="{5F9EC1CF-A5DB-234B-B634-A3D94C54CBF6}" destId="{650D170A-E5B8-0645-9741-DC65EFAB4FDA}" srcOrd="6" destOrd="0" presId="urn:microsoft.com/office/officeart/2024/layout/HorizontalActionList"/>
    <dgm:cxn modelId="{694196D1-F3CE-3C4F-9015-D01C6F47023A}" type="presParOf" srcId="{650D170A-E5B8-0645-9741-DC65EFAB4FDA}" destId="{CBA54FD0-8649-8B46-8731-481C940FB1B5}" srcOrd="0" destOrd="0" presId="urn:microsoft.com/office/officeart/2024/layout/HorizontalActionList"/>
    <dgm:cxn modelId="{EDEDEE64-F496-DA4C-9B97-93AEAF94463B}" type="presParOf" srcId="{650D170A-E5B8-0645-9741-DC65EFAB4FDA}" destId="{7C72AFED-13FD-FE41-98E6-4CA8FE290E66}" srcOrd="1" destOrd="0" presId="urn:microsoft.com/office/officeart/2024/layout/HorizontalActionList"/>
    <dgm:cxn modelId="{A580BB2E-989D-EF45-BE5B-7D65740F9971}" type="presParOf" srcId="{5F9EC1CF-A5DB-234B-B634-A3D94C54CBF6}" destId="{9BC575F5-CC84-DD43-9EED-CD21321BA647}" srcOrd="7" destOrd="0" presId="urn:microsoft.com/office/officeart/2024/layout/HorizontalActionList"/>
    <dgm:cxn modelId="{EDDF111D-7D3F-7E47-A6E2-C88E0EE6830C}" type="presParOf" srcId="{5F9EC1CF-A5DB-234B-B634-A3D94C54CBF6}" destId="{E8EE9121-D896-6346-9816-7D22F0E6C8D7}" srcOrd="8" destOrd="0" presId="urn:microsoft.com/office/officeart/2024/layout/HorizontalActionList"/>
    <dgm:cxn modelId="{18100E60-5E13-4943-A9DA-DBAD0D8F299D}" type="presParOf" srcId="{E8EE9121-D896-6346-9816-7D22F0E6C8D7}" destId="{82EFCBE4-F483-F249-A7D0-CFFF85B0EFAC}" srcOrd="0" destOrd="0" presId="urn:microsoft.com/office/officeart/2024/layout/HorizontalActionList"/>
    <dgm:cxn modelId="{50991429-7C47-9C47-8798-C85567764422}" type="presParOf" srcId="{E8EE9121-D896-6346-9816-7D22F0E6C8D7}" destId="{201D1C0A-4E9D-0945-917F-83CC8E219E95}" srcOrd="1" destOrd="0" presId="urn:microsoft.com/office/officeart/2024/layout/HorizontalActionList"/>
    <dgm:cxn modelId="{3EB0F6DA-447D-7143-BBDA-E659987E087C}" type="presParOf" srcId="{5F9EC1CF-A5DB-234B-B634-A3D94C54CBF6}" destId="{5441F07C-69F1-674C-8D10-38B77184C3A8}" srcOrd="9" destOrd="0" presId="urn:microsoft.com/office/officeart/2024/layout/HorizontalActionList"/>
    <dgm:cxn modelId="{BD2C5D3C-519A-7046-A1D5-0C3806A9A0B1}" type="presParOf" srcId="{5F9EC1CF-A5DB-234B-B634-A3D94C54CBF6}" destId="{F63B712E-1E2C-2A48-9340-5DA4226F474B}" srcOrd="10" destOrd="0" presId="urn:microsoft.com/office/officeart/2024/layout/HorizontalActionList"/>
    <dgm:cxn modelId="{0A6403DD-B219-DB43-9ACA-6E3D257F222C}" type="presParOf" srcId="{F63B712E-1E2C-2A48-9340-5DA4226F474B}" destId="{E05A329D-2B7C-CA4D-B7B2-F8298E500F2A}" srcOrd="0" destOrd="0" presId="urn:microsoft.com/office/officeart/2024/layout/HorizontalActionList"/>
    <dgm:cxn modelId="{CD87CA34-A206-4F4E-A396-684DD553A51E}" type="presParOf" srcId="{F63B712E-1E2C-2A48-9340-5DA4226F474B}" destId="{46A67BDC-C2E4-7642-8FA3-AFD58E487B49}" srcOrd="1" destOrd="0" presId="urn:microsoft.com/office/officeart/2024/layout/HorizontalActionList"/>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ABCEB2D3-D845-5246-9E2C-4E01AB5341F0}">
      <dsp:nvSpPr>
        <dsp:cNvPr id="0" name=""/>
        <dsp:cNvSpPr/>
      </dsp:nvSpPr>
      <dsp:spPr>
        <a:xfrm rot="10800000">
          <a:off x="7610" y="1980496"/>
          <a:ext cx="3939713" cy="2989363"/>
        </a:xfrm>
        <a:prstGeom prst="round2SameRect">
          <a:avLst>
            <a:gd name="adj1" fmla="val 15000"/>
            <a:gd name="adj2" fmla="val 0"/>
          </a:avLst>
        </a:prstGeom>
        <a:solidFill>
          <a:schemeClr val="lt1">
            <a:alpha val="90000"/>
            <a:hueOff val="0"/>
            <a:satOff val="0"/>
            <a:lumOff val="0"/>
            <a:alphaOff val="0"/>
          </a:schemeClr>
        </a:solidFill>
        <a:ln w="12700" cap="flat" cmpd="sng" algn="ctr">
          <a:solidFill>
            <a:schemeClr val="accent1">
              <a:alpha val="90000"/>
              <a:hueOff val="0"/>
              <a:satOff val="0"/>
              <a:lumOff val="0"/>
              <a:alphaOff val="0"/>
            </a:schemeClr>
          </a:solidFill>
          <a:prstDash val="solid"/>
          <a:miter lim="800000"/>
        </a:ln>
        <a:effectLst/>
      </dsp:spPr>
      <dsp:style>
        <a:lnRef idx="1">
          <a:scrgbClr r="0" g="0" b="0"/>
        </a:lnRef>
        <a:fillRef idx="1">
          <a:scrgbClr r="0" g="0" b="0"/>
        </a:fillRef>
        <a:effectRef idx="2">
          <a:scrgbClr r="0" g="0" b="0"/>
        </a:effectRef>
        <a:fontRef idx="minor"/>
      </dsp:style>
      <dsp:txBody>
        <a:bodyPr spcFirstLastPara="0" vert="horz" wrap="square" lIns="166781" tIns="166781" rIns="166781" bIns="166781" numCol="1" spcCol="1270" anchor="t" anchorCtr="0">
          <a:noAutofit/>
        </a:bodyPr>
        <a:lstStyle/>
        <a:p>
          <a:pPr marL="0" lvl="0" indent="0" algn="l" defTabSz="889000">
            <a:lnSpc>
              <a:spcPct val="90000"/>
            </a:lnSpc>
            <a:spcBef>
              <a:spcPct val="0"/>
            </a:spcBef>
            <a:spcAft>
              <a:spcPct val="35000"/>
            </a:spcAft>
            <a:buNone/>
          </a:pPr>
          <a:r>
            <a:rPr lang="en-US" sz="2000" b="1" kern="1200"/>
            <a:t>Used</a:t>
          </a:r>
          <a:r>
            <a:rPr lang="en-US" sz="2000" kern="1200"/>
            <a:t> - Isaac Mittelman</a:t>
          </a:r>
        </a:p>
        <a:p>
          <a:pPr marL="0" lvl="0" indent="0" algn="l" defTabSz="889000">
            <a:lnSpc>
              <a:spcPct val="90000"/>
            </a:lnSpc>
            <a:spcBef>
              <a:spcPct val="0"/>
            </a:spcBef>
            <a:spcAft>
              <a:spcPct val="35000"/>
            </a:spcAft>
            <a:buNone/>
          </a:pPr>
          <a:r>
            <a:rPr lang="en-US" sz="2000" b="1" kern="1200"/>
            <a:t>B2B</a:t>
          </a:r>
          <a:r>
            <a:rPr lang="en-US" sz="2000" kern="1200"/>
            <a:t> - Danielo Garcia - The Studio B&amp;H, Kailee Richey - EDU, Rachel DiCastro - School Safety, Ariel Goldman - B2B Hub</a:t>
          </a:r>
        </a:p>
        <a:p>
          <a:pPr marL="0" lvl="0" indent="0" algn="l" defTabSz="889000">
            <a:lnSpc>
              <a:spcPct val="90000"/>
            </a:lnSpc>
            <a:spcBef>
              <a:spcPct val="0"/>
            </a:spcBef>
            <a:spcAft>
              <a:spcPct val="35000"/>
            </a:spcAft>
            <a:buNone/>
          </a:pPr>
          <a:r>
            <a:rPr lang="en-US" sz="2000" b="1" kern="1200"/>
            <a:t>Find</a:t>
          </a:r>
          <a:r>
            <a:rPr lang="en-US" sz="2000" kern="1200"/>
            <a:t> - Eli Goldstein</a:t>
          </a:r>
        </a:p>
      </dsp:txBody>
      <dsp:txXfrm rot="10800000">
        <a:off x="138943" y="1980496"/>
        <a:ext cx="3677047" cy="2858030"/>
      </dsp:txXfrm>
    </dsp:sp>
    <dsp:sp modelId="{A43AEC31-881E-464B-8139-BAED7279CB01}">
      <dsp:nvSpPr>
        <dsp:cNvPr id="0" name=""/>
        <dsp:cNvSpPr/>
      </dsp:nvSpPr>
      <dsp:spPr>
        <a:xfrm>
          <a:off x="7610" y="834040"/>
          <a:ext cx="3939713" cy="1181913"/>
        </a:xfrm>
        <a:prstGeom prst="round2SameRect">
          <a:avLst>
            <a:gd name="adj1" fmla="val 45000"/>
            <a:gd name="adj2" fmla="val 0"/>
          </a:avLst>
        </a:prstGeom>
        <a:gradFill rotWithShape="0">
          <a:gsLst>
            <a:gs pos="0">
              <a:schemeClr val="accent1">
                <a:alpha val="90000"/>
                <a:hueOff val="0"/>
                <a:satOff val="0"/>
                <a:lumOff val="0"/>
                <a:alphaOff val="0"/>
                <a:satMod val="103000"/>
                <a:lumMod val="102000"/>
                <a:tint val="94000"/>
              </a:schemeClr>
            </a:gs>
            <a:gs pos="50000">
              <a:schemeClr val="accent1">
                <a:alpha val="90000"/>
                <a:hueOff val="0"/>
                <a:satOff val="0"/>
                <a:lumOff val="0"/>
                <a:alphaOff val="0"/>
                <a:satMod val="110000"/>
                <a:lumMod val="100000"/>
                <a:shade val="100000"/>
              </a:schemeClr>
            </a:gs>
            <a:gs pos="100000">
              <a:schemeClr val="accent1">
                <a:alpha val="90000"/>
                <a:hueOff val="0"/>
                <a:satOff val="0"/>
                <a:lumOff val="0"/>
                <a:alphaOff val="0"/>
                <a:lumMod val="99000"/>
                <a:satMod val="120000"/>
                <a:shade val="78000"/>
              </a:schemeClr>
            </a:gs>
          </a:gsLst>
          <a:lin ang="5400000" scaled="0"/>
        </a:gradFill>
        <a:ln w="12700" cap="flat" cmpd="sng" algn="ctr">
          <a:solidFill>
            <a:schemeClr val="accent1">
              <a:alpha val="90000"/>
              <a:hueOff val="0"/>
              <a:satOff val="0"/>
              <a:lumOff val="0"/>
              <a:alphaOff val="0"/>
            </a:schemeClr>
          </a:solidFill>
          <a:prstDash val="solid"/>
          <a:miter lim="800000"/>
        </a:ln>
        <a:effectLst>
          <a:outerShdw blurRad="57150" dist="19050" dir="5400000" algn="ctr" rotWithShape="0">
            <a:srgbClr val="000000">
              <a:alpha val="63000"/>
            </a:srgbClr>
          </a:outerShdw>
        </a:effectLst>
      </dsp:spPr>
      <dsp:style>
        <a:lnRef idx="1">
          <a:scrgbClr r="0" g="0" b="0"/>
        </a:lnRef>
        <a:fillRef idx="3">
          <a:scrgbClr r="0" g="0" b="0"/>
        </a:fillRef>
        <a:effectRef idx="3">
          <a:scrgbClr r="0" g="0" b="0"/>
        </a:effectRef>
        <a:fontRef idx="minor">
          <a:schemeClr val="lt1"/>
        </a:fontRef>
      </dsp:style>
      <dsp:txBody>
        <a:bodyPr spcFirstLastPara="0" vert="horz" wrap="square" lIns="311325" tIns="311325" rIns="311325" bIns="311325" numCol="1" spcCol="1270" anchor="ctr" anchorCtr="0">
          <a:noAutofit/>
        </a:bodyPr>
        <a:lstStyle/>
        <a:p>
          <a:pPr marL="0" lvl="0" indent="0" algn="l" defTabSz="1066800">
            <a:lnSpc>
              <a:spcPct val="90000"/>
            </a:lnSpc>
            <a:spcBef>
              <a:spcPct val="0"/>
            </a:spcBef>
            <a:spcAft>
              <a:spcPct val="35000"/>
            </a:spcAft>
            <a:buNone/>
          </a:pPr>
          <a:r>
            <a:rPr lang="en-US" sz="2400" kern="1200"/>
            <a:t>Portfolios</a:t>
          </a:r>
        </a:p>
      </dsp:txBody>
      <dsp:txXfrm>
        <a:off x="163387" y="989817"/>
        <a:ext cx="3628159" cy="1026136"/>
      </dsp:txXfrm>
    </dsp:sp>
    <dsp:sp modelId="{E8DCCF41-854F-2F4F-ACB7-35F95962CD9C}">
      <dsp:nvSpPr>
        <dsp:cNvPr id="0" name=""/>
        <dsp:cNvSpPr/>
      </dsp:nvSpPr>
      <dsp:spPr>
        <a:xfrm rot="10800000">
          <a:off x="4055323" y="1980496"/>
          <a:ext cx="3939713" cy="2989363"/>
        </a:xfrm>
        <a:prstGeom prst="round2SameRect">
          <a:avLst>
            <a:gd name="adj1" fmla="val 15000"/>
            <a:gd name="adj2" fmla="val 0"/>
          </a:avLst>
        </a:prstGeom>
        <a:solidFill>
          <a:schemeClr val="lt1">
            <a:alpha val="90000"/>
            <a:hueOff val="0"/>
            <a:satOff val="0"/>
            <a:lumOff val="0"/>
            <a:alphaOff val="0"/>
          </a:schemeClr>
        </a:solidFill>
        <a:ln w="12700" cap="flat" cmpd="sng" algn="ctr">
          <a:solidFill>
            <a:schemeClr val="accent1">
              <a:alpha val="90000"/>
              <a:hueOff val="0"/>
              <a:satOff val="0"/>
              <a:lumOff val="0"/>
              <a:alphaOff val="-8000"/>
            </a:schemeClr>
          </a:solidFill>
          <a:prstDash val="solid"/>
          <a:miter lim="800000"/>
        </a:ln>
        <a:effectLst/>
      </dsp:spPr>
      <dsp:style>
        <a:lnRef idx="1">
          <a:scrgbClr r="0" g="0" b="0"/>
        </a:lnRef>
        <a:fillRef idx="1">
          <a:scrgbClr r="0" g="0" b="0"/>
        </a:fillRef>
        <a:effectRef idx="2">
          <a:scrgbClr r="0" g="0" b="0"/>
        </a:effectRef>
        <a:fontRef idx="minor"/>
      </dsp:style>
      <dsp:txBody>
        <a:bodyPr spcFirstLastPara="0" vert="horz" wrap="square" lIns="166781" tIns="166781" rIns="166781" bIns="166781" numCol="1" spcCol="1270" anchor="t" anchorCtr="0">
          <a:noAutofit/>
        </a:bodyPr>
        <a:lstStyle/>
        <a:p>
          <a:pPr marL="0" lvl="0" indent="0" algn="l" defTabSz="889000">
            <a:lnSpc>
              <a:spcPct val="90000"/>
            </a:lnSpc>
            <a:spcBef>
              <a:spcPct val="0"/>
            </a:spcBef>
            <a:spcAft>
              <a:spcPct val="35000"/>
            </a:spcAft>
            <a:buNone/>
          </a:pPr>
          <a:r>
            <a:rPr lang="en-US" sz="2000" kern="1200"/>
            <a:t>Increase Awareness</a:t>
          </a:r>
        </a:p>
        <a:p>
          <a:pPr marL="0" lvl="0" indent="0" algn="l" defTabSz="889000">
            <a:lnSpc>
              <a:spcPct val="90000"/>
            </a:lnSpc>
            <a:spcBef>
              <a:spcPct val="0"/>
            </a:spcBef>
            <a:spcAft>
              <a:spcPct val="35000"/>
            </a:spcAft>
            <a:buNone/>
          </a:pPr>
          <a:r>
            <a:rPr lang="en-US" sz="2000" kern="1200"/>
            <a:t>Improve User Flow</a:t>
          </a:r>
        </a:p>
        <a:p>
          <a:pPr marL="0" lvl="0" indent="0" algn="l" defTabSz="889000">
            <a:lnSpc>
              <a:spcPct val="90000"/>
            </a:lnSpc>
            <a:spcBef>
              <a:spcPct val="0"/>
            </a:spcBef>
            <a:spcAft>
              <a:spcPct val="35000"/>
            </a:spcAft>
            <a:buNone/>
          </a:pPr>
          <a:r>
            <a:rPr lang="en-US" sz="2000" kern="1200"/>
            <a:t>Increase Reactivation</a:t>
          </a:r>
        </a:p>
        <a:p>
          <a:pPr marL="0" lvl="0" indent="0" algn="l" defTabSz="889000">
            <a:lnSpc>
              <a:spcPct val="90000"/>
            </a:lnSpc>
            <a:spcBef>
              <a:spcPct val="0"/>
            </a:spcBef>
            <a:spcAft>
              <a:spcPct val="35000"/>
            </a:spcAft>
            <a:buNone/>
          </a:pPr>
          <a:r>
            <a:rPr lang="en-US" sz="2000" kern="1200"/>
            <a:t>Increase Acquisition</a:t>
          </a:r>
        </a:p>
        <a:p>
          <a:pPr marL="0" lvl="0" indent="0" algn="l" defTabSz="889000">
            <a:lnSpc>
              <a:spcPct val="90000"/>
            </a:lnSpc>
            <a:spcBef>
              <a:spcPct val="0"/>
            </a:spcBef>
            <a:spcAft>
              <a:spcPct val="35000"/>
            </a:spcAft>
            <a:buNone/>
          </a:pPr>
          <a:r>
            <a:rPr lang="en-US" sz="2000" kern="1200"/>
            <a:t>Improve Search &amp; Findability</a:t>
          </a:r>
        </a:p>
      </dsp:txBody>
      <dsp:txXfrm rot="10800000">
        <a:off x="4186656" y="1980496"/>
        <a:ext cx="3677047" cy="2858030"/>
      </dsp:txXfrm>
    </dsp:sp>
    <dsp:sp modelId="{6B12D967-7C08-0E46-A9A8-85EA6BDA5BC8}">
      <dsp:nvSpPr>
        <dsp:cNvPr id="0" name=""/>
        <dsp:cNvSpPr/>
      </dsp:nvSpPr>
      <dsp:spPr>
        <a:xfrm>
          <a:off x="4055323" y="834040"/>
          <a:ext cx="3939713" cy="1181913"/>
        </a:xfrm>
        <a:prstGeom prst="round2SameRect">
          <a:avLst>
            <a:gd name="adj1" fmla="val 45000"/>
            <a:gd name="adj2" fmla="val 0"/>
          </a:avLst>
        </a:prstGeom>
        <a:gradFill rotWithShape="0">
          <a:gsLst>
            <a:gs pos="0">
              <a:schemeClr val="accent1">
                <a:alpha val="90000"/>
                <a:hueOff val="0"/>
                <a:satOff val="0"/>
                <a:lumOff val="0"/>
                <a:alphaOff val="-8000"/>
                <a:satMod val="103000"/>
                <a:lumMod val="102000"/>
                <a:tint val="94000"/>
              </a:schemeClr>
            </a:gs>
            <a:gs pos="50000">
              <a:schemeClr val="accent1">
                <a:alpha val="90000"/>
                <a:hueOff val="0"/>
                <a:satOff val="0"/>
                <a:lumOff val="0"/>
                <a:alphaOff val="-8000"/>
                <a:satMod val="110000"/>
                <a:lumMod val="100000"/>
                <a:shade val="100000"/>
              </a:schemeClr>
            </a:gs>
            <a:gs pos="100000">
              <a:schemeClr val="accent1">
                <a:alpha val="90000"/>
                <a:hueOff val="0"/>
                <a:satOff val="0"/>
                <a:lumOff val="0"/>
                <a:alphaOff val="-8000"/>
                <a:lumMod val="99000"/>
                <a:satMod val="120000"/>
                <a:shade val="78000"/>
              </a:schemeClr>
            </a:gs>
          </a:gsLst>
          <a:lin ang="5400000" scaled="0"/>
        </a:gradFill>
        <a:ln w="12700" cap="flat" cmpd="sng" algn="ctr">
          <a:solidFill>
            <a:schemeClr val="accent1">
              <a:alpha val="90000"/>
              <a:hueOff val="0"/>
              <a:satOff val="0"/>
              <a:lumOff val="0"/>
              <a:alphaOff val="-8000"/>
            </a:schemeClr>
          </a:solidFill>
          <a:prstDash val="solid"/>
          <a:miter lim="800000"/>
        </a:ln>
        <a:effectLst>
          <a:outerShdw blurRad="57150" dist="19050" dir="5400000" algn="ctr" rotWithShape="0">
            <a:srgbClr val="000000">
              <a:alpha val="63000"/>
            </a:srgbClr>
          </a:outerShdw>
        </a:effectLst>
      </dsp:spPr>
      <dsp:style>
        <a:lnRef idx="1">
          <a:scrgbClr r="0" g="0" b="0"/>
        </a:lnRef>
        <a:fillRef idx="3">
          <a:scrgbClr r="0" g="0" b="0"/>
        </a:fillRef>
        <a:effectRef idx="3">
          <a:scrgbClr r="0" g="0" b="0"/>
        </a:effectRef>
        <a:fontRef idx="minor">
          <a:schemeClr val="lt1"/>
        </a:fontRef>
      </dsp:style>
      <dsp:txBody>
        <a:bodyPr spcFirstLastPara="0" vert="horz" wrap="square" lIns="311325" tIns="311325" rIns="311325" bIns="311325" numCol="1" spcCol="1270" anchor="ctr" anchorCtr="0">
          <a:noAutofit/>
        </a:bodyPr>
        <a:lstStyle/>
        <a:p>
          <a:pPr marL="0" lvl="0" indent="0" algn="l" defTabSz="1066800">
            <a:lnSpc>
              <a:spcPct val="90000"/>
            </a:lnSpc>
            <a:spcBef>
              <a:spcPct val="0"/>
            </a:spcBef>
            <a:spcAft>
              <a:spcPct val="35000"/>
            </a:spcAft>
            <a:buNone/>
          </a:pPr>
          <a:r>
            <a:rPr lang="en-US" sz="2400" kern="1200"/>
            <a:t>Themes</a:t>
          </a:r>
        </a:p>
      </dsp:txBody>
      <dsp:txXfrm>
        <a:off x="4211100" y="989817"/>
        <a:ext cx="3628159" cy="1026136"/>
      </dsp:txXfrm>
    </dsp:sp>
    <dsp:sp modelId="{D46AE679-08A1-E94C-87A0-6593CFDBFB5C}">
      <dsp:nvSpPr>
        <dsp:cNvPr id="0" name=""/>
        <dsp:cNvSpPr/>
      </dsp:nvSpPr>
      <dsp:spPr>
        <a:xfrm rot="10800000">
          <a:off x="8103036" y="1980496"/>
          <a:ext cx="3939713" cy="2989363"/>
        </a:xfrm>
        <a:prstGeom prst="round2SameRect">
          <a:avLst>
            <a:gd name="adj1" fmla="val 15000"/>
            <a:gd name="adj2" fmla="val 0"/>
          </a:avLst>
        </a:prstGeom>
        <a:solidFill>
          <a:schemeClr val="lt1">
            <a:alpha val="90000"/>
            <a:hueOff val="0"/>
            <a:satOff val="0"/>
            <a:lumOff val="0"/>
            <a:alphaOff val="0"/>
          </a:schemeClr>
        </a:solidFill>
        <a:ln w="12700" cap="flat" cmpd="sng" algn="ctr">
          <a:solidFill>
            <a:schemeClr val="accent1">
              <a:alpha val="90000"/>
              <a:hueOff val="0"/>
              <a:satOff val="0"/>
              <a:lumOff val="0"/>
              <a:alphaOff val="-16000"/>
            </a:schemeClr>
          </a:solidFill>
          <a:prstDash val="solid"/>
          <a:miter lim="800000"/>
        </a:ln>
        <a:effectLst/>
      </dsp:spPr>
      <dsp:style>
        <a:lnRef idx="1">
          <a:scrgbClr r="0" g="0" b="0"/>
        </a:lnRef>
        <a:fillRef idx="1">
          <a:scrgbClr r="0" g="0" b="0"/>
        </a:fillRef>
        <a:effectRef idx="2">
          <a:scrgbClr r="0" g="0" b="0"/>
        </a:effectRef>
        <a:fontRef idx="minor"/>
      </dsp:style>
      <dsp:txBody>
        <a:bodyPr spcFirstLastPara="0" vert="horz" wrap="square" lIns="166781" tIns="166781" rIns="166781" bIns="166781" numCol="1" spcCol="1270" anchor="t" anchorCtr="0">
          <a:noAutofit/>
        </a:bodyPr>
        <a:lstStyle/>
        <a:p>
          <a:pPr marL="0" lvl="0" indent="0" algn="l" defTabSz="1244600">
            <a:lnSpc>
              <a:spcPct val="90000"/>
            </a:lnSpc>
            <a:spcBef>
              <a:spcPct val="0"/>
            </a:spcBef>
            <a:spcAft>
              <a:spcPct val="35000"/>
            </a:spcAft>
            <a:buNone/>
          </a:pPr>
          <a:endParaRPr lang="en-US" sz="2800" kern="1200"/>
        </a:p>
      </dsp:txBody>
      <dsp:txXfrm rot="10800000">
        <a:off x="8234369" y="1980496"/>
        <a:ext cx="3677047" cy="2858030"/>
      </dsp:txXfrm>
    </dsp:sp>
    <dsp:sp modelId="{516746DD-69D0-E74E-B2D3-3C2783191F3B}">
      <dsp:nvSpPr>
        <dsp:cNvPr id="0" name=""/>
        <dsp:cNvSpPr/>
      </dsp:nvSpPr>
      <dsp:spPr>
        <a:xfrm>
          <a:off x="8103036" y="834040"/>
          <a:ext cx="3939713" cy="1181913"/>
        </a:xfrm>
        <a:prstGeom prst="round2SameRect">
          <a:avLst>
            <a:gd name="adj1" fmla="val 45000"/>
            <a:gd name="adj2" fmla="val 0"/>
          </a:avLst>
        </a:prstGeom>
        <a:gradFill rotWithShape="0">
          <a:gsLst>
            <a:gs pos="0">
              <a:schemeClr val="accent1">
                <a:alpha val="90000"/>
                <a:hueOff val="0"/>
                <a:satOff val="0"/>
                <a:lumOff val="0"/>
                <a:alphaOff val="-16000"/>
                <a:satMod val="103000"/>
                <a:lumMod val="102000"/>
                <a:tint val="94000"/>
              </a:schemeClr>
            </a:gs>
            <a:gs pos="50000">
              <a:schemeClr val="accent1">
                <a:alpha val="90000"/>
                <a:hueOff val="0"/>
                <a:satOff val="0"/>
                <a:lumOff val="0"/>
                <a:alphaOff val="-16000"/>
                <a:satMod val="110000"/>
                <a:lumMod val="100000"/>
                <a:shade val="100000"/>
              </a:schemeClr>
            </a:gs>
            <a:gs pos="100000">
              <a:schemeClr val="accent1">
                <a:alpha val="90000"/>
                <a:hueOff val="0"/>
                <a:satOff val="0"/>
                <a:lumOff val="0"/>
                <a:alphaOff val="-16000"/>
                <a:lumMod val="99000"/>
                <a:satMod val="120000"/>
                <a:shade val="78000"/>
              </a:schemeClr>
            </a:gs>
          </a:gsLst>
          <a:lin ang="5400000" scaled="0"/>
        </a:gradFill>
        <a:ln w="12700" cap="flat" cmpd="sng" algn="ctr">
          <a:solidFill>
            <a:schemeClr val="accent1">
              <a:alpha val="90000"/>
              <a:hueOff val="0"/>
              <a:satOff val="0"/>
              <a:lumOff val="0"/>
              <a:alphaOff val="-16000"/>
            </a:schemeClr>
          </a:solidFill>
          <a:prstDash val="solid"/>
          <a:miter lim="800000"/>
        </a:ln>
        <a:effectLst>
          <a:outerShdw blurRad="57150" dist="19050" dir="5400000" algn="ctr" rotWithShape="0">
            <a:srgbClr val="000000">
              <a:alpha val="63000"/>
            </a:srgbClr>
          </a:outerShdw>
        </a:effectLst>
      </dsp:spPr>
      <dsp:style>
        <a:lnRef idx="1">
          <a:scrgbClr r="0" g="0" b="0"/>
        </a:lnRef>
        <a:fillRef idx="3">
          <a:scrgbClr r="0" g="0" b="0"/>
        </a:fillRef>
        <a:effectRef idx="3">
          <a:scrgbClr r="0" g="0" b="0"/>
        </a:effectRef>
        <a:fontRef idx="minor">
          <a:schemeClr val="lt1"/>
        </a:fontRef>
      </dsp:style>
      <dsp:txBody>
        <a:bodyPr spcFirstLastPara="0" vert="horz" wrap="square" lIns="311325" tIns="311325" rIns="311325" bIns="311325" numCol="1" spcCol="1270" anchor="ctr" anchorCtr="0">
          <a:noAutofit/>
        </a:bodyPr>
        <a:lstStyle/>
        <a:p>
          <a:pPr marL="0" lvl="0" indent="0" algn="l" defTabSz="1066800">
            <a:lnSpc>
              <a:spcPct val="90000"/>
            </a:lnSpc>
            <a:spcBef>
              <a:spcPct val="0"/>
            </a:spcBef>
            <a:spcAft>
              <a:spcPct val="35000"/>
            </a:spcAft>
            <a:buNone/>
          </a:pPr>
          <a:r>
            <a:rPr lang="en-US" sz="2400" kern="1200"/>
            <a:t>Roadmap </a:t>
          </a:r>
        </a:p>
      </dsp:txBody>
      <dsp:txXfrm>
        <a:off x="8258813" y="989817"/>
        <a:ext cx="3628159" cy="1026136"/>
      </dsp:txXfrm>
    </dsp:sp>
    <dsp:sp modelId="{7C72AFED-13FD-FE41-98E6-4CA8FE290E66}">
      <dsp:nvSpPr>
        <dsp:cNvPr id="0" name=""/>
        <dsp:cNvSpPr/>
      </dsp:nvSpPr>
      <dsp:spPr>
        <a:xfrm rot="10800000">
          <a:off x="12150750" y="1941664"/>
          <a:ext cx="3939713" cy="2989363"/>
        </a:xfrm>
        <a:prstGeom prst="round2SameRect">
          <a:avLst>
            <a:gd name="adj1" fmla="val 15000"/>
            <a:gd name="adj2" fmla="val 0"/>
          </a:avLst>
        </a:prstGeom>
        <a:solidFill>
          <a:schemeClr val="lt1">
            <a:alpha val="90000"/>
            <a:hueOff val="0"/>
            <a:satOff val="0"/>
            <a:lumOff val="0"/>
            <a:alphaOff val="0"/>
          </a:schemeClr>
        </a:solidFill>
        <a:ln w="12700" cap="flat" cmpd="sng" algn="ctr">
          <a:solidFill>
            <a:schemeClr val="accent1">
              <a:alpha val="90000"/>
              <a:hueOff val="0"/>
              <a:satOff val="0"/>
              <a:lumOff val="0"/>
              <a:alphaOff val="-24000"/>
            </a:schemeClr>
          </a:solidFill>
          <a:prstDash val="solid"/>
          <a:miter lim="800000"/>
        </a:ln>
        <a:effectLst/>
      </dsp:spPr>
      <dsp:style>
        <a:lnRef idx="1">
          <a:scrgbClr r="0" g="0" b="0"/>
        </a:lnRef>
        <a:fillRef idx="1">
          <a:scrgbClr r="0" g="0" b="0"/>
        </a:fillRef>
        <a:effectRef idx="2">
          <a:scrgbClr r="0" g="0" b="0"/>
        </a:effectRef>
        <a:fontRef idx="minor"/>
      </dsp:style>
      <dsp:txBody>
        <a:bodyPr spcFirstLastPara="0" vert="horz" wrap="square" lIns="166781" tIns="166781" rIns="166781" bIns="166781" numCol="1" spcCol="1270" anchor="t" anchorCtr="0">
          <a:noAutofit/>
        </a:bodyPr>
        <a:lstStyle/>
        <a:p>
          <a:pPr marL="0" lvl="0" indent="0" algn="l" defTabSz="889000">
            <a:lnSpc>
              <a:spcPct val="90000"/>
            </a:lnSpc>
            <a:spcBef>
              <a:spcPct val="0"/>
            </a:spcBef>
            <a:spcAft>
              <a:spcPct val="35000"/>
            </a:spcAft>
            <a:buNone/>
          </a:pPr>
          <a:r>
            <a:rPr lang="en-US" sz="2000" kern="1200"/>
            <a:t>Adoption</a:t>
          </a:r>
        </a:p>
        <a:p>
          <a:pPr marL="0" lvl="0" indent="0" algn="l" defTabSz="889000">
            <a:lnSpc>
              <a:spcPct val="90000"/>
            </a:lnSpc>
            <a:spcBef>
              <a:spcPct val="0"/>
            </a:spcBef>
            <a:spcAft>
              <a:spcPct val="35000"/>
            </a:spcAft>
            <a:buNone/>
          </a:pPr>
          <a:r>
            <a:rPr lang="en-US" sz="2000" kern="1200"/>
            <a:t>Impact</a:t>
          </a:r>
        </a:p>
      </dsp:txBody>
      <dsp:txXfrm rot="10800000">
        <a:off x="12282083" y="1941664"/>
        <a:ext cx="3677047" cy="2858030"/>
      </dsp:txXfrm>
    </dsp:sp>
    <dsp:sp modelId="{CBA54FD0-8649-8B46-8731-481C940FB1B5}">
      <dsp:nvSpPr>
        <dsp:cNvPr id="0" name=""/>
        <dsp:cNvSpPr/>
      </dsp:nvSpPr>
      <dsp:spPr>
        <a:xfrm>
          <a:off x="12150750" y="834040"/>
          <a:ext cx="3939713" cy="1181913"/>
        </a:xfrm>
        <a:prstGeom prst="round2SameRect">
          <a:avLst>
            <a:gd name="adj1" fmla="val 45000"/>
            <a:gd name="adj2" fmla="val 0"/>
          </a:avLst>
        </a:prstGeom>
        <a:gradFill rotWithShape="0">
          <a:gsLst>
            <a:gs pos="0">
              <a:schemeClr val="accent1">
                <a:alpha val="90000"/>
                <a:hueOff val="0"/>
                <a:satOff val="0"/>
                <a:lumOff val="0"/>
                <a:alphaOff val="-24000"/>
                <a:satMod val="103000"/>
                <a:lumMod val="102000"/>
                <a:tint val="94000"/>
              </a:schemeClr>
            </a:gs>
            <a:gs pos="50000">
              <a:schemeClr val="accent1">
                <a:alpha val="90000"/>
                <a:hueOff val="0"/>
                <a:satOff val="0"/>
                <a:lumOff val="0"/>
                <a:alphaOff val="-24000"/>
                <a:satMod val="110000"/>
                <a:lumMod val="100000"/>
                <a:shade val="100000"/>
              </a:schemeClr>
            </a:gs>
            <a:gs pos="100000">
              <a:schemeClr val="accent1">
                <a:alpha val="90000"/>
                <a:hueOff val="0"/>
                <a:satOff val="0"/>
                <a:lumOff val="0"/>
                <a:alphaOff val="-24000"/>
                <a:lumMod val="99000"/>
                <a:satMod val="120000"/>
                <a:shade val="78000"/>
              </a:schemeClr>
            </a:gs>
          </a:gsLst>
          <a:lin ang="5400000" scaled="0"/>
        </a:gradFill>
        <a:ln w="12700" cap="flat" cmpd="sng" algn="ctr">
          <a:solidFill>
            <a:schemeClr val="accent1">
              <a:alpha val="90000"/>
              <a:hueOff val="0"/>
              <a:satOff val="0"/>
              <a:lumOff val="0"/>
              <a:alphaOff val="-24000"/>
            </a:schemeClr>
          </a:solidFill>
          <a:prstDash val="solid"/>
          <a:miter lim="800000"/>
        </a:ln>
        <a:effectLst>
          <a:outerShdw blurRad="57150" dist="19050" dir="5400000" algn="ctr" rotWithShape="0">
            <a:srgbClr val="000000">
              <a:alpha val="63000"/>
            </a:srgbClr>
          </a:outerShdw>
        </a:effectLst>
      </dsp:spPr>
      <dsp:style>
        <a:lnRef idx="1">
          <a:scrgbClr r="0" g="0" b="0"/>
        </a:lnRef>
        <a:fillRef idx="3">
          <a:scrgbClr r="0" g="0" b="0"/>
        </a:fillRef>
        <a:effectRef idx="3">
          <a:scrgbClr r="0" g="0" b="0"/>
        </a:effectRef>
        <a:fontRef idx="minor">
          <a:schemeClr val="lt1"/>
        </a:fontRef>
      </dsp:style>
      <dsp:txBody>
        <a:bodyPr spcFirstLastPara="0" vert="horz" wrap="square" lIns="311325" tIns="311325" rIns="311325" bIns="311325" numCol="1" spcCol="1270" anchor="ctr" anchorCtr="0">
          <a:noAutofit/>
        </a:bodyPr>
        <a:lstStyle/>
        <a:p>
          <a:pPr marL="0" lvl="0" indent="0" algn="l" defTabSz="1066800">
            <a:lnSpc>
              <a:spcPct val="90000"/>
            </a:lnSpc>
            <a:spcBef>
              <a:spcPct val="0"/>
            </a:spcBef>
            <a:spcAft>
              <a:spcPct val="35000"/>
            </a:spcAft>
            <a:buNone/>
          </a:pPr>
          <a:r>
            <a:rPr lang="en-US" sz="2400" kern="1200"/>
            <a:t>Metrics</a:t>
          </a:r>
        </a:p>
      </dsp:txBody>
      <dsp:txXfrm>
        <a:off x="12306527" y="989817"/>
        <a:ext cx="3628159" cy="1026136"/>
      </dsp:txXfrm>
    </dsp:sp>
    <dsp:sp modelId="{201D1C0A-4E9D-0945-917F-83CC8E219E95}">
      <dsp:nvSpPr>
        <dsp:cNvPr id="0" name=""/>
        <dsp:cNvSpPr/>
      </dsp:nvSpPr>
      <dsp:spPr>
        <a:xfrm rot="10800000">
          <a:off x="16198463" y="1980496"/>
          <a:ext cx="3939713" cy="2989363"/>
        </a:xfrm>
        <a:prstGeom prst="round2SameRect">
          <a:avLst>
            <a:gd name="adj1" fmla="val 15000"/>
            <a:gd name="adj2" fmla="val 0"/>
          </a:avLst>
        </a:prstGeom>
        <a:solidFill>
          <a:schemeClr val="lt1">
            <a:alpha val="90000"/>
            <a:hueOff val="0"/>
            <a:satOff val="0"/>
            <a:lumOff val="0"/>
            <a:alphaOff val="0"/>
          </a:schemeClr>
        </a:solidFill>
        <a:ln w="12700" cap="flat" cmpd="sng" algn="ctr">
          <a:solidFill>
            <a:schemeClr val="accent1">
              <a:alpha val="90000"/>
              <a:hueOff val="0"/>
              <a:satOff val="0"/>
              <a:lumOff val="0"/>
              <a:alphaOff val="-32000"/>
            </a:schemeClr>
          </a:solidFill>
          <a:prstDash val="solid"/>
          <a:miter lim="800000"/>
        </a:ln>
        <a:effectLst/>
      </dsp:spPr>
      <dsp:style>
        <a:lnRef idx="1">
          <a:scrgbClr r="0" g="0" b="0"/>
        </a:lnRef>
        <a:fillRef idx="1">
          <a:scrgbClr r="0" g="0" b="0"/>
        </a:fillRef>
        <a:effectRef idx="2">
          <a:scrgbClr r="0" g="0" b="0"/>
        </a:effectRef>
        <a:fontRef idx="minor"/>
      </dsp:style>
      <dsp:txBody>
        <a:bodyPr spcFirstLastPara="0" vert="horz" wrap="square" lIns="166781" tIns="166781" rIns="166781" bIns="166781" numCol="1" spcCol="1270" anchor="t" anchorCtr="0">
          <a:noAutofit/>
        </a:bodyPr>
        <a:lstStyle/>
        <a:p>
          <a:pPr marL="0" lvl="0" indent="0" algn="l" defTabSz="889000">
            <a:lnSpc>
              <a:spcPct val="90000"/>
            </a:lnSpc>
            <a:spcBef>
              <a:spcPct val="0"/>
            </a:spcBef>
            <a:spcAft>
              <a:spcPct val="35000"/>
            </a:spcAft>
            <a:buNone/>
          </a:pPr>
          <a:r>
            <a:rPr lang="en-US" sz="2000" kern="1200"/>
            <a:t>PLP</a:t>
          </a:r>
        </a:p>
        <a:p>
          <a:pPr marL="0" lvl="0" indent="0" algn="l" defTabSz="889000">
            <a:lnSpc>
              <a:spcPct val="90000"/>
            </a:lnSpc>
            <a:spcBef>
              <a:spcPct val="0"/>
            </a:spcBef>
            <a:spcAft>
              <a:spcPct val="35000"/>
            </a:spcAft>
            <a:buNone/>
          </a:pPr>
          <a:r>
            <a:rPr lang="en-US" sz="2000" kern="1200"/>
            <a:t>PDP</a:t>
          </a:r>
        </a:p>
        <a:p>
          <a:pPr marL="0" lvl="0" indent="0" algn="l" defTabSz="889000">
            <a:lnSpc>
              <a:spcPct val="90000"/>
            </a:lnSpc>
            <a:spcBef>
              <a:spcPct val="0"/>
            </a:spcBef>
            <a:spcAft>
              <a:spcPct val="35000"/>
            </a:spcAft>
            <a:buNone/>
          </a:pPr>
          <a:r>
            <a:rPr lang="en-US" sz="2000" kern="1200"/>
            <a:t>CTA</a:t>
          </a:r>
        </a:p>
        <a:p>
          <a:pPr marL="0" lvl="0" indent="0" algn="l" defTabSz="889000">
            <a:lnSpc>
              <a:spcPct val="90000"/>
            </a:lnSpc>
            <a:spcBef>
              <a:spcPct val="0"/>
            </a:spcBef>
            <a:spcAft>
              <a:spcPct val="35000"/>
            </a:spcAft>
            <a:buNone/>
          </a:pPr>
          <a:r>
            <a:rPr lang="en-US" sz="2000" kern="1200"/>
            <a:t>Banner</a:t>
          </a:r>
        </a:p>
      </dsp:txBody>
      <dsp:txXfrm rot="10800000">
        <a:off x="16329796" y="1980496"/>
        <a:ext cx="3677047" cy="2858030"/>
      </dsp:txXfrm>
    </dsp:sp>
    <dsp:sp modelId="{82EFCBE4-F483-F249-A7D0-CFFF85B0EFAC}">
      <dsp:nvSpPr>
        <dsp:cNvPr id="0" name=""/>
        <dsp:cNvSpPr/>
      </dsp:nvSpPr>
      <dsp:spPr>
        <a:xfrm>
          <a:off x="16198463" y="834040"/>
          <a:ext cx="3939713" cy="1181913"/>
        </a:xfrm>
        <a:prstGeom prst="round2SameRect">
          <a:avLst>
            <a:gd name="adj1" fmla="val 45000"/>
            <a:gd name="adj2" fmla="val 0"/>
          </a:avLst>
        </a:prstGeom>
        <a:gradFill rotWithShape="0">
          <a:gsLst>
            <a:gs pos="0">
              <a:schemeClr val="accent1">
                <a:alpha val="90000"/>
                <a:hueOff val="0"/>
                <a:satOff val="0"/>
                <a:lumOff val="0"/>
                <a:alphaOff val="-32000"/>
                <a:satMod val="103000"/>
                <a:lumMod val="102000"/>
                <a:tint val="94000"/>
              </a:schemeClr>
            </a:gs>
            <a:gs pos="50000">
              <a:schemeClr val="accent1">
                <a:alpha val="90000"/>
                <a:hueOff val="0"/>
                <a:satOff val="0"/>
                <a:lumOff val="0"/>
                <a:alphaOff val="-32000"/>
                <a:satMod val="110000"/>
                <a:lumMod val="100000"/>
                <a:shade val="100000"/>
              </a:schemeClr>
            </a:gs>
            <a:gs pos="100000">
              <a:schemeClr val="accent1">
                <a:alpha val="90000"/>
                <a:hueOff val="0"/>
                <a:satOff val="0"/>
                <a:lumOff val="0"/>
                <a:alphaOff val="-32000"/>
                <a:lumMod val="99000"/>
                <a:satMod val="120000"/>
                <a:shade val="78000"/>
              </a:schemeClr>
            </a:gs>
          </a:gsLst>
          <a:lin ang="5400000" scaled="0"/>
        </a:gradFill>
        <a:ln w="12700" cap="flat" cmpd="sng" algn="ctr">
          <a:solidFill>
            <a:schemeClr val="accent1">
              <a:alpha val="90000"/>
              <a:hueOff val="0"/>
              <a:satOff val="0"/>
              <a:lumOff val="0"/>
              <a:alphaOff val="-32000"/>
            </a:schemeClr>
          </a:solidFill>
          <a:prstDash val="solid"/>
          <a:miter lim="800000"/>
        </a:ln>
        <a:effectLst>
          <a:outerShdw blurRad="57150" dist="19050" dir="5400000" algn="ctr" rotWithShape="0">
            <a:srgbClr val="000000">
              <a:alpha val="63000"/>
            </a:srgbClr>
          </a:outerShdw>
        </a:effectLst>
      </dsp:spPr>
      <dsp:style>
        <a:lnRef idx="1">
          <a:scrgbClr r="0" g="0" b="0"/>
        </a:lnRef>
        <a:fillRef idx="3">
          <a:scrgbClr r="0" g="0" b="0"/>
        </a:fillRef>
        <a:effectRef idx="3">
          <a:scrgbClr r="0" g="0" b="0"/>
        </a:effectRef>
        <a:fontRef idx="minor">
          <a:schemeClr val="lt1"/>
        </a:fontRef>
      </dsp:style>
      <dsp:txBody>
        <a:bodyPr spcFirstLastPara="0" vert="horz" wrap="square" lIns="311325" tIns="311325" rIns="311325" bIns="311325" numCol="1" spcCol="1270" anchor="ctr" anchorCtr="0">
          <a:noAutofit/>
        </a:bodyPr>
        <a:lstStyle/>
        <a:p>
          <a:pPr marL="0" lvl="0" indent="0" algn="l" defTabSz="1066800">
            <a:lnSpc>
              <a:spcPct val="90000"/>
            </a:lnSpc>
            <a:spcBef>
              <a:spcPct val="0"/>
            </a:spcBef>
            <a:spcAft>
              <a:spcPct val="35000"/>
            </a:spcAft>
            <a:buNone/>
          </a:pPr>
          <a:r>
            <a:rPr lang="en-US" sz="2400" kern="1200"/>
            <a:t>Components</a:t>
          </a:r>
        </a:p>
      </dsp:txBody>
      <dsp:txXfrm>
        <a:off x="16354240" y="989817"/>
        <a:ext cx="3628159" cy="1026136"/>
      </dsp:txXfrm>
    </dsp:sp>
    <dsp:sp modelId="{46A67BDC-C2E4-7642-8FA3-AFD58E487B49}">
      <dsp:nvSpPr>
        <dsp:cNvPr id="0" name=""/>
        <dsp:cNvSpPr/>
      </dsp:nvSpPr>
      <dsp:spPr>
        <a:xfrm rot="10800000">
          <a:off x="20246176" y="1980496"/>
          <a:ext cx="3939713" cy="2989363"/>
        </a:xfrm>
        <a:prstGeom prst="round2SameRect">
          <a:avLst>
            <a:gd name="adj1" fmla="val 15000"/>
            <a:gd name="adj2" fmla="val 0"/>
          </a:avLst>
        </a:prstGeom>
        <a:solidFill>
          <a:schemeClr val="lt1">
            <a:alpha val="90000"/>
            <a:hueOff val="0"/>
            <a:satOff val="0"/>
            <a:lumOff val="0"/>
            <a:alphaOff val="0"/>
          </a:schemeClr>
        </a:solidFill>
        <a:ln w="12700" cap="flat" cmpd="sng" algn="ctr">
          <a:solidFill>
            <a:schemeClr val="accent1">
              <a:alpha val="90000"/>
              <a:hueOff val="0"/>
              <a:satOff val="0"/>
              <a:lumOff val="0"/>
              <a:alphaOff val="-40000"/>
            </a:schemeClr>
          </a:solidFill>
          <a:prstDash val="solid"/>
          <a:miter lim="800000"/>
        </a:ln>
        <a:effectLst/>
      </dsp:spPr>
      <dsp:style>
        <a:lnRef idx="1">
          <a:scrgbClr r="0" g="0" b="0"/>
        </a:lnRef>
        <a:fillRef idx="1">
          <a:scrgbClr r="0" g="0" b="0"/>
        </a:fillRef>
        <a:effectRef idx="2">
          <a:scrgbClr r="0" g="0" b="0"/>
        </a:effectRef>
        <a:fontRef idx="minor"/>
      </dsp:style>
      <dsp:txBody>
        <a:bodyPr spcFirstLastPara="0" vert="horz" wrap="square" lIns="166781" tIns="166781" rIns="166781" bIns="166781" numCol="1" spcCol="1270" anchor="t" anchorCtr="0">
          <a:noAutofit/>
        </a:bodyPr>
        <a:lstStyle/>
        <a:p>
          <a:pPr marL="0" lvl="0" indent="0" algn="l" defTabSz="889000">
            <a:lnSpc>
              <a:spcPct val="90000"/>
            </a:lnSpc>
            <a:spcBef>
              <a:spcPct val="0"/>
            </a:spcBef>
            <a:spcAft>
              <a:spcPct val="35000"/>
            </a:spcAft>
            <a:buNone/>
          </a:pPr>
          <a:r>
            <a:rPr lang="en-US" sz="2000" kern="1200"/>
            <a:t>Event Name</a:t>
          </a:r>
        </a:p>
        <a:p>
          <a:pPr marL="0" lvl="0" indent="0" algn="l" defTabSz="889000">
            <a:lnSpc>
              <a:spcPct val="90000"/>
            </a:lnSpc>
            <a:spcBef>
              <a:spcPct val="0"/>
            </a:spcBef>
            <a:spcAft>
              <a:spcPct val="35000"/>
            </a:spcAft>
            <a:buNone/>
          </a:pPr>
          <a:r>
            <a:rPr lang="en-US" sz="2000" kern="1200"/>
            <a:t>Component</a:t>
          </a:r>
        </a:p>
        <a:p>
          <a:pPr marL="0" lvl="0" indent="0" algn="l" defTabSz="889000">
            <a:lnSpc>
              <a:spcPct val="90000"/>
            </a:lnSpc>
            <a:spcBef>
              <a:spcPct val="0"/>
            </a:spcBef>
            <a:spcAft>
              <a:spcPct val="35000"/>
            </a:spcAft>
            <a:buNone/>
          </a:pPr>
          <a:r>
            <a:rPr lang="en-US" sz="2000" kern="1200"/>
            <a:t>Page Type</a:t>
          </a:r>
        </a:p>
      </dsp:txBody>
      <dsp:txXfrm rot="10800000">
        <a:off x="20377509" y="1980496"/>
        <a:ext cx="3677047" cy="2858030"/>
      </dsp:txXfrm>
    </dsp:sp>
    <dsp:sp modelId="{E05A329D-2B7C-CA4D-B7B2-F8298E500F2A}">
      <dsp:nvSpPr>
        <dsp:cNvPr id="0" name=""/>
        <dsp:cNvSpPr/>
      </dsp:nvSpPr>
      <dsp:spPr>
        <a:xfrm>
          <a:off x="20246176" y="834040"/>
          <a:ext cx="3939713" cy="1181913"/>
        </a:xfrm>
        <a:prstGeom prst="round2SameRect">
          <a:avLst>
            <a:gd name="adj1" fmla="val 45000"/>
            <a:gd name="adj2" fmla="val 0"/>
          </a:avLst>
        </a:prstGeom>
        <a:gradFill rotWithShape="0">
          <a:gsLst>
            <a:gs pos="0">
              <a:schemeClr val="accent1">
                <a:alpha val="90000"/>
                <a:hueOff val="0"/>
                <a:satOff val="0"/>
                <a:lumOff val="0"/>
                <a:alphaOff val="-40000"/>
                <a:satMod val="103000"/>
                <a:lumMod val="102000"/>
                <a:tint val="94000"/>
              </a:schemeClr>
            </a:gs>
            <a:gs pos="50000">
              <a:schemeClr val="accent1">
                <a:alpha val="90000"/>
                <a:hueOff val="0"/>
                <a:satOff val="0"/>
                <a:lumOff val="0"/>
                <a:alphaOff val="-40000"/>
                <a:satMod val="110000"/>
                <a:lumMod val="100000"/>
                <a:shade val="100000"/>
              </a:schemeClr>
            </a:gs>
            <a:gs pos="100000">
              <a:schemeClr val="accent1">
                <a:alpha val="90000"/>
                <a:hueOff val="0"/>
                <a:satOff val="0"/>
                <a:lumOff val="0"/>
                <a:alphaOff val="-40000"/>
                <a:lumMod val="99000"/>
                <a:satMod val="120000"/>
                <a:shade val="78000"/>
              </a:schemeClr>
            </a:gs>
          </a:gsLst>
          <a:lin ang="5400000" scaled="0"/>
        </a:gradFill>
        <a:ln w="12700" cap="flat" cmpd="sng" algn="ctr">
          <a:solidFill>
            <a:schemeClr val="accent1">
              <a:alpha val="90000"/>
              <a:hueOff val="0"/>
              <a:satOff val="0"/>
              <a:lumOff val="0"/>
              <a:alphaOff val="-40000"/>
            </a:schemeClr>
          </a:solidFill>
          <a:prstDash val="solid"/>
          <a:miter lim="800000"/>
        </a:ln>
        <a:effectLst>
          <a:outerShdw blurRad="57150" dist="19050" dir="5400000" algn="ctr" rotWithShape="0">
            <a:srgbClr val="000000">
              <a:alpha val="63000"/>
            </a:srgbClr>
          </a:outerShdw>
        </a:effectLst>
      </dsp:spPr>
      <dsp:style>
        <a:lnRef idx="1">
          <a:scrgbClr r="0" g="0" b="0"/>
        </a:lnRef>
        <a:fillRef idx="3">
          <a:scrgbClr r="0" g="0" b="0"/>
        </a:fillRef>
        <a:effectRef idx="3">
          <a:scrgbClr r="0" g="0" b="0"/>
        </a:effectRef>
        <a:fontRef idx="minor">
          <a:schemeClr val="lt1"/>
        </a:fontRef>
      </dsp:style>
      <dsp:txBody>
        <a:bodyPr spcFirstLastPara="0" vert="horz" wrap="square" lIns="311325" tIns="311325" rIns="311325" bIns="311325" numCol="1" spcCol="1270" anchor="ctr" anchorCtr="0">
          <a:noAutofit/>
        </a:bodyPr>
        <a:lstStyle/>
        <a:p>
          <a:pPr marL="0" lvl="0" indent="0" algn="l" defTabSz="1066800">
            <a:lnSpc>
              <a:spcPct val="90000"/>
            </a:lnSpc>
            <a:spcBef>
              <a:spcPct val="0"/>
            </a:spcBef>
            <a:spcAft>
              <a:spcPct val="35000"/>
            </a:spcAft>
            <a:buNone/>
          </a:pPr>
          <a:r>
            <a:rPr lang="en-US" sz="2400" kern="1200"/>
            <a:t>GA4</a:t>
          </a:r>
        </a:p>
      </dsp:txBody>
      <dsp:txXfrm>
        <a:off x="20401953" y="989817"/>
        <a:ext cx="3628159" cy="1026136"/>
      </dsp:txXfrm>
    </dsp:sp>
  </dsp:spTree>
</dsp:drawing>
</file>

<file path=xl/diagrams/layout1.xml><?xml version="1.0" encoding="utf-8"?>
<dgm:layoutDef xmlns:dgm="http://schemas.openxmlformats.org/drawingml/2006/diagram" xmlns:a="http://schemas.openxmlformats.org/drawingml/2006/main" uniqueId="urn:microsoft.com/office/officeart/2024/layout/HorizontalActionList">
  <dgm:title val=""/>
  <dgm:desc val=""/>
  <dgm:catLst>
    <dgm:cat type="textcard" pri="200"/>
  </dgm:catLst>
  <dgm:sampData>
    <dgm:dataModel>
      <dgm:ptLst>
        <dgm:pt modelId="0" type="doc"/>
        <dgm:pt modelId="1">
          <dgm:prSet phldr="1"/>
        </dgm:pt>
        <dgm:pt modelId="11">
          <dgm:prSet phldr="1"/>
        </dgm:pt>
        <dgm:pt modelId="2">
          <dgm:prSet phldr="1"/>
        </dgm:pt>
        <dgm:pt modelId="21">
          <dgm:prSet phldr="1"/>
        </dgm:pt>
        <dgm:pt modelId="3">
          <dgm:prSet phldr="1"/>
        </dgm:pt>
        <dgm:pt modelId="31">
          <dgm:prSet phldr="1"/>
        </dgm:pt>
      </dgm:ptLst>
      <dgm:cxnLst>
        <dgm:cxn modelId="4" srcId="0" destId="1" srcOrd="0" destOrd="0"/>
        <dgm:cxn modelId="5" srcId="0" destId="2" srcOrd="1" destOrd="0"/>
        <dgm:cxn modelId="6" srcId="0" destId="3" srcOrd="2" destOrd="0"/>
        <dgm:cxn modelId="13" srcId="1" destId="11" srcOrd="0" destOrd="0"/>
        <dgm:cxn modelId="23" srcId="2" destId="21" srcOrd="0" destOrd="0"/>
        <dgm:cxn modelId="33" srcId="3" destId="31" srcOrd="0" destOrd="0"/>
      </dgm:cxnLst>
      <dgm:bg/>
      <dgm:whole/>
    </dgm:dataModel>
  </dgm:sampData>
  <dgm:styleData>
    <dgm:dataModel>
      <dgm:ptLst>
        <dgm:pt modelId="0" type="doc"/>
        <dgm:pt modelId="1"/>
        <dgm:pt modelId="2"/>
      </dgm:ptLst>
      <dgm:cxnLst>
        <dgm:cxn modelId="3" srcId="0" destId="1" srcOrd="0" destOrd="0"/>
        <dgm:cxn modelId="4"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Name0">
    <dgm:varLst>
      <dgm:dir/>
      <dgm:animLvl val="lvl"/>
      <dgm:resizeHandles val="exact"/>
    </dgm:varLst>
    <dgm:choose name="Name1">
      <dgm:if name="Name2" func="var" arg="dir" op="equ" val="norm">
        <dgm:alg type="lin"/>
      </dgm:if>
      <dgm:else name="Name3">
        <dgm:alg type="lin">
          <dgm:param type="linDir" val="fromR"/>
        </dgm:alg>
      </dgm:else>
    </dgm:choose>
    <dgm:shape xmlns:r="http://schemas.openxmlformats.org/officeDocument/2006/relationships" r:blip="">
      <dgm:adjLst/>
    </dgm:shape>
    <dgm:presOf/>
    <dgm:constrLst>
      <dgm:constr type="h" for="ch" forName="composite" refType="h" fact="0.95"/>
      <dgm:constr type="h" for="des" forName="composite" op="equ"/>
      <dgm:constr type="w" for="ch" forName="composite" refType="w"/>
      <dgm:constr type="w" for="des" forName="parTx"/>
      <dgm:constr type="h" for="des" forName="parTx" op="equ"/>
      <dgm:constr type="w" for="des" forName="bgOutline"/>
      <dgm:constr type="primFontSz" for="des" forName="parTx" val="54"/>
      <dgm:constr type="primFontSz" for="des" forName="bgOutline" refType="primFontSz" refFor="des" refForName="parTx" op="lte" fact="0.75"/>
      <dgm:constr type="h" for="des" forName="bgOutline" op="equ"/>
      <dgm:constr type="w" for="ch" forName="space" op="equ" val="3"/>
    </dgm:constrLst>
    <dgm:ruleLst>
      <dgm:rule type="w" for="ch" forName="composite" val="0" fact="NaN" max="NaN"/>
    </dgm:ruleLst>
    <dgm:forEach name="Name6" axis="ch" ptType="node">
      <dgm:layoutNode name="composite">
        <dgm:alg type="composite"/>
        <dgm:shape xmlns:r="http://schemas.openxmlformats.org/officeDocument/2006/relationships" r:blip="">
          <dgm:adjLst/>
        </dgm:shape>
        <dgm:presOf/>
        <dgm:constrLst>
          <dgm:constr type="l" for="ch" forName="parTx"/>
          <dgm:constr type="w" for="ch" forName="parTx" refType="w"/>
          <dgm:constr type="t" for="ch" forName="parTx"/>
          <dgm:constr type="l" for="ch" forName="bgOutline"/>
          <dgm:constr type="t" for="ch" forName="bgOutline" refType="h" refFor="ch" refForName="parTx" fact="0.97"/>
          <dgm:constr type="w" for="ch" forName="bgOutline" refType="w"/>
          <dgm:constr type="h" for="ch" forName="bgOutline" refType="h" fact="0.75"/>
        </dgm:constrLst>
        <dgm:ruleLst/>
        <dgm:layoutNode name="parTx" styleLbl="alignNode1">
          <dgm:varLst>
            <dgm:chMax val="0"/>
            <dgm:chPref val="0"/>
          </dgm:varLst>
          <dgm:alg type="tx">
            <dgm:param type="parTxLTRAlign" val="l"/>
            <dgm:param type="parTxRTLAlign" val="r"/>
          </dgm:alg>
          <dgm:shape xmlns:r="http://schemas.openxmlformats.org/officeDocument/2006/relationships" type="round2SameRect" r:blip="" zOrderOff="3">
            <dgm:adjLst>
              <dgm:adj idx="1" val="0.45"/>
            </dgm:adjLst>
          </dgm:shape>
          <dgm:presOf axis="self" ptType="node"/>
          <dgm:constrLst>
            <dgm:constr type="h" refType="w" op="lte" fact="0.3"/>
            <dgm:constr type="h"/>
            <dgm:constr type="tMarg" refType="w" fact="0.224"/>
            <dgm:constr type="bMarg" refType="w" fact="0.224"/>
            <dgm:constr type="lMarg" refType="w" fact="0.224"/>
            <dgm:constr type="rMarg" refType="w" fact="0.224"/>
          </dgm:constrLst>
          <dgm:ruleLst>
            <dgm:rule type="primFontSz" val="14" fact="NaN" max="NaN"/>
          </dgm:ruleLst>
        </dgm:layoutNode>
        <dgm:layoutNode name="bgOutline" styleLbl="fgAcc1">
          <dgm:varLst>
            <dgm:bulletEnabled/>
          </dgm:varLst>
          <dgm:alg type="tx">
            <dgm:param type="stBulletLvl" val="0"/>
            <dgm:param type="txAnchorVert" val="t"/>
            <dgm:param type="parTxLTRAlign" val="l"/>
            <dgm:param type="shpTxLTRAlignCh" val="l"/>
            <dgm:param type="parTxRTLAlign" val="r"/>
            <dgm:param type="shpTxRTLAlignCh" val="r"/>
          </dgm:alg>
          <dgm:shape xmlns:r="http://schemas.openxmlformats.org/officeDocument/2006/relationships" rot="180" type="round2SameRect" r:blip="">
            <dgm:adjLst>
              <dgm:adj idx="1" val="0.15"/>
              <dgm:adj idx="2" val="0"/>
            </dgm:adjLst>
          </dgm:shape>
          <dgm:presOf axis="des" ptType="node"/>
          <dgm:constrLst>
            <dgm:constr type="primFontSz" val="28"/>
            <dgm:constr type="tMarg" refType="w" fact="0.12"/>
            <dgm:constr type="bMarg" refType="w" fact="0.12"/>
            <dgm:constr type="lMarg" refType="w" fact="0.12"/>
            <dgm:constr type="rMarg" refType="w" fact="0.12"/>
          </dgm:constrLst>
          <dgm:ruleLst>
            <dgm:rule type="primFontSz" val="11" fact="NaN" max="NaN"/>
          </dgm:ruleLst>
        </dgm:layoutNode>
      </dgm:layoutNode>
      <dgm:forEach name="Name19" axis="followSib" ptType="sibTrans" cnt="1">
        <dgm:layoutNode name="space">
          <dgm:alg type="sp"/>
          <dgm:shape xmlns:r="http://schemas.openxmlformats.org/officeDocument/2006/relationships" r:blip="">
            <dgm:adjLst/>
          </dgm:shape>
          <dgm:presOf/>
          <dgm:constrLst/>
          <dgm:ruleLst/>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5#1">
  <dgm:title val=""/>
  <dgm:desc val=""/>
  <dgm:catLst>
    <dgm:cat type="simple" pri="10500"/>
  </dgm:catLst>
  <dgm:scene3d>
    <a:camera prst="orthographicFront"/>
    <a:lightRig rig="threePt" dir="t"/>
  </dgm:scene3d>
  <dgm:styleLbl name="node0">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lnNode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vennNode1">
    <dgm:scene3d>
      <a:camera prst="orthographicFront"/>
      <a:lightRig rig="threePt" dir="t"/>
    </dgm:scene3d>
    <dgm:sp3d/>
    <dgm:txPr/>
    <dgm:style>
      <a:lnRef idx="0">
        <a:scrgbClr r="0" g="0" b="0"/>
      </a:lnRef>
      <a:fillRef idx="3">
        <a:scrgbClr r="0" g="0" b="0"/>
      </a:fillRef>
      <a:effectRef idx="3">
        <a:scrgbClr r="0" g="0" b="0"/>
      </a:effectRef>
      <a:fontRef idx="minor">
        <a:schemeClr val="tx1"/>
      </a:fontRef>
    </dgm:style>
  </dgm:styleLbl>
  <dgm:styleLbl name="alignNode1">
    <dgm:scene3d>
      <a:camera prst="orthographicFront"/>
      <a:lightRig rig="threePt" dir="t"/>
    </dgm:scene3d>
    <dgm:sp3d/>
    <dgm:txPr/>
    <dgm:style>
      <a:lnRef idx="1">
        <a:scrgbClr r="0" g="0" b="0"/>
      </a:lnRef>
      <a:fillRef idx="3">
        <a:scrgbClr r="0" g="0" b="0"/>
      </a:fillRef>
      <a:effectRef idx="3">
        <a:scrgbClr r="0" g="0" b="0"/>
      </a:effectRef>
      <a:fontRef idx="minor">
        <a:schemeClr val="lt1"/>
      </a:fontRef>
    </dgm:style>
  </dgm:styleLbl>
  <dgm:styleLbl name="node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node2">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node3">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node4">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fgImgPlace1">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alignImgPlace1">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bgImgPlace1">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sib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1">
        <a:scrgbClr r="0" g="0" b="0"/>
      </a:lnRef>
      <a:fillRef idx="0">
        <a:scrgbClr r="0" g="0" b="0"/>
      </a:fillRef>
      <a:effectRef idx="1">
        <a:scrgbClr r="0" g="0" b="0"/>
      </a:effectRef>
      <a:fontRef idx="minor"/>
    </dgm:style>
  </dgm:styleLbl>
  <dgm:styleLbl name="asst0">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2">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3">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4">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2">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3">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4">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conF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align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solidF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solidAlignAcc1">
    <dgm:scene3d>
      <a:camera prst="orthographicFront"/>
      <a:lightRig rig="threePt" dir="t"/>
    </dgm:scene3d>
    <dgm:sp3d/>
    <dgm:txPr/>
    <dgm:style>
      <a:lnRef idx="1">
        <a:scrgbClr r="0" g="0" b="0"/>
      </a:lnRef>
      <a:fillRef idx="1">
        <a:scrgbClr r="0" g="0" b="0"/>
      </a:fillRef>
      <a:effectRef idx="3">
        <a:scrgbClr r="0" g="0" b="0"/>
      </a:effectRef>
      <a:fontRef idx="minor"/>
    </dgm:style>
  </dgm:styleLbl>
  <dgm:styleLbl name="solidBgAcc1">
    <dgm:scene3d>
      <a:camera prst="orthographicFront"/>
      <a:lightRig rig="threePt" dir="t"/>
    </dgm:scene3d>
    <dgm:sp3d/>
    <dgm:txPr/>
    <dgm:style>
      <a:lnRef idx="1">
        <a:scrgbClr r="0" g="0" b="0"/>
      </a:lnRef>
      <a:fillRef idx="1">
        <a:scrgbClr r="0" g="0" b="0"/>
      </a:fillRef>
      <a:effectRef idx="3">
        <a:scrgbClr r="0" g="0" b="0"/>
      </a:effectRef>
      <a:fontRef idx="minor"/>
    </dgm:style>
  </dgm:styleLbl>
  <dgm:styleLbl name="fgAccFollowNode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alignAccFollowNode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bgAccFollowNode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0">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2">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3">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4">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0">
        <a:scrgbClr r="0" g="0" b="0"/>
      </a:lnRef>
      <a:fillRef idx="3">
        <a:scrgbClr r="0" g="0" b="0"/>
      </a:fillRef>
      <a:effectRef idx="3">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drawing1.xml><?xml version="1.0" encoding="utf-8"?>
<xdr:wsDr xmlns:xdr="http://schemas.openxmlformats.org/drawingml/2006/spreadsheetDrawing" xmlns:a="http://schemas.openxmlformats.org/drawingml/2006/main">
  <xdr:twoCellAnchor>
    <xdr:from>
      <xdr:col>1</xdr:col>
      <xdr:colOff>12700</xdr:colOff>
      <xdr:row>7</xdr:row>
      <xdr:rowOff>114300</xdr:rowOff>
    </xdr:from>
    <xdr:to>
      <xdr:col>17</xdr:col>
      <xdr:colOff>114300</xdr:colOff>
      <xdr:row>35</xdr:row>
      <xdr:rowOff>152400</xdr:rowOff>
    </xdr:to>
    <xdr:graphicFrame macro="">
      <xdr:nvGraphicFramePr>
        <xdr:cNvPr id="2" name="Diagram 1">
          <a:extLst>
            <a:ext uri="{FF2B5EF4-FFF2-40B4-BE49-F238E27FC236}">
              <a16:creationId xmlns:a16="http://schemas.microsoft.com/office/drawing/2014/main" id="{DB69714D-7683-6CB9-BE7F-3BFFB7902DEF}"/>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4573123-AB61-5643-A9CD-A0BA58D2F77B}">
  <we:reference id="c9b8c9e5-6362-5d03-822f-a6cfc7511e4f" version="11.6.100.12" store="EXCatalog" storeType="EXCatalog"/>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26" Type="http://schemas.openxmlformats.org/officeDocument/2006/relationships/hyperlink" Target="https://jira.bnh.com/browse/BHUX-34377" TargetMode="External"/><Relationship Id="rId21" Type="http://schemas.openxmlformats.org/officeDocument/2006/relationships/hyperlink" Target="https://jira.bnh.com/browse/BHP-7274" TargetMode="External"/><Relationship Id="rId42" Type="http://schemas.openxmlformats.org/officeDocument/2006/relationships/hyperlink" Target="https://jira.bnh.com/browse/BHP-4563" TargetMode="External"/><Relationship Id="rId47" Type="http://schemas.openxmlformats.org/officeDocument/2006/relationships/hyperlink" Target="https://jira.bnh.com/browse/BHP-5132" TargetMode="External"/><Relationship Id="rId63" Type="http://schemas.openxmlformats.org/officeDocument/2006/relationships/hyperlink" Target="https://jira.bnh.com/browse/BHP-4792" TargetMode="External"/><Relationship Id="rId68" Type="http://schemas.openxmlformats.org/officeDocument/2006/relationships/hyperlink" Target="https://jira.bnh.com/browse/BHUX-34844" TargetMode="External"/><Relationship Id="rId16" Type="http://schemas.openxmlformats.org/officeDocument/2006/relationships/hyperlink" Target="https://jira.bnh.com/browse/BHP-7237" TargetMode="External"/><Relationship Id="rId11" Type="http://schemas.openxmlformats.org/officeDocument/2006/relationships/hyperlink" Target="https://jira.bnh.com/browse/BHUX-34378" TargetMode="External"/><Relationship Id="rId32" Type="http://schemas.openxmlformats.org/officeDocument/2006/relationships/hyperlink" Target="https://jira.bnh.com/browse/BHUX-32621" TargetMode="External"/><Relationship Id="rId37" Type="http://schemas.openxmlformats.org/officeDocument/2006/relationships/hyperlink" Target="https://jira.bnh.com/browse/BHP-5060" TargetMode="External"/><Relationship Id="rId53" Type="http://schemas.openxmlformats.org/officeDocument/2006/relationships/hyperlink" Target="https://jira.bnh.com/browse/BHP-6827" TargetMode="External"/><Relationship Id="rId58" Type="http://schemas.openxmlformats.org/officeDocument/2006/relationships/hyperlink" Target="https://jira.bnh.com/browse/BHP-4518" TargetMode="External"/><Relationship Id="rId74" Type="http://schemas.openxmlformats.org/officeDocument/2006/relationships/hyperlink" Target="https://jira.bnh.com/browse/BHP-7228" TargetMode="External"/><Relationship Id="rId79" Type="http://schemas.openxmlformats.org/officeDocument/2006/relationships/hyperlink" Target="https://jira.bnh.com/browse/BHP-6228" TargetMode="External"/><Relationship Id="rId5" Type="http://schemas.openxmlformats.org/officeDocument/2006/relationships/hyperlink" Target="https://jira.bnh.com/browse/BHUX-33009" TargetMode="External"/><Relationship Id="rId61" Type="http://schemas.openxmlformats.org/officeDocument/2006/relationships/hyperlink" Target="https://jira.bnh.com/browse/BHP-6901" TargetMode="External"/><Relationship Id="rId82" Type="http://schemas.openxmlformats.org/officeDocument/2006/relationships/hyperlink" Target="https://jira.bnh.com/browse/BHP-7431" TargetMode="External"/><Relationship Id="rId19" Type="http://schemas.openxmlformats.org/officeDocument/2006/relationships/hyperlink" Target="https://jira.bnh.com/browse/BHUR-133" TargetMode="External"/><Relationship Id="rId14" Type="http://schemas.openxmlformats.org/officeDocument/2006/relationships/hyperlink" Target="https://jira.bnh.com/browse/BHUX-34845" TargetMode="External"/><Relationship Id="rId22" Type="http://schemas.openxmlformats.org/officeDocument/2006/relationships/hyperlink" Target="https://jira.bnh.com/browse/BHUX-35010" TargetMode="External"/><Relationship Id="rId27" Type="http://schemas.openxmlformats.org/officeDocument/2006/relationships/hyperlink" Target="https://jira.bnh.com/browse/BHUX-35303" TargetMode="External"/><Relationship Id="rId30" Type="http://schemas.openxmlformats.org/officeDocument/2006/relationships/hyperlink" Target="https://jira.bnh.com/browse/BHUX-35309" TargetMode="External"/><Relationship Id="rId35" Type="http://schemas.openxmlformats.org/officeDocument/2006/relationships/hyperlink" Target="https://jira.bnh.com/browse/BHP-2638" TargetMode="External"/><Relationship Id="rId43" Type="http://schemas.openxmlformats.org/officeDocument/2006/relationships/hyperlink" Target="https://jira.bnh.com/browse/MRCH-2202" TargetMode="External"/><Relationship Id="rId48" Type="http://schemas.openxmlformats.org/officeDocument/2006/relationships/hyperlink" Target="https://jira.bnh.com/browse/BHUX-29921" TargetMode="External"/><Relationship Id="rId56" Type="http://schemas.openxmlformats.org/officeDocument/2006/relationships/hyperlink" Target="https://jira.bnh.com/browse/BHP-7301" TargetMode="External"/><Relationship Id="rId64" Type="http://schemas.openxmlformats.org/officeDocument/2006/relationships/hyperlink" Target="https://jira.bnh.com/browse/BHP-5726" TargetMode="External"/><Relationship Id="rId69" Type="http://schemas.openxmlformats.org/officeDocument/2006/relationships/hyperlink" Target="https://jira.bnh.com/browse/BHP-6735" TargetMode="External"/><Relationship Id="rId77" Type="http://schemas.openxmlformats.org/officeDocument/2006/relationships/hyperlink" Target="https://jira.bnh.com/browse/BHP-5830" TargetMode="External"/><Relationship Id="rId8" Type="http://schemas.openxmlformats.org/officeDocument/2006/relationships/hyperlink" Target="https://jira.bnh.com/browse/BHUX-33510" TargetMode="External"/><Relationship Id="rId51" Type="http://schemas.openxmlformats.org/officeDocument/2006/relationships/hyperlink" Target="https://jira.bnh.com/browse/BHP-7237" TargetMode="External"/><Relationship Id="rId72" Type="http://schemas.openxmlformats.org/officeDocument/2006/relationships/hyperlink" Target="https://jira.bnh.com/browse/BHP-6900" TargetMode="External"/><Relationship Id="rId80" Type="http://schemas.openxmlformats.org/officeDocument/2006/relationships/hyperlink" Target="https://jira.bnh.com/browse/BHP-7145" TargetMode="External"/><Relationship Id="rId3" Type="http://schemas.openxmlformats.org/officeDocument/2006/relationships/hyperlink" Target="https://jira.bnh.com/browse/BHUX-26541" TargetMode="External"/><Relationship Id="rId12" Type="http://schemas.openxmlformats.org/officeDocument/2006/relationships/hyperlink" Target="https://jira.bnh.com/browse/BHUX-34723" TargetMode="External"/><Relationship Id="rId17" Type="http://schemas.openxmlformats.org/officeDocument/2006/relationships/hyperlink" Target="https://jira.bnh.com/browse/BHP-6444" TargetMode="External"/><Relationship Id="rId25" Type="http://schemas.openxmlformats.org/officeDocument/2006/relationships/hyperlink" Target="https://jira.bnh.com/browse/BHP-6827" TargetMode="External"/><Relationship Id="rId33" Type="http://schemas.openxmlformats.org/officeDocument/2006/relationships/hyperlink" Target="https://jira.bnh.com/browse/BHUX-32543" TargetMode="External"/><Relationship Id="rId38" Type="http://schemas.openxmlformats.org/officeDocument/2006/relationships/hyperlink" Target="https://jira.bnh.com/browse/BHUX-23755" TargetMode="External"/><Relationship Id="rId46" Type="http://schemas.openxmlformats.org/officeDocument/2006/relationships/hyperlink" Target="https://jira.bnh.com/browse/BHUX-32071" TargetMode="External"/><Relationship Id="rId59" Type="http://schemas.openxmlformats.org/officeDocument/2006/relationships/hyperlink" Target="https://jira.bnh.com/browse/BHP-7239" TargetMode="External"/><Relationship Id="rId67" Type="http://schemas.openxmlformats.org/officeDocument/2006/relationships/hyperlink" Target="https://jira.bnh.com/browse/BHP-7266" TargetMode="External"/><Relationship Id="rId20" Type="http://schemas.openxmlformats.org/officeDocument/2006/relationships/hyperlink" Target="https://jira.bnh.com/browse/BHUX-35020" TargetMode="External"/><Relationship Id="rId41" Type="http://schemas.openxmlformats.org/officeDocument/2006/relationships/hyperlink" Target="https://jira.bnh.com/browse/BHUX-28124" TargetMode="External"/><Relationship Id="rId54" Type="http://schemas.openxmlformats.org/officeDocument/2006/relationships/hyperlink" Target="https://jira.bnh.com/browse/BHP-7230" TargetMode="External"/><Relationship Id="rId62" Type="http://schemas.openxmlformats.org/officeDocument/2006/relationships/hyperlink" Target="https://jira.bnh.com/browse/BHP-6446" TargetMode="External"/><Relationship Id="rId70" Type="http://schemas.openxmlformats.org/officeDocument/2006/relationships/hyperlink" Target="https://jira.bnh.com/browse/BHP-6735" TargetMode="External"/><Relationship Id="rId75" Type="http://schemas.openxmlformats.org/officeDocument/2006/relationships/hyperlink" Target="https://jira.bnh.com/browse/BHP-7238" TargetMode="External"/><Relationship Id="rId83" Type="http://schemas.openxmlformats.org/officeDocument/2006/relationships/hyperlink" Target="https://jira.bnh.com/browse/BHP-7431" TargetMode="External"/><Relationship Id="rId1" Type="http://schemas.openxmlformats.org/officeDocument/2006/relationships/hyperlink" Target="https://jira.bnh.com/browse/BHUX-32257" TargetMode="External"/><Relationship Id="rId6" Type="http://schemas.openxmlformats.org/officeDocument/2006/relationships/hyperlink" Target="https://jira.bnh.com/browse/BHUX-33519" TargetMode="External"/><Relationship Id="rId15" Type="http://schemas.openxmlformats.org/officeDocument/2006/relationships/hyperlink" Target="https://jira.bnh.com/browse/BHP-7236" TargetMode="External"/><Relationship Id="rId23" Type="http://schemas.openxmlformats.org/officeDocument/2006/relationships/hyperlink" Target="https://jira.bnh.com/browse/BHP-7230" TargetMode="External"/><Relationship Id="rId28" Type="http://schemas.openxmlformats.org/officeDocument/2006/relationships/hyperlink" Target="https://jira.bnh.com/browse/BHUX-35304" TargetMode="External"/><Relationship Id="rId36" Type="http://schemas.openxmlformats.org/officeDocument/2006/relationships/hyperlink" Target="https://jira.bnh.com/browse/BHP-3757" TargetMode="External"/><Relationship Id="rId49" Type="http://schemas.openxmlformats.org/officeDocument/2006/relationships/hyperlink" Target="https://jira.bnh.com/browse/BHP-7274" TargetMode="External"/><Relationship Id="rId57" Type="http://schemas.openxmlformats.org/officeDocument/2006/relationships/hyperlink" Target="https://jira.bnh.com/browse/BHP-3583" TargetMode="External"/><Relationship Id="rId10" Type="http://schemas.openxmlformats.org/officeDocument/2006/relationships/hyperlink" Target="https://jira.bnh.com/browse/BHP-6901" TargetMode="External"/><Relationship Id="rId31" Type="http://schemas.openxmlformats.org/officeDocument/2006/relationships/hyperlink" Target="https://jira.bnh.com/browse/BHJ-121278" TargetMode="External"/><Relationship Id="rId44" Type="http://schemas.openxmlformats.org/officeDocument/2006/relationships/hyperlink" Target="https://jira.bnh.com/browse/BHJ-119850" TargetMode="External"/><Relationship Id="rId52" Type="http://schemas.openxmlformats.org/officeDocument/2006/relationships/hyperlink" Target="https://jira.bnh.com/browse/BHP-6444" TargetMode="External"/><Relationship Id="rId60" Type="http://schemas.openxmlformats.org/officeDocument/2006/relationships/hyperlink" Target="https://jira.bnh.com/browse/BHP-4771" TargetMode="External"/><Relationship Id="rId65" Type="http://schemas.openxmlformats.org/officeDocument/2006/relationships/hyperlink" Target="https://jira.bnh.com/browse/BHP-6391" TargetMode="External"/><Relationship Id="rId73" Type="http://schemas.openxmlformats.org/officeDocument/2006/relationships/hyperlink" Target="https://jira.bnh.com/browse/BHP-6434" TargetMode="External"/><Relationship Id="rId78" Type="http://schemas.openxmlformats.org/officeDocument/2006/relationships/hyperlink" Target="https://jira.bnh.com/browse/BHP-2802" TargetMode="External"/><Relationship Id="rId81" Type="http://schemas.openxmlformats.org/officeDocument/2006/relationships/hyperlink" Target="https://jira.bnh.com/browse/BHP-4563" TargetMode="External"/><Relationship Id="rId4" Type="http://schemas.openxmlformats.org/officeDocument/2006/relationships/hyperlink" Target="https://jira.bnh.com/browse/BHUX-33434" TargetMode="External"/><Relationship Id="rId9" Type="http://schemas.openxmlformats.org/officeDocument/2006/relationships/hyperlink" Target="https://jira.bnh.com/browse/BHUX-25601" TargetMode="External"/><Relationship Id="rId13" Type="http://schemas.openxmlformats.org/officeDocument/2006/relationships/hyperlink" Target="https://jira.bnh.com/browse/BHUX-34772" TargetMode="External"/><Relationship Id="rId18" Type="http://schemas.openxmlformats.org/officeDocument/2006/relationships/hyperlink" Target="https://jira.bnh.com/browse/BHP-7229" TargetMode="External"/><Relationship Id="rId39" Type="http://schemas.openxmlformats.org/officeDocument/2006/relationships/hyperlink" Target="https://jira.bnh.com/browse/BHUX-17615" TargetMode="External"/><Relationship Id="rId34" Type="http://schemas.openxmlformats.org/officeDocument/2006/relationships/hyperlink" Target="https://jira.bnh.com/browse/BHP-5817" TargetMode="External"/><Relationship Id="rId50" Type="http://schemas.openxmlformats.org/officeDocument/2006/relationships/hyperlink" Target="https://jira.bnh.com/browse/BHP-7236" TargetMode="External"/><Relationship Id="rId55" Type="http://schemas.openxmlformats.org/officeDocument/2006/relationships/hyperlink" Target="https://jira.bnh.com/browse/BHP-7229" TargetMode="External"/><Relationship Id="rId76" Type="http://schemas.openxmlformats.org/officeDocument/2006/relationships/hyperlink" Target="https://jira.bnh.com/browse/BHUX-29580" TargetMode="External"/><Relationship Id="rId7" Type="http://schemas.openxmlformats.org/officeDocument/2006/relationships/hyperlink" Target="https://jira.bnh.com/browse/BHUX-29580" TargetMode="External"/><Relationship Id="rId71" Type="http://schemas.openxmlformats.org/officeDocument/2006/relationships/hyperlink" Target="https://jira.bnh.com/browse/BHP-7196" TargetMode="External"/><Relationship Id="rId2" Type="http://schemas.openxmlformats.org/officeDocument/2006/relationships/hyperlink" Target="https://jira.bnh.com/browse/BHUX-31874" TargetMode="External"/><Relationship Id="rId29" Type="http://schemas.openxmlformats.org/officeDocument/2006/relationships/hyperlink" Target="https://jira.bnh.com/browse/BHUX-35302" TargetMode="External"/><Relationship Id="rId24" Type="http://schemas.openxmlformats.org/officeDocument/2006/relationships/hyperlink" Target="https://jira.bnh.com/browse/BHP-7301" TargetMode="External"/><Relationship Id="rId40" Type="http://schemas.openxmlformats.org/officeDocument/2006/relationships/hyperlink" Target="https://jira.bnh.com/browse/BHUX-31354" TargetMode="External"/><Relationship Id="rId45" Type="http://schemas.openxmlformats.org/officeDocument/2006/relationships/hyperlink" Target="https://jira.bnh.com/browse/BHUX-31245" TargetMode="External"/><Relationship Id="rId66" Type="http://schemas.openxmlformats.org/officeDocument/2006/relationships/hyperlink" Target="https://jira.bnh.com/browse/BHP-643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jira.bnh.com/browse/BHUX-35020" TargetMode="External"/><Relationship Id="rId21" Type="http://schemas.openxmlformats.org/officeDocument/2006/relationships/hyperlink" Target="https://jira.bnh.com/browse/BHP-7230" TargetMode="External"/><Relationship Id="rId42" Type="http://schemas.openxmlformats.org/officeDocument/2006/relationships/hyperlink" Target="https://jira.bnh.com/browse/BHUX-35010" TargetMode="External"/><Relationship Id="rId47" Type="http://schemas.openxmlformats.org/officeDocument/2006/relationships/hyperlink" Target="https://jira.bnh.com/browse/BHP-7145" TargetMode="External"/><Relationship Id="rId63" Type="http://schemas.openxmlformats.org/officeDocument/2006/relationships/hyperlink" Target="https://jira.bnh.com/browse/BHUX-32543" TargetMode="External"/><Relationship Id="rId68" Type="http://schemas.openxmlformats.org/officeDocument/2006/relationships/hyperlink" Target="https://jira.bnh.com/browse/BHP-2638" TargetMode="External"/><Relationship Id="rId16" Type="http://schemas.openxmlformats.org/officeDocument/2006/relationships/hyperlink" Target="https://jira.bnh.com/browse/BHP-6444" TargetMode="External"/><Relationship Id="rId11" Type="http://schemas.openxmlformats.org/officeDocument/2006/relationships/hyperlink" Target="https://jira.bnh.com/browse/BHP-7236" TargetMode="External"/><Relationship Id="rId32" Type="http://schemas.openxmlformats.org/officeDocument/2006/relationships/hyperlink" Target="https://jira.bnh.com/browse/BHUX-35302" TargetMode="External"/><Relationship Id="rId37" Type="http://schemas.openxmlformats.org/officeDocument/2006/relationships/hyperlink" Target="https://jira.bnh.com/browse/BHP-6735" TargetMode="External"/><Relationship Id="rId53" Type="http://schemas.openxmlformats.org/officeDocument/2006/relationships/hyperlink" Target="https://jira.bnh.com/browse/BHUX-32257" TargetMode="External"/><Relationship Id="rId58" Type="http://schemas.openxmlformats.org/officeDocument/2006/relationships/hyperlink" Target="https://jira.bnh.com/browse/BHP-5830" TargetMode="External"/><Relationship Id="rId74" Type="http://schemas.openxmlformats.org/officeDocument/2006/relationships/hyperlink" Target="https://jira.bnh.com/browse/BHJ-119850" TargetMode="External"/><Relationship Id="rId79" Type="http://schemas.openxmlformats.org/officeDocument/2006/relationships/hyperlink" Target="https://jira.bnh.com/browse/BHUX-25601" TargetMode="External"/><Relationship Id="rId5" Type="http://schemas.openxmlformats.org/officeDocument/2006/relationships/hyperlink" Target="https://jira.bnh.com/browse/BHP-6446" TargetMode="External"/><Relationship Id="rId61" Type="http://schemas.openxmlformats.org/officeDocument/2006/relationships/hyperlink" Target="https://jira.bnh.com/browse/BHUX-32621" TargetMode="External"/><Relationship Id="rId82" Type="http://schemas.openxmlformats.org/officeDocument/2006/relationships/hyperlink" Target="https://jira.bnh.com/browse/BHP-5817" TargetMode="External"/><Relationship Id="rId19" Type="http://schemas.openxmlformats.org/officeDocument/2006/relationships/hyperlink" Target="https://jira.bnh.com/browse/BHP-7301" TargetMode="External"/><Relationship Id="rId14" Type="http://schemas.openxmlformats.org/officeDocument/2006/relationships/hyperlink" Target="https://jira.bnh.com/browse/BHP-7237" TargetMode="External"/><Relationship Id="rId22" Type="http://schemas.openxmlformats.org/officeDocument/2006/relationships/hyperlink" Target="https://jira.bnh.com/browse/BHP-7230" TargetMode="External"/><Relationship Id="rId27" Type="http://schemas.openxmlformats.org/officeDocument/2006/relationships/hyperlink" Target="https://jira.bnh.com/browse/BHP-7239" TargetMode="External"/><Relationship Id="rId30" Type="http://schemas.openxmlformats.org/officeDocument/2006/relationships/hyperlink" Target="https://jira.bnh.com/browse/BHUX-35303" TargetMode="External"/><Relationship Id="rId35" Type="http://schemas.openxmlformats.org/officeDocument/2006/relationships/hyperlink" Target="https://jira.bnh.com/browse/BHP-6434" TargetMode="External"/><Relationship Id="rId43" Type="http://schemas.openxmlformats.org/officeDocument/2006/relationships/hyperlink" Target="https://jira.bnh.com/browse/BHP-6900" TargetMode="External"/><Relationship Id="rId48" Type="http://schemas.openxmlformats.org/officeDocument/2006/relationships/hyperlink" Target="https://jira.bnh.com/browse/BHUX-34723" TargetMode="External"/><Relationship Id="rId56" Type="http://schemas.openxmlformats.org/officeDocument/2006/relationships/hyperlink" Target="https://jira.bnh.com/browse/BHUX-29580" TargetMode="External"/><Relationship Id="rId64" Type="http://schemas.openxmlformats.org/officeDocument/2006/relationships/hyperlink" Target="https://jira.bnh.com/browse/BHP-4518" TargetMode="External"/><Relationship Id="rId69" Type="http://schemas.openxmlformats.org/officeDocument/2006/relationships/hyperlink" Target="https://jira.bnh.com/browse/BHUX-23755" TargetMode="External"/><Relationship Id="rId77" Type="http://schemas.openxmlformats.org/officeDocument/2006/relationships/hyperlink" Target="https://jira.bnh.com/browse/BHUX-29921" TargetMode="External"/><Relationship Id="rId8" Type="http://schemas.openxmlformats.org/officeDocument/2006/relationships/hyperlink" Target="https://jira.bnh.com/browse/BHP-7274" TargetMode="External"/><Relationship Id="rId51" Type="http://schemas.openxmlformats.org/officeDocument/2006/relationships/hyperlink" Target="https://jira.bnh.com/browse/BHUX-26541" TargetMode="External"/><Relationship Id="rId72" Type="http://schemas.openxmlformats.org/officeDocument/2006/relationships/hyperlink" Target="https://jira.bnh.com/browse/MRCH-2202" TargetMode="External"/><Relationship Id="rId80" Type="http://schemas.openxmlformats.org/officeDocument/2006/relationships/hyperlink" Target="https://jira.bnh.com/browse/BHP-4563" TargetMode="External"/><Relationship Id="rId3" Type="http://schemas.openxmlformats.org/officeDocument/2006/relationships/hyperlink" Target="https://jira.bnh.com/browse/BHP-6901" TargetMode="External"/><Relationship Id="rId12" Type="http://schemas.openxmlformats.org/officeDocument/2006/relationships/hyperlink" Target="https://jira.bnh.com/browse/BHP-7236" TargetMode="External"/><Relationship Id="rId17" Type="http://schemas.openxmlformats.org/officeDocument/2006/relationships/hyperlink" Target="https://jira.bnh.com/browse/BHP-7229" TargetMode="External"/><Relationship Id="rId25" Type="http://schemas.openxmlformats.org/officeDocument/2006/relationships/hyperlink" Target="https://jira.bnh.com/browse/BHP-4792" TargetMode="External"/><Relationship Id="rId33" Type="http://schemas.openxmlformats.org/officeDocument/2006/relationships/hyperlink" Target="https://jira.bnh.com/browse/BHP-6391" TargetMode="External"/><Relationship Id="rId38" Type="http://schemas.openxmlformats.org/officeDocument/2006/relationships/hyperlink" Target="https://jira.bnh.com/browse/BHUX-34844" TargetMode="External"/><Relationship Id="rId46" Type="http://schemas.openxmlformats.org/officeDocument/2006/relationships/hyperlink" Target="https://jira.bnh.com/browse/BHUR-133" TargetMode="External"/><Relationship Id="rId59" Type="http://schemas.openxmlformats.org/officeDocument/2006/relationships/hyperlink" Target="https://jira.bnh.com/browse/BHUX-34377" TargetMode="External"/><Relationship Id="rId67" Type="http://schemas.openxmlformats.org/officeDocument/2006/relationships/hyperlink" Target="https://jira.bnh.com/browse/BHUX-17615" TargetMode="External"/><Relationship Id="rId20" Type="http://schemas.openxmlformats.org/officeDocument/2006/relationships/hyperlink" Target="https://jira.bnh.com/browse/BHP-7301" TargetMode="External"/><Relationship Id="rId41" Type="http://schemas.openxmlformats.org/officeDocument/2006/relationships/hyperlink" Target="https://jira.bnh.com/browse/BHP-7196" TargetMode="External"/><Relationship Id="rId54" Type="http://schemas.openxmlformats.org/officeDocument/2006/relationships/hyperlink" Target="https://jira.bnh.com/browse/BHP-7238" TargetMode="External"/><Relationship Id="rId62" Type="http://schemas.openxmlformats.org/officeDocument/2006/relationships/hyperlink" Target="https://jira.bnh.com/browse/BHP-6228" TargetMode="External"/><Relationship Id="rId70" Type="http://schemas.openxmlformats.org/officeDocument/2006/relationships/hyperlink" Target="https://jira.bnh.com/browse/BHP-5060" TargetMode="External"/><Relationship Id="rId75" Type="http://schemas.openxmlformats.org/officeDocument/2006/relationships/hyperlink" Target="https://jira.bnh.com/browse/BHUX-32071" TargetMode="External"/><Relationship Id="rId83" Type="http://schemas.openxmlformats.org/officeDocument/2006/relationships/hyperlink" Target="https://jira.bnh.com/browse/BHUX-31354" TargetMode="External"/><Relationship Id="rId1" Type="http://schemas.openxmlformats.org/officeDocument/2006/relationships/hyperlink" Target="https://jira.bnh.com/browse/BHP-4771" TargetMode="External"/><Relationship Id="rId6" Type="http://schemas.openxmlformats.org/officeDocument/2006/relationships/hyperlink" Target="https://jira.bnh.com/browse/BHUX-33434" TargetMode="External"/><Relationship Id="rId15" Type="http://schemas.openxmlformats.org/officeDocument/2006/relationships/hyperlink" Target="https://jira.bnh.com/browse/BHP-6444" TargetMode="External"/><Relationship Id="rId23" Type="http://schemas.openxmlformats.org/officeDocument/2006/relationships/hyperlink" Target="https://jira.bnh.com/browse/BHP-6827" TargetMode="External"/><Relationship Id="rId28" Type="http://schemas.openxmlformats.org/officeDocument/2006/relationships/hyperlink" Target="https://jira.bnh.com/browse/BHUX-35304" TargetMode="External"/><Relationship Id="rId36" Type="http://schemas.openxmlformats.org/officeDocument/2006/relationships/hyperlink" Target="https://jira.bnh.com/browse/BHUX-33009" TargetMode="External"/><Relationship Id="rId49" Type="http://schemas.openxmlformats.org/officeDocument/2006/relationships/hyperlink" Target="https://jira.bnh.com/browse/BHP-7228" TargetMode="External"/><Relationship Id="rId57" Type="http://schemas.openxmlformats.org/officeDocument/2006/relationships/hyperlink" Target="https://jira.bnh.com/browse/BHUX-29580" TargetMode="External"/><Relationship Id="rId10" Type="http://schemas.openxmlformats.org/officeDocument/2006/relationships/hyperlink" Target="https://jira.bnh.com/browse/BHP-7431" TargetMode="External"/><Relationship Id="rId31" Type="http://schemas.openxmlformats.org/officeDocument/2006/relationships/hyperlink" Target="https://jira.bnh.com/browse/BHP-7266" TargetMode="External"/><Relationship Id="rId44" Type="http://schemas.openxmlformats.org/officeDocument/2006/relationships/hyperlink" Target="https://jira.bnh.com/browse/BHUX-34378" TargetMode="External"/><Relationship Id="rId52" Type="http://schemas.openxmlformats.org/officeDocument/2006/relationships/hyperlink" Target="https://jira.bnh.com/browse/BHUX-31874" TargetMode="External"/><Relationship Id="rId60" Type="http://schemas.openxmlformats.org/officeDocument/2006/relationships/hyperlink" Target="https://jira.bnh.com/browse/BHP-2802" TargetMode="External"/><Relationship Id="rId65" Type="http://schemas.openxmlformats.org/officeDocument/2006/relationships/hyperlink" Target="https://jira.bnh.com/browse/BHUX-33519" TargetMode="External"/><Relationship Id="rId73" Type="http://schemas.openxmlformats.org/officeDocument/2006/relationships/hyperlink" Target="https://jira.bnh.com/browse/BHUX-31245" TargetMode="External"/><Relationship Id="rId78" Type="http://schemas.openxmlformats.org/officeDocument/2006/relationships/hyperlink" Target="https://jira.bnh.com/browse/BHP-3583" TargetMode="External"/><Relationship Id="rId81" Type="http://schemas.openxmlformats.org/officeDocument/2006/relationships/hyperlink" Target="https://jira.bnh.com/browse/BHP-4563" TargetMode="External"/><Relationship Id="rId4" Type="http://schemas.openxmlformats.org/officeDocument/2006/relationships/hyperlink" Target="https://jira.bnh.com/browse/BHP-6901" TargetMode="External"/><Relationship Id="rId9" Type="http://schemas.openxmlformats.org/officeDocument/2006/relationships/hyperlink" Target="https://jira.bnh.com/browse/BHP-7431" TargetMode="External"/><Relationship Id="rId13" Type="http://schemas.openxmlformats.org/officeDocument/2006/relationships/hyperlink" Target="https://jira.bnh.com/browse/BHP-7237" TargetMode="External"/><Relationship Id="rId18" Type="http://schemas.openxmlformats.org/officeDocument/2006/relationships/hyperlink" Target="https://jira.bnh.com/browse/BHP-7229" TargetMode="External"/><Relationship Id="rId39" Type="http://schemas.openxmlformats.org/officeDocument/2006/relationships/hyperlink" Target="https://jira.bnh.com/browse/BHP-6735" TargetMode="External"/><Relationship Id="rId34" Type="http://schemas.openxmlformats.org/officeDocument/2006/relationships/hyperlink" Target="https://jira.bnh.com/browse/BHUX-34772" TargetMode="External"/><Relationship Id="rId50" Type="http://schemas.openxmlformats.org/officeDocument/2006/relationships/hyperlink" Target="https://jira.bnh.com/browse/BHUX-35309" TargetMode="External"/><Relationship Id="rId55" Type="http://schemas.openxmlformats.org/officeDocument/2006/relationships/hyperlink" Target="https://jira.bnh.com/browse/BHJ-121278" TargetMode="External"/><Relationship Id="rId76" Type="http://schemas.openxmlformats.org/officeDocument/2006/relationships/hyperlink" Target="https://jira.bnh.com/browse/BHP-5132" TargetMode="External"/><Relationship Id="rId7" Type="http://schemas.openxmlformats.org/officeDocument/2006/relationships/hyperlink" Target="https://jira.bnh.com/browse/BHP-7274" TargetMode="External"/><Relationship Id="rId71" Type="http://schemas.openxmlformats.org/officeDocument/2006/relationships/hyperlink" Target="https://jira.bnh.com/browse/BHUX-28124" TargetMode="External"/><Relationship Id="rId2" Type="http://schemas.openxmlformats.org/officeDocument/2006/relationships/hyperlink" Target="https://jira.bnh.com/browse/BHUX-33510" TargetMode="External"/><Relationship Id="rId29" Type="http://schemas.openxmlformats.org/officeDocument/2006/relationships/hyperlink" Target="https://jira.bnh.com/browse/BHP-5726" TargetMode="External"/><Relationship Id="rId24" Type="http://schemas.openxmlformats.org/officeDocument/2006/relationships/hyperlink" Target="https://jira.bnh.com/browse/BHP-6827" TargetMode="External"/><Relationship Id="rId40" Type="http://schemas.openxmlformats.org/officeDocument/2006/relationships/hyperlink" Target="https://jira.bnh.com/browse/BHUX-34845" TargetMode="External"/><Relationship Id="rId45" Type="http://schemas.openxmlformats.org/officeDocument/2006/relationships/hyperlink" Target="https://jira.bnh.com/browse/BHP-6434" TargetMode="External"/><Relationship Id="rId66" Type="http://schemas.openxmlformats.org/officeDocument/2006/relationships/hyperlink" Target="https://jira.bnh.com/browse/BHP-3757"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hyperlink" Target="https://jira.bnh.com/browse/BHUX-33524" TargetMode="External"/><Relationship Id="rId2" Type="http://schemas.openxmlformats.org/officeDocument/2006/relationships/hyperlink" Target="https://jira.bnh.com/browse/BHUX-33409" TargetMode="External"/><Relationship Id="rId1" Type="http://schemas.openxmlformats.org/officeDocument/2006/relationships/hyperlink" Target="https://jira.bnh.com/browse/BHUX-33186" TargetMode="External"/><Relationship Id="rId6" Type="http://schemas.openxmlformats.org/officeDocument/2006/relationships/hyperlink" Target="https://jira.bnh.com/browse/BHUX-34079" TargetMode="External"/><Relationship Id="rId5" Type="http://schemas.openxmlformats.org/officeDocument/2006/relationships/hyperlink" Target="https://jira.bnh.com/browse/BHUX-33526" TargetMode="External"/><Relationship Id="rId4" Type="http://schemas.openxmlformats.org/officeDocument/2006/relationships/hyperlink" Target="https://jira.bnh.com/browse/BHUX-3379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B57"/>
    <pageSetUpPr fitToPage="1"/>
  </sheetPr>
  <dimension ref="A1:AM123"/>
  <sheetViews>
    <sheetView showGridLines="0" tabSelected="1" zoomScaleNormal="100" workbookViewId="0">
      <pane xSplit="9" ySplit="15" topLeftCell="P16" activePane="bottomRight" state="frozen"/>
      <selection pane="topRight" activeCell="J1" sqref="J1"/>
      <selection pane="bottomLeft" activeCell="A14" sqref="A14"/>
      <selection pane="bottomRight" activeCell="Q41" sqref="Q41"/>
    </sheetView>
  </sheetViews>
  <sheetFormatPr baseColWidth="10" defaultColWidth="8.83203125" defaultRowHeight="16" outlineLevelRow="1" x14ac:dyDescent="0.2"/>
  <cols>
    <col min="1" max="1" width="58.1640625" customWidth="1"/>
    <col min="2" max="2" width="44" customWidth="1"/>
    <col min="3" max="3" width="15.5" bestFit="1" customWidth="1"/>
    <col min="4" max="4" width="34.1640625" bestFit="1" customWidth="1"/>
    <col min="5" max="6" width="11.5" hidden="1" customWidth="1"/>
    <col min="7" max="7" width="9.33203125" customWidth="1"/>
    <col min="8" max="9" width="10.5" hidden="1" customWidth="1"/>
    <col min="10" max="12" width="5" hidden="1" customWidth="1"/>
    <col min="13" max="15" width="8.83203125" hidden="1" customWidth="1"/>
    <col min="16" max="33" width="8.83203125" customWidth="1"/>
    <col min="34" max="34" width="34" hidden="1" customWidth="1"/>
    <col min="35" max="35" width="8" hidden="1" customWidth="1"/>
    <col min="36" max="39" width="30" hidden="1" customWidth="1"/>
  </cols>
  <sheetData>
    <row r="1" spans="1:39" ht="35" customHeight="1" x14ac:dyDescent="0.25">
      <c r="A1" s="208" t="s">
        <v>0</v>
      </c>
      <c r="B1" s="160"/>
      <c r="C1" s="160"/>
      <c r="D1" s="177" t="str">
        <f>"Showing "&amp;COUNTIF('Roadmap Calc (Don’t Touch)'!$V$2:$V$151,1)&amp;" of "&amp;COUNTIF('Roadmap Calc (Don’t Touch)'!$V$2:$V$151,"&gt;=0")&amp;" rows"</f>
        <v>Showing 23 of 45 rows</v>
      </c>
      <c r="E1" s="161"/>
      <c r="F1" s="161"/>
      <c r="G1" s="161"/>
      <c r="H1" s="160"/>
      <c r="I1" s="160"/>
      <c r="J1" s="161"/>
      <c r="K1" s="161"/>
      <c r="L1" s="161"/>
      <c r="M1" s="161"/>
      <c r="N1" s="161"/>
      <c r="O1" s="161"/>
      <c r="P1" s="161"/>
      <c r="Q1" s="161"/>
      <c r="R1" s="161"/>
      <c r="S1" s="161"/>
      <c r="T1" s="161"/>
      <c r="U1" s="161"/>
      <c r="V1" s="161"/>
      <c r="W1" s="161"/>
      <c r="X1" s="161"/>
      <c r="Y1" s="161"/>
      <c r="Z1" s="161"/>
      <c r="AA1" s="161"/>
      <c r="AB1" s="161"/>
      <c r="AC1" s="161"/>
      <c r="AD1" s="161"/>
      <c r="AE1" s="161"/>
      <c r="AF1" s="161"/>
      <c r="AG1" s="161"/>
      <c r="AH1" s="160"/>
      <c r="AI1" s="160"/>
      <c r="AJ1" s="162" t="s">
        <v>1</v>
      </c>
      <c r="AK1" s="162" t="s">
        <v>1</v>
      </c>
      <c r="AL1" s="162" t="s">
        <v>1</v>
      </c>
      <c r="AM1" s="162" t="s">
        <v>2</v>
      </c>
    </row>
    <row r="2" spans="1:39" ht="21" customHeight="1" x14ac:dyDescent="0.25">
      <c r="A2" s="187" t="s">
        <v>3</v>
      </c>
      <c r="B2" s="185" t="s">
        <v>4</v>
      </c>
      <c r="C2" s="191" t="s">
        <v>5</v>
      </c>
      <c r="D2" s="189" t="s">
        <v>6</v>
      </c>
      <c r="E2" s="160"/>
      <c r="F2" s="160"/>
      <c r="G2" s="161"/>
      <c r="H2" s="160"/>
      <c r="I2" s="160"/>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0"/>
      <c r="AI2" s="160"/>
      <c r="AJ2" s="162"/>
      <c r="AK2" s="162"/>
      <c r="AL2" s="162"/>
      <c r="AM2" s="162"/>
    </row>
    <row r="3" spans="1:39" ht="21" customHeight="1" x14ac:dyDescent="0.25">
      <c r="A3" s="188" t="s">
        <v>138</v>
      </c>
      <c r="B3" s="186" t="s">
        <v>1</v>
      </c>
      <c r="C3" s="192" t="s">
        <v>1</v>
      </c>
      <c r="D3" s="190"/>
      <c r="E3" s="160"/>
      <c r="F3" s="160"/>
      <c r="G3" s="161"/>
      <c r="H3" s="160"/>
      <c r="I3" s="160"/>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0"/>
      <c r="AI3" s="160"/>
      <c r="AJ3" s="162"/>
      <c r="AK3" s="162"/>
      <c r="AL3" s="162"/>
      <c r="AM3" s="162"/>
    </row>
    <row r="4" spans="1:39" ht="36" hidden="1" customHeight="1" x14ac:dyDescent="0.25">
      <c r="A4" s="160"/>
      <c r="B4" s="160"/>
      <c r="C4" s="160"/>
      <c r="D4" s="160"/>
      <c r="E4" s="160"/>
      <c r="F4" s="160"/>
      <c r="G4" s="161"/>
      <c r="H4" s="160"/>
      <c r="I4" s="160"/>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0"/>
      <c r="AI4" s="160"/>
      <c r="AJ4" s="162" t="str">
        <f>IF(COUNTA(Control!A4)=0,"",Control!A4)</f>
        <v>B2B</v>
      </c>
      <c r="AK4" s="162" t="str">
        <f>IF(COUNTA(Control!E4)=0,"",Control!E4)</f>
        <v>Improve Discovery</v>
      </c>
      <c r="AL4" s="162" t="str">
        <f>IF(COUNTA(Control!B4)=0,"",Control!B4)</f>
        <v>00. Parking Lot</v>
      </c>
      <c r="AM4" s="162" t="s">
        <v>7</v>
      </c>
    </row>
    <row r="5" spans="1:39" ht="19" hidden="1" customHeight="1" x14ac:dyDescent="0.25">
      <c r="A5" s="163"/>
      <c r="B5" s="163"/>
      <c r="C5" s="163"/>
      <c r="D5" s="184"/>
      <c r="E5" s="160"/>
      <c r="F5" s="178"/>
      <c r="G5" s="205"/>
      <c r="H5" s="160"/>
      <c r="I5" s="160"/>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0"/>
      <c r="AI5" s="160"/>
      <c r="AJ5" s="162" t="str">
        <f>IF(COUNTA(Control!A5)=0,"",Control!A5)</f>
        <v>Used</v>
      </c>
      <c r="AK5" s="162" t="str">
        <f>IF(COUNTA(Control!E5)=0,"",Control!E5)</f>
        <v>Increase Trade In Awareness</v>
      </c>
      <c r="AL5" s="162" t="str">
        <f>IF(COUNTA(Control!B5)=0,"",Control!B5)</f>
        <v>01A. Research - Foundational</v>
      </c>
      <c r="AM5" s="162" t="s">
        <v>8</v>
      </c>
    </row>
    <row r="6" spans="1:39" ht="19" customHeight="1" x14ac:dyDescent="0.25">
      <c r="A6" s="163"/>
      <c r="B6" s="163"/>
      <c r="C6" s="163"/>
      <c r="D6" s="207"/>
      <c r="E6" s="160"/>
      <c r="F6" s="163"/>
      <c r="G6" s="164"/>
      <c r="H6" s="160"/>
      <c r="I6" s="160"/>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0"/>
      <c r="AI6" s="160"/>
      <c r="AJ6" s="162"/>
      <c r="AK6" s="162"/>
      <c r="AL6" s="162"/>
      <c r="AM6" s="162"/>
    </row>
    <row r="7" spans="1:39" ht="52" hidden="1" customHeight="1" outlineLevel="1" x14ac:dyDescent="0.25">
      <c r="A7" s="209" t="s">
        <v>9</v>
      </c>
      <c r="B7" s="225" t="str">
        <f>IF(OR($B$3="",$B$3="(All)"),"Hint: Pick a theme in Show theme above to see its description and measures.",IF('Roadmap Calc (Don’t Touch)'!$BA$5="","— no description defined on the Control tab —",'Roadmap Calc (Don’t Touch)'!$BA$5))</f>
        <v>Hint: Pick a theme in Show theme above to see its description and measures.</v>
      </c>
      <c r="C7" s="225"/>
      <c r="D7" s="226"/>
      <c r="E7" s="183"/>
      <c r="F7" s="183"/>
      <c r="G7" s="206"/>
      <c r="H7" s="183"/>
      <c r="I7" s="183"/>
      <c r="J7" s="164"/>
      <c r="K7" s="164"/>
      <c r="L7" s="164"/>
      <c r="M7" s="164"/>
      <c r="N7" s="164"/>
      <c r="O7" s="164"/>
      <c r="P7" s="164"/>
      <c r="Q7" s="164"/>
      <c r="R7" s="164"/>
      <c r="S7" s="164"/>
      <c r="T7" s="164"/>
      <c r="U7" s="164"/>
      <c r="V7" s="164"/>
      <c r="W7" s="164"/>
      <c r="X7" s="164"/>
      <c r="Y7" s="164"/>
      <c r="Z7" s="164"/>
      <c r="AA7" s="164"/>
      <c r="AB7" s="164"/>
      <c r="AC7" s="164"/>
      <c r="AD7" s="164"/>
      <c r="AE7" s="164"/>
      <c r="AF7" s="164"/>
      <c r="AG7" s="164"/>
      <c r="AH7" s="160"/>
      <c r="AI7" s="160"/>
      <c r="AJ7" s="162" t="str">
        <f>IF(COUNTA(Control!A6)=0,"",Control!A6)</f>
        <v>Find</v>
      </c>
      <c r="AK7" s="162" t="str">
        <f>IF(COUNTA(Control!E6)=0,"",Control!E6)</f>
        <v>Improve Trade In User Flow</v>
      </c>
      <c r="AL7" s="162" t="str">
        <f>IF(COUNTA(Control!B6)=0,"",Control!B6)</f>
        <v>01. Prod Discovery</v>
      </c>
      <c r="AM7" s="162" t="s">
        <v>10</v>
      </c>
    </row>
    <row r="8" spans="1:39" ht="31" hidden="1" customHeight="1" outlineLevel="1" x14ac:dyDescent="0.25">
      <c r="A8" s="210" t="s">
        <v>11</v>
      </c>
      <c r="B8" s="227" t="str">
        <f>IF(OR($B$3="",$B$3="(All)"),"",IF('Roadmap Calc (Don’t Touch)'!$BA$6="","— no adoption measures defined on the Control tab —",'Roadmap Calc (Don’t Touch)'!$BA$6))</f>
        <v/>
      </c>
      <c r="C8" s="227"/>
      <c r="D8" s="228"/>
      <c r="E8" s="183"/>
      <c r="F8" s="183"/>
      <c r="G8" s="206"/>
      <c r="H8" s="183"/>
      <c r="I8" s="183"/>
      <c r="J8" s="164"/>
      <c r="K8" s="164"/>
      <c r="L8" s="164"/>
      <c r="M8" s="164"/>
      <c r="N8" s="164"/>
      <c r="O8" s="164"/>
      <c r="P8" s="164"/>
      <c r="Q8" s="164"/>
      <c r="R8" s="164"/>
      <c r="S8" s="164"/>
      <c r="T8" s="164"/>
      <c r="U8" s="164"/>
      <c r="V8" s="164"/>
      <c r="W8" s="164"/>
      <c r="X8" s="164"/>
      <c r="Y8" s="164"/>
      <c r="Z8" s="164"/>
      <c r="AA8" s="164"/>
      <c r="AB8" s="164"/>
      <c r="AC8" s="164"/>
      <c r="AD8" s="164"/>
      <c r="AE8" s="164"/>
      <c r="AF8" s="164"/>
      <c r="AG8" s="164"/>
      <c r="AH8" s="160"/>
      <c r="AI8" s="160"/>
      <c r="AJ8" s="162" t="str">
        <f>IF(COUNTA(Control!A7)=0,"",Control!A7)</f>
        <v/>
      </c>
      <c r="AK8" s="162" t="str">
        <f>IF(COUNTA(Control!E7)=0,"",Control!E7)</f>
        <v>Increase Trade In Reactivation</v>
      </c>
      <c r="AL8" s="162" t="str">
        <f>IF(COUNTA(Control!B7)=0,"",Control!B7)</f>
        <v>02. UX Req</v>
      </c>
      <c r="AM8" s="162" t="s">
        <v>12</v>
      </c>
    </row>
    <row r="9" spans="1:39" ht="46" hidden="1" customHeight="1" outlineLevel="1" thickBot="1" x14ac:dyDescent="0.3">
      <c r="A9" s="211" t="s">
        <v>13</v>
      </c>
      <c r="B9" s="229" t="str">
        <f>IF(OR($B$3="",$B$3="(All)"),"",IF('Roadmap Calc (Don’t Touch)'!$BA$7="","— no impact measures defined on the Control tab —",'Roadmap Calc (Don’t Touch)'!$BA$7))</f>
        <v/>
      </c>
      <c r="C9" s="229"/>
      <c r="D9" s="230"/>
      <c r="E9" s="183"/>
      <c r="F9" s="183"/>
      <c r="G9" s="206"/>
      <c r="H9" s="183"/>
      <c r="I9" s="183"/>
      <c r="J9" s="164"/>
      <c r="K9" s="164"/>
      <c r="L9" s="164"/>
      <c r="M9" s="164"/>
      <c r="N9" s="164"/>
      <c r="O9" s="164"/>
      <c r="P9" s="164"/>
      <c r="Q9" s="164"/>
      <c r="R9" s="164"/>
      <c r="S9" s="164"/>
      <c r="T9" s="164"/>
      <c r="U9" s="164"/>
      <c r="V9" s="164"/>
      <c r="W9" s="164"/>
      <c r="X9" s="164"/>
      <c r="Y9" s="164"/>
      <c r="Z9" s="164"/>
      <c r="AA9" s="164"/>
      <c r="AB9" s="164"/>
      <c r="AC9" s="164"/>
      <c r="AD9" s="164"/>
      <c r="AE9" s="164"/>
      <c r="AF9" s="164"/>
      <c r="AG9" s="164"/>
      <c r="AH9" s="160"/>
      <c r="AI9" s="160"/>
      <c r="AJ9" s="162" t="str">
        <f>IF(COUNTA(Control!A8)=0,"",Control!A8)</f>
        <v/>
      </c>
      <c r="AK9" s="162" t="str">
        <f>IF(COUNTA(Control!E8)=0,"",Control!E8)</f>
        <v>Increase Buy Used Awareness</v>
      </c>
      <c r="AL9" s="162" t="str">
        <f>IF(COUNTA(Control!B8)=0,"",Control!B8)</f>
        <v>03. UX Discovery</v>
      </c>
      <c r="AM9" s="160"/>
    </row>
    <row r="10" spans="1:39" ht="19" hidden="1" outlineLevel="1" x14ac:dyDescent="0.25">
      <c r="A10" s="202"/>
      <c r="B10" s="203"/>
      <c r="C10" s="203"/>
      <c r="D10" s="204"/>
      <c r="E10" s="183"/>
      <c r="F10" s="183"/>
      <c r="G10" s="206"/>
      <c r="H10" s="183"/>
      <c r="I10" s="183"/>
      <c r="J10" s="164"/>
      <c r="K10" s="164"/>
      <c r="L10" s="164"/>
      <c r="M10" s="164"/>
      <c r="N10" s="164"/>
      <c r="O10" s="164"/>
      <c r="P10" s="164"/>
      <c r="Q10" s="164"/>
      <c r="R10" s="164"/>
      <c r="S10" s="164"/>
      <c r="T10" s="164"/>
      <c r="U10" s="164"/>
      <c r="V10" s="164"/>
      <c r="W10" s="164"/>
      <c r="X10" s="164"/>
      <c r="Y10" s="164"/>
      <c r="Z10" s="164"/>
      <c r="AA10" s="164"/>
      <c r="AB10" s="164"/>
      <c r="AC10" s="164"/>
      <c r="AD10" s="164"/>
      <c r="AE10" s="164"/>
      <c r="AF10" s="164"/>
      <c r="AG10" s="164"/>
      <c r="AH10" s="160"/>
      <c r="AI10" s="160"/>
      <c r="AJ10" s="162"/>
      <c r="AK10" s="162"/>
      <c r="AL10" s="162"/>
      <c r="AM10" s="160"/>
    </row>
    <row r="11" spans="1:39" ht="19" collapsed="1" x14ac:dyDescent="0.25">
      <c r="A11" s="233"/>
      <c r="B11" s="159"/>
      <c r="C11" s="212" t="s">
        <v>14</v>
      </c>
      <c r="D11" s="193" t="s">
        <v>15</v>
      </c>
      <c r="E11" s="160"/>
      <c r="F11" s="160"/>
      <c r="G11" s="160"/>
      <c r="H11" s="160"/>
      <c r="I11" s="160"/>
      <c r="J11" s="161"/>
      <c r="K11" s="161"/>
      <c r="L11" s="161"/>
      <c r="M11" s="161"/>
      <c r="N11" s="161"/>
      <c r="O11" s="161"/>
      <c r="P11" s="161"/>
      <c r="Q11" s="161"/>
      <c r="R11" s="161"/>
      <c r="S11" s="161"/>
      <c r="T11" s="161"/>
      <c r="U11" s="161"/>
      <c r="V11" s="161"/>
      <c r="W11" s="161"/>
      <c r="X11" s="161"/>
      <c r="Y11" s="161"/>
      <c r="Z11" s="161"/>
      <c r="AA11" s="161"/>
      <c r="AB11" s="231"/>
      <c r="AC11" s="232"/>
      <c r="AD11" s="232"/>
      <c r="AE11" s="232"/>
      <c r="AF11" s="232"/>
      <c r="AG11" s="232"/>
      <c r="AH11" s="160"/>
      <c r="AI11" s="160"/>
      <c r="AJ11" s="162" t="str">
        <f>IF(COUNTA(Control!A9)=0,"",Control!A9)</f>
        <v/>
      </c>
      <c r="AK11" s="162" t="str">
        <f>IF(COUNTA(Control!E9)=0,"",Control!E9)</f>
        <v>Improve Buy Used Customer Experience</v>
      </c>
      <c r="AL11" s="162" t="str">
        <f>IF(COUNTA(Control!B9)=0,"",Control!B9)</f>
        <v>04. UX Design</v>
      </c>
      <c r="AM11" s="160"/>
    </row>
    <row r="12" spans="1:39" ht="19" hidden="1" customHeight="1" x14ac:dyDescent="0.25">
      <c r="A12" s="233"/>
      <c r="B12" s="159"/>
      <c r="C12" s="163"/>
      <c r="D12" s="194"/>
      <c r="E12" s="160"/>
      <c r="F12" s="160"/>
      <c r="G12" s="160"/>
      <c r="H12" s="160"/>
      <c r="I12" s="160"/>
      <c r="J12" s="165">
        <v>46023</v>
      </c>
      <c r="K12" s="165">
        <v>46054</v>
      </c>
      <c r="L12" s="165">
        <v>46082</v>
      </c>
      <c r="M12" s="165">
        <v>46113</v>
      </c>
      <c r="N12" s="165">
        <v>46143</v>
      </c>
      <c r="O12" s="165">
        <v>46174</v>
      </c>
      <c r="P12" s="165">
        <v>46204</v>
      </c>
      <c r="Q12" s="165">
        <v>46235</v>
      </c>
      <c r="R12" s="165">
        <v>46266</v>
      </c>
      <c r="S12" s="165">
        <v>46296</v>
      </c>
      <c r="T12" s="165">
        <v>46327</v>
      </c>
      <c r="U12" s="165">
        <v>46357</v>
      </c>
      <c r="V12" s="165">
        <v>46388</v>
      </c>
      <c r="W12" s="165">
        <v>46419</v>
      </c>
      <c r="X12" s="165">
        <v>46447</v>
      </c>
      <c r="Y12" s="165">
        <v>46478</v>
      </c>
      <c r="Z12" s="165">
        <v>46508</v>
      </c>
      <c r="AA12" s="165">
        <v>46539</v>
      </c>
      <c r="AB12" s="165">
        <v>46569</v>
      </c>
      <c r="AC12" s="165">
        <v>46600</v>
      </c>
      <c r="AD12" s="165">
        <v>46631</v>
      </c>
      <c r="AE12" s="165">
        <v>46661</v>
      </c>
      <c r="AF12" s="165">
        <v>46692</v>
      </c>
      <c r="AG12" s="165">
        <v>46722</v>
      </c>
      <c r="AH12" s="160"/>
      <c r="AI12" s="160"/>
      <c r="AJ12" s="160"/>
      <c r="AK12" s="162" t="str">
        <f>IF(COUNTA(Control!E10)=0,"",Control!E10)</f>
        <v>Increase Buy Used Reactivation</v>
      </c>
      <c r="AL12" s="162" t="str">
        <f>IF(COUNTA(Control!B10)=0,"",Control!B10)</f>
        <v>04A. Research - Design Validation</v>
      </c>
      <c r="AM12" s="160"/>
    </row>
    <row r="13" spans="1:39" ht="18" customHeight="1" x14ac:dyDescent="0.25">
      <c r="A13" s="233"/>
      <c r="B13" s="159"/>
      <c r="C13" s="179" t="s">
        <v>16</v>
      </c>
      <c r="D13" s="195" t="s">
        <v>17</v>
      </c>
      <c r="E13" s="160"/>
      <c r="F13" s="160"/>
      <c r="G13" s="160"/>
      <c r="H13" s="160"/>
      <c r="I13" s="160"/>
      <c r="J13" s="218">
        <v>2026</v>
      </c>
      <c r="K13" s="219"/>
      <c r="L13" s="219"/>
      <c r="M13" s="219"/>
      <c r="N13" s="219"/>
      <c r="O13" s="219"/>
      <c r="P13" s="219"/>
      <c r="Q13" s="219"/>
      <c r="R13" s="219"/>
      <c r="S13" s="219"/>
      <c r="T13" s="219"/>
      <c r="U13" s="219"/>
      <c r="V13" s="218">
        <v>2027</v>
      </c>
      <c r="W13" s="219"/>
      <c r="X13" s="219"/>
      <c r="Y13" s="219"/>
      <c r="Z13" s="219"/>
      <c r="AA13" s="219"/>
      <c r="AB13" s="219"/>
      <c r="AC13" s="219"/>
      <c r="AD13" s="219"/>
      <c r="AE13" s="219"/>
      <c r="AF13" s="219"/>
      <c r="AG13" s="219"/>
      <c r="AH13" s="160"/>
      <c r="AI13" s="160"/>
      <c r="AJ13" s="160"/>
      <c r="AK13" s="162" t="str">
        <f>IF(COUNTA(Control!E11)=0,"",Control!E11)</f>
        <v>Increase B2B Acquisition</v>
      </c>
      <c r="AL13" s="162" t="str">
        <f>IF(COUNTA(Control!B11)=0,"",Control!B11)</f>
        <v>05. Business Review</v>
      </c>
      <c r="AM13" s="160"/>
    </row>
    <row r="14" spans="1:39" ht="16" customHeight="1" x14ac:dyDescent="0.25">
      <c r="A14" s="233"/>
      <c r="B14" s="159"/>
      <c r="C14" s="213" t="s">
        <v>18</v>
      </c>
      <c r="D14" s="196" t="s">
        <v>19</v>
      </c>
      <c r="E14" s="160"/>
      <c r="F14" s="160"/>
      <c r="G14" s="160"/>
      <c r="H14" s="160"/>
      <c r="I14" s="160"/>
      <c r="J14" s="222" t="s">
        <v>20</v>
      </c>
      <c r="K14" s="223"/>
      <c r="L14" s="223"/>
      <c r="M14" s="222" t="s">
        <v>21</v>
      </c>
      <c r="N14" s="223"/>
      <c r="O14" s="223"/>
      <c r="P14" s="222" t="s">
        <v>22</v>
      </c>
      <c r="Q14" s="223"/>
      <c r="R14" s="223"/>
      <c r="S14" s="222" t="s">
        <v>23</v>
      </c>
      <c r="T14" s="223"/>
      <c r="U14" s="223"/>
      <c r="V14" s="222" t="s">
        <v>20</v>
      </c>
      <c r="W14" s="223"/>
      <c r="X14" s="223"/>
      <c r="Y14" s="222" t="s">
        <v>21</v>
      </c>
      <c r="Z14" s="223"/>
      <c r="AA14" s="223"/>
      <c r="AB14" s="222" t="s">
        <v>22</v>
      </c>
      <c r="AC14" s="223"/>
      <c r="AD14" s="223"/>
      <c r="AE14" s="222" t="s">
        <v>23</v>
      </c>
      <c r="AF14" s="223"/>
      <c r="AG14" s="223"/>
      <c r="AH14" s="160"/>
      <c r="AI14" s="160"/>
      <c r="AJ14" s="160"/>
      <c r="AK14" s="162" t="str">
        <f>IF(COUNTA(Control!E12)=0,"",Control!E12)</f>
        <v>Increase The Studio B&amp;H Awareness</v>
      </c>
      <c r="AL14" s="162" t="str">
        <f>IF(COUNTA(Control!B12)=0,"",Control!B12)</f>
        <v>06. Architecture</v>
      </c>
      <c r="AM14" s="160"/>
    </row>
    <row r="15" spans="1:39" ht="30" customHeight="1" thickBot="1" x14ac:dyDescent="0.3">
      <c r="A15" s="180" t="s">
        <v>24</v>
      </c>
      <c r="B15" s="180" t="s">
        <v>25</v>
      </c>
      <c r="C15" s="180" t="s">
        <v>26</v>
      </c>
      <c r="D15" s="180" t="s">
        <v>27</v>
      </c>
      <c r="E15" s="181" t="s">
        <v>28</v>
      </c>
      <c r="F15" s="181" t="s">
        <v>29</v>
      </c>
      <c r="G15" s="181" t="s">
        <v>30</v>
      </c>
      <c r="H15" s="181" t="s">
        <v>31</v>
      </c>
      <c r="I15" s="181" t="s">
        <v>32</v>
      </c>
      <c r="J15" s="182" t="s">
        <v>33</v>
      </c>
      <c r="K15" s="182" t="s">
        <v>34</v>
      </c>
      <c r="L15" s="182" t="s">
        <v>35</v>
      </c>
      <c r="M15" s="182" t="s">
        <v>36</v>
      </c>
      <c r="N15" s="182" t="s">
        <v>37</v>
      </c>
      <c r="O15" s="182" t="s">
        <v>38</v>
      </c>
      <c r="P15" s="182" t="s">
        <v>39</v>
      </c>
      <c r="Q15" s="182" t="s">
        <v>40</v>
      </c>
      <c r="R15" s="182" t="s">
        <v>41</v>
      </c>
      <c r="S15" s="182" t="s">
        <v>42</v>
      </c>
      <c r="T15" s="182" t="s">
        <v>43</v>
      </c>
      <c r="U15" s="182" t="s">
        <v>44</v>
      </c>
      <c r="V15" s="182" t="s">
        <v>33</v>
      </c>
      <c r="W15" s="182" t="s">
        <v>34</v>
      </c>
      <c r="X15" s="182" t="s">
        <v>35</v>
      </c>
      <c r="Y15" s="182" t="s">
        <v>36</v>
      </c>
      <c r="Z15" s="182" t="s">
        <v>37</v>
      </c>
      <c r="AA15" s="182" t="s">
        <v>38</v>
      </c>
      <c r="AB15" s="182" t="s">
        <v>39</v>
      </c>
      <c r="AC15" s="182" t="s">
        <v>40</v>
      </c>
      <c r="AD15" s="182" t="s">
        <v>41</v>
      </c>
      <c r="AE15" s="182" t="s">
        <v>42</v>
      </c>
      <c r="AF15" s="182" t="s">
        <v>43</v>
      </c>
      <c r="AG15" s="182" t="s">
        <v>44</v>
      </c>
      <c r="AH15" s="166" t="s">
        <v>45</v>
      </c>
      <c r="AI15" s="166" t="s">
        <v>46</v>
      </c>
      <c r="AJ15" s="160"/>
      <c r="AK15" s="162" t="str">
        <f>IF(COUNTA(Control!E13)=0,"",Control!E13)</f>
        <v>Improve The Studio B&amp;H Customer Experience</v>
      </c>
      <c r="AL15" s="162" t="str">
        <f>IF(COUNTA(Control!B13)=0,"",Control!B13)</f>
        <v>07. Grooming</v>
      </c>
      <c r="AM15" s="160"/>
    </row>
    <row r="16" spans="1:39" ht="20" customHeight="1" x14ac:dyDescent="0.25">
      <c r="A16" s="214" t="str">
        <f>IF($AI16="","",IF($AH16=$AH15,"",IF(INDEX('Roadmap Calc (Don’t Touch)'!$U$2:$U$151,$AI16)=0,$AH16,HYPERLINK("#'Control (Don’t Touch)'!E"&amp;INDEX('Roadmap Calc (Don’t Touch)'!$U$2:$U$151,$AI16),$AH16))))</f>
        <v>Increase Trade In Awareness</v>
      </c>
      <c r="B16" s="174" t="str">
        <f>IF($AI16="","",IF(INDEX('Roadmap Calc (Don’t Touch)'!$K$2:$K$151,$AI16)="",INDEX('Roadmap Calc (Don’t Touch)'!$B$2:$B$151,$AI16),HYPERLINK("https://jira.bnh.com/browse/"&amp;INDEX('Roadmap Calc (Don’t Touch)'!$K$2:$K$151,$AI16),INDEX('Roadmap Calc (Don’t Touch)'!$B$2:$B$151,$AI16))))</f>
        <v>Decouple Sell Used from Used Hub</v>
      </c>
      <c r="C16" s="174" t="str">
        <f>IF($AI16="","",IF(INDEX('Roadmap Calc (Don’t Touch)'!$E$2:$E$151,$AI16)="","",HYPERLINK("https://jira.bnh.com/browse/"&amp;INDEX('Roadmap Calc (Don’t Touch)'!$E$2:$E$151,$AI16),INDEX('Roadmap Calc (Don’t Touch)'!$E$2:$E$151,$AI16))))</f>
        <v>BHP-7431</v>
      </c>
      <c r="D16" s="176" t="str">
        <f>IF($AI16="","",INDEX('Roadmap Calc (Don’t Touch)'!$F$2:$F$151,$AI16))</f>
        <v>01. Prod Discovery</v>
      </c>
      <c r="E16" s="170" t="str">
        <f>IF($AI16="","",IF(ISNUMBER(INDEX('Roadmap Calc (Don’t Touch)'!$G$2:$G$151,$AI16)),INDEX('Roadmap Calc (Don’t Touch)'!$G$2:$G$151,$AI16),""))</f>
        <v/>
      </c>
      <c r="F16" s="170" t="str">
        <f>IF($AI16="","",IF(ISNUMBER(INDEX('Roadmap Calc (Don’t Touch)'!$H$2:$H$151,$AI16)),INDEX('Roadmap Calc (Don’t Touch)'!$H$2:$H$151,$AI16),""))</f>
        <v/>
      </c>
      <c r="G16" s="171">
        <f>IF($AI16="","",INDEX('Roadmap Calc (Don’t Touch)'!$T$2:$T$151,$AI16))</f>
        <v>0</v>
      </c>
      <c r="H16" s="172" t="str">
        <f ca="1">IF($AI16="","",IF(ISNUMBER(INDEX('Roadmap Calc (Don’t Touch)'!$I$2:$I$151,$AI16)),INDEX('Roadmap Calc (Don’t Touch)'!$I$2:$I$151,$AI16),""))</f>
        <v/>
      </c>
      <c r="I16" s="172" t="str">
        <f ca="1">IF($AI16="","",IF(ISNUMBER(INDEX('Roadmap Calc (Don’t Touch)'!$J$2:$J$151,$AI16)),INDEX('Roadmap Calc (Don’t Touch)'!$J$2:$J$151,$AI16),""))</f>
        <v/>
      </c>
      <c r="J16" s="173" t="str">
        <f ca="1">IF($AI16="","",IF(INDEX('Roadmap Calc (Don’t Touch)'!$AA$2:$AX$151,$AI16,1)&gt;0,IF(AND($H16&lt;&gt;"",$H16&lt;=EOMONTH(J$12,0),$I16&gt;=J$12),"BOTH","UX"),IF(AND($H16&lt;&gt;"",$H16&lt;=EOMONTH(J$12,0),$I16&gt;=J$12),"DEV","")))</f>
        <v/>
      </c>
      <c r="K16" s="173" t="str">
        <f ca="1">IF($AI16="","",IF(INDEX('Roadmap Calc (Don’t Touch)'!$AA$2:$AX$151,$AI16,2)&gt;0,IF(AND($H16&lt;&gt;"",$H16&lt;=EOMONTH(K$12,0),$I16&gt;=K$12),"BOTH","UX"),IF(AND($H16&lt;&gt;"",$H16&lt;=EOMONTH(K$12,0),$I16&gt;=K$12),"DEV","")))</f>
        <v/>
      </c>
      <c r="L16" s="173" t="str">
        <f ca="1">IF($AI16="","",IF(INDEX('Roadmap Calc (Don’t Touch)'!$AA$2:$AX$151,$AI16,3)&gt;0,IF(AND($H16&lt;&gt;"",$H16&lt;=EOMONTH(L$12,0),$I16&gt;=L$12),"BOTH","UX"),IF(AND($H16&lt;&gt;"",$H16&lt;=EOMONTH(L$12,0),$I16&gt;=L$12),"DEV","")))</f>
        <v/>
      </c>
      <c r="M16" s="173" t="str">
        <f ca="1">IF($AI16="","",IF(INDEX('Roadmap Calc (Don’t Touch)'!$AA$2:$AX$151,$AI16,4)&gt;0,IF(AND($H16&lt;&gt;"",$H16&lt;=EOMONTH(M$12,0),$I16&gt;=M$12),"BOTH","UX"),IF(AND($H16&lt;&gt;"",$H16&lt;=EOMONTH(M$12,0),$I16&gt;=M$12),"DEV","")))</f>
        <v/>
      </c>
      <c r="N16" s="173" t="str">
        <f ca="1">IF($AI16="","",IF(INDEX('Roadmap Calc (Don’t Touch)'!$AA$2:$AX$151,$AI16,5)&gt;0,IF(AND($H16&lt;&gt;"",$H16&lt;=EOMONTH(N$12,0),$I16&gt;=N$12),"BOTH","UX"),IF(AND($H16&lt;&gt;"",$H16&lt;=EOMONTH(N$12,0),$I16&gt;=N$12),"DEV","")))</f>
        <v/>
      </c>
      <c r="O16" s="173" t="str">
        <f ca="1">IF($AI16="","",IF(INDEX('Roadmap Calc (Don’t Touch)'!$AA$2:$AX$151,$AI16,6)&gt;0,IF(AND($H16&lt;&gt;"",$H16&lt;=EOMONTH(O$12,0),$I16&gt;=O$12),"BOTH","UX"),IF(AND($H16&lt;&gt;"",$H16&lt;=EOMONTH(O$12,0),$I16&gt;=O$12),"DEV","")))</f>
        <v/>
      </c>
      <c r="P16" s="173" t="str">
        <f ca="1">IF($AI16="","",IF(INDEX('Roadmap Calc (Don’t Touch)'!$AA$2:$AX$151,$AI16,7)&gt;0,IF(AND($H16&lt;&gt;"",$H16&lt;=EOMONTH(P$12,0),$I16&gt;=P$12),"BOTH","UX"),IF(AND($H16&lt;&gt;"",$H16&lt;=EOMONTH(P$12,0),$I16&gt;=P$12),"DEV","")))</f>
        <v/>
      </c>
      <c r="Q16" s="173" t="str">
        <f ca="1">IF($AI16="","",IF(INDEX('Roadmap Calc (Don’t Touch)'!$AA$2:$AX$151,$AI16,8)&gt;0,IF(AND($H16&lt;&gt;"",$H16&lt;=EOMONTH(Q$12,0),$I16&gt;=Q$12),"BOTH","UX"),IF(AND($H16&lt;&gt;"",$H16&lt;=EOMONTH(Q$12,0),$I16&gt;=Q$12),"DEV","")))</f>
        <v/>
      </c>
      <c r="R16" s="173" t="str">
        <f ca="1">IF($AI16="","",IF(INDEX('Roadmap Calc (Don’t Touch)'!$AA$2:$AX$151,$AI16,9)&gt;0,IF(AND($H16&lt;&gt;"",$H16&lt;=EOMONTH(R$12,0),$I16&gt;=R$12),"BOTH","UX"),IF(AND($H16&lt;&gt;"",$H16&lt;=EOMONTH(R$12,0),$I16&gt;=R$12),"DEV","")))</f>
        <v/>
      </c>
      <c r="S16" s="173" t="str">
        <f ca="1">IF($AI16="","",IF(INDEX('Roadmap Calc (Don’t Touch)'!$AA$2:$AX$151,$AI16,10)&gt;0,IF(AND($H16&lt;&gt;"",$H16&lt;=EOMONTH(S$12,0),$I16&gt;=S$12),"BOTH","UX"),IF(AND($H16&lt;&gt;"",$H16&lt;=EOMONTH(S$12,0),$I16&gt;=S$12),"DEV","")))</f>
        <v/>
      </c>
      <c r="T16" s="173" t="str">
        <f ca="1">IF($AI16="","",IF(INDEX('Roadmap Calc (Don’t Touch)'!$AA$2:$AX$151,$AI16,11)&gt;0,IF(AND($H16&lt;&gt;"",$H16&lt;=EOMONTH(T$12,0),$I16&gt;=T$12),"BOTH","UX"),IF(AND($H16&lt;&gt;"",$H16&lt;=EOMONTH(T$12,0),$I16&gt;=T$12),"DEV","")))</f>
        <v/>
      </c>
      <c r="U16" s="173" t="str">
        <f ca="1">IF($AI16="","",IF(INDEX('Roadmap Calc (Don’t Touch)'!$AA$2:$AX$151,$AI16,12)&gt;0,IF(AND($H16&lt;&gt;"",$H16&lt;=EOMONTH(U$12,0),$I16&gt;=U$12),"BOTH","UX"),IF(AND($H16&lt;&gt;"",$H16&lt;=EOMONTH(U$12,0),$I16&gt;=U$12),"DEV","")))</f>
        <v/>
      </c>
      <c r="V16" s="173" t="str">
        <f ca="1">IF($AI16="","",IF(INDEX('Roadmap Calc (Don’t Touch)'!$AA$2:$AX$151,$AI16,13)&gt;0,IF(AND($H16&lt;&gt;"",$H16&lt;=EOMONTH(V$12,0),$I16&gt;=V$12),"BOTH","UX"),IF(AND($H16&lt;&gt;"",$H16&lt;=EOMONTH(V$12,0),$I16&gt;=V$12),"DEV","")))</f>
        <v/>
      </c>
      <c r="W16" s="173" t="str">
        <f ca="1">IF($AI16="","",IF(INDEX('Roadmap Calc (Don’t Touch)'!$AA$2:$AX$151,$AI16,14)&gt;0,IF(AND($H16&lt;&gt;"",$H16&lt;=EOMONTH(W$12,0),$I16&gt;=W$12),"BOTH","UX"),IF(AND($H16&lt;&gt;"",$H16&lt;=EOMONTH(W$12,0),$I16&gt;=W$12),"DEV","")))</f>
        <v/>
      </c>
      <c r="X16" s="173" t="str">
        <f ca="1">IF($AI16="","",IF(INDEX('Roadmap Calc (Don’t Touch)'!$AA$2:$AX$151,$AI16,15)&gt;0,IF(AND($H16&lt;&gt;"",$H16&lt;=EOMONTH(X$12,0),$I16&gt;=X$12),"BOTH","UX"),IF(AND($H16&lt;&gt;"",$H16&lt;=EOMONTH(X$12,0),$I16&gt;=X$12),"DEV","")))</f>
        <v/>
      </c>
      <c r="Y16" s="173" t="str">
        <f ca="1">IF($AI16="","",IF(INDEX('Roadmap Calc (Don’t Touch)'!$AA$2:$AX$151,$AI16,16)&gt;0,IF(AND($H16&lt;&gt;"",$H16&lt;=EOMONTH(Y$12,0),$I16&gt;=Y$12),"BOTH","UX"),IF(AND($H16&lt;&gt;"",$H16&lt;=EOMONTH(Y$12,0),$I16&gt;=Y$12),"DEV","")))</f>
        <v/>
      </c>
      <c r="Z16" s="173" t="str">
        <f ca="1">IF($AI16="","",IF(INDEX('Roadmap Calc (Don’t Touch)'!$AA$2:$AX$151,$AI16,17)&gt;0,IF(AND($H16&lt;&gt;"",$H16&lt;=EOMONTH(Z$12,0),$I16&gt;=Z$12),"BOTH","UX"),IF(AND($H16&lt;&gt;"",$H16&lt;=EOMONTH(Z$12,0),$I16&gt;=Z$12),"DEV","")))</f>
        <v/>
      </c>
      <c r="AA16" s="173" t="str">
        <f ca="1">IF($AI16="","",IF(INDEX('Roadmap Calc (Don’t Touch)'!$AA$2:$AX$151,$AI16,18)&gt;0,IF(AND($H16&lt;&gt;"",$H16&lt;=EOMONTH(AA$12,0),$I16&gt;=AA$12),"BOTH","UX"),IF(AND($H16&lt;&gt;"",$H16&lt;=EOMONTH(AA$12,0),$I16&gt;=AA$12),"DEV","")))</f>
        <v/>
      </c>
      <c r="AB16" s="173" t="str">
        <f ca="1">IF($AI16="","",IF(INDEX('Roadmap Calc (Don’t Touch)'!$AA$2:$AX$151,$AI16,19)&gt;0,IF(AND($H16&lt;&gt;"",$H16&lt;=EOMONTH(AB$12,0),$I16&gt;=AB$12),"BOTH","UX"),IF(AND($H16&lt;&gt;"",$H16&lt;=EOMONTH(AB$12,0),$I16&gt;=AB$12),"DEV","")))</f>
        <v/>
      </c>
      <c r="AC16" s="173" t="str">
        <f ca="1">IF($AI16="","",IF(INDEX('Roadmap Calc (Don’t Touch)'!$AA$2:$AX$151,$AI16,20)&gt;0,IF(AND($H16&lt;&gt;"",$H16&lt;=EOMONTH(AC$12,0),$I16&gt;=AC$12),"BOTH","UX"),IF(AND($H16&lt;&gt;"",$H16&lt;=EOMONTH(AC$12,0),$I16&gt;=AC$12),"DEV","")))</f>
        <v/>
      </c>
      <c r="AD16" s="173" t="str">
        <f ca="1">IF($AI16="","",IF(INDEX('Roadmap Calc (Don’t Touch)'!$AA$2:$AX$151,$AI16,21)&gt;0,IF(AND($H16&lt;&gt;"",$H16&lt;=EOMONTH(AD$12,0),$I16&gt;=AD$12),"BOTH","UX"),IF(AND($H16&lt;&gt;"",$H16&lt;=EOMONTH(AD$12,0),$I16&gt;=AD$12),"DEV","")))</f>
        <v/>
      </c>
      <c r="AE16" s="173" t="str">
        <f ca="1">IF($AI16="","",IF(INDEX('Roadmap Calc (Don’t Touch)'!$AA$2:$AX$151,$AI16,22)&gt;0,IF(AND($H16&lt;&gt;"",$H16&lt;=EOMONTH(AE$12,0),$I16&gt;=AE$12),"BOTH","UX"),IF(AND($H16&lt;&gt;"",$H16&lt;=EOMONTH(AE$12,0),$I16&gt;=AE$12),"DEV","")))</f>
        <v/>
      </c>
      <c r="AF16" s="173" t="str">
        <f ca="1">IF($AI16="","",IF(INDEX('Roadmap Calc (Don’t Touch)'!$AA$2:$AX$151,$AI16,23)&gt;0,IF(AND($H16&lt;&gt;"",$H16&lt;=EOMONTH(AF$12,0),$I16&gt;=AF$12),"BOTH","UX"),IF(AND($H16&lt;&gt;"",$H16&lt;=EOMONTH(AF$12,0),$I16&gt;=AF$12),"DEV","")))</f>
        <v/>
      </c>
      <c r="AG16" s="173" t="str">
        <f ca="1">IF($AI16="","",IF(INDEX('Roadmap Calc (Don’t Touch)'!$AA$2:$AX$151,$AI16,24)&gt;0,IF(AND($H16&lt;&gt;"",$H16&lt;=EOMONTH(AG$12,0),$I16&gt;=AG$12),"BOTH","UX"),IF(AND($H16&lt;&gt;"",$H16&lt;=EOMONTH(AG$12,0),$I16&gt;=AG$12),"DEV","")))</f>
        <v/>
      </c>
      <c r="AH16" s="160" t="str">
        <f>IF($AI16="","",INDEX('Roadmap Calc (Don’t Touch)'!$D$2:$D$151,$AI16))</f>
        <v>Increase Trade In Awareness</v>
      </c>
      <c r="AI16" s="160">
        <f>IFERROR(MATCH(1,'Roadmap Calc (Don’t Touch)'!$O$2:$O$151,0),"")</f>
        <v>6</v>
      </c>
      <c r="AJ16" s="160"/>
      <c r="AK16" s="162" t="str">
        <f>IF(COUNTA(Control!E14)=0,"",Control!E14)</f>
        <v>Increase Trust &amp; Condition Transparency</v>
      </c>
      <c r="AL16" s="162" t="str">
        <f>IF(COUNTA(Control!B14)=0,"",Control!B14)</f>
        <v>08. Ready for Dev</v>
      </c>
      <c r="AM16" s="160"/>
    </row>
    <row r="17" spans="1:39" ht="20" customHeight="1" x14ac:dyDescent="0.25">
      <c r="A17" s="214" t="str">
        <f>IF($AI17="","",IF($AH17=$AH16,"",IF(INDEX('Roadmap Calc (Don’t Touch)'!$U$2:$U$151,$AI17)=0,$AH17,HYPERLINK("#'Control (Don’t Touch)'!E"&amp;INDEX('Roadmap Calc (Don’t Touch)'!$U$2:$U$151,$AI17),$AH17))))</f>
        <v/>
      </c>
      <c r="B17" s="174" t="str">
        <f>IF($AI17="","",IF(INDEX('Roadmap Calc (Don’t Touch)'!$K$2:$K$151,$AI17)="",INDEX('Roadmap Calc (Don’t Touch)'!$B$2:$B$151,$AI17),HYPERLINK("https://jira.bnh.com/browse/"&amp;INDEX('Roadmap Calc (Don’t Touch)'!$K$2:$K$151,$AI17),INDEX('Roadmap Calc (Don’t Touch)'!$B$2:$B$151,$AI17))))</f>
        <v>Used Activity Notification</v>
      </c>
      <c r="C17" s="174" t="str">
        <f>IF($AI17="","",IF(INDEX('Roadmap Calc (Don’t Touch)'!$E$2:$E$151,$AI17)="","",HYPERLINK("https://jira.bnh.com/browse/"&amp;INDEX('Roadmap Calc (Don’t Touch)'!$E$2:$E$151,$AI17),INDEX('Roadmap Calc (Don’t Touch)'!$E$2:$E$151,$AI17))))</f>
        <v>BHP-7237</v>
      </c>
      <c r="D17" s="176" t="str">
        <f>IF($AI17="","",INDEX('Roadmap Calc (Don’t Touch)'!$F$2:$F$151,$AI17))</f>
        <v>02. UX Req</v>
      </c>
      <c r="E17" s="170">
        <f>IF($AI17="","",IF(ISNUMBER(INDEX('Roadmap Calc (Don’t Touch)'!$G$2:$G$151,$AI17)),INDEX('Roadmap Calc (Don’t Touch)'!$G$2:$G$151,$AI17),""))</f>
        <v>46279</v>
      </c>
      <c r="F17" s="170">
        <f>IF($AI17="","",IF(ISNUMBER(INDEX('Roadmap Calc (Don’t Touch)'!$H$2:$H$151,$AI17)),INDEX('Roadmap Calc (Don’t Touch)'!$H$2:$H$151,$AI17),""))</f>
        <v>46293</v>
      </c>
      <c r="G17" s="171">
        <f>IF($AI17="","",INDEX('Roadmap Calc (Don’t Touch)'!$T$2:$T$151,$AI17))</f>
        <v>3</v>
      </c>
      <c r="H17" s="172">
        <f ca="1">IF($AI17="","",IF(ISNUMBER(INDEX('Roadmap Calc (Don’t Touch)'!$I$2:$I$151,$AI17)),INDEX('Roadmap Calc (Don’t Touch)'!$I$2:$I$151,$AI17),""))</f>
        <v>46357</v>
      </c>
      <c r="I17" s="172">
        <f ca="1">IF($AI17="","",IF(ISNUMBER(INDEX('Roadmap Calc (Don’t Touch)'!$J$2:$J$151,$AI17)),INDEX('Roadmap Calc (Don’t Touch)'!$J$2:$J$151,$AI17),""))</f>
        <v>46418</v>
      </c>
      <c r="J17" s="173" t="str">
        <f ca="1">IF($AI17="","",IF(INDEX('Roadmap Calc (Don’t Touch)'!$AA$2:$AX$151,$AI17,1)&gt;0,IF(AND($H17&lt;&gt;"",$H17&lt;=EOMONTH(J$12,0),$I17&gt;=J$12),"BOTH","UX"),IF(AND($H17&lt;&gt;"",$H17&lt;=EOMONTH(J$12,0),$I17&gt;=J$12),"DEV","")))</f>
        <v/>
      </c>
      <c r="K17" s="173" t="str">
        <f ca="1">IF($AI17="","",IF(INDEX('Roadmap Calc (Don’t Touch)'!$AA$2:$AX$151,$AI17,2)&gt;0,IF(AND($H17&lt;&gt;"",$H17&lt;=EOMONTH(K$12,0),$I17&gt;=K$12),"BOTH","UX"),IF(AND($H17&lt;&gt;"",$H17&lt;=EOMONTH(K$12,0),$I17&gt;=K$12),"DEV","")))</f>
        <v/>
      </c>
      <c r="L17" s="173" t="str">
        <f ca="1">IF($AI17="","",IF(INDEX('Roadmap Calc (Don’t Touch)'!$AA$2:$AX$151,$AI17,3)&gt;0,IF(AND($H17&lt;&gt;"",$H17&lt;=EOMONTH(L$12,0),$I17&gt;=L$12),"BOTH","UX"),IF(AND($H17&lt;&gt;"",$H17&lt;=EOMONTH(L$12,0),$I17&gt;=L$12),"DEV","")))</f>
        <v/>
      </c>
      <c r="M17" s="173" t="str">
        <f ca="1">IF($AI17="","",IF(INDEX('Roadmap Calc (Don’t Touch)'!$AA$2:$AX$151,$AI17,4)&gt;0,IF(AND($H17&lt;&gt;"",$H17&lt;=EOMONTH(M$12,0),$I17&gt;=M$12),"BOTH","UX"),IF(AND($H17&lt;&gt;"",$H17&lt;=EOMONTH(M$12,0),$I17&gt;=M$12),"DEV","")))</f>
        <v/>
      </c>
      <c r="N17" s="173" t="str">
        <f ca="1">IF($AI17="","",IF(INDEX('Roadmap Calc (Don’t Touch)'!$AA$2:$AX$151,$AI17,5)&gt;0,IF(AND($H17&lt;&gt;"",$H17&lt;=EOMONTH(N$12,0),$I17&gt;=N$12),"BOTH","UX"),IF(AND($H17&lt;&gt;"",$H17&lt;=EOMONTH(N$12,0),$I17&gt;=N$12),"DEV","")))</f>
        <v/>
      </c>
      <c r="O17" s="173" t="str">
        <f ca="1">IF($AI17="","",IF(INDEX('Roadmap Calc (Don’t Touch)'!$AA$2:$AX$151,$AI17,6)&gt;0,IF(AND($H17&lt;&gt;"",$H17&lt;=EOMONTH(O$12,0),$I17&gt;=O$12),"BOTH","UX"),IF(AND($H17&lt;&gt;"",$H17&lt;=EOMONTH(O$12,0),$I17&gt;=O$12),"DEV","")))</f>
        <v/>
      </c>
      <c r="P17" s="173" t="str">
        <f ca="1">IF($AI17="","",IF(INDEX('Roadmap Calc (Don’t Touch)'!$AA$2:$AX$151,$AI17,7)&gt;0,IF(AND($H17&lt;&gt;"",$H17&lt;=EOMONTH(P$12,0),$I17&gt;=P$12),"BOTH","UX"),IF(AND($H17&lt;&gt;"",$H17&lt;=EOMONTH(P$12,0),$I17&gt;=P$12),"DEV","")))</f>
        <v/>
      </c>
      <c r="Q17" s="173" t="str">
        <f ca="1">IF($AI17="","",IF(INDEX('Roadmap Calc (Don’t Touch)'!$AA$2:$AX$151,$AI17,8)&gt;0,IF(AND($H17&lt;&gt;"",$H17&lt;=EOMONTH(Q$12,0),$I17&gt;=Q$12),"BOTH","UX"),IF(AND($H17&lt;&gt;"",$H17&lt;=EOMONTH(Q$12,0),$I17&gt;=Q$12),"DEV","")))</f>
        <v/>
      </c>
      <c r="R17" s="173" t="str">
        <f ca="1">IF($AI17="","",IF(INDEX('Roadmap Calc (Don’t Touch)'!$AA$2:$AX$151,$AI17,9)&gt;0,IF(AND($H17&lt;&gt;"",$H17&lt;=EOMONTH(R$12,0),$I17&gt;=R$12),"BOTH","UX"),IF(AND($H17&lt;&gt;"",$H17&lt;=EOMONTH(R$12,0),$I17&gt;=R$12),"DEV","")))</f>
        <v>UX</v>
      </c>
      <c r="S17" s="173" t="str">
        <f ca="1">IF($AI17="","",IF(INDEX('Roadmap Calc (Don’t Touch)'!$AA$2:$AX$151,$AI17,10)&gt;0,IF(AND($H17&lt;&gt;"",$H17&lt;=EOMONTH(S$12,0),$I17&gt;=S$12),"BOTH","UX"),IF(AND($H17&lt;&gt;"",$H17&lt;=EOMONTH(S$12,0),$I17&gt;=S$12),"DEV","")))</f>
        <v/>
      </c>
      <c r="T17" s="173" t="str">
        <f ca="1">IF($AI17="","",IF(INDEX('Roadmap Calc (Don’t Touch)'!$AA$2:$AX$151,$AI17,11)&gt;0,IF(AND($H17&lt;&gt;"",$H17&lt;=EOMONTH(T$12,0),$I17&gt;=T$12),"BOTH","UX"),IF(AND($H17&lt;&gt;"",$H17&lt;=EOMONTH(T$12,0),$I17&gt;=T$12),"DEV","")))</f>
        <v/>
      </c>
      <c r="U17" s="173" t="str">
        <f ca="1">IF($AI17="","",IF(INDEX('Roadmap Calc (Don’t Touch)'!$AA$2:$AX$151,$AI17,12)&gt;0,IF(AND($H17&lt;&gt;"",$H17&lt;=EOMONTH(U$12,0),$I17&gt;=U$12),"BOTH","UX"),IF(AND($H17&lt;&gt;"",$H17&lt;=EOMONTH(U$12,0),$I17&gt;=U$12),"DEV","")))</f>
        <v>DEV</v>
      </c>
      <c r="V17" s="173" t="str">
        <f ca="1">IF($AI17="","",IF(INDEX('Roadmap Calc (Don’t Touch)'!$AA$2:$AX$151,$AI17,13)&gt;0,IF(AND($H17&lt;&gt;"",$H17&lt;=EOMONTH(V$12,0),$I17&gt;=V$12),"BOTH","UX"),IF(AND($H17&lt;&gt;"",$H17&lt;=EOMONTH(V$12,0),$I17&gt;=V$12),"DEV","")))</f>
        <v>DEV</v>
      </c>
      <c r="W17" s="173" t="str">
        <f ca="1">IF($AI17="","",IF(INDEX('Roadmap Calc (Don’t Touch)'!$AA$2:$AX$151,$AI17,14)&gt;0,IF(AND($H17&lt;&gt;"",$H17&lt;=EOMONTH(W$12,0),$I17&gt;=W$12),"BOTH","UX"),IF(AND($H17&lt;&gt;"",$H17&lt;=EOMONTH(W$12,0),$I17&gt;=W$12),"DEV","")))</f>
        <v/>
      </c>
      <c r="X17" s="173" t="str">
        <f ca="1">IF($AI17="","",IF(INDEX('Roadmap Calc (Don’t Touch)'!$AA$2:$AX$151,$AI17,15)&gt;0,IF(AND($H17&lt;&gt;"",$H17&lt;=EOMONTH(X$12,0),$I17&gt;=X$12),"BOTH","UX"),IF(AND($H17&lt;&gt;"",$H17&lt;=EOMONTH(X$12,0),$I17&gt;=X$12),"DEV","")))</f>
        <v/>
      </c>
      <c r="Y17" s="173" t="str">
        <f ca="1">IF($AI17="","",IF(INDEX('Roadmap Calc (Don’t Touch)'!$AA$2:$AX$151,$AI17,16)&gt;0,IF(AND($H17&lt;&gt;"",$H17&lt;=EOMONTH(Y$12,0),$I17&gt;=Y$12),"BOTH","UX"),IF(AND($H17&lt;&gt;"",$H17&lt;=EOMONTH(Y$12,0),$I17&gt;=Y$12),"DEV","")))</f>
        <v/>
      </c>
      <c r="Z17" s="173" t="str">
        <f ca="1">IF($AI17="","",IF(INDEX('Roadmap Calc (Don’t Touch)'!$AA$2:$AX$151,$AI17,17)&gt;0,IF(AND($H17&lt;&gt;"",$H17&lt;=EOMONTH(Z$12,0),$I17&gt;=Z$12),"BOTH","UX"),IF(AND($H17&lt;&gt;"",$H17&lt;=EOMONTH(Z$12,0),$I17&gt;=Z$12),"DEV","")))</f>
        <v/>
      </c>
      <c r="AA17" s="173" t="str">
        <f ca="1">IF($AI17="","",IF(INDEX('Roadmap Calc (Don’t Touch)'!$AA$2:$AX$151,$AI17,18)&gt;0,IF(AND($H17&lt;&gt;"",$H17&lt;=EOMONTH(AA$12,0),$I17&gt;=AA$12),"BOTH","UX"),IF(AND($H17&lt;&gt;"",$H17&lt;=EOMONTH(AA$12,0),$I17&gt;=AA$12),"DEV","")))</f>
        <v/>
      </c>
      <c r="AB17" s="173" t="str">
        <f ca="1">IF($AI17="","",IF(INDEX('Roadmap Calc (Don’t Touch)'!$AA$2:$AX$151,$AI17,19)&gt;0,IF(AND($H17&lt;&gt;"",$H17&lt;=EOMONTH(AB$12,0),$I17&gt;=AB$12),"BOTH","UX"),IF(AND($H17&lt;&gt;"",$H17&lt;=EOMONTH(AB$12,0),$I17&gt;=AB$12),"DEV","")))</f>
        <v/>
      </c>
      <c r="AC17" s="173" t="str">
        <f ca="1">IF($AI17="","",IF(INDEX('Roadmap Calc (Don’t Touch)'!$AA$2:$AX$151,$AI17,20)&gt;0,IF(AND($H17&lt;&gt;"",$H17&lt;=EOMONTH(AC$12,0),$I17&gt;=AC$12),"BOTH","UX"),IF(AND($H17&lt;&gt;"",$H17&lt;=EOMONTH(AC$12,0),$I17&gt;=AC$12),"DEV","")))</f>
        <v/>
      </c>
      <c r="AD17" s="173" t="str">
        <f ca="1">IF($AI17="","",IF(INDEX('Roadmap Calc (Don’t Touch)'!$AA$2:$AX$151,$AI17,21)&gt;0,IF(AND($H17&lt;&gt;"",$H17&lt;=EOMONTH(AD$12,0),$I17&gt;=AD$12),"BOTH","UX"),IF(AND($H17&lt;&gt;"",$H17&lt;=EOMONTH(AD$12,0),$I17&gt;=AD$12),"DEV","")))</f>
        <v/>
      </c>
      <c r="AE17" s="173" t="str">
        <f ca="1">IF($AI17="","",IF(INDEX('Roadmap Calc (Don’t Touch)'!$AA$2:$AX$151,$AI17,22)&gt;0,IF(AND($H17&lt;&gt;"",$H17&lt;=EOMONTH(AE$12,0),$I17&gt;=AE$12),"BOTH","UX"),IF(AND($H17&lt;&gt;"",$H17&lt;=EOMONTH(AE$12,0),$I17&gt;=AE$12),"DEV","")))</f>
        <v/>
      </c>
      <c r="AF17" s="173" t="str">
        <f ca="1">IF($AI17="","",IF(INDEX('Roadmap Calc (Don’t Touch)'!$AA$2:$AX$151,$AI17,23)&gt;0,IF(AND($H17&lt;&gt;"",$H17&lt;=EOMONTH(AF$12,0),$I17&gt;=AF$12),"BOTH","UX"),IF(AND($H17&lt;&gt;"",$H17&lt;=EOMONTH(AF$12,0),$I17&gt;=AF$12),"DEV","")))</f>
        <v/>
      </c>
      <c r="AG17" s="173" t="str">
        <f ca="1">IF($AI17="","",IF(INDEX('Roadmap Calc (Don’t Touch)'!$AA$2:$AX$151,$AI17,24)&gt;0,IF(AND($H17&lt;&gt;"",$H17&lt;=EOMONTH(AG$12,0),$I17&gt;=AG$12),"BOTH","UX"),IF(AND($H17&lt;&gt;"",$H17&lt;=EOMONTH(AG$12,0),$I17&gt;=AG$12),"DEV","")))</f>
        <v/>
      </c>
      <c r="AH17" s="160" t="str">
        <f>IF($AI17="","",INDEX('Roadmap Calc (Don’t Touch)'!$D$2:$D$151,$AI17))</f>
        <v>Increase Trade In Awareness</v>
      </c>
      <c r="AI17" s="160">
        <f>IFERROR(MATCH(2,'Roadmap Calc (Don’t Touch)'!$O$2:$O$151,0),"")</f>
        <v>8</v>
      </c>
      <c r="AJ17" s="160"/>
      <c r="AK17" s="162" t="str">
        <f>IF(COUNTA(Control!E15)=0,"",Control!E15)</f>
        <v>Improve Search &amp; Findability</v>
      </c>
      <c r="AL17" s="162" t="str">
        <f>IF(COUNTA(Control!B15)=0,"",Control!B15)</f>
        <v>09. In Dev</v>
      </c>
      <c r="AM17" s="160"/>
    </row>
    <row r="18" spans="1:39" ht="20" customHeight="1" x14ac:dyDescent="0.25">
      <c r="A18" s="214" t="str">
        <f>IF($AI18="","",IF($AH18=$AH17,"",IF(INDEX('Roadmap Calc (Don’t Touch)'!$U$2:$U$151,$AI18)=0,$AH18,HYPERLINK("#'Control (Don’t Touch)'!E"&amp;INDEX('Roadmap Calc (Don’t Touch)'!$U$2:$U$151,$AI18),$AH18))))</f>
        <v/>
      </c>
      <c r="B18" s="174" t="str">
        <f>IF($AI18="","",IF(INDEX('Roadmap Calc (Don’t Touch)'!$K$2:$K$151,$AI18)="",INDEX('Roadmap Calc (Don’t Touch)'!$B$2:$B$151,$AI18),HYPERLINK("https://jira.bnh.com/browse/"&amp;INDEX('Roadmap Calc (Don’t Touch)'!$K$2:$K$151,$AI18),INDEX('Roadmap Calc (Don’t Touch)'!$B$2:$B$151,$AI18))))</f>
        <v>Increase Awareness of Trade In Offers - Best Buy Inspiration/Competitive Effort</v>
      </c>
      <c r="C18" s="174" t="str">
        <f>IF($AI18="","",IF(INDEX('Roadmap Calc (Don’t Touch)'!$E$2:$E$151,$AI18)="","",HYPERLINK("https://jira.bnh.com/browse/"&amp;INDEX('Roadmap Calc (Don’t Touch)'!$E$2:$E$151,$AI18),INDEX('Roadmap Calc (Don’t Touch)'!$E$2:$E$151,$AI18))))</f>
        <v>BHP-6827</v>
      </c>
      <c r="D18" s="176" t="str">
        <f>IF($AI18="","",INDEX('Roadmap Calc (Don’t Touch)'!$F$2:$F$151,$AI18))</f>
        <v>02. UX Req</v>
      </c>
      <c r="E18" s="170" t="str">
        <f>IF($AI18="","",IF(ISNUMBER(INDEX('Roadmap Calc (Don’t Touch)'!$G$2:$G$151,$AI18)),INDEX('Roadmap Calc (Don’t Touch)'!$G$2:$G$151,$AI18),""))</f>
        <v/>
      </c>
      <c r="F18" s="170" t="str">
        <f>IF($AI18="","",IF(ISNUMBER(INDEX('Roadmap Calc (Don’t Touch)'!$H$2:$H$151,$AI18)),INDEX('Roadmap Calc (Don’t Touch)'!$H$2:$H$151,$AI18),""))</f>
        <v/>
      </c>
      <c r="G18" s="171">
        <f>IF($AI18="","",INDEX('Roadmap Calc (Don’t Touch)'!$T$2:$T$151,$AI18))</f>
        <v>0</v>
      </c>
      <c r="H18" s="172">
        <f ca="1">IF($AI18="","",IF(ISNUMBER(INDEX('Roadmap Calc (Don’t Touch)'!$I$2:$I$151,$AI18)),INDEX('Roadmap Calc (Don’t Touch)'!$I$2:$I$151,$AI18),""))</f>
        <v>46296</v>
      </c>
      <c r="I18" s="172">
        <f ca="1">IF($AI18="","",IF(ISNUMBER(INDEX('Roadmap Calc (Don’t Touch)'!$J$2:$J$151,$AI18)),INDEX('Roadmap Calc (Don’t Touch)'!$J$2:$J$151,$AI18),""))</f>
        <v>46326</v>
      </c>
      <c r="J18" s="173" t="str">
        <f ca="1">IF($AI18="","",IF(INDEX('Roadmap Calc (Don’t Touch)'!$AA$2:$AX$151,$AI18,1)&gt;0,IF(AND($H18&lt;&gt;"",$H18&lt;=EOMONTH(J$12,0),$I18&gt;=J$12),"BOTH","UX"),IF(AND($H18&lt;&gt;"",$H18&lt;=EOMONTH(J$12,0),$I18&gt;=J$12),"DEV","")))</f>
        <v/>
      </c>
      <c r="K18" s="173" t="str">
        <f ca="1">IF($AI18="","",IF(INDEX('Roadmap Calc (Don’t Touch)'!$AA$2:$AX$151,$AI18,2)&gt;0,IF(AND($H18&lt;&gt;"",$H18&lt;=EOMONTH(K$12,0),$I18&gt;=K$12),"BOTH","UX"),IF(AND($H18&lt;&gt;"",$H18&lt;=EOMONTH(K$12,0),$I18&gt;=K$12),"DEV","")))</f>
        <v/>
      </c>
      <c r="L18" s="173" t="str">
        <f ca="1">IF($AI18="","",IF(INDEX('Roadmap Calc (Don’t Touch)'!$AA$2:$AX$151,$AI18,3)&gt;0,IF(AND($H18&lt;&gt;"",$H18&lt;=EOMONTH(L$12,0),$I18&gt;=L$12),"BOTH","UX"),IF(AND($H18&lt;&gt;"",$H18&lt;=EOMONTH(L$12,0),$I18&gt;=L$12),"DEV","")))</f>
        <v/>
      </c>
      <c r="M18" s="173" t="str">
        <f ca="1">IF($AI18="","",IF(INDEX('Roadmap Calc (Don’t Touch)'!$AA$2:$AX$151,$AI18,4)&gt;0,IF(AND($H18&lt;&gt;"",$H18&lt;=EOMONTH(M$12,0),$I18&gt;=M$12),"BOTH","UX"),IF(AND($H18&lt;&gt;"",$H18&lt;=EOMONTH(M$12,0),$I18&gt;=M$12),"DEV","")))</f>
        <v/>
      </c>
      <c r="N18" s="173" t="str">
        <f ca="1">IF($AI18="","",IF(INDEX('Roadmap Calc (Don’t Touch)'!$AA$2:$AX$151,$AI18,5)&gt;0,IF(AND($H18&lt;&gt;"",$H18&lt;=EOMONTH(N$12,0),$I18&gt;=N$12),"BOTH","UX"),IF(AND($H18&lt;&gt;"",$H18&lt;=EOMONTH(N$12,0),$I18&gt;=N$12),"DEV","")))</f>
        <v/>
      </c>
      <c r="O18" s="173" t="str">
        <f ca="1">IF($AI18="","",IF(INDEX('Roadmap Calc (Don’t Touch)'!$AA$2:$AX$151,$AI18,6)&gt;0,IF(AND($H18&lt;&gt;"",$H18&lt;=EOMONTH(O$12,0),$I18&gt;=O$12),"BOTH","UX"),IF(AND($H18&lt;&gt;"",$H18&lt;=EOMONTH(O$12,0),$I18&gt;=O$12),"DEV","")))</f>
        <v/>
      </c>
      <c r="P18" s="173" t="str">
        <f ca="1">IF($AI18="","",IF(INDEX('Roadmap Calc (Don’t Touch)'!$AA$2:$AX$151,$AI18,7)&gt;0,IF(AND($H18&lt;&gt;"",$H18&lt;=EOMONTH(P$12,0),$I18&gt;=P$12),"BOTH","UX"),IF(AND($H18&lt;&gt;"",$H18&lt;=EOMONTH(P$12,0),$I18&gt;=P$12),"DEV","")))</f>
        <v/>
      </c>
      <c r="Q18" s="173" t="str">
        <f ca="1">IF($AI18="","",IF(INDEX('Roadmap Calc (Don’t Touch)'!$AA$2:$AX$151,$AI18,8)&gt;0,IF(AND($H18&lt;&gt;"",$H18&lt;=EOMONTH(Q$12,0),$I18&gt;=Q$12),"BOTH","UX"),IF(AND($H18&lt;&gt;"",$H18&lt;=EOMONTH(Q$12,0),$I18&gt;=Q$12),"DEV","")))</f>
        <v/>
      </c>
      <c r="R18" s="173" t="str">
        <f ca="1">IF($AI18="","",IF(INDEX('Roadmap Calc (Don’t Touch)'!$AA$2:$AX$151,$AI18,9)&gt;0,IF(AND($H18&lt;&gt;"",$H18&lt;=EOMONTH(R$12,0),$I18&gt;=R$12),"BOTH","UX"),IF(AND($H18&lt;&gt;"",$H18&lt;=EOMONTH(R$12,0),$I18&gt;=R$12),"DEV","")))</f>
        <v/>
      </c>
      <c r="S18" s="173" t="str">
        <f ca="1">IF($AI18="","",IF(INDEX('Roadmap Calc (Don’t Touch)'!$AA$2:$AX$151,$AI18,10)&gt;0,IF(AND($H18&lt;&gt;"",$H18&lt;=EOMONTH(S$12,0),$I18&gt;=S$12),"BOTH","UX"),IF(AND($H18&lt;&gt;"",$H18&lt;=EOMONTH(S$12,0),$I18&gt;=S$12),"DEV","")))</f>
        <v>DEV</v>
      </c>
      <c r="T18" s="173" t="str">
        <f ca="1">IF($AI18="","",IF(INDEX('Roadmap Calc (Don’t Touch)'!$AA$2:$AX$151,$AI18,11)&gt;0,IF(AND($H18&lt;&gt;"",$H18&lt;=EOMONTH(T$12,0),$I18&gt;=T$12),"BOTH","UX"),IF(AND($H18&lt;&gt;"",$H18&lt;=EOMONTH(T$12,0),$I18&gt;=T$12),"DEV","")))</f>
        <v/>
      </c>
      <c r="U18" s="173" t="str">
        <f ca="1">IF($AI18="","",IF(INDEX('Roadmap Calc (Don’t Touch)'!$AA$2:$AX$151,$AI18,12)&gt;0,IF(AND($H18&lt;&gt;"",$H18&lt;=EOMONTH(U$12,0),$I18&gt;=U$12),"BOTH","UX"),IF(AND($H18&lt;&gt;"",$H18&lt;=EOMONTH(U$12,0),$I18&gt;=U$12),"DEV","")))</f>
        <v/>
      </c>
      <c r="V18" s="173" t="str">
        <f ca="1">IF($AI18="","",IF(INDEX('Roadmap Calc (Don’t Touch)'!$AA$2:$AX$151,$AI18,13)&gt;0,IF(AND($H18&lt;&gt;"",$H18&lt;=EOMONTH(V$12,0),$I18&gt;=V$12),"BOTH","UX"),IF(AND($H18&lt;&gt;"",$H18&lt;=EOMONTH(V$12,0),$I18&gt;=V$12),"DEV","")))</f>
        <v/>
      </c>
      <c r="W18" s="173" t="str">
        <f ca="1">IF($AI18="","",IF(INDEX('Roadmap Calc (Don’t Touch)'!$AA$2:$AX$151,$AI18,14)&gt;0,IF(AND($H18&lt;&gt;"",$H18&lt;=EOMONTH(W$12,0),$I18&gt;=W$12),"BOTH","UX"),IF(AND($H18&lt;&gt;"",$H18&lt;=EOMONTH(W$12,0),$I18&gt;=W$12),"DEV","")))</f>
        <v/>
      </c>
      <c r="X18" s="173" t="str">
        <f ca="1">IF($AI18="","",IF(INDEX('Roadmap Calc (Don’t Touch)'!$AA$2:$AX$151,$AI18,15)&gt;0,IF(AND($H18&lt;&gt;"",$H18&lt;=EOMONTH(X$12,0),$I18&gt;=X$12),"BOTH","UX"),IF(AND($H18&lt;&gt;"",$H18&lt;=EOMONTH(X$12,0),$I18&gt;=X$12),"DEV","")))</f>
        <v/>
      </c>
      <c r="Y18" s="173" t="str">
        <f ca="1">IF($AI18="","",IF(INDEX('Roadmap Calc (Don’t Touch)'!$AA$2:$AX$151,$AI18,16)&gt;0,IF(AND($H18&lt;&gt;"",$H18&lt;=EOMONTH(Y$12,0),$I18&gt;=Y$12),"BOTH","UX"),IF(AND($H18&lt;&gt;"",$H18&lt;=EOMONTH(Y$12,0),$I18&gt;=Y$12),"DEV","")))</f>
        <v/>
      </c>
      <c r="Z18" s="173" t="str">
        <f ca="1">IF($AI18="","",IF(INDEX('Roadmap Calc (Don’t Touch)'!$AA$2:$AX$151,$AI18,17)&gt;0,IF(AND($H18&lt;&gt;"",$H18&lt;=EOMONTH(Z$12,0),$I18&gt;=Z$12),"BOTH","UX"),IF(AND($H18&lt;&gt;"",$H18&lt;=EOMONTH(Z$12,0),$I18&gt;=Z$12),"DEV","")))</f>
        <v/>
      </c>
      <c r="AA18" s="173" t="str">
        <f ca="1">IF($AI18="","",IF(INDEX('Roadmap Calc (Don’t Touch)'!$AA$2:$AX$151,$AI18,18)&gt;0,IF(AND($H18&lt;&gt;"",$H18&lt;=EOMONTH(AA$12,0),$I18&gt;=AA$12),"BOTH","UX"),IF(AND($H18&lt;&gt;"",$H18&lt;=EOMONTH(AA$12,0),$I18&gt;=AA$12),"DEV","")))</f>
        <v/>
      </c>
      <c r="AB18" s="173" t="str">
        <f ca="1">IF($AI18="","",IF(INDEX('Roadmap Calc (Don’t Touch)'!$AA$2:$AX$151,$AI18,19)&gt;0,IF(AND($H18&lt;&gt;"",$H18&lt;=EOMONTH(AB$12,0),$I18&gt;=AB$12),"BOTH","UX"),IF(AND($H18&lt;&gt;"",$H18&lt;=EOMONTH(AB$12,0),$I18&gt;=AB$12),"DEV","")))</f>
        <v/>
      </c>
      <c r="AC18" s="173" t="str">
        <f ca="1">IF($AI18="","",IF(INDEX('Roadmap Calc (Don’t Touch)'!$AA$2:$AX$151,$AI18,20)&gt;0,IF(AND($H18&lt;&gt;"",$H18&lt;=EOMONTH(AC$12,0),$I18&gt;=AC$12),"BOTH","UX"),IF(AND($H18&lt;&gt;"",$H18&lt;=EOMONTH(AC$12,0),$I18&gt;=AC$12),"DEV","")))</f>
        <v/>
      </c>
      <c r="AD18" s="173" t="str">
        <f ca="1">IF($AI18="","",IF(INDEX('Roadmap Calc (Don’t Touch)'!$AA$2:$AX$151,$AI18,21)&gt;0,IF(AND($H18&lt;&gt;"",$H18&lt;=EOMONTH(AD$12,0),$I18&gt;=AD$12),"BOTH","UX"),IF(AND($H18&lt;&gt;"",$H18&lt;=EOMONTH(AD$12,0),$I18&gt;=AD$12),"DEV","")))</f>
        <v/>
      </c>
      <c r="AE18" s="173" t="str">
        <f ca="1">IF($AI18="","",IF(INDEX('Roadmap Calc (Don’t Touch)'!$AA$2:$AX$151,$AI18,22)&gt;0,IF(AND($H18&lt;&gt;"",$H18&lt;=EOMONTH(AE$12,0),$I18&gt;=AE$12),"BOTH","UX"),IF(AND($H18&lt;&gt;"",$H18&lt;=EOMONTH(AE$12,0),$I18&gt;=AE$12),"DEV","")))</f>
        <v/>
      </c>
      <c r="AF18" s="173" t="str">
        <f ca="1">IF($AI18="","",IF(INDEX('Roadmap Calc (Don’t Touch)'!$AA$2:$AX$151,$AI18,23)&gt;0,IF(AND($H18&lt;&gt;"",$H18&lt;=EOMONTH(AF$12,0),$I18&gt;=AF$12),"BOTH","UX"),IF(AND($H18&lt;&gt;"",$H18&lt;=EOMONTH(AF$12,0),$I18&gt;=AF$12),"DEV","")))</f>
        <v/>
      </c>
      <c r="AG18" s="173" t="str">
        <f ca="1">IF($AI18="","",IF(INDEX('Roadmap Calc (Don’t Touch)'!$AA$2:$AX$151,$AI18,24)&gt;0,IF(AND($H18&lt;&gt;"",$H18&lt;=EOMONTH(AG$12,0),$I18&gt;=AG$12),"BOTH","UX"),IF(AND($H18&lt;&gt;"",$H18&lt;=EOMONTH(AG$12,0),$I18&gt;=AG$12),"DEV","")))</f>
        <v/>
      </c>
      <c r="AH18" s="160" t="str">
        <f>IF($AI18="","",INDEX('Roadmap Calc (Don’t Touch)'!$D$2:$D$151,$AI18))</f>
        <v>Increase Trade In Awareness</v>
      </c>
      <c r="AI18" s="160">
        <f>IFERROR(MATCH(3,'Roadmap Calc (Don’t Touch)'!$O$2:$O$151,0),"")</f>
        <v>13</v>
      </c>
      <c r="AJ18" s="160"/>
      <c r="AK18" s="162" t="str">
        <f>IF(COUNTA(Control!E16)=0,"",Control!E16)</f>
        <v/>
      </c>
      <c r="AL18" s="162" t="str">
        <f>IF(COUNTA(Control!B16)=0,"",Control!B16)</f>
        <v>10. QA</v>
      </c>
      <c r="AM18" s="160"/>
    </row>
    <row r="19" spans="1:39" ht="20" customHeight="1" x14ac:dyDescent="0.25">
      <c r="A19" s="214" t="str">
        <f>IF($AI19="","",IF($AH19=$AH18,"",IF(INDEX('Roadmap Calc (Don’t Touch)'!$U$2:$U$151,$AI19)=0,$AH19,HYPERLINK("#'Control (Don’t Touch)'!E"&amp;INDEX('Roadmap Calc (Don’t Touch)'!$U$2:$U$151,$AI19),$AH19))))</f>
        <v/>
      </c>
      <c r="B19" s="174" t="str">
        <f>IF($AI19="","",IF(INDEX('Roadmap Calc (Don’t Touch)'!$K$2:$K$151,$AI19)="",INDEX('Roadmap Calc (Don’t Touch)'!$B$2:$B$151,$AI19),HYPERLINK("https://jira.bnh.com/browse/"&amp;INDEX('Roadmap Calc (Don’t Touch)'!$K$2:$K$151,$AI19),INDEX('Roadmap Calc (Don’t Touch)'!$B$2:$B$151,$AI19))))</f>
        <v>B2B &amp; Used Visibility in the Nav</v>
      </c>
      <c r="C19" s="174" t="str">
        <f>IF($AI19="","",IF(INDEX('Roadmap Calc (Don’t Touch)'!$E$2:$E$151,$AI19)="","",HYPERLINK("https://jira.bnh.com/browse/"&amp;INDEX('Roadmap Calc (Don’t Touch)'!$E$2:$E$151,$AI19),INDEX('Roadmap Calc (Don’t Touch)'!$E$2:$E$151,$AI19))))</f>
        <v>BHUX-34378</v>
      </c>
      <c r="D19" s="176" t="str">
        <f>IF($AI19="","",INDEX('Roadmap Calc (Don’t Touch)'!$F$2:$F$151,$AI19))</f>
        <v>04. UX Design</v>
      </c>
      <c r="E19" s="170">
        <f>IF($AI19="","",IF(ISNUMBER(INDEX('Roadmap Calc (Don’t Touch)'!$G$2:$G$151,$AI19)),INDEX('Roadmap Calc (Don’t Touch)'!$G$2:$G$151,$AI19),""))</f>
        <v>46174</v>
      </c>
      <c r="F19" s="170">
        <f>IF($AI19="","",IF(ISNUMBER(INDEX('Roadmap Calc (Don’t Touch)'!$H$2:$H$151,$AI19)),INDEX('Roadmap Calc (Don’t Touch)'!$H$2:$H$151,$AI19),""))</f>
        <v>46293</v>
      </c>
      <c r="G19" s="171">
        <f>IF($AI19="","",INDEX('Roadmap Calc (Don’t Touch)'!$T$2:$T$151,$AI19))</f>
        <v>18</v>
      </c>
      <c r="H19" s="172">
        <f ca="1">IF($AI19="","",IF(ISNUMBER(INDEX('Roadmap Calc (Don’t Touch)'!$I$2:$I$151,$AI19)),INDEX('Roadmap Calc (Don’t Touch)'!$I$2:$I$151,$AI19),""))</f>
        <v>46419</v>
      </c>
      <c r="I19" s="172">
        <f ca="1">IF($AI19="","",IF(ISNUMBER(INDEX('Roadmap Calc (Don’t Touch)'!$J$2:$J$151,$AI19)),INDEX('Roadmap Calc (Don’t Touch)'!$J$2:$J$151,$AI19),""))</f>
        <v>46446</v>
      </c>
      <c r="J19" s="173" t="str">
        <f ca="1">IF($AI19="","",IF(INDEX('Roadmap Calc (Don’t Touch)'!$AA$2:$AX$151,$AI19,1)&gt;0,IF(AND($H19&lt;&gt;"",$H19&lt;=EOMONTH(J$12,0),$I19&gt;=J$12),"BOTH","UX"),IF(AND($H19&lt;&gt;"",$H19&lt;=EOMONTH(J$12,0),$I19&gt;=J$12),"DEV","")))</f>
        <v/>
      </c>
      <c r="K19" s="173" t="str">
        <f ca="1">IF($AI19="","",IF(INDEX('Roadmap Calc (Don’t Touch)'!$AA$2:$AX$151,$AI19,2)&gt;0,IF(AND($H19&lt;&gt;"",$H19&lt;=EOMONTH(K$12,0),$I19&gt;=K$12),"BOTH","UX"),IF(AND($H19&lt;&gt;"",$H19&lt;=EOMONTH(K$12,0),$I19&gt;=K$12),"DEV","")))</f>
        <v/>
      </c>
      <c r="L19" s="173" t="str">
        <f ca="1">IF($AI19="","",IF(INDEX('Roadmap Calc (Don’t Touch)'!$AA$2:$AX$151,$AI19,3)&gt;0,IF(AND($H19&lt;&gt;"",$H19&lt;=EOMONTH(L$12,0),$I19&gt;=L$12),"BOTH","UX"),IF(AND($H19&lt;&gt;"",$H19&lt;=EOMONTH(L$12,0),$I19&gt;=L$12),"DEV","")))</f>
        <v/>
      </c>
      <c r="M19" s="173" t="str">
        <f ca="1">IF($AI19="","",IF(INDEX('Roadmap Calc (Don’t Touch)'!$AA$2:$AX$151,$AI19,4)&gt;0,IF(AND($H19&lt;&gt;"",$H19&lt;=EOMONTH(M$12,0),$I19&gt;=M$12),"BOTH","UX"),IF(AND($H19&lt;&gt;"",$H19&lt;=EOMONTH(M$12,0),$I19&gt;=M$12),"DEV","")))</f>
        <v/>
      </c>
      <c r="N19" s="173" t="str">
        <f ca="1">IF($AI19="","",IF(INDEX('Roadmap Calc (Don’t Touch)'!$AA$2:$AX$151,$AI19,5)&gt;0,IF(AND($H19&lt;&gt;"",$H19&lt;=EOMONTH(N$12,0),$I19&gt;=N$12),"BOTH","UX"),IF(AND($H19&lt;&gt;"",$H19&lt;=EOMONTH(N$12,0),$I19&gt;=N$12),"DEV","")))</f>
        <v/>
      </c>
      <c r="O19" s="173" t="str">
        <f ca="1">IF($AI19="","",IF(INDEX('Roadmap Calc (Don’t Touch)'!$AA$2:$AX$151,$AI19,6)&gt;0,IF(AND($H19&lt;&gt;"",$H19&lt;=EOMONTH(O$12,0),$I19&gt;=O$12),"BOTH","UX"),IF(AND($H19&lt;&gt;"",$H19&lt;=EOMONTH(O$12,0),$I19&gt;=O$12),"DEV","")))</f>
        <v>UX</v>
      </c>
      <c r="P19" s="173" t="str">
        <f ca="1">IF($AI19="","",IF(INDEX('Roadmap Calc (Don’t Touch)'!$AA$2:$AX$151,$AI19,7)&gt;0,IF(AND($H19&lt;&gt;"",$H19&lt;=EOMONTH(P$12,0),$I19&gt;=P$12),"BOTH","UX"),IF(AND($H19&lt;&gt;"",$H19&lt;=EOMONTH(P$12,0),$I19&gt;=P$12),"DEV","")))</f>
        <v>UX</v>
      </c>
      <c r="Q19" s="173" t="str">
        <f ca="1">IF($AI19="","",IF(INDEX('Roadmap Calc (Don’t Touch)'!$AA$2:$AX$151,$AI19,8)&gt;0,IF(AND($H19&lt;&gt;"",$H19&lt;=EOMONTH(Q$12,0),$I19&gt;=Q$12),"BOTH","UX"),IF(AND($H19&lt;&gt;"",$H19&lt;=EOMONTH(Q$12,0),$I19&gt;=Q$12),"DEV","")))</f>
        <v>UX</v>
      </c>
      <c r="R19" s="173" t="str">
        <f ca="1">IF($AI19="","",IF(INDEX('Roadmap Calc (Don’t Touch)'!$AA$2:$AX$151,$AI19,9)&gt;0,IF(AND($H19&lt;&gt;"",$H19&lt;=EOMONTH(R$12,0),$I19&gt;=R$12),"BOTH","UX"),IF(AND($H19&lt;&gt;"",$H19&lt;=EOMONTH(R$12,0),$I19&gt;=R$12),"DEV","")))</f>
        <v>UX</v>
      </c>
      <c r="S19" s="173" t="str">
        <f ca="1">IF($AI19="","",IF(INDEX('Roadmap Calc (Don’t Touch)'!$AA$2:$AX$151,$AI19,10)&gt;0,IF(AND($H19&lt;&gt;"",$H19&lt;=EOMONTH(S$12,0),$I19&gt;=S$12),"BOTH","UX"),IF(AND($H19&lt;&gt;"",$H19&lt;=EOMONTH(S$12,0),$I19&gt;=S$12),"DEV","")))</f>
        <v/>
      </c>
      <c r="T19" s="173" t="str">
        <f ca="1">IF($AI19="","",IF(INDEX('Roadmap Calc (Don’t Touch)'!$AA$2:$AX$151,$AI19,11)&gt;0,IF(AND($H19&lt;&gt;"",$H19&lt;=EOMONTH(T$12,0),$I19&gt;=T$12),"BOTH","UX"),IF(AND($H19&lt;&gt;"",$H19&lt;=EOMONTH(T$12,0),$I19&gt;=T$12),"DEV","")))</f>
        <v/>
      </c>
      <c r="U19" s="173" t="str">
        <f ca="1">IF($AI19="","",IF(INDEX('Roadmap Calc (Don’t Touch)'!$AA$2:$AX$151,$AI19,12)&gt;0,IF(AND($H19&lt;&gt;"",$H19&lt;=EOMONTH(U$12,0),$I19&gt;=U$12),"BOTH","UX"),IF(AND($H19&lt;&gt;"",$H19&lt;=EOMONTH(U$12,0),$I19&gt;=U$12),"DEV","")))</f>
        <v/>
      </c>
      <c r="V19" s="173" t="str">
        <f ca="1">IF($AI19="","",IF(INDEX('Roadmap Calc (Don’t Touch)'!$AA$2:$AX$151,$AI19,13)&gt;0,IF(AND($H19&lt;&gt;"",$H19&lt;=EOMONTH(V$12,0),$I19&gt;=V$12),"BOTH","UX"),IF(AND($H19&lt;&gt;"",$H19&lt;=EOMONTH(V$12,0),$I19&gt;=V$12),"DEV","")))</f>
        <v/>
      </c>
      <c r="W19" s="173" t="str">
        <f ca="1">IF($AI19="","",IF(INDEX('Roadmap Calc (Don’t Touch)'!$AA$2:$AX$151,$AI19,14)&gt;0,IF(AND($H19&lt;&gt;"",$H19&lt;=EOMONTH(W$12,0),$I19&gt;=W$12),"BOTH","UX"),IF(AND($H19&lt;&gt;"",$H19&lt;=EOMONTH(W$12,0),$I19&gt;=W$12),"DEV","")))</f>
        <v>DEV</v>
      </c>
      <c r="X19" s="173" t="str">
        <f ca="1">IF($AI19="","",IF(INDEX('Roadmap Calc (Don’t Touch)'!$AA$2:$AX$151,$AI19,15)&gt;0,IF(AND($H19&lt;&gt;"",$H19&lt;=EOMONTH(X$12,0),$I19&gt;=X$12),"BOTH","UX"),IF(AND($H19&lt;&gt;"",$H19&lt;=EOMONTH(X$12,0),$I19&gt;=X$12),"DEV","")))</f>
        <v/>
      </c>
      <c r="Y19" s="173" t="str">
        <f ca="1">IF($AI19="","",IF(INDEX('Roadmap Calc (Don’t Touch)'!$AA$2:$AX$151,$AI19,16)&gt;0,IF(AND($H19&lt;&gt;"",$H19&lt;=EOMONTH(Y$12,0),$I19&gt;=Y$12),"BOTH","UX"),IF(AND($H19&lt;&gt;"",$H19&lt;=EOMONTH(Y$12,0),$I19&gt;=Y$12),"DEV","")))</f>
        <v/>
      </c>
      <c r="Z19" s="173" t="str">
        <f ca="1">IF($AI19="","",IF(INDEX('Roadmap Calc (Don’t Touch)'!$AA$2:$AX$151,$AI19,17)&gt;0,IF(AND($H19&lt;&gt;"",$H19&lt;=EOMONTH(Z$12,0),$I19&gt;=Z$12),"BOTH","UX"),IF(AND($H19&lt;&gt;"",$H19&lt;=EOMONTH(Z$12,0),$I19&gt;=Z$12),"DEV","")))</f>
        <v/>
      </c>
      <c r="AA19" s="173" t="str">
        <f ca="1">IF($AI19="","",IF(INDEX('Roadmap Calc (Don’t Touch)'!$AA$2:$AX$151,$AI19,18)&gt;0,IF(AND($H19&lt;&gt;"",$H19&lt;=EOMONTH(AA$12,0),$I19&gt;=AA$12),"BOTH","UX"),IF(AND($H19&lt;&gt;"",$H19&lt;=EOMONTH(AA$12,0),$I19&gt;=AA$12),"DEV","")))</f>
        <v/>
      </c>
      <c r="AB19" s="173" t="str">
        <f ca="1">IF($AI19="","",IF(INDEX('Roadmap Calc (Don’t Touch)'!$AA$2:$AX$151,$AI19,19)&gt;0,IF(AND($H19&lt;&gt;"",$H19&lt;=EOMONTH(AB$12,0),$I19&gt;=AB$12),"BOTH","UX"),IF(AND($H19&lt;&gt;"",$H19&lt;=EOMONTH(AB$12,0),$I19&gt;=AB$12),"DEV","")))</f>
        <v/>
      </c>
      <c r="AC19" s="173" t="str">
        <f ca="1">IF($AI19="","",IF(INDEX('Roadmap Calc (Don’t Touch)'!$AA$2:$AX$151,$AI19,20)&gt;0,IF(AND($H19&lt;&gt;"",$H19&lt;=EOMONTH(AC$12,0),$I19&gt;=AC$12),"BOTH","UX"),IF(AND($H19&lt;&gt;"",$H19&lt;=EOMONTH(AC$12,0),$I19&gt;=AC$12),"DEV","")))</f>
        <v/>
      </c>
      <c r="AD19" s="173" t="str">
        <f ca="1">IF($AI19="","",IF(INDEX('Roadmap Calc (Don’t Touch)'!$AA$2:$AX$151,$AI19,21)&gt;0,IF(AND($H19&lt;&gt;"",$H19&lt;=EOMONTH(AD$12,0),$I19&gt;=AD$12),"BOTH","UX"),IF(AND($H19&lt;&gt;"",$H19&lt;=EOMONTH(AD$12,0),$I19&gt;=AD$12),"DEV","")))</f>
        <v/>
      </c>
      <c r="AE19" s="173" t="str">
        <f ca="1">IF($AI19="","",IF(INDEX('Roadmap Calc (Don’t Touch)'!$AA$2:$AX$151,$AI19,22)&gt;0,IF(AND($H19&lt;&gt;"",$H19&lt;=EOMONTH(AE$12,0),$I19&gt;=AE$12),"BOTH","UX"),IF(AND($H19&lt;&gt;"",$H19&lt;=EOMONTH(AE$12,0),$I19&gt;=AE$12),"DEV","")))</f>
        <v/>
      </c>
      <c r="AF19" s="173" t="str">
        <f ca="1">IF($AI19="","",IF(INDEX('Roadmap Calc (Don’t Touch)'!$AA$2:$AX$151,$AI19,23)&gt;0,IF(AND($H19&lt;&gt;"",$H19&lt;=EOMONTH(AF$12,0),$I19&gt;=AF$12),"BOTH","UX"),IF(AND($H19&lt;&gt;"",$H19&lt;=EOMONTH(AF$12,0),$I19&gt;=AF$12),"DEV","")))</f>
        <v/>
      </c>
      <c r="AG19" s="173" t="str">
        <f ca="1">IF($AI19="","",IF(INDEX('Roadmap Calc (Don’t Touch)'!$AA$2:$AX$151,$AI19,24)&gt;0,IF(AND($H19&lt;&gt;"",$H19&lt;=EOMONTH(AG$12,0),$I19&gt;=AG$12),"BOTH","UX"),IF(AND($H19&lt;&gt;"",$H19&lt;=EOMONTH(AG$12,0),$I19&gt;=AG$12),"DEV","")))</f>
        <v/>
      </c>
      <c r="AH19" s="160" t="str">
        <f>IF($AI19="","",INDEX('Roadmap Calc (Don’t Touch)'!$D$2:$D$151,$AI19))</f>
        <v>Increase Trade In Awareness</v>
      </c>
      <c r="AI19" s="160">
        <f>IFERROR(MATCH(4,'Roadmap Calc (Don’t Touch)'!$O$2:$O$151,0),"")</f>
        <v>23</v>
      </c>
      <c r="AJ19" s="160"/>
      <c r="AK19" s="162" t="str">
        <f>IF(COUNTA(Control!E17)=0,"",Control!E17)</f>
        <v/>
      </c>
      <c r="AL19" s="162" t="str">
        <f>IF(COUNTA(Control!B17)=0,"",Control!B17)</f>
        <v>11. UAT</v>
      </c>
      <c r="AM19" s="160"/>
    </row>
    <row r="20" spans="1:39" ht="20" customHeight="1" x14ac:dyDescent="0.25">
      <c r="A20" s="214" t="str">
        <f>IF($AI20="","",IF($AH20=$AH19,"",IF(INDEX('Roadmap Calc (Don’t Touch)'!$U$2:$U$151,$AI20)=0,$AH20,HYPERLINK("#'Control (Don’t Touch)'!E"&amp;INDEX('Roadmap Calc (Don’t Touch)'!$U$2:$U$151,$AI20),$AH20))))</f>
        <v/>
      </c>
      <c r="B20" s="174" t="str">
        <f>IF($AI20="","",IF(INDEX('Roadmap Calc (Don’t Touch)'!$K$2:$K$151,$AI20)="",INDEX('Roadmap Calc (Don’t Touch)'!$B$2:$B$151,$AI20),HYPERLINK("https://jira.bnh.com/browse/"&amp;INDEX('Roadmap Calc (Don’t Touch)'!$K$2:$K$151,$AI20),INDEX('Roadmap Calc (Don’t Touch)'!$B$2:$B$151,$AI20))))</f>
        <v>PDP Purchased in 20XX, Trade In Value is $YYY.YY</v>
      </c>
      <c r="C20" s="174" t="str">
        <f>IF($AI20="","",IF(INDEX('Roadmap Calc (Don’t Touch)'!$E$2:$E$151,$AI20)="","",HYPERLINK("https://jira.bnh.com/browse/"&amp;INDEX('Roadmap Calc (Don’t Touch)'!$E$2:$E$151,$AI20),INDEX('Roadmap Calc (Don’t Touch)'!$E$2:$E$151,$AI20))))</f>
        <v>BHUX-35309</v>
      </c>
      <c r="D20" s="176" t="str">
        <f>IF($AI20="","",INDEX('Roadmap Calc (Don’t Touch)'!$F$2:$F$151,$AI20))</f>
        <v>06. Architecture</v>
      </c>
      <c r="E20" s="170">
        <f>IF($AI20="","",IF(ISNUMBER(INDEX('Roadmap Calc (Don’t Touch)'!$G$2:$G$151,$AI20)),INDEX('Roadmap Calc (Don’t Touch)'!$G$2:$G$151,$AI20),""))</f>
        <v>46251</v>
      </c>
      <c r="F20" s="170">
        <f>IF($AI20="","",IF(ISNUMBER(INDEX('Roadmap Calc (Don’t Touch)'!$H$2:$H$151,$AI20)),INDEX('Roadmap Calc (Don’t Touch)'!$H$2:$H$151,$AI20),""))</f>
        <v>46251</v>
      </c>
      <c r="G20" s="171">
        <f>IF($AI20="","",INDEX('Roadmap Calc (Don’t Touch)'!$T$2:$T$151,$AI20))</f>
        <v>1</v>
      </c>
      <c r="H20" s="172">
        <f ca="1">IF($AI20="","",IF(ISNUMBER(INDEX('Roadmap Calc (Don’t Touch)'!$I$2:$I$151,$AI20)),INDEX('Roadmap Calc (Don’t Touch)'!$I$2:$I$151,$AI20),""))</f>
        <v>46296</v>
      </c>
      <c r="I20" s="172">
        <f ca="1">IF($AI20="","",IF(ISNUMBER(INDEX('Roadmap Calc (Don’t Touch)'!$J$2:$J$151,$AI20)),INDEX('Roadmap Calc (Don’t Touch)'!$J$2:$J$151,$AI20),""))</f>
        <v>46326</v>
      </c>
      <c r="J20" s="173" t="str">
        <f ca="1">IF($AI20="","",IF(INDEX('Roadmap Calc (Don’t Touch)'!$AA$2:$AX$151,$AI20,1)&gt;0,IF(AND($H20&lt;&gt;"",$H20&lt;=EOMONTH(J$12,0),$I20&gt;=J$12),"BOTH","UX"),IF(AND($H20&lt;&gt;"",$H20&lt;=EOMONTH(J$12,0),$I20&gt;=J$12),"DEV","")))</f>
        <v/>
      </c>
      <c r="K20" s="173" t="str">
        <f ca="1">IF($AI20="","",IF(INDEX('Roadmap Calc (Don’t Touch)'!$AA$2:$AX$151,$AI20,2)&gt;0,IF(AND($H20&lt;&gt;"",$H20&lt;=EOMONTH(K$12,0),$I20&gt;=K$12),"BOTH","UX"),IF(AND($H20&lt;&gt;"",$H20&lt;=EOMONTH(K$12,0),$I20&gt;=K$12),"DEV","")))</f>
        <v/>
      </c>
      <c r="L20" s="173" t="str">
        <f ca="1">IF($AI20="","",IF(INDEX('Roadmap Calc (Don’t Touch)'!$AA$2:$AX$151,$AI20,3)&gt;0,IF(AND($H20&lt;&gt;"",$H20&lt;=EOMONTH(L$12,0),$I20&gt;=L$12),"BOTH","UX"),IF(AND($H20&lt;&gt;"",$H20&lt;=EOMONTH(L$12,0),$I20&gt;=L$12),"DEV","")))</f>
        <v/>
      </c>
      <c r="M20" s="173" t="str">
        <f ca="1">IF($AI20="","",IF(INDEX('Roadmap Calc (Don’t Touch)'!$AA$2:$AX$151,$AI20,4)&gt;0,IF(AND($H20&lt;&gt;"",$H20&lt;=EOMONTH(M$12,0),$I20&gt;=M$12),"BOTH","UX"),IF(AND($H20&lt;&gt;"",$H20&lt;=EOMONTH(M$12,0),$I20&gt;=M$12),"DEV","")))</f>
        <v/>
      </c>
      <c r="N20" s="173" t="str">
        <f ca="1">IF($AI20="","",IF(INDEX('Roadmap Calc (Don’t Touch)'!$AA$2:$AX$151,$AI20,5)&gt;0,IF(AND($H20&lt;&gt;"",$H20&lt;=EOMONTH(N$12,0),$I20&gt;=N$12),"BOTH","UX"),IF(AND($H20&lt;&gt;"",$H20&lt;=EOMONTH(N$12,0),$I20&gt;=N$12),"DEV","")))</f>
        <v/>
      </c>
      <c r="O20" s="173" t="str">
        <f ca="1">IF($AI20="","",IF(INDEX('Roadmap Calc (Don’t Touch)'!$AA$2:$AX$151,$AI20,6)&gt;0,IF(AND($H20&lt;&gt;"",$H20&lt;=EOMONTH(O$12,0),$I20&gt;=O$12),"BOTH","UX"),IF(AND($H20&lt;&gt;"",$H20&lt;=EOMONTH(O$12,0),$I20&gt;=O$12),"DEV","")))</f>
        <v/>
      </c>
      <c r="P20" s="173" t="str">
        <f ca="1">IF($AI20="","",IF(INDEX('Roadmap Calc (Don’t Touch)'!$AA$2:$AX$151,$AI20,7)&gt;0,IF(AND($H20&lt;&gt;"",$H20&lt;=EOMONTH(P$12,0),$I20&gt;=P$12),"BOTH","UX"),IF(AND($H20&lt;&gt;"",$H20&lt;=EOMONTH(P$12,0),$I20&gt;=P$12),"DEV","")))</f>
        <v/>
      </c>
      <c r="Q20" s="173" t="str">
        <f ca="1">IF($AI20="","",IF(INDEX('Roadmap Calc (Don’t Touch)'!$AA$2:$AX$151,$AI20,8)&gt;0,IF(AND($H20&lt;&gt;"",$H20&lt;=EOMONTH(Q$12,0),$I20&gt;=Q$12),"BOTH","UX"),IF(AND($H20&lt;&gt;"",$H20&lt;=EOMONTH(Q$12,0),$I20&gt;=Q$12),"DEV","")))</f>
        <v>UX</v>
      </c>
      <c r="R20" s="173" t="str">
        <f ca="1">IF($AI20="","",IF(INDEX('Roadmap Calc (Don’t Touch)'!$AA$2:$AX$151,$AI20,9)&gt;0,IF(AND($H20&lt;&gt;"",$H20&lt;=EOMONTH(R$12,0),$I20&gt;=R$12),"BOTH","UX"),IF(AND($H20&lt;&gt;"",$H20&lt;=EOMONTH(R$12,0),$I20&gt;=R$12),"DEV","")))</f>
        <v/>
      </c>
      <c r="S20" s="173" t="str">
        <f ca="1">IF($AI20="","",IF(INDEX('Roadmap Calc (Don’t Touch)'!$AA$2:$AX$151,$AI20,10)&gt;0,IF(AND($H20&lt;&gt;"",$H20&lt;=EOMONTH(S$12,0),$I20&gt;=S$12),"BOTH","UX"),IF(AND($H20&lt;&gt;"",$H20&lt;=EOMONTH(S$12,0),$I20&gt;=S$12),"DEV","")))</f>
        <v>DEV</v>
      </c>
      <c r="T20" s="173" t="str">
        <f ca="1">IF($AI20="","",IF(INDEX('Roadmap Calc (Don’t Touch)'!$AA$2:$AX$151,$AI20,11)&gt;0,IF(AND($H20&lt;&gt;"",$H20&lt;=EOMONTH(T$12,0),$I20&gt;=T$12),"BOTH","UX"),IF(AND($H20&lt;&gt;"",$H20&lt;=EOMONTH(T$12,0),$I20&gt;=T$12),"DEV","")))</f>
        <v/>
      </c>
      <c r="U20" s="173" t="str">
        <f ca="1">IF($AI20="","",IF(INDEX('Roadmap Calc (Don’t Touch)'!$AA$2:$AX$151,$AI20,12)&gt;0,IF(AND($H20&lt;&gt;"",$H20&lt;=EOMONTH(U$12,0),$I20&gt;=U$12),"BOTH","UX"),IF(AND($H20&lt;&gt;"",$H20&lt;=EOMONTH(U$12,0),$I20&gt;=U$12),"DEV","")))</f>
        <v/>
      </c>
      <c r="V20" s="173" t="str">
        <f ca="1">IF($AI20="","",IF(INDEX('Roadmap Calc (Don’t Touch)'!$AA$2:$AX$151,$AI20,13)&gt;0,IF(AND($H20&lt;&gt;"",$H20&lt;=EOMONTH(V$12,0),$I20&gt;=V$12),"BOTH","UX"),IF(AND($H20&lt;&gt;"",$H20&lt;=EOMONTH(V$12,0),$I20&gt;=V$12),"DEV","")))</f>
        <v/>
      </c>
      <c r="W20" s="173" t="str">
        <f ca="1">IF($AI20="","",IF(INDEX('Roadmap Calc (Don’t Touch)'!$AA$2:$AX$151,$AI20,14)&gt;0,IF(AND($H20&lt;&gt;"",$H20&lt;=EOMONTH(W$12,0),$I20&gt;=W$12),"BOTH","UX"),IF(AND($H20&lt;&gt;"",$H20&lt;=EOMONTH(W$12,0),$I20&gt;=W$12),"DEV","")))</f>
        <v/>
      </c>
      <c r="X20" s="173" t="str">
        <f ca="1">IF($AI20="","",IF(INDEX('Roadmap Calc (Don’t Touch)'!$AA$2:$AX$151,$AI20,15)&gt;0,IF(AND($H20&lt;&gt;"",$H20&lt;=EOMONTH(X$12,0),$I20&gt;=X$12),"BOTH","UX"),IF(AND($H20&lt;&gt;"",$H20&lt;=EOMONTH(X$12,0),$I20&gt;=X$12),"DEV","")))</f>
        <v/>
      </c>
      <c r="Y20" s="173" t="str">
        <f ca="1">IF($AI20="","",IF(INDEX('Roadmap Calc (Don’t Touch)'!$AA$2:$AX$151,$AI20,16)&gt;0,IF(AND($H20&lt;&gt;"",$H20&lt;=EOMONTH(Y$12,0),$I20&gt;=Y$12),"BOTH","UX"),IF(AND($H20&lt;&gt;"",$H20&lt;=EOMONTH(Y$12,0),$I20&gt;=Y$12),"DEV","")))</f>
        <v/>
      </c>
      <c r="Z20" s="173" t="str">
        <f ca="1">IF($AI20="","",IF(INDEX('Roadmap Calc (Don’t Touch)'!$AA$2:$AX$151,$AI20,17)&gt;0,IF(AND($H20&lt;&gt;"",$H20&lt;=EOMONTH(Z$12,0),$I20&gt;=Z$12),"BOTH","UX"),IF(AND($H20&lt;&gt;"",$H20&lt;=EOMONTH(Z$12,0),$I20&gt;=Z$12),"DEV","")))</f>
        <v/>
      </c>
      <c r="AA20" s="173" t="str">
        <f ca="1">IF($AI20="","",IF(INDEX('Roadmap Calc (Don’t Touch)'!$AA$2:$AX$151,$AI20,18)&gt;0,IF(AND($H20&lt;&gt;"",$H20&lt;=EOMONTH(AA$12,0),$I20&gt;=AA$12),"BOTH","UX"),IF(AND($H20&lt;&gt;"",$H20&lt;=EOMONTH(AA$12,0),$I20&gt;=AA$12),"DEV","")))</f>
        <v/>
      </c>
      <c r="AB20" s="173" t="str">
        <f ca="1">IF($AI20="","",IF(INDEX('Roadmap Calc (Don’t Touch)'!$AA$2:$AX$151,$AI20,19)&gt;0,IF(AND($H20&lt;&gt;"",$H20&lt;=EOMONTH(AB$12,0),$I20&gt;=AB$12),"BOTH","UX"),IF(AND($H20&lt;&gt;"",$H20&lt;=EOMONTH(AB$12,0),$I20&gt;=AB$12),"DEV","")))</f>
        <v/>
      </c>
      <c r="AC20" s="173" t="str">
        <f ca="1">IF($AI20="","",IF(INDEX('Roadmap Calc (Don’t Touch)'!$AA$2:$AX$151,$AI20,20)&gt;0,IF(AND($H20&lt;&gt;"",$H20&lt;=EOMONTH(AC$12,0),$I20&gt;=AC$12),"BOTH","UX"),IF(AND($H20&lt;&gt;"",$H20&lt;=EOMONTH(AC$12,0),$I20&gt;=AC$12),"DEV","")))</f>
        <v/>
      </c>
      <c r="AD20" s="173" t="str">
        <f ca="1">IF($AI20="","",IF(INDEX('Roadmap Calc (Don’t Touch)'!$AA$2:$AX$151,$AI20,21)&gt;0,IF(AND($H20&lt;&gt;"",$H20&lt;=EOMONTH(AD$12,0),$I20&gt;=AD$12),"BOTH","UX"),IF(AND($H20&lt;&gt;"",$H20&lt;=EOMONTH(AD$12,0),$I20&gt;=AD$12),"DEV","")))</f>
        <v/>
      </c>
      <c r="AE20" s="173" t="str">
        <f ca="1">IF($AI20="","",IF(INDEX('Roadmap Calc (Don’t Touch)'!$AA$2:$AX$151,$AI20,22)&gt;0,IF(AND($H20&lt;&gt;"",$H20&lt;=EOMONTH(AE$12,0),$I20&gt;=AE$12),"BOTH","UX"),IF(AND($H20&lt;&gt;"",$H20&lt;=EOMONTH(AE$12,0),$I20&gt;=AE$12),"DEV","")))</f>
        <v/>
      </c>
      <c r="AF20" s="173" t="str">
        <f ca="1">IF($AI20="","",IF(INDEX('Roadmap Calc (Don’t Touch)'!$AA$2:$AX$151,$AI20,23)&gt;0,IF(AND($H20&lt;&gt;"",$H20&lt;=EOMONTH(AF$12,0),$I20&gt;=AF$12),"BOTH","UX"),IF(AND($H20&lt;&gt;"",$H20&lt;=EOMONTH(AF$12,0),$I20&gt;=AF$12),"DEV","")))</f>
        <v/>
      </c>
      <c r="AG20" s="173" t="str">
        <f ca="1">IF($AI20="","",IF(INDEX('Roadmap Calc (Don’t Touch)'!$AA$2:$AX$151,$AI20,24)&gt;0,IF(AND($H20&lt;&gt;"",$H20&lt;=EOMONTH(AG$12,0),$I20&gt;=AG$12),"BOTH","UX"),IF(AND($H20&lt;&gt;"",$H20&lt;=EOMONTH(AG$12,0),$I20&gt;=AG$12),"DEV","")))</f>
        <v/>
      </c>
      <c r="AH20" s="160" t="str">
        <f>IF($AI20="","",INDEX('Roadmap Calc (Don’t Touch)'!$D$2:$D$151,$AI20))</f>
        <v>Increase Trade In Awareness</v>
      </c>
      <c r="AI20" s="160">
        <f>IFERROR(MATCH(5,'Roadmap Calc (Don’t Touch)'!$O$2:$O$151,0),"")</f>
        <v>26</v>
      </c>
      <c r="AJ20" s="160"/>
      <c r="AK20" s="162" t="str">
        <f>IF(COUNTA(Control!E18)=0,"",Control!E18)</f>
        <v/>
      </c>
      <c r="AL20" s="162" t="str">
        <f>IF(COUNTA(Control!B18)=0,"",Control!B18)</f>
        <v>12. Release</v>
      </c>
      <c r="AM20" s="160"/>
    </row>
    <row r="21" spans="1:39" ht="20" customHeight="1" x14ac:dyDescent="0.25">
      <c r="A21" s="214" t="str">
        <f>IF($AI21="","",IF($AH21=$AH20,"",IF(INDEX('Roadmap Calc (Don’t Touch)'!$U$2:$U$151,$AI21)=0,$AH21,HYPERLINK("#'Control (Don’t Touch)'!E"&amp;INDEX('Roadmap Calc (Don’t Touch)'!$U$2:$U$151,$AI21),$AH21))))</f>
        <v>Improve Trade In User Flow</v>
      </c>
      <c r="B21" s="174" t="str">
        <f>IF($AI21="","",IF(INDEX('Roadmap Calc (Don’t Touch)'!$K$2:$K$151,$AI21)="",INDEX('Roadmap Calc (Don’t Touch)'!$B$2:$B$151,$AI21),HYPERLINK("https://jira.bnh.com/browse/"&amp;INDEX('Roadmap Calc (Don’t Touch)'!$K$2:$K$151,$AI21),INDEX('Roadmap Calc (Don’t Touch)'!$B$2:$B$151,$AI21))))</f>
        <v>Sell Used Purchase Look Up</v>
      </c>
      <c r="C21" s="174" t="str">
        <f>IF($AI21="","",IF(INDEX('Roadmap Calc (Don’t Touch)'!$E$2:$E$151,$AI21)="","",HYPERLINK("https://jira.bnh.com/browse/"&amp;INDEX('Roadmap Calc (Don’t Touch)'!$E$2:$E$151,$AI21),INDEX('Roadmap Calc (Don’t Touch)'!$E$2:$E$151,$AI21))))</f>
        <v>BHP-7236</v>
      </c>
      <c r="D21" s="176" t="str">
        <f>IF($AI21="","",INDEX('Roadmap Calc (Don’t Touch)'!$F$2:$F$151,$AI21))</f>
        <v>02. UX Req</v>
      </c>
      <c r="E21" s="170">
        <f>IF($AI21="","",IF(ISNUMBER(INDEX('Roadmap Calc (Don’t Touch)'!$G$2:$G$151,$AI21)),INDEX('Roadmap Calc (Don’t Touch)'!$G$2:$G$151,$AI21),""))</f>
        <v>46258</v>
      </c>
      <c r="F21" s="170">
        <f>IF($AI21="","",IF(ISNUMBER(INDEX('Roadmap Calc (Don’t Touch)'!$H$2:$H$151,$AI21)),INDEX('Roadmap Calc (Don’t Touch)'!$H$2:$H$151,$AI21),""))</f>
        <v>46272</v>
      </c>
      <c r="G21" s="171">
        <f>IF($AI21="","",INDEX('Roadmap Calc (Don’t Touch)'!$T$2:$T$151,$AI21))</f>
        <v>3</v>
      </c>
      <c r="H21" s="172">
        <f ca="1">IF($AI21="","",IF(ISNUMBER(INDEX('Roadmap Calc (Don’t Touch)'!$I$2:$I$151,$AI21)),INDEX('Roadmap Calc (Don’t Touch)'!$I$2:$I$151,$AI21),""))</f>
        <v>46327</v>
      </c>
      <c r="I21" s="172">
        <f ca="1">IF($AI21="","",IF(ISNUMBER(INDEX('Roadmap Calc (Don’t Touch)'!$J$2:$J$151,$AI21)),INDEX('Roadmap Calc (Don’t Touch)'!$J$2:$J$151,$AI21),""))</f>
        <v>46418</v>
      </c>
      <c r="J21" s="173" t="str">
        <f ca="1">IF($AI21="","",IF(INDEX('Roadmap Calc (Don’t Touch)'!$AA$2:$AX$151,$AI21,1)&gt;0,IF(AND($H21&lt;&gt;"",$H21&lt;=EOMONTH(J$12,0),$I21&gt;=J$12),"BOTH","UX"),IF(AND($H21&lt;&gt;"",$H21&lt;=EOMONTH(J$12,0),$I21&gt;=J$12),"DEV","")))</f>
        <v/>
      </c>
      <c r="K21" s="173" t="str">
        <f ca="1">IF($AI21="","",IF(INDEX('Roadmap Calc (Don’t Touch)'!$AA$2:$AX$151,$AI21,2)&gt;0,IF(AND($H21&lt;&gt;"",$H21&lt;=EOMONTH(K$12,0),$I21&gt;=K$12),"BOTH","UX"),IF(AND($H21&lt;&gt;"",$H21&lt;=EOMONTH(K$12,0),$I21&gt;=K$12),"DEV","")))</f>
        <v/>
      </c>
      <c r="L21" s="173" t="str">
        <f ca="1">IF($AI21="","",IF(INDEX('Roadmap Calc (Don’t Touch)'!$AA$2:$AX$151,$AI21,3)&gt;0,IF(AND($H21&lt;&gt;"",$H21&lt;=EOMONTH(L$12,0),$I21&gt;=L$12),"BOTH","UX"),IF(AND($H21&lt;&gt;"",$H21&lt;=EOMONTH(L$12,0),$I21&gt;=L$12),"DEV","")))</f>
        <v/>
      </c>
      <c r="M21" s="173" t="str">
        <f ca="1">IF($AI21="","",IF(INDEX('Roadmap Calc (Don’t Touch)'!$AA$2:$AX$151,$AI21,4)&gt;0,IF(AND($H21&lt;&gt;"",$H21&lt;=EOMONTH(M$12,0),$I21&gt;=M$12),"BOTH","UX"),IF(AND($H21&lt;&gt;"",$H21&lt;=EOMONTH(M$12,0),$I21&gt;=M$12),"DEV","")))</f>
        <v/>
      </c>
      <c r="N21" s="173" t="str">
        <f ca="1">IF($AI21="","",IF(INDEX('Roadmap Calc (Don’t Touch)'!$AA$2:$AX$151,$AI21,5)&gt;0,IF(AND($H21&lt;&gt;"",$H21&lt;=EOMONTH(N$12,0),$I21&gt;=N$12),"BOTH","UX"),IF(AND($H21&lt;&gt;"",$H21&lt;=EOMONTH(N$12,0),$I21&gt;=N$12),"DEV","")))</f>
        <v/>
      </c>
      <c r="O21" s="173" t="str">
        <f ca="1">IF($AI21="","",IF(INDEX('Roadmap Calc (Don’t Touch)'!$AA$2:$AX$151,$AI21,6)&gt;0,IF(AND($H21&lt;&gt;"",$H21&lt;=EOMONTH(O$12,0),$I21&gt;=O$12),"BOTH","UX"),IF(AND($H21&lt;&gt;"",$H21&lt;=EOMONTH(O$12,0),$I21&gt;=O$12),"DEV","")))</f>
        <v/>
      </c>
      <c r="P21" s="173" t="str">
        <f ca="1">IF($AI21="","",IF(INDEX('Roadmap Calc (Don’t Touch)'!$AA$2:$AX$151,$AI21,7)&gt;0,IF(AND($H21&lt;&gt;"",$H21&lt;=EOMONTH(P$12,0),$I21&gt;=P$12),"BOTH","UX"),IF(AND($H21&lt;&gt;"",$H21&lt;=EOMONTH(P$12,0),$I21&gt;=P$12),"DEV","")))</f>
        <v/>
      </c>
      <c r="Q21" s="173" t="str">
        <f ca="1">IF($AI21="","",IF(INDEX('Roadmap Calc (Don’t Touch)'!$AA$2:$AX$151,$AI21,8)&gt;0,IF(AND($H21&lt;&gt;"",$H21&lt;=EOMONTH(Q$12,0),$I21&gt;=Q$12),"BOTH","UX"),IF(AND($H21&lt;&gt;"",$H21&lt;=EOMONTH(Q$12,0),$I21&gt;=Q$12),"DEV","")))</f>
        <v>UX</v>
      </c>
      <c r="R21" s="173" t="str">
        <f ca="1">IF($AI21="","",IF(INDEX('Roadmap Calc (Don’t Touch)'!$AA$2:$AX$151,$AI21,9)&gt;0,IF(AND($H21&lt;&gt;"",$H21&lt;=EOMONTH(R$12,0),$I21&gt;=R$12),"BOTH","UX"),IF(AND($H21&lt;&gt;"",$H21&lt;=EOMONTH(R$12,0),$I21&gt;=R$12),"DEV","")))</f>
        <v>UX</v>
      </c>
      <c r="S21" s="173" t="str">
        <f ca="1">IF($AI21="","",IF(INDEX('Roadmap Calc (Don’t Touch)'!$AA$2:$AX$151,$AI21,10)&gt;0,IF(AND($H21&lt;&gt;"",$H21&lt;=EOMONTH(S$12,0),$I21&gt;=S$12),"BOTH","UX"),IF(AND($H21&lt;&gt;"",$H21&lt;=EOMONTH(S$12,0),$I21&gt;=S$12),"DEV","")))</f>
        <v/>
      </c>
      <c r="T21" s="173" t="str">
        <f ca="1">IF($AI21="","",IF(INDEX('Roadmap Calc (Don’t Touch)'!$AA$2:$AX$151,$AI21,11)&gt;0,IF(AND($H21&lt;&gt;"",$H21&lt;=EOMONTH(T$12,0),$I21&gt;=T$12),"BOTH","UX"),IF(AND($H21&lt;&gt;"",$H21&lt;=EOMONTH(T$12,0),$I21&gt;=T$12),"DEV","")))</f>
        <v>DEV</v>
      </c>
      <c r="U21" s="173" t="str">
        <f ca="1">IF($AI21="","",IF(INDEX('Roadmap Calc (Don’t Touch)'!$AA$2:$AX$151,$AI21,12)&gt;0,IF(AND($H21&lt;&gt;"",$H21&lt;=EOMONTH(U$12,0),$I21&gt;=U$12),"BOTH","UX"),IF(AND($H21&lt;&gt;"",$H21&lt;=EOMONTH(U$12,0),$I21&gt;=U$12),"DEV","")))</f>
        <v>DEV</v>
      </c>
      <c r="V21" s="173" t="str">
        <f ca="1">IF($AI21="","",IF(INDEX('Roadmap Calc (Don’t Touch)'!$AA$2:$AX$151,$AI21,13)&gt;0,IF(AND($H21&lt;&gt;"",$H21&lt;=EOMONTH(V$12,0),$I21&gt;=V$12),"BOTH","UX"),IF(AND($H21&lt;&gt;"",$H21&lt;=EOMONTH(V$12,0),$I21&gt;=V$12),"DEV","")))</f>
        <v>DEV</v>
      </c>
      <c r="W21" s="173" t="str">
        <f ca="1">IF($AI21="","",IF(INDEX('Roadmap Calc (Don’t Touch)'!$AA$2:$AX$151,$AI21,14)&gt;0,IF(AND($H21&lt;&gt;"",$H21&lt;=EOMONTH(W$12,0),$I21&gt;=W$12),"BOTH","UX"),IF(AND($H21&lt;&gt;"",$H21&lt;=EOMONTH(W$12,0),$I21&gt;=W$12),"DEV","")))</f>
        <v/>
      </c>
      <c r="X21" s="173" t="str">
        <f ca="1">IF($AI21="","",IF(INDEX('Roadmap Calc (Don’t Touch)'!$AA$2:$AX$151,$AI21,15)&gt;0,IF(AND($H21&lt;&gt;"",$H21&lt;=EOMONTH(X$12,0),$I21&gt;=X$12),"BOTH","UX"),IF(AND($H21&lt;&gt;"",$H21&lt;=EOMONTH(X$12,0),$I21&gt;=X$12),"DEV","")))</f>
        <v/>
      </c>
      <c r="Y21" s="173" t="str">
        <f ca="1">IF($AI21="","",IF(INDEX('Roadmap Calc (Don’t Touch)'!$AA$2:$AX$151,$AI21,16)&gt;0,IF(AND($H21&lt;&gt;"",$H21&lt;=EOMONTH(Y$12,0),$I21&gt;=Y$12),"BOTH","UX"),IF(AND($H21&lt;&gt;"",$H21&lt;=EOMONTH(Y$12,0),$I21&gt;=Y$12),"DEV","")))</f>
        <v/>
      </c>
      <c r="Z21" s="173" t="str">
        <f ca="1">IF($AI21="","",IF(INDEX('Roadmap Calc (Don’t Touch)'!$AA$2:$AX$151,$AI21,17)&gt;0,IF(AND($H21&lt;&gt;"",$H21&lt;=EOMONTH(Z$12,0),$I21&gt;=Z$12),"BOTH","UX"),IF(AND($H21&lt;&gt;"",$H21&lt;=EOMONTH(Z$12,0),$I21&gt;=Z$12),"DEV","")))</f>
        <v/>
      </c>
      <c r="AA21" s="173" t="str">
        <f ca="1">IF($AI21="","",IF(INDEX('Roadmap Calc (Don’t Touch)'!$AA$2:$AX$151,$AI21,18)&gt;0,IF(AND($H21&lt;&gt;"",$H21&lt;=EOMONTH(AA$12,0),$I21&gt;=AA$12),"BOTH","UX"),IF(AND($H21&lt;&gt;"",$H21&lt;=EOMONTH(AA$12,0),$I21&gt;=AA$12),"DEV","")))</f>
        <v/>
      </c>
      <c r="AB21" s="173" t="str">
        <f ca="1">IF($AI21="","",IF(INDEX('Roadmap Calc (Don’t Touch)'!$AA$2:$AX$151,$AI21,19)&gt;0,IF(AND($H21&lt;&gt;"",$H21&lt;=EOMONTH(AB$12,0),$I21&gt;=AB$12),"BOTH","UX"),IF(AND($H21&lt;&gt;"",$H21&lt;=EOMONTH(AB$12,0),$I21&gt;=AB$12),"DEV","")))</f>
        <v/>
      </c>
      <c r="AC21" s="173" t="str">
        <f ca="1">IF($AI21="","",IF(INDEX('Roadmap Calc (Don’t Touch)'!$AA$2:$AX$151,$AI21,20)&gt;0,IF(AND($H21&lt;&gt;"",$H21&lt;=EOMONTH(AC$12,0),$I21&gt;=AC$12),"BOTH","UX"),IF(AND($H21&lt;&gt;"",$H21&lt;=EOMONTH(AC$12,0),$I21&gt;=AC$12),"DEV","")))</f>
        <v/>
      </c>
      <c r="AD21" s="173" t="str">
        <f ca="1">IF($AI21="","",IF(INDEX('Roadmap Calc (Don’t Touch)'!$AA$2:$AX$151,$AI21,21)&gt;0,IF(AND($H21&lt;&gt;"",$H21&lt;=EOMONTH(AD$12,0),$I21&gt;=AD$12),"BOTH","UX"),IF(AND($H21&lt;&gt;"",$H21&lt;=EOMONTH(AD$12,0),$I21&gt;=AD$12),"DEV","")))</f>
        <v/>
      </c>
      <c r="AE21" s="173" t="str">
        <f ca="1">IF($AI21="","",IF(INDEX('Roadmap Calc (Don’t Touch)'!$AA$2:$AX$151,$AI21,22)&gt;0,IF(AND($H21&lt;&gt;"",$H21&lt;=EOMONTH(AE$12,0),$I21&gt;=AE$12),"BOTH","UX"),IF(AND($H21&lt;&gt;"",$H21&lt;=EOMONTH(AE$12,0),$I21&gt;=AE$12),"DEV","")))</f>
        <v/>
      </c>
      <c r="AF21" s="173" t="str">
        <f ca="1">IF($AI21="","",IF(INDEX('Roadmap Calc (Don’t Touch)'!$AA$2:$AX$151,$AI21,23)&gt;0,IF(AND($H21&lt;&gt;"",$H21&lt;=EOMONTH(AF$12,0),$I21&gt;=AF$12),"BOTH","UX"),IF(AND($H21&lt;&gt;"",$H21&lt;=EOMONTH(AF$12,0),$I21&gt;=AF$12),"DEV","")))</f>
        <v/>
      </c>
      <c r="AG21" s="173" t="str">
        <f ca="1">IF($AI21="","",IF(INDEX('Roadmap Calc (Don’t Touch)'!$AA$2:$AX$151,$AI21,24)&gt;0,IF(AND($H21&lt;&gt;"",$H21&lt;=EOMONTH(AG$12,0),$I21&gt;=AG$12),"BOTH","UX"),IF(AND($H21&lt;&gt;"",$H21&lt;=EOMONTH(AG$12,0),$I21&gt;=AG$12),"DEV","")))</f>
        <v/>
      </c>
      <c r="AH21" s="160" t="str">
        <f>IF($AI21="","",INDEX('Roadmap Calc (Don’t Touch)'!$D$2:$D$151,$AI21))</f>
        <v>Improve Trade In User Flow</v>
      </c>
      <c r="AI21" s="160">
        <f>IFERROR(MATCH(6,'Roadmap Calc (Don’t Touch)'!$O$2:$O$151,0),"")</f>
        <v>7</v>
      </c>
      <c r="AJ21" s="160"/>
      <c r="AK21" s="160"/>
      <c r="AL21" s="162" t="str">
        <f>IF(COUNTA(Control!B19)=0,"",Control!B19)</f>
        <v>13. Live</v>
      </c>
      <c r="AM21" s="160"/>
    </row>
    <row r="22" spans="1:39" ht="20" customHeight="1" x14ac:dyDescent="0.25">
      <c r="A22" s="214" t="str">
        <f>IF($AI22="","",IF($AH22=$AH21,"",IF(INDEX('Roadmap Calc (Don’t Touch)'!$U$2:$U$151,$AI22)=0,$AH22,HYPERLINK("#'Control (Don’t Touch)'!E"&amp;INDEX('Roadmap Calc (Don’t Touch)'!$U$2:$U$151,$AI22),$AH22))))</f>
        <v/>
      </c>
      <c r="B22" s="174" t="str">
        <f>IF($AI22="","",IF(INDEX('Roadmap Calc (Don’t Touch)'!$K$2:$K$151,$AI22)="",INDEX('Roadmap Calc (Don’t Touch)'!$B$2:$B$151,$AI22),HYPERLINK("https://jira.bnh.com/browse/"&amp;INDEX('Roadmap Calc (Don’t Touch)'!$K$2:$K$151,$AI22),INDEX('Roadmap Calc (Don’t Touch)'!$B$2:$B$151,$AI22))))</f>
        <v>Trade In Email - Comprehensive Refresh Discovery</v>
      </c>
      <c r="C22" s="174" t="str">
        <f>IF($AI22="","",IF(INDEX('Roadmap Calc (Don’t Touch)'!$E$2:$E$151,$AI22)="","",HYPERLINK("https://jira.bnh.com/browse/"&amp;INDEX('Roadmap Calc (Don’t Touch)'!$E$2:$E$151,$AI22),INDEX('Roadmap Calc (Don’t Touch)'!$E$2:$E$151,$AI22))))</f>
        <v>BHUX-34772</v>
      </c>
      <c r="D22" s="176" t="str">
        <f>IF($AI22="","",INDEX('Roadmap Calc (Don’t Touch)'!$F$2:$F$151,$AI22))</f>
        <v>04. UX Design</v>
      </c>
      <c r="E22" s="170">
        <f>IF($AI22="","",IF(ISNUMBER(INDEX('Roadmap Calc (Don’t Touch)'!$G$2:$G$151,$AI22)),INDEX('Roadmap Calc (Don’t Touch)'!$G$2:$G$151,$AI22),""))</f>
        <v>46216</v>
      </c>
      <c r="F22" s="170">
        <f>IF($AI22="","",IF(ISNUMBER(INDEX('Roadmap Calc (Don’t Touch)'!$H$2:$H$151,$AI22)),INDEX('Roadmap Calc (Don’t Touch)'!$H$2:$H$151,$AI22),""))</f>
        <v>46237</v>
      </c>
      <c r="G22" s="171">
        <f>IF($AI22="","",INDEX('Roadmap Calc (Don’t Touch)'!$T$2:$T$151,$AI22))</f>
        <v>4</v>
      </c>
      <c r="H22" s="172">
        <f ca="1">IF($AI22="","",IF(ISNUMBER(INDEX('Roadmap Calc (Don’t Touch)'!$I$2:$I$151,$AI22)),INDEX('Roadmap Calc (Don’t Touch)'!$I$2:$I$151,$AI22),""))</f>
        <v>46296</v>
      </c>
      <c r="I22" s="172">
        <f ca="1">IF($AI22="","",IF(ISNUMBER(INDEX('Roadmap Calc (Don’t Touch)'!$J$2:$J$151,$AI22)),INDEX('Roadmap Calc (Don’t Touch)'!$J$2:$J$151,$AI22),""))</f>
        <v>46326</v>
      </c>
      <c r="J22" s="173" t="str">
        <f ca="1">IF($AI22="","",IF(INDEX('Roadmap Calc (Don’t Touch)'!$AA$2:$AX$151,$AI22,1)&gt;0,IF(AND($H22&lt;&gt;"",$H22&lt;=EOMONTH(J$12,0),$I22&gt;=J$12),"BOTH","UX"),IF(AND($H22&lt;&gt;"",$H22&lt;=EOMONTH(J$12,0),$I22&gt;=J$12),"DEV","")))</f>
        <v/>
      </c>
      <c r="K22" s="173" t="str">
        <f ca="1">IF($AI22="","",IF(INDEX('Roadmap Calc (Don’t Touch)'!$AA$2:$AX$151,$AI22,2)&gt;0,IF(AND($H22&lt;&gt;"",$H22&lt;=EOMONTH(K$12,0),$I22&gt;=K$12),"BOTH","UX"),IF(AND($H22&lt;&gt;"",$H22&lt;=EOMONTH(K$12,0),$I22&gt;=K$12),"DEV","")))</f>
        <v/>
      </c>
      <c r="L22" s="173" t="str">
        <f ca="1">IF($AI22="","",IF(INDEX('Roadmap Calc (Don’t Touch)'!$AA$2:$AX$151,$AI22,3)&gt;0,IF(AND($H22&lt;&gt;"",$H22&lt;=EOMONTH(L$12,0),$I22&gt;=L$12),"BOTH","UX"),IF(AND($H22&lt;&gt;"",$H22&lt;=EOMONTH(L$12,0),$I22&gt;=L$12),"DEV","")))</f>
        <v/>
      </c>
      <c r="M22" s="173" t="str">
        <f ca="1">IF($AI22="","",IF(INDEX('Roadmap Calc (Don’t Touch)'!$AA$2:$AX$151,$AI22,4)&gt;0,IF(AND($H22&lt;&gt;"",$H22&lt;=EOMONTH(M$12,0),$I22&gt;=M$12),"BOTH","UX"),IF(AND($H22&lt;&gt;"",$H22&lt;=EOMONTH(M$12,0),$I22&gt;=M$12),"DEV","")))</f>
        <v/>
      </c>
      <c r="N22" s="173" t="str">
        <f ca="1">IF($AI22="","",IF(INDEX('Roadmap Calc (Don’t Touch)'!$AA$2:$AX$151,$AI22,5)&gt;0,IF(AND($H22&lt;&gt;"",$H22&lt;=EOMONTH(N$12,0),$I22&gt;=N$12),"BOTH","UX"),IF(AND($H22&lt;&gt;"",$H22&lt;=EOMONTH(N$12,0),$I22&gt;=N$12),"DEV","")))</f>
        <v/>
      </c>
      <c r="O22" s="173" t="str">
        <f ca="1">IF($AI22="","",IF(INDEX('Roadmap Calc (Don’t Touch)'!$AA$2:$AX$151,$AI22,6)&gt;0,IF(AND($H22&lt;&gt;"",$H22&lt;=EOMONTH(O$12,0),$I22&gt;=O$12),"BOTH","UX"),IF(AND($H22&lt;&gt;"",$H22&lt;=EOMONTH(O$12,0),$I22&gt;=O$12),"DEV","")))</f>
        <v/>
      </c>
      <c r="P22" s="173" t="str">
        <f ca="1">IF($AI22="","",IF(INDEX('Roadmap Calc (Don’t Touch)'!$AA$2:$AX$151,$AI22,7)&gt;0,IF(AND($H22&lt;&gt;"",$H22&lt;=EOMONTH(P$12,0),$I22&gt;=P$12),"BOTH","UX"),IF(AND($H22&lt;&gt;"",$H22&lt;=EOMONTH(P$12,0),$I22&gt;=P$12),"DEV","")))</f>
        <v>UX</v>
      </c>
      <c r="Q22" s="173" t="str">
        <f ca="1">IF($AI22="","",IF(INDEX('Roadmap Calc (Don’t Touch)'!$AA$2:$AX$151,$AI22,8)&gt;0,IF(AND($H22&lt;&gt;"",$H22&lt;=EOMONTH(Q$12,0),$I22&gt;=Q$12),"BOTH","UX"),IF(AND($H22&lt;&gt;"",$H22&lt;=EOMONTH(Q$12,0),$I22&gt;=Q$12),"DEV","")))</f>
        <v>UX</v>
      </c>
      <c r="R22" s="173" t="str">
        <f ca="1">IF($AI22="","",IF(INDEX('Roadmap Calc (Don’t Touch)'!$AA$2:$AX$151,$AI22,9)&gt;0,IF(AND($H22&lt;&gt;"",$H22&lt;=EOMONTH(R$12,0),$I22&gt;=R$12),"BOTH","UX"),IF(AND($H22&lt;&gt;"",$H22&lt;=EOMONTH(R$12,0),$I22&gt;=R$12),"DEV","")))</f>
        <v/>
      </c>
      <c r="S22" s="173" t="str">
        <f ca="1">IF($AI22="","",IF(INDEX('Roadmap Calc (Don’t Touch)'!$AA$2:$AX$151,$AI22,10)&gt;0,IF(AND($H22&lt;&gt;"",$H22&lt;=EOMONTH(S$12,0),$I22&gt;=S$12),"BOTH","UX"),IF(AND($H22&lt;&gt;"",$H22&lt;=EOMONTH(S$12,0),$I22&gt;=S$12),"DEV","")))</f>
        <v>DEV</v>
      </c>
      <c r="T22" s="173" t="str">
        <f ca="1">IF($AI22="","",IF(INDEX('Roadmap Calc (Don’t Touch)'!$AA$2:$AX$151,$AI22,11)&gt;0,IF(AND($H22&lt;&gt;"",$H22&lt;=EOMONTH(T$12,0),$I22&gt;=T$12),"BOTH","UX"),IF(AND($H22&lt;&gt;"",$H22&lt;=EOMONTH(T$12,0),$I22&gt;=T$12),"DEV","")))</f>
        <v/>
      </c>
      <c r="U22" s="173" t="str">
        <f ca="1">IF($AI22="","",IF(INDEX('Roadmap Calc (Don’t Touch)'!$AA$2:$AX$151,$AI22,12)&gt;0,IF(AND($H22&lt;&gt;"",$H22&lt;=EOMONTH(U$12,0),$I22&gt;=U$12),"BOTH","UX"),IF(AND($H22&lt;&gt;"",$H22&lt;=EOMONTH(U$12,0),$I22&gt;=U$12),"DEV","")))</f>
        <v/>
      </c>
      <c r="V22" s="173" t="str">
        <f ca="1">IF($AI22="","",IF(INDEX('Roadmap Calc (Don’t Touch)'!$AA$2:$AX$151,$AI22,13)&gt;0,IF(AND($H22&lt;&gt;"",$H22&lt;=EOMONTH(V$12,0),$I22&gt;=V$12),"BOTH","UX"),IF(AND($H22&lt;&gt;"",$H22&lt;=EOMONTH(V$12,0),$I22&gt;=V$12),"DEV","")))</f>
        <v/>
      </c>
      <c r="W22" s="173" t="str">
        <f ca="1">IF($AI22="","",IF(INDEX('Roadmap Calc (Don’t Touch)'!$AA$2:$AX$151,$AI22,14)&gt;0,IF(AND($H22&lt;&gt;"",$H22&lt;=EOMONTH(W$12,0),$I22&gt;=W$12),"BOTH","UX"),IF(AND($H22&lt;&gt;"",$H22&lt;=EOMONTH(W$12,0),$I22&gt;=W$12),"DEV","")))</f>
        <v/>
      </c>
      <c r="X22" s="173" t="str">
        <f ca="1">IF($AI22="","",IF(INDEX('Roadmap Calc (Don’t Touch)'!$AA$2:$AX$151,$AI22,15)&gt;0,IF(AND($H22&lt;&gt;"",$H22&lt;=EOMONTH(X$12,0),$I22&gt;=X$12),"BOTH","UX"),IF(AND($H22&lt;&gt;"",$H22&lt;=EOMONTH(X$12,0),$I22&gt;=X$12),"DEV","")))</f>
        <v/>
      </c>
      <c r="Y22" s="173" t="str">
        <f ca="1">IF($AI22="","",IF(INDEX('Roadmap Calc (Don’t Touch)'!$AA$2:$AX$151,$AI22,16)&gt;0,IF(AND($H22&lt;&gt;"",$H22&lt;=EOMONTH(Y$12,0),$I22&gt;=Y$12),"BOTH","UX"),IF(AND($H22&lt;&gt;"",$H22&lt;=EOMONTH(Y$12,0),$I22&gt;=Y$12),"DEV","")))</f>
        <v/>
      </c>
      <c r="Z22" s="173" t="str">
        <f ca="1">IF($AI22="","",IF(INDEX('Roadmap Calc (Don’t Touch)'!$AA$2:$AX$151,$AI22,17)&gt;0,IF(AND($H22&lt;&gt;"",$H22&lt;=EOMONTH(Z$12,0),$I22&gt;=Z$12),"BOTH","UX"),IF(AND($H22&lt;&gt;"",$H22&lt;=EOMONTH(Z$12,0),$I22&gt;=Z$12),"DEV","")))</f>
        <v/>
      </c>
      <c r="AA22" s="173" t="str">
        <f ca="1">IF($AI22="","",IF(INDEX('Roadmap Calc (Don’t Touch)'!$AA$2:$AX$151,$AI22,18)&gt;0,IF(AND($H22&lt;&gt;"",$H22&lt;=EOMONTH(AA$12,0),$I22&gt;=AA$12),"BOTH","UX"),IF(AND($H22&lt;&gt;"",$H22&lt;=EOMONTH(AA$12,0),$I22&gt;=AA$12),"DEV","")))</f>
        <v/>
      </c>
      <c r="AB22" s="173" t="str">
        <f ca="1">IF($AI22="","",IF(INDEX('Roadmap Calc (Don’t Touch)'!$AA$2:$AX$151,$AI22,19)&gt;0,IF(AND($H22&lt;&gt;"",$H22&lt;=EOMONTH(AB$12,0),$I22&gt;=AB$12),"BOTH","UX"),IF(AND($H22&lt;&gt;"",$H22&lt;=EOMONTH(AB$12,0),$I22&gt;=AB$12),"DEV","")))</f>
        <v/>
      </c>
      <c r="AC22" s="173" t="str">
        <f ca="1">IF($AI22="","",IF(INDEX('Roadmap Calc (Don’t Touch)'!$AA$2:$AX$151,$AI22,20)&gt;0,IF(AND($H22&lt;&gt;"",$H22&lt;=EOMONTH(AC$12,0),$I22&gt;=AC$12),"BOTH","UX"),IF(AND($H22&lt;&gt;"",$H22&lt;=EOMONTH(AC$12,0),$I22&gt;=AC$12),"DEV","")))</f>
        <v/>
      </c>
      <c r="AD22" s="173" t="str">
        <f ca="1">IF($AI22="","",IF(INDEX('Roadmap Calc (Don’t Touch)'!$AA$2:$AX$151,$AI22,21)&gt;0,IF(AND($H22&lt;&gt;"",$H22&lt;=EOMONTH(AD$12,0),$I22&gt;=AD$12),"BOTH","UX"),IF(AND($H22&lt;&gt;"",$H22&lt;=EOMONTH(AD$12,0),$I22&gt;=AD$12),"DEV","")))</f>
        <v/>
      </c>
      <c r="AE22" s="173" t="str">
        <f ca="1">IF($AI22="","",IF(INDEX('Roadmap Calc (Don’t Touch)'!$AA$2:$AX$151,$AI22,22)&gt;0,IF(AND($H22&lt;&gt;"",$H22&lt;=EOMONTH(AE$12,0),$I22&gt;=AE$12),"BOTH","UX"),IF(AND($H22&lt;&gt;"",$H22&lt;=EOMONTH(AE$12,0),$I22&gt;=AE$12),"DEV","")))</f>
        <v/>
      </c>
      <c r="AF22" s="173" t="str">
        <f ca="1">IF($AI22="","",IF(INDEX('Roadmap Calc (Don’t Touch)'!$AA$2:$AX$151,$AI22,23)&gt;0,IF(AND($H22&lt;&gt;"",$H22&lt;=EOMONTH(AF$12,0),$I22&gt;=AF$12),"BOTH","UX"),IF(AND($H22&lt;&gt;"",$H22&lt;=EOMONTH(AF$12,0),$I22&gt;=AF$12),"DEV","")))</f>
        <v/>
      </c>
      <c r="AG22" s="173" t="str">
        <f ca="1">IF($AI22="","",IF(INDEX('Roadmap Calc (Don’t Touch)'!$AA$2:$AX$151,$AI22,24)&gt;0,IF(AND($H22&lt;&gt;"",$H22&lt;=EOMONTH(AG$12,0),$I22&gt;=AG$12),"BOTH","UX"),IF(AND($H22&lt;&gt;"",$H22&lt;=EOMONTH(AG$12,0),$I22&gt;=AG$12),"DEV","")))</f>
        <v/>
      </c>
      <c r="AH22" s="160" t="str">
        <f>IF($AI22="","",INDEX('Roadmap Calc (Don’t Touch)'!$D$2:$D$151,$AI22))</f>
        <v>Improve Trade In User Flow</v>
      </c>
      <c r="AI22" s="160">
        <f>IFERROR(MATCH(7,'Roadmap Calc (Don’t Touch)'!$O$2:$O$151,0),"")</f>
        <v>18</v>
      </c>
      <c r="AJ22" s="160"/>
      <c r="AK22" s="160"/>
      <c r="AL22" s="162" t="str">
        <f>IF(COUNTA(Control!B20)=0,"",Control!B20)</f>
        <v/>
      </c>
      <c r="AM22" s="160"/>
    </row>
    <row r="23" spans="1:39" ht="20" customHeight="1" x14ac:dyDescent="0.25">
      <c r="A23" s="214" t="str">
        <f>IF($AI23="","",IF($AH23=$AH22,"",IF(INDEX('Roadmap Calc (Don’t Touch)'!$U$2:$U$151,$AI23)=0,$AH23,HYPERLINK("#'Control (Don’t Touch)'!E"&amp;INDEX('Roadmap Calc (Don’t Touch)'!$U$2:$U$151,$AI23),$AH23))))</f>
        <v/>
      </c>
      <c r="B23" s="174" t="str">
        <f>IF($AI23="","",IF(INDEX('Roadmap Calc (Don’t Touch)'!$K$2:$K$151,$AI23)="",INDEX('Roadmap Calc (Don’t Touch)'!$B$2:$B$151,$AI23),HYPERLINK("https://jira.bnh.com/browse/"&amp;INDEX('Roadmap Calc (Don’t Touch)'!$K$2:$K$151,$AI23),INDEX('Roadmap Calc (Don’t Touch)'!$B$2:$B$151,$AI23))))</f>
        <v>Used - Sell Used Experience</v>
      </c>
      <c r="C23" s="174" t="str">
        <f>IF($AI23="","",IF(INDEX('Roadmap Calc (Don’t Touch)'!$E$2:$E$151,$AI23)="","",HYPERLINK("https://jira.bnh.com/browse/"&amp;INDEX('Roadmap Calc (Don’t Touch)'!$E$2:$E$151,$AI23),INDEX('Roadmap Calc (Don’t Touch)'!$E$2:$E$151,$AI23))))</f>
        <v>BHUX-33009</v>
      </c>
      <c r="D23" s="176" t="str">
        <f>IF($AI23="","",INDEX('Roadmap Calc (Don’t Touch)'!$F$2:$F$151,$AI23))</f>
        <v>04. UX Design</v>
      </c>
      <c r="E23" s="170">
        <f>IF($AI23="","",IF(ISNUMBER(INDEX('Roadmap Calc (Don’t Touch)'!$G$2:$G$151,$AI23)),INDEX('Roadmap Calc (Don’t Touch)'!$G$2:$G$151,$AI23),""))</f>
        <v>46132</v>
      </c>
      <c r="F23" s="170">
        <f>IF($AI23="","",IF(ISNUMBER(INDEX('Roadmap Calc (Don’t Touch)'!$H$2:$H$151,$AI23)),INDEX('Roadmap Calc (Don’t Touch)'!$H$2:$H$151,$AI23),""))</f>
        <v>46293</v>
      </c>
      <c r="G23" s="171">
        <f>IF($AI23="","",INDEX('Roadmap Calc (Don’t Touch)'!$T$2:$T$151,$AI23))</f>
        <v>24</v>
      </c>
      <c r="H23" s="172">
        <f ca="1">IF($AI23="","",IF(ISNUMBER(INDEX('Roadmap Calc (Don’t Touch)'!$I$2:$I$151,$AI23)),INDEX('Roadmap Calc (Don’t Touch)'!$I$2:$I$151,$AI23),""))</f>
        <v>46388</v>
      </c>
      <c r="I23" s="172">
        <f ca="1">IF($AI23="","",IF(ISNUMBER(INDEX('Roadmap Calc (Don’t Touch)'!$J$2:$J$151,$AI23)),INDEX('Roadmap Calc (Don’t Touch)'!$J$2:$J$151,$AI23),""))</f>
        <v>46477</v>
      </c>
      <c r="J23" s="173" t="str">
        <f ca="1">IF($AI23="","",IF(INDEX('Roadmap Calc (Don’t Touch)'!$AA$2:$AX$151,$AI23,1)&gt;0,IF(AND($H23&lt;&gt;"",$H23&lt;=EOMONTH(J$12,0),$I23&gt;=J$12),"BOTH","UX"),IF(AND($H23&lt;&gt;"",$H23&lt;=EOMONTH(J$12,0),$I23&gt;=J$12),"DEV","")))</f>
        <v/>
      </c>
      <c r="K23" s="173" t="str">
        <f ca="1">IF($AI23="","",IF(INDEX('Roadmap Calc (Don’t Touch)'!$AA$2:$AX$151,$AI23,2)&gt;0,IF(AND($H23&lt;&gt;"",$H23&lt;=EOMONTH(K$12,0),$I23&gt;=K$12),"BOTH","UX"),IF(AND($H23&lt;&gt;"",$H23&lt;=EOMONTH(K$12,0),$I23&gt;=K$12),"DEV","")))</f>
        <v/>
      </c>
      <c r="L23" s="173" t="str">
        <f ca="1">IF($AI23="","",IF(INDEX('Roadmap Calc (Don’t Touch)'!$AA$2:$AX$151,$AI23,3)&gt;0,IF(AND($H23&lt;&gt;"",$H23&lt;=EOMONTH(L$12,0),$I23&gt;=L$12),"BOTH","UX"),IF(AND($H23&lt;&gt;"",$H23&lt;=EOMONTH(L$12,0),$I23&gt;=L$12),"DEV","")))</f>
        <v/>
      </c>
      <c r="M23" s="173" t="str">
        <f ca="1">IF($AI23="","",IF(INDEX('Roadmap Calc (Don’t Touch)'!$AA$2:$AX$151,$AI23,4)&gt;0,IF(AND($H23&lt;&gt;"",$H23&lt;=EOMONTH(M$12,0),$I23&gt;=M$12),"BOTH","UX"),IF(AND($H23&lt;&gt;"",$H23&lt;=EOMONTH(M$12,0),$I23&gt;=M$12),"DEV","")))</f>
        <v>UX</v>
      </c>
      <c r="N23" s="173" t="str">
        <f ca="1">IF($AI23="","",IF(INDEX('Roadmap Calc (Don’t Touch)'!$AA$2:$AX$151,$AI23,5)&gt;0,IF(AND($H23&lt;&gt;"",$H23&lt;=EOMONTH(N$12,0),$I23&gt;=N$12),"BOTH","UX"),IF(AND($H23&lt;&gt;"",$H23&lt;=EOMONTH(N$12,0),$I23&gt;=N$12),"DEV","")))</f>
        <v>UX</v>
      </c>
      <c r="O23" s="173" t="str">
        <f ca="1">IF($AI23="","",IF(INDEX('Roadmap Calc (Don’t Touch)'!$AA$2:$AX$151,$AI23,6)&gt;0,IF(AND($H23&lt;&gt;"",$H23&lt;=EOMONTH(O$12,0),$I23&gt;=O$12),"BOTH","UX"),IF(AND($H23&lt;&gt;"",$H23&lt;=EOMONTH(O$12,0),$I23&gt;=O$12),"DEV","")))</f>
        <v>UX</v>
      </c>
      <c r="P23" s="173" t="str">
        <f ca="1">IF($AI23="","",IF(INDEX('Roadmap Calc (Don’t Touch)'!$AA$2:$AX$151,$AI23,7)&gt;0,IF(AND($H23&lt;&gt;"",$H23&lt;=EOMONTH(P$12,0),$I23&gt;=P$12),"BOTH","UX"),IF(AND($H23&lt;&gt;"",$H23&lt;=EOMONTH(P$12,0),$I23&gt;=P$12),"DEV","")))</f>
        <v>UX</v>
      </c>
      <c r="Q23" s="173" t="str">
        <f ca="1">IF($AI23="","",IF(INDEX('Roadmap Calc (Don’t Touch)'!$AA$2:$AX$151,$AI23,8)&gt;0,IF(AND($H23&lt;&gt;"",$H23&lt;=EOMONTH(Q$12,0),$I23&gt;=Q$12),"BOTH","UX"),IF(AND($H23&lt;&gt;"",$H23&lt;=EOMONTH(Q$12,0),$I23&gt;=Q$12),"DEV","")))</f>
        <v>UX</v>
      </c>
      <c r="R23" s="173" t="str">
        <f ca="1">IF($AI23="","",IF(INDEX('Roadmap Calc (Don’t Touch)'!$AA$2:$AX$151,$AI23,9)&gt;0,IF(AND($H23&lt;&gt;"",$H23&lt;=EOMONTH(R$12,0),$I23&gt;=R$12),"BOTH","UX"),IF(AND($H23&lt;&gt;"",$H23&lt;=EOMONTH(R$12,0),$I23&gt;=R$12),"DEV","")))</f>
        <v>UX</v>
      </c>
      <c r="S23" s="173" t="str">
        <f ca="1">IF($AI23="","",IF(INDEX('Roadmap Calc (Don’t Touch)'!$AA$2:$AX$151,$AI23,10)&gt;0,IF(AND($H23&lt;&gt;"",$H23&lt;=EOMONTH(S$12,0),$I23&gt;=S$12),"BOTH","UX"),IF(AND($H23&lt;&gt;"",$H23&lt;=EOMONTH(S$12,0),$I23&gt;=S$12),"DEV","")))</f>
        <v/>
      </c>
      <c r="T23" s="173" t="str">
        <f ca="1">IF($AI23="","",IF(INDEX('Roadmap Calc (Don’t Touch)'!$AA$2:$AX$151,$AI23,11)&gt;0,IF(AND($H23&lt;&gt;"",$H23&lt;=EOMONTH(T$12,0),$I23&gt;=T$12),"BOTH","UX"),IF(AND($H23&lt;&gt;"",$H23&lt;=EOMONTH(T$12,0),$I23&gt;=T$12),"DEV","")))</f>
        <v/>
      </c>
      <c r="U23" s="173" t="str">
        <f ca="1">IF($AI23="","",IF(INDEX('Roadmap Calc (Don’t Touch)'!$AA$2:$AX$151,$AI23,12)&gt;0,IF(AND($H23&lt;&gt;"",$H23&lt;=EOMONTH(U$12,0),$I23&gt;=U$12),"BOTH","UX"),IF(AND($H23&lt;&gt;"",$H23&lt;=EOMONTH(U$12,0),$I23&gt;=U$12),"DEV","")))</f>
        <v/>
      </c>
      <c r="V23" s="173" t="str">
        <f ca="1">IF($AI23="","",IF(INDEX('Roadmap Calc (Don’t Touch)'!$AA$2:$AX$151,$AI23,13)&gt;0,IF(AND($H23&lt;&gt;"",$H23&lt;=EOMONTH(V$12,0),$I23&gt;=V$12),"BOTH","UX"),IF(AND($H23&lt;&gt;"",$H23&lt;=EOMONTH(V$12,0),$I23&gt;=V$12),"DEV","")))</f>
        <v>DEV</v>
      </c>
      <c r="W23" s="173" t="str">
        <f ca="1">IF($AI23="","",IF(INDEX('Roadmap Calc (Don’t Touch)'!$AA$2:$AX$151,$AI23,14)&gt;0,IF(AND($H23&lt;&gt;"",$H23&lt;=EOMONTH(W$12,0),$I23&gt;=W$12),"BOTH","UX"),IF(AND($H23&lt;&gt;"",$H23&lt;=EOMONTH(W$12,0),$I23&gt;=W$12),"DEV","")))</f>
        <v>DEV</v>
      </c>
      <c r="X23" s="173" t="str">
        <f ca="1">IF($AI23="","",IF(INDEX('Roadmap Calc (Don’t Touch)'!$AA$2:$AX$151,$AI23,15)&gt;0,IF(AND($H23&lt;&gt;"",$H23&lt;=EOMONTH(X$12,0),$I23&gt;=X$12),"BOTH","UX"),IF(AND($H23&lt;&gt;"",$H23&lt;=EOMONTH(X$12,0),$I23&gt;=X$12),"DEV","")))</f>
        <v>DEV</v>
      </c>
      <c r="Y23" s="173" t="str">
        <f ca="1">IF($AI23="","",IF(INDEX('Roadmap Calc (Don’t Touch)'!$AA$2:$AX$151,$AI23,16)&gt;0,IF(AND($H23&lt;&gt;"",$H23&lt;=EOMONTH(Y$12,0),$I23&gt;=Y$12),"BOTH","UX"),IF(AND($H23&lt;&gt;"",$H23&lt;=EOMONTH(Y$12,0),$I23&gt;=Y$12),"DEV","")))</f>
        <v/>
      </c>
      <c r="Z23" s="173" t="str">
        <f ca="1">IF($AI23="","",IF(INDEX('Roadmap Calc (Don’t Touch)'!$AA$2:$AX$151,$AI23,17)&gt;0,IF(AND($H23&lt;&gt;"",$H23&lt;=EOMONTH(Z$12,0),$I23&gt;=Z$12),"BOTH","UX"),IF(AND($H23&lt;&gt;"",$H23&lt;=EOMONTH(Z$12,0),$I23&gt;=Z$12),"DEV","")))</f>
        <v/>
      </c>
      <c r="AA23" s="173" t="str">
        <f ca="1">IF($AI23="","",IF(INDEX('Roadmap Calc (Don’t Touch)'!$AA$2:$AX$151,$AI23,18)&gt;0,IF(AND($H23&lt;&gt;"",$H23&lt;=EOMONTH(AA$12,0),$I23&gt;=AA$12),"BOTH","UX"),IF(AND($H23&lt;&gt;"",$H23&lt;=EOMONTH(AA$12,0),$I23&gt;=AA$12),"DEV","")))</f>
        <v/>
      </c>
      <c r="AB23" s="173" t="str">
        <f ca="1">IF($AI23="","",IF(INDEX('Roadmap Calc (Don’t Touch)'!$AA$2:$AX$151,$AI23,19)&gt;0,IF(AND($H23&lt;&gt;"",$H23&lt;=EOMONTH(AB$12,0),$I23&gt;=AB$12),"BOTH","UX"),IF(AND($H23&lt;&gt;"",$H23&lt;=EOMONTH(AB$12,0),$I23&gt;=AB$12),"DEV","")))</f>
        <v/>
      </c>
      <c r="AC23" s="173" t="str">
        <f ca="1">IF($AI23="","",IF(INDEX('Roadmap Calc (Don’t Touch)'!$AA$2:$AX$151,$AI23,20)&gt;0,IF(AND($H23&lt;&gt;"",$H23&lt;=EOMONTH(AC$12,0),$I23&gt;=AC$12),"BOTH","UX"),IF(AND($H23&lt;&gt;"",$H23&lt;=EOMONTH(AC$12,0),$I23&gt;=AC$12),"DEV","")))</f>
        <v/>
      </c>
      <c r="AD23" s="173" t="str">
        <f ca="1">IF($AI23="","",IF(INDEX('Roadmap Calc (Don’t Touch)'!$AA$2:$AX$151,$AI23,21)&gt;0,IF(AND($H23&lt;&gt;"",$H23&lt;=EOMONTH(AD$12,0),$I23&gt;=AD$12),"BOTH","UX"),IF(AND($H23&lt;&gt;"",$H23&lt;=EOMONTH(AD$12,0),$I23&gt;=AD$12),"DEV","")))</f>
        <v/>
      </c>
      <c r="AE23" s="173" t="str">
        <f ca="1">IF($AI23="","",IF(INDEX('Roadmap Calc (Don’t Touch)'!$AA$2:$AX$151,$AI23,22)&gt;0,IF(AND($H23&lt;&gt;"",$H23&lt;=EOMONTH(AE$12,0),$I23&gt;=AE$12),"BOTH","UX"),IF(AND($H23&lt;&gt;"",$H23&lt;=EOMONTH(AE$12,0),$I23&gt;=AE$12),"DEV","")))</f>
        <v/>
      </c>
      <c r="AF23" s="173" t="str">
        <f ca="1">IF($AI23="","",IF(INDEX('Roadmap Calc (Don’t Touch)'!$AA$2:$AX$151,$AI23,23)&gt;0,IF(AND($H23&lt;&gt;"",$H23&lt;=EOMONTH(AF$12,0),$I23&gt;=AF$12),"BOTH","UX"),IF(AND($H23&lt;&gt;"",$H23&lt;=EOMONTH(AF$12,0),$I23&gt;=AF$12),"DEV","")))</f>
        <v/>
      </c>
      <c r="AG23" s="173" t="str">
        <f ca="1">IF($AI23="","",IF(INDEX('Roadmap Calc (Don’t Touch)'!$AA$2:$AX$151,$AI23,24)&gt;0,IF(AND($H23&lt;&gt;"",$H23&lt;=EOMONTH(AG$12,0),$I23&gt;=AG$12),"BOTH","UX"),IF(AND($H23&lt;&gt;"",$H23&lt;=EOMONTH(AG$12,0),$I23&gt;=AG$12),"DEV","")))</f>
        <v/>
      </c>
      <c r="AH23" s="160" t="str">
        <f>IF($AI23="","",INDEX('Roadmap Calc (Don’t Touch)'!$D$2:$D$151,$AI23))</f>
        <v>Improve Trade In User Flow</v>
      </c>
      <c r="AI23" s="160">
        <f>IFERROR(MATCH(8,'Roadmap Calc (Don’t Touch)'!$O$2:$O$151,0),"")</f>
        <v>19</v>
      </c>
      <c r="AJ23" s="160"/>
      <c r="AK23" s="160"/>
      <c r="AL23" s="162" t="str">
        <f>IF(COUNTA(Control!B21)=0,"",Control!B21)</f>
        <v/>
      </c>
      <c r="AM23" s="160"/>
    </row>
    <row r="24" spans="1:39" ht="20" customHeight="1" x14ac:dyDescent="0.25">
      <c r="A24" s="214" t="str">
        <f>IF($AI24="","",IF($AH24=$AH23,"",IF(INDEX('Roadmap Calc (Don’t Touch)'!$U$2:$U$151,$AI24)=0,$AH24,HYPERLINK("#'Control (Don’t Touch)'!E"&amp;INDEX('Roadmap Calc (Don’t Touch)'!$U$2:$U$151,$AI24),$AH24))))</f>
        <v/>
      </c>
      <c r="B24" s="174" t="str">
        <f>IF($AI24="","",IF(INDEX('Roadmap Calc (Don’t Touch)'!$K$2:$K$151,$AI24)="",INDEX('Roadmap Calc (Don’t Touch)'!$B$2:$B$151,$AI24),HYPERLINK("https://jira.bnh.com/browse/"&amp;INDEX('Roadmap Calc (Don’t Touch)'!$K$2:$K$151,$AI24),INDEX('Roadmap Calc (Don’t Touch)'!$B$2:$B$151,$AI24))))</f>
        <v>Sell Used User Flow Design Validation</v>
      </c>
      <c r="C24" s="174" t="str">
        <f>IF($AI24="","",IF(INDEX('Roadmap Calc (Don’t Touch)'!$E$2:$E$151,$AI24)="","",HYPERLINK("https://jira.bnh.com/browse/"&amp;INDEX('Roadmap Calc (Don’t Touch)'!$E$2:$E$151,$AI24),INDEX('Roadmap Calc (Don’t Touch)'!$E$2:$E$151,$AI24))))</f>
        <v>BHUR-133</v>
      </c>
      <c r="D24" s="176" t="str">
        <f>IF($AI24="","",INDEX('Roadmap Calc (Don’t Touch)'!$F$2:$F$151,$AI24))</f>
        <v>04A. Research - Design Validation</v>
      </c>
      <c r="E24" s="170">
        <f>IF($AI24="","",IF(ISNUMBER(INDEX('Roadmap Calc (Don’t Touch)'!$G$2:$G$151,$AI24)),INDEX('Roadmap Calc (Don’t Touch)'!$G$2:$G$151,$AI24),""))</f>
        <v>46209</v>
      </c>
      <c r="F24" s="170">
        <f>IF($AI24="","",IF(ISNUMBER(INDEX('Roadmap Calc (Don’t Touch)'!$H$2:$H$151,$AI24)),INDEX('Roadmap Calc (Don’t Touch)'!$H$2:$H$151,$AI24),""))</f>
        <v>46258</v>
      </c>
      <c r="G24" s="171">
        <f>IF($AI24="","",INDEX('Roadmap Calc (Don’t Touch)'!$T$2:$T$151,$AI24))</f>
        <v>8</v>
      </c>
      <c r="H24" s="172" t="str">
        <f ca="1">IF($AI24="","",IF(ISNUMBER(INDEX('Roadmap Calc (Don’t Touch)'!$I$2:$I$151,$AI24)),INDEX('Roadmap Calc (Don’t Touch)'!$I$2:$I$151,$AI24),""))</f>
        <v/>
      </c>
      <c r="I24" s="172" t="str">
        <f ca="1">IF($AI24="","",IF(ISNUMBER(INDEX('Roadmap Calc (Don’t Touch)'!$J$2:$J$151,$AI24)),INDEX('Roadmap Calc (Don’t Touch)'!$J$2:$J$151,$AI24),""))</f>
        <v/>
      </c>
      <c r="J24" s="173" t="str">
        <f ca="1">IF($AI24="","",IF(INDEX('Roadmap Calc (Don’t Touch)'!$AA$2:$AX$151,$AI24,1)&gt;0,IF(AND($H24&lt;&gt;"",$H24&lt;=EOMONTH(J$12,0),$I24&gt;=J$12),"BOTH","UX"),IF(AND($H24&lt;&gt;"",$H24&lt;=EOMONTH(J$12,0),$I24&gt;=J$12),"DEV","")))</f>
        <v/>
      </c>
      <c r="K24" s="173" t="str">
        <f ca="1">IF($AI24="","",IF(INDEX('Roadmap Calc (Don’t Touch)'!$AA$2:$AX$151,$AI24,2)&gt;0,IF(AND($H24&lt;&gt;"",$H24&lt;=EOMONTH(K$12,0),$I24&gt;=K$12),"BOTH","UX"),IF(AND($H24&lt;&gt;"",$H24&lt;=EOMONTH(K$12,0),$I24&gt;=K$12),"DEV","")))</f>
        <v/>
      </c>
      <c r="L24" s="173" t="str">
        <f ca="1">IF($AI24="","",IF(INDEX('Roadmap Calc (Don’t Touch)'!$AA$2:$AX$151,$AI24,3)&gt;0,IF(AND($H24&lt;&gt;"",$H24&lt;=EOMONTH(L$12,0),$I24&gt;=L$12),"BOTH","UX"),IF(AND($H24&lt;&gt;"",$H24&lt;=EOMONTH(L$12,0),$I24&gt;=L$12),"DEV","")))</f>
        <v/>
      </c>
      <c r="M24" s="173" t="str">
        <f ca="1">IF($AI24="","",IF(INDEX('Roadmap Calc (Don’t Touch)'!$AA$2:$AX$151,$AI24,4)&gt;0,IF(AND($H24&lt;&gt;"",$H24&lt;=EOMONTH(M$12,0),$I24&gt;=M$12),"BOTH","UX"),IF(AND($H24&lt;&gt;"",$H24&lt;=EOMONTH(M$12,0),$I24&gt;=M$12),"DEV","")))</f>
        <v/>
      </c>
      <c r="N24" s="173" t="str">
        <f ca="1">IF($AI24="","",IF(INDEX('Roadmap Calc (Don’t Touch)'!$AA$2:$AX$151,$AI24,5)&gt;0,IF(AND($H24&lt;&gt;"",$H24&lt;=EOMONTH(N$12,0),$I24&gt;=N$12),"BOTH","UX"),IF(AND($H24&lt;&gt;"",$H24&lt;=EOMONTH(N$12,0),$I24&gt;=N$12),"DEV","")))</f>
        <v/>
      </c>
      <c r="O24" s="173" t="str">
        <f ca="1">IF($AI24="","",IF(INDEX('Roadmap Calc (Don’t Touch)'!$AA$2:$AX$151,$AI24,6)&gt;0,IF(AND($H24&lt;&gt;"",$H24&lt;=EOMONTH(O$12,0),$I24&gt;=O$12),"BOTH","UX"),IF(AND($H24&lt;&gt;"",$H24&lt;=EOMONTH(O$12,0),$I24&gt;=O$12),"DEV","")))</f>
        <v/>
      </c>
      <c r="P24" s="173" t="str">
        <f ca="1">IF($AI24="","",IF(INDEX('Roadmap Calc (Don’t Touch)'!$AA$2:$AX$151,$AI24,7)&gt;0,IF(AND($H24&lt;&gt;"",$H24&lt;=EOMONTH(P$12,0),$I24&gt;=P$12),"BOTH","UX"),IF(AND($H24&lt;&gt;"",$H24&lt;=EOMONTH(P$12,0),$I24&gt;=P$12),"DEV","")))</f>
        <v>UX</v>
      </c>
      <c r="Q24" s="173" t="str">
        <f ca="1">IF($AI24="","",IF(INDEX('Roadmap Calc (Don’t Touch)'!$AA$2:$AX$151,$AI24,8)&gt;0,IF(AND($H24&lt;&gt;"",$H24&lt;=EOMONTH(Q$12,0),$I24&gt;=Q$12),"BOTH","UX"),IF(AND($H24&lt;&gt;"",$H24&lt;=EOMONTH(Q$12,0),$I24&gt;=Q$12),"DEV","")))</f>
        <v>UX</v>
      </c>
      <c r="R24" s="173" t="str">
        <f ca="1">IF($AI24="","",IF(INDEX('Roadmap Calc (Don’t Touch)'!$AA$2:$AX$151,$AI24,9)&gt;0,IF(AND($H24&lt;&gt;"",$H24&lt;=EOMONTH(R$12,0),$I24&gt;=R$12),"BOTH","UX"),IF(AND($H24&lt;&gt;"",$H24&lt;=EOMONTH(R$12,0),$I24&gt;=R$12),"DEV","")))</f>
        <v/>
      </c>
      <c r="S24" s="173" t="str">
        <f ca="1">IF($AI24="","",IF(INDEX('Roadmap Calc (Don’t Touch)'!$AA$2:$AX$151,$AI24,10)&gt;0,IF(AND($H24&lt;&gt;"",$H24&lt;=EOMONTH(S$12,0),$I24&gt;=S$12),"BOTH","UX"),IF(AND($H24&lt;&gt;"",$H24&lt;=EOMONTH(S$12,0),$I24&gt;=S$12),"DEV","")))</f>
        <v/>
      </c>
      <c r="T24" s="173" t="str">
        <f ca="1">IF($AI24="","",IF(INDEX('Roadmap Calc (Don’t Touch)'!$AA$2:$AX$151,$AI24,11)&gt;0,IF(AND($H24&lt;&gt;"",$H24&lt;=EOMONTH(T$12,0),$I24&gt;=T$12),"BOTH","UX"),IF(AND($H24&lt;&gt;"",$H24&lt;=EOMONTH(T$12,0),$I24&gt;=T$12),"DEV","")))</f>
        <v/>
      </c>
      <c r="U24" s="173" t="str">
        <f ca="1">IF($AI24="","",IF(INDEX('Roadmap Calc (Don’t Touch)'!$AA$2:$AX$151,$AI24,12)&gt;0,IF(AND($H24&lt;&gt;"",$H24&lt;=EOMONTH(U$12,0),$I24&gt;=U$12),"BOTH","UX"),IF(AND($H24&lt;&gt;"",$H24&lt;=EOMONTH(U$12,0),$I24&gt;=U$12),"DEV","")))</f>
        <v/>
      </c>
      <c r="V24" s="173" t="str">
        <f ca="1">IF($AI24="","",IF(INDEX('Roadmap Calc (Don’t Touch)'!$AA$2:$AX$151,$AI24,13)&gt;0,IF(AND($H24&lt;&gt;"",$H24&lt;=EOMONTH(V$12,0),$I24&gt;=V$12),"BOTH","UX"),IF(AND($H24&lt;&gt;"",$H24&lt;=EOMONTH(V$12,0),$I24&gt;=V$12),"DEV","")))</f>
        <v/>
      </c>
      <c r="W24" s="173" t="str">
        <f ca="1">IF($AI24="","",IF(INDEX('Roadmap Calc (Don’t Touch)'!$AA$2:$AX$151,$AI24,14)&gt;0,IF(AND($H24&lt;&gt;"",$H24&lt;=EOMONTH(W$12,0),$I24&gt;=W$12),"BOTH","UX"),IF(AND($H24&lt;&gt;"",$H24&lt;=EOMONTH(W$12,0),$I24&gt;=W$12),"DEV","")))</f>
        <v/>
      </c>
      <c r="X24" s="173" t="str">
        <f ca="1">IF($AI24="","",IF(INDEX('Roadmap Calc (Don’t Touch)'!$AA$2:$AX$151,$AI24,15)&gt;0,IF(AND($H24&lt;&gt;"",$H24&lt;=EOMONTH(X$12,0),$I24&gt;=X$12),"BOTH","UX"),IF(AND($H24&lt;&gt;"",$H24&lt;=EOMONTH(X$12,0),$I24&gt;=X$12),"DEV","")))</f>
        <v/>
      </c>
      <c r="Y24" s="173" t="str">
        <f ca="1">IF($AI24="","",IF(INDEX('Roadmap Calc (Don’t Touch)'!$AA$2:$AX$151,$AI24,16)&gt;0,IF(AND($H24&lt;&gt;"",$H24&lt;=EOMONTH(Y$12,0),$I24&gt;=Y$12),"BOTH","UX"),IF(AND($H24&lt;&gt;"",$H24&lt;=EOMONTH(Y$12,0),$I24&gt;=Y$12),"DEV","")))</f>
        <v/>
      </c>
      <c r="Z24" s="173" t="str">
        <f ca="1">IF($AI24="","",IF(INDEX('Roadmap Calc (Don’t Touch)'!$AA$2:$AX$151,$AI24,17)&gt;0,IF(AND($H24&lt;&gt;"",$H24&lt;=EOMONTH(Z$12,0),$I24&gt;=Z$12),"BOTH","UX"),IF(AND($H24&lt;&gt;"",$H24&lt;=EOMONTH(Z$12,0),$I24&gt;=Z$12),"DEV","")))</f>
        <v/>
      </c>
      <c r="AA24" s="173" t="str">
        <f ca="1">IF($AI24="","",IF(INDEX('Roadmap Calc (Don’t Touch)'!$AA$2:$AX$151,$AI24,18)&gt;0,IF(AND($H24&lt;&gt;"",$H24&lt;=EOMONTH(AA$12,0),$I24&gt;=AA$12),"BOTH","UX"),IF(AND($H24&lt;&gt;"",$H24&lt;=EOMONTH(AA$12,0),$I24&gt;=AA$12),"DEV","")))</f>
        <v/>
      </c>
      <c r="AB24" s="173" t="str">
        <f ca="1">IF($AI24="","",IF(INDEX('Roadmap Calc (Don’t Touch)'!$AA$2:$AX$151,$AI24,19)&gt;0,IF(AND($H24&lt;&gt;"",$H24&lt;=EOMONTH(AB$12,0),$I24&gt;=AB$12),"BOTH","UX"),IF(AND($H24&lt;&gt;"",$H24&lt;=EOMONTH(AB$12,0),$I24&gt;=AB$12),"DEV","")))</f>
        <v/>
      </c>
      <c r="AC24" s="173" t="str">
        <f ca="1">IF($AI24="","",IF(INDEX('Roadmap Calc (Don’t Touch)'!$AA$2:$AX$151,$AI24,20)&gt;0,IF(AND($H24&lt;&gt;"",$H24&lt;=EOMONTH(AC$12,0),$I24&gt;=AC$12),"BOTH","UX"),IF(AND($H24&lt;&gt;"",$H24&lt;=EOMONTH(AC$12,0),$I24&gt;=AC$12),"DEV","")))</f>
        <v/>
      </c>
      <c r="AD24" s="173" t="str">
        <f ca="1">IF($AI24="","",IF(INDEX('Roadmap Calc (Don’t Touch)'!$AA$2:$AX$151,$AI24,21)&gt;0,IF(AND($H24&lt;&gt;"",$H24&lt;=EOMONTH(AD$12,0),$I24&gt;=AD$12),"BOTH","UX"),IF(AND($H24&lt;&gt;"",$H24&lt;=EOMONTH(AD$12,0),$I24&gt;=AD$12),"DEV","")))</f>
        <v/>
      </c>
      <c r="AE24" s="173" t="str">
        <f ca="1">IF($AI24="","",IF(INDEX('Roadmap Calc (Don’t Touch)'!$AA$2:$AX$151,$AI24,22)&gt;0,IF(AND($H24&lt;&gt;"",$H24&lt;=EOMONTH(AE$12,0),$I24&gt;=AE$12),"BOTH","UX"),IF(AND($H24&lt;&gt;"",$H24&lt;=EOMONTH(AE$12,0),$I24&gt;=AE$12),"DEV","")))</f>
        <v/>
      </c>
      <c r="AF24" s="173" t="str">
        <f ca="1">IF($AI24="","",IF(INDEX('Roadmap Calc (Don’t Touch)'!$AA$2:$AX$151,$AI24,23)&gt;0,IF(AND($H24&lt;&gt;"",$H24&lt;=EOMONTH(AF$12,0),$I24&gt;=AF$12),"BOTH","UX"),IF(AND($H24&lt;&gt;"",$H24&lt;=EOMONTH(AF$12,0),$I24&gt;=AF$12),"DEV","")))</f>
        <v/>
      </c>
      <c r="AG24" s="173" t="str">
        <f ca="1">IF($AI24="","",IF(INDEX('Roadmap Calc (Don’t Touch)'!$AA$2:$AX$151,$AI24,24)&gt;0,IF(AND($H24&lt;&gt;"",$H24&lt;=EOMONTH(AG$12,0),$I24&gt;=AG$12),"BOTH","UX"),IF(AND($H24&lt;&gt;"",$H24&lt;=EOMONTH(AG$12,0),$I24&gt;=AG$12),"DEV","")))</f>
        <v/>
      </c>
      <c r="AH24" s="160" t="str">
        <f>IF($AI24="","",INDEX('Roadmap Calc (Don’t Touch)'!$D$2:$D$151,$AI24))</f>
        <v>Improve Trade In User Flow</v>
      </c>
      <c r="AI24" s="160">
        <f>IFERROR(MATCH(9,'Roadmap Calc (Don’t Touch)'!$O$2:$O$151,0),"")</f>
        <v>24</v>
      </c>
      <c r="AJ24" s="160"/>
      <c r="AK24" s="160"/>
      <c r="AL24" s="162" t="str">
        <f>IF(COUNTA(Control!B22)=0,"",Control!B22)</f>
        <v/>
      </c>
      <c r="AM24" s="160"/>
    </row>
    <row r="25" spans="1:39" ht="20" customHeight="1" x14ac:dyDescent="0.25">
      <c r="A25" s="214" t="str">
        <f>IF($AI25="","",IF($AH25=$AH24,"",IF(INDEX('Roadmap Calc (Don’t Touch)'!$U$2:$U$151,$AI25)=0,$AH25,HYPERLINK("#'Control (Don’t Touch)'!E"&amp;INDEX('Roadmap Calc (Don’t Touch)'!$U$2:$U$151,$AI25),$AH25))))</f>
        <v/>
      </c>
      <c r="B25" s="174" t="str">
        <f>IF($AI25="","",IF(INDEX('Roadmap Calc (Don’t Touch)'!$K$2:$K$151,$AI25)="",INDEX('Roadmap Calc (Don’t Touch)'!$B$2:$B$151,$AI25),HYPERLINK("https://jira.bnh.com/browse/"&amp;INDEX('Roadmap Calc (Don’t Touch)'!$K$2:$K$151,$AI25),INDEX('Roadmap Calc (Don’t Touch)'!$B$2:$B$151,$AI25))))</f>
        <v>Used Status Email Update</v>
      </c>
      <c r="C25" s="174" t="str">
        <f>IF($AI25="","",IF(INDEX('Roadmap Calc (Don’t Touch)'!$E$2:$E$151,$AI25)="","",HYPERLINK("https://jira.bnh.com/browse/"&amp;INDEX('Roadmap Calc (Don’t Touch)'!$E$2:$E$151,$AI25),INDEX('Roadmap Calc (Don’t Touch)'!$E$2:$E$151,$AI25))))</f>
        <v>BHUX-34723</v>
      </c>
      <c r="D25" s="176" t="str">
        <f>IF($AI25="","",INDEX('Roadmap Calc (Don’t Touch)'!$F$2:$F$151,$AI25))</f>
        <v>06. Architecture</v>
      </c>
      <c r="E25" s="170">
        <f>IF($AI25="","",IF(ISNUMBER(INDEX('Roadmap Calc (Don’t Touch)'!$G$2:$G$151,$AI25)),INDEX('Roadmap Calc (Don’t Touch)'!$G$2:$G$151,$AI25),""))</f>
        <v>46216</v>
      </c>
      <c r="F25" s="170">
        <f>IF($AI25="","",IF(ISNUMBER(INDEX('Roadmap Calc (Don’t Touch)'!$H$2:$H$151,$AI25)),INDEX('Roadmap Calc (Don’t Touch)'!$H$2:$H$151,$AI25),""))</f>
        <v>46216</v>
      </c>
      <c r="G25" s="171">
        <f>IF($AI25="","",INDEX('Roadmap Calc (Don’t Touch)'!$T$2:$T$151,$AI25))</f>
        <v>1</v>
      </c>
      <c r="H25" s="172">
        <f ca="1">IF($AI25="","",IF(ISNUMBER(INDEX('Roadmap Calc (Don’t Touch)'!$I$2:$I$151,$AI25)),INDEX('Roadmap Calc (Don’t Touch)'!$I$2:$I$151,$AI25),""))</f>
        <v>46296</v>
      </c>
      <c r="I25" s="172">
        <f ca="1">IF($AI25="","",IF(ISNUMBER(INDEX('Roadmap Calc (Don’t Touch)'!$J$2:$J$151,$AI25)),INDEX('Roadmap Calc (Don’t Touch)'!$J$2:$J$151,$AI25),""))</f>
        <v>46326</v>
      </c>
      <c r="J25" s="173" t="str">
        <f ca="1">IF($AI25="","",IF(INDEX('Roadmap Calc (Don’t Touch)'!$AA$2:$AX$151,$AI25,1)&gt;0,IF(AND($H25&lt;&gt;"",$H25&lt;=EOMONTH(J$12,0),$I25&gt;=J$12),"BOTH","UX"),IF(AND($H25&lt;&gt;"",$H25&lt;=EOMONTH(J$12,0),$I25&gt;=J$12),"DEV","")))</f>
        <v/>
      </c>
      <c r="K25" s="173" t="str">
        <f ca="1">IF($AI25="","",IF(INDEX('Roadmap Calc (Don’t Touch)'!$AA$2:$AX$151,$AI25,2)&gt;0,IF(AND($H25&lt;&gt;"",$H25&lt;=EOMONTH(K$12,0),$I25&gt;=K$12),"BOTH","UX"),IF(AND($H25&lt;&gt;"",$H25&lt;=EOMONTH(K$12,0),$I25&gt;=K$12),"DEV","")))</f>
        <v/>
      </c>
      <c r="L25" s="173" t="str">
        <f ca="1">IF($AI25="","",IF(INDEX('Roadmap Calc (Don’t Touch)'!$AA$2:$AX$151,$AI25,3)&gt;0,IF(AND($H25&lt;&gt;"",$H25&lt;=EOMONTH(L$12,0),$I25&gt;=L$12),"BOTH","UX"),IF(AND($H25&lt;&gt;"",$H25&lt;=EOMONTH(L$12,0),$I25&gt;=L$12),"DEV","")))</f>
        <v/>
      </c>
      <c r="M25" s="173" t="str">
        <f ca="1">IF($AI25="","",IF(INDEX('Roadmap Calc (Don’t Touch)'!$AA$2:$AX$151,$AI25,4)&gt;0,IF(AND($H25&lt;&gt;"",$H25&lt;=EOMONTH(M$12,0),$I25&gt;=M$12),"BOTH","UX"),IF(AND($H25&lt;&gt;"",$H25&lt;=EOMONTH(M$12,0),$I25&gt;=M$12),"DEV","")))</f>
        <v/>
      </c>
      <c r="N25" s="173" t="str">
        <f ca="1">IF($AI25="","",IF(INDEX('Roadmap Calc (Don’t Touch)'!$AA$2:$AX$151,$AI25,5)&gt;0,IF(AND($H25&lt;&gt;"",$H25&lt;=EOMONTH(N$12,0),$I25&gt;=N$12),"BOTH","UX"),IF(AND($H25&lt;&gt;"",$H25&lt;=EOMONTH(N$12,0),$I25&gt;=N$12),"DEV","")))</f>
        <v/>
      </c>
      <c r="O25" s="173" t="str">
        <f ca="1">IF($AI25="","",IF(INDEX('Roadmap Calc (Don’t Touch)'!$AA$2:$AX$151,$AI25,6)&gt;0,IF(AND($H25&lt;&gt;"",$H25&lt;=EOMONTH(O$12,0),$I25&gt;=O$12),"BOTH","UX"),IF(AND($H25&lt;&gt;"",$H25&lt;=EOMONTH(O$12,0),$I25&gt;=O$12),"DEV","")))</f>
        <v/>
      </c>
      <c r="P25" s="173" t="str">
        <f ca="1">IF($AI25="","",IF(INDEX('Roadmap Calc (Don’t Touch)'!$AA$2:$AX$151,$AI25,7)&gt;0,IF(AND($H25&lt;&gt;"",$H25&lt;=EOMONTH(P$12,0),$I25&gt;=P$12),"BOTH","UX"),IF(AND($H25&lt;&gt;"",$H25&lt;=EOMONTH(P$12,0),$I25&gt;=P$12),"DEV","")))</f>
        <v>UX</v>
      </c>
      <c r="Q25" s="173" t="str">
        <f ca="1">IF($AI25="","",IF(INDEX('Roadmap Calc (Don’t Touch)'!$AA$2:$AX$151,$AI25,8)&gt;0,IF(AND($H25&lt;&gt;"",$H25&lt;=EOMONTH(Q$12,0),$I25&gt;=Q$12),"BOTH","UX"),IF(AND($H25&lt;&gt;"",$H25&lt;=EOMONTH(Q$12,0),$I25&gt;=Q$12),"DEV","")))</f>
        <v/>
      </c>
      <c r="R25" s="173" t="str">
        <f ca="1">IF($AI25="","",IF(INDEX('Roadmap Calc (Don’t Touch)'!$AA$2:$AX$151,$AI25,9)&gt;0,IF(AND($H25&lt;&gt;"",$H25&lt;=EOMONTH(R$12,0),$I25&gt;=R$12),"BOTH","UX"),IF(AND($H25&lt;&gt;"",$H25&lt;=EOMONTH(R$12,0),$I25&gt;=R$12),"DEV","")))</f>
        <v/>
      </c>
      <c r="S25" s="173" t="str">
        <f ca="1">IF($AI25="","",IF(INDEX('Roadmap Calc (Don’t Touch)'!$AA$2:$AX$151,$AI25,10)&gt;0,IF(AND($H25&lt;&gt;"",$H25&lt;=EOMONTH(S$12,0),$I25&gt;=S$12),"BOTH","UX"),IF(AND($H25&lt;&gt;"",$H25&lt;=EOMONTH(S$12,0),$I25&gt;=S$12),"DEV","")))</f>
        <v>DEV</v>
      </c>
      <c r="T25" s="173" t="str">
        <f ca="1">IF($AI25="","",IF(INDEX('Roadmap Calc (Don’t Touch)'!$AA$2:$AX$151,$AI25,11)&gt;0,IF(AND($H25&lt;&gt;"",$H25&lt;=EOMONTH(T$12,0),$I25&gt;=T$12),"BOTH","UX"),IF(AND($H25&lt;&gt;"",$H25&lt;=EOMONTH(T$12,0),$I25&gt;=T$12),"DEV","")))</f>
        <v/>
      </c>
      <c r="U25" s="173" t="str">
        <f ca="1">IF($AI25="","",IF(INDEX('Roadmap Calc (Don’t Touch)'!$AA$2:$AX$151,$AI25,12)&gt;0,IF(AND($H25&lt;&gt;"",$H25&lt;=EOMONTH(U$12,0),$I25&gt;=U$12),"BOTH","UX"),IF(AND($H25&lt;&gt;"",$H25&lt;=EOMONTH(U$12,0),$I25&gt;=U$12),"DEV","")))</f>
        <v/>
      </c>
      <c r="V25" s="173" t="str">
        <f ca="1">IF($AI25="","",IF(INDEX('Roadmap Calc (Don’t Touch)'!$AA$2:$AX$151,$AI25,13)&gt;0,IF(AND($H25&lt;&gt;"",$H25&lt;=EOMONTH(V$12,0),$I25&gt;=V$12),"BOTH","UX"),IF(AND($H25&lt;&gt;"",$H25&lt;=EOMONTH(V$12,0),$I25&gt;=V$12),"DEV","")))</f>
        <v/>
      </c>
      <c r="W25" s="173" t="str">
        <f ca="1">IF($AI25="","",IF(INDEX('Roadmap Calc (Don’t Touch)'!$AA$2:$AX$151,$AI25,14)&gt;0,IF(AND($H25&lt;&gt;"",$H25&lt;=EOMONTH(W$12,0),$I25&gt;=W$12),"BOTH","UX"),IF(AND($H25&lt;&gt;"",$H25&lt;=EOMONTH(W$12,0),$I25&gt;=W$12),"DEV","")))</f>
        <v/>
      </c>
      <c r="X25" s="173" t="str">
        <f ca="1">IF($AI25="","",IF(INDEX('Roadmap Calc (Don’t Touch)'!$AA$2:$AX$151,$AI25,15)&gt;0,IF(AND($H25&lt;&gt;"",$H25&lt;=EOMONTH(X$12,0),$I25&gt;=X$12),"BOTH","UX"),IF(AND($H25&lt;&gt;"",$H25&lt;=EOMONTH(X$12,0),$I25&gt;=X$12),"DEV","")))</f>
        <v/>
      </c>
      <c r="Y25" s="173" t="str">
        <f ca="1">IF($AI25="","",IF(INDEX('Roadmap Calc (Don’t Touch)'!$AA$2:$AX$151,$AI25,16)&gt;0,IF(AND($H25&lt;&gt;"",$H25&lt;=EOMONTH(Y$12,0),$I25&gt;=Y$12),"BOTH","UX"),IF(AND($H25&lt;&gt;"",$H25&lt;=EOMONTH(Y$12,0),$I25&gt;=Y$12),"DEV","")))</f>
        <v/>
      </c>
      <c r="Z25" s="173" t="str">
        <f ca="1">IF($AI25="","",IF(INDEX('Roadmap Calc (Don’t Touch)'!$AA$2:$AX$151,$AI25,17)&gt;0,IF(AND($H25&lt;&gt;"",$H25&lt;=EOMONTH(Z$12,0),$I25&gt;=Z$12),"BOTH","UX"),IF(AND($H25&lt;&gt;"",$H25&lt;=EOMONTH(Z$12,0),$I25&gt;=Z$12),"DEV","")))</f>
        <v/>
      </c>
      <c r="AA25" s="173" t="str">
        <f ca="1">IF($AI25="","",IF(INDEX('Roadmap Calc (Don’t Touch)'!$AA$2:$AX$151,$AI25,18)&gt;0,IF(AND($H25&lt;&gt;"",$H25&lt;=EOMONTH(AA$12,0),$I25&gt;=AA$12),"BOTH","UX"),IF(AND($H25&lt;&gt;"",$H25&lt;=EOMONTH(AA$12,0),$I25&gt;=AA$12),"DEV","")))</f>
        <v/>
      </c>
      <c r="AB25" s="173" t="str">
        <f ca="1">IF($AI25="","",IF(INDEX('Roadmap Calc (Don’t Touch)'!$AA$2:$AX$151,$AI25,19)&gt;0,IF(AND($H25&lt;&gt;"",$H25&lt;=EOMONTH(AB$12,0),$I25&gt;=AB$12),"BOTH","UX"),IF(AND($H25&lt;&gt;"",$H25&lt;=EOMONTH(AB$12,0),$I25&gt;=AB$12),"DEV","")))</f>
        <v/>
      </c>
      <c r="AC25" s="173" t="str">
        <f ca="1">IF($AI25="","",IF(INDEX('Roadmap Calc (Don’t Touch)'!$AA$2:$AX$151,$AI25,20)&gt;0,IF(AND($H25&lt;&gt;"",$H25&lt;=EOMONTH(AC$12,0),$I25&gt;=AC$12),"BOTH","UX"),IF(AND($H25&lt;&gt;"",$H25&lt;=EOMONTH(AC$12,0),$I25&gt;=AC$12),"DEV","")))</f>
        <v/>
      </c>
      <c r="AD25" s="173" t="str">
        <f ca="1">IF($AI25="","",IF(INDEX('Roadmap Calc (Don’t Touch)'!$AA$2:$AX$151,$AI25,21)&gt;0,IF(AND($H25&lt;&gt;"",$H25&lt;=EOMONTH(AD$12,0),$I25&gt;=AD$12),"BOTH","UX"),IF(AND($H25&lt;&gt;"",$H25&lt;=EOMONTH(AD$12,0),$I25&gt;=AD$12),"DEV","")))</f>
        <v/>
      </c>
      <c r="AE25" s="173" t="str">
        <f ca="1">IF($AI25="","",IF(INDEX('Roadmap Calc (Don’t Touch)'!$AA$2:$AX$151,$AI25,22)&gt;0,IF(AND($H25&lt;&gt;"",$H25&lt;=EOMONTH(AE$12,0),$I25&gt;=AE$12),"BOTH","UX"),IF(AND($H25&lt;&gt;"",$H25&lt;=EOMONTH(AE$12,0),$I25&gt;=AE$12),"DEV","")))</f>
        <v/>
      </c>
      <c r="AF25" s="173" t="str">
        <f ca="1">IF($AI25="","",IF(INDEX('Roadmap Calc (Don’t Touch)'!$AA$2:$AX$151,$AI25,23)&gt;0,IF(AND($H25&lt;&gt;"",$H25&lt;=EOMONTH(AF$12,0),$I25&gt;=AF$12),"BOTH","UX"),IF(AND($H25&lt;&gt;"",$H25&lt;=EOMONTH(AF$12,0),$I25&gt;=AF$12),"DEV","")))</f>
        <v/>
      </c>
      <c r="AG25" s="173" t="str">
        <f ca="1">IF($AI25="","",IF(INDEX('Roadmap Calc (Don’t Touch)'!$AA$2:$AX$151,$AI25,24)&gt;0,IF(AND($H25&lt;&gt;"",$H25&lt;=EOMONTH(AG$12,0),$I25&gt;=AG$12),"BOTH","UX"),IF(AND($H25&lt;&gt;"",$H25&lt;=EOMONTH(AG$12,0),$I25&gt;=AG$12),"DEV","")))</f>
        <v/>
      </c>
      <c r="AH25" s="160" t="str">
        <f>IF($AI25="","",INDEX('Roadmap Calc (Don’t Touch)'!$D$2:$D$151,$AI25))</f>
        <v>Improve Trade In User Flow</v>
      </c>
      <c r="AI25" s="160">
        <f>IFERROR(MATCH(10,'Roadmap Calc (Don’t Touch)'!$O$2:$O$151,0),"")</f>
        <v>25</v>
      </c>
      <c r="AJ25" s="160"/>
      <c r="AK25" s="160"/>
      <c r="AL25" s="160"/>
      <c r="AM25" s="160"/>
    </row>
    <row r="26" spans="1:39" ht="20" customHeight="1" x14ac:dyDescent="0.25">
      <c r="A26" s="214" t="str">
        <f>IF($AI26="","",IF($AH26=$AH25,"",IF(INDEX('Roadmap Calc (Don’t Touch)'!$U$2:$U$151,$AI26)=0,$AH26,HYPERLINK("#'Control (Don’t Touch)'!E"&amp;INDEX('Roadmap Calc (Don’t Touch)'!$U$2:$U$151,$AI26),$AH26))))</f>
        <v/>
      </c>
      <c r="B26" s="174" t="str">
        <f>IF($AI26="","",IF(INDEX('Roadmap Calc (Don’t Touch)'!$K$2:$K$151,$AI26)="",INDEX('Roadmap Calc (Don’t Touch)'!$B$2:$B$151,$AI26),HYPERLINK("https://jira.bnh.com/browse/"&amp;INDEX('Roadmap Calc (Don’t Touch)'!$K$2:$K$151,$AI26),INDEX('Roadmap Calc (Don’t Touch)'!$B$2:$B$151,$AI26))))</f>
        <v>Trade In Discrepancy Email Refresh (Copy Only)</v>
      </c>
      <c r="C26" s="174" t="str">
        <f>IF($AI26="","",IF(INDEX('Roadmap Calc (Don’t Touch)'!$E$2:$E$151,$AI26)="","",HYPERLINK("https://jira.bnh.com/browse/"&amp;INDEX('Roadmap Calc (Don’t Touch)'!$E$2:$E$151,$AI26),INDEX('Roadmap Calc (Don’t Touch)'!$E$2:$E$151,$AI26))))</f>
        <v/>
      </c>
      <c r="D26" s="176" t="str">
        <f>IF($AI26="","",INDEX('Roadmap Calc (Don’t Touch)'!$F$2:$F$151,$AI26))</f>
        <v>09. In Dev</v>
      </c>
      <c r="E26" s="170">
        <f>IF($AI26="","",IF(ISNUMBER(INDEX('Roadmap Calc (Don’t Touch)'!$G$2:$G$151,$AI26)),INDEX('Roadmap Calc (Don’t Touch)'!$G$2:$G$151,$AI26),""))</f>
        <v>46216</v>
      </c>
      <c r="F26" s="170">
        <f>IF($AI26="","",IF(ISNUMBER(INDEX('Roadmap Calc (Don’t Touch)'!$H$2:$H$151,$AI26)),INDEX('Roadmap Calc (Don’t Touch)'!$H$2:$H$151,$AI26),""))</f>
        <v>46223</v>
      </c>
      <c r="G26" s="171">
        <f>IF($AI26="","",INDEX('Roadmap Calc (Don’t Touch)'!$T$2:$T$151,$AI26))</f>
        <v>2</v>
      </c>
      <c r="H26" s="172">
        <f ca="1">IF($AI26="","",IF(ISNUMBER(INDEX('Roadmap Calc (Don’t Touch)'!$I$2:$I$151,$AI26)),INDEX('Roadmap Calc (Don’t Touch)'!$I$2:$I$151,$AI26),""))</f>
        <v>46204</v>
      </c>
      <c r="I26" s="172">
        <f ca="1">IF($AI26="","",IF(ISNUMBER(INDEX('Roadmap Calc (Don’t Touch)'!$J$2:$J$151,$AI26)),INDEX('Roadmap Calc (Don’t Touch)'!$J$2:$J$151,$AI26),""))</f>
        <v>46234</v>
      </c>
      <c r="J26" s="173" t="str">
        <f ca="1">IF($AI26="","",IF(INDEX('Roadmap Calc (Don’t Touch)'!$AA$2:$AX$151,$AI26,1)&gt;0,IF(AND($H26&lt;&gt;"",$H26&lt;=EOMONTH(J$12,0),$I26&gt;=J$12),"BOTH","UX"),IF(AND($H26&lt;&gt;"",$H26&lt;=EOMONTH(J$12,0),$I26&gt;=J$12),"DEV","")))</f>
        <v/>
      </c>
      <c r="K26" s="173" t="str">
        <f ca="1">IF($AI26="","",IF(INDEX('Roadmap Calc (Don’t Touch)'!$AA$2:$AX$151,$AI26,2)&gt;0,IF(AND($H26&lt;&gt;"",$H26&lt;=EOMONTH(K$12,0),$I26&gt;=K$12),"BOTH","UX"),IF(AND($H26&lt;&gt;"",$H26&lt;=EOMONTH(K$12,0),$I26&gt;=K$12),"DEV","")))</f>
        <v/>
      </c>
      <c r="L26" s="173" t="str">
        <f ca="1">IF($AI26="","",IF(INDEX('Roadmap Calc (Don’t Touch)'!$AA$2:$AX$151,$AI26,3)&gt;0,IF(AND($H26&lt;&gt;"",$H26&lt;=EOMONTH(L$12,0),$I26&gt;=L$12),"BOTH","UX"),IF(AND($H26&lt;&gt;"",$H26&lt;=EOMONTH(L$12,0),$I26&gt;=L$12),"DEV","")))</f>
        <v/>
      </c>
      <c r="M26" s="173" t="str">
        <f ca="1">IF($AI26="","",IF(INDEX('Roadmap Calc (Don’t Touch)'!$AA$2:$AX$151,$AI26,4)&gt;0,IF(AND($H26&lt;&gt;"",$H26&lt;=EOMONTH(M$12,0),$I26&gt;=M$12),"BOTH","UX"),IF(AND($H26&lt;&gt;"",$H26&lt;=EOMONTH(M$12,0),$I26&gt;=M$12),"DEV","")))</f>
        <v/>
      </c>
      <c r="N26" s="173" t="str">
        <f ca="1">IF($AI26="","",IF(INDEX('Roadmap Calc (Don’t Touch)'!$AA$2:$AX$151,$AI26,5)&gt;0,IF(AND($H26&lt;&gt;"",$H26&lt;=EOMONTH(N$12,0),$I26&gt;=N$12),"BOTH","UX"),IF(AND($H26&lt;&gt;"",$H26&lt;=EOMONTH(N$12,0),$I26&gt;=N$12),"DEV","")))</f>
        <v/>
      </c>
      <c r="O26" s="173" t="str">
        <f ca="1">IF($AI26="","",IF(INDEX('Roadmap Calc (Don’t Touch)'!$AA$2:$AX$151,$AI26,6)&gt;0,IF(AND($H26&lt;&gt;"",$H26&lt;=EOMONTH(O$12,0),$I26&gt;=O$12),"BOTH","UX"),IF(AND($H26&lt;&gt;"",$H26&lt;=EOMONTH(O$12,0),$I26&gt;=O$12),"DEV","")))</f>
        <v/>
      </c>
      <c r="P26" s="173" t="str">
        <f ca="1">IF($AI26="","",IF(INDEX('Roadmap Calc (Don’t Touch)'!$AA$2:$AX$151,$AI26,7)&gt;0,IF(AND($H26&lt;&gt;"",$H26&lt;=EOMONTH(P$12,0),$I26&gt;=P$12),"BOTH","UX"),IF(AND($H26&lt;&gt;"",$H26&lt;=EOMONTH(P$12,0),$I26&gt;=P$12),"DEV","")))</f>
        <v>BOTH</v>
      </c>
      <c r="Q26" s="173" t="str">
        <f ca="1">IF($AI26="","",IF(INDEX('Roadmap Calc (Don’t Touch)'!$AA$2:$AX$151,$AI26,8)&gt;0,IF(AND($H26&lt;&gt;"",$H26&lt;=EOMONTH(Q$12,0),$I26&gt;=Q$12),"BOTH","UX"),IF(AND($H26&lt;&gt;"",$H26&lt;=EOMONTH(Q$12,0),$I26&gt;=Q$12),"DEV","")))</f>
        <v/>
      </c>
      <c r="R26" s="173" t="str">
        <f ca="1">IF($AI26="","",IF(INDEX('Roadmap Calc (Don’t Touch)'!$AA$2:$AX$151,$AI26,9)&gt;0,IF(AND($H26&lt;&gt;"",$H26&lt;=EOMONTH(R$12,0),$I26&gt;=R$12),"BOTH","UX"),IF(AND($H26&lt;&gt;"",$H26&lt;=EOMONTH(R$12,0),$I26&gt;=R$12),"DEV","")))</f>
        <v/>
      </c>
      <c r="S26" s="173" t="str">
        <f ca="1">IF($AI26="","",IF(INDEX('Roadmap Calc (Don’t Touch)'!$AA$2:$AX$151,$AI26,10)&gt;0,IF(AND($H26&lt;&gt;"",$H26&lt;=EOMONTH(S$12,0),$I26&gt;=S$12),"BOTH","UX"),IF(AND($H26&lt;&gt;"",$H26&lt;=EOMONTH(S$12,0),$I26&gt;=S$12),"DEV","")))</f>
        <v/>
      </c>
      <c r="T26" s="173" t="str">
        <f ca="1">IF($AI26="","",IF(INDEX('Roadmap Calc (Don’t Touch)'!$AA$2:$AX$151,$AI26,11)&gt;0,IF(AND($H26&lt;&gt;"",$H26&lt;=EOMONTH(T$12,0),$I26&gt;=T$12),"BOTH","UX"),IF(AND($H26&lt;&gt;"",$H26&lt;=EOMONTH(T$12,0),$I26&gt;=T$12),"DEV","")))</f>
        <v/>
      </c>
      <c r="U26" s="173" t="str">
        <f ca="1">IF($AI26="","",IF(INDEX('Roadmap Calc (Don’t Touch)'!$AA$2:$AX$151,$AI26,12)&gt;0,IF(AND($H26&lt;&gt;"",$H26&lt;=EOMONTH(U$12,0),$I26&gt;=U$12),"BOTH","UX"),IF(AND($H26&lt;&gt;"",$H26&lt;=EOMONTH(U$12,0),$I26&gt;=U$12),"DEV","")))</f>
        <v/>
      </c>
      <c r="V26" s="173" t="str">
        <f ca="1">IF($AI26="","",IF(INDEX('Roadmap Calc (Don’t Touch)'!$AA$2:$AX$151,$AI26,13)&gt;0,IF(AND($H26&lt;&gt;"",$H26&lt;=EOMONTH(V$12,0),$I26&gt;=V$12),"BOTH","UX"),IF(AND($H26&lt;&gt;"",$H26&lt;=EOMONTH(V$12,0),$I26&gt;=V$12),"DEV","")))</f>
        <v/>
      </c>
      <c r="W26" s="173" t="str">
        <f ca="1">IF($AI26="","",IF(INDEX('Roadmap Calc (Don’t Touch)'!$AA$2:$AX$151,$AI26,14)&gt;0,IF(AND($H26&lt;&gt;"",$H26&lt;=EOMONTH(W$12,0),$I26&gt;=W$12),"BOTH","UX"),IF(AND($H26&lt;&gt;"",$H26&lt;=EOMONTH(W$12,0),$I26&gt;=W$12),"DEV","")))</f>
        <v/>
      </c>
      <c r="X26" s="173" t="str">
        <f ca="1">IF($AI26="","",IF(INDEX('Roadmap Calc (Don’t Touch)'!$AA$2:$AX$151,$AI26,15)&gt;0,IF(AND($H26&lt;&gt;"",$H26&lt;=EOMONTH(X$12,0),$I26&gt;=X$12),"BOTH","UX"),IF(AND($H26&lt;&gt;"",$H26&lt;=EOMONTH(X$12,0),$I26&gt;=X$12),"DEV","")))</f>
        <v/>
      </c>
      <c r="Y26" s="173" t="str">
        <f ca="1">IF($AI26="","",IF(INDEX('Roadmap Calc (Don’t Touch)'!$AA$2:$AX$151,$AI26,16)&gt;0,IF(AND($H26&lt;&gt;"",$H26&lt;=EOMONTH(Y$12,0),$I26&gt;=Y$12),"BOTH","UX"),IF(AND($H26&lt;&gt;"",$H26&lt;=EOMONTH(Y$12,0),$I26&gt;=Y$12),"DEV","")))</f>
        <v/>
      </c>
      <c r="Z26" s="173" t="str">
        <f ca="1">IF($AI26="","",IF(INDEX('Roadmap Calc (Don’t Touch)'!$AA$2:$AX$151,$AI26,17)&gt;0,IF(AND($H26&lt;&gt;"",$H26&lt;=EOMONTH(Z$12,0),$I26&gt;=Z$12),"BOTH","UX"),IF(AND($H26&lt;&gt;"",$H26&lt;=EOMONTH(Z$12,0),$I26&gt;=Z$12),"DEV","")))</f>
        <v/>
      </c>
      <c r="AA26" s="173" t="str">
        <f ca="1">IF($AI26="","",IF(INDEX('Roadmap Calc (Don’t Touch)'!$AA$2:$AX$151,$AI26,18)&gt;0,IF(AND($H26&lt;&gt;"",$H26&lt;=EOMONTH(AA$12,0),$I26&gt;=AA$12),"BOTH","UX"),IF(AND($H26&lt;&gt;"",$H26&lt;=EOMONTH(AA$12,0),$I26&gt;=AA$12),"DEV","")))</f>
        <v/>
      </c>
      <c r="AB26" s="173" t="str">
        <f ca="1">IF($AI26="","",IF(INDEX('Roadmap Calc (Don’t Touch)'!$AA$2:$AX$151,$AI26,19)&gt;0,IF(AND($H26&lt;&gt;"",$H26&lt;=EOMONTH(AB$12,0),$I26&gt;=AB$12),"BOTH","UX"),IF(AND($H26&lt;&gt;"",$H26&lt;=EOMONTH(AB$12,0),$I26&gt;=AB$12),"DEV","")))</f>
        <v/>
      </c>
      <c r="AC26" s="173" t="str">
        <f ca="1">IF($AI26="","",IF(INDEX('Roadmap Calc (Don’t Touch)'!$AA$2:$AX$151,$AI26,20)&gt;0,IF(AND($H26&lt;&gt;"",$H26&lt;=EOMONTH(AC$12,0),$I26&gt;=AC$12),"BOTH","UX"),IF(AND($H26&lt;&gt;"",$H26&lt;=EOMONTH(AC$12,0),$I26&gt;=AC$12),"DEV","")))</f>
        <v/>
      </c>
      <c r="AD26" s="173" t="str">
        <f ca="1">IF($AI26="","",IF(INDEX('Roadmap Calc (Don’t Touch)'!$AA$2:$AX$151,$AI26,21)&gt;0,IF(AND($H26&lt;&gt;"",$H26&lt;=EOMONTH(AD$12,0),$I26&gt;=AD$12),"BOTH","UX"),IF(AND($H26&lt;&gt;"",$H26&lt;=EOMONTH(AD$12,0),$I26&gt;=AD$12),"DEV","")))</f>
        <v/>
      </c>
      <c r="AE26" s="173" t="str">
        <f ca="1">IF($AI26="","",IF(INDEX('Roadmap Calc (Don’t Touch)'!$AA$2:$AX$151,$AI26,22)&gt;0,IF(AND($H26&lt;&gt;"",$H26&lt;=EOMONTH(AE$12,0),$I26&gt;=AE$12),"BOTH","UX"),IF(AND($H26&lt;&gt;"",$H26&lt;=EOMONTH(AE$12,0),$I26&gt;=AE$12),"DEV","")))</f>
        <v/>
      </c>
      <c r="AF26" s="173" t="str">
        <f ca="1">IF($AI26="","",IF(INDEX('Roadmap Calc (Don’t Touch)'!$AA$2:$AX$151,$AI26,23)&gt;0,IF(AND($H26&lt;&gt;"",$H26&lt;=EOMONTH(AF$12,0),$I26&gt;=AF$12),"BOTH","UX"),IF(AND($H26&lt;&gt;"",$H26&lt;=EOMONTH(AF$12,0),$I26&gt;=AF$12),"DEV","")))</f>
        <v/>
      </c>
      <c r="AG26" s="173" t="str">
        <f ca="1">IF($AI26="","",IF(INDEX('Roadmap Calc (Don’t Touch)'!$AA$2:$AX$151,$AI26,24)&gt;0,IF(AND($H26&lt;&gt;"",$H26&lt;=EOMONTH(AG$12,0),$I26&gt;=AG$12),"BOTH","UX"),IF(AND($H26&lt;&gt;"",$H26&lt;=EOMONTH(AG$12,0),$I26&gt;=AG$12),"DEV","")))</f>
        <v/>
      </c>
      <c r="AH26" s="160" t="str">
        <f>IF($AI26="","",INDEX('Roadmap Calc (Don’t Touch)'!$D$2:$D$151,$AI26))</f>
        <v>Improve Trade In User Flow</v>
      </c>
      <c r="AI26" s="160">
        <f>IFERROR(MATCH(11,'Roadmap Calc (Don’t Touch)'!$O$2:$O$151,0),"")</f>
        <v>35</v>
      </c>
      <c r="AJ26" s="160"/>
      <c r="AK26" s="160"/>
      <c r="AL26" s="160"/>
      <c r="AM26" s="160"/>
    </row>
    <row r="27" spans="1:39" ht="20" customHeight="1" x14ac:dyDescent="0.25">
      <c r="A27" s="214" t="str">
        <f>IF($AI27="","",IF($AH27=$AH26,"",IF(INDEX('Roadmap Calc (Don’t Touch)'!$U$2:$U$151,$AI27)=0,$AH27,HYPERLINK("#'Control (Don’t Touch)'!E"&amp;INDEX('Roadmap Calc (Don’t Touch)'!$U$2:$U$151,$AI27),$AH27))))</f>
        <v>Increase Buy Used Awareness</v>
      </c>
      <c r="B27" s="174" t="str">
        <f>IF($AI27="","",IF(INDEX('Roadmap Calc (Don’t Touch)'!$K$2:$K$151,$AI27)="",INDEX('Roadmap Calc (Don’t Touch)'!$B$2:$B$151,$AI27),HYPERLINK("https://jira.bnh.com/browse/"&amp;INDEX('Roadmap Calc (Don’t Touch)'!$K$2:$K$151,$AI27),INDEX('Roadmap Calc (Don’t Touch)'!$B$2:$B$151,$AI27))))</f>
        <v>Used Hub - Just Added Component</v>
      </c>
      <c r="C27" s="174" t="str">
        <f>IF($AI27="","",IF(INDEX('Roadmap Calc (Don’t Touch)'!$E$2:$E$151,$AI27)="","",HYPERLINK("https://jira.bnh.com/browse/"&amp;INDEX('Roadmap Calc (Don’t Touch)'!$E$2:$E$151,$AI27),INDEX('Roadmap Calc (Don’t Touch)'!$E$2:$E$151,$AI27))))</f>
        <v>BHP-7229</v>
      </c>
      <c r="D27" s="176" t="str">
        <f>IF($AI27="","",INDEX('Roadmap Calc (Don’t Touch)'!$F$2:$F$151,$AI27))</f>
        <v>02. UX Req</v>
      </c>
      <c r="E27" s="170">
        <f>IF($AI27="","",IF(ISNUMBER(INDEX('Roadmap Calc (Don’t Touch)'!$G$2:$G$151,$AI27)),INDEX('Roadmap Calc (Don’t Touch)'!$G$2:$G$151,$AI27),""))</f>
        <v>46244</v>
      </c>
      <c r="F27" s="170">
        <f>IF($AI27="","",IF(ISNUMBER(INDEX('Roadmap Calc (Don’t Touch)'!$H$2:$H$151,$AI27)),INDEX('Roadmap Calc (Don’t Touch)'!$H$2:$H$151,$AI27),""))</f>
        <v>46279</v>
      </c>
      <c r="G27" s="171">
        <f>IF($AI27="","",INDEX('Roadmap Calc (Don’t Touch)'!$T$2:$T$151,$AI27))</f>
        <v>3</v>
      </c>
      <c r="H27" s="172">
        <f ca="1">IF($AI27="","",IF(ISNUMBER(INDEX('Roadmap Calc (Don’t Touch)'!$I$2:$I$151,$AI27)),INDEX('Roadmap Calc (Don’t Touch)'!$I$2:$I$151,$AI27),""))</f>
        <v>46419</v>
      </c>
      <c r="I27" s="172">
        <f ca="1">IF($AI27="","",IF(ISNUMBER(INDEX('Roadmap Calc (Don’t Touch)'!$J$2:$J$151,$AI27)),INDEX('Roadmap Calc (Don’t Touch)'!$J$2:$J$151,$AI27),""))</f>
        <v>46446</v>
      </c>
      <c r="J27" s="173" t="str">
        <f ca="1">IF($AI27="","",IF(INDEX('Roadmap Calc (Don’t Touch)'!$AA$2:$AX$151,$AI27,1)&gt;0,IF(AND($H27&lt;&gt;"",$H27&lt;=EOMONTH(J$12,0),$I27&gt;=J$12),"BOTH","UX"),IF(AND($H27&lt;&gt;"",$H27&lt;=EOMONTH(J$12,0),$I27&gt;=J$12),"DEV","")))</f>
        <v/>
      </c>
      <c r="K27" s="173" t="str">
        <f ca="1">IF($AI27="","",IF(INDEX('Roadmap Calc (Don’t Touch)'!$AA$2:$AX$151,$AI27,2)&gt;0,IF(AND($H27&lt;&gt;"",$H27&lt;=EOMONTH(K$12,0),$I27&gt;=K$12),"BOTH","UX"),IF(AND($H27&lt;&gt;"",$H27&lt;=EOMONTH(K$12,0),$I27&gt;=K$12),"DEV","")))</f>
        <v/>
      </c>
      <c r="L27" s="173" t="str">
        <f ca="1">IF($AI27="","",IF(INDEX('Roadmap Calc (Don’t Touch)'!$AA$2:$AX$151,$AI27,3)&gt;0,IF(AND($H27&lt;&gt;"",$H27&lt;=EOMONTH(L$12,0),$I27&gt;=L$12),"BOTH","UX"),IF(AND($H27&lt;&gt;"",$H27&lt;=EOMONTH(L$12,0),$I27&gt;=L$12),"DEV","")))</f>
        <v/>
      </c>
      <c r="M27" s="173" t="str">
        <f ca="1">IF($AI27="","",IF(INDEX('Roadmap Calc (Don’t Touch)'!$AA$2:$AX$151,$AI27,4)&gt;0,IF(AND($H27&lt;&gt;"",$H27&lt;=EOMONTH(M$12,0),$I27&gt;=M$12),"BOTH","UX"),IF(AND($H27&lt;&gt;"",$H27&lt;=EOMONTH(M$12,0),$I27&gt;=M$12),"DEV","")))</f>
        <v/>
      </c>
      <c r="N27" s="173" t="str">
        <f ca="1">IF($AI27="","",IF(INDEX('Roadmap Calc (Don’t Touch)'!$AA$2:$AX$151,$AI27,5)&gt;0,IF(AND($H27&lt;&gt;"",$H27&lt;=EOMONTH(N$12,0),$I27&gt;=N$12),"BOTH","UX"),IF(AND($H27&lt;&gt;"",$H27&lt;=EOMONTH(N$12,0),$I27&gt;=N$12),"DEV","")))</f>
        <v/>
      </c>
      <c r="O27" s="173" t="str">
        <f ca="1">IF($AI27="","",IF(INDEX('Roadmap Calc (Don’t Touch)'!$AA$2:$AX$151,$AI27,6)&gt;0,IF(AND($H27&lt;&gt;"",$H27&lt;=EOMONTH(O$12,0),$I27&gt;=O$12),"BOTH","UX"),IF(AND($H27&lt;&gt;"",$H27&lt;=EOMONTH(O$12,0),$I27&gt;=O$12),"DEV","")))</f>
        <v/>
      </c>
      <c r="P27" s="173" t="str">
        <f ca="1">IF($AI27="","",IF(INDEX('Roadmap Calc (Don’t Touch)'!$AA$2:$AX$151,$AI27,7)&gt;0,IF(AND($H27&lt;&gt;"",$H27&lt;=EOMONTH(P$12,0),$I27&gt;=P$12),"BOTH","UX"),IF(AND($H27&lt;&gt;"",$H27&lt;=EOMONTH(P$12,0),$I27&gt;=P$12),"DEV","")))</f>
        <v/>
      </c>
      <c r="Q27" s="173" t="str">
        <f ca="1">IF($AI27="","",IF(INDEX('Roadmap Calc (Don’t Touch)'!$AA$2:$AX$151,$AI27,8)&gt;0,IF(AND($H27&lt;&gt;"",$H27&lt;=EOMONTH(Q$12,0),$I27&gt;=Q$12),"BOTH","UX"),IF(AND($H27&lt;&gt;"",$H27&lt;=EOMONTH(Q$12,0),$I27&gt;=Q$12),"DEV","")))</f>
        <v>UX</v>
      </c>
      <c r="R27" s="173" t="str">
        <f ca="1">IF($AI27="","",IF(INDEX('Roadmap Calc (Don’t Touch)'!$AA$2:$AX$151,$AI27,9)&gt;0,IF(AND($H27&lt;&gt;"",$H27&lt;=EOMONTH(R$12,0),$I27&gt;=R$12),"BOTH","UX"),IF(AND($H27&lt;&gt;"",$H27&lt;=EOMONTH(R$12,0),$I27&gt;=R$12),"DEV","")))</f>
        <v>UX</v>
      </c>
      <c r="S27" s="173" t="str">
        <f ca="1">IF($AI27="","",IF(INDEX('Roadmap Calc (Don’t Touch)'!$AA$2:$AX$151,$AI27,10)&gt;0,IF(AND($H27&lt;&gt;"",$H27&lt;=EOMONTH(S$12,0),$I27&gt;=S$12),"BOTH","UX"),IF(AND($H27&lt;&gt;"",$H27&lt;=EOMONTH(S$12,0),$I27&gt;=S$12),"DEV","")))</f>
        <v/>
      </c>
      <c r="T27" s="173" t="str">
        <f ca="1">IF($AI27="","",IF(INDEX('Roadmap Calc (Don’t Touch)'!$AA$2:$AX$151,$AI27,11)&gt;0,IF(AND($H27&lt;&gt;"",$H27&lt;=EOMONTH(T$12,0),$I27&gt;=T$12),"BOTH","UX"),IF(AND($H27&lt;&gt;"",$H27&lt;=EOMONTH(T$12,0),$I27&gt;=T$12),"DEV","")))</f>
        <v/>
      </c>
      <c r="U27" s="173" t="str">
        <f ca="1">IF($AI27="","",IF(INDEX('Roadmap Calc (Don’t Touch)'!$AA$2:$AX$151,$AI27,12)&gt;0,IF(AND($H27&lt;&gt;"",$H27&lt;=EOMONTH(U$12,0),$I27&gt;=U$12),"BOTH","UX"),IF(AND($H27&lt;&gt;"",$H27&lt;=EOMONTH(U$12,0),$I27&gt;=U$12),"DEV","")))</f>
        <v/>
      </c>
      <c r="V27" s="173" t="str">
        <f ca="1">IF($AI27="","",IF(INDEX('Roadmap Calc (Don’t Touch)'!$AA$2:$AX$151,$AI27,13)&gt;0,IF(AND($H27&lt;&gt;"",$H27&lt;=EOMONTH(V$12,0),$I27&gt;=V$12),"BOTH","UX"),IF(AND($H27&lt;&gt;"",$H27&lt;=EOMONTH(V$12,0),$I27&gt;=V$12),"DEV","")))</f>
        <v/>
      </c>
      <c r="W27" s="173" t="str">
        <f ca="1">IF($AI27="","",IF(INDEX('Roadmap Calc (Don’t Touch)'!$AA$2:$AX$151,$AI27,14)&gt;0,IF(AND($H27&lt;&gt;"",$H27&lt;=EOMONTH(W$12,0),$I27&gt;=W$12),"BOTH","UX"),IF(AND($H27&lt;&gt;"",$H27&lt;=EOMONTH(W$12,0),$I27&gt;=W$12),"DEV","")))</f>
        <v>DEV</v>
      </c>
      <c r="X27" s="173" t="str">
        <f ca="1">IF($AI27="","",IF(INDEX('Roadmap Calc (Don’t Touch)'!$AA$2:$AX$151,$AI27,15)&gt;0,IF(AND($H27&lt;&gt;"",$H27&lt;=EOMONTH(X$12,0),$I27&gt;=X$12),"BOTH","UX"),IF(AND($H27&lt;&gt;"",$H27&lt;=EOMONTH(X$12,0),$I27&gt;=X$12),"DEV","")))</f>
        <v/>
      </c>
      <c r="Y27" s="173" t="str">
        <f ca="1">IF($AI27="","",IF(INDEX('Roadmap Calc (Don’t Touch)'!$AA$2:$AX$151,$AI27,16)&gt;0,IF(AND($H27&lt;&gt;"",$H27&lt;=EOMONTH(Y$12,0),$I27&gt;=Y$12),"BOTH","UX"),IF(AND($H27&lt;&gt;"",$H27&lt;=EOMONTH(Y$12,0),$I27&gt;=Y$12),"DEV","")))</f>
        <v/>
      </c>
      <c r="Z27" s="173" t="str">
        <f ca="1">IF($AI27="","",IF(INDEX('Roadmap Calc (Don’t Touch)'!$AA$2:$AX$151,$AI27,17)&gt;0,IF(AND($H27&lt;&gt;"",$H27&lt;=EOMONTH(Z$12,0),$I27&gt;=Z$12),"BOTH","UX"),IF(AND($H27&lt;&gt;"",$H27&lt;=EOMONTH(Z$12,0),$I27&gt;=Z$12),"DEV","")))</f>
        <v/>
      </c>
      <c r="AA27" s="173" t="str">
        <f ca="1">IF($AI27="","",IF(INDEX('Roadmap Calc (Don’t Touch)'!$AA$2:$AX$151,$AI27,18)&gt;0,IF(AND($H27&lt;&gt;"",$H27&lt;=EOMONTH(AA$12,0),$I27&gt;=AA$12),"BOTH","UX"),IF(AND($H27&lt;&gt;"",$H27&lt;=EOMONTH(AA$12,0),$I27&gt;=AA$12),"DEV","")))</f>
        <v/>
      </c>
      <c r="AB27" s="173" t="str">
        <f ca="1">IF($AI27="","",IF(INDEX('Roadmap Calc (Don’t Touch)'!$AA$2:$AX$151,$AI27,19)&gt;0,IF(AND($H27&lt;&gt;"",$H27&lt;=EOMONTH(AB$12,0),$I27&gt;=AB$12),"BOTH","UX"),IF(AND($H27&lt;&gt;"",$H27&lt;=EOMONTH(AB$12,0),$I27&gt;=AB$12),"DEV","")))</f>
        <v/>
      </c>
      <c r="AC27" s="173" t="str">
        <f ca="1">IF($AI27="","",IF(INDEX('Roadmap Calc (Don’t Touch)'!$AA$2:$AX$151,$AI27,20)&gt;0,IF(AND($H27&lt;&gt;"",$H27&lt;=EOMONTH(AC$12,0),$I27&gt;=AC$12),"BOTH","UX"),IF(AND($H27&lt;&gt;"",$H27&lt;=EOMONTH(AC$12,0),$I27&gt;=AC$12),"DEV","")))</f>
        <v/>
      </c>
      <c r="AD27" s="173" t="str">
        <f ca="1">IF($AI27="","",IF(INDEX('Roadmap Calc (Don’t Touch)'!$AA$2:$AX$151,$AI27,21)&gt;0,IF(AND($H27&lt;&gt;"",$H27&lt;=EOMONTH(AD$12,0),$I27&gt;=AD$12),"BOTH","UX"),IF(AND($H27&lt;&gt;"",$H27&lt;=EOMONTH(AD$12,0),$I27&gt;=AD$12),"DEV","")))</f>
        <v/>
      </c>
      <c r="AE27" s="173" t="str">
        <f ca="1">IF($AI27="","",IF(INDEX('Roadmap Calc (Don’t Touch)'!$AA$2:$AX$151,$AI27,22)&gt;0,IF(AND($H27&lt;&gt;"",$H27&lt;=EOMONTH(AE$12,0),$I27&gt;=AE$12),"BOTH","UX"),IF(AND($H27&lt;&gt;"",$H27&lt;=EOMONTH(AE$12,0),$I27&gt;=AE$12),"DEV","")))</f>
        <v/>
      </c>
      <c r="AF27" s="173" t="str">
        <f ca="1">IF($AI27="","",IF(INDEX('Roadmap Calc (Don’t Touch)'!$AA$2:$AX$151,$AI27,23)&gt;0,IF(AND($H27&lt;&gt;"",$H27&lt;=EOMONTH(AF$12,0),$I27&gt;=AF$12),"BOTH","UX"),IF(AND($H27&lt;&gt;"",$H27&lt;=EOMONTH(AF$12,0),$I27&gt;=AF$12),"DEV","")))</f>
        <v/>
      </c>
      <c r="AG27" s="173" t="str">
        <f ca="1">IF($AI27="","",IF(INDEX('Roadmap Calc (Don’t Touch)'!$AA$2:$AX$151,$AI27,24)&gt;0,IF(AND($H27&lt;&gt;"",$H27&lt;=EOMONTH(AG$12,0),$I27&gt;=AG$12),"BOTH","UX"),IF(AND($H27&lt;&gt;"",$H27&lt;=EOMONTH(AG$12,0),$I27&gt;=AG$12),"DEV","")))</f>
        <v/>
      </c>
      <c r="AH27" s="160" t="str">
        <f>IF($AI27="","",INDEX('Roadmap Calc (Don’t Touch)'!$D$2:$D$151,$AI27))</f>
        <v>Increase Buy Used Awareness</v>
      </c>
      <c r="AI27" s="160">
        <f>IFERROR(MATCH(12,'Roadmap Calc (Don’t Touch)'!$O$2:$O$151,0),"")</f>
        <v>10</v>
      </c>
      <c r="AJ27" s="160"/>
      <c r="AK27" s="160"/>
      <c r="AL27" s="160"/>
      <c r="AM27" s="160"/>
    </row>
    <row r="28" spans="1:39" ht="20" customHeight="1" x14ac:dyDescent="0.25">
      <c r="A28" s="214" t="str">
        <f>IF($AI28="","",IF($AH28=$AH27,"",IF(INDEX('Roadmap Calc (Don’t Touch)'!$U$2:$U$151,$AI28)=0,$AH28,HYPERLINK("#'Control (Don’t Touch)'!E"&amp;INDEX('Roadmap Calc (Don’t Touch)'!$U$2:$U$151,$AI28),$AH28))))</f>
        <v/>
      </c>
      <c r="B28" s="174" t="str">
        <f>IF($AI28="","",IF(INDEX('Roadmap Calc (Don’t Touch)'!$K$2:$K$151,$AI28)="",INDEX('Roadmap Calc (Don’t Touch)'!$B$2:$B$151,$AI28),HYPERLINK("https://jira.bnh.com/browse/"&amp;INDEX('Roadmap Calc (Don’t Touch)'!$K$2:$K$151,$AI28),INDEX('Roadmap Calc (Don’t Touch)'!$B$2:$B$151,$AI28))))</f>
        <v>Used Just Added Page</v>
      </c>
      <c r="C28" s="174" t="str">
        <f>IF($AI28="","",IF(INDEX('Roadmap Calc (Don’t Touch)'!$E$2:$E$151,$AI28)="","",HYPERLINK("https://jira.bnh.com/browse/"&amp;INDEX('Roadmap Calc (Don’t Touch)'!$E$2:$E$151,$AI28),INDEX('Roadmap Calc (Don’t Touch)'!$E$2:$E$151,$AI28))))</f>
        <v>BHP-7230</v>
      </c>
      <c r="D28" s="176" t="str">
        <f>IF($AI28="","",INDEX('Roadmap Calc (Don’t Touch)'!$F$2:$F$151,$AI28))</f>
        <v>02. UX Req</v>
      </c>
      <c r="E28" s="170">
        <f>IF($AI28="","",IF(ISNUMBER(INDEX('Roadmap Calc (Don’t Touch)'!$G$2:$G$151,$AI28)),INDEX('Roadmap Calc (Don’t Touch)'!$G$2:$G$151,$AI28),""))</f>
        <v>46160</v>
      </c>
      <c r="F28" s="170">
        <f>IF($AI28="","",IF(ISNUMBER(INDEX('Roadmap Calc (Don’t Touch)'!$H$2:$H$151,$AI28)),INDEX('Roadmap Calc (Don’t Touch)'!$H$2:$H$151,$AI28),""))</f>
        <v>46307</v>
      </c>
      <c r="G28" s="171">
        <f>IF($AI28="","",INDEX('Roadmap Calc (Don’t Touch)'!$T$2:$T$151,$AI28))</f>
        <v>4</v>
      </c>
      <c r="H28" s="172">
        <f ca="1">IF($AI28="","",IF(ISNUMBER(INDEX('Roadmap Calc (Don’t Touch)'!$I$2:$I$151,$AI28)),INDEX('Roadmap Calc (Don’t Touch)'!$I$2:$I$151,$AI28),""))</f>
        <v>46419</v>
      </c>
      <c r="I28" s="172">
        <f ca="1">IF($AI28="","",IF(ISNUMBER(INDEX('Roadmap Calc (Don’t Touch)'!$J$2:$J$151,$AI28)),INDEX('Roadmap Calc (Don’t Touch)'!$J$2:$J$151,$AI28),""))</f>
        <v>46446</v>
      </c>
      <c r="J28" s="173" t="str">
        <f ca="1">IF($AI28="","",IF(INDEX('Roadmap Calc (Don’t Touch)'!$AA$2:$AX$151,$AI28,1)&gt;0,IF(AND($H28&lt;&gt;"",$H28&lt;=EOMONTH(J$12,0),$I28&gt;=J$12),"BOTH","UX"),IF(AND($H28&lt;&gt;"",$H28&lt;=EOMONTH(J$12,0),$I28&gt;=J$12),"DEV","")))</f>
        <v/>
      </c>
      <c r="K28" s="173" t="str">
        <f ca="1">IF($AI28="","",IF(INDEX('Roadmap Calc (Don’t Touch)'!$AA$2:$AX$151,$AI28,2)&gt;0,IF(AND($H28&lt;&gt;"",$H28&lt;=EOMONTH(K$12,0),$I28&gt;=K$12),"BOTH","UX"),IF(AND($H28&lt;&gt;"",$H28&lt;=EOMONTH(K$12,0),$I28&gt;=K$12),"DEV","")))</f>
        <v/>
      </c>
      <c r="L28" s="173" t="str">
        <f ca="1">IF($AI28="","",IF(INDEX('Roadmap Calc (Don’t Touch)'!$AA$2:$AX$151,$AI28,3)&gt;0,IF(AND($H28&lt;&gt;"",$H28&lt;=EOMONTH(L$12,0),$I28&gt;=L$12),"BOTH","UX"),IF(AND($H28&lt;&gt;"",$H28&lt;=EOMONTH(L$12,0),$I28&gt;=L$12),"DEV","")))</f>
        <v/>
      </c>
      <c r="M28" s="173" t="str">
        <f ca="1">IF($AI28="","",IF(INDEX('Roadmap Calc (Don’t Touch)'!$AA$2:$AX$151,$AI28,4)&gt;0,IF(AND($H28&lt;&gt;"",$H28&lt;=EOMONTH(M$12,0),$I28&gt;=M$12),"BOTH","UX"),IF(AND($H28&lt;&gt;"",$H28&lt;=EOMONTH(M$12,0),$I28&gt;=M$12),"DEV","")))</f>
        <v/>
      </c>
      <c r="N28" s="173" t="str">
        <f ca="1">IF($AI28="","",IF(INDEX('Roadmap Calc (Don’t Touch)'!$AA$2:$AX$151,$AI28,5)&gt;0,IF(AND($H28&lt;&gt;"",$H28&lt;=EOMONTH(N$12,0),$I28&gt;=N$12),"BOTH","UX"),IF(AND($H28&lt;&gt;"",$H28&lt;=EOMONTH(N$12,0),$I28&gt;=N$12),"DEV","")))</f>
        <v>UX</v>
      </c>
      <c r="O28" s="173" t="str">
        <f ca="1">IF($AI28="","",IF(INDEX('Roadmap Calc (Don’t Touch)'!$AA$2:$AX$151,$AI28,6)&gt;0,IF(AND($H28&lt;&gt;"",$H28&lt;=EOMONTH(O$12,0),$I28&gt;=O$12),"BOTH","UX"),IF(AND($H28&lt;&gt;"",$H28&lt;=EOMONTH(O$12,0),$I28&gt;=O$12),"DEV","")))</f>
        <v/>
      </c>
      <c r="P28" s="173" t="str">
        <f ca="1">IF($AI28="","",IF(INDEX('Roadmap Calc (Don’t Touch)'!$AA$2:$AX$151,$AI28,7)&gt;0,IF(AND($H28&lt;&gt;"",$H28&lt;=EOMONTH(P$12,0),$I28&gt;=P$12),"BOTH","UX"),IF(AND($H28&lt;&gt;"",$H28&lt;=EOMONTH(P$12,0),$I28&gt;=P$12),"DEV","")))</f>
        <v/>
      </c>
      <c r="Q28" s="173" t="str">
        <f ca="1">IF($AI28="","",IF(INDEX('Roadmap Calc (Don’t Touch)'!$AA$2:$AX$151,$AI28,8)&gt;0,IF(AND($H28&lt;&gt;"",$H28&lt;=EOMONTH(Q$12,0),$I28&gt;=Q$12),"BOTH","UX"),IF(AND($H28&lt;&gt;"",$H28&lt;=EOMONTH(Q$12,0),$I28&gt;=Q$12),"DEV","")))</f>
        <v/>
      </c>
      <c r="R28" s="173" t="str">
        <f ca="1">IF($AI28="","",IF(INDEX('Roadmap Calc (Don’t Touch)'!$AA$2:$AX$151,$AI28,9)&gt;0,IF(AND($H28&lt;&gt;"",$H28&lt;=EOMONTH(R$12,0),$I28&gt;=R$12),"BOTH","UX"),IF(AND($H28&lt;&gt;"",$H28&lt;=EOMONTH(R$12,0),$I28&gt;=R$12),"DEV","")))</f>
        <v/>
      </c>
      <c r="S28" s="173" t="str">
        <f ca="1">IF($AI28="","",IF(INDEX('Roadmap Calc (Don’t Touch)'!$AA$2:$AX$151,$AI28,10)&gt;0,IF(AND($H28&lt;&gt;"",$H28&lt;=EOMONTH(S$12,0),$I28&gt;=S$12),"BOTH","UX"),IF(AND($H28&lt;&gt;"",$H28&lt;=EOMONTH(S$12,0),$I28&gt;=S$12),"DEV","")))</f>
        <v>UX</v>
      </c>
      <c r="T28" s="173" t="str">
        <f ca="1">IF($AI28="","",IF(INDEX('Roadmap Calc (Don’t Touch)'!$AA$2:$AX$151,$AI28,11)&gt;0,IF(AND($H28&lt;&gt;"",$H28&lt;=EOMONTH(T$12,0),$I28&gt;=T$12),"BOTH","UX"),IF(AND($H28&lt;&gt;"",$H28&lt;=EOMONTH(T$12,0),$I28&gt;=T$12),"DEV","")))</f>
        <v/>
      </c>
      <c r="U28" s="173" t="str">
        <f ca="1">IF($AI28="","",IF(INDEX('Roadmap Calc (Don’t Touch)'!$AA$2:$AX$151,$AI28,12)&gt;0,IF(AND($H28&lt;&gt;"",$H28&lt;=EOMONTH(U$12,0),$I28&gt;=U$12),"BOTH","UX"),IF(AND($H28&lt;&gt;"",$H28&lt;=EOMONTH(U$12,0),$I28&gt;=U$12),"DEV","")))</f>
        <v/>
      </c>
      <c r="V28" s="173" t="str">
        <f ca="1">IF($AI28="","",IF(INDEX('Roadmap Calc (Don’t Touch)'!$AA$2:$AX$151,$AI28,13)&gt;0,IF(AND($H28&lt;&gt;"",$H28&lt;=EOMONTH(V$12,0),$I28&gt;=V$12),"BOTH","UX"),IF(AND($H28&lt;&gt;"",$H28&lt;=EOMONTH(V$12,0),$I28&gt;=V$12),"DEV","")))</f>
        <v/>
      </c>
      <c r="W28" s="173" t="str">
        <f ca="1">IF($AI28="","",IF(INDEX('Roadmap Calc (Don’t Touch)'!$AA$2:$AX$151,$AI28,14)&gt;0,IF(AND($H28&lt;&gt;"",$H28&lt;=EOMONTH(W$12,0),$I28&gt;=W$12),"BOTH","UX"),IF(AND($H28&lt;&gt;"",$H28&lt;=EOMONTH(W$12,0),$I28&gt;=W$12),"DEV","")))</f>
        <v>DEV</v>
      </c>
      <c r="X28" s="173" t="str">
        <f ca="1">IF($AI28="","",IF(INDEX('Roadmap Calc (Don’t Touch)'!$AA$2:$AX$151,$AI28,15)&gt;0,IF(AND($H28&lt;&gt;"",$H28&lt;=EOMONTH(X$12,0),$I28&gt;=X$12),"BOTH","UX"),IF(AND($H28&lt;&gt;"",$H28&lt;=EOMONTH(X$12,0),$I28&gt;=X$12),"DEV","")))</f>
        <v/>
      </c>
      <c r="Y28" s="173" t="str">
        <f ca="1">IF($AI28="","",IF(INDEX('Roadmap Calc (Don’t Touch)'!$AA$2:$AX$151,$AI28,16)&gt;0,IF(AND($H28&lt;&gt;"",$H28&lt;=EOMONTH(Y$12,0),$I28&gt;=Y$12),"BOTH","UX"),IF(AND($H28&lt;&gt;"",$H28&lt;=EOMONTH(Y$12,0),$I28&gt;=Y$12),"DEV","")))</f>
        <v/>
      </c>
      <c r="Z28" s="173" t="str">
        <f ca="1">IF($AI28="","",IF(INDEX('Roadmap Calc (Don’t Touch)'!$AA$2:$AX$151,$AI28,17)&gt;0,IF(AND($H28&lt;&gt;"",$H28&lt;=EOMONTH(Z$12,0),$I28&gt;=Z$12),"BOTH","UX"),IF(AND($H28&lt;&gt;"",$H28&lt;=EOMONTH(Z$12,0),$I28&gt;=Z$12),"DEV","")))</f>
        <v/>
      </c>
      <c r="AA28" s="173" t="str">
        <f ca="1">IF($AI28="","",IF(INDEX('Roadmap Calc (Don’t Touch)'!$AA$2:$AX$151,$AI28,18)&gt;0,IF(AND($H28&lt;&gt;"",$H28&lt;=EOMONTH(AA$12,0),$I28&gt;=AA$12),"BOTH","UX"),IF(AND($H28&lt;&gt;"",$H28&lt;=EOMONTH(AA$12,0),$I28&gt;=AA$12),"DEV","")))</f>
        <v/>
      </c>
      <c r="AB28" s="173" t="str">
        <f ca="1">IF($AI28="","",IF(INDEX('Roadmap Calc (Don’t Touch)'!$AA$2:$AX$151,$AI28,19)&gt;0,IF(AND($H28&lt;&gt;"",$H28&lt;=EOMONTH(AB$12,0),$I28&gt;=AB$12),"BOTH","UX"),IF(AND($H28&lt;&gt;"",$H28&lt;=EOMONTH(AB$12,0),$I28&gt;=AB$12),"DEV","")))</f>
        <v/>
      </c>
      <c r="AC28" s="173" t="str">
        <f ca="1">IF($AI28="","",IF(INDEX('Roadmap Calc (Don’t Touch)'!$AA$2:$AX$151,$AI28,20)&gt;0,IF(AND($H28&lt;&gt;"",$H28&lt;=EOMONTH(AC$12,0),$I28&gt;=AC$12),"BOTH","UX"),IF(AND($H28&lt;&gt;"",$H28&lt;=EOMONTH(AC$12,0),$I28&gt;=AC$12),"DEV","")))</f>
        <v/>
      </c>
      <c r="AD28" s="173" t="str">
        <f ca="1">IF($AI28="","",IF(INDEX('Roadmap Calc (Don’t Touch)'!$AA$2:$AX$151,$AI28,21)&gt;0,IF(AND($H28&lt;&gt;"",$H28&lt;=EOMONTH(AD$12,0),$I28&gt;=AD$12),"BOTH","UX"),IF(AND($H28&lt;&gt;"",$H28&lt;=EOMONTH(AD$12,0),$I28&gt;=AD$12),"DEV","")))</f>
        <v/>
      </c>
      <c r="AE28" s="173" t="str">
        <f ca="1">IF($AI28="","",IF(INDEX('Roadmap Calc (Don’t Touch)'!$AA$2:$AX$151,$AI28,22)&gt;0,IF(AND($H28&lt;&gt;"",$H28&lt;=EOMONTH(AE$12,0),$I28&gt;=AE$12),"BOTH","UX"),IF(AND($H28&lt;&gt;"",$H28&lt;=EOMONTH(AE$12,0),$I28&gt;=AE$12),"DEV","")))</f>
        <v/>
      </c>
      <c r="AF28" s="173" t="str">
        <f ca="1">IF($AI28="","",IF(INDEX('Roadmap Calc (Don’t Touch)'!$AA$2:$AX$151,$AI28,23)&gt;0,IF(AND($H28&lt;&gt;"",$H28&lt;=EOMONTH(AF$12,0),$I28&gt;=AF$12),"BOTH","UX"),IF(AND($H28&lt;&gt;"",$H28&lt;=EOMONTH(AF$12,0),$I28&gt;=AF$12),"DEV","")))</f>
        <v/>
      </c>
      <c r="AG28" s="173" t="str">
        <f ca="1">IF($AI28="","",IF(INDEX('Roadmap Calc (Don’t Touch)'!$AA$2:$AX$151,$AI28,24)&gt;0,IF(AND($H28&lt;&gt;"",$H28&lt;=EOMONTH(AG$12,0),$I28&gt;=AG$12),"BOTH","UX"),IF(AND($H28&lt;&gt;"",$H28&lt;=EOMONTH(AG$12,0),$I28&gt;=AG$12),"DEV","")))</f>
        <v/>
      </c>
      <c r="AH28" s="160" t="str">
        <f>IF($AI28="","",INDEX('Roadmap Calc (Don’t Touch)'!$D$2:$D$151,$AI28))</f>
        <v>Increase Buy Used Awareness</v>
      </c>
      <c r="AI28" s="160">
        <f>IFERROR(MATCH(13,'Roadmap Calc (Don’t Touch)'!$O$2:$O$151,0),"")</f>
        <v>12</v>
      </c>
      <c r="AJ28" s="160"/>
      <c r="AK28" s="160"/>
      <c r="AL28" s="160"/>
      <c r="AM28" s="160"/>
    </row>
    <row r="29" spans="1:39" ht="20" customHeight="1" x14ac:dyDescent="0.25">
      <c r="A29" s="214" t="str">
        <f>IF($AI29="","",IF($AH29=$AH28,"",IF(INDEX('Roadmap Calc (Don’t Touch)'!$U$2:$U$151,$AI29)=0,$AH29,HYPERLINK("#'Control (Don’t Touch)'!E"&amp;INDEX('Roadmap Calc (Don’t Touch)'!$U$2:$U$151,$AI29),$AH29))))</f>
        <v/>
      </c>
      <c r="B29" s="174" t="str">
        <f>IF($AI29="","",IF(INDEX('Roadmap Calc (Don’t Touch)'!$K$2:$K$151,$AI29)="",INDEX('Roadmap Calc (Don’t Touch)'!$B$2:$B$151,$AI29),HYPERLINK("https://jira.bnh.com/browse/"&amp;INDEX('Roadmap Calc (Don’t Touch)'!$K$2:$K$151,$AI29),INDEX('Roadmap Calc (Don’t Touch)'!$B$2:$B$151,$AI29))))</f>
        <v>Out of stock Alerts for used products</v>
      </c>
      <c r="C29" s="174" t="str">
        <f>IF($AI29="","",IF(INDEX('Roadmap Calc (Don’t Touch)'!$E$2:$E$151,$AI29)="","",HYPERLINK("https://jira.bnh.com/browse/"&amp;INDEX('Roadmap Calc (Don’t Touch)'!$E$2:$E$151,$AI29),INDEX('Roadmap Calc (Don’t Touch)'!$E$2:$E$151,$AI29))))</f>
        <v>BHUX-35020</v>
      </c>
      <c r="D29" s="176" t="str">
        <f>IF($AI29="","",INDEX('Roadmap Calc (Don’t Touch)'!$F$2:$F$151,$AI29))</f>
        <v>03. UX Discovery</v>
      </c>
      <c r="E29" s="170">
        <f>IF($AI29="","",IF(ISNUMBER(INDEX('Roadmap Calc (Don’t Touch)'!$G$2:$G$151,$AI29)),INDEX('Roadmap Calc (Don’t Touch)'!$G$2:$G$151,$AI29),""))</f>
        <v>46237</v>
      </c>
      <c r="F29" s="170">
        <f>IF($AI29="","",IF(ISNUMBER(INDEX('Roadmap Calc (Don’t Touch)'!$H$2:$H$151,$AI29)),INDEX('Roadmap Calc (Don’t Touch)'!$H$2:$H$151,$AI29),""))</f>
        <v>46258</v>
      </c>
      <c r="G29" s="171">
        <f>IF($AI29="","",INDEX('Roadmap Calc (Don’t Touch)'!$T$2:$T$151,$AI29))</f>
        <v>4</v>
      </c>
      <c r="H29" s="172">
        <f ca="1">IF($AI29="","",IF(ISNUMBER(INDEX('Roadmap Calc (Don’t Touch)'!$I$2:$I$151,$AI29)),INDEX('Roadmap Calc (Don’t Touch)'!$I$2:$I$151,$AI29),""))</f>
        <v>46296</v>
      </c>
      <c r="I29" s="172">
        <f ca="1">IF($AI29="","",IF(ISNUMBER(INDEX('Roadmap Calc (Don’t Touch)'!$J$2:$J$151,$AI29)),INDEX('Roadmap Calc (Don’t Touch)'!$J$2:$J$151,$AI29),""))</f>
        <v>46326</v>
      </c>
      <c r="J29" s="173" t="str">
        <f ca="1">IF($AI29="","",IF(INDEX('Roadmap Calc (Don’t Touch)'!$AA$2:$AX$151,$AI29,1)&gt;0,IF(AND($H29&lt;&gt;"",$H29&lt;=EOMONTH(J$12,0),$I29&gt;=J$12),"BOTH","UX"),IF(AND($H29&lt;&gt;"",$H29&lt;=EOMONTH(J$12,0),$I29&gt;=J$12),"DEV","")))</f>
        <v/>
      </c>
      <c r="K29" s="173" t="str">
        <f ca="1">IF($AI29="","",IF(INDEX('Roadmap Calc (Don’t Touch)'!$AA$2:$AX$151,$AI29,2)&gt;0,IF(AND($H29&lt;&gt;"",$H29&lt;=EOMONTH(K$12,0),$I29&gt;=K$12),"BOTH","UX"),IF(AND($H29&lt;&gt;"",$H29&lt;=EOMONTH(K$12,0),$I29&gt;=K$12),"DEV","")))</f>
        <v/>
      </c>
      <c r="L29" s="173" t="str">
        <f ca="1">IF($AI29="","",IF(INDEX('Roadmap Calc (Don’t Touch)'!$AA$2:$AX$151,$AI29,3)&gt;0,IF(AND($H29&lt;&gt;"",$H29&lt;=EOMONTH(L$12,0),$I29&gt;=L$12),"BOTH","UX"),IF(AND($H29&lt;&gt;"",$H29&lt;=EOMONTH(L$12,0),$I29&gt;=L$12),"DEV","")))</f>
        <v/>
      </c>
      <c r="M29" s="173" t="str">
        <f ca="1">IF($AI29="","",IF(INDEX('Roadmap Calc (Don’t Touch)'!$AA$2:$AX$151,$AI29,4)&gt;0,IF(AND($H29&lt;&gt;"",$H29&lt;=EOMONTH(M$12,0),$I29&gt;=M$12),"BOTH","UX"),IF(AND($H29&lt;&gt;"",$H29&lt;=EOMONTH(M$12,0),$I29&gt;=M$12),"DEV","")))</f>
        <v/>
      </c>
      <c r="N29" s="173" t="str">
        <f ca="1">IF($AI29="","",IF(INDEX('Roadmap Calc (Don’t Touch)'!$AA$2:$AX$151,$AI29,5)&gt;0,IF(AND($H29&lt;&gt;"",$H29&lt;=EOMONTH(N$12,0),$I29&gt;=N$12),"BOTH","UX"),IF(AND($H29&lt;&gt;"",$H29&lt;=EOMONTH(N$12,0),$I29&gt;=N$12),"DEV","")))</f>
        <v/>
      </c>
      <c r="O29" s="173" t="str">
        <f ca="1">IF($AI29="","",IF(INDEX('Roadmap Calc (Don’t Touch)'!$AA$2:$AX$151,$AI29,6)&gt;0,IF(AND($H29&lt;&gt;"",$H29&lt;=EOMONTH(O$12,0),$I29&gt;=O$12),"BOTH","UX"),IF(AND($H29&lt;&gt;"",$H29&lt;=EOMONTH(O$12,0),$I29&gt;=O$12),"DEV","")))</f>
        <v/>
      </c>
      <c r="P29" s="173" t="str">
        <f ca="1">IF($AI29="","",IF(INDEX('Roadmap Calc (Don’t Touch)'!$AA$2:$AX$151,$AI29,7)&gt;0,IF(AND($H29&lt;&gt;"",$H29&lt;=EOMONTH(P$12,0),$I29&gt;=P$12),"BOTH","UX"),IF(AND($H29&lt;&gt;"",$H29&lt;=EOMONTH(P$12,0),$I29&gt;=P$12),"DEV","")))</f>
        <v/>
      </c>
      <c r="Q29" s="173" t="str">
        <f ca="1">IF($AI29="","",IF(INDEX('Roadmap Calc (Don’t Touch)'!$AA$2:$AX$151,$AI29,8)&gt;0,IF(AND($H29&lt;&gt;"",$H29&lt;=EOMONTH(Q$12,0),$I29&gt;=Q$12),"BOTH","UX"),IF(AND($H29&lt;&gt;"",$H29&lt;=EOMONTH(Q$12,0),$I29&gt;=Q$12),"DEV","")))</f>
        <v>UX</v>
      </c>
      <c r="R29" s="173" t="str">
        <f ca="1">IF($AI29="","",IF(INDEX('Roadmap Calc (Don’t Touch)'!$AA$2:$AX$151,$AI29,9)&gt;0,IF(AND($H29&lt;&gt;"",$H29&lt;=EOMONTH(R$12,0),$I29&gt;=R$12),"BOTH","UX"),IF(AND($H29&lt;&gt;"",$H29&lt;=EOMONTH(R$12,0),$I29&gt;=R$12),"DEV","")))</f>
        <v/>
      </c>
      <c r="S29" s="173" t="str">
        <f ca="1">IF($AI29="","",IF(INDEX('Roadmap Calc (Don’t Touch)'!$AA$2:$AX$151,$AI29,10)&gt;0,IF(AND($H29&lt;&gt;"",$H29&lt;=EOMONTH(S$12,0),$I29&gt;=S$12),"BOTH","UX"),IF(AND($H29&lt;&gt;"",$H29&lt;=EOMONTH(S$12,0),$I29&gt;=S$12),"DEV","")))</f>
        <v>DEV</v>
      </c>
      <c r="T29" s="173" t="str">
        <f ca="1">IF($AI29="","",IF(INDEX('Roadmap Calc (Don’t Touch)'!$AA$2:$AX$151,$AI29,11)&gt;0,IF(AND($H29&lt;&gt;"",$H29&lt;=EOMONTH(T$12,0),$I29&gt;=T$12),"BOTH","UX"),IF(AND($H29&lt;&gt;"",$H29&lt;=EOMONTH(T$12,0),$I29&gt;=T$12),"DEV","")))</f>
        <v/>
      </c>
      <c r="U29" s="173" t="str">
        <f ca="1">IF($AI29="","",IF(INDEX('Roadmap Calc (Don’t Touch)'!$AA$2:$AX$151,$AI29,12)&gt;0,IF(AND($H29&lt;&gt;"",$H29&lt;=EOMONTH(U$12,0),$I29&gt;=U$12),"BOTH","UX"),IF(AND($H29&lt;&gt;"",$H29&lt;=EOMONTH(U$12,0),$I29&gt;=U$12),"DEV","")))</f>
        <v/>
      </c>
      <c r="V29" s="173" t="str">
        <f ca="1">IF($AI29="","",IF(INDEX('Roadmap Calc (Don’t Touch)'!$AA$2:$AX$151,$AI29,13)&gt;0,IF(AND($H29&lt;&gt;"",$H29&lt;=EOMONTH(V$12,0),$I29&gt;=V$12),"BOTH","UX"),IF(AND($H29&lt;&gt;"",$H29&lt;=EOMONTH(V$12,0),$I29&gt;=V$12),"DEV","")))</f>
        <v/>
      </c>
      <c r="W29" s="173" t="str">
        <f ca="1">IF($AI29="","",IF(INDEX('Roadmap Calc (Don’t Touch)'!$AA$2:$AX$151,$AI29,14)&gt;0,IF(AND($H29&lt;&gt;"",$H29&lt;=EOMONTH(W$12,0),$I29&gt;=W$12),"BOTH","UX"),IF(AND($H29&lt;&gt;"",$H29&lt;=EOMONTH(W$12,0),$I29&gt;=W$12),"DEV","")))</f>
        <v/>
      </c>
      <c r="X29" s="173" t="str">
        <f ca="1">IF($AI29="","",IF(INDEX('Roadmap Calc (Don’t Touch)'!$AA$2:$AX$151,$AI29,15)&gt;0,IF(AND($H29&lt;&gt;"",$H29&lt;=EOMONTH(X$12,0),$I29&gt;=X$12),"BOTH","UX"),IF(AND($H29&lt;&gt;"",$H29&lt;=EOMONTH(X$12,0),$I29&gt;=X$12),"DEV","")))</f>
        <v/>
      </c>
      <c r="Y29" s="173" t="str">
        <f ca="1">IF($AI29="","",IF(INDEX('Roadmap Calc (Don’t Touch)'!$AA$2:$AX$151,$AI29,16)&gt;0,IF(AND($H29&lt;&gt;"",$H29&lt;=EOMONTH(Y$12,0),$I29&gt;=Y$12),"BOTH","UX"),IF(AND($H29&lt;&gt;"",$H29&lt;=EOMONTH(Y$12,0),$I29&gt;=Y$12),"DEV","")))</f>
        <v/>
      </c>
      <c r="Z29" s="173" t="str">
        <f ca="1">IF($AI29="","",IF(INDEX('Roadmap Calc (Don’t Touch)'!$AA$2:$AX$151,$AI29,17)&gt;0,IF(AND($H29&lt;&gt;"",$H29&lt;=EOMONTH(Z$12,0),$I29&gt;=Z$12),"BOTH","UX"),IF(AND($H29&lt;&gt;"",$H29&lt;=EOMONTH(Z$12,0),$I29&gt;=Z$12),"DEV","")))</f>
        <v/>
      </c>
      <c r="AA29" s="173" t="str">
        <f ca="1">IF($AI29="","",IF(INDEX('Roadmap Calc (Don’t Touch)'!$AA$2:$AX$151,$AI29,18)&gt;0,IF(AND($H29&lt;&gt;"",$H29&lt;=EOMONTH(AA$12,0),$I29&gt;=AA$12),"BOTH","UX"),IF(AND($H29&lt;&gt;"",$H29&lt;=EOMONTH(AA$12,0),$I29&gt;=AA$12),"DEV","")))</f>
        <v/>
      </c>
      <c r="AB29" s="173" t="str">
        <f ca="1">IF($AI29="","",IF(INDEX('Roadmap Calc (Don’t Touch)'!$AA$2:$AX$151,$AI29,19)&gt;0,IF(AND($H29&lt;&gt;"",$H29&lt;=EOMONTH(AB$12,0),$I29&gt;=AB$12),"BOTH","UX"),IF(AND($H29&lt;&gt;"",$H29&lt;=EOMONTH(AB$12,0),$I29&gt;=AB$12),"DEV","")))</f>
        <v/>
      </c>
      <c r="AC29" s="173" t="str">
        <f ca="1">IF($AI29="","",IF(INDEX('Roadmap Calc (Don’t Touch)'!$AA$2:$AX$151,$AI29,20)&gt;0,IF(AND($H29&lt;&gt;"",$H29&lt;=EOMONTH(AC$12,0),$I29&gt;=AC$12),"BOTH","UX"),IF(AND($H29&lt;&gt;"",$H29&lt;=EOMONTH(AC$12,0),$I29&gt;=AC$12),"DEV","")))</f>
        <v/>
      </c>
      <c r="AD29" s="173" t="str">
        <f ca="1">IF($AI29="","",IF(INDEX('Roadmap Calc (Don’t Touch)'!$AA$2:$AX$151,$AI29,21)&gt;0,IF(AND($H29&lt;&gt;"",$H29&lt;=EOMONTH(AD$12,0),$I29&gt;=AD$12),"BOTH","UX"),IF(AND($H29&lt;&gt;"",$H29&lt;=EOMONTH(AD$12,0),$I29&gt;=AD$12),"DEV","")))</f>
        <v/>
      </c>
      <c r="AE29" s="173" t="str">
        <f ca="1">IF($AI29="","",IF(INDEX('Roadmap Calc (Don’t Touch)'!$AA$2:$AX$151,$AI29,22)&gt;0,IF(AND($H29&lt;&gt;"",$H29&lt;=EOMONTH(AE$12,0),$I29&gt;=AE$12),"BOTH","UX"),IF(AND($H29&lt;&gt;"",$H29&lt;=EOMONTH(AE$12,0),$I29&gt;=AE$12),"DEV","")))</f>
        <v/>
      </c>
      <c r="AF29" s="173" t="str">
        <f ca="1">IF($AI29="","",IF(INDEX('Roadmap Calc (Don’t Touch)'!$AA$2:$AX$151,$AI29,23)&gt;0,IF(AND($H29&lt;&gt;"",$H29&lt;=EOMONTH(AF$12,0),$I29&gt;=AF$12),"BOTH","UX"),IF(AND($H29&lt;&gt;"",$H29&lt;=EOMONTH(AF$12,0),$I29&gt;=AF$12),"DEV","")))</f>
        <v/>
      </c>
      <c r="AG29" s="173" t="str">
        <f ca="1">IF($AI29="","",IF(INDEX('Roadmap Calc (Don’t Touch)'!$AA$2:$AX$151,$AI29,24)&gt;0,IF(AND($H29&lt;&gt;"",$H29&lt;=EOMONTH(AG$12,0),$I29&gt;=AG$12),"BOTH","UX"),IF(AND($H29&lt;&gt;"",$H29&lt;=EOMONTH(AG$12,0),$I29&gt;=AG$12),"DEV","")))</f>
        <v/>
      </c>
      <c r="AH29" s="160" t="str">
        <f>IF($AI29="","",INDEX('Roadmap Calc (Don’t Touch)'!$D$2:$D$151,$AI29))</f>
        <v>Increase Buy Used Awareness</v>
      </c>
      <c r="AI29" s="160">
        <f>IFERROR(MATCH(14,'Roadmap Calc (Don’t Touch)'!$O$2:$O$151,0),"")</f>
        <v>14</v>
      </c>
      <c r="AJ29" s="160"/>
      <c r="AK29" s="160"/>
      <c r="AL29" s="160"/>
      <c r="AM29" s="160"/>
    </row>
    <row r="30" spans="1:39" ht="20" customHeight="1" x14ac:dyDescent="0.25">
      <c r="A30" s="214" t="str">
        <f>IF($AI30="","",IF($AH30=$AH29,"",IF(INDEX('Roadmap Calc (Don’t Touch)'!$U$2:$U$151,$AI30)=0,$AH30,HYPERLINK("#'Control (Don’t Touch)'!E"&amp;INDEX('Roadmap Calc (Don’t Touch)'!$U$2:$U$151,$AI30),$AH30))))</f>
        <v/>
      </c>
      <c r="B30" s="174" t="str">
        <f>IF($AI30="","",IF(INDEX('Roadmap Calc (Don’t Touch)'!$K$2:$K$151,$AI30)="",INDEX('Roadmap Calc (Don’t Touch)'!$B$2:$B$151,$AI30),HYPERLINK("https://jira.bnh.com/browse/"&amp;INDEX('Roadmap Calc (Don’t Touch)'!$K$2:$K$151,$AI30),INDEX('Roadmap Calc (Don’t Touch)'!$B$2:$B$151,$AI30))))</f>
        <v>Add New | Used tab to all listing pages and search results pages</v>
      </c>
      <c r="C30" s="174" t="str">
        <f>IF($AI30="","",IF(INDEX('Roadmap Calc (Don’t Touch)'!$E$2:$E$151,$AI30)="","",HYPERLINK("https://jira.bnh.com/browse/"&amp;INDEX('Roadmap Calc (Don’t Touch)'!$E$2:$E$151,$AI30),INDEX('Roadmap Calc (Don’t Touch)'!$E$2:$E$151,$AI30))))</f>
        <v>BHUX-35303</v>
      </c>
      <c r="D30" s="176" t="str">
        <f>IF($AI30="","",INDEX('Roadmap Calc (Don’t Touch)'!$F$2:$F$151,$AI30))</f>
        <v>03. UX Discovery</v>
      </c>
      <c r="E30" s="170">
        <f>IF($AI30="","",IF(ISNUMBER(INDEX('Roadmap Calc (Don’t Touch)'!$G$2:$G$151,$AI30)),INDEX('Roadmap Calc (Don’t Touch)'!$G$2:$G$151,$AI30),""))</f>
        <v>46258</v>
      </c>
      <c r="F30" s="170">
        <f>IF($AI30="","",IF(ISNUMBER(INDEX('Roadmap Calc (Don’t Touch)'!$H$2:$H$151,$AI30)),INDEX('Roadmap Calc (Don’t Touch)'!$H$2:$H$151,$AI30),""))</f>
        <v>46279</v>
      </c>
      <c r="G30" s="171">
        <f>IF($AI30="","",INDEX('Roadmap Calc (Don’t Touch)'!$T$2:$T$151,$AI30))</f>
        <v>4</v>
      </c>
      <c r="H30" s="172">
        <f ca="1">IF($AI30="","",IF(ISNUMBER(INDEX('Roadmap Calc (Don’t Touch)'!$I$2:$I$151,$AI30)),INDEX('Roadmap Calc (Don’t Touch)'!$I$2:$I$151,$AI30),""))</f>
        <v>46327</v>
      </c>
      <c r="I30" s="172">
        <f ca="1">IF($AI30="","",IF(ISNUMBER(INDEX('Roadmap Calc (Don’t Touch)'!$J$2:$J$151,$AI30)),INDEX('Roadmap Calc (Don’t Touch)'!$J$2:$J$151,$AI30),""))</f>
        <v>46356</v>
      </c>
      <c r="J30" s="173" t="str">
        <f ca="1">IF($AI30="","",IF(INDEX('Roadmap Calc (Don’t Touch)'!$AA$2:$AX$151,$AI30,1)&gt;0,IF(AND($H30&lt;&gt;"",$H30&lt;=EOMONTH(J$12,0),$I30&gt;=J$12),"BOTH","UX"),IF(AND($H30&lt;&gt;"",$H30&lt;=EOMONTH(J$12,0),$I30&gt;=J$12),"DEV","")))</f>
        <v/>
      </c>
      <c r="K30" s="173" t="str">
        <f ca="1">IF($AI30="","",IF(INDEX('Roadmap Calc (Don’t Touch)'!$AA$2:$AX$151,$AI30,2)&gt;0,IF(AND($H30&lt;&gt;"",$H30&lt;=EOMONTH(K$12,0),$I30&gt;=K$12),"BOTH","UX"),IF(AND($H30&lt;&gt;"",$H30&lt;=EOMONTH(K$12,0),$I30&gt;=K$12),"DEV","")))</f>
        <v/>
      </c>
      <c r="L30" s="173" t="str">
        <f ca="1">IF($AI30="","",IF(INDEX('Roadmap Calc (Don’t Touch)'!$AA$2:$AX$151,$AI30,3)&gt;0,IF(AND($H30&lt;&gt;"",$H30&lt;=EOMONTH(L$12,0),$I30&gt;=L$12),"BOTH","UX"),IF(AND($H30&lt;&gt;"",$H30&lt;=EOMONTH(L$12,0),$I30&gt;=L$12),"DEV","")))</f>
        <v/>
      </c>
      <c r="M30" s="173" t="str">
        <f ca="1">IF($AI30="","",IF(INDEX('Roadmap Calc (Don’t Touch)'!$AA$2:$AX$151,$AI30,4)&gt;0,IF(AND($H30&lt;&gt;"",$H30&lt;=EOMONTH(M$12,0),$I30&gt;=M$12),"BOTH","UX"),IF(AND($H30&lt;&gt;"",$H30&lt;=EOMONTH(M$12,0),$I30&gt;=M$12),"DEV","")))</f>
        <v/>
      </c>
      <c r="N30" s="173" t="str">
        <f ca="1">IF($AI30="","",IF(INDEX('Roadmap Calc (Don’t Touch)'!$AA$2:$AX$151,$AI30,5)&gt;0,IF(AND($H30&lt;&gt;"",$H30&lt;=EOMONTH(N$12,0),$I30&gt;=N$12),"BOTH","UX"),IF(AND($H30&lt;&gt;"",$H30&lt;=EOMONTH(N$12,0),$I30&gt;=N$12),"DEV","")))</f>
        <v/>
      </c>
      <c r="O30" s="173" t="str">
        <f ca="1">IF($AI30="","",IF(INDEX('Roadmap Calc (Don’t Touch)'!$AA$2:$AX$151,$AI30,6)&gt;0,IF(AND($H30&lt;&gt;"",$H30&lt;=EOMONTH(O$12,0),$I30&gt;=O$12),"BOTH","UX"),IF(AND($H30&lt;&gt;"",$H30&lt;=EOMONTH(O$12,0),$I30&gt;=O$12),"DEV","")))</f>
        <v/>
      </c>
      <c r="P30" s="173" t="str">
        <f ca="1">IF($AI30="","",IF(INDEX('Roadmap Calc (Don’t Touch)'!$AA$2:$AX$151,$AI30,7)&gt;0,IF(AND($H30&lt;&gt;"",$H30&lt;=EOMONTH(P$12,0),$I30&gt;=P$12),"BOTH","UX"),IF(AND($H30&lt;&gt;"",$H30&lt;=EOMONTH(P$12,0),$I30&gt;=P$12),"DEV","")))</f>
        <v/>
      </c>
      <c r="Q30" s="173" t="str">
        <f ca="1">IF($AI30="","",IF(INDEX('Roadmap Calc (Don’t Touch)'!$AA$2:$AX$151,$AI30,8)&gt;0,IF(AND($H30&lt;&gt;"",$H30&lt;=EOMONTH(Q$12,0),$I30&gt;=Q$12),"BOTH","UX"),IF(AND($H30&lt;&gt;"",$H30&lt;=EOMONTH(Q$12,0),$I30&gt;=Q$12),"DEV","")))</f>
        <v>UX</v>
      </c>
      <c r="R30" s="173" t="str">
        <f ca="1">IF($AI30="","",IF(INDEX('Roadmap Calc (Don’t Touch)'!$AA$2:$AX$151,$AI30,9)&gt;0,IF(AND($H30&lt;&gt;"",$H30&lt;=EOMONTH(R$12,0),$I30&gt;=R$12),"BOTH","UX"),IF(AND($H30&lt;&gt;"",$H30&lt;=EOMONTH(R$12,0),$I30&gt;=R$12),"DEV","")))</f>
        <v>UX</v>
      </c>
      <c r="S30" s="173" t="str">
        <f ca="1">IF($AI30="","",IF(INDEX('Roadmap Calc (Don’t Touch)'!$AA$2:$AX$151,$AI30,10)&gt;0,IF(AND($H30&lt;&gt;"",$H30&lt;=EOMONTH(S$12,0),$I30&gt;=S$12),"BOTH","UX"),IF(AND($H30&lt;&gt;"",$H30&lt;=EOMONTH(S$12,0),$I30&gt;=S$12),"DEV","")))</f>
        <v/>
      </c>
      <c r="T30" s="173" t="str">
        <f ca="1">IF($AI30="","",IF(INDEX('Roadmap Calc (Don’t Touch)'!$AA$2:$AX$151,$AI30,11)&gt;0,IF(AND($H30&lt;&gt;"",$H30&lt;=EOMONTH(T$12,0),$I30&gt;=T$12),"BOTH","UX"),IF(AND($H30&lt;&gt;"",$H30&lt;=EOMONTH(T$12,0),$I30&gt;=T$12),"DEV","")))</f>
        <v>DEV</v>
      </c>
      <c r="U30" s="173" t="str">
        <f ca="1">IF($AI30="","",IF(INDEX('Roadmap Calc (Don’t Touch)'!$AA$2:$AX$151,$AI30,12)&gt;0,IF(AND($H30&lt;&gt;"",$H30&lt;=EOMONTH(U$12,0),$I30&gt;=U$12),"BOTH","UX"),IF(AND($H30&lt;&gt;"",$H30&lt;=EOMONTH(U$12,0),$I30&gt;=U$12),"DEV","")))</f>
        <v/>
      </c>
      <c r="V30" s="173" t="str">
        <f ca="1">IF($AI30="","",IF(INDEX('Roadmap Calc (Don’t Touch)'!$AA$2:$AX$151,$AI30,13)&gt;0,IF(AND($H30&lt;&gt;"",$H30&lt;=EOMONTH(V$12,0),$I30&gt;=V$12),"BOTH","UX"),IF(AND($H30&lt;&gt;"",$H30&lt;=EOMONTH(V$12,0),$I30&gt;=V$12),"DEV","")))</f>
        <v/>
      </c>
      <c r="W30" s="173" t="str">
        <f ca="1">IF($AI30="","",IF(INDEX('Roadmap Calc (Don’t Touch)'!$AA$2:$AX$151,$AI30,14)&gt;0,IF(AND($H30&lt;&gt;"",$H30&lt;=EOMONTH(W$12,0),$I30&gt;=W$12),"BOTH","UX"),IF(AND($H30&lt;&gt;"",$H30&lt;=EOMONTH(W$12,0),$I30&gt;=W$12),"DEV","")))</f>
        <v/>
      </c>
      <c r="X30" s="173" t="str">
        <f ca="1">IF($AI30="","",IF(INDEX('Roadmap Calc (Don’t Touch)'!$AA$2:$AX$151,$AI30,15)&gt;0,IF(AND($H30&lt;&gt;"",$H30&lt;=EOMONTH(X$12,0),$I30&gt;=X$12),"BOTH","UX"),IF(AND($H30&lt;&gt;"",$H30&lt;=EOMONTH(X$12,0),$I30&gt;=X$12),"DEV","")))</f>
        <v/>
      </c>
      <c r="Y30" s="173" t="str">
        <f ca="1">IF($AI30="","",IF(INDEX('Roadmap Calc (Don’t Touch)'!$AA$2:$AX$151,$AI30,16)&gt;0,IF(AND($H30&lt;&gt;"",$H30&lt;=EOMONTH(Y$12,0),$I30&gt;=Y$12),"BOTH","UX"),IF(AND($H30&lt;&gt;"",$H30&lt;=EOMONTH(Y$12,0),$I30&gt;=Y$12),"DEV","")))</f>
        <v/>
      </c>
      <c r="Z30" s="173" t="str">
        <f ca="1">IF($AI30="","",IF(INDEX('Roadmap Calc (Don’t Touch)'!$AA$2:$AX$151,$AI30,17)&gt;0,IF(AND($H30&lt;&gt;"",$H30&lt;=EOMONTH(Z$12,0),$I30&gt;=Z$12),"BOTH","UX"),IF(AND($H30&lt;&gt;"",$H30&lt;=EOMONTH(Z$12,0),$I30&gt;=Z$12),"DEV","")))</f>
        <v/>
      </c>
      <c r="AA30" s="173" t="str">
        <f ca="1">IF($AI30="","",IF(INDEX('Roadmap Calc (Don’t Touch)'!$AA$2:$AX$151,$AI30,18)&gt;0,IF(AND($H30&lt;&gt;"",$H30&lt;=EOMONTH(AA$12,0),$I30&gt;=AA$12),"BOTH","UX"),IF(AND($H30&lt;&gt;"",$H30&lt;=EOMONTH(AA$12,0),$I30&gt;=AA$12),"DEV","")))</f>
        <v/>
      </c>
      <c r="AB30" s="173" t="str">
        <f ca="1">IF($AI30="","",IF(INDEX('Roadmap Calc (Don’t Touch)'!$AA$2:$AX$151,$AI30,19)&gt;0,IF(AND($H30&lt;&gt;"",$H30&lt;=EOMONTH(AB$12,0),$I30&gt;=AB$12),"BOTH","UX"),IF(AND($H30&lt;&gt;"",$H30&lt;=EOMONTH(AB$12,0),$I30&gt;=AB$12),"DEV","")))</f>
        <v/>
      </c>
      <c r="AC30" s="173" t="str">
        <f ca="1">IF($AI30="","",IF(INDEX('Roadmap Calc (Don’t Touch)'!$AA$2:$AX$151,$AI30,20)&gt;0,IF(AND($H30&lt;&gt;"",$H30&lt;=EOMONTH(AC$12,0),$I30&gt;=AC$12),"BOTH","UX"),IF(AND($H30&lt;&gt;"",$H30&lt;=EOMONTH(AC$12,0),$I30&gt;=AC$12),"DEV","")))</f>
        <v/>
      </c>
      <c r="AD30" s="173" t="str">
        <f ca="1">IF($AI30="","",IF(INDEX('Roadmap Calc (Don’t Touch)'!$AA$2:$AX$151,$AI30,21)&gt;0,IF(AND($H30&lt;&gt;"",$H30&lt;=EOMONTH(AD$12,0),$I30&gt;=AD$12),"BOTH","UX"),IF(AND($H30&lt;&gt;"",$H30&lt;=EOMONTH(AD$12,0),$I30&gt;=AD$12),"DEV","")))</f>
        <v/>
      </c>
      <c r="AE30" s="173" t="str">
        <f ca="1">IF($AI30="","",IF(INDEX('Roadmap Calc (Don’t Touch)'!$AA$2:$AX$151,$AI30,22)&gt;0,IF(AND($H30&lt;&gt;"",$H30&lt;=EOMONTH(AE$12,0),$I30&gt;=AE$12),"BOTH","UX"),IF(AND($H30&lt;&gt;"",$H30&lt;=EOMONTH(AE$12,0),$I30&gt;=AE$12),"DEV","")))</f>
        <v/>
      </c>
      <c r="AF30" s="173" t="str">
        <f ca="1">IF($AI30="","",IF(INDEX('Roadmap Calc (Don’t Touch)'!$AA$2:$AX$151,$AI30,23)&gt;0,IF(AND($H30&lt;&gt;"",$H30&lt;=EOMONTH(AF$12,0),$I30&gt;=AF$12),"BOTH","UX"),IF(AND($H30&lt;&gt;"",$H30&lt;=EOMONTH(AF$12,0),$I30&gt;=AF$12),"DEV","")))</f>
        <v/>
      </c>
      <c r="AG30" s="173" t="str">
        <f ca="1">IF($AI30="","",IF(INDEX('Roadmap Calc (Don’t Touch)'!$AA$2:$AX$151,$AI30,24)&gt;0,IF(AND($H30&lt;&gt;"",$H30&lt;=EOMONTH(AG$12,0),$I30&gt;=AG$12),"BOTH","UX"),IF(AND($H30&lt;&gt;"",$H30&lt;=EOMONTH(AG$12,0),$I30&gt;=AG$12),"DEV","")))</f>
        <v/>
      </c>
      <c r="AH30" s="160" t="str">
        <f>IF($AI30="","",INDEX('Roadmap Calc (Don’t Touch)'!$D$2:$D$151,$AI30))</f>
        <v>Increase Buy Used Awareness</v>
      </c>
      <c r="AI30" s="160">
        <f>IFERROR(MATCH(15,'Roadmap Calc (Don’t Touch)'!$O$2:$O$151,0),"")</f>
        <v>16</v>
      </c>
      <c r="AJ30" s="160"/>
      <c r="AK30" s="160"/>
      <c r="AL30" s="160"/>
      <c r="AM30" s="160"/>
    </row>
    <row r="31" spans="1:39" ht="20" customHeight="1" x14ac:dyDescent="0.25">
      <c r="A31" s="214" t="str">
        <f>IF($AI31="","",IF($AH31=$AH30,"",IF(INDEX('Roadmap Calc (Don’t Touch)'!$U$2:$U$151,$AI31)=0,$AH31,HYPERLINK("#'Control (Don’t Touch)'!E"&amp;INDEX('Roadmap Calc (Don’t Touch)'!$U$2:$U$151,$AI31),$AH31))))</f>
        <v/>
      </c>
      <c r="B31" s="174" t="str">
        <f>IF($AI31="","",IF(INDEX('Roadmap Calc (Don’t Touch)'!$K$2:$K$151,$AI31)="",INDEX('Roadmap Calc (Don’t Touch)'!$B$2:$B$151,$AI31),HYPERLINK("https://jira.bnh.com/browse/"&amp;INDEX('Roadmap Calc (Don’t Touch)'!$K$2:$K$151,$AI31),INDEX('Roadmap Calc (Don’t Touch)'!$B$2:$B$151,$AI31))))</f>
        <v>Add 'shop by popular brands' section to Used Homepage</v>
      </c>
      <c r="C31" s="174" t="str">
        <f>IF($AI31="","",IF(INDEX('Roadmap Calc (Don’t Touch)'!$E$2:$E$151,$AI31)="","",HYPERLINK("https://jira.bnh.com/browse/"&amp;INDEX('Roadmap Calc (Don’t Touch)'!$E$2:$E$151,$AI31),INDEX('Roadmap Calc (Don’t Touch)'!$E$2:$E$151,$AI31))))</f>
        <v>BHUX-34844</v>
      </c>
      <c r="D31" s="176" t="str">
        <f>IF($AI31="","",INDEX('Roadmap Calc (Don’t Touch)'!$F$2:$F$151,$AI31))</f>
        <v>04. UX Design</v>
      </c>
      <c r="E31" s="170">
        <f>IF($AI31="","",IF(ISNUMBER(INDEX('Roadmap Calc (Don’t Touch)'!$G$2:$G$151,$AI31)),INDEX('Roadmap Calc (Don’t Touch)'!$G$2:$G$151,$AI31),""))</f>
        <v>46223</v>
      </c>
      <c r="F31" s="170">
        <f>IF($AI31="","",IF(ISNUMBER(INDEX('Roadmap Calc (Don’t Touch)'!$H$2:$H$151,$AI31)),INDEX('Roadmap Calc (Don’t Touch)'!$H$2:$H$151,$AI31),""))</f>
        <v>46258</v>
      </c>
      <c r="G31" s="171">
        <f>IF($AI31="","",INDEX('Roadmap Calc (Don’t Touch)'!$T$2:$T$151,$AI31))</f>
        <v>6</v>
      </c>
      <c r="H31" s="172">
        <f ca="1">IF($AI31="","",IF(ISNUMBER(INDEX('Roadmap Calc (Don’t Touch)'!$I$2:$I$151,$AI31)),INDEX('Roadmap Calc (Don’t Touch)'!$I$2:$I$151,$AI31),""))</f>
        <v>46327</v>
      </c>
      <c r="I31" s="172">
        <f ca="1">IF($AI31="","",IF(ISNUMBER(INDEX('Roadmap Calc (Don’t Touch)'!$J$2:$J$151,$AI31)),INDEX('Roadmap Calc (Don’t Touch)'!$J$2:$J$151,$AI31),""))</f>
        <v>46356</v>
      </c>
      <c r="J31" s="173" t="str">
        <f ca="1">IF($AI31="","",IF(INDEX('Roadmap Calc (Don’t Touch)'!$AA$2:$AX$151,$AI31,1)&gt;0,IF(AND($H31&lt;&gt;"",$H31&lt;=EOMONTH(J$12,0),$I31&gt;=J$12),"BOTH","UX"),IF(AND($H31&lt;&gt;"",$H31&lt;=EOMONTH(J$12,0),$I31&gt;=J$12),"DEV","")))</f>
        <v/>
      </c>
      <c r="K31" s="173" t="str">
        <f ca="1">IF($AI31="","",IF(INDEX('Roadmap Calc (Don’t Touch)'!$AA$2:$AX$151,$AI31,2)&gt;0,IF(AND($H31&lt;&gt;"",$H31&lt;=EOMONTH(K$12,0),$I31&gt;=K$12),"BOTH","UX"),IF(AND($H31&lt;&gt;"",$H31&lt;=EOMONTH(K$12,0),$I31&gt;=K$12),"DEV","")))</f>
        <v/>
      </c>
      <c r="L31" s="173" t="str">
        <f ca="1">IF($AI31="","",IF(INDEX('Roadmap Calc (Don’t Touch)'!$AA$2:$AX$151,$AI31,3)&gt;0,IF(AND($H31&lt;&gt;"",$H31&lt;=EOMONTH(L$12,0),$I31&gt;=L$12),"BOTH","UX"),IF(AND($H31&lt;&gt;"",$H31&lt;=EOMONTH(L$12,0),$I31&gt;=L$12),"DEV","")))</f>
        <v/>
      </c>
      <c r="M31" s="173" t="str">
        <f ca="1">IF($AI31="","",IF(INDEX('Roadmap Calc (Don’t Touch)'!$AA$2:$AX$151,$AI31,4)&gt;0,IF(AND($H31&lt;&gt;"",$H31&lt;=EOMONTH(M$12,0),$I31&gt;=M$12),"BOTH","UX"),IF(AND($H31&lt;&gt;"",$H31&lt;=EOMONTH(M$12,0),$I31&gt;=M$12),"DEV","")))</f>
        <v/>
      </c>
      <c r="N31" s="173" t="str">
        <f ca="1">IF($AI31="","",IF(INDEX('Roadmap Calc (Don’t Touch)'!$AA$2:$AX$151,$AI31,5)&gt;0,IF(AND($H31&lt;&gt;"",$H31&lt;=EOMONTH(N$12,0),$I31&gt;=N$12),"BOTH","UX"),IF(AND($H31&lt;&gt;"",$H31&lt;=EOMONTH(N$12,0),$I31&gt;=N$12),"DEV","")))</f>
        <v/>
      </c>
      <c r="O31" s="173" t="str">
        <f ca="1">IF($AI31="","",IF(INDEX('Roadmap Calc (Don’t Touch)'!$AA$2:$AX$151,$AI31,6)&gt;0,IF(AND($H31&lt;&gt;"",$H31&lt;=EOMONTH(O$12,0),$I31&gt;=O$12),"BOTH","UX"),IF(AND($H31&lt;&gt;"",$H31&lt;=EOMONTH(O$12,0),$I31&gt;=O$12),"DEV","")))</f>
        <v/>
      </c>
      <c r="P31" s="173" t="str">
        <f ca="1">IF($AI31="","",IF(INDEX('Roadmap Calc (Don’t Touch)'!$AA$2:$AX$151,$AI31,7)&gt;0,IF(AND($H31&lt;&gt;"",$H31&lt;=EOMONTH(P$12,0),$I31&gt;=P$12),"BOTH","UX"),IF(AND($H31&lt;&gt;"",$H31&lt;=EOMONTH(P$12,0),$I31&gt;=P$12),"DEV","")))</f>
        <v>UX</v>
      </c>
      <c r="Q31" s="173" t="str">
        <f ca="1">IF($AI31="","",IF(INDEX('Roadmap Calc (Don’t Touch)'!$AA$2:$AX$151,$AI31,8)&gt;0,IF(AND($H31&lt;&gt;"",$H31&lt;=EOMONTH(Q$12,0),$I31&gt;=Q$12),"BOTH","UX"),IF(AND($H31&lt;&gt;"",$H31&lt;=EOMONTH(Q$12,0),$I31&gt;=Q$12),"DEV","")))</f>
        <v>UX</v>
      </c>
      <c r="R31" s="173" t="str">
        <f ca="1">IF($AI31="","",IF(INDEX('Roadmap Calc (Don’t Touch)'!$AA$2:$AX$151,$AI31,9)&gt;0,IF(AND($H31&lt;&gt;"",$H31&lt;=EOMONTH(R$12,0),$I31&gt;=R$12),"BOTH","UX"),IF(AND($H31&lt;&gt;"",$H31&lt;=EOMONTH(R$12,0),$I31&gt;=R$12),"DEV","")))</f>
        <v/>
      </c>
      <c r="S31" s="173" t="str">
        <f ca="1">IF($AI31="","",IF(INDEX('Roadmap Calc (Don’t Touch)'!$AA$2:$AX$151,$AI31,10)&gt;0,IF(AND($H31&lt;&gt;"",$H31&lt;=EOMONTH(S$12,0),$I31&gt;=S$12),"BOTH","UX"),IF(AND($H31&lt;&gt;"",$H31&lt;=EOMONTH(S$12,0),$I31&gt;=S$12),"DEV","")))</f>
        <v/>
      </c>
      <c r="T31" s="173" t="str">
        <f ca="1">IF($AI31="","",IF(INDEX('Roadmap Calc (Don’t Touch)'!$AA$2:$AX$151,$AI31,11)&gt;0,IF(AND($H31&lt;&gt;"",$H31&lt;=EOMONTH(T$12,0),$I31&gt;=T$12),"BOTH","UX"),IF(AND($H31&lt;&gt;"",$H31&lt;=EOMONTH(T$12,0),$I31&gt;=T$12),"DEV","")))</f>
        <v>DEV</v>
      </c>
      <c r="U31" s="173" t="str">
        <f ca="1">IF($AI31="","",IF(INDEX('Roadmap Calc (Don’t Touch)'!$AA$2:$AX$151,$AI31,12)&gt;0,IF(AND($H31&lt;&gt;"",$H31&lt;=EOMONTH(U$12,0),$I31&gt;=U$12),"BOTH","UX"),IF(AND($H31&lt;&gt;"",$H31&lt;=EOMONTH(U$12,0),$I31&gt;=U$12),"DEV","")))</f>
        <v/>
      </c>
      <c r="V31" s="173" t="str">
        <f ca="1">IF($AI31="","",IF(INDEX('Roadmap Calc (Don’t Touch)'!$AA$2:$AX$151,$AI31,13)&gt;0,IF(AND($H31&lt;&gt;"",$H31&lt;=EOMONTH(V$12,0),$I31&gt;=V$12),"BOTH","UX"),IF(AND($H31&lt;&gt;"",$H31&lt;=EOMONTH(V$12,0),$I31&gt;=V$12),"DEV","")))</f>
        <v/>
      </c>
      <c r="W31" s="173" t="str">
        <f ca="1">IF($AI31="","",IF(INDEX('Roadmap Calc (Don’t Touch)'!$AA$2:$AX$151,$AI31,14)&gt;0,IF(AND($H31&lt;&gt;"",$H31&lt;=EOMONTH(W$12,0),$I31&gt;=W$12),"BOTH","UX"),IF(AND($H31&lt;&gt;"",$H31&lt;=EOMONTH(W$12,0),$I31&gt;=W$12),"DEV","")))</f>
        <v/>
      </c>
      <c r="X31" s="173" t="str">
        <f ca="1">IF($AI31="","",IF(INDEX('Roadmap Calc (Don’t Touch)'!$AA$2:$AX$151,$AI31,15)&gt;0,IF(AND($H31&lt;&gt;"",$H31&lt;=EOMONTH(X$12,0),$I31&gt;=X$12),"BOTH","UX"),IF(AND($H31&lt;&gt;"",$H31&lt;=EOMONTH(X$12,0),$I31&gt;=X$12),"DEV","")))</f>
        <v/>
      </c>
      <c r="Y31" s="173" t="str">
        <f ca="1">IF($AI31="","",IF(INDEX('Roadmap Calc (Don’t Touch)'!$AA$2:$AX$151,$AI31,16)&gt;0,IF(AND($H31&lt;&gt;"",$H31&lt;=EOMONTH(Y$12,0),$I31&gt;=Y$12),"BOTH","UX"),IF(AND($H31&lt;&gt;"",$H31&lt;=EOMONTH(Y$12,0),$I31&gt;=Y$12),"DEV","")))</f>
        <v/>
      </c>
      <c r="Z31" s="173" t="str">
        <f ca="1">IF($AI31="","",IF(INDEX('Roadmap Calc (Don’t Touch)'!$AA$2:$AX$151,$AI31,17)&gt;0,IF(AND($H31&lt;&gt;"",$H31&lt;=EOMONTH(Z$12,0),$I31&gt;=Z$12),"BOTH","UX"),IF(AND($H31&lt;&gt;"",$H31&lt;=EOMONTH(Z$12,0),$I31&gt;=Z$12),"DEV","")))</f>
        <v/>
      </c>
      <c r="AA31" s="173" t="str">
        <f ca="1">IF($AI31="","",IF(INDEX('Roadmap Calc (Don’t Touch)'!$AA$2:$AX$151,$AI31,18)&gt;0,IF(AND($H31&lt;&gt;"",$H31&lt;=EOMONTH(AA$12,0),$I31&gt;=AA$12),"BOTH","UX"),IF(AND($H31&lt;&gt;"",$H31&lt;=EOMONTH(AA$12,0),$I31&gt;=AA$12),"DEV","")))</f>
        <v/>
      </c>
      <c r="AB31" s="173" t="str">
        <f ca="1">IF($AI31="","",IF(INDEX('Roadmap Calc (Don’t Touch)'!$AA$2:$AX$151,$AI31,19)&gt;0,IF(AND($H31&lt;&gt;"",$H31&lt;=EOMONTH(AB$12,0),$I31&gt;=AB$12),"BOTH","UX"),IF(AND($H31&lt;&gt;"",$H31&lt;=EOMONTH(AB$12,0),$I31&gt;=AB$12),"DEV","")))</f>
        <v/>
      </c>
      <c r="AC31" s="173" t="str">
        <f ca="1">IF($AI31="","",IF(INDEX('Roadmap Calc (Don’t Touch)'!$AA$2:$AX$151,$AI31,20)&gt;0,IF(AND($H31&lt;&gt;"",$H31&lt;=EOMONTH(AC$12,0),$I31&gt;=AC$12),"BOTH","UX"),IF(AND($H31&lt;&gt;"",$H31&lt;=EOMONTH(AC$12,0),$I31&gt;=AC$12),"DEV","")))</f>
        <v/>
      </c>
      <c r="AD31" s="173" t="str">
        <f ca="1">IF($AI31="","",IF(INDEX('Roadmap Calc (Don’t Touch)'!$AA$2:$AX$151,$AI31,21)&gt;0,IF(AND($H31&lt;&gt;"",$H31&lt;=EOMONTH(AD$12,0),$I31&gt;=AD$12),"BOTH","UX"),IF(AND($H31&lt;&gt;"",$H31&lt;=EOMONTH(AD$12,0),$I31&gt;=AD$12),"DEV","")))</f>
        <v/>
      </c>
      <c r="AE31" s="173" t="str">
        <f ca="1">IF($AI31="","",IF(INDEX('Roadmap Calc (Don’t Touch)'!$AA$2:$AX$151,$AI31,22)&gt;0,IF(AND($H31&lt;&gt;"",$H31&lt;=EOMONTH(AE$12,0),$I31&gt;=AE$12),"BOTH","UX"),IF(AND($H31&lt;&gt;"",$H31&lt;=EOMONTH(AE$12,0),$I31&gt;=AE$12),"DEV","")))</f>
        <v/>
      </c>
      <c r="AF31" s="173" t="str">
        <f ca="1">IF($AI31="","",IF(INDEX('Roadmap Calc (Don’t Touch)'!$AA$2:$AX$151,$AI31,23)&gt;0,IF(AND($H31&lt;&gt;"",$H31&lt;=EOMONTH(AF$12,0),$I31&gt;=AF$12),"BOTH","UX"),IF(AND($H31&lt;&gt;"",$H31&lt;=EOMONTH(AF$12,0),$I31&gt;=AF$12),"DEV","")))</f>
        <v/>
      </c>
      <c r="AG31" s="173" t="str">
        <f ca="1">IF($AI31="","",IF(INDEX('Roadmap Calc (Don’t Touch)'!$AA$2:$AX$151,$AI31,24)&gt;0,IF(AND($H31&lt;&gt;"",$H31&lt;=EOMONTH(AG$12,0),$I31&gt;=AG$12),"BOTH","UX"),IF(AND($H31&lt;&gt;"",$H31&lt;=EOMONTH(AG$12,0),$I31&gt;=AG$12),"DEV","")))</f>
        <v/>
      </c>
      <c r="AH31" s="160" t="str">
        <f>IF($AI31="","",INDEX('Roadmap Calc (Don’t Touch)'!$D$2:$D$151,$AI31))</f>
        <v>Increase Buy Used Awareness</v>
      </c>
      <c r="AI31" s="160">
        <f>IFERROR(MATCH(16,'Roadmap Calc (Don’t Touch)'!$O$2:$O$151,0),"")</f>
        <v>20</v>
      </c>
      <c r="AJ31" s="160"/>
      <c r="AK31" s="160"/>
      <c r="AL31" s="160"/>
      <c r="AM31" s="160"/>
    </row>
    <row r="32" spans="1:39" ht="20" customHeight="1" x14ac:dyDescent="0.25">
      <c r="A32" s="214" t="str">
        <f>IF($AI32="","",IF($AH32=$AH31,"",IF(INDEX('Roadmap Calc (Don’t Touch)'!$U$2:$U$151,$AI32)=0,$AH32,HYPERLINK("#'Control (Don’t Touch)'!E"&amp;INDEX('Roadmap Calc (Don’t Touch)'!$U$2:$U$151,$AI32),$AH32))))</f>
        <v/>
      </c>
      <c r="B32" s="174" t="str">
        <f>IF($AI32="","",IF(INDEX('Roadmap Calc (Don’t Touch)'!$K$2:$K$151,$AI32)="",INDEX('Roadmap Calc (Don’t Touch)'!$B$2:$B$151,$AI32),HYPERLINK("https://jira.bnh.com/browse/"&amp;INDEX('Roadmap Calc (Don’t Touch)'!$K$2:$K$151,$AI32),INDEX('Roadmap Calc (Don’t Touch)'!$B$2:$B$151,$AI32))))</f>
        <v>Shop By Popular Brand' Listing Pages Discovery</v>
      </c>
      <c r="C32" s="174" t="str">
        <f>IF($AI32="","",IF(INDEX('Roadmap Calc (Don’t Touch)'!$E$2:$E$151,$AI32)="","",HYPERLINK("https://jira.bnh.com/browse/"&amp;INDEX('Roadmap Calc (Don’t Touch)'!$E$2:$E$151,$AI32),INDEX('Roadmap Calc (Don’t Touch)'!$E$2:$E$151,$AI32))))</f>
        <v>BHUX-34845</v>
      </c>
      <c r="D32" s="176" t="str">
        <f>IF($AI32="","",INDEX('Roadmap Calc (Don’t Touch)'!$F$2:$F$151,$AI32))</f>
        <v>04. UX Design</v>
      </c>
      <c r="E32" s="170">
        <f>IF($AI32="","",IF(ISNUMBER(INDEX('Roadmap Calc (Don’t Touch)'!$G$2:$G$151,$AI32)),INDEX('Roadmap Calc (Don’t Touch)'!$G$2:$G$151,$AI32),""))</f>
        <v>46230</v>
      </c>
      <c r="F32" s="170">
        <f>IF($AI32="","",IF(ISNUMBER(INDEX('Roadmap Calc (Don’t Touch)'!$H$2:$H$151,$AI32)),INDEX('Roadmap Calc (Don’t Touch)'!$H$2:$H$151,$AI32),""))</f>
        <v>46258</v>
      </c>
      <c r="G32" s="171">
        <f>IF($AI32="","",INDEX('Roadmap Calc (Don’t Touch)'!$T$2:$T$151,$AI32))</f>
        <v>5</v>
      </c>
      <c r="H32" s="172">
        <f ca="1">IF($AI32="","",IF(ISNUMBER(INDEX('Roadmap Calc (Don’t Touch)'!$I$2:$I$151,$AI32)),INDEX('Roadmap Calc (Don’t Touch)'!$I$2:$I$151,$AI32),""))</f>
        <v>46327</v>
      </c>
      <c r="I32" s="172">
        <f ca="1">IF($AI32="","",IF(ISNUMBER(INDEX('Roadmap Calc (Don’t Touch)'!$J$2:$J$151,$AI32)),INDEX('Roadmap Calc (Don’t Touch)'!$J$2:$J$151,$AI32),""))</f>
        <v>46356</v>
      </c>
      <c r="J32" s="173" t="str">
        <f ca="1">IF($AI32="","",IF(INDEX('Roadmap Calc (Don’t Touch)'!$AA$2:$AX$151,$AI32,1)&gt;0,IF(AND($H32&lt;&gt;"",$H32&lt;=EOMONTH(J$12,0),$I32&gt;=J$12),"BOTH","UX"),IF(AND($H32&lt;&gt;"",$H32&lt;=EOMONTH(J$12,0),$I32&gt;=J$12),"DEV","")))</f>
        <v/>
      </c>
      <c r="K32" s="173" t="str">
        <f ca="1">IF($AI32="","",IF(INDEX('Roadmap Calc (Don’t Touch)'!$AA$2:$AX$151,$AI32,2)&gt;0,IF(AND($H32&lt;&gt;"",$H32&lt;=EOMONTH(K$12,0),$I32&gt;=K$12),"BOTH","UX"),IF(AND($H32&lt;&gt;"",$H32&lt;=EOMONTH(K$12,0),$I32&gt;=K$12),"DEV","")))</f>
        <v/>
      </c>
      <c r="L32" s="173" t="str">
        <f ca="1">IF($AI32="","",IF(INDEX('Roadmap Calc (Don’t Touch)'!$AA$2:$AX$151,$AI32,3)&gt;0,IF(AND($H32&lt;&gt;"",$H32&lt;=EOMONTH(L$12,0),$I32&gt;=L$12),"BOTH","UX"),IF(AND($H32&lt;&gt;"",$H32&lt;=EOMONTH(L$12,0),$I32&gt;=L$12),"DEV","")))</f>
        <v/>
      </c>
      <c r="M32" s="173" t="str">
        <f ca="1">IF($AI32="","",IF(INDEX('Roadmap Calc (Don’t Touch)'!$AA$2:$AX$151,$AI32,4)&gt;0,IF(AND($H32&lt;&gt;"",$H32&lt;=EOMONTH(M$12,0),$I32&gt;=M$12),"BOTH","UX"),IF(AND($H32&lt;&gt;"",$H32&lt;=EOMONTH(M$12,0),$I32&gt;=M$12),"DEV","")))</f>
        <v/>
      </c>
      <c r="N32" s="173" t="str">
        <f ca="1">IF($AI32="","",IF(INDEX('Roadmap Calc (Don’t Touch)'!$AA$2:$AX$151,$AI32,5)&gt;0,IF(AND($H32&lt;&gt;"",$H32&lt;=EOMONTH(N$12,0),$I32&gt;=N$12),"BOTH","UX"),IF(AND($H32&lt;&gt;"",$H32&lt;=EOMONTH(N$12,0),$I32&gt;=N$12),"DEV","")))</f>
        <v/>
      </c>
      <c r="O32" s="173" t="str">
        <f ca="1">IF($AI32="","",IF(INDEX('Roadmap Calc (Don’t Touch)'!$AA$2:$AX$151,$AI32,6)&gt;0,IF(AND($H32&lt;&gt;"",$H32&lt;=EOMONTH(O$12,0),$I32&gt;=O$12),"BOTH","UX"),IF(AND($H32&lt;&gt;"",$H32&lt;=EOMONTH(O$12,0),$I32&gt;=O$12),"DEV","")))</f>
        <v/>
      </c>
      <c r="P32" s="173" t="str">
        <f ca="1">IF($AI32="","",IF(INDEX('Roadmap Calc (Don’t Touch)'!$AA$2:$AX$151,$AI32,7)&gt;0,IF(AND($H32&lt;&gt;"",$H32&lt;=EOMONTH(P$12,0),$I32&gt;=P$12),"BOTH","UX"),IF(AND($H32&lt;&gt;"",$H32&lt;=EOMONTH(P$12,0),$I32&gt;=P$12),"DEV","")))</f>
        <v>UX</v>
      </c>
      <c r="Q32" s="173" t="str">
        <f ca="1">IF($AI32="","",IF(INDEX('Roadmap Calc (Don’t Touch)'!$AA$2:$AX$151,$AI32,8)&gt;0,IF(AND($H32&lt;&gt;"",$H32&lt;=EOMONTH(Q$12,0),$I32&gt;=Q$12),"BOTH","UX"),IF(AND($H32&lt;&gt;"",$H32&lt;=EOMONTH(Q$12,0),$I32&gt;=Q$12),"DEV","")))</f>
        <v>UX</v>
      </c>
      <c r="R32" s="173" t="str">
        <f ca="1">IF($AI32="","",IF(INDEX('Roadmap Calc (Don’t Touch)'!$AA$2:$AX$151,$AI32,9)&gt;0,IF(AND($H32&lt;&gt;"",$H32&lt;=EOMONTH(R$12,0),$I32&gt;=R$12),"BOTH","UX"),IF(AND($H32&lt;&gt;"",$H32&lt;=EOMONTH(R$12,0),$I32&gt;=R$12),"DEV","")))</f>
        <v/>
      </c>
      <c r="S32" s="173" t="str">
        <f ca="1">IF($AI32="","",IF(INDEX('Roadmap Calc (Don’t Touch)'!$AA$2:$AX$151,$AI32,10)&gt;0,IF(AND($H32&lt;&gt;"",$H32&lt;=EOMONTH(S$12,0),$I32&gt;=S$12),"BOTH","UX"),IF(AND($H32&lt;&gt;"",$H32&lt;=EOMONTH(S$12,0),$I32&gt;=S$12),"DEV","")))</f>
        <v/>
      </c>
      <c r="T32" s="173" t="str">
        <f ca="1">IF($AI32="","",IF(INDEX('Roadmap Calc (Don’t Touch)'!$AA$2:$AX$151,$AI32,11)&gt;0,IF(AND($H32&lt;&gt;"",$H32&lt;=EOMONTH(T$12,0),$I32&gt;=T$12),"BOTH","UX"),IF(AND($H32&lt;&gt;"",$H32&lt;=EOMONTH(T$12,0),$I32&gt;=T$12),"DEV","")))</f>
        <v>DEV</v>
      </c>
      <c r="U32" s="173" t="str">
        <f ca="1">IF($AI32="","",IF(INDEX('Roadmap Calc (Don’t Touch)'!$AA$2:$AX$151,$AI32,12)&gt;0,IF(AND($H32&lt;&gt;"",$H32&lt;=EOMONTH(U$12,0),$I32&gt;=U$12),"BOTH","UX"),IF(AND($H32&lt;&gt;"",$H32&lt;=EOMONTH(U$12,0),$I32&gt;=U$12),"DEV","")))</f>
        <v/>
      </c>
      <c r="V32" s="173" t="str">
        <f ca="1">IF($AI32="","",IF(INDEX('Roadmap Calc (Don’t Touch)'!$AA$2:$AX$151,$AI32,13)&gt;0,IF(AND($H32&lt;&gt;"",$H32&lt;=EOMONTH(V$12,0),$I32&gt;=V$12),"BOTH","UX"),IF(AND($H32&lt;&gt;"",$H32&lt;=EOMONTH(V$12,0),$I32&gt;=V$12),"DEV","")))</f>
        <v/>
      </c>
      <c r="W32" s="173" t="str">
        <f ca="1">IF($AI32="","",IF(INDEX('Roadmap Calc (Don’t Touch)'!$AA$2:$AX$151,$AI32,14)&gt;0,IF(AND($H32&lt;&gt;"",$H32&lt;=EOMONTH(W$12,0),$I32&gt;=W$12),"BOTH","UX"),IF(AND($H32&lt;&gt;"",$H32&lt;=EOMONTH(W$12,0),$I32&gt;=W$12),"DEV","")))</f>
        <v/>
      </c>
      <c r="X32" s="173" t="str">
        <f ca="1">IF($AI32="","",IF(INDEX('Roadmap Calc (Don’t Touch)'!$AA$2:$AX$151,$AI32,15)&gt;0,IF(AND($H32&lt;&gt;"",$H32&lt;=EOMONTH(X$12,0),$I32&gt;=X$12),"BOTH","UX"),IF(AND($H32&lt;&gt;"",$H32&lt;=EOMONTH(X$12,0),$I32&gt;=X$12),"DEV","")))</f>
        <v/>
      </c>
      <c r="Y32" s="173" t="str">
        <f ca="1">IF($AI32="","",IF(INDEX('Roadmap Calc (Don’t Touch)'!$AA$2:$AX$151,$AI32,16)&gt;0,IF(AND($H32&lt;&gt;"",$H32&lt;=EOMONTH(Y$12,0),$I32&gt;=Y$12),"BOTH","UX"),IF(AND($H32&lt;&gt;"",$H32&lt;=EOMONTH(Y$12,0),$I32&gt;=Y$12),"DEV","")))</f>
        <v/>
      </c>
      <c r="Z32" s="173" t="str">
        <f ca="1">IF($AI32="","",IF(INDEX('Roadmap Calc (Don’t Touch)'!$AA$2:$AX$151,$AI32,17)&gt;0,IF(AND($H32&lt;&gt;"",$H32&lt;=EOMONTH(Z$12,0),$I32&gt;=Z$12),"BOTH","UX"),IF(AND($H32&lt;&gt;"",$H32&lt;=EOMONTH(Z$12,0),$I32&gt;=Z$12),"DEV","")))</f>
        <v/>
      </c>
      <c r="AA32" s="173" t="str">
        <f ca="1">IF($AI32="","",IF(INDEX('Roadmap Calc (Don’t Touch)'!$AA$2:$AX$151,$AI32,18)&gt;0,IF(AND($H32&lt;&gt;"",$H32&lt;=EOMONTH(AA$12,0),$I32&gt;=AA$12),"BOTH","UX"),IF(AND($H32&lt;&gt;"",$H32&lt;=EOMONTH(AA$12,0),$I32&gt;=AA$12),"DEV","")))</f>
        <v/>
      </c>
      <c r="AB32" s="173" t="str">
        <f ca="1">IF($AI32="","",IF(INDEX('Roadmap Calc (Don’t Touch)'!$AA$2:$AX$151,$AI32,19)&gt;0,IF(AND($H32&lt;&gt;"",$H32&lt;=EOMONTH(AB$12,0),$I32&gt;=AB$12),"BOTH","UX"),IF(AND($H32&lt;&gt;"",$H32&lt;=EOMONTH(AB$12,0),$I32&gt;=AB$12),"DEV","")))</f>
        <v/>
      </c>
      <c r="AC32" s="173" t="str">
        <f ca="1">IF($AI32="","",IF(INDEX('Roadmap Calc (Don’t Touch)'!$AA$2:$AX$151,$AI32,20)&gt;0,IF(AND($H32&lt;&gt;"",$H32&lt;=EOMONTH(AC$12,0),$I32&gt;=AC$12),"BOTH","UX"),IF(AND($H32&lt;&gt;"",$H32&lt;=EOMONTH(AC$12,0),$I32&gt;=AC$12),"DEV","")))</f>
        <v/>
      </c>
      <c r="AD32" s="173" t="str">
        <f ca="1">IF($AI32="","",IF(INDEX('Roadmap Calc (Don’t Touch)'!$AA$2:$AX$151,$AI32,21)&gt;0,IF(AND($H32&lt;&gt;"",$H32&lt;=EOMONTH(AD$12,0),$I32&gt;=AD$12),"BOTH","UX"),IF(AND($H32&lt;&gt;"",$H32&lt;=EOMONTH(AD$12,0),$I32&gt;=AD$12),"DEV","")))</f>
        <v/>
      </c>
      <c r="AE32" s="173" t="str">
        <f ca="1">IF($AI32="","",IF(INDEX('Roadmap Calc (Don’t Touch)'!$AA$2:$AX$151,$AI32,22)&gt;0,IF(AND($H32&lt;&gt;"",$H32&lt;=EOMONTH(AE$12,0),$I32&gt;=AE$12),"BOTH","UX"),IF(AND($H32&lt;&gt;"",$H32&lt;=EOMONTH(AE$12,0),$I32&gt;=AE$12),"DEV","")))</f>
        <v/>
      </c>
      <c r="AF32" s="173" t="str">
        <f ca="1">IF($AI32="","",IF(INDEX('Roadmap Calc (Don’t Touch)'!$AA$2:$AX$151,$AI32,23)&gt;0,IF(AND($H32&lt;&gt;"",$H32&lt;=EOMONTH(AF$12,0),$I32&gt;=AF$12),"BOTH","UX"),IF(AND($H32&lt;&gt;"",$H32&lt;=EOMONTH(AF$12,0),$I32&gt;=AF$12),"DEV","")))</f>
        <v/>
      </c>
      <c r="AG32" s="173" t="str">
        <f ca="1">IF($AI32="","",IF(INDEX('Roadmap Calc (Don’t Touch)'!$AA$2:$AX$151,$AI32,24)&gt;0,IF(AND($H32&lt;&gt;"",$H32&lt;=EOMONTH(AG$12,0),$I32&gt;=AG$12),"BOTH","UX"),IF(AND($H32&lt;&gt;"",$H32&lt;=EOMONTH(AG$12,0),$I32&gt;=AG$12),"DEV","")))</f>
        <v/>
      </c>
      <c r="AH32" s="160" t="str">
        <f>IF($AI32="","",INDEX('Roadmap Calc (Don’t Touch)'!$D$2:$D$151,$AI32))</f>
        <v>Increase Buy Used Awareness</v>
      </c>
      <c r="AI32" s="160">
        <f>IFERROR(MATCH(17,'Roadmap Calc (Don’t Touch)'!$O$2:$O$151,0),"")</f>
        <v>21</v>
      </c>
      <c r="AJ32" s="160"/>
      <c r="AK32" s="160"/>
      <c r="AL32" s="160"/>
      <c r="AM32" s="160"/>
    </row>
    <row r="33" spans="1:39" ht="20" customHeight="1" x14ac:dyDescent="0.25">
      <c r="A33" s="214" t="str">
        <f>IF($AI33="","",IF($AH33=$AH32,"",IF(INDEX('Roadmap Calc (Don’t Touch)'!$U$2:$U$151,$AI33)=0,$AH33,HYPERLINK("#'Control (Don’t Touch)'!E"&amp;INDEX('Roadmap Calc (Don’t Touch)'!$U$2:$U$151,$AI33),$AH33))))</f>
        <v/>
      </c>
      <c r="B33" s="174" t="str">
        <f>IF($AI33="","",IF(INDEX('Roadmap Calc (Don’t Touch)'!$K$2:$K$151,$AI33)="",INDEX('Roadmap Calc (Don’t Touch)'!$B$2:$B$151,$AI33),HYPERLINK("https://jira.bnh.com/browse/"&amp;INDEX('Roadmap Calc (Don’t Touch)'!$K$2:$K$151,$AI33),INDEX('Roadmap Calc (Don’t Touch)'!$B$2:$B$151,$AI33))))</f>
        <v>My Account &gt; Trade In Awareness</v>
      </c>
      <c r="C33" s="174" t="str">
        <f>IF($AI33="","",IF(INDEX('Roadmap Calc (Don’t Touch)'!$E$2:$E$151,$AI33)="","",HYPERLINK("https://jira.bnh.com/browse/"&amp;INDEX('Roadmap Calc (Don’t Touch)'!$E$2:$E$151,$AI33),INDEX('Roadmap Calc (Don’t Touch)'!$E$2:$E$151,$AI33))))</f>
        <v>BHUX-35010</v>
      </c>
      <c r="D33" s="176" t="str">
        <f>IF($AI33="","",INDEX('Roadmap Calc (Don’t Touch)'!$F$2:$F$151,$AI33))</f>
        <v>04. UX Design</v>
      </c>
      <c r="E33" s="170">
        <f>IF($AI33="","",IF(ISNUMBER(INDEX('Roadmap Calc (Don’t Touch)'!$G$2:$G$151,$AI33)),INDEX('Roadmap Calc (Don’t Touch)'!$G$2:$G$151,$AI33),""))</f>
        <v>46244</v>
      </c>
      <c r="F33" s="170">
        <f>IF($AI33="","",IF(ISNUMBER(INDEX('Roadmap Calc (Don’t Touch)'!$H$2:$H$151,$AI33)),INDEX('Roadmap Calc (Don’t Touch)'!$H$2:$H$151,$AI33),""))</f>
        <v>46258</v>
      </c>
      <c r="G33" s="171">
        <f>IF($AI33="","",INDEX('Roadmap Calc (Don’t Touch)'!$T$2:$T$151,$AI33))</f>
        <v>3</v>
      </c>
      <c r="H33" s="172">
        <f ca="1">IF($AI33="","",IF(ISNUMBER(INDEX('Roadmap Calc (Don’t Touch)'!$I$2:$I$151,$AI33)),INDEX('Roadmap Calc (Don’t Touch)'!$I$2:$I$151,$AI33),""))</f>
        <v>46357</v>
      </c>
      <c r="I33" s="172">
        <f ca="1">IF($AI33="","",IF(ISNUMBER(INDEX('Roadmap Calc (Don’t Touch)'!$J$2:$J$151,$AI33)),INDEX('Roadmap Calc (Don’t Touch)'!$J$2:$J$151,$AI33),""))</f>
        <v>46387</v>
      </c>
      <c r="J33" s="173" t="str">
        <f ca="1">IF($AI33="","",IF(INDEX('Roadmap Calc (Don’t Touch)'!$AA$2:$AX$151,$AI33,1)&gt;0,IF(AND($H33&lt;&gt;"",$H33&lt;=EOMONTH(J$12,0),$I33&gt;=J$12),"BOTH","UX"),IF(AND($H33&lt;&gt;"",$H33&lt;=EOMONTH(J$12,0),$I33&gt;=J$12),"DEV","")))</f>
        <v/>
      </c>
      <c r="K33" s="173" t="str">
        <f ca="1">IF($AI33="","",IF(INDEX('Roadmap Calc (Don’t Touch)'!$AA$2:$AX$151,$AI33,2)&gt;0,IF(AND($H33&lt;&gt;"",$H33&lt;=EOMONTH(K$12,0),$I33&gt;=K$12),"BOTH","UX"),IF(AND($H33&lt;&gt;"",$H33&lt;=EOMONTH(K$12,0),$I33&gt;=K$12),"DEV","")))</f>
        <v/>
      </c>
      <c r="L33" s="173" t="str">
        <f ca="1">IF($AI33="","",IF(INDEX('Roadmap Calc (Don’t Touch)'!$AA$2:$AX$151,$AI33,3)&gt;0,IF(AND($H33&lt;&gt;"",$H33&lt;=EOMONTH(L$12,0),$I33&gt;=L$12),"BOTH","UX"),IF(AND($H33&lt;&gt;"",$H33&lt;=EOMONTH(L$12,0),$I33&gt;=L$12),"DEV","")))</f>
        <v/>
      </c>
      <c r="M33" s="173" t="str">
        <f ca="1">IF($AI33="","",IF(INDEX('Roadmap Calc (Don’t Touch)'!$AA$2:$AX$151,$AI33,4)&gt;0,IF(AND($H33&lt;&gt;"",$H33&lt;=EOMONTH(M$12,0),$I33&gt;=M$12),"BOTH","UX"),IF(AND($H33&lt;&gt;"",$H33&lt;=EOMONTH(M$12,0),$I33&gt;=M$12),"DEV","")))</f>
        <v/>
      </c>
      <c r="N33" s="173" t="str">
        <f ca="1">IF($AI33="","",IF(INDEX('Roadmap Calc (Don’t Touch)'!$AA$2:$AX$151,$AI33,5)&gt;0,IF(AND($H33&lt;&gt;"",$H33&lt;=EOMONTH(N$12,0),$I33&gt;=N$12),"BOTH","UX"),IF(AND($H33&lt;&gt;"",$H33&lt;=EOMONTH(N$12,0),$I33&gt;=N$12),"DEV","")))</f>
        <v/>
      </c>
      <c r="O33" s="173" t="str">
        <f ca="1">IF($AI33="","",IF(INDEX('Roadmap Calc (Don’t Touch)'!$AA$2:$AX$151,$AI33,6)&gt;0,IF(AND($H33&lt;&gt;"",$H33&lt;=EOMONTH(O$12,0),$I33&gt;=O$12),"BOTH","UX"),IF(AND($H33&lt;&gt;"",$H33&lt;=EOMONTH(O$12,0),$I33&gt;=O$12),"DEV","")))</f>
        <v/>
      </c>
      <c r="P33" s="173" t="str">
        <f ca="1">IF($AI33="","",IF(INDEX('Roadmap Calc (Don’t Touch)'!$AA$2:$AX$151,$AI33,7)&gt;0,IF(AND($H33&lt;&gt;"",$H33&lt;=EOMONTH(P$12,0),$I33&gt;=P$12),"BOTH","UX"),IF(AND($H33&lt;&gt;"",$H33&lt;=EOMONTH(P$12,0),$I33&gt;=P$12),"DEV","")))</f>
        <v/>
      </c>
      <c r="Q33" s="173" t="str">
        <f ca="1">IF($AI33="","",IF(INDEX('Roadmap Calc (Don’t Touch)'!$AA$2:$AX$151,$AI33,8)&gt;0,IF(AND($H33&lt;&gt;"",$H33&lt;=EOMONTH(Q$12,0),$I33&gt;=Q$12),"BOTH","UX"),IF(AND($H33&lt;&gt;"",$H33&lt;=EOMONTH(Q$12,0),$I33&gt;=Q$12),"DEV","")))</f>
        <v>UX</v>
      </c>
      <c r="R33" s="173" t="str">
        <f ca="1">IF($AI33="","",IF(INDEX('Roadmap Calc (Don’t Touch)'!$AA$2:$AX$151,$AI33,9)&gt;0,IF(AND($H33&lt;&gt;"",$H33&lt;=EOMONTH(R$12,0),$I33&gt;=R$12),"BOTH","UX"),IF(AND($H33&lt;&gt;"",$H33&lt;=EOMONTH(R$12,0),$I33&gt;=R$12),"DEV","")))</f>
        <v/>
      </c>
      <c r="S33" s="173" t="str">
        <f ca="1">IF($AI33="","",IF(INDEX('Roadmap Calc (Don’t Touch)'!$AA$2:$AX$151,$AI33,10)&gt;0,IF(AND($H33&lt;&gt;"",$H33&lt;=EOMONTH(S$12,0),$I33&gt;=S$12),"BOTH","UX"),IF(AND($H33&lt;&gt;"",$H33&lt;=EOMONTH(S$12,0),$I33&gt;=S$12),"DEV","")))</f>
        <v/>
      </c>
      <c r="T33" s="173" t="str">
        <f ca="1">IF($AI33="","",IF(INDEX('Roadmap Calc (Don’t Touch)'!$AA$2:$AX$151,$AI33,11)&gt;0,IF(AND($H33&lt;&gt;"",$H33&lt;=EOMONTH(T$12,0),$I33&gt;=T$12),"BOTH","UX"),IF(AND($H33&lt;&gt;"",$H33&lt;=EOMONTH(T$12,0),$I33&gt;=T$12),"DEV","")))</f>
        <v/>
      </c>
      <c r="U33" s="173" t="str">
        <f ca="1">IF($AI33="","",IF(INDEX('Roadmap Calc (Don’t Touch)'!$AA$2:$AX$151,$AI33,12)&gt;0,IF(AND($H33&lt;&gt;"",$H33&lt;=EOMONTH(U$12,0),$I33&gt;=U$12),"BOTH","UX"),IF(AND($H33&lt;&gt;"",$H33&lt;=EOMONTH(U$12,0),$I33&gt;=U$12),"DEV","")))</f>
        <v>DEV</v>
      </c>
      <c r="V33" s="173" t="str">
        <f ca="1">IF($AI33="","",IF(INDEX('Roadmap Calc (Don’t Touch)'!$AA$2:$AX$151,$AI33,13)&gt;0,IF(AND($H33&lt;&gt;"",$H33&lt;=EOMONTH(V$12,0),$I33&gt;=V$12),"BOTH","UX"),IF(AND($H33&lt;&gt;"",$H33&lt;=EOMONTH(V$12,0),$I33&gt;=V$12),"DEV","")))</f>
        <v/>
      </c>
      <c r="W33" s="173" t="str">
        <f ca="1">IF($AI33="","",IF(INDEX('Roadmap Calc (Don’t Touch)'!$AA$2:$AX$151,$AI33,14)&gt;0,IF(AND($H33&lt;&gt;"",$H33&lt;=EOMONTH(W$12,0),$I33&gt;=W$12),"BOTH","UX"),IF(AND($H33&lt;&gt;"",$H33&lt;=EOMONTH(W$12,0),$I33&gt;=W$12),"DEV","")))</f>
        <v/>
      </c>
      <c r="X33" s="173" t="str">
        <f ca="1">IF($AI33="","",IF(INDEX('Roadmap Calc (Don’t Touch)'!$AA$2:$AX$151,$AI33,15)&gt;0,IF(AND($H33&lt;&gt;"",$H33&lt;=EOMONTH(X$12,0),$I33&gt;=X$12),"BOTH","UX"),IF(AND($H33&lt;&gt;"",$H33&lt;=EOMONTH(X$12,0),$I33&gt;=X$12),"DEV","")))</f>
        <v/>
      </c>
      <c r="Y33" s="173" t="str">
        <f ca="1">IF($AI33="","",IF(INDEX('Roadmap Calc (Don’t Touch)'!$AA$2:$AX$151,$AI33,16)&gt;0,IF(AND($H33&lt;&gt;"",$H33&lt;=EOMONTH(Y$12,0),$I33&gt;=Y$12),"BOTH","UX"),IF(AND($H33&lt;&gt;"",$H33&lt;=EOMONTH(Y$12,0),$I33&gt;=Y$12),"DEV","")))</f>
        <v/>
      </c>
      <c r="Z33" s="173" t="str">
        <f ca="1">IF($AI33="","",IF(INDEX('Roadmap Calc (Don’t Touch)'!$AA$2:$AX$151,$AI33,17)&gt;0,IF(AND($H33&lt;&gt;"",$H33&lt;=EOMONTH(Z$12,0),$I33&gt;=Z$12),"BOTH","UX"),IF(AND($H33&lt;&gt;"",$H33&lt;=EOMONTH(Z$12,0),$I33&gt;=Z$12),"DEV","")))</f>
        <v/>
      </c>
      <c r="AA33" s="173" t="str">
        <f ca="1">IF($AI33="","",IF(INDEX('Roadmap Calc (Don’t Touch)'!$AA$2:$AX$151,$AI33,18)&gt;0,IF(AND($H33&lt;&gt;"",$H33&lt;=EOMONTH(AA$12,0),$I33&gt;=AA$12),"BOTH","UX"),IF(AND($H33&lt;&gt;"",$H33&lt;=EOMONTH(AA$12,0),$I33&gt;=AA$12),"DEV","")))</f>
        <v/>
      </c>
      <c r="AB33" s="173" t="str">
        <f ca="1">IF($AI33="","",IF(INDEX('Roadmap Calc (Don’t Touch)'!$AA$2:$AX$151,$AI33,19)&gt;0,IF(AND($H33&lt;&gt;"",$H33&lt;=EOMONTH(AB$12,0),$I33&gt;=AB$12),"BOTH","UX"),IF(AND($H33&lt;&gt;"",$H33&lt;=EOMONTH(AB$12,0),$I33&gt;=AB$12),"DEV","")))</f>
        <v/>
      </c>
      <c r="AC33" s="173" t="str">
        <f ca="1">IF($AI33="","",IF(INDEX('Roadmap Calc (Don’t Touch)'!$AA$2:$AX$151,$AI33,20)&gt;0,IF(AND($H33&lt;&gt;"",$H33&lt;=EOMONTH(AC$12,0),$I33&gt;=AC$12),"BOTH","UX"),IF(AND($H33&lt;&gt;"",$H33&lt;=EOMONTH(AC$12,0),$I33&gt;=AC$12),"DEV","")))</f>
        <v/>
      </c>
      <c r="AD33" s="173" t="str">
        <f ca="1">IF($AI33="","",IF(INDEX('Roadmap Calc (Don’t Touch)'!$AA$2:$AX$151,$AI33,21)&gt;0,IF(AND($H33&lt;&gt;"",$H33&lt;=EOMONTH(AD$12,0),$I33&gt;=AD$12),"BOTH","UX"),IF(AND($H33&lt;&gt;"",$H33&lt;=EOMONTH(AD$12,0),$I33&gt;=AD$12),"DEV","")))</f>
        <v/>
      </c>
      <c r="AE33" s="173" t="str">
        <f ca="1">IF($AI33="","",IF(INDEX('Roadmap Calc (Don’t Touch)'!$AA$2:$AX$151,$AI33,22)&gt;0,IF(AND($H33&lt;&gt;"",$H33&lt;=EOMONTH(AE$12,0),$I33&gt;=AE$12),"BOTH","UX"),IF(AND($H33&lt;&gt;"",$H33&lt;=EOMONTH(AE$12,0),$I33&gt;=AE$12),"DEV","")))</f>
        <v/>
      </c>
      <c r="AF33" s="173" t="str">
        <f ca="1">IF($AI33="","",IF(INDEX('Roadmap Calc (Don’t Touch)'!$AA$2:$AX$151,$AI33,23)&gt;0,IF(AND($H33&lt;&gt;"",$H33&lt;=EOMONTH(AF$12,0),$I33&gt;=AF$12),"BOTH","UX"),IF(AND($H33&lt;&gt;"",$H33&lt;=EOMONTH(AF$12,0),$I33&gt;=AF$12),"DEV","")))</f>
        <v/>
      </c>
      <c r="AG33" s="173" t="str">
        <f ca="1">IF($AI33="","",IF(INDEX('Roadmap Calc (Don’t Touch)'!$AA$2:$AX$151,$AI33,24)&gt;0,IF(AND($H33&lt;&gt;"",$H33&lt;=EOMONTH(AG$12,0),$I33&gt;=AG$12),"BOTH","UX"),IF(AND($H33&lt;&gt;"",$H33&lt;=EOMONTH(AG$12,0),$I33&gt;=AG$12),"DEV","")))</f>
        <v/>
      </c>
      <c r="AH33" s="160" t="str">
        <f>IF($AI33="","",INDEX('Roadmap Calc (Don’t Touch)'!$D$2:$D$151,$AI33))</f>
        <v>Increase Buy Used Awareness</v>
      </c>
      <c r="AI33" s="160">
        <f>IFERROR(MATCH(18,'Roadmap Calc (Don’t Touch)'!$O$2:$O$151,0),"")</f>
        <v>22</v>
      </c>
      <c r="AJ33" s="160"/>
      <c r="AK33" s="160"/>
      <c r="AL33" s="160"/>
      <c r="AM33" s="160"/>
    </row>
    <row r="34" spans="1:39" ht="20" customHeight="1" x14ac:dyDescent="0.25">
      <c r="A34" s="214" t="str">
        <f>IF($AI34="","",IF($AH34=$AH33,"",IF(INDEX('Roadmap Calc (Don’t Touch)'!$U$2:$U$151,$AI34)=0,$AH34,HYPERLINK("#'Control (Don’t Touch)'!E"&amp;INDEX('Roadmap Calc (Don’t Touch)'!$U$2:$U$151,$AI34),$AH34))))</f>
        <v/>
      </c>
      <c r="B34" s="174" t="str">
        <f>IF($AI34="","",IF(INDEX('Roadmap Calc (Don’t Touch)'!$K$2:$K$151,$AI34)="",INDEX('Roadmap Calc (Don’t Touch)'!$B$2:$B$151,$AI34),HYPERLINK("https://jira.bnh.com/browse/"&amp;INDEX('Roadmap Calc (Don’t Touch)'!$K$2:$K$151,$AI34),INDEX('Roadmap Calc (Don’t Touch)'!$B$2:$B$151,$AI34))))</f>
        <v>Condition Grouping</v>
      </c>
      <c r="C34" s="174" t="str">
        <f>IF($AI34="","",IF(INDEX('Roadmap Calc (Don’t Touch)'!$E$2:$E$151,$AI34)="","",HYPERLINK("https://jira.bnh.com/browse/"&amp;INDEX('Roadmap Calc (Don’t Touch)'!$E$2:$E$151,$AI34),INDEX('Roadmap Calc (Don’t Touch)'!$E$2:$E$151,$AI34))))</f>
        <v>BHUX-33519</v>
      </c>
      <c r="D34" s="176" t="str">
        <f>IF($AI34="","",INDEX('Roadmap Calc (Don’t Touch)'!$F$2:$F$151,$AI34))</f>
        <v>10. QA</v>
      </c>
      <c r="E34" s="170">
        <f>IF($AI34="","",IF(ISNUMBER(INDEX('Roadmap Calc (Don’t Touch)'!$G$2:$G$151,$AI34)),INDEX('Roadmap Calc (Don’t Touch)'!$G$2:$G$151,$AI34),""))</f>
        <v>46139</v>
      </c>
      <c r="F34" s="170">
        <f>IF($AI34="","",IF(ISNUMBER(INDEX('Roadmap Calc (Don’t Touch)'!$H$2:$H$151,$AI34)),INDEX('Roadmap Calc (Don’t Touch)'!$H$2:$H$151,$AI34),""))</f>
        <v>46146</v>
      </c>
      <c r="G34" s="171">
        <f>IF($AI34="","",INDEX('Roadmap Calc (Don’t Touch)'!$T$2:$T$151,$AI34))</f>
        <v>2</v>
      </c>
      <c r="H34" s="172">
        <f ca="1">IF($AI34="","",IF(ISNUMBER(INDEX('Roadmap Calc (Don’t Touch)'!$I$2:$I$151,$AI34)),INDEX('Roadmap Calc (Don’t Touch)'!$I$2:$I$151,$AI34),""))</f>
        <v>46235</v>
      </c>
      <c r="I34" s="172">
        <f ca="1">IF($AI34="","",IF(ISNUMBER(INDEX('Roadmap Calc (Don’t Touch)'!$J$2:$J$151,$AI34)),INDEX('Roadmap Calc (Don’t Touch)'!$J$2:$J$151,$AI34),""))</f>
        <v>46265</v>
      </c>
      <c r="J34" s="173" t="str">
        <f ca="1">IF($AI34="","",IF(INDEX('Roadmap Calc (Don’t Touch)'!$AA$2:$AX$151,$AI34,1)&gt;0,IF(AND($H34&lt;&gt;"",$H34&lt;=EOMONTH(J$12,0),$I34&gt;=J$12),"BOTH","UX"),IF(AND($H34&lt;&gt;"",$H34&lt;=EOMONTH(J$12,0),$I34&gt;=J$12),"DEV","")))</f>
        <v/>
      </c>
      <c r="K34" s="173" t="str">
        <f ca="1">IF($AI34="","",IF(INDEX('Roadmap Calc (Don’t Touch)'!$AA$2:$AX$151,$AI34,2)&gt;0,IF(AND($H34&lt;&gt;"",$H34&lt;=EOMONTH(K$12,0),$I34&gt;=K$12),"BOTH","UX"),IF(AND($H34&lt;&gt;"",$H34&lt;=EOMONTH(K$12,0),$I34&gt;=K$12),"DEV","")))</f>
        <v/>
      </c>
      <c r="L34" s="173" t="str">
        <f ca="1">IF($AI34="","",IF(INDEX('Roadmap Calc (Don’t Touch)'!$AA$2:$AX$151,$AI34,3)&gt;0,IF(AND($H34&lt;&gt;"",$H34&lt;=EOMONTH(L$12,0),$I34&gt;=L$12),"BOTH","UX"),IF(AND($H34&lt;&gt;"",$H34&lt;=EOMONTH(L$12,0),$I34&gt;=L$12),"DEV","")))</f>
        <v/>
      </c>
      <c r="M34" s="173" t="str">
        <f ca="1">IF($AI34="","",IF(INDEX('Roadmap Calc (Don’t Touch)'!$AA$2:$AX$151,$AI34,4)&gt;0,IF(AND($H34&lt;&gt;"",$H34&lt;=EOMONTH(M$12,0),$I34&gt;=M$12),"BOTH","UX"),IF(AND($H34&lt;&gt;"",$H34&lt;=EOMONTH(M$12,0),$I34&gt;=M$12),"DEV","")))</f>
        <v>UX</v>
      </c>
      <c r="N34" s="173" t="str">
        <f ca="1">IF($AI34="","",IF(INDEX('Roadmap Calc (Don’t Touch)'!$AA$2:$AX$151,$AI34,5)&gt;0,IF(AND($H34&lt;&gt;"",$H34&lt;=EOMONTH(N$12,0),$I34&gt;=N$12),"BOTH","UX"),IF(AND($H34&lt;&gt;"",$H34&lt;=EOMONTH(N$12,0),$I34&gt;=N$12),"DEV","")))</f>
        <v>UX</v>
      </c>
      <c r="O34" s="173" t="str">
        <f ca="1">IF($AI34="","",IF(INDEX('Roadmap Calc (Don’t Touch)'!$AA$2:$AX$151,$AI34,6)&gt;0,IF(AND($H34&lt;&gt;"",$H34&lt;=EOMONTH(O$12,0),$I34&gt;=O$12),"BOTH","UX"),IF(AND($H34&lt;&gt;"",$H34&lt;=EOMONTH(O$12,0),$I34&gt;=O$12),"DEV","")))</f>
        <v/>
      </c>
      <c r="P34" s="173" t="str">
        <f ca="1">IF($AI34="","",IF(INDEX('Roadmap Calc (Don’t Touch)'!$AA$2:$AX$151,$AI34,7)&gt;0,IF(AND($H34&lt;&gt;"",$H34&lt;=EOMONTH(P$12,0),$I34&gt;=P$12),"BOTH","UX"),IF(AND($H34&lt;&gt;"",$H34&lt;=EOMONTH(P$12,0),$I34&gt;=P$12),"DEV","")))</f>
        <v/>
      </c>
      <c r="Q34" s="173" t="str">
        <f ca="1">IF($AI34="","",IF(INDEX('Roadmap Calc (Don’t Touch)'!$AA$2:$AX$151,$AI34,8)&gt;0,IF(AND($H34&lt;&gt;"",$H34&lt;=EOMONTH(Q$12,0),$I34&gt;=Q$12),"BOTH","UX"),IF(AND($H34&lt;&gt;"",$H34&lt;=EOMONTH(Q$12,0),$I34&gt;=Q$12),"DEV","")))</f>
        <v>DEV</v>
      </c>
      <c r="R34" s="173" t="str">
        <f ca="1">IF($AI34="","",IF(INDEX('Roadmap Calc (Don’t Touch)'!$AA$2:$AX$151,$AI34,9)&gt;0,IF(AND($H34&lt;&gt;"",$H34&lt;=EOMONTH(R$12,0),$I34&gt;=R$12),"BOTH","UX"),IF(AND($H34&lt;&gt;"",$H34&lt;=EOMONTH(R$12,0),$I34&gt;=R$12),"DEV","")))</f>
        <v/>
      </c>
      <c r="S34" s="173" t="str">
        <f ca="1">IF($AI34="","",IF(INDEX('Roadmap Calc (Don’t Touch)'!$AA$2:$AX$151,$AI34,10)&gt;0,IF(AND($H34&lt;&gt;"",$H34&lt;=EOMONTH(S$12,0),$I34&gt;=S$12),"BOTH","UX"),IF(AND($H34&lt;&gt;"",$H34&lt;=EOMONTH(S$12,0),$I34&gt;=S$12),"DEV","")))</f>
        <v/>
      </c>
      <c r="T34" s="173" t="str">
        <f ca="1">IF($AI34="","",IF(INDEX('Roadmap Calc (Don’t Touch)'!$AA$2:$AX$151,$AI34,11)&gt;0,IF(AND($H34&lt;&gt;"",$H34&lt;=EOMONTH(T$12,0),$I34&gt;=T$12),"BOTH","UX"),IF(AND($H34&lt;&gt;"",$H34&lt;=EOMONTH(T$12,0),$I34&gt;=T$12),"DEV","")))</f>
        <v/>
      </c>
      <c r="U34" s="173" t="str">
        <f ca="1">IF($AI34="","",IF(INDEX('Roadmap Calc (Don’t Touch)'!$AA$2:$AX$151,$AI34,12)&gt;0,IF(AND($H34&lt;&gt;"",$H34&lt;=EOMONTH(U$12,0),$I34&gt;=U$12),"BOTH","UX"),IF(AND($H34&lt;&gt;"",$H34&lt;=EOMONTH(U$12,0),$I34&gt;=U$12),"DEV","")))</f>
        <v/>
      </c>
      <c r="V34" s="173" t="str">
        <f ca="1">IF($AI34="","",IF(INDEX('Roadmap Calc (Don’t Touch)'!$AA$2:$AX$151,$AI34,13)&gt;0,IF(AND($H34&lt;&gt;"",$H34&lt;=EOMONTH(V$12,0),$I34&gt;=V$12),"BOTH","UX"),IF(AND($H34&lt;&gt;"",$H34&lt;=EOMONTH(V$12,0),$I34&gt;=V$12),"DEV","")))</f>
        <v/>
      </c>
      <c r="W34" s="173" t="str">
        <f ca="1">IF($AI34="","",IF(INDEX('Roadmap Calc (Don’t Touch)'!$AA$2:$AX$151,$AI34,14)&gt;0,IF(AND($H34&lt;&gt;"",$H34&lt;=EOMONTH(W$12,0),$I34&gt;=W$12),"BOTH","UX"),IF(AND($H34&lt;&gt;"",$H34&lt;=EOMONTH(W$12,0),$I34&gt;=W$12),"DEV","")))</f>
        <v/>
      </c>
      <c r="X34" s="173" t="str">
        <f ca="1">IF($AI34="","",IF(INDEX('Roadmap Calc (Don’t Touch)'!$AA$2:$AX$151,$AI34,15)&gt;0,IF(AND($H34&lt;&gt;"",$H34&lt;=EOMONTH(X$12,0),$I34&gt;=X$12),"BOTH","UX"),IF(AND($H34&lt;&gt;"",$H34&lt;=EOMONTH(X$12,0),$I34&gt;=X$12),"DEV","")))</f>
        <v/>
      </c>
      <c r="Y34" s="173" t="str">
        <f ca="1">IF($AI34="","",IF(INDEX('Roadmap Calc (Don’t Touch)'!$AA$2:$AX$151,$AI34,16)&gt;0,IF(AND($H34&lt;&gt;"",$H34&lt;=EOMONTH(Y$12,0),$I34&gt;=Y$12),"BOTH","UX"),IF(AND($H34&lt;&gt;"",$H34&lt;=EOMONTH(Y$12,0),$I34&gt;=Y$12),"DEV","")))</f>
        <v/>
      </c>
      <c r="Z34" s="173" t="str">
        <f ca="1">IF($AI34="","",IF(INDEX('Roadmap Calc (Don’t Touch)'!$AA$2:$AX$151,$AI34,17)&gt;0,IF(AND($H34&lt;&gt;"",$H34&lt;=EOMONTH(Z$12,0),$I34&gt;=Z$12),"BOTH","UX"),IF(AND($H34&lt;&gt;"",$H34&lt;=EOMONTH(Z$12,0),$I34&gt;=Z$12),"DEV","")))</f>
        <v/>
      </c>
      <c r="AA34" s="173" t="str">
        <f ca="1">IF($AI34="","",IF(INDEX('Roadmap Calc (Don’t Touch)'!$AA$2:$AX$151,$AI34,18)&gt;0,IF(AND($H34&lt;&gt;"",$H34&lt;=EOMONTH(AA$12,0),$I34&gt;=AA$12),"BOTH","UX"),IF(AND($H34&lt;&gt;"",$H34&lt;=EOMONTH(AA$12,0),$I34&gt;=AA$12),"DEV","")))</f>
        <v/>
      </c>
      <c r="AB34" s="173" t="str">
        <f ca="1">IF($AI34="","",IF(INDEX('Roadmap Calc (Don’t Touch)'!$AA$2:$AX$151,$AI34,19)&gt;0,IF(AND($H34&lt;&gt;"",$H34&lt;=EOMONTH(AB$12,0),$I34&gt;=AB$12),"BOTH","UX"),IF(AND($H34&lt;&gt;"",$H34&lt;=EOMONTH(AB$12,0),$I34&gt;=AB$12),"DEV","")))</f>
        <v/>
      </c>
      <c r="AC34" s="173" t="str">
        <f ca="1">IF($AI34="","",IF(INDEX('Roadmap Calc (Don’t Touch)'!$AA$2:$AX$151,$AI34,20)&gt;0,IF(AND($H34&lt;&gt;"",$H34&lt;=EOMONTH(AC$12,0),$I34&gt;=AC$12),"BOTH","UX"),IF(AND($H34&lt;&gt;"",$H34&lt;=EOMONTH(AC$12,0),$I34&gt;=AC$12),"DEV","")))</f>
        <v/>
      </c>
      <c r="AD34" s="173" t="str">
        <f ca="1">IF($AI34="","",IF(INDEX('Roadmap Calc (Don’t Touch)'!$AA$2:$AX$151,$AI34,21)&gt;0,IF(AND($H34&lt;&gt;"",$H34&lt;=EOMONTH(AD$12,0),$I34&gt;=AD$12),"BOTH","UX"),IF(AND($H34&lt;&gt;"",$H34&lt;=EOMONTH(AD$12,0),$I34&gt;=AD$12),"DEV","")))</f>
        <v/>
      </c>
      <c r="AE34" s="173" t="str">
        <f ca="1">IF($AI34="","",IF(INDEX('Roadmap Calc (Don’t Touch)'!$AA$2:$AX$151,$AI34,22)&gt;0,IF(AND($H34&lt;&gt;"",$H34&lt;=EOMONTH(AE$12,0),$I34&gt;=AE$12),"BOTH","UX"),IF(AND($H34&lt;&gt;"",$H34&lt;=EOMONTH(AE$12,0),$I34&gt;=AE$12),"DEV","")))</f>
        <v/>
      </c>
      <c r="AF34" s="173" t="str">
        <f ca="1">IF($AI34="","",IF(INDEX('Roadmap Calc (Don’t Touch)'!$AA$2:$AX$151,$AI34,23)&gt;0,IF(AND($H34&lt;&gt;"",$H34&lt;=EOMONTH(AF$12,0),$I34&gt;=AF$12),"BOTH","UX"),IF(AND($H34&lt;&gt;"",$H34&lt;=EOMONTH(AF$12,0),$I34&gt;=AF$12),"DEV","")))</f>
        <v/>
      </c>
      <c r="AG34" s="173" t="str">
        <f ca="1">IF($AI34="","",IF(INDEX('Roadmap Calc (Don’t Touch)'!$AA$2:$AX$151,$AI34,24)&gt;0,IF(AND($H34&lt;&gt;"",$H34&lt;=EOMONTH(AG$12,0),$I34&gt;=AG$12),"BOTH","UX"),IF(AND($H34&lt;&gt;"",$H34&lt;=EOMONTH(AG$12,0),$I34&gt;=AG$12),"DEV","")))</f>
        <v/>
      </c>
      <c r="AH34" s="160" t="str">
        <f>IF($AI34="","",INDEX('Roadmap Calc (Don’t Touch)'!$D$2:$D$151,$AI34))</f>
        <v>Increase Buy Used Awareness</v>
      </c>
      <c r="AI34" s="160">
        <f>IFERROR(MATCH(19,'Roadmap Calc (Don’t Touch)'!$O$2:$O$151,0),"")</f>
        <v>36</v>
      </c>
      <c r="AJ34" s="160"/>
      <c r="AK34" s="160"/>
      <c r="AL34" s="160"/>
      <c r="AM34" s="160"/>
    </row>
    <row r="35" spans="1:39" ht="20" customHeight="1" x14ac:dyDescent="0.25">
      <c r="A35" s="214" t="str">
        <f>IF($AI35="","",IF($AH35=$AH34,"",IF(INDEX('Roadmap Calc (Don’t Touch)'!$U$2:$U$151,$AI35)=0,$AH35,HYPERLINK("#'Control (Don’t Touch)'!E"&amp;INDEX('Roadmap Calc (Don’t Touch)'!$U$2:$U$151,$AI35),$AH35))))</f>
        <v/>
      </c>
      <c r="B35" s="174" t="str">
        <f>IF($AI35="","",IF(INDEX('Roadmap Calc (Don’t Touch)'!$K$2:$K$151,$AI35)="",INDEX('Roadmap Calc (Don’t Touch)'!$B$2:$B$151,$AI35),HYPERLINK("https://jira.bnh.com/browse/"&amp;INDEX('Roadmap Calc (Don’t Touch)'!$K$2:$K$151,$AI35),INDEX('Roadmap Calc (Don’t Touch)'!$B$2:$B$151,$AI35))))</f>
        <v>Used Hub Enhancements</v>
      </c>
      <c r="C35" s="174" t="str">
        <f>IF($AI35="","",IF(INDEX('Roadmap Calc (Don’t Touch)'!$E$2:$E$151,$AI35)="","",HYPERLINK("https://jira.bnh.com/browse/"&amp;INDEX('Roadmap Calc (Don’t Touch)'!$E$2:$E$151,$AI35),INDEX('Roadmap Calc (Don’t Touch)'!$E$2:$E$151,$AI35))))</f>
        <v>BHUX-31354 </v>
      </c>
      <c r="D35" s="176" t="str">
        <f>IF($AI35="","",INDEX('Roadmap Calc (Don’t Touch)'!$F$2:$F$151,$AI35))</f>
        <v>13. Live</v>
      </c>
      <c r="E35" s="170" t="str">
        <f>IF($AI35="","",IF(ISNUMBER(INDEX('Roadmap Calc (Don’t Touch)'!$G$2:$G$151,$AI35)),INDEX('Roadmap Calc (Don’t Touch)'!$G$2:$G$151,$AI35),""))</f>
        <v/>
      </c>
      <c r="F35" s="170" t="str">
        <f>IF($AI35="","",IF(ISNUMBER(INDEX('Roadmap Calc (Don’t Touch)'!$H$2:$H$151,$AI35)),INDEX('Roadmap Calc (Don’t Touch)'!$H$2:$H$151,$AI35),""))</f>
        <v/>
      </c>
      <c r="G35" s="171">
        <f>IF($AI35="","",INDEX('Roadmap Calc (Don’t Touch)'!$T$2:$T$151,$AI35))</f>
        <v>0</v>
      </c>
      <c r="H35" s="172" t="str">
        <f ca="1">IF($AI35="","",IF(ISNUMBER(INDEX('Roadmap Calc (Don’t Touch)'!$I$2:$I$151,$AI35)),INDEX('Roadmap Calc (Don’t Touch)'!$I$2:$I$151,$AI35),""))</f>
        <v/>
      </c>
      <c r="I35" s="172" t="str">
        <f ca="1">IF($AI35="","",IF(ISNUMBER(INDEX('Roadmap Calc (Don’t Touch)'!$J$2:$J$151,$AI35)),INDEX('Roadmap Calc (Don’t Touch)'!$J$2:$J$151,$AI35),""))</f>
        <v/>
      </c>
      <c r="J35" s="173" t="str">
        <f ca="1">IF($AI35="","",IF(INDEX('Roadmap Calc (Don’t Touch)'!$AA$2:$AX$151,$AI35,1)&gt;0,IF(AND($H35&lt;&gt;"",$H35&lt;=EOMONTH(J$12,0),$I35&gt;=J$12),"BOTH","UX"),IF(AND($H35&lt;&gt;"",$H35&lt;=EOMONTH(J$12,0),$I35&gt;=J$12),"DEV","")))</f>
        <v/>
      </c>
      <c r="K35" s="173" t="str">
        <f ca="1">IF($AI35="","",IF(INDEX('Roadmap Calc (Don’t Touch)'!$AA$2:$AX$151,$AI35,2)&gt;0,IF(AND($H35&lt;&gt;"",$H35&lt;=EOMONTH(K$12,0),$I35&gt;=K$12),"BOTH","UX"),IF(AND($H35&lt;&gt;"",$H35&lt;=EOMONTH(K$12,0),$I35&gt;=K$12),"DEV","")))</f>
        <v/>
      </c>
      <c r="L35" s="173" t="str">
        <f ca="1">IF($AI35="","",IF(INDEX('Roadmap Calc (Don’t Touch)'!$AA$2:$AX$151,$AI35,3)&gt;0,IF(AND($H35&lt;&gt;"",$H35&lt;=EOMONTH(L$12,0),$I35&gt;=L$12),"BOTH","UX"),IF(AND($H35&lt;&gt;"",$H35&lt;=EOMONTH(L$12,0),$I35&gt;=L$12),"DEV","")))</f>
        <v/>
      </c>
      <c r="M35" s="173" t="str">
        <f ca="1">IF($AI35="","",IF(INDEX('Roadmap Calc (Don’t Touch)'!$AA$2:$AX$151,$AI35,4)&gt;0,IF(AND($H35&lt;&gt;"",$H35&lt;=EOMONTH(M$12,0),$I35&gt;=M$12),"BOTH","UX"),IF(AND($H35&lt;&gt;"",$H35&lt;=EOMONTH(M$12,0),$I35&gt;=M$12),"DEV","")))</f>
        <v/>
      </c>
      <c r="N35" s="173" t="str">
        <f ca="1">IF($AI35="","",IF(INDEX('Roadmap Calc (Don’t Touch)'!$AA$2:$AX$151,$AI35,5)&gt;0,IF(AND($H35&lt;&gt;"",$H35&lt;=EOMONTH(N$12,0),$I35&gt;=N$12),"BOTH","UX"),IF(AND($H35&lt;&gt;"",$H35&lt;=EOMONTH(N$12,0),$I35&gt;=N$12),"DEV","")))</f>
        <v/>
      </c>
      <c r="O35" s="173" t="str">
        <f ca="1">IF($AI35="","",IF(INDEX('Roadmap Calc (Don’t Touch)'!$AA$2:$AX$151,$AI35,6)&gt;0,IF(AND($H35&lt;&gt;"",$H35&lt;=EOMONTH(O$12,0),$I35&gt;=O$12),"BOTH","UX"),IF(AND($H35&lt;&gt;"",$H35&lt;=EOMONTH(O$12,0),$I35&gt;=O$12),"DEV","")))</f>
        <v/>
      </c>
      <c r="P35" s="173" t="str">
        <f ca="1">IF($AI35="","",IF(INDEX('Roadmap Calc (Don’t Touch)'!$AA$2:$AX$151,$AI35,7)&gt;0,IF(AND($H35&lt;&gt;"",$H35&lt;=EOMONTH(P$12,0),$I35&gt;=P$12),"BOTH","UX"),IF(AND($H35&lt;&gt;"",$H35&lt;=EOMONTH(P$12,0),$I35&gt;=P$12),"DEV","")))</f>
        <v/>
      </c>
      <c r="Q35" s="173" t="str">
        <f ca="1">IF($AI35="","",IF(INDEX('Roadmap Calc (Don’t Touch)'!$AA$2:$AX$151,$AI35,8)&gt;0,IF(AND($H35&lt;&gt;"",$H35&lt;=EOMONTH(Q$12,0),$I35&gt;=Q$12),"BOTH","UX"),IF(AND($H35&lt;&gt;"",$H35&lt;=EOMONTH(Q$12,0),$I35&gt;=Q$12),"DEV","")))</f>
        <v/>
      </c>
      <c r="R35" s="173" t="str">
        <f ca="1">IF($AI35="","",IF(INDEX('Roadmap Calc (Don’t Touch)'!$AA$2:$AX$151,$AI35,9)&gt;0,IF(AND($H35&lt;&gt;"",$H35&lt;=EOMONTH(R$12,0),$I35&gt;=R$12),"BOTH","UX"),IF(AND($H35&lt;&gt;"",$H35&lt;=EOMONTH(R$12,0),$I35&gt;=R$12),"DEV","")))</f>
        <v/>
      </c>
      <c r="S35" s="173" t="str">
        <f ca="1">IF($AI35="","",IF(INDEX('Roadmap Calc (Don’t Touch)'!$AA$2:$AX$151,$AI35,10)&gt;0,IF(AND($H35&lt;&gt;"",$H35&lt;=EOMONTH(S$12,0),$I35&gt;=S$12),"BOTH","UX"),IF(AND($H35&lt;&gt;"",$H35&lt;=EOMONTH(S$12,0),$I35&gt;=S$12),"DEV","")))</f>
        <v/>
      </c>
      <c r="T35" s="173" t="str">
        <f ca="1">IF($AI35="","",IF(INDEX('Roadmap Calc (Don’t Touch)'!$AA$2:$AX$151,$AI35,11)&gt;0,IF(AND($H35&lt;&gt;"",$H35&lt;=EOMONTH(T$12,0),$I35&gt;=T$12),"BOTH","UX"),IF(AND($H35&lt;&gt;"",$H35&lt;=EOMONTH(T$12,0),$I35&gt;=T$12),"DEV","")))</f>
        <v/>
      </c>
      <c r="U35" s="173" t="str">
        <f ca="1">IF($AI35="","",IF(INDEX('Roadmap Calc (Don’t Touch)'!$AA$2:$AX$151,$AI35,12)&gt;0,IF(AND($H35&lt;&gt;"",$H35&lt;=EOMONTH(U$12,0),$I35&gt;=U$12),"BOTH","UX"),IF(AND($H35&lt;&gt;"",$H35&lt;=EOMONTH(U$12,0),$I35&gt;=U$12),"DEV","")))</f>
        <v/>
      </c>
      <c r="V35" s="173" t="str">
        <f ca="1">IF($AI35="","",IF(INDEX('Roadmap Calc (Don’t Touch)'!$AA$2:$AX$151,$AI35,13)&gt;0,IF(AND($H35&lt;&gt;"",$H35&lt;=EOMONTH(V$12,0),$I35&gt;=V$12),"BOTH","UX"),IF(AND($H35&lt;&gt;"",$H35&lt;=EOMONTH(V$12,0),$I35&gt;=V$12),"DEV","")))</f>
        <v/>
      </c>
      <c r="W35" s="173" t="str">
        <f ca="1">IF($AI35="","",IF(INDEX('Roadmap Calc (Don’t Touch)'!$AA$2:$AX$151,$AI35,14)&gt;0,IF(AND($H35&lt;&gt;"",$H35&lt;=EOMONTH(W$12,0),$I35&gt;=W$12),"BOTH","UX"),IF(AND($H35&lt;&gt;"",$H35&lt;=EOMONTH(W$12,0),$I35&gt;=W$12),"DEV","")))</f>
        <v/>
      </c>
      <c r="X35" s="173" t="str">
        <f ca="1">IF($AI35="","",IF(INDEX('Roadmap Calc (Don’t Touch)'!$AA$2:$AX$151,$AI35,15)&gt;0,IF(AND($H35&lt;&gt;"",$H35&lt;=EOMONTH(X$12,0),$I35&gt;=X$12),"BOTH","UX"),IF(AND($H35&lt;&gt;"",$H35&lt;=EOMONTH(X$12,0),$I35&gt;=X$12),"DEV","")))</f>
        <v/>
      </c>
      <c r="Y35" s="173" t="str">
        <f ca="1">IF($AI35="","",IF(INDEX('Roadmap Calc (Don’t Touch)'!$AA$2:$AX$151,$AI35,16)&gt;0,IF(AND($H35&lt;&gt;"",$H35&lt;=EOMONTH(Y$12,0),$I35&gt;=Y$12),"BOTH","UX"),IF(AND($H35&lt;&gt;"",$H35&lt;=EOMONTH(Y$12,0),$I35&gt;=Y$12),"DEV","")))</f>
        <v/>
      </c>
      <c r="Z35" s="173" t="str">
        <f ca="1">IF($AI35="","",IF(INDEX('Roadmap Calc (Don’t Touch)'!$AA$2:$AX$151,$AI35,17)&gt;0,IF(AND($H35&lt;&gt;"",$H35&lt;=EOMONTH(Z$12,0),$I35&gt;=Z$12),"BOTH","UX"),IF(AND($H35&lt;&gt;"",$H35&lt;=EOMONTH(Z$12,0),$I35&gt;=Z$12),"DEV","")))</f>
        <v/>
      </c>
      <c r="AA35" s="173" t="str">
        <f ca="1">IF($AI35="","",IF(INDEX('Roadmap Calc (Don’t Touch)'!$AA$2:$AX$151,$AI35,18)&gt;0,IF(AND($H35&lt;&gt;"",$H35&lt;=EOMONTH(AA$12,0),$I35&gt;=AA$12),"BOTH","UX"),IF(AND($H35&lt;&gt;"",$H35&lt;=EOMONTH(AA$12,0),$I35&gt;=AA$12),"DEV","")))</f>
        <v/>
      </c>
      <c r="AB35" s="173" t="str">
        <f ca="1">IF($AI35="","",IF(INDEX('Roadmap Calc (Don’t Touch)'!$AA$2:$AX$151,$AI35,19)&gt;0,IF(AND($H35&lt;&gt;"",$H35&lt;=EOMONTH(AB$12,0),$I35&gt;=AB$12),"BOTH","UX"),IF(AND($H35&lt;&gt;"",$H35&lt;=EOMONTH(AB$12,0),$I35&gt;=AB$12),"DEV","")))</f>
        <v/>
      </c>
      <c r="AC35" s="173" t="str">
        <f ca="1">IF($AI35="","",IF(INDEX('Roadmap Calc (Don’t Touch)'!$AA$2:$AX$151,$AI35,20)&gt;0,IF(AND($H35&lt;&gt;"",$H35&lt;=EOMONTH(AC$12,0),$I35&gt;=AC$12),"BOTH","UX"),IF(AND($H35&lt;&gt;"",$H35&lt;=EOMONTH(AC$12,0),$I35&gt;=AC$12),"DEV","")))</f>
        <v/>
      </c>
      <c r="AD35" s="173" t="str">
        <f ca="1">IF($AI35="","",IF(INDEX('Roadmap Calc (Don’t Touch)'!$AA$2:$AX$151,$AI35,21)&gt;0,IF(AND($H35&lt;&gt;"",$H35&lt;=EOMONTH(AD$12,0),$I35&gt;=AD$12),"BOTH","UX"),IF(AND($H35&lt;&gt;"",$H35&lt;=EOMONTH(AD$12,0),$I35&gt;=AD$12),"DEV","")))</f>
        <v/>
      </c>
      <c r="AE35" s="173" t="str">
        <f ca="1">IF($AI35="","",IF(INDEX('Roadmap Calc (Don’t Touch)'!$AA$2:$AX$151,$AI35,22)&gt;0,IF(AND($H35&lt;&gt;"",$H35&lt;=EOMONTH(AE$12,0),$I35&gt;=AE$12),"BOTH","UX"),IF(AND($H35&lt;&gt;"",$H35&lt;=EOMONTH(AE$12,0),$I35&gt;=AE$12),"DEV","")))</f>
        <v/>
      </c>
      <c r="AF35" s="173" t="str">
        <f ca="1">IF($AI35="","",IF(INDEX('Roadmap Calc (Don’t Touch)'!$AA$2:$AX$151,$AI35,23)&gt;0,IF(AND($H35&lt;&gt;"",$H35&lt;=EOMONTH(AF$12,0),$I35&gt;=AF$12),"BOTH","UX"),IF(AND($H35&lt;&gt;"",$H35&lt;=EOMONTH(AF$12,0),$I35&gt;=AF$12),"DEV","")))</f>
        <v/>
      </c>
      <c r="AG35" s="173" t="str">
        <f ca="1">IF($AI35="","",IF(INDEX('Roadmap Calc (Don’t Touch)'!$AA$2:$AX$151,$AI35,24)&gt;0,IF(AND($H35&lt;&gt;"",$H35&lt;=EOMONTH(AG$12,0),$I35&gt;=AG$12),"BOTH","UX"),IF(AND($H35&lt;&gt;"",$H35&lt;=EOMONTH(AG$12,0),$I35&gt;=AG$12),"DEV","")))</f>
        <v/>
      </c>
      <c r="AH35" s="160" t="str">
        <f>IF($AI35="","",INDEX('Roadmap Calc (Don’t Touch)'!$D$2:$D$151,$AI35))</f>
        <v>Increase Buy Used Awareness</v>
      </c>
      <c r="AI35" s="160">
        <f>IFERROR(MATCH(20,'Roadmap Calc (Don’t Touch)'!$O$2:$O$151,0),"")</f>
        <v>45</v>
      </c>
      <c r="AJ35" s="160"/>
      <c r="AK35" s="160"/>
      <c r="AL35" s="160"/>
      <c r="AM35" s="160"/>
    </row>
    <row r="36" spans="1:39" ht="20" customHeight="1" x14ac:dyDescent="0.25">
      <c r="A36" s="214" t="str">
        <f>IF($AI36="","",IF($AH36=$AH35,"",IF(INDEX('Roadmap Calc (Don’t Touch)'!$U$2:$U$151,$AI36)=0,$AH36,HYPERLINK("#'Control (Don’t Touch)'!E"&amp;INDEX('Roadmap Calc (Don’t Touch)'!$U$2:$U$151,$AI36),$AH36))))</f>
        <v>Improve Buy Used Customer Experience</v>
      </c>
      <c r="B36" s="174" t="str">
        <f>IF($AI36="","",IF(INDEX('Roadmap Calc (Don’t Touch)'!$K$2:$K$151,$AI36)="",INDEX('Roadmap Calc (Don’t Touch)'!$B$2:$B$151,$AI36),HYPERLINK("https://jira.bnh.com/browse/"&amp;INDEX('Roadmap Calc (Don’t Touch)'!$K$2:$K$151,$AI36),INDEX('Roadmap Calc (Don’t Touch)'!$B$2:$B$151,$AI36))))</f>
        <v>New Condition Rating Scale</v>
      </c>
      <c r="C36" s="174" t="str">
        <f>IF($AI36="","",IF(INDEX('Roadmap Calc (Don’t Touch)'!$E$2:$E$151,$AI36)="","",HYPERLINK("https://jira.bnh.com/browse/"&amp;INDEX('Roadmap Calc (Don’t Touch)'!$E$2:$E$151,$AI36),INDEX('Roadmap Calc (Don’t Touch)'!$E$2:$E$151,$AI36))))</f>
        <v>BHUX-33510</v>
      </c>
      <c r="D36" s="176" t="str">
        <f>IF($AI36="","",INDEX('Roadmap Calc (Don’t Touch)'!$F$2:$F$151,$AI36))</f>
        <v>00. Parking Lot</v>
      </c>
      <c r="E36" s="170">
        <f>IF($AI36="","",IF(ISNUMBER(INDEX('Roadmap Calc (Don’t Touch)'!$G$2:$G$151,$AI36)),INDEX('Roadmap Calc (Don’t Touch)'!$G$2:$G$151,$AI36),""))</f>
        <v>46174</v>
      </c>
      <c r="F36" s="170">
        <f>IF($AI36="","",IF(ISNUMBER(INDEX('Roadmap Calc (Don’t Touch)'!$H$2:$H$151,$AI36)),INDEX('Roadmap Calc (Don’t Touch)'!$H$2:$H$151,$AI36),""))</f>
        <v>46188</v>
      </c>
      <c r="G36" s="171">
        <f>IF($AI36="","",INDEX('Roadmap Calc (Don’t Touch)'!$T$2:$T$151,$AI36))</f>
        <v>3</v>
      </c>
      <c r="H36" s="172">
        <f ca="1">IF($AI36="","",IF(ISNUMBER(INDEX('Roadmap Calc (Don’t Touch)'!$I$2:$I$151,$AI36)),INDEX('Roadmap Calc (Don’t Touch)'!$I$2:$I$151,$AI36),""))</f>
        <v>46388</v>
      </c>
      <c r="I36" s="172">
        <f ca="1">IF($AI36="","",IF(ISNUMBER(INDEX('Roadmap Calc (Don’t Touch)'!$J$2:$J$151,$AI36)),INDEX('Roadmap Calc (Don’t Touch)'!$J$2:$J$151,$AI36),""))</f>
        <v>46418</v>
      </c>
      <c r="J36" s="173" t="str">
        <f ca="1">IF($AI36="","",IF(INDEX('Roadmap Calc (Don’t Touch)'!$AA$2:$AX$151,$AI36,1)&gt;0,IF(AND($H36&lt;&gt;"",$H36&lt;=EOMONTH(J$12,0),$I36&gt;=J$12),"BOTH","UX"),IF(AND($H36&lt;&gt;"",$H36&lt;=EOMONTH(J$12,0),$I36&gt;=J$12),"DEV","")))</f>
        <v/>
      </c>
      <c r="K36" s="173" t="str">
        <f ca="1">IF($AI36="","",IF(INDEX('Roadmap Calc (Don’t Touch)'!$AA$2:$AX$151,$AI36,2)&gt;0,IF(AND($H36&lt;&gt;"",$H36&lt;=EOMONTH(K$12,0),$I36&gt;=K$12),"BOTH","UX"),IF(AND($H36&lt;&gt;"",$H36&lt;=EOMONTH(K$12,0),$I36&gt;=K$12),"DEV","")))</f>
        <v/>
      </c>
      <c r="L36" s="173" t="str">
        <f ca="1">IF($AI36="","",IF(INDEX('Roadmap Calc (Don’t Touch)'!$AA$2:$AX$151,$AI36,3)&gt;0,IF(AND($H36&lt;&gt;"",$H36&lt;=EOMONTH(L$12,0),$I36&gt;=L$12),"BOTH","UX"),IF(AND($H36&lt;&gt;"",$H36&lt;=EOMONTH(L$12,0),$I36&gt;=L$12),"DEV","")))</f>
        <v/>
      </c>
      <c r="M36" s="173" t="str">
        <f ca="1">IF($AI36="","",IF(INDEX('Roadmap Calc (Don’t Touch)'!$AA$2:$AX$151,$AI36,4)&gt;0,IF(AND($H36&lt;&gt;"",$H36&lt;=EOMONTH(M$12,0),$I36&gt;=M$12),"BOTH","UX"),IF(AND($H36&lt;&gt;"",$H36&lt;=EOMONTH(M$12,0),$I36&gt;=M$12),"DEV","")))</f>
        <v/>
      </c>
      <c r="N36" s="173" t="str">
        <f ca="1">IF($AI36="","",IF(INDEX('Roadmap Calc (Don’t Touch)'!$AA$2:$AX$151,$AI36,5)&gt;0,IF(AND($H36&lt;&gt;"",$H36&lt;=EOMONTH(N$12,0),$I36&gt;=N$12),"BOTH","UX"),IF(AND($H36&lt;&gt;"",$H36&lt;=EOMONTH(N$12,0),$I36&gt;=N$12),"DEV","")))</f>
        <v/>
      </c>
      <c r="O36" s="173" t="str">
        <f ca="1">IF($AI36="","",IF(INDEX('Roadmap Calc (Don’t Touch)'!$AA$2:$AX$151,$AI36,6)&gt;0,IF(AND($H36&lt;&gt;"",$H36&lt;=EOMONTH(O$12,0),$I36&gt;=O$12),"BOTH","UX"),IF(AND($H36&lt;&gt;"",$H36&lt;=EOMONTH(O$12,0),$I36&gt;=O$12),"DEV","")))</f>
        <v>UX</v>
      </c>
      <c r="P36" s="173" t="str">
        <f ca="1">IF($AI36="","",IF(INDEX('Roadmap Calc (Don’t Touch)'!$AA$2:$AX$151,$AI36,7)&gt;0,IF(AND($H36&lt;&gt;"",$H36&lt;=EOMONTH(P$12,0),$I36&gt;=P$12),"BOTH","UX"),IF(AND($H36&lt;&gt;"",$H36&lt;=EOMONTH(P$12,0),$I36&gt;=P$12),"DEV","")))</f>
        <v/>
      </c>
      <c r="Q36" s="173" t="str">
        <f ca="1">IF($AI36="","",IF(INDEX('Roadmap Calc (Don’t Touch)'!$AA$2:$AX$151,$AI36,8)&gt;0,IF(AND($H36&lt;&gt;"",$H36&lt;=EOMONTH(Q$12,0),$I36&gt;=Q$12),"BOTH","UX"),IF(AND($H36&lt;&gt;"",$H36&lt;=EOMONTH(Q$12,0),$I36&gt;=Q$12),"DEV","")))</f>
        <v/>
      </c>
      <c r="R36" s="173" t="str">
        <f ca="1">IF($AI36="","",IF(INDEX('Roadmap Calc (Don’t Touch)'!$AA$2:$AX$151,$AI36,9)&gt;0,IF(AND($H36&lt;&gt;"",$H36&lt;=EOMONTH(R$12,0),$I36&gt;=R$12),"BOTH","UX"),IF(AND($H36&lt;&gt;"",$H36&lt;=EOMONTH(R$12,0),$I36&gt;=R$12),"DEV","")))</f>
        <v/>
      </c>
      <c r="S36" s="173" t="str">
        <f ca="1">IF($AI36="","",IF(INDEX('Roadmap Calc (Don’t Touch)'!$AA$2:$AX$151,$AI36,10)&gt;0,IF(AND($H36&lt;&gt;"",$H36&lt;=EOMONTH(S$12,0),$I36&gt;=S$12),"BOTH","UX"),IF(AND($H36&lt;&gt;"",$H36&lt;=EOMONTH(S$12,0),$I36&gt;=S$12),"DEV","")))</f>
        <v/>
      </c>
      <c r="T36" s="173" t="str">
        <f ca="1">IF($AI36="","",IF(INDEX('Roadmap Calc (Don’t Touch)'!$AA$2:$AX$151,$AI36,11)&gt;0,IF(AND($H36&lt;&gt;"",$H36&lt;=EOMONTH(T$12,0),$I36&gt;=T$12),"BOTH","UX"),IF(AND($H36&lt;&gt;"",$H36&lt;=EOMONTH(T$12,0),$I36&gt;=T$12),"DEV","")))</f>
        <v/>
      </c>
      <c r="U36" s="173" t="str">
        <f ca="1">IF($AI36="","",IF(INDEX('Roadmap Calc (Don’t Touch)'!$AA$2:$AX$151,$AI36,12)&gt;0,IF(AND($H36&lt;&gt;"",$H36&lt;=EOMONTH(U$12,0),$I36&gt;=U$12),"BOTH","UX"),IF(AND($H36&lt;&gt;"",$H36&lt;=EOMONTH(U$12,0),$I36&gt;=U$12),"DEV","")))</f>
        <v/>
      </c>
      <c r="V36" s="173" t="str">
        <f ca="1">IF($AI36="","",IF(INDEX('Roadmap Calc (Don’t Touch)'!$AA$2:$AX$151,$AI36,13)&gt;0,IF(AND($H36&lt;&gt;"",$H36&lt;=EOMONTH(V$12,0),$I36&gt;=V$12),"BOTH","UX"),IF(AND($H36&lt;&gt;"",$H36&lt;=EOMONTH(V$12,0),$I36&gt;=V$12),"DEV","")))</f>
        <v>DEV</v>
      </c>
      <c r="W36" s="173" t="str">
        <f ca="1">IF($AI36="","",IF(INDEX('Roadmap Calc (Don’t Touch)'!$AA$2:$AX$151,$AI36,14)&gt;0,IF(AND($H36&lt;&gt;"",$H36&lt;=EOMONTH(W$12,0),$I36&gt;=W$12),"BOTH","UX"),IF(AND($H36&lt;&gt;"",$H36&lt;=EOMONTH(W$12,0),$I36&gt;=W$12),"DEV","")))</f>
        <v/>
      </c>
      <c r="X36" s="173" t="str">
        <f ca="1">IF($AI36="","",IF(INDEX('Roadmap Calc (Don’t Touch)'!$AA$2:$AX$151,$AI36,15)&gt;0,IF(AND($H36&lt;&gt;"",$H36&lt;=EOMONTH(X$12,0),$I36&gt;=X$12),"BOTH","UX"),IF(AND($H36&lt;&gt;"",$H36&lt;=EOMONTH(X$12,0),$I36&gt;=X$12),"DEV","")))</f>
        <v/>
      </c>
      <c r="Y36" s="173" t="str">
        <f ca="1">IF($AI36="","",IF(INDEX('Roadmap Calc (Don’t Touch)'!$AA$2:$AX$151,$AI36,16)&gt;0,IF(AND($H36&lt;&gt;"",$H36&lt;=EOMONTH(Y$12,0),$I36&gt;=Y$12),"BOTH","UX"),IF(AND($H36&lt;&gt;"",$H36&lt;=EOMONTH(Y$12,0),$I36&gt;=Y$12),"DEV","")))</f>
        <v/>
      </c>
      <c r="Z36" s="173" t="str">
        <f ca="1">IF($AI36="","",IF(INDEX('Roadmap Calc (Don’t Touch)'!$AA$2:$AX$151,$AI36,17)&gt;0,IF(AND($H36&lt;&gt;"",$H36&lt;=EOMONTH(Z$12,0),$I36&gt;=Z$12),"BOTH","UX"),IF(AND($H36&lt;&gt;"",$H36&lt;=EOMONTH(Z$12,0),$I36&gt;=Z$12),"DEV","")))</f>
        <v/>
      </c>
      <c r="AA36" s="173" t="str">
        <f ca="1">IF($AI36="","",IF(INDEX('Roadmap Calc (Don’t Touch)'!$AA$2:$AX$151,$AI36,18)&gt;0,IF(AND($H36&lt;&gt;"",$H36&lt;=EOMONTH(AA$12,0),$I36&gt;=AA$12),"BOTH","UX"),IF(AND($H36&lt;&gt;"",$H36&lt;=EOMONTH(AA$12,0),$I36&gt;=AA$12),"DEV","")))</f>
        <v/>
      </c>
      <c r="AB36" s="173" t="str">
        <f ca="1">IF($AI36="","",IF(INDEX('Roadmap Calc (Don’t Touch)'!$AA$2:$AX$151,$AI36,19)&gt;0,IF(AND($H36&lt;&gt;"",$H36&lt;=EOMONTH(AB$12,0),$I36&gt;=AB$12),"BOTH","UX"),IF(AND($H36&lt;&gt;"",$H36&lt;=EOMONTH(AB$12,0),$I36&gt;=AB$12),"DEV","")))</f>
        <v/>
      </c>
      <c r="AC36" s="173" t="str">
        <f ca="1">IF($AI36="","",IF(INDEX('Roadmap Calc (Don’t Touch)'!$AA$2:$AX$151,$AI36,20)&gt;0,IF(AND($H36&lt;&gt;"",$H36&lt;=EOMONTH(AC$12,0),$I36&gt;=AC$12),"BOTH","UX"),IF(AND($H36&lt;&gt;"",$H36&lt;=EOMONTH(AC$12,0),$I36&gt;=AC$12),"DEV","")))</f>
        <v/>
      </c>
      <c r="AD36" s="173" t="str">
        <f ca="1">IF($AI36="","",IF(INDEX('Roadmap Calc (Don’t Touch)'!$AA$2:$AX$151,$AI36,21)&gt;0,IF(AND($H36&lt;&gt;"",$H36&lt;=EOMONTH(AD$12,0),$I36&gt;=AD$12),"BOTH","UX"),IF(AND($H36&lt;&gt;"",$H36&lt;=EOMONTH(AD$12,0),$I36&gt;=AD$12),"DEV","")))</f>
        <v/>
      </c>
      <c r="AE36" s="173" t="str">
        <f ca="1">IF($AI36="","",IF(INDEX('Roadmap Calc (Don’t Touch)'!$AA$2:$AX$151,$AI36,22)&gt;0,IF(AND($H36&lt;&gt;"",$H36&lt;=EOMONTH(AE$12,0),$I36&gt;=AE$12),"BOTH","UX"),IF(AND($H36&lt;&gt;"",$H36&lt;=EOMONTH(AE$12,0),$I36&gt;=AE$12),"DEV","")))</f>
        <v/>
      </c>
      <c r="AF36" s="173" t="str">
        <f ca="1">IF($AI36="","",IF(INDEX('Roadmap Calc (Don’t Touch)'!$AA$2:$AX$151,$AI36,23)&gt;0,IF(AND($H36&lt;&gt;"",$H36&lt;=EOMONTH(AF$12,0),$I36&gt;=AF$12),"BOTH","UX"),IF(AND($H36&lt;&gt;"",$H36&lt;=EOMONTH(AF$12,0),$I36&gt;=AF$12),"DEV","")))</f>
        <v/>
      </c>
      <c r="AG36" s="173" t="str">
        <f ca="1">IF($AI36="","",IF(INDEX('Roadmap Calc (Don’t Touch)'!$AA$2:$AX$151,$AI36,24)&gt;0,IF(AND($H36&lt;&gt;"",$H36&lt;=EOMONTH(AG$12,0),$I36&gt;=AG$12),"BOTH","UX"),IF(AND($H36&lt;&gt;"",$H36&lt;=EOMONTH(AG$12,0),$I36&gt;=AG$12),"DEV","")))</f>
        <v/>
      </c>
      <c r="AH36" s="160" t="str">
        <f>IF($AI36="","",INDEX('Roadmap Calc (Don’t Touch)'!$D$2:$D$151,$AI36))</f>
        <v>Improve Buy Used Customer Experience</v>
      </c>
      <c r="AI36" s="160">
        <f>IFERROR(MATCH(21,'Roadmap Calc (Don’t Touch)'!$O$2:$O$151,0),"")</f>
        <v>1</v>
      </c>
      <c r="AJ36" s="160"/>
      <c r="AK36" s="160"/>
      <c r="AL36" s="160"/>
      <c r="AM36" s="160"/>
    </row>
    <row r="37" spans="1:39" ht="20" customHeight="1" x14ac:dyDescent="0.25">
      <c r="A37" s="214" t="str">
        <f>IF($AI37="","",IF($AH37=$AH36,"",IF(INDEX('Roadmap Calc (Don’t Touch)'!$U$2:$U$151,$AI37)=0,$AH37,HYPERLINK("#'Control (Don’t Touch)'!E"&amp;INDEX('Roadmap Calc (Don’t Touch)'!$U$2:$U$151,$AI37),$AH37))))</f>
        <v/>
      </c>
      <c r="B37" s="174" t="str">
        <f>IF($AI37="","",IF(INDEX('Roadmap Calc (Don’t Touch)'!$K$2:$K$151,$AI37)="",INDEX('Roadmap Calc (Don’t Touch)'!$B$2:$B$151,$AI37),HYPERLINK("https://jira.bnh.com/browse/"&amp;INDEX('Roadmap Calc (Don’t Touch)'!$K$2:$K$151,$AI37),INDEX('Roadmap Calc (Don’t Touch)'!$B$2:$B$151,$AI37))))</f>
        <v>New Condition Rating Scale (Intermediate Step)</v>
      </c>
      <c r="C37" s="174" t="str">
        <f>IF($AI37="","",IF(INDEX('Roadmap Calc (Don’t Touch)'!$E$2:$E$151,$AI37)="","",HYPERLINK("https://jira.bnh.com/browse/"&amp;INDEX('Roadmap Calc (Don’t Touch)'!$E$2:$E$151,$AI37),INDEX('Roadmap Calc (Don’t Touch)'!$E$2:$E$151,$AI37))))</f>
        <v>BHJ-121278</v>
      </c>
      <c r="D37" s="176" t="str">
        <f>IF($AI37="","",INDEX('Roadmap Calc (Don’t Touch)'!$F$2:$F$151,$AI37))</f>
        <v>07. Grooming</v>
      </c>
      <c r="E37" s="170" t="str">
        <f>IF($AI37="","",IF(ISNUMBER(INDEX('Roadmap Calc (Don’t Touch)'!$G$2:$G$151,$AI37)),INDEX('Roadmap Calc (Don’t Touch)'!$G$2:$G$151,$AI37),""))</f>
        <v/>
      </c>
      <c r="F37" s="170" t="str">
        <f>IF($AI37="","",IF(ISNUMBER(INDEX('Roadmap Calc (Don’t Touch)'!$H$2:$H$151,$AI37)),INDEX('Roadmap Calc (Don’t Touch)'!$H$2:$H$151,$AI37),""))</f>
        <v/>
      </c>
      <c r="G37" s="171">
        <f>IF($AI37="","",INDEX('Roadmap Calc (Don’t Touch)'!$T$2:$T$151,$AI37))</f>
        <v>0</v>
      </c>
      <c r="H37" s="172">
        <f ca="1">IF($AI37="","",IF(ISNUMBER(INDEX('Roadmap Calc (Don’t Touch)'!$I$2:$I$151,$AI37)),INDEX('Roadmap Calc (Don’t Touch)'!$I$2:$I$151,$AI37),""))</f>
        <v>46296</v>
      </c>
      <c r="I37" s="172">
        <f ca="1">IF($AI37="","",IF(ISNUMBER(INDEX('Roadmap Calc (Don’t Touch)'!$J$2:$J$151,$AI37)),INDEX('Roadmap Calc (Don’t Touch)'!$J$2:$J$151,$AI37),""))</f>
        <v>46326</v>
      </c>
      <c r="J37" s="173" t="str">
        <f ca="1">IF($AI37="","",IF(INDEX('Roadmap Calc (Don’t Touch)'!$AA$2:$AX$151,$AI37,1)&gt;0,IF(AND($H37&lt;&gt;"",$H37&lt;=EOMONTH(J$12,0),$I37&gt;=J$12),"BOTH","UX"),IF(AND($H37&lt;&gt;"",$H37&lt;=EOMONTH(J$12,0),$I37&gt;=J$12),"DEV","")))</f>
        <v/>
      </c>
      <c r="K37" s="173" t="str">
        <f ca="1">IF($AI37="","",IF(INDEX('Roadmap Calc (Don’t Touch)'!$AA$2:$AX$151,$AI37,2)&gt;0,IF(AND($H37&lt;&gt;"",$H37&lt;=EOMONTH(K$12,0),$I37&gt;=K$12),"BOTH","UX"),IF(AND($H37&lt;&gt;"",$H37&lt;=EOMONTH(K$12,0),$I37&gt;=K$12),"DEV","")))</f>
        <v/>
      </c>
      <c r="L37" s="173" t="str">
        <f ca="1">IF($AI37="","",IF(INDEX('Roadmap Calc (Don’t Touch)'!$AA$2:$AX$151,$AI37,3)&gt;0,IF(AND($H37&lt;&gt;"",$H37&lt;=EOMONTH(L$12,0),$I37&gt;=L$12),"BOTH","UX"),IF(AND($H37&lt;&gt;"",$H37&lt;=EOMONTH(L$12,0),$I37&gt;=L$12),"DEV","")))</f>
        <v/>
      </c>
      <c r="M37" s="173" t="str">
        <f ca="1">IF($AI37="","",IF(INDEX('Roadmap Calc (Don’t Touch)'!$AA$2:$AX$151,$AI37,4)&gt;0,IF(AND($H37&lt;&gt;"",$H37&lt;=EOMONTH(M$12,0),$I37&gt;=M$12),"BOTH","UX"),IF(AND($H37&lt;&gt;"",$H37&lt;=EOMONTH(M$12,0),$I37&gt;=M$12),"DEV","")))</f>
        <v/>
      </c>
      <c r="N37" s="173" t="str">
        <f ca="1">IF($AI37="","",IF(INDEX('Roadmap Calc (Don’t Touch)'!$AA$2:$AX$151,$AI37,5)&gt;0,IF(AND($H37&lt;&gt;"",$H37&lt;=EOMONTH(N$12,0),$I37&gt;=N$12),"BOTH","UX"),IF(AND($H37&lt;&gt;"",$H37&lt;=EOMONTH(N$12,0),$I37&gt;=N$12),"DEV","")))</f>
        <v/>
      </c>
      <c r="O37" s="173" t="str">
        <f ca="1">IF($AI37="","",IF(INDEX('Roadmap Calc (Don’t Touch)'!$AA$2:$AX$151,$AI37,6)&gt;0,IF(AND($H37&lt;&gt;"",$H37&lt;=EOMONTH(O$12,0),$I37&gt;=O$12),"BOTH","UX"),IF(AND($H37&lt;&gt;"",$H37&lt;=EOMONTH(O$12,0),$I37&gt;=O$12),"DEV","")))</f>
        <v/>
      </c>
      <c r="P37" s="173" t="str">
        <f ca="1">IF($AI37="","",IF(INDEX('Roadmap Calc (Don’t Touch)'!$AA$2:$AX$151,$AI37,7)&gt;0,IF(AND($H37&lt;&gt;"",$H37&lt;=EOMONTH(P$12,0),$I37&gt;=P$12),"BOTH","UX"),IF(AND($H37&lt;&gt;"",$H37&lt;=EOMONTH(P$12,0),$I37&gt;=P$12),"DEV","")))</f>
        <v/>
      </c>
      <c r="Q37" s="173" t="str">
        <f ca="1">IF($AI37="","",IF(INDEX('Roadmap Calc (Don’t Touch)'!$AA$2:$AX$151,$AI37,8)&gt;0,IF(AND($H37&lt;&gt;"",$H37&lt;=EOMONTH(Q$12,0),$I37&gt;=Q$12),"BOTH","UX"),IF(AND($H37&lt;&gt;"",$H37&lt;=EOMONTH(Q$12,0),$I37&gt;=Q$12),"DEV","")))</f>
        <v/>
      </c>
      <c r="R37" s="173" t="str">
        <f ca="1">IF($AI37="","",IF(INDEX('Roadmap Calc (Don’t Touch)'!$AA$2:$AX$151,$AI37,9)&gt;0,IF(AND($H37&lt;&gt;"",$H37&lt;=EOMONTH(R$12,0),$I37&gt;=R$12),"BOTH","UX"),IF(AND($H37&lt;&gt;"",$H37&lt;=EOMONTH(R$12,0),$I37&gt;=R$12),"DEV","")))</f>
        <v/>
      </c>
      <c r="S37" s="173" t="str">
        <f ca="1">IF($AI37="","",IF(INDEX('Roadmap Calc (Don’t Touch)'!$AA$2:$AX$151,$AI37,10)&gt;0,IF(AND($H37&lt;&gt;"",$H37&lt;=EOMONTH(S$12,0),$I37&gt;=S$12),"BOTH","UX"),IF(AND($H37&lt;&gt;"",$H37&lt;=EOMONTH(S$12,0),$I37&gt;=S$12),"DEV","")))</f>
        <v>DEV</v>
      </c>
      <c r="T37" s="173" t="str">
        <f ca="1">IF($AI37="","",IF(INDEX('Roadmap Calc (Don’t Touch)'!$AA$2:$AX$151,$AI37,11)&gt;0,IF(AND($H37&lt;&gt;"",$H37&lt;=EOMONTH(T$12,0),$I37&gt;=T$12),"BOTH","UX"),IF(AND($H37&lt;&gt;"",$H37&lt;=EOMONTH(T$12,0),$I37&gt;=T$12),"DEV","")))</f>
        <v/>
      </c>
      <c r="U37" s="173" t="str">
        <f ca="1">IF($AI37="","",IF(INDEX('Roadmap Calc (Don’t Touch)'!$AA$2:$AX$151,$AI37,12)&gt;0,IF(AND($H37&lt;&gt;"",$H37&lt;=EOMONTH(U$12,0),$I37&gt;=U$12),"BOTH","UX"),IF(AND($H37&lt;&gt;"",$H37&lt;=EOMONTH(U$12,0),$I37&gt;=U$12),"DEV","")))</f>
        <v/>
      </c>
      <c r="V37" s="173" t="str">
        <f ca="1">IF($AI37="","",IF(INDEX('Roadmap Calc (Don’t Touch)'!$AA$2:$AX$151,$AI37,13)&gt;0,IF(AND($H37&lt;&gt;"",$H37&lt;=EOMONTH(V$12,0),$I37&gt;=V$12),"BOTH","UX"),IF(AND($H37&lt;&gt;"",$H37&lt;=EOMONTH(V$12,0),$I37&gt;=V$12),"DEV","")))</f>
        <v/>
      </c>
      <c r="W37" s="173" t="str">
        <f ca="1">IF($AI37="","",IF(INDEX('Roadmap Calc (Don’t Touch)'!$AA$2:$AX$151,$AI37,14)&gt;0,IF(AND($H37&lt;&gt;"",$H37&lt;=EOMONTH(W$12,0),$I37&gt;=W$12),"BOTH","UX"),IF(AND($H37&lt;&gt;"",$H37&lt;=EOMONTH(W$12,0),$I37&gt;=W$12),"DEV","")))</f>
        <v/>
      </c>
      <c r="X37" s="173" t="str">
        <f ca="1">IF($AI37="","",IF(INDEX('Roadmap Calc (Don’t Touch)'!$AA$2:$AX$151,$AI37,15)&gt;0,IF(AND($H37&lt;&gt;"",$H37&lt;=EOMONTH(X$12,0),$I37&gt;=X$12),"BOTH","UX"),IF(AND($H37&lt;&gt;"",$H37&lt;=EOMONTH(X$12,0),$I37&gt;=X$12),"DEV","")))</f>
        <v/>
      </c>
      <c r="Y37" s="173" t="str">
        <f ca="1">IF($AI37="","",IF(INDEX('Roadmap Calc (Don’t Touch)'!$AA$2:$AX$151,$AI37,16)&gt;0,IF(AND($H37&lt;&gt;"",$H37&lt;=EOMONTH(Y$12,0),$I37&gt;=Y$12),"BOTH","UX"),IF(AND($H37&lt;&gt;"",$H37&lt;=EOMONTH(Y$12,0),$I37&gt;=Y$12),"DEV","")))</f>
        <v/>
      </c>
      <c r="Z37" s="173" t="str">
        <f ca="1">IF($AI37="","",IF(INDEX('Roadmap Calc (Don’t Touch)'!$AA$2:$AX$151,$AI37,17)&gt;0,IF(AND($H37&lt;&gt;"",$H37&lt;=EOMONTH(Z$12,0),$I37&gt;=Z$12),"BOTH","UX"),IF(AND($H37&lt;&gt;"",$H37&lt;=EOMONTH(Z$12,0),$I37&gt;=Z$12),"DEV","")))</f>
        <v/>
      </c>
      <c r="AA37" s="173" t="str">
        <f ca="1">IF($AI37="","",IF(INDEX('Roadmap Calc (Don’t Touch)'!$AA$2:$AX$151,$AI37,18)&gt;0,IF(AND($H37&lt;&gt;"",$H37&lt;=EOMONTH(AA$12,0),$I37&gt;=AA$12),"BOTH","UX"),IF(AND($H37&lt;&gt;"",$H37&lt;=EOMONTH(AA$12,0),$I37&gt;=AA$12),"DEV","")))</f>
        <v/>
      </c>
      <c r="AB37" s="173" t="str">
        <f ca="1">IF($AI37="","",IF(INDEX('Roadmap Calc (Don’t Touch)'!$AA$2:$AX$151,$AI37,19)&gt;0,IF(AND($H37&lt;&gt;"",$H37&lt;=EOMONTH(AB$12,0),$I37&gt;=AB$12),"BOTH","UX"),IF(AND($H37&lt;&gt;"",$H37&lt;=EOMONTH(AB$12,0),$I37&gt;=AB$12),"DEV","")))</f>
        <v/>
      </c>
      <c r="AC37" s="173" t="str">
        <f ca="1">IF($AI37="","",IF(INDEX('Roadmap Calc (Don’t Touch)'!$AA$2:$AX$151,$AI37,20)&gt;0,IF(AND($H37&lt;&gt;"",$H37&lt;=EOMONTH(AC$12,0),$I37&gt;=AC$12),"BOTH","UX"),IF(AND($H37&lt;&gt;"",$H37&lt;=EOMONTH(AC$12,0),$I37&gt;=AC$12),"DEV","")))</f>
        <v/>
      </c>
      <c r="AD37" s="173" t="str">
        <f ca="1">IF($AI37="","",IF(INDEX('Roadmap Calc (Don’t Touch)'!$AA$2:$AX$151,$AI37,21)&gt;0,IF(AND($H37&lt;&gt;"",$H37&lt;=EOMONTH(AD$12,0),$I37&gt;=AD$12),"BOTH","UX"),IF(AND($H37&lt;&gt;"",$H37&lt;=EOMONTH(AD$12,0),$I37&gt;=AD$12),"DEV","")))</f>
        <v/>
      </c>
      <c r="AE37" s="173" t="str">
        <f ca="1">IF($AI37="","",IF(INDEX('Roadmap Calc (Don’t Touch)'!$AA$2:$AX$151,$AI37,22)&gt;0,IF(AND($H37&lt;&gt;"",$H37&lt;=EOMONTH(AE$12,0),$I37&gt;=AE$12),"BOTH","UX"),IF(AND($H37&lt;&gt;"",$H37&lt;=EOMONTH(AE$12,0),$I37&gt;=AE$12),"DEV","")))</f>
        <v/>
      </c>
      <c r="AF37" s="173" t="str">
        <f ca="1">IF($AI37="","",IF(INDEX('Roadmap Calc (Don’t Touch)'!$AA$2:$AX$151,$AI37,23)&gt;0,IF(AND($H37&lt;&gt;"",$H37&lt;=EOMONTH(AF$12,0),$I37&gt;=AF$12),"BOTH","UX"),IF(AND($H37&lt;&gt;"",$H37&lt;=EOMONTH(AF$12,0),$I37&gt;=AF$12),"DEV","")))</f>
        <v/>
      </c>
      <c r="AG37" s="173" t="str">
        <f ca="1">IF($AI37="","",IF(INDEX('Roadmap Calc (Don’t Touch)'!$AA$2:$AX$151,$AI37,24)&gt;0,IF(AND($H37&lt;&gt;"",$H37&lt;=EOMONTH(AG$12,0),$I37&gt;=AG$12),"BOTH","UX"),IF(AND($H37&lt;&gt;"",$H37&lt;=EOMONTH(AG$12,0),$I37&gt;=AG$12),"DEV","")))</f>
        <v/>
      </c>
      <c r="AH37" s="160" t="str">
        <f>IF($AI37="","",INDEX('Roadmap Calc (Don’t Touch)'!$D$2:$D$151,$AI37))</f>
        <v>Improve Buy Used Customer Experience</v>
      </c>
      <c r="AI37" s="160">
        <f>IFERROR(MATCH(22,'Roadmap Calc (Don’t Touch)'!$O$2:$O$151,0),"")</f>
        <v>30</v>
      </c>
      <c r="AJ37" s="160"/>
      <c r="AK37" s="160"/>
      <c r="AL37" s="160"/>
      <c r="AM37" s="160"/>
    </row>
    <row r="38" spans="1:39" ht="20" customHeight="1" x14ac:dyDescent="0.25">
      <c r="A38" s="214" t="str">
        <f>IF($AI38="","",IF($AH38=$AH37,"",IF(INDEX('Roadmap Calc (Don’t Touch)'!$U$2:$U$151,$AI38)=0,$AH38,HYPERLINK("#'Control (Don’t Touch)'!E"&amp;INDEX('Roadmap Calc (Don’t Touch)'!$U$2:$U$151,$AI38),$AH38))))</f>
        <v/>
      </c>
      <c r="B38" s="174" t="str">
        <f>IF($AI38="","",IF(INDEX('Roadmap Calc (Don’t Touch)'!$K$2:$K$151,$AI38)="",INDEX('Roadmap Calc (Don’t Touch)'!$B$2:$B$151,$AI38),HYPERLINK("https://jira.bnh.com/browse/"&amp;INDEX('Roadmap Calc (Don’t Touch)'!$K$2:$K$151,$AI38),INDEX('Roadmap Calc (Don’t Touch)'!$B$2:$B$151,$AI38))))</f>
        <v>Actual Used Images</v>
      </c>
      <c r="C38" s="174" t="str">
        <f>IF($AI38="","",IF(INDEX('Roadmap Calc (Don’t Touch)'!$E$2:$E$151,$AI38)="","",HYPERLINK("https://jira.bnh.com/browse/"&amp;INDEX('Roadmap Calc (Don’t Touch)'!$E$2:$E$151,$AI38),INDEX('Roadmap Calc (Don’t Touch)'!$E$2:$E$151,$AI38))))</f>
        <v>BHP-4563</v>
      </c>
      <c r="D38" s="176" t="str">
        <f>IF($AI38="","",INDEX('Roadmap Calc (Don’t Touch)'!$F$2:$F$151,$AI38))</f>
        <v>13. Live</v>
      </c>
      <c r="E38" s="170" t="str">
        <f>IF($AI38="","",IF(ISNUMBER(INDEX('Roadmap Calc (Don’t Touch)'!$G$2:$G$151,$AI38)),INDEX('Roadmap Calc (Don’t Touch)'!$G$2:$G$151,$AI38),""))</f>
        <v/>
      </c>
      <c r="F38" s="170" t="str">
        <f>IF($AI38="","",IF(ISNUMBER(INDEX('Roadmap Calc (Don’t Touch)'!$H$2:$H$151,$AI38)),INDEX('Roadmap Calc (Don’t Touch)'!$H$2:$H$151,$AI38),""))</f>
        <v/>
      </c>
      <c r="G38" s="171">
        <f>IF($AI38="","",INDEX('Roadmap Calc (Don’t Touch)'!$T$2:$T$151,$AI38))</f>
        <v>0</v>
      </c>
      <c r="H38" s="172" t="str">
        <f ca="1">IF($AI38="","",IF(ISNUMBER(INDEX('Roadmap Calc (Don’t Touch)'!$I$2:$I$151,$AI38)),INDEX('Roadmap Calc (Don’t Touch)'!$I$2:$I$151,$AI38),""))</f>
        <v/>
      </c>
      <c r="I38" s="172" t="str">
        <f ca="1">IF($AI38="","",IF(ISNUMBER(INDEX('Roadmap Calc (Don’t Touch)'!$J$2:$J$151,$AI38)),INDEX('Roadmap Calc (Don’t Touch)'!$J$2:$J$151,$AI38),""))</f>
        <v/>
      </c>
      <c r="J38" s="173" t="str">
        <f ca="1">IF($AI38="","",IF(INDEX('Roadmap Calc (Don’t Touch)'!$AA$2:$AX$151,$AI38,1)&gt;0,IF(AND($H38&lt;&gt;"",$H38&lt;=EOMONTH(J$12,0),$I38&gt;=J$12),"BOTH","UX"),IF(AND($H38&lt;&gt;"",$H38&lt;=EOMONTH(J$12,0),$I38&gt;=J$12),"DEV","")))</f>
        <v/>
      </c>
      <c r="K38" s="173" t="str">
        <f ca="1">IF($AI38="","",IF(INDEX('Roadmap Calc (Don’t Touch)'!$AA$2:$AX$151,$AI38,2)&gt;0,IF(AND($H38&lt;&gt;"",$H38&lt;=EOMONTH(K$12,0),$I38&gt;=K$12),"BOTH","UX"),IF(AND($H38&lt;&gt;"",$H38&lt;=EOMONTH(K$12,0),$I38&gt;=K$12),"DEV","")))</f>
        <v/>
      </c>
      <c r="L38" s="173" t="str">
        <f ca="1">IF($AI38="","",IF(INDEX('Roadmap Calc (Don’t Touch)'!$AA$2:$AX$151,$AI38,3)&gt;0,IF(AND($H38&lt;&gt;"",$H38&lt;=EOMONTH(L$12,0),$I38&gt;=L$12),"BOTH","UX"),IF(AND($H38&lt;&gt;"",$H38&lt;=EOMONTH(L$12,0),$I38&gt;=L$12),"DEV","")))</f>
        <v/>
      </c>
      <c r="M38" s="173" t="str">
        <f ca="1">IF($AI38="","",IF(INDEX('Roadmap Calc (Don’t Touch)'!$AA$2:$AX$151,$AI38,4)&gt;0,IF(AND($H38&lt;&gt;"",$H38&lt;=EOMONTH(M$12,0),$I38&gt;=M$12),"BOTH","UX"),IF(AND($H38&lt;&gt;"",$H38&lt;=EOMONTH(M$12,0),$I38&gt;=M$12),"DEV","")))</f>
        <v/>
      </c>
      <c r="N38" s="173" t="str">
        <f ca="1">IF($AI38="","",IF(INDEX('Roadmap Calc (Don’t Touch)'!$AA$2:$AX$151,$AI38,5)&gt;0,IF(AND($H38&lt;&gt;"",$H38&lt;=EOMONTH(N$12,0),$I38&gt;=N$12),"BOTH","UX"),IF(AND($H38&lt;&gt;"",$H38&lt;=EOMONTH(N$12,0),$I38&gt;=N$12),"DEV","")))</f>
        <v/>
      </c>
      <c r="O38" s="173" t="str">
        <f ca="1">IF($AI38="","",IF(INDEX('Roadmap Calc (Don’t Touch)'!$AA$2:$AX$151,$AI38,6)&gt;0,IF(AND($H38&lt;&gt;"",$H38&lt;=EOMONTH(O$12,0),$I38&gt;=O$12),"BOTH","UX"),IF(AND($H38&lt;&gt;"",$H38&lt;=EOMONTH(O$12,0),$I38&gt;=O$12),"DEV","")))</f>
        <v/>
      </c>
      <c r="P38" s="173" t="str">
        <f ca="1">IF($AI38="","",IF(INDEX('Roadmap Calc (Don’t Touch)'!$AA$2:$AX$151,$AI38,7)&gt;0,IF(AND($H38&lt;&gt;"",$H38&lt;=EOMONTH(P$12,0),$I38&gt;=P$12),"BOTH","UX"),IF(AND($H38&lt;&gt;"",$H38&lt;=EOMONTH(P$12,0),$I38&gt;=P$12),"DEV","")))</f>
        <v/>
      </c>
      <c r="Q38" s="173" t="str">
        <f ca="1">IF($AI38="","",IF(INDEX('Roadmap Calc (Don’t Touch)'!$AA$2:$AX$151,$AI38,8)&gt;0,IF(AND($H38&lt;&gt;"",$H38&lt;=EOMONTH(Q$12,0),$I38&gt;=Q$12),"BOTH","UX"),IF(AND($H38&lt;&gt;"",$H38&lt;=EOMONTH(Q$12,0),$I38&gt;=Q$12),"DEV","")))</f>
        <v/>
      </c>
      <c r="R38" s="173" t="str">
        <f ca="1">IF($AI38="","",IF(INDEX('Roadmap Calc (Don’t Touch)'!$AA$2:$AX$151,$AI38,9)&gt;0,IF(AND($H38&lt;&gt;"",$H38&lt;=EOMONTH(R$12,0),$I38&gt;=R$12),"BOTH","UX"),IF(AND($H38&lt;&gt;"",$H38&lt;=EOMONTH(R$12,0),$I38&gt;=R$12),"DEV","")))</f>
        <v/>
      </c>
      <c r="S38" s="173" t="str">
        <f ca="1">IF($AI38="","",IF(INDEX('Roadmap Calc (Don’t Touch)'!$AA$2:$AX$151,$AI38,10)&gt;0,IF(AND($H38&lt;&gt;"",$H38&lt;=EOMONTH(S$12,0),$I38&gt;=S$12),"BOTH","UX"),IF(AND($H38&lt;&gt;"",$H38&lt;=EOMONTH(S$12,0),$I38&gt;=S$12),"DEV","")))</f>
        <v/>
      </c>
      <c r="T38" s="173" t="str">
        <f ca="1">IF($AI38="","",IF(INDEX('Roadmap Calc (Don’t Touch)'!$AA$2:$AX$151,$AI38,11)&gt;0,IF(AND($H38&lt;&gt;"",$H38&lt;=EOMONTH(T$12,0),$I38&gt;=T$12),"BOTH","UX"),IF(AND($H38&lt;&gt;"",$H38&lt;=EOMONTH(T$12,0),$I38&gt;=T$12),"DEV","")))</f>
        <v/>
      </c>
      <c r="U38" s="173" t="str">
        <f ca="1">IF($AI38="","",IF(INDEX('Roadmap Calc (Don’t Touch)'!$AA$2:$AX$151,$AI38,12)&gt;0,IF(AND($H38&lt;&gt;"",$H38&lt;=EOMONTH(U$12,0),$I38&gt;=U$12),"BOTH","UX"),IF(AND($H38&lt;&gt;"",$H38&lt;=EOMONTH(U$12,0),$I38&gt;=U$12),"DEV","")))</f>
        <v/>
      </c>
      <c r="V38" s="173" t="str">
        <f ca="1">IF($AI38="","",IF(INDEX('Roadmap Calc (Don’t Touch)'!$AA$2:$AX$151,$AI38,13)&gt;0,IF(AND($H38&lt;&gt;"",$H38&lt;=EOMONTH(V$12,0),$I38&gt;=V$12),"BOTH","UX"),IF(AND($H38&lt;&gt;"",$H38&lt;=EOMONTH(V$12,0),$I38&gt;=V$12),"DEV","")))</f>
        <v/>
      </c>
      <c r="W38" s="173" t="str">
        <f ca="1">IF($AI38="","",IF(INDEX('Roadmap Calc (Don’t Touch)'!$AA$2:$AX$151,$AI38,14)&gt;0,IF(AND($H38&lt;&gt;"",$H38&lt;=EOMONTH(W$12,0),$I38&gt;=W$12),"BOTH","UX"),IF(AND($H38&lt;&gt;"",$H38&lt;=EOMONTH(W$12,0),$I38&gt;=W$12),"DEV","")))</f>
        <v/>
      </c>
      <c r="X38" s="173" t="str">
        <f ca="1">IF($AI38="","",IF(INDEX('Roadmap Calc (Don’t Touch)'!$AA$2:$AX$151,$AI38,15)&gt;0,IF(AND($H38&lt;&gt;"",$H38&lt;=EOMONTH(X$12,0),$I38&gt;=X$12),"BOTH","UX"),IF(AND($H38&lt;&gt;"",$H38&lt;=EOMONTH(X$12,0),$I38&gt;=X$12),"DEV","")))</f>
        <v/>
      </c>
      <c r="Y38" s="173" t="str">
        <f ca="1">IF($AI38="","",IF(INDEX('Roadmap Calc (Don’t Touch)'!$AA$2:$AX$151,$AI38,16)&gt;0,IF(AND($H38&lt;&gt;"",$H38&lt;=EOMONTH(Y$12,0),$I38&gt;=Y$12),"BOTH","UX"),IF(AND($H38&lt;&gt;"",$H38&lt;=EOMONTH(Y$12,0),$I38&gt;=Y$12),"DEV","")))</f>
        <v/>
      </c>
      <c r="Z38" s="173" t="str">
        <f ca="1">IF($AI38="","",IF(INDEX('Roadmap Calc (Don’t Touch)'!$AA$2:$AX$151,$AI38,17)&gt;0,IF(AND($H38&lt;&gt;"",$H38&lt;=EOMONTH(Z$12,0),$I38&gt;=Z$12),"BOTH","UX"),IF(AND($H38&lt;&gt;"",$H38&lt;=EOMONTH(Z$12,0),$I38&gt;=Z$12),"DEV","")))</f>
        <v/>
      </c>
      <c r="AA38" s="173" t="str">
        <f ca="1">IF($AI38="","",IF(INDEX('Roadmap Calc (Don’t Touch)'!$AA$2:$AX$151,$AI38,18)&gt;0,IF(AND($H38&lt;&gt;"",$H38&lt;=EOMONTH(AA$12,0),$I38&gt;=AA$12),"BOTH","UX"),IF(AND($H38&lt;&gt;"",$H38&lt;=EOMONTH(AA$12,0),$I38&gt;=AA$12),"DEV","")))</f>
        <v/>
      </c>
      <c r="AB38" s="173" t="str">
        <f ca="1">IF($AI38="","",IF(INDEX('Roadmap Calc (Don’t Touch)'!$AA$2:$AX$151,$AI38,19)&gt;0,IF(AND($H38&lt;&gt;"",$H38&lt;=EOMONTH(AB$12,0),$I38&gt;=AB$12),"BOTH","UX"),IF(AND($H38&lt;&gt;"",$H38&lt;=EOMONTH(AB$12,0),$I38&gt;=AB$12),"DEV","")))</f>
        <v/>
      </c>
      <c r="AC38" s="173" t="str">
        <f ca="1">IF($AI38="","",IF(INDEX('Roadmap Calc (Don’t Touch)'!$AA$2:$AX$151,$AI38,20)&gt;0,IF(AND($H38&lt;&gt;"",$H38&lt;=EOMONTH(AC$12,0),$I38&gt;=AC$12),"BOTH","UX"),IF(AND($H38&lt;&gt;"",$H38&lt;=EOMONTH(AC$12,0),$I38&gt;=AC$12),"DEV","")))</f>
        <v/>
      </c>
      <c r="AD38" s="173" t="str">
        <f ca="1">IF($AI38="","",IF(INDEX('Roadmap Calc (Don’t Touch)'!$AA$2:$AX$151,$AI38,21)&gt;0,IF(AND($H38&lt;&gt;"",$H38&lt;=EOMONTH(AD$12,0),$I38&gt;=AD$12),"BOTH","UX"),IF(AND($H38&lt;&gt;"",$H38&lt;=EOMONTH(AD$12,0),$I38&gt;=AD$12),"DEV","")))</f>
        <v/>
      </c>
      <c r="AE38" s="173" t="str">
        <f ca="1">IF($AI38="","",IF(INDEX('Roadmap Calc (Don’t Touch)'!$AA$2:$AX$151,$AI38,22)&gt;0,IF(AND($H38&lt;&gt;"",$H38&lt;=EOMONTH(AE$12,0),$I38&gt;=AE$12),"BOTH","UX"),IF(AND($H38&lt;&gt;"",$H38&lt;=EOMONTH(AE$12,0),$I38&gt;=AE$12),"DEV","")))</f>
        <v/>
      </c>
      <c r="AF38" s="173" t="str">
        <f ca="1">IF($AI38="","",IF(INDEX('Roadmap Calc (Don’t Touch)'!$AA$2:$AX$151,$AI38,23)&gt;0,IF(AND($H38&lt;&gt;"",$H38&lt;=EOMONTH(AF$12,0),$I38&gt;=AF$12),"BOTH","UX"),IF(AND($H38&lt;&gt;"",$H38&lt;=EOMONTH(AF$12,0),$I38&gt;=AF$12),"DEV","")))</f>
        <v/>
      </c>
      <c r="AG38" s="173" t="str">
        <f ca="1">IF($AI38="","",IF(INDEX('Roadmap Calc (Don’t Touch)'!$AA$2:$AX$151,$AI38,24)&gt;0,IF(AND($H38&lt;&gt;"",$H38&lt;=EOMONTH(AG$12,0),$I38&gt;=AG$12),"BOTH","UX"),IF(AND($H38&lt;&gt;"",$H38&lt;=EOMONTH(AG$12,0),$I38&gt;=AG$12),"DEV","")))</f>
        <v/>
      </c>
      <c r="AH38" s="160" t="str">
        <f>IF($AI38="","",INDEX('Roadmap Calc (Don’t Touch)'!$D$2:$D$151,$AI38))</f>
        <v>Improve Buy Used Customer Experience</v>
      </c>
      <c r="AI38" s="160">
        <f>IFERROR(MATCH(23,'Roadmap Calc (Don’t Touch)'!$O$2:$O$151,0),"")</f>
        <v>44</v>
      </c>
      <c r="AJ38" s="160"/>
      <c r="AK38" s="160"/>
      <c r="AL38" s="160"/>
      <c r="AM38" s="160"/>
    </row>
    <row r="39" spans="1:39" ht="20" customHeight="1" x14ac:dyDescent="0.25">
      <c r="A39" s="214" t="str">
        <f>IF($AI39="","",IF($AH39=$AH38,"",IF(INDEX('Roadmap Calc (Don’t Touch)'!$U$2:$U$151,$AI39)=0,$AH39,HYPERLINK("#'Control (Don’t Touch)'!E"&amp;INDEX('Roadmap Calc (Don’t Touch)'!$U$2:$U$151,$AI39),$AH39))))</f>
        <v/>
      </c>
      <c r="B39" s="174" t="str">
        <f>IF($AI39="","",IF(INDEX('Roadmap Calc (Don’t Touch)'!$K$2:$K$151,$AI39)="",INDEX('Roadmap Calc (Don’t Touch)'!$B$2:$B$151,$AI39),HYPERLINK("https://jira.bnh.com/browse/"&amp;INDEX('Roadmap Calc (Don’t Touch)'!$K$2:$K$151,$AI39),INDEX('Roadmap Calc (Don’t Touch)'!$B$2:$B$151,$AI39))))</f>
        <v/>
      </c>
      <c r="C39" s="174" t="str">
        <f>IF($AI39="","",IF(INDEX('Roadmap Calc (Don’t Touch)'!$E$2:$E$151,$AI39)="","",HYPERLINK("https://jira.bnh.com/browse/"&amp;INDEX('Roadmap Calc (Don’t Touch)'!$E$2:$E$151,$AI39),INDEX('Roadmap Calc (Don’t Touch)'!$E$2:$E$151,$AI39))))</f>
        <v/>
      </c>
      <c r="D39" s="176" t="str">
        <f>IF($AI39="","",INDEX('Roadmap Calc (Don’t Touch)'!$F$2:$F$151,$AI39))</f>
        <v/>
      </c>
      <c r="E39" s="170" t="str">
        <f>IF($AI39="","",IF(ISNUMBER(INDEX('Roadmap Calc (Don’t Touch)'!$G$2:$G$151,$AI39)),INDEX('Roadmap Calc (Don’t Touch)'!$G$2:$G$151,$AI39),""))</f>
        <v/>
      </c>
      <c r="F39" s="170" t="str">
        <f>IF($AI39="","",IF(ISNUMBER(INDEX('Roadmap Calc (Don’t Touch)'!$H$2:$H$151,$AI39)),INDEX('Roadmap Calc (Don’t Touch)'!$H$2:$H$151,$AI39),""))</f>
        <v/>
      </c>
      <c r="G39" s="171" t="str">
        <f>IF($AI39="","",INDEX('Roadmap Calc (Don’t Touch)'!$T$2:$T$151,$AI39))</f>
        <v/>
      </c>
      <c r="H39" s="172" t="str">
        <f>IF($AI39="","",IF(ISNUMBER(INDEX('Roadmap Calc (Don’t Touch)'!$I$2:$I$151,$AI39)),INDEX('Roadmap Calc (Don’t Touch)'!$I$2:$I$151,$AI39),""))</f>
        <v/>
      </c>
      <c r="I39" s="172" t="str">
        <f>IF($AI39="","",IF(ISNUMBER(INDEX('Roadmap Calc (Don’t Touch)'!$J$2:$J$151,$AI39)),INDEX('Roadmap Calc (Don’t Touch)'!$J$2:$J$151,$AI39),""))</f>
        <v/>
      </c>
      <c r="J39" s="173" t="str">
        <f>IF($AI39="","",IF(INDEX('Roadmap Calc (Don’t Touch)'!$AA$2:$AX$151,$AI39,1)&gt;0,IF(AND($H39&lt;&gt;"",$H39&lt;=EOMONTH(J$12,0),$I39&gt;=J$12),"BOTH","UX"),IF(AND($H39&lt;&gt;"",$H39&lt;=EOMONTH(J$12,0),$I39&gt;=J$12),"DEV","")))</f>
        <v/>
      </c>
      <c r="K39" s="173" t="str">
        <f>IF($AI39="","",IF(INDEX('Roadmap Calc (Don’t Touch)'!$AA$2:$AX$151,$AI39,2)&gt;0,IF(AND($H39&lt;&gt;"",$H39&lt;=EOMONTH(K$12,0),$I39&gt;=K$12),"BOTH","UX"),IF(AND($H39&lt;&gt;"",$H39&lt;=EOMONTH(K$12,0),$I39&gt;=K$12),"DEV","")))</f>
        <v/>
      </c>
      <c r="L39" s="173" t="str">
        <f>IF($AI39="","",IF(INDEX('Roadmap Calc (Don’t Touch)'!$AA$2:$AX$151,$AI39,3)&gt;0,IF(AND($H39&lt;&gt;"",$H39&lt;=EOMONTH(L$12,0),$I39&gt;=L$12),"BOTH","UX"),IF(AND($H39&lt;&gt;"",$H39&lt;=EOMONTH(L$12,0),$I39&gt;=L$12),"DEV","")))</f>
        <v/>
      </c>
      <c r="M39" s="173" t="str">
        <f>IF($AI39="","",IF(INDEX('Roadmap Calc (Don’t Touch)'!$AA$2:$AX$151,$AI39,4)&gt;0,IF(AND($H39&lt;&gt;"",$H39&lt;=EOMONTH(M$12,0),$I39&gt;=M$12),"BOTH","UX"),IF(AND($H39&lt;&gt;"",$H39&lt;=EOMONTH(M$12,0),$I39&gt;=M$12),"DEV","")))</f>
        <v/>
      </c>
      <c r="N39" s="173" t="str">
        <f>IF($AI39="","",IF(INDEX('Roadmap Calc (Don’t Touch)'!$AA$2:$AX$151,$AI39,5)&gt;0,IF(AND($H39&lt;&gt;"",$H39&lt;=EOMONTH(N$12,0),$I39&gt;=N$12),"BOTH","UX"),IF(AND($H39&lt;&gt;"",$H39&lt;=EOMONTH(N$12,0),$I39&gt;=N$12),"DEV","")))</f>
        <v/>
      </c>
      <c r="O39" s="173" t="str">
        <f>IF($AI39="","",IF(INDEX('Roadmap Calc (Don’t Touch)'!$AA$2:$AX$151,$AI39,6)&gt;0,IF(AND($H39&lt;&gt;"",$H39&lt;=EOMONTH(O$12,0),$I39&gt;=O$12),"BOTH","UX"),IF(AND($H39&lt;&gt;"",$H39&lt;=EOMONTH(O$12,0),$I39&gt;=O$12),"DEV","")))</f>
        <v/>
      </c>
      <c r="P39" s="173" t="str">
        <f>IF($AI39="","",IF(INDEX('Roadmap Calc (Don’t Touch)'!$AA$2:$AX$151,$AI39,7)&gt;0,IF(AND($H39&lt;&gt;"",$H39&lt;=EOMONTH(P$12,0),$I39&gt;=P$12),"BOTH","UX"),IF(AND($H39&lt;&gt;"",$H39&lt;=EOMONTH(P$12,0),$I39&gt;=P$12),"DEV","")))</f>
        <v/>
      </c>
      <c r="Q39" s="173" t="str">
        <f>IF($AI39="","",IF(INDEX('Roadmap Calc (Don’t Touch)'!$AA$2:$AX$151,$AI39,8)&gt;0,IF(AND($H39&lt;&gt;"",$H39&lt;=EOMONTH(Q$12,0),$I39&gt;=Q$12),"BOTH","UX"),IF(AND($H39&lt;&gt;"",$H39&lt;=EOMONTH(Q$12,0),$I39&gt;=Q$12),"DEV","")))</f>
        <v/>
      </c>
      <c r="R39" s="173" t="str">
        <f>IF($AI39="","",IF(INDEX('Roadmap Calc (Don’t Touch)'!$AA$2:$AX$151,$AI39,9)&gt;0,IF(AND($H39&lt;&gt;"",$H39&lt;=EOMONTH(R$12,0),$I39&gt;=R$12),"BOTH","UX"),IF(AND($H39&lt;&gt;"",$H39&lt;=EOMONTH(R$12,0),$I39&gt;=R$12),"DEV","")))</f>
        <v/>
      </c>
      <c r="S39" s="173" t="str">
        <f>IF($AI39="","",IF(INDEX('Roadmap Calc (Don’t Touch)'!$AA$2:$AX$151,$AI39,10)&gt;0,IF(AND($H39&lt;&gt;"",$H39&lt;=EOMONTH(S$12,0),$I39&gt;=S$12),"BOTH","UX"),IF(AND($H39&lt;&gt;"",$H39&lt;=EOMONTH(S$12,0),$I39&gt;=S$12),"DEV","")))</f>
        <v/>
      </c>
      <c r="T39" s="173" t="str">
        <f>IF($AI39="","",IF(INDEX('Roadmap Calc (Don’t Touch)'!$AA$2:$AX$151,$AI39,11)&gt;0,IF(AND($H39&lt;&gt;"",$H39&lt;=EOMONTH(T$12,0),$I39&gt;=T$12),"BOTH","UX"),IF(AND($H39&lt;&gt;"",$H39&lt;=EOMONTH(T$12,0),$I39&gt;=T$12),"DEV","")))</f>
        <v/>
      </c>
      <c r="U39" s="173" t="str">
        <f>IF($AI39="","",IF(INDEX('Roadmap Calc (Don’t Touch)'!$AA$2:$AX$151,$AI39,12)&gt;0,IF(AND($H39&lt;&gt;"",$H39&lt;=EOMONTH(U$12,0),$I39&gt;=U$12),"BOTH","UX"),IF(AND($H39&lt;&gt;"",$H39&lt;=EOMONTH(U$12,0),$I39&gt;=U$12),"DEV","")))</f>
        <v/>
      </c>
      <c r="V39" s="173" t="str">
        <f>IF($AI39="","",IF(INDEX('Roadmap Calc (Don’t Touch)'!$AA$2:$AX$151,$AI39,13)&gt;0,IF(AND($H39&lt;&gt;"",$H39&lt;=EOMONTH(V$12,0),$I39&gt;=V$12),"BOTH","UX"),IF(AND($H39&lt;&gt;"",$H39&lt;=EOMONTH(V$12,0),$I39&gt;=V$12),"DEV","")))</f>
        <v/>
      </c>
      <c r="W39" s="173" t="str">
        <f>IF($AI39="","",IF(INDEX('Roadmap Calc (Don’t Touch)'!$AA$2:$AX$151,$AI39,14)&gt;0,IF(AND($H39&lt;&gt;"",$H39&lt;=EOMONTH(W$12,0),$I39&gt;=W$12),"BOTH","UX"),IF(AND($H39&lt;&gt;"",$H39&lt;=EOMONTH(W$12,0),$I39&gt;=W$12),"DEV","")))</f>
        <v/>
      </c>
      <c r="X39" s="173" t="str">
        <f>IF($AI39="","",IF(INDEX('Roadmap Calc (Don’t Touch)'!$AA$2:$AX$151,$AI39,15)&gt;0,IF(AND($H39&lt;&gt;"",$H39&lt;=EOMONTH(X$12,0),$I39&gt;=X$12),"BOTH","UX"),IF(AND($H39&lt;&gt;"",$H39&lt;=EOMONTH(X$12,0),$I39&gt;=X$12),"DEV","")))</f>
        <v/>
      </c>
      <c r="Y39" s="173" t="str">
        <f>IF($AI39="","",IF(INDEX('Roadmap Calc (Don’t Touch)'!$AA$2:$AX$151,$AI39,16)&gt;0,IF(AND($H39&lt;&gt;"",$H39&lt;=EOMONTH(Y$12,0),$I39&gt;=Y$12),"BOTH","UX"),IF(AND($H39&lt;&gt;"",$H39&lt;=EOMONTH(Y$12,0),$I39&gt;=Y$12),"DEV","")))</f>
        <v/>
      </c>
      <c r="Z39" s="173" t="str">
        <f>IF($AI39="","",IF(INDEX('Roadmap Calc (Don’t Touch)'!$AA$2:$AX$151,$AI39,17)&gt;0,IF(AND($H39&lt;&gt;"",$H39&lt;=EOMONTH(Z$12,0),$I39&gt;=Z$12),"BOTH","UX"),IF(AND($H39&lt;&gt;"",$H39&lt;=EOMONTH(Z$12,0),$I39&gt;=Z$12),"DEV","")))</f>
        <v/>
      </c>
      <c r="AA39" s="173" t="str">
        <f>IF($AI39="","",IF(INDEX('Roadmap Calc (Don’t Touch)'!$AA$2:$AX$151,$AI39,18)&gt;0,IF(AND($H39&lt;&gt;"",$H39&lt;=EOMONTH(AA$12,0),$I39&gt;=AA$12),"BOTH","UX"),IF(AND($H39&lt;&gt;"",$H39&lt;=EOMONTH(AA$12,0),$I39&gt;=AA$12),"DEV","")))</f>
        <v/>
      </c>
      <c r="AB39" s="173" t="str">
        <f>IF($AI39="","",IF(INDEX('Roadmap Calc (Don’t Touch)'!$AA$2:$AX$151,$AI39,19)&gt;0,IF(AND($H39&lt;&gt;"",$H39&lt;=EOMONTH(AB$12,0),$I39&gt;=AB$12),"BOTH","UX"),IF(AND($H39&lt;&gt;"",$H39&lt;=EOMONTH(AB$12,0),$I39&gt;=AB$12),"DEV","")))</f>
        <v/>
      </c>
      <c r="AC39" s="173" t="str">
        <f>IF($AI39="","",IF(INDEX('Roadmap Calc (Don’t Touch)'!$AA$2:$AX$151,$AI39,20)&gt;0,IF(AND($H39&lt;&gt;"",$H39&lt;=EOMONTH(AC$12,0),$I39&gt;=AC$12),"BOTH","UX"),IF(AND($H39&lt;&gt;"",$H39&lt;=EOMONTH(AC$12,0),$I39&gt;=AC$12),"DEV","")))</f>
        <v/>
      </c>
      <c r="AD39" s="173" t="str">
        <f>IF($AI39="","",IF(INDEX('Roadmap Calc (Don’t Touch)'!$AA$2:$AX$151,$AI39,21)&gt;0,IF(AND($H39&lt;&gt;"",$H39&lt;=EOMONTH(AD$12,0),$I39&gt;=AD$12),"BOTH","UX"),IF(AND($H39&lt;&gt;"",$H39&lt;=EOMONTH(AD$12,0),$I39&gt;=AD$12),"DEV","")))</f>
        <v/>
      </c>
      <c r="AE39" s="173" t="str">
        <f>IF($AI39="","",IF(INDEX('Roadmap Calc (Don’t Touch)'!$AA$2:$AX$151,$AI39,22)&gt;0,IF(AND($H39&lt;&gt;"",$H39&lt;=EOMONTH(AE$12,0),$I39&gt;=AE$12),"BOTH","UX"),IF(AND($H39&lt;&gt;"",$H39&lt;=EOMONTH(AE$12,0),$I39&gt;=AE$12),"DEV","")))</f>
        <v/>
      </c>
      <c r="AF39" s="173" t="str">
        <f>IF($AI39="","",IF(INDEX('Roadmap Calc (Don’t Touch)'!$AA$2:$AX$151,$AI39,23)&gt;0,IF(AND($H39&lt;&gt;"",$H39&lt;=EOMONTH(AF$12,0),$I39&gt;=AF$12),"BOTH","UX"),IF(AND($H39&lt;&gt;"",$H39&lt;=EOMONTH(AF$12,0),$I39&gt;=AF$12),"DEV","")))</f>
        <v/>
      </c>
      <c r="AG39" s="173" t="str">
        <f>IF($AI39="","",IF(INDEX('Roadmap Calc (Don’t Touch)'!$AA$2:$AX$151,$AI39,24)&gt;0,IF(AND($H39&lt;&gt;"",$H39&lt;=EOMONTH(AG$12,0),$I39&gt;=AG$12),"BOTH","UX"),IF(AND($H39&lt;&gt;"",$H39&lt;=EOMONTH(AG$12,0),$I39&gt;=AG$12),"DEV","")))</f>
        <v/>
      </c>
      <c r="AH39" s="160" t="str">
        <f>IF($AI39="","",INDEX('Roadmap Calc (Don’t Touch)'!$D$2:$D$151,$AI39))</f>
        <v/>
      </c>
      <c r="AI39" s="160" t="str">
        <f>IFERROR(MATCH(24,'Roadmap Calc (Don’t Touch)'!$O$2:$O$151,0),"")</f>
        <v/>
      </c>
      <c r="AJ39" s="160"/>
      <c r="AK39" s="160"/>
      <c r="AL39" s="160"/>
      <c r="AM39" s="160"/>
    </row>
    <row r="40" spans="1:39" ht="20" customHeight="1" x14ac:dyDescent="0.25">
      <c r="A40" s="214" t="str">
        <f>IF($AI40="","",IF($AH40=$AH39,"",IF(INDEX('Roadmap Calc (Don’t Touch)'!$U$2:$U$151,$AI40)=0,$AH40,HYPERLINK("#'Control (Don’t Touch)'!E"&amp;INDEX('Roadmap Calc (Don’t Touch)'!$U$2:$U$151,$AI40),$AH40))))</f>
        <v/>
      </c>
      <c r="B40" s="174" t="str">
        <f>IF($AI40="","",IF(INDEX('Roadmap Calc (Don’t Touch)'!$K$2:$K$151,$AI40)="",INDEX('Roadmap Calc (Don’t Touch)'!$B$2:$B$151,$AI40),HYPERLINK("https://jira.bnh.com/browse/"&amp;INDEX('Roadmap Calc (Don’t Touch)'!$K$2:$K$151,$AI40),INDEX('Roadmap Calc (Don’t Touch)'!$B$2:$B$151,$AI40))))</f>
        <v/>
      </c>
      <c r="C40" s="174" t="str">
        <f>IF($AI40="","",IF(INDEX('Roadmap Calc (Don’t Touch)'!$E$2:$E$151,$AI40)="","",HYPERLINK("https://jira.bnh.com/browse/"&amp;INDEX('Roadmap Calc (Don’t Touch)'!$E$2:$E$151,$AI40),INDEX('Roadmap Calc (Don’t Touch)'!$E$2:$E$151,$AI40))))</f>
        <v/>
      </c>
      <c r="D40" s="176" t="str">
        <f>IF($AI40="","",INDEX('Roadmap Calc (Don’t Touch)'!$F$2:$F$151,$AI40))</f>
        <v/>
      </c>
      <c r="E40" s="170" t="str">
        <f>IF($AI40="","",IF(ISNUMBER(INDEX('Roadmap Calc (Don’t Touch)'!$G$2:$G$151,$AI40)),INDEX('Roadmap Calc (Don’t Touch)'!$G$2:$G$151,$AI40),""))</f>
        <v/>
      </c>
      <c r="F40" s="170" t="str">
        <f>IF($AI40="","",IF(ISNUMBER(INDEX('Roadmap Calc (Don’t Touch)'!$H$2:$H$151,$AI40)),INDEX('Roadmap Calc (Don’t Touch)'!$H$2:$H$151,$AI40),""))</f>
        <v/>
      </c>
      <c r="G40" s="171" t="str">
        <f>IF($AI40="","",INDEX('Roadmap Calc (Don’t Touch)'!$T$2:$T$151,$AI40))</f>
        <v/>
      </c>
      <c r="H40" s="172" t="str">
        <f>IF($AI40="","",IF(ISNUMBER(INDEX('Roadmap Calc (Don’t Touch)'!$I$2:$I$151,$AI40)),INDEX('Roadmap Calc (Don’t Touch)'!$I$2:$I$151,$AI40),""))</f>
        <v/>
      </c>
      <c r="I40" s="172" t="str">
        <f>IF($AI40="","",IF(ISNUMBER(INDEX('Roadmap Calc (Don’t Touch)'!$J$2:$J$151,$AI40)),INDEX('Roadmap Calc (Don’t Touch)'!$J$2:$J$151,$AI40),""))</f>
        <v/>
      </c>
      <c r="J40" s="173" t="str">
        <f>IF($AI40="","",IF(INDEX('Roadmap Calc (Don’t Touch)'!$AA$2:$AX$151,$AI40,1)&gt;0,IF(AND($H40&lt;&gt;"",$H40&lt;=EOMONTH(J$12,0),$I40&gt;=J$12),"BOTH","UX"),IF(AND($H40&lt;&gt;"",$H40&lt;=EOMONTH(J$12,0),$I40&gt;=J$12),"DEV","")))</f>
        <v/>
      </c>
      <c r="K40" s="173" t="str">
        <f>IF($AI40="","",IF(INDEX('Roadmap Calc (Don’t Touch)'!$AA$2:$AX$151,$AI40,2)&gt;0,IF(AND($H40&lt;&gt;"",$H40&lt;=EOMONTH(K$12,0),$I40&gt;=K$12),"BOTH","UX"),IF(AND($H40&lt;&gt;"",$H40&lt;=EOMONTH(K$12,0),$I40&gt;=K$12),"DEV","")))</f>
        <v/>
      </c>
      <c r="L40" s="173" t="str">
        <f>IF($AI40="","",IF(INDEX('Roadmap Calc (Don’t Touch)'!$AA$2:$AX$151,$AI40,3)&gt;0,IF(AND($H40&lt;&gt;"",$H40&lt;=EOMONTH(L$12,0),$I40&gt;=L$12),"BOTH","UX"),IF(AND($H40&lt;&gt;"",$H40&lt;=EOMONTH(L$12,0),$I40&gt;=L$12),"DEV","")))</f>
        <v/>
      </c>
      <c r="M40" s="173" t="str">
        <f>IF($AI40="","",IF(INDEX('Roadmap Calc (Don’t Touch)'!$AA$2:$AX$151,$AI40,4)&gt;0,IF(AND($H40&lt;&gt;"",$H40&lt;=EOMONTH(M$12,0),$I40&gt;=M$12),"BOTH","UX"),IF(AND($H40&lt;&gt;"",$H40&lt;=EOMONTH(M$12,0),$I40&gt;=M$12),"DEV","")))</f>
        <v/>
      </c>
      <c r="N40" s="173" t="str">
        <f>IF($AI40="","",IF(INDEX('Roadmap Calc (Don’t Touch)'!$AA$2:$AX$151,$AI40,5)&gt;0,IF(AND($H40&lt;&gt;"",$H40&lt;=EOMONTH(N$12,0),$I40&gt;=N$12),"BOTH","UX"),IF(AND($H40&lt;&gt;"",$H40&lt;=EOMONTH(N$12,0),$I40&gt;=N$12),"DEV","")))</f>
        <v/>
      </c>
      <c r="O40" s="173" t="str">
        <f>IF($AI40="","",IF(INDEX('Roadmap Calc (Don’t Touch)'!$AA$2:$AX$151,$AI40,6)&gt;0,IF(AND($H40&lt;&gt;"",$H40&lt;=EOMONTH(O$12,0),$I40&gt;=O$12),"BOTH","UX"),IF(AND($H40&lt;&gt;"",$H40&lt;=EOMONTH(O$12,0),$I40&gt;=O$12),"DEV","")))</f>
        <v/>
      </c>
      <c r="P40" s="173" t="str">
        <f>IF($AI40="","",IF(INDEX('Roadmap Calc (Don’t Touch)'!$AA$2:$AX$151,$AI40,7)&gt;0,IF(AND($H40&lt;&gt;"",$H40&lt;=EOMONTH(P$12,0),$I40&gt;=P$12),"BOTH","UX"),IF(AND($H40&lt;&gt;"",$H40&lt;=EOMONTH(P$12,0),$I40&gt;=P$12),"DEV","")))</f>
        <v/>
      </c>
      <c r="Q40" s="173" t="str">
        <f>IF($AI40="","",IF(INDEX('Roadmap Calc (Don’t Touch)'!$AA$2:$AX$151,$AI40,8)&gt;0,IF(AND($H40&lt;&gt;"",$H40&lt;=EOMONTH(Q$12,0),$I40&gt;=Q$12),"BOTH","UX"),IF(AND($H40&lt;&gt;"",$H40&lt;=EOMONTH(Q$12,0),$I40&gt;=Q$12),"DEV","")))</f>
        <v/>
      </c>
      <c r="R40" s="173" t="str">
        <f>IF($AI40="","",IF(INDEX('Roadmap Calc (Don’t Touch)'!$AA$2:$AX$151,$AI40,9)&gt;0,IF(AND($H40&lt;&gt;"",$H40&lt;=EOMONTH(R$12,0),$I40&gt;=R$12),"BOTH","UX"),IF(AND($H40&lt;&gt;"",$H40&lt;=EOMONTH(R$12,0),$I40&gt;=R$12),"DEV","")))</f>
        <v/>
      </c>
      <c r="S40" s="173" t="str">
        <f>IF($AI40="","",IF(INDEX('Roadmap Calc (Don’t Touch)'!$AA$2:$AX$151,$AI40,10)&gt;0,IF(AND($H40&lt;&gt;"",$H40&lt;=EOMONTH(S$12,0),$I40&gt;=S$12),"BOTH","UX"),IF(AND($H40&lt;&gt;"",$H40&lt;=EOMONTH(S$12,0),$I40&gt;=S$12),"DEV","")))</f>
        <v/>
      </c>
      <c r="T40" s="173" t="str">
        <f>IF($AI40="","",IF(INDEX('Roadmap Calc (Don’t Touch)'!$AA$2:$AX$151,$AI40,11)&gt;0,IF(AND($H40&lt;&gt;"",$H40&lt;=EOMONTH(T$12,0),$I40&gt;=T$12),"BOTH","UX"),IF(AND($H40&lt;&gt;"",$H40&lt;=EOMONTH(T$12,0),$I40&gt;=T$12),"DEV","")))</f>
        <v/>
      </c>
      <c r="U40" s="173" t="str">
        <f>IF($AI40="","",IF(INDEX('Roadmap Calc (Don’t Touch)'!$AA$2:$AX$151,$AI40,12)&gt;0,IF(AND($H40&lt;&gt;"",$H40&lt;=EOMONTH(U$12,0),$I40&gt;=U$12),"BOTH","UX"),IF(AND($H40&lt;&gt;"",$H40&lt;=EOMONTH(U$12,0),$I40&gt;=U$12),"DEV","")))</f>
        <v/>
      </c>
      <c r="V40" s="173" t="str">
        <f>IF($AI40="","",IF(INDEX('Roadmap Calc (Don’t Touch)'!$AA$2:$AX$151,$AI40,13)&gt;0,IF(AND($H40&lt;&gt;"",$H40&lt;=EOMONTH(V$12,0),$I40&gt;=V$12),"BOTH","UX"),IF(AND($H40&lt;&gt;"",$H40&lt;=EOMONTH(V$12,0),$I40&gt;=V$12),"DEV","")))</f>
        <v/>
      </c>
      <c r="W40" s="173" t="str">
        <f>IF($AI40="","",IF(INDEX('Roadmap Calc (Don’t Touch)'!$AA$2:$AX$151,$AI40,14)&gt;0,IF(AND($H40&lt;&gt;"",$H40&lt;=EOMONTH(W$12,0),$I40&gt;=W$12),"BOTH","UX"),IF(AND($H40&lt;&gt;"",$H40&lt;=EOMONTH(W$12,0),$I40&gt;=W$12),"DEV","")))</f>
        <v/>
      </c>
      <c r="X40" s="173" t="str">
        <f>IF($AI40="","",IF(INDEX('Roadmap Calc (Don’t Touch)'!$AA$2:$AX$151,$AI40,15)&gt;0,IF(AND($H40&lt;&gt;"",$H40&lt;=EOMONTH(X$12,0),$I40&gt;=X$12),"BOTH","UX"),IF(AND($H40&lt;&gt;"",$H40&lt;=EOMONTH(X$12,0),$I40&gt;=X$12),"DEV","")))</f>
        <v/>
      </c>
      <c r="Y40" s="173" t="str">
        <f>IF($AI40="","",IF(INDEX('Roadmap Calc (Don’t Touch)'!$AA$2:$AX$151,$AI40,16)&gt;0,IF(AND($H40&lt;&gt;"",$H40&lt;=EOMONTH(Y$12,0),$I40&gt;=Y$12),"BOTH","UX"),IF(AND($H40&lt;&gt;"",$H40&lt;=EOMONTH(Y$12,0),$I40&gt;=Y$12),"DEV","")))</f>
        <v/>
      </c>
      <c r="Z40" s="173" t="str">
        <f>IF($AI40="","",IF(INDEX('Roadmap Calc (Don’t Touch)'!$AA$2:$AX$151,$AI40,17)&gt;0,IF(AND($H40&lt;&gt;"",$H40&lt;=EOMONTH(Z$12,0),$I40&gt;=Z$12),"BOTH","UX"),IF(AND($H40&lt;&gt;"",$H40&lt;=EOMONTH(Z$12,0),$I40&gt;=Z$12),"DEV","")))</f>
        <v/>
      </c>
      <c r="AA40" s="173" t="str">
        <f>IF($AI40="","",IF(INDEX('Roadmap Calc (Don’t Touch)'!$AA$2:$AX$151,$AI40,18)&gt;0,IF(AND($H40&lt;&gt;"",$H40&lt;=EOMONTH(AA$12,0),$I40&gt;=AA$12),"BOTH","UX"),IF(AND($H40&lt;&gt;"",$H40&lt;=EOMONTH(AA$12,0),$I40&gt;=AA$12),"DEV","")))</f>
        <v/>
      </c>
      <c r="AB40" s="173" t="str">
        <f>IF($AI40="","",IF(INDEX('Roadmap Calc (Don’t Touch)'!$AA$2:$AX$151,$AI40,19)&gt;0,IF(AND($H40&lt;&gt;"",$H40&lt;=EOMONTH(AB$12,0),$I40&gt;=AB$12),"BOTH","UX"),IF(AND($H40&lt;&gt;"",$H40&lt;=EOMONTH(AB$12,0),$I40&gt;=AB$12),"DEV","")))</f>
        <v/>
      </c>
      <c r="AC40" s="173" t="str">
        <f>IF($AI40="","",IF(INDEX('Roadmap Calc (Don’t Touch)'!$AA$2:$AX$151,$AI40,20)&gt;0,IF(AND($H40&lt;&gt;"",$H40&lt;=EOMONTH(AC$12,0),$I40&gt;=AC$12),"BOTH","UX"),IF(AND($H40&lt;&gt;"",$H40&lt;=EOMONTH(AC$12,0),$I40&gt;=AC$12),"DEV","")))</f>
        <v/>
      </c>
      <c r="AD40" s="173" t="str">
        <f>IF($AI40="","",IF(INDEX('Roadmap Calc (Don’t Touch)'!$AA$2:$AX$151,$AI40,21)&gt;0,IF(AND($H40&lt;&gt;"",$H40&lt;=EOMONTH(AD$12,0),$I40&gt;=AD$12),"BOTH","UX"),IF(AND($H40&lt;&gt;"",$H40&lt;=EOMONTH(AD$12,0),$I40&gt;=AD$12),"DEV","")))</f>
        <v/>
      </c>
      <c r="AE40" s="173" t="str">
        <f>IF($AI40="","",IF(INDEX('Roadmap Calc (Don’t Touch)'!$AA$2:$AX$151,$AI40,22)&gt;0,IF(AND($H40&lt;&gt;"",$H40&lt;=EOMONTH(AE$12,0),$I40&gt;=AE$12),"BOTH","UX"),IF(AND($H40&lt;&gt;"",$H40&lt;=EOMONTH(AE$12,0),$I40&gt;=AE$12),"DEV","")))</f>
        <v/>
      </c>
      <c r="AF40" s="173" t="str">
        <f>IF($AI40="","",IF(INDEX('Roadmap Calc (Don’t Touch)'!$AA$2:$AX$151,$AI40,23)&gt;0,IF(AND($H40&lt;&gt;"",$H40&lt;=EOMONTH(AF$12,0),$I40&gt;=AF$12),"BOTH","UX"),IF(AND($H40&lt;&gt;"",$H40&lt;=EOMONTH(AF$12,0),$I40&gt;=AF$12),"DEV","")))</f>
        <v/>
      </c>
      <c r="AG40" s="173" t="str">
        <f>IF($AI40="","",IF(INDEX('Roadmap Calc (Don’t Touch)'!$AA$2:$AX$151,$AI40,24)&gt;0,IF(AND($H40&lt;&gt;"",$H40&lt;=EOMONTH(AG$12,0),$I40&gt;=AG$12),"BOTH","UX"),IF(AND($H40&lt;&gt;"",$H40&lt;=EOMONTH(AG$12,0),$I40&gt;=AG$12),"DEV","")))</f>
        <v/>
      </c>
      <c r="AH40" s="160" t="str">
        <f>IF($AI40="","",INDEX('Roadmap Calc (Don’t Touch)'!$D$2:$D$151,$AI40))</f>
        <v/>
      </c>
      <c r="AI40" s="160" t="str">
        <f>IFERROR(MATCH(25,'Roadmap Calc (Don’t Touch)'!$O$2:$O$151,0),"")</f>
        <v/>
      </c>
      <c r="AJ40" s="160"/>
      <c r="AK40" s="160"/>
      <c r="AL40" s="160"/>
      <c r="AM40" s="160"/>
    </row>
    <row r="41" spans="1:39" ht="20" customHeight="1" x14ac:dyDescent="0.25">
      <c r="A41" s="214" t="str">
        <f>IF($AI41="","",IF($AH41=$AH40,"",IF(INDEX('Roadmap Calc (Don’t Touch)'!$U$2:$U$151,$AI41)=0,$AH41,HYPERLINK("#'Control (Don’t Touch)'!E"&amp;INDEX('Roadmap Calc (Don’t Touch)'!$U$2:$U$151,$AI41),$AH41))))</f>
        <v/>
      </c>
      <c r="B41" s="174" t="str">
        <f>IF($AI41="","",IF(INDEX('Roadmap Calc (Don’t Touch)'!$K$2:$K$151,$AI41)="",INDEX('Roadmap Calc (Don’t Touch)'!$B$2:$B$151,$AI41),HYPERLINK("https://jira.bnh.com/browse/"&amp;INDEX('Roadmap Calc (Don’t Touch)'!$K$2:$K$151,$AI41),INDEX('Roadmap Calc (Don’t Touch)'!$B$2:$B$151,$AI41))))</f>
        <v/>
      </c>
      <c r="C41" s="174" t="str">
        <f>IF($AI41="","",IF(INDEX('Roadmap Calc (Don’t Touch)'!$E$2:$E$151,$AI41)="","",HYPERLINK("https://jira.bnh.com/browse/"&amp;INDEX('Roadmap Calc (Don’t Touch)'!$E$2:$E$151,$AI41),INDEX('Roadmap Calc (Don’t Touch)'!$E$2:$E$151,$AI41))))</f>
        <v/>
      </c>
      <c r="D41" s="176" t="str">
        <f>IF($AI41="","",INDEX('Roadmap Calc (Don’t Touch)'!$F$2:$F$151,$AI41))</f>
        <v/>
      </c>
      <c r="E41" s="170" t="str">
        <f>IF($AI41="","",IF(ISNUMBER(INDEX('Roadmap Calc (Don’t Touch)'!$G$2:$G$151,$AI41)),INDEX('Roadmap Calc (Don’t Touch)'!$G$2:$G$151,$AI41),""))</f>
        <v/>
      </c>
      <c r="F41" s="170" t="str">
        <f>IF($AI41="","",IF(ISNUMBER(INDEX('Roadmap Calc (Don’t Touch)'!$H$2:$H$151,$AI41)),INDEX('Roadmap Calc (Don’t Touch)'!$H$2:$H$151,$AI41),""))</f>
        <v/>
      </c>
      <c r="G41" s="171" t="str">
        <f>IF($AI41="","",INDEX('Roadmap Calc (Don’t Touch)'!$T$2:$T$151,$AI41))</f>
        <v/>
      </c>
      <c r="H41" s="172" t="str">
        <f>IF($AI41="","",IF(ISNUMBER(INDEX('Roadmap Calc (Don’t Touch)'!$I$2:$I$151,$AI41)),INDEX('Roadmap Calc (Don’t Touch)'!$I$2:$I$151,$AI41),""))</f>
        <v/>
      </c>
      <c r="I41" s="172" t="str">
        <f>IF($AI41="","",IF(ISNUMBER(INDEX('Roadmap Calc (Don’t Touch)'!$J$2:$J$151,$AI41)),INDEX('Roadmap Calc (Don’t Touch)'!$J$2:$J$151,$AI41),""))</f>
        <v/>
      </c>
      <c r="J41" s="173" t="str">
        <f>IF($AI41="","",IF(INDEX('Roadmap Calc (Don’t Touch)'!$AA$2:$AX$151,$AI41,1)&gt;0,IF(AND($H41&lt;&gt;"",$H41&lt;=EOMONTH(J$12,0),$I41&gt;=J$12),"BOTH","UX"),IF(AND($H41&lt;&gt;"",$H41&lt;=EOMONTH(J$12,0),$I41&gt;=J$12),"DEV","")))</f>
        <v/>
      </c>
      <c r="K41" s="173" t="str">
        <f>IF($AI41="","",IF(INDEX('Roadmap Calc (Don’t Touch)'!$AA$2:$AX$151,$AI41,2)&gt;0,IF(AND($H41&lt;&gt;"",$H41&lt;=EOMONTH(K$12,0),$I41&gt;=K$12),"BOTH","UX"),IF(AND($H41&lt;&gt;"",$H41&lt;=EOMONTH(K$12,0),$I41&gt;=K$12),"DEV","")))</f>
        <v/>
      </c>
      <c r="L41" s="173" t="str">
        <f>IF($AI41="","",IF(INDEX('Roadmap Calc (Don’t Touch)'!$AA$2:$AX$151,$AI41,3)&gt;0,IF(AND($H41&lt;&gt;"",$H41&lt;=EOMONTH(L$12,0),$I41&gt;=L$12),"BOTH","UX"),IF(AND($H41&lt;&gt;"",$H41&lt;=EOMONTH(L$12,0),$I41&gt;=L$12),"DEV","")))</f>
        <v/>
      </c>
      <c r="M41" s="173" t="str">
        <f>IF($AI41="","",IF(INDEX('Roadmap Calc (Don’t Touch)'!$AA$2:$AX$151,$AI41,4)&gt;0,IF(AND($H41&lt;&gt;"",$H41&lt;=EOMONTH(M$12,0),$I41&gt;=M$12),"BOTH","UX"),IF(AND($H41&lt;&gt;"",$H41&lt;=EOMONTH(M$12,0),$I41&gt;=M$12),"DEV","")))</f>
        <v/>
      </c>
      <c r="N41" s="173" t="str">
        <f>IF($AI41="","",IF(INDEX('Roadmap Calc (Don’t Touch)'!$AA$2:$AX$151,$AI41,5)&gt;0,IF(AND($H41&lt;&gt;"",$H41&lt;=EOMONTH(N$12,0),$I41&gt;=N$12),"BOTH","UX"),IF(AND($H41&lt;&gt;"",$H41&lt;=EOMONTH(N$12,0),$I41&gt;=N$12),"DEV","")))</f>
        <v/>
      </c>
      <c r="O41" s="173" t="str">
        <f>IF($AI41="","",IF(INDEX('Roadmap Calc (Don’t Touch)'!$AA$2:$AX$151,$AI41,6)&gt;0,IF(AND($H41&lt;&gt;"",$H41&lt;=EOMONTH(O$12,0),$I41&gt;=O$12),"BOTH","UX"),IF(AND($H41&lt;&gt;"",$H41&lt;=EOMONTH(O$12,0),$I41&gt;=O$12),"DEV","")))</f>
        <v/>
      </c>
      <c r="P41" s="173" t="str">
        <f>IF($AI41="","",IF(INDEX('Roadmap Calc (Don’t Touch)'!$AA$2:$AX$151,$AI41,7)&gt;0,IF(AND($H41&lt;&gt;"",$H41&lt;=EOMONTH(P$12,0),$I41&gt;=P$12),"BOTH","UX"),IF(AND($H41&lt;&gt;"",$H41&lt;=EOMONTH(P$12,0),$I41&gt;=P$12),"DEV","")))</f>
        <v/>
      </c>
      <c r="Q41" s="173" t="str">
        <f>IF($AI41="","",IF(INDEX('Roadmap Calc (Don’t Touch)'!$AA$2:$AX$151,$AI41,8)&gt;0,IF(AND($H41&lt;&gt;"",$H41&lt;=EOMONTH(Q$12,0),$I41&gt;=Q$12),"BOTH","UX"),IF(AND($H41&lt;&gt;"",$H41&lt;=EOMONTH(Q$12,0),$I41&gt;=Q$12),"DEV","")))</f>
        <v/>
      </c>
      <c r="R41" s="173" t="str">
        <f>IF($AI41="","",IF(INDEX('Roadmap Calc (Don’t Touch)'!$AA$2:$AX$151,$AI41,9)&gt;0,IF(AND($H41&lt;&gt;"",$H41&lt;=EOMONTH(R$12,0),$I41&gt;=R$12),"BOTH","UX"),IF(AND($H41&lt;&gt;"",$H41&lt;=EOMONTH(R$12,0),$I41&gt;=R$12),"DEV","")))</f>
        <v/>
      </c>
      <c r="S41" s="173" t="str">
        <f>IF($AI41="","",IF(INDEX('Roadmap Calc (Don’t Touch)'!$AA$2:$AX$151,$AI41,10)&gt;0,IF(AND($H41&lt;&gt;"",$H41&lt;=EOMONTH(S$12,0),$I41&gt;=S$12),"BOTH","UX"),IF(AND($H41&lt;&gt;"",$H41&lt;=EOMONTH(S$12,0),$I41&gt;=S$12),"DEV","")))</f>
        <v/>
      </c>
      <c r="T41" s="173" t="str">
        <f>IF($AI41="","",IF(INDEX('Roadmap Calc (Don’t Touch)'!$AA$2:$AX$151,$AI41,11)&gt;0,IF(AND($H41&lt;&gt;"",$H41&lt;=EOMONTH(T$12,0),$I41&gt;=T$12),"BOTH","UX"),IF(AND($H41&lt;&gt;"",$H41&lt;=EOMONTH(T$12,0),$I41&gt;=T$12),"DEV","")))</f>
        <v/>
      </c>
      <c r="U41" s="173" t="str">
        <f>IF($AI41="","",IF(INDEX('Roadmap Calc (Don’t Touch)'!$AA$2:$AX$151,$AI41,12)&gt;0,IF(AND($H41&lt;&gt;"",$H41&lt;=EOMONTH(U$12,0),$I41&gt;=U$12),"BOTH","UX"),IF(AND($H41&lt;&gt;"",$H41&lt;=EOMONTH(U$12,0),$I41&gt;=U$12),"DEV","")))</f>
        <v/>
      </c>
      <c r="V41" s="173" t="str">
        <f>IF($AI41="","",IF(INDEX('Roadmap Calc (Don’t Touch)'!$AA$2:$AX$151,$AI41,13)&gt;0,IF(AND($H41&lt;&gt;"",$H41&lt;=EOMONTH(V$12,0),$I41&gt;=V$12),"BOTH","UX"),IF(AND($H41&lt;&gt;"",$H41&lt;=EOMONTH(V$12,0),$I41&gt;=V$12),"DEV","")))</f>
        <v/>
      </c>
      <c r="W41" s="173" t="str">
        <f>IF($AI41="","",IF(INDEX('Roadmap Calc (Don’t Touch)'!$AA$2:$AX$151,$AI41,14)&gt;0,IF(AND($H41&lt;&gt;"",$H41&lt;=EOMONTH(W$12,0),$I41&gt;=W$12),"BOTH","UX"),IF(AND($H41&lt;&gt;"",$H41&lt;=EOMONTH(W$12,0),$I41&gt;=W$12),"DEV","")))</f>
        <v/>
      </c>
      <c r="X41" s="173" t="str">
        <f>IF($AI41="","",IF(INDEX('Roadmap Calc (Don’t Touch)'!$AA$2:$AX$151,$AI41,15)&gt;0,IF(AND($H41&lt;&gt;"",$H41&lt;=EOMONTH(X$12,0),$I41&gt;=X$12),"BOTH","UX"),IF(AND($H41&lt;&gt;"",$H41&lt;=EOMONTH(X$12,0),$I41&gt;=X$12),"DEV","")))</f>
        <v/>
      </c>
      <c r="Y41" s="173" t="str">
        <f>IF($AI41="","",IF(INDEX('Roadmap Calc (Don’t Touch)'!$AA$2:$AX$151,$AI41,16)&gt;0,IF(AND($H41&lt;&gt;"",$H41&lt;=EOMONTH(Y$12,0),$I41&gt;=Y$12),"BOTH","UX"),IF(AND($H41&lt;&gt;"",$H41&lt;=EOMONTH(Y$12,0),$I41&gt;=Y$12),"DEV","")))</f>
        <v/>
      </c>
      <c r="Z41" s="173" t="str">
        <f>IF($AI41="","",IF(INDEX('Roadmap Calc (Don’t Touch)'!$AA$2:$AX$151,$AI41,17)&gt;0,IF(AND($H41&lt;&gt;"",$H41&lt;=EOMONTH(Z$12,0),$I41&gt;=Z$12),"BOTH","UX"),IF(AND($H41&lt;&gt;"",$H41&lt;=EOMONTH(Z$12,0),$I41&gt;=Z$12),"DEV","")))</f>
        <v/>
      </c>
      <c r="AA41" s="173" t="str">
        <f>IF($AI41="","",IF(INDEX('Roadmap Calc (Don’t Touch)'!$AA$2:$AX$151,$AI41,18)&gt;0,IF(AND($H41&lt;&gt;"",$H41&lt;=EOMONTH(AA$12,0),$I41&gt;=AA$12),"BOTH","UX"),IF(AND($H41&lt;&gt;"",$H41&lt;=EOMONTH(AA$12,0),$I41&gt;=AA$12),"DEV","")))</f>
        <v/>
      </c>
      <c r="AB41" s="173" t="str">
        <f>IF($AI41="","",IF(INDEX('Roadmap Calc (Don’t Touch)'!$AA$2:$AX$151,$AI41,19)&gt;0,IF(AND($H41&lt;&gt;"",$H41&lt;=EOMONTH(AB$12,0),$I41&gt;=AB$12),"BOTH","UX"),IF(AND($H41&lt;&gt;"",$H41&lt;=EOMONTH(AB$12,0),$I41&gt;=AB$12),"DEV","")))</f>
        <v/>
      </c>
      <c r="AC41" s="173" t="str">
        <f>IF($AI41="","",IF(INDEX('Roadmap Calc (Don’t Touch)'!$AA$2:$AX$151,$AI41,20)&gt;0,IF(AND($H41&lt;&gt;"",$H41&lt;=EOMONTH(AC$12,0),$I41&gt;=AC$12),"BOTH","UX"),IF(AND($H41&lt;&gt;"",$H41&lt;=EOMONTH(AC$12,0),$I41&gt;=AC$12),"DEV","")))</f>
        <v/>
      </c>
      <c r="AD41" s="173" t="str">
        <f>IF($AI41="","",IF(INDEX('Roadmap Calc (Don’t Touch)'!$AA$2:$AX$151,$AI41,21)&gt;0,IF(AND($H41&lt;&gt;"",$H41&lt;=EOMONTH(AD$12,0),$I41&gt;=AD$12),"BOTH","UX"),IF(AND($H41&lt;&gt;"",$H41&lt;=EOMONTH(AD$12,0),$I41&gt;=AD$12),"DEV","")))</f>
        <v/>
      </c>
      <c r="AE41" s="173" t="str">
        <f>IF($AI41="","",IF(INDEX('Roadmap Calc (Don’t Touch)'!$AA$2:$AX$151,$AI41,22)&gt;0,IF(AND($H41&lt;&gt;"",$H41&lt;=EOMONTH(AE$12,0),$I41&gt;=AE$12),"BOTH","UX"),IF(AND($H41&lt;&gt;"",$H41&lt;=EOMONTH(AE$12,0),$I41&gt;=AE$12),"DEV","")))</f>
        <v/>
      </c>
      <c r="AF41" s="173" t="str">
        <f>IF($AI41="","",IF(INDEX('Roadmap Calc (Don’t Touch)'!$AA$2:$AX$151,$AI41,23)&gt;0,IF(AND($H41&lt;&gt;"",$H41&lt;=EOMONTH(AF$12,0),$I41&gt;=AF$12),"BOTH","UX"),IF(AND($H41&lt;&gt;"",$H41&lt;=EOMONTH(AF$12,0),$I41&gt;=AF$12),"DEV","")))</f>
        <v/>
      </c>
      <c r="AG41" s="173" t="str">
        <f>IF($AI41="","",IF(INDEX('Roadmap Calc (Don’t Touch)'!$AA$2:$AX$151,$AI41,24)&gt;0,IF(AND($H41&lt;&gt;"",$H41&lt;=EOMONTH(AG$12,0),$I41&gt;=AG$12),"BOTH","UX"),IF(AND($H41&lt;&gt;"",$H41&lt;=EOMONTH(AG$12,0),$I41&gt;=AG$12),"DEV","")))</f>
        <v/>
      </c>
      <c r="AH41" s="160" t="str">
        <f>IF($AI41="","",INDEX('Roadmap Calc (Don’t Touch)'!$D$2:$D$151,$AI41))</f>
        <v/>
      </c>
      <c r="AI41" s="160" t="str">
        <f>IFERROR(MATCH(26,'Roadmap Calc (Don’t Touch)'!$O$2:$O$151,0),"")</f>
        <v/>
      </c>
      <c r="AJ41" s="160"/>
      <c r="AK41" s="160"/>
      <c r="AL41" s="160"/>
      <c r="AM41" s="160"/>
    </row>
    <row r="42" spans="1:39" ht="20" customHeight="1" x14ac:dyDescent="0.25">
      <c r="A42" s="215" t="str">
        <f>IF($AI42="","",IF($AH42=$AH41,"",IF(INDEX('Roadmap Calc (Don’t Touch)'!$U$2:$U$151,$AI42)=0,$AH42,HYPERLINK("#'Control (Don’t Touch)'!E"&amp;INDEX('Roadmap Calc (Don’t Touch)'!$U$2:$U$151,$AI42),$AH42))))</f>
        <v/>
      </c>
      <c r="B42" s="174" t="str">
        <f>IF($AI42="","",IF(INDEX('Roadmap Calc (Don’t Touch)'!$K$2:$K$151,$AI42)="",INDEX('Roadmap Calc (Don’t Touch)'!$B$2:$B$151,$AI42),HYPERLINK("https://jira.bnh.com/browse/"&amp;INDEX('Roadmap Calc (Don’t Touch)'!$K$2:$K$151,$AI42),INDEX('Roadmap Calc (Don’t Touch)'!$B$2:$B$151,$AI42))))</f>
        <v/>
      </c>
      <c r="C42" s="174" t="str">
        <f>IF($AI42="","",IF(INDEX('Roadmap Calc (Don’t Touch)'!$E$2:$E$151,$AI42)="","",HYPERLINK("https://jira.bnh.com/browse/"&amp;INDEX('Roadmap Calc (Don’t Touch)'!$E$2:$E$151,$AI42),INDEX('Roadmap Calc (Don’t Touch)'!$E$2:$E$151,$AI42))))</f>
        <v/>
      </c>
      <c r="D42" s="176" t="str">
        <f>IF($AI42="","",INDEX('Roadmap Calc (Don’t Touch)'!$F$2:$F$151,$AI42))</f>
        <v/>
      </c>
      <c r="E42" s="170" t="str">
        <f>IF($AI42="","",IF(ISNUMBER(INDEX('Roadmap Calc (Don’t Touch)'!$G$2:$G$151,$AI42)),INDEX('Roadmap Calc (Don’t Touch)'!$G$2:$G$151,$AI42),""))</f>
        <v/>
      </c>
      <c r="F42" s="170" t="str">
        <f>IF($AI42="","",IF(ISNUMBER(INDEX('Roadmap Calc (Don’t Touch)'!$H$2:$H$151,$AI42)),INDEX('Roadmap Calc (Don’t Touch)'!$H$2:$H$151,$AI42),""))</f>
        <v/>
      </c>
      <c r="G42" s="171" t="str">
        <f>IF($AI42="","",INDEX('Roadmap Calc (Don’t Touch)'!$T$2:$T$151,$AI42))</f>
        <v/>
      </c>
      <c r="H42" s="172" t="str">
        <f>IF($AI42="","",IF(ISNUMBER(INDEX('Roadmap Calc (Don’t Touch)'!$I$2:$I$151,$AI42)),INDEX('Roadmap Calc (Don’t Touch)'!$I$2:$I$151,$AI42),""))</f>
        <v/>
      </c>
      <c r="I42" s="172" t="str">
        <f>IF($AI42="","",IF(ISNUMBER(INDEX('Roadmap Calc (Don’t Touch)'!$J$2:$J$151,$AI42)),INDEX('Roadmap Calc (Don’t Touch)'!$J$2:$J$151,$AI42),""))</f>
        <v/>
      </c>
      <c r="J42" s="173" t="str">
        <f>IF($AI42="","",IF(INDEX('Roadmap Calc (Don’t Touch)'!$AA$2:$AX$151,$AI42,1)&gt;0,IF(AND($H42&lt;&gt;"",$H42&lt;=EOMONTH(J$12,0),$I42&gt;=J$12),"BOTH","UX"),IF(AND($H42&lt;&gt;"",$H42&lt;=EOMONTH(J$12,0),$I42&gt;=J$12),"DEV","")))</f>
        <v/>
      </c>
      <c r="K42" s="173" t="str">
        <f>IF($AI42="","",IF(INDEX('Roadmap Calc (Don’t Touch)'!$AA$2:$AX$151,$AI42,2)&gt;0,IF(AND($H42&lt;&gt;"",$H42&lt;=EOMONTH(K$12,0),$I42&gt;=K$12),"BOTH","UX"),IF(AND($H42&lt;&gt;"",$H42&lt;=EOMONTH(K$12,0),$I42&gt;=K$12),"DEV","")))</f>
        <v/>
      </c>
      <c r="L42" s="173" t="str">
        <f>IF($AI42="","",IF(INDEX('Roadmap Calc (Don’t Touch)'!$AA$2:$AX$151,$AI42,3)&gt;0,IF(AND($H42&lt;&gt;"",$H42&lt;=EOMONTH(L$12,0),$I42&gt;=L$12),"BOTH","UX"),IF(AND($H42&lt;&gt;"",$H42&lt;=EOMONTH(L$12,0),$I42&gt;=L$12),"DEV","")))</f>
        <v/>
      </c>
      <c r="M42" s="173" t="str">
        <f>IF($AI42="","",IF(INDEX('Roadmap Calc (Don’t Touch)'!$AA$2:$AX$151,$AI42,4)&gt;0,IF(AND($H42&lt;&gt;"",$H42&lt;=EOMONTH(M$12,0),$I42&gt;=M$12),"BOTH","UX"),IF(AND($H42&lt;&gt;"",$H42&lt;=EOMONTH(M$12,0),$I42&gt;=M$12),"DEV","")))</f>
        <v/>
      </c>
      <c r="N42" s="173" t="str">
        <f>IF($AI42="","",IF(INDEX('Roadmap Calc (Don’t Touch)'!$AA$2:$AX$151,$AI42,5)&gt;0,IF(AND($H42&lt;&gt;"",$H42&lt;=EOMONTH(N$12,0),$I42&gt;=N$12),"BOTH","UX"),IF(AND($H42&lt;&gt;"",$H42&lt;=EOMONTH(N$12,0),$I42&gt;=N$12),"DEV","")))</f>
        <v/>
      </c>
      <c r="O42" s="173" t="str">
        <f>IF($AI42="","",IF(INDEX('Roadmap Calc (Don’t Touch)'!$AA$2:$AX$151,$AI42,6)&gt;0,IF(AND($H42&lt;&gt;"",$H42&lt;=EOMONTH(O$12,0),$I42&gt;=O$12),"BOTH","UX"),IF(AND($H42&lt;&gt;"",$H42&lt;=EOMONTH(O$12,0),$I42&gt;=O$12),"DEV","")))</f>
        <v/>
      </c>
      <c r="P42" s="173" t="str">
        <f>IF($AI42="","",IF(INDEX('Roadmap Calc (Don’t Touch)'!$AA$2:$AX$151,$AI42,7)&gt;0,IF(AND($H42&lt;&gt;"",$H42&lt;=EOMONTH(P$12,0),$I42&gt;=P$12),"BOTH","UX"),IF(AND($H42&lt;&gt;"",$H42&lt;=EOMONTH(P$12,0),$I42&gt;=P$12),"DEV","")))</f>
        <v/>
      </c>
      <c r="Q42" s="173" t="str">
        <f>IF($AI42="","",IF(INDEX('Roadmap Calc (Don’t Touch)'!$AA$2:$AX$151,$AI42,8)&gt;0,IF(AND($H42&lt;&gt;"",$H42&lt;=EOMONTH(Q$12,0),$I42&gt;=Q$12),"BOTH","UX"),IF(AND($H42&lt;&gt;"",$H42&lt;=EOMONTH(Q$12,0),$I42&gt;=Q$12),"DEV","")))</f>
        <v/>
      </c>
      <c r="R42" s="173" t="str">
        <f>IF($AI42="","",IF(INDEX('Roadmap Calc (Don’t Touch)'!$AA$2:$AX$151,$AI42,9)&gt;0,IF(AND($H42&lt;&gt;"",$H42&lt;=EOMONTH(R$12,0),$I42&gt;=R$12),"BOTH","UX"),IF(AND($H42&lt;&gt;"",$H42&lt;=EOMONTH(R$12,0),$I42&gt;=R$12),"DEV","")))</f>
        <v/>
      </c>
      <c r="S42" s="173" t="str">
        <f>IF($AI42="","",IF(INDEX('Roadmap Calc (Don’t Touch)'!$AA$2:$AX$151,$AI42,10)&gt;0,IF(AND($H42&lt;&gt;"",$H42&lt;=EOMONTH(S$12,0),$I42&gt;=S$12),"BOTH","UX"),IF(AND($H42&lt;&gt;"",$H42&lt;=EOMONTH(S$12,0),$I42&gt;=S$12),"DEV","")))</f>
        <v/>
      </c>
      <c r="T42" s="173" t="str">
        <f>IF($AI42="","",IF(INDEX('Roadmap Calc (Don’t Touch)'!$AA$2:$AX$151,$AI42,11)&gt;0,IF(AND($H42&lt;&gt;"",$H42&lt;=EOMONTH(T$12,0),$I42&gt;=T$12),"BOTH","UX"),IF(AND($H42&lt;&gt;"",$H42&lt;=EOMONTH(T$12,0),$I42&gt;=T$12),"DEV","")))</f>
        <v/>
      </c>
      <c r="U42" s="173" t="str">
        <f>IF($AI42="","",IF(INDEX('Roadmap Calc (Don’t Touch)'!$AA$2:$AX$151,$AI42,12)&gt;0,IF(AND($H42&lt;&gt;"",$H42&lt;=EOMONTH(U$12,0),$I42&gt;=U$12),"BOTH","UX"),IF(AND($H42&lt;&gt;"",$H42&lt;=EOMONTH(U$12,0),$I42&gt;=U$12),"DEV","")))</f>
        <v/>
      </c>
      <c r="V42" s="173" t="str">
        <f>IF($AI42="","",IF(INDEX('Roadmap Calc (Don’t Touch)'!$AA$2:$AX$151,$AI42,13)&gt;0,IF(AND($H42&lt;&gt;"",$H42&lt;=EOMONTH(V$12,0),$I42&gt;=V$12),"BOTH","UX"),IF(AND($H42&lt;&gt;"",$H42&lt;=EOMONTH(V$12,0),$I42&gt;=V$12),"DEV","")))</f>
        <v/>
      </c>
      <c r="W42" s="173" t="str">
        <f>IF($AI42="","",IF(INDEX('Roadmap Calc (Don’t Touch)'!$AA$2:$AX$151,$AI42,14)&gt;0,IF(AND($H42&lt;&gt;"",$H42&lt;=EOMONTH(W$12,0),$I42&gt;=W$12),"BOTH","UX"),IF(AND($H42&lt;&gt;"",$H42&lt;=EOMONTH(W$12,0),$I42&gt;=W$12),"DEV","")))</f>
        <v/>
      </c>
      <c r="X42" s="173" t="str">
        <f>IF($AI42="","",IF(INDEX('Roadmap Calc (Don’t Touch)'!$AA$2:$AX$151,$AI42,15)&gt;0,IF(AND($H42&lt;&gt;"",$H42&lt;=EOMONTH(X$12,0),$I42&gt;=X$12),"BOTH","UX"),IF(AND($H42&lt;&gt;"",$H42&lt;=EOMONTH(X$12,0),$I42&gt;=X$12),"DEV","")))</f>
        <v/>
      </c>
      <c r="Y42" s="173" t="str">
        <f>IF($AI42="","",IF(INDEX('Roadmap Calc (Don’t Touch)'!$AA$2:$AX$151,$AI42,16)&gt;0,IF(AND($H42&lt;&gt;"",$H42&lt;=EOMONTH(Y$12,0),$I42&gt;=Y$12),"BOTH","UX"),IF(AND($H42&lt;&gt;"",$H42&lt;=EOMONTH(Y$12,0),$I42&gt;=Y$12),"DEV","")))</f>
        <v/>
      </c>
      <c r="Z42" s="173" t="str">
        <f>IF($AI42="","",IF(INDEX('Roadmap Calc (Don’t Touch)'!$AA$2:$AX$151,$AI42,17)&gt;0,IF(AND($H42&lt;&gt;"",$H42&lt;=EOMONTH(Z$12,0),$I42&gt;=Z$12),"BOTH","UX"),IF(AND($H42&lt;&gt;"",$H42&lt;=EOMONTH(Z$12,0),$I42&gt;=Z$12),"DEV","")))</f>
        <v/>
      </c>
      <c r="AA42" s="173" t="str">
        <f>IF($AI42="","",IF(INDEX('Roadmap Calc (Don’t Touch)'!$AA$2:$AX$151,$AI42,18)&gt;0,IF(AND($H42&lt;&gt;"",$H42&lt;=EOMONTH(AA$12,0),$I42&gt;=AA$12),"BOTH","UX"),IF(AND($H42&lt;&gt;"",$H42&lt;=EOMONTH(AA$12,0),$I42&gt;=AA$12),"DEV","")))</f>
        <v/>
      </c>
      <c r="AB42" s="173" t="str">
        <f>IF($AI42="","",IF(INDEX('Roadmap Calc (Don’t Touch)'!$AA$2:$AX$151,$AI42,19)&gt;0,IF(AND($H42&lt;&gt;"",$H42&lt;=EOMONTH(AB$12,0),$I42&gt;=AB$12),"BOTH","UX"),IF(AND($H42&lt;&gt;"",$H42&lt;=EOMONTH(AB$12,0),$I42&gt;=AB$12),"DEV","")))</f>
        <v/>
      </c>
      <c r="AC42" s="173" t="str">
        <f>IF($AI42="","",IF(INDEX('Roadmap Calc (Don’t Touch)'!$AA$2:$AX$151,$AI42,20)&gt;0,IF(AND($H42&lt;&gt;"",$H42&lt;=EOMONTH(AC$12,0),$I42&gt;=AC$12),"BOTH","UX"),IF(AND($H42&lt;&gt;"",$H42&lt;=EOMONTH(AC$12,0),$I42&gt;=AC$12),"DEV","")))</f>
        <v/>
      </c>
      <c r="AD42" s="173" t="str">
        <f>IF($AI42="","",IF(INDEX('Roadmap Calc (Don’t Touch)'!$AA$2:$AX$151,$AI42,21)&gt;0,IF(AND($H42&lt;&gt;"",$H42&lt;=EOMONTH(AD$12,0),$I42&gt;=AD$12),"BOTH","UX"),IF(AND($H42&lt;&gt;"",$H42&lt;=EOMONTH(AD$12,0),$I42&gt;=AD$12),"DEV","")))</f>
        <v/>
      </c>
      <c r="AE42" s="173" t="str">
        <f>IF($AI42="","",IF(INDEX('Roadmap Calc (Don’t Touch)'!$AA$2:$AX$151,$AI42,22)&gt;0,IF(AND($H42&lt;&gt;"",$H42&lt;=EOMONTH(AE$12,0),$I42&gt;=AE$12),"BOTH","UX"),IF(AND($H42&lt;&gt;"",$H42&lt;=EOMONTH(AE$12,0),$I42&gt;=AE$12),"DEV","")))</f>
        <v/>
      </c>
      <c r="AF42" s="173" t="str">
        <f>IF($AI42="","",IF(INDEX('Roadmap Calc (Don’t Touch)'!$AA$2:$AX$151,$AI42,23)&gt;0,IF(AND($H42&lt;&gt;"",$H42&lt;=EOMONTH(AF$12,0),$I42&gt;=AF$12),"BOTH","UX"),IF(AND($H42&lt;&gt;"",$H42&lt;=EOMONTH(AF$12,0),$I42&gt;=AF$12),"DEV","")))</f>
        <v/>
      </c>
      <c r="AG42" s="173" t="str">
        <f>IF($AI42="","",IF(INDEX('Roadmap Calc (Don’t Touch)'!$AA$2:$AX$151,$AI42,24)&gt;0,IF(AND($H42&lt;&gt;"",$H42&lt;=EOMONTH(AG$12,0),$I42&gt;=AG$12),"BOTH","UX"),IF(AND($H42&lt;&gt;"",$H42&lt;=EOMONTH(AG$12,0),$I42&gt;=AG$12),"DEV","")))</f>
        <v/>
      </c>
      <c r="AH42" s="160" t="str">
        <f>IF($AI42="","",INDEX('Roadmap Calc (Don’t Touch)'!$D$2:$D$151,$AI42))</f>
        <v/>
      </c>
      <c r="AI42" s="160" t="str">
        <f>IFERROR(MATCH(27,'Roadmap Calc (Don’t Touch)'!$O$2:$O$151,0),"")</f>
        <v/>
      </c>
      <c r="AJ42" s="160"/>
      <c r="AK42" s="160"/>
      <c r="AL42" s="160"/>
      <c r="AM42" s="160"/>
    </row>
    <row r="43" spans="1:39" ht="20" customHeight="1" x14ac:dyDescent="0.25">
      <c r="A43" s="215" t="str">
        <f>IF($AI43="","",IF($AH43=$AH42,"",IF(INDEX('Roadmap Calc (Don’t Touch)'!$U$2:$U$151,$AI43)=0,$AH43,HYPERLINK("#'Control (Don’t Touch)'!E"&amp;INDEX('Roadmap Calc (Don’t Touch)'!$U$2:$U$151,$AI43),$AH43))))</f>
        <v/>
      </c>
      <c r="B43" s="174" t="str">
        <f>IF($AI43="","",IF(INDEX('Roadmap Calc (Don’t Touch)'!$K$2:$K$151,$AI43)="",INDEX('Roadmap Calc (Don’t Touch)'!$B$2:$B$151,$AI43),HYPERLINK("https://jira.bnh.com/browse/"&amp;INDEX('Roadmap Calc (Don’t Touch)'!$K$2:$K$151,$AI43),INDEX('Roadmap Calc (Don’t Touch)'!$B$2:$B$151,$AI43))))</f>
        <v/>
      </c>
      <c r="C43" s="174" t="str">
        <f>IF($AI43="","",IF(INDEX('Roadmap Calc (Don’t Touch)'!$E$2:$E$151,$AI43)="","",HYPERLINK("https://jira.bnh.com/browse/"&amp;INDEX('Roadmap Calc (Don’t Touch)'!$E$2:$E$151,$AI43),INDEX('Roadmap Calc (Don’t Touch)'!$E$2:$E$151,$AI43))))</f>
        <v/>
      </c>
      <c r="D43" s="176" t="str">
        <f>IF($AI43="","",INDEX('Roadmap Calc (Don’t Touch)'!$F$2:$F$151,$AI43))</f>
        <v/>
      </c>
      <c r="E43" s="170" t="str">
        <f>IF($AI43="","",IF(ISNUMBER(INDEX('Roadmap Calc (Don’t Touch)'!$G$2:$G$151,$AI43)),INDEX('Roadmap Calc (Don’t Touch)'!$G$2:$G$151,$AI43),""))</f>
        <v/>
      </c>
      <c r="F43" s="170" t="str">
        <f>IF($AI43="","",IF(ISNUMBER(INDEX('Roadmap Calc (Don’t Touch)'!$H$2:$H$151,$AI43)),INDEX('Roadmap Calc (Don’t Touch)'!$H$2:$H$151,$AI43),""))</f>
        <v/>
      </c>
      <c r="G43" s="171" t="str">
        <f>IF($AI43="","",INDEX('Roadmap Calc (Don’t Touch)'!$T$2:$T$151,$AI43))</f>
        <v/>
      </c>
      <c r="H43" s="172" t="str">
        <f>IF($AI43="","",IF(ISNUMBER(INDEX('Roadmap Calc (Don’t Touch)'!$I$2:$I$151,$AI43)),INDEX('Roadmap Calc (Don’t Touch)'!$I$2:$I$151,$AI43),""))</f>
        <v/>
      </c>
      <c r="I43" s="172" t="str">
        <f>IF($AI43="","",IF(ISNUMBER(INDEX('Roadmap Calc (Don’t Touch)'!$J$2:$J$151,$AI43)),INDEX('Roadmap Calc (Don’t Touch)'!$J$2:$J$151,$AI43),""))</f>
        <v/>
      </c>
      <c r="J43" s="173" t="str">
        <f>IF($AI43="","",IF(INDEX('Roadmap Calc (Don’t Touch)'!$AA$2:$AX$151,$AI43,1)&gt;0,IF(AND($H43&lt;&gt;"",$H43&lt;=EOMONTH(J$12,0),$I43&gt;=J$12),"BOTH","UX"),IF(AND($H43&lt;&gt;"",$H43&lt;=EOMONTH(J$12,0),$I43&gt;=J$12),"DEV","")))</f>
        <v/>
      </c>
      <c r="K43" s="173" t="str">
        <f>IF($AI43="","",IF(INDEX('Roadmap Calc (Don’t Touch)'!$AA$2:$AX$151,$AI43,2)&gt;0,IF(AND($H43&lt;&gt;"",$H43&lt;=EOMONTH(K$12,0),$I43&gt;=K$12),"BOTH","UX"),IF(AND($H43&lt;&gt;"",$H43&lt;=EOMONTH(K$12,0),$I43&gt;=K$12),"DEV","")))</f>
        <v/>
      </c>
      <c r="L43" s="173" t="str">
        <f>IF($AI43="","",IF(INDEX('Roadmap Calc (Don’t Touch)'!$AA$2:$AX$151,$AI43,3)&gt;0,IF(AND($H43&lt;&gt;"",$H43&lt;=EOMONTH(L$12,0),$I43&gt;=L$12),"BOTH","UX"),IF(AND($H43&lt;&gt;"",$H43&lt;=EOMONTH(L$12,0),$I43&gt;=L$12),"DEV","")))</f>
        <v/>
      </c>
      <c r="M43" s="173" t="str">
        <f>IF($AI43="","",IF(INDEX('Roadmap Calc (Don’t Touch)'!$AA$2:$AX$151,$AI43,4)&gt;0,IF(AND($H43&lt;&gt;"",$H43&lt;=EOMONTH(M$12,0),$I43&gt;=M$12),"BOTH","UX"),IF(AND($H43&lt;&gt;"",$H43&lt;=EOMONTH(M$12,0),$I43&gt;=M$12),"DEV","")))</f>
        <v/>
      </c>
      <c r="N43" s="173" t="str">
        <f>IF($AI43="","",IF(INDEX('Roadmap Calc (Don’t Touch)'!$AA$2:$AX$151,$AI43,5)&gt;0,IF(AND($H43&lt;&gt;"",$H43&lt;=EOMONTH(N$12,0),$I43&gt;=N$12),"BOTH","UX"),IF(AND($H43&lt;&gt;"",$H43&lt;=EOMONTH(N$12,0),$I43&gt;=N$12),"DEV","")))</f>
        <v/>
      </c>
      <c r="O43" s="173" t="str">
        <f>IF($AI43="","",IF(INDEX('Roadmap Calc (Don’t Touch)'!$AA$2:$AX$151,$AI43,6)&gt;0,IF(AND($H43&lt;&gt;"",$H43&lt;=EOMONTH(O$12,0),$I43&gt;=O$12),"BOTH","UX"),IF(AND($H43&lt;&gt;"",$H43&lt;=EOMONTH(O$12,0),$I43&gt;=O$12),"DEV","")))</f>
        <v/>
      </c>
      <c r="P43" s="173" t="str">
        <f>IF($AI43="","",IF(INDEX('Roadmap Calc (Don’t Touch)'!$AA$2:$AX$151,$AI43,7)&gt;0,IF(AND($H43&lt;&gt;"",$H43&lt;=EOMONTH(P$12,0),$I43&gt;=P$12),"BOTH","UX"),IF(AND($H43&lt;&gt;"",$H43&lt;=EOMONTH(P$12,0),$I43&gt;=P$12),"DEV","")))</f>
        <v/>
      </c>
      <c r="Q43" s="173" t="str">
        <f>IF($AI43="","",IF(INDEX('Roadmap Calc (Don’t Touch)'!$AA$2:$AX$151,$AI43,8)&gt;0,IF(AND($H43&lt;&gt;"",$H43&lt;=EOMONTH(Q$12,0),$I43&gt;=Q$12),"BOTH","UX"),IF(AND($H43&lt;&gt;"",$H43&lt;=EOMONTH(Q$12,0),$I43&gt;=Q$12),"DEV","")))</f>
        <v/>
      </c>
      <c r="R43" s="173" t="str">
        <f>IF($AI43="","",IF(INDEX('Roadmap Calc (Don’t Touch)'!$AA$2:$AX$151,$AI43,9)&gt;0,IF(AND($H43&lt;&gt;"",$H43&lt;=EOMONTH(R$12,0),$I43&gt;=R$12),"BOTH","UX"),IF(AND($H43&lt;&gt;"",$H43&lt;=EOMONTH(R$12,0),$I43&gt;=R$12),"DEV","")))</f>
        <v/>
      </c>
      <c r="S43" s="173" t="str">
        <f>IF($AI43="","",IF(INDEX('Roadmap Calc (Don’t Touch)'!$AA$2:$AX$151,$AI43,10)&gt;0,IF(AND($H43&lt;&gt;"",$H43&lt;=EOMONTH(S$12,0),$I43&gt;=S$12),"BOTH","UX"),IF(AND($H43&lt;&gt;"",$H43&lt;=EOMONTH(S$12,0),$I43&gt;=S$12),"DEV","")))</f>
        <v/>
      </c>
      <c r="T43" s="173" t="str">
        <f>IF($AI43="","",IF(INDEX('Roadmap Calc (Don’t Touch)'!$AA$2:$AX$151,$AI43,11)&gt;0,IF(AND($H43&lt;&gt;"",$H43&lt;=EOMONTH(T$12,0),$I43&gt;=T$12),"BOTH","UX"),IF(AND($H43&lt;&gt;"",$H43&lt;=EOMONTH(T$12,0),$I43&gt;=T$12),"DEV","")))</f>
        <v/>
      </c>
      <c r="U43" s="173" t="str">
        <f>IF($AI43="","",IF(INDEX('Roadmap Calc (Don’t Touch)'!$AA$2:$AX$151,$AI43,12)&gt;0,IF(AND($H43&lt;&gt;"",$H43&lt;=EOMONTH(U$12,0),$I43&gt;=U$12),"BOTH","UX"),IF(AND($H43&lt;&gt;"",$H43&lt;=EOMONTH(U$12,0),$I43&gt;=U$12),"DEV","")))</f>
        <v/>
      </c>
      <c r="V43" s="173" t="str">
        <f>IF($AI43="","",IF(INDEX('Roadmap Calc (Don’t Touch)'!$AA$2:$AX$151,$AI43,13)&gt;0,IF(AND($H43&lt;&gt;"",$H43&lt;=EOMONTH(V$12,0),$I43&gt;=V$12),"BOTH","UX"),IF(AND($H43&lt;&gt;"",$H43&lt;=EOMONTH(V$12,0),$I43&gt;=V$12),"DEV","")))</f>
        <v/>
      </c>
      <c r="W43" s="173" t="str">
        <f>IF($AI43="","",IF(INDEX('Roadmap Calc (Don’t Touch)'!$AA$2:$AX$151,$AI43,14)&gt;0,IF(AND($H43&lt;&gt;"",$H43&lt;=EOMONTH(W$12,0),$I43&gt;=W$12),"BOTH","UX"),IF(AND($H43&lt;&gt;"",$H43&lt;=EOMONTH(W$12,0),$I43&gt;=W$12),"DEV","")))</f>
        <v/>
      </c>
      <c r="X43" s="173" t="str">
        <f>IF($AI43="","",IF(INDEX('Roadmap Calc (Don’t Touch)'!$AA$2:$AX$151,$AI43,15)&gt;0,IF(AND($H43&lt;&gt;"",$H43&lt;=EOMONTH(X$12,0),$I43&gt;=X$12),"BOTH","UX"),IF(AND($H43&lt;&gt;"",$H43&lt;=EOMONTH(X$12,0),$I43&gt;=X$12),"DEV","")))</f>
        <v/>
      </c>
      <c r="Y43" s="173" t="str">
        <f>IF($AI43="","",IF(INDEX('Roadmap Calc (Don’t Touch)'!$AA$2:$AX$151,$AI43,16)&gt;0,IF(AND($H43&lt;&gt;"",$H43&lt;=EOMONTH(Y$12,0),$I43&gt;=Y$12),"BOTH","UX"),IF(AND($H43&lt;&gt;"",$H43&lt;=EOMONTH(Y$12,0),$I43&gt;=Y$12),"DEV","")))</f>
        <v/>
      </c>
      <c r="Z43" s="173" t="str">
        <f>IF($AI43="","",IF(INDEX('Roadmap Calc (Don’t Touch)'!$AA$2:$AX$151,$AI43,17)&gt;0,IF(AND($H43&lt;&gt;"",$H43&lt;=EOMONTH(Z$12,0),$I43&gt;=Z$12),"BOTH","UX"),IF(AND($H43&lt;&gt;"",$H43&lt;=EOMONTH(Z$12,0),$I43&gt;=Z$12),"DEV","")))</f>
        <v/>
      </c>
      <c r="AA43" s="173" t="str">
        <f>IF($AI43="","",IF(INDEX('Roadmap Calc (Don’t Touch)'!$AA$2:$AX$151,$AI43,18)&gt;0,IF(AND($H43&lt;&gt;"",$H43&lt;=EOMONTH(AA$12,0),$I43&gt;=AA$12),"BOTH","UX"),IF(AND($H43&lt;&gt;"",$H43&lt;=EOMONTH(AA$12,0),$I43&gt;=AA$12),"DEV","")))</f>
        <v/>
      </c>
      <c r="AB43" s="173" t="str">
        <f>IF($AI43="","",IF(INDEX('Roadmap Calc (Don’t Touch)'!$AA$2:$AX$151,$AI43,19)&gt;0,IF(AND($H43&lt;&gt;"",$H43&lt;=EOMONTH(AB$12,0),$I43&gt;=AB$12),"BOTH","UX"),IF(AND($H43&lt;&gt;"",$H43&lt;=EOMONTH(AB$12,0),$I43&gt;=AB$12),"DEV","")))</f>
        <v/>
      </c>
      <c r="AC43" s="173" t="str">
        <f>IF($AI43="","",IF(INDEX('Roadmap Calc (Don’t Touch)'!$AA$2:$AX$151,$AI43,20)&gt;0,IF(AND($H43&lt;&gt;"",$H43&lt;=EOMONTH(AC$12,0),$I43&gt;=AC$12),"BOTH","UX"),IF(AND($H43&lt;&gt;"",$H43&lt;=EOMONTH(AC$12,0),$I43&gt;=AC$12),"DEV","")))</f>
        <v/>
      </c>
      <c r="AD43" s="173" t="str">
        <f>IF($AI43="","",IF(INDEX('Roadmap Calc (Don’t Touch)'!$AA$2:$AX$151,$AI43,21)&gt;0,IF(AND($H43&lt;&gt;"",$H43&lt;=EOMONTH(AD$12,0),$I43&gt;=AD$12),"BOTH","UX"),IF(AND($H43&lt;&gt;"",$H43&lt;=EOMONTH(AD$12,0),$I43&gt;=AD$12),"DEV","")))</f>
        <v/>
      </c>
      <c r="AE43" s="173" t="str">
        <f>IF($AI43="","",IF(INDEX('Roadmap Calc (Don’t Touch)'!$AA$2:$AX$151,$AI43,22)&gt;0,IF(AND($H43&lt;&gt;"",$H43&lt;=EOMONTH(AE$12,0),$I43&gt;=AE$12),"BOTH","UX"),IF(AND($H43&lt;&gt;"",$H43&lt;=EOMONTH(AE$12,0),$I43&gt;=AE$12),"DEV","")))</f>
        <v/>
      </c>
      <c r="AF43" s="173" t="str">
        <f>IF($AI43="","",IF(INDEX('Roadmap Calc (Don’t Touch)'!$AA$2:$AX$151,$AI43,23)&gt;0,IF(AND($H43&lt;&gt;"",$H43&lt;=EOMONTH(AF$12,0),$I43&gt;=AF$12),"BOTH","UX"),IF(AND($H43&lt;&gt;"",$H43&lt;=EOMONTH(AF$12,0),$I43&gt;=AF$12),"DEV","")))</f>
        <v/>
      </c>
      <c r="AG43" s="173" t="str">
        <f>IF($AI43="","",IF(INDEX('Roadmap Calc (Don’t Touch)'!$AA$2:$AX$151,$AI43,24)&gt;0,IF(AND($H43&lt;&gt;"",$H43&lt;=EOMONTH(AG$12,0),$I43&gt;=AG$12),"BOTH","UX"),IF(AND($H43&lt;&gt;"",$H43&lt;=EOMONTH(AG$12,0),$I43&gt;=AG$12),"DEV","")))</f>
        <v/>
      </c>
      <c r="AH43" s="160" t="str">
        <f>IF($AI43="","",INDEX('Roadmap Calc (Don’t Touch)'!$D$2:$D$151,$AI43))</f>
        <v/>
      </c>
      <c r="AI43" s="160" t="str">
        <f>IFERROR(MATCH(28,'Roadmap Calc (Don’t Touch)'!$O$2:$O$151,0),"")</f>
        <v/>
      </c>
      <c r="AJ43" s="160"/>
      <c r="AK43" s="160"/>
      <c r="AL43" s="160"/>
      <c r="AM43" s="160"/>
    </row>
    <row r="44" spans="1:39" ht="20" customHeight="1" x14ac:dyDescent="0.25">
      <c r="A44" s="215" t="str">
        <f>IF($AI44="","",IF($AH44=$AH43,"",IF(INDEX('Roadmap Calc (Don’t Touch)'!$U$2:$U$151,$AI44)=0,$AH44,HYPERLINK("#'Control (Don’t Touch)'!E"&amp;INDEX('Roadmap Calc (Don’t Touch)'!$U$2:$U$151,$AI44),$AH44))))</f>
        <v/>
      </c>
      <c r="B44" s="174" t="str">
        <f>IF($AI44="","",IF(INDEX('Roadmap Calc (Don’t Touch)'!$K$2:$K$151,$AI44)="",INDEX('Roadmap Calc (Don’t Touch)'!$B$2:$B$151,$AI44),HYPERLINK("https://jira.bnh.com/browse/"&amp;INDEX('Roadmap Calc (Don’t Touch)'!$K$2:$K$151,$AI44),INDEX('Roadmap Calc (Don’t Touch)'!$B$2:$B$151,$AI44))))</f>
        <v/>
      </c>
      <c r="C44" s="174" t="str">
        <f>IF($AI44="","",IF(INDEX('Roadmap Calc (Don’t Touch)'!$E$2:$E$151,$AI44)="","",HYPERLINK("https://jira.bnh.com/browse/"&amp;INDEX('Roadmap Calc (Don’t Touch)'!$E$2:$E$151,$AI44),INDEX('Roadmap Calc (Don’t Touch)'!$E$2:$E$151,$AI44))))</f>
        <v/>
      </c>
      <c r="D44" s="176" t="str">
        <f>IF($AI44="","",INDEX('Roadmap Calc (Don’t Touch)'!$F$2:$F$151,$AI44))</f>
        <v/>
      </c>
      <c r="E44" s="170" t="str">
        <f>IF($AI44="","",IF(ISNUMBER(INDEX('Roadmap Calc (Don’t Touch)'!$G$2:$G$151,$AI44)),INDEX('Roadmap Calc (Don’t Touch)'!$G$2:$G$151,$AI44),""))</f>
        <v/>
      </c>
      <c r="F44" s="170" t="str">
        <f>IF($AI44="","",IF(ISNUMBER(INDEX('Roadmap Calc (Don’t Touch)'!$H$2:$H$151,$AI44)),INDEX('Roadmap Calc (Don’t Touch)'!$H$2:$H$151,$AI44),""))</f>
        <v/>
      </c>
      <c r="G44" s="171" t="str">
        <f>IF($AI44="","",INDEX('Roadmap Calc (Don’t Touch)'!$T$2:$T$151,$AI44))</f>
        <v/>
      </c>
      <c r="H44" s="172" t="str">
        <f>IF($AI44="","",IF(ISNUMBER(INDEX('Roadmap Calc (Don’t Touch)'!$I$2:$I$151,$AI44)),INDEX('Roadmap Calc (Don’t Touch)'!$I$2:$I$151,$AI44),""))</f>
        <v/>
      </c>
      <c r="I44" s="172" t="str">
        <f>IF($AI44="","",IF(ISNUMBER(INDEX('Roadmap Calc (Don’t Touch)'!$J$2:$J$151,$AI44)),INDEX('Roadmap Calc (Don’t Touch)'!$J$2:$J$151,$AI44),""))</f>
        <v/>
      </c>
      <c r="J44" s="173" t="str">
        <f>IF($AI44="","",IF(INDEX('Roadmap Calc (Don’t Touch)'!$AA$2:$AX$151,$AI44,1)&gt;0,IF(AND($H44&lt;&gt;"",$H44&lt;=EOMONTH(J$12,0),$I44&gt;=J$12),"BOTH","UX"),IF(AND($H44&lt;&gt;"",$H44&lt;=EOMONTH(J$12,0),$I44&gt;=J$12),"DEV","")))</f>
        <v/>
      </c>
      <c r="K44" s="173" t="str">
        <f>IF($AI44="","",IF(INDEX('Roadmap Calc (Don’t Touch)'!$AA$2:$AX$151,$AI44,2)&gt;0,IF(AND($H44&lt;&gt;"",$H44&lt;=EOMONTH(K$12,0),$I44&gt;=K$12),"BOTH","UX"),IF(AND($H44&lt;&gt;"",$H44&lt;=EOMONTH(K$12,0),$I44&gt;=K$12),"DEV","")))</f>
        <v/>
      </c>
      <c r="L44" s="173" t="str">
        <f>IF($AI44="","",IF(INDEX('Roadmap Calc (Don’t Touch)'!$AA$2:$AX$151,$AI44,3)&gt;0,IF(AND($H44&lt;&gt;"",$H44&lt;=EOMONTH(L$12,0),$I44&gt;=L$12),"BOTH","UX"),IF(AND($H44&lt;&gt;"",$H44&lt;=EOMONTH(L$12,0),$I44&gt;=L$12),"DEV","")))</f>
        <v/>
      </c>
      <c r="M44" s="173" t="str">
        <f>IF($AI44="","",IF(INDEX('Roadmap Calc (Don’t Touch)'!$AA$2:$AX$151,$AI44,4)&gt;0,IF(AND($H44&lt;&gt;"",$H44&lt;=EOMONTH(M$12,0),$I44&gt;=M$12),"BOTH","UX"),IF(AND($H44&lt;&gt;"",$H44&lt;=EOMONTH(M$12,0),$I44&gt;=M$12),"DEV","")))</f>
        <v/>
      </c>
      <c r="N44" s="173" t="str">
        <f>IF($AI44="","",IF(INDEX('Roadmap Calc (Don’t Touch)'!$AA$2:$AX$151,$AI44,5)&gt;0,IF(AND($H44&lt;&gt;"",$H44&lt;=EOMONTH(N$12,0),$I44&gt;=N$12),"BOTH","UX"),IF(AND($H44&lt;&gt;"",$H44&lt;=EOMONTH(N$12,0),$I44&gt;=N$12),"DEV","")))</f>
        <v/>
      </c>
      <c r="O44" s="173" t="str">
        <f>IF($AI44="","",IF(INDEX('Roadmap Calc (Don’t Touch)'!$AA$2:$AX$151,$AI44,6)&gt;0,IF(AND($H44&lt;&gt;"",$H44&lt;=EOMONTH(O$12,0),$I44&gt;=O$12),"BOTH","UX"),IF(AND($H44&lt;&gt;"",$H44&lt;=EOMONTH(O$12,0),$I44&gt;=O$12),"DEV","")))</f>
        <v/>
      </c>
      <c r="P44" s="173" t="str">
        <f>IF($AI44="","",IF(INDEX('Roadmap Calc (Don’t Touch)'!$AA$2:$AX$151,$AI44,7)&gt;0,IF(AND($H44&lt;&gt;"",$H44&lt;=EOMONTH(P$12,0),$I44&gt;=P$12),"BOTH","UX"),IF(AND($H44&lt;&gt;"",$H44&lt;=EOMONTH(P$12,0),$I44&gt;=P$12),"DEV","")))</f>
        <v/>
      </c>
      <c r="Q44" s="173" t="str">
        <f>IF($AI44="","",IF(INDEX('Roadmap Calc (Don’t Touch)'!$AA$2:$AX$151,$AI44,8)&gt;0,IF(AND($H44&lt;&gt;"",$H44&lt;=EOMONTH(Q$12,0),$I44&gt;=Q$12),"BOTH","UX"),IF(AND($H44&lt;&gt;"",$H44&lt;=EOMONTH(Q$12,0),$I44&gt;=Q$12),"DEV","")))</f>
        <v/>
      </c>
      <c r="R44" s="173" t="str">
        <f>IF($AI44="","",IF(INDEX('Roadmap Calc (Don’t Touch)'!$AA$2:$AX$151,$AI44,9)&gt;0,IF(AND($H44&lt;&gt;"",$H44&lt;=EOMONTH(R$12,0),$I44&gt;=R$12),"BOTH","UX"),IF(AND($H44&lt;&gt;"",$H44&lt;=EOMONTH(R$12,0),$I44&gt;=R$12),"DEV","")))</f>
        <v/>
      </c>
      <c r="S44" s="173" t="str">
        <f>IF($AI44="","",IF(INDEX('Roadmap Calc (Don’t Touch)'!$AA$2:$AX$151,$AI44,10)&gt;0,IF(AND($H44&lt;&gt;"",$H44&lt;=EOMONTH(S$12,0),$I44&gt;=S$12),"BOTH","UX"),IF(AND($H44&lt;&gt;"",$H44&lt;=EOMONTH(S$12,0),$I44&gt;=S$12),"DEV","")))</f>
        <v/>
      </c>
      <c r="T44" s="173" t="str">
        <f>IF($AI44="","",IF(INDEX('Roadmap Calc (Don’t Touch)'!$AA$2:$AX$151,$AI44,11)&gt;0,IF(AND($H44&lt;&gt;"",$H44&lt;=EOMONTH(T$12,0),$I44&gt;=T$12),"BOTH","UX"),IF(AND($H44&lt;&gt;"",$H44&lt;=EOMONTH(T$12,0),$I44&gt;=T$12),"DEV","")))</f>
        <v/>
      </c>
      <c r="U44" s="173" t="str">
        <f>IF($AI44="","",IF(INDEX('Roadmap Calc (Don’t Touch)'!$AA$2:$AX$151,$AI44,12)&gt;0,IF(AND($H44&lt;&gt;"",$H44&lt;=EOMONTH(U$12,0),$I44&gt;=U$12),"BOTH","UX"),IF(AND($H44&lt;&gt;"",$H44&lt;=EOMONTH(U$12,0),$I44&gt;=U$12),"DEV","")))</f>
        <v/>
      </c>
      <c r="V44" s="173" t="str">
        <f>IF($AI44="","",IF(INDEX('Roadmap Calc (Don’t Touch)'!$AA$2:$AX$151,$AI44,13)&gt;0,IF(AND($H44&lt;&gt;"",$H44&lt;=EOMONTH(V$12,0),$I44&gt;=V$12),"BOTH","UX"),IF(AND($H44&lt;&gt;"",$H44&lt;=EOMONTH(V$12,0),$I44&gt;=V$12),"DEV","")))</f>
        <v/>
      </c>
      <c r="W44" s="173" t="str">
        <f>IF($AI44="","",IF(INDEX('Roadmap Calc (Don’t Touch)'!$AA$2:$AX$151,$AI44,14)&gt;0,IF(AND($H44&lt;&gt;"",$H44&lt;=EOMONTH(W$12,0),$I44&gt;=W$12),"BOTH","UX"),IF(AND($H44&lt;&gt;"",$H44&lt;=EOMONTH(W$12,0),$I44&gt;=W$12),"DEV","")))</f>
        <v/>
      </c>
      <c r="X44" s="173" t="str">
        <f>IF($AI44="","",IF(INDEX('Roadmap Calc (Don’t Touch)'!$AA$2:$AX$151,$AI44,15)&gt;0,IF(AND($H44&lt;&gt;"",$H44&lt;=EOMONTH(X$12,0),$I44&gt;=X$12),"BOTH","UX"),IF(AND($H44&lt;&gt;"",$H44&lt;=EOMONTH(X$12,0),$I44&gt;=X$12),"DEV","")))</f>
        <v/>
      </c>
      <c r="Y44" s="173" t="str">
        <f>IF($AI44="","",IF(INDEX('Roadmap Calc (Don’t Touch)'!$AA$2:$AX$151,$AI44,16)&gt;0,IF(AND($H44&lt;&gt;"",$H44&lt;=EOMONTH(Y$12,0),$I44&gt;=Y$12),"BOTH","UX"),IF(AND($H44&lt;&gt;"",$H44&lt;=EOMONTH(Y$12,0),$I44&gt;=Y$12),"DEV","")))</f>
        <v/>
      </c>
      <c r="Z44" s="173" t="str">
        <f>IF($AI44="","",IF(INDEX('Roadmap Calc (Don’t Touch)'!$AA$2:$AX$151,$AI44,17)&gt;0,IF(AND($H44&lt;&gt;"",$H44&lt;=EOMONTH(Z$12,0),$I44&gt;=Z$12),"BOTH","UX"),IF(AND($H44&lt;&gt;"",$H44&lt;=EOMONTH(Z$12,0),$I44&gt;=Z$12),"DEV","")))</f>
        <v/>
      </c>
      <c r="AA44" s="173" t="str">
        <f>IF($AI44="","",IF(INDEX('Roadmap Calc (Don’t Touch)'!$AA$2:$AX$151,$AI44,18)&gt;0,IF(AND($H44&lt;&gt;"",$H44&lt;=EOMONTH(AA$12,0),$I44&gt;=AA$12),"BOTH","UX"),IF(AND($H44&lt;&gt;"",$H44&lt;=EOMONTH(AA$12,0),$I44&gt;=AA$12),"DEV","")))</f>
        <v/>
      </c>
      <c r="AB44" s="173" t="str">
        <f>IF($AI44="","",IF(INDEX('Roadmap Calc (Don’t Touch)'!$AA$2:$AX$151,$AI44,19)&gt;0,IF(AND($H44&lt;&gt;"",$H44&lt;=EOMONTH(AB$12,0),$I44&gt;=AB$12),"BOTH","UX"),IF(AND($H44&lt;&gt;"",$H44&lt;=EOMONTH(AB$12,0),$I44&gt;=AB$12),"DEV","")))</f>
        <v/>
      </c>
      <c r="AC44" s="173" t="str">
        <f>IF($AI44="","",IF(INDEX('Roadmap Calc (Don’t Touch)'!$AA$2:$AX$151,$AI44,20)&gt;0,IF(AND($H44&lt;&gt;"",$H44&lt;=EOMONTH(AC$12,0),$I44&gt;=AC$12),"BOTH","UX"),IF(AND($H44&lt;&gt;"",$H44&lt;=EOMONTH(AC$12,0),$I44&gt;=AC$12),"DEV","")))</f>
        <v/>
      </c>
      <c r="AD44" s="173" t="str">
        <f>IF($AI44="","",IF(INDEX('Roadmap Calc (Don’t Touch)'!$AA$2:$AX$151,$AI44,21)&gt;0,IF(AND($H44&lt;&gt;"",$H44&lt;=EOMONTH(AD$12,0),$I44&gt;=AD$12),"BOTH","UX"),IF(AND($H44&lt;&gt;"",$H44&lt;=EOMONTH(AD$12,0),$I44&gt;=AD$12),"DEV","")))</f>
        <v/>
      </c>
      <c r="AE44" s="173" t="str">
        <f>IF($AI44="","",IF(INDEX('Roadmap Calc (Don’t Touch)'!$AA$2:$AX$151,$AI44,22)&gt;0,IF(AND($H44&lt;&gt;"",$H44&lt;=EOMONTH(AE$12,0),$I44&gt;=AE$12),"BOTH","UX"),IF(AND($H44&lt;&gt;"",$H44&lt;=EOMONTH(AE$12,0),$I44&gt;=AE$12),"DEV","")))</f>
        <v/>
      </c>
      <c r="AF44" s="173" t="str">
        <f>IF($AI44="","",IF(INDEX('Roadmap Calc (Don’t Touch)'!$AA$2:$AX$151,$AI44,23)&gt;0,IF(AND($H44&lt;&gt;"",$H44&lt;=EOMONTH(AF$12,0),$I44&gt;=AF$12),"BOTH","UX"),IF(AND($H44&lt;&gt;"",$H44&lt;=EOMONTH(AF$12,0),$I44&gt;=AF$12),"DEV","")))</f>
        <v/>
      </c>
      <c r="AG44" s="173" t="str">
        <f>IF($AI44="","",IF(INDEX('Roadmap Calc (Don’t Touch)'!$AA$2:$AX$151,$AI44,24)&gt;0,IF(AND($H44&lt;&gt;"",$H44&lt;=EOMONTH(AG$12,0),$I44&gt;=AG$12),"BOTH","UX"),IF(AND($H44&lt;&gt;"",$H44&lt;=EOMONTH(AG$12,0),$I44&gt;=AG$12),"DEV","")))</f>
        <v/>
      </c>
      <c r="AH44" s="160" t="str">
        <f>IF($AI44="","",INDEX('Roadmap Calc (Don’t Touch)'!$D$2:$D$151,$AI44))</f>
        <v/>
      </c>
      <c r="AI44" s="160" t="str">
        <f>IFERROR(MATCH(29,'Roadmap Calc (Don’t Touch)'!$O$2:$O$151,0),"")</f>
        <v/>
      </c>
      <c r="AJ44" s="160"/>
      <c r="AK44" s="160"/>
      <c r="AL44" s="160"/>
      <c r="AM44" s="160"/>
    </row>
    <row r="45" spans="1:39" ht="20" customHeight="1" x14ac:dyDescent="0.25">
      <c r="A45" s="215" t="str">
        <f>IF($AI45="","",IF($AH45=$AH44,"",IF(INDEX('Roadmap Calc (Don’t Touch)'!$U$2:$U$151,$AI45)=0,$AH45,HYPERLINK("#'Control (Don’t Touch)'!E"&amp;INDEX('Roadmap Calc (Don’t Touch)'!$U$2:$U$151,$AI45),$AH45))))</f>
        <v/>
      </c>
      <c r="B45" s="174" t="str">
        <f>IF($AI45="","",IF(INDEX('Roadmap Calc (Don’t Touch)'!$K$2:$K$151,$AI45)="",INDEX('Roadmap Calc (Don’t Touch)'!$B$2:$B$151,$AI45),HYPERLINK("https://jira.bnh.com/browse/"&amp;INDEX('Roadmap Calc (Don’t Touch)'!$K$2:$K$151,$AI45),INDEX('Roadmap Calc (Don’t Touch)'!$B$2:$B$151,$AI45))))</f>
        <v/>
      </c>
      <c r="C45" s="174" t="str">
        <f>IF($AI45="","",IF(INDEX('Roadmap Calc (Don’t Touch)'!$E$2:$E$151,$AI45)="","",HYPERLINK("https://jira.bnh.com/browse/"&amp;INDEX('Roadmap Calc (Don’t Touch)'!$E$2:$E$151,$AI45),INDEX('Roadmap Calc (Don’t Touch)'!$E$2:$E$151,$AI45))))</f>
        <v/>
      </c>
      <c r="D45" s="176" t="str">
        <f>IF($AI45="","",INDEX('Roadmap Calc (Don’t Touch)'!$F$2:$F$151,$AI45))</f>
        <v/>
      </c>
      <c r="E45" s="170" t="str">
        <f>IF($AI45="","",IF(ISNUMBER(INDEX('Roadmap Calc (Don’t Touch)'!$G$2:$G$151,$AI45)),INDEX('Roadmap Calc (Don’t Touch)'!$G$2:$G$151,$AI45),""))</f>
        <v/>
      </c>
      <c r="F45" s="170" t="str">
        <f>IF($AI45="","",IF(ISNUMBER(INDEX('Roadmap Calc (Don’t Touch)'!$H$2:$H$151,$AI45)),INDEX('Roadmap Calc (Don’t Touch)'!$H$2:$H$151,$AI45),""))</f>
        <v/>
      </c>
      <c r="G45" s="171" t="str">
        <f>IF($AI45="","",INDEX('Roadmap Calc (Don’t Touch)'!$T$2:$T$151,$AI45))</f>
        <v/>
      </c>
      <c r="H45" s="172" t="str">
        <f>IF($AI45="","",IF(ISNUMBER(INDEX('Roadmap Calc (Don’t Touch)'!$I$2:$I$151,$AI45)),INDEX('Roadmap Calc (Don’t Touch)'!$I$2:$I$151,$AI45),""))</f>
        <v/>
      </c>
      <c r="I45" s="172" t="str">
        <f>IF($AI45="","",IF(ISNUMBER(INDEX('Roadmap Calc (Don’t Touch)'!$J$2:$J$151,$AI45)),INDEX('Roadmap Calc (Don’t Touch)'!$J$2:$J$151,$AI45),""))</f>
        <v/>
      </c>
      <c r="J45" s="173" t="str">
        <f>IF($AI45="","",IF(INDEX('Roadmap Calc (Don’t Touch)'!$AA$2:$AX$151,$AI45,1)&gt;0,IF(AND($H45&lt;&gt;"",$H45&lt;=EOMONTH(J$12,0),$I45&gt;=J$12),"BOTH","UX"),IF(AND($H45&lt;&gt;"",$H45&lt;=EOMONTH(J$12,0),$I45&gt;=J$12),"DEV","")))</f>
        <v/>
      </c>
      <c r="K45" s="173" t="str">
        <f>IF($AI45="","",IF(INDEX('Roadmap Calc (Don’t Touch)'!$AA$2:$AX$151,$AI45,2)&gt;0,IF(AND($H45&lt;&gt;"",$H45&lt;=EOMONTH(K$12,0),$I45&gt;=K$12),"BOTH","UX"),IF(AND($H45&lt;&gt;"",$H45&lt;=EOMONTH(K$12,0),$I45&gt;=K$12),"DEV","")))</f>
        <v/>
      </c>
      <c r="L45" s="173" t="str">
        <f>IF($AI45="","",IF(INDEX('Roadmap Calc (Don’t Touch)'!$AA$2:$AX$151,$AI45,3)&gt;0,IF(AND($H45&lt;&gt;"",$H45&lt;=EOMONTH(L$12,0),$I45&gt;=L$12),"BOTH","UX"),IF(AND($H45&lt;&gt;"",$H45&lt;=EOMONTH(L$12,0),$I45&gt;=L$12),"DEV","")))</f>
        <v/>
      </c>
      <c r="M45" s="173" t="str">
        <f>IF($AI45="","",IF(INDEX('Roadmap Calc (Don’t Touch)'!$AA$2:$AX$151,$AI45,4)&gt;0,IF(AND($H45&lt;&gt;"",$H45&lt;=EOMONTH(M$12,0),$I45&gt;=M$12),"BOTH","UX"),IF(AND($H45&lt;&gt;"",$H45&lt;=EOMONTH(M$12,0),$I45&gt;=M$12),"DEV","")))</f>
        <v/>
      </c>
      <c r="N45" s="173" t="str">
        <f>IF($AI45="","",IF(INDEX('Roadmap Calc (Don’t Touch)'!$AA$2:$AX$151,$AI45,5)&gt;0,IF(AND($H45&lt;&gt;"",$H45&lt;=EOMONTH(N$12,0),$I45&gt;=N$12),"BOTH","UX"),IF(AND($H45&lt;&gt;"",$H45&lt;=EOMONTH(N$12,0),$I45&gt;=N$12),"DEV","")))</f>
        <v/>
      </c>
      <c r="O45" s="173" t="str">
        <f>IF($AI45="","",IF(INDEX('Roadmap Calc (Don’t Touch)'!$AA$2:$AX$151,$AI45,6)&gt;0,IF(AND($H45&lt;&gt;"",$H45&lt;=EOMONTH(O$12,0),$I45&gt;=O$12),"BOTH","UX"),IF(AND($H45&lt;&gt;"",$H45&lt;=EOMONTH(O$12,0),$I45&gt;=O$12),"DEV","")))</f>
        <v/>
      </c>
      <c r="P45" s="173" t="str">
        <f>IF($AI45="","",IF(INDEX('Roadmap Calc (Don’t Touch)'!$AA$2:$AX$151,$AI45,7)&gt;0,IF(AND($H45&lt;&gt;"",$H45&lt;=EOMONTH(P$12,0),$I45&gt;=P$12),"BOTH","UX"),IF(AND($H45&lt;&gt;"",$H45&lt;=EOMONTH(P$12,0),$I45&gt;=P$12),"DEV","")))</f>
        <v/>
      </c>
      <c r="Q45" s="173" t="str">
        <f>IF($AI45="","",IF(INDEX('Roadmap Calc (Don’t Touch)'!$AA$2:$AX$151,$AI45,8)&gt;0,IF(AND($H45&lt;&gt;"",$H45&lt;=EOMONTH(Q$12,0),$I45&gt;=Q$12),"BOTH","UX"),IF(AND($H45&lt;&gt;"",$H45&lt;=EOMONTH(Q$12,0),$I45&gt;=Q$12),"DEV","")))</f>
        <v/>
      </c>
      <c r="R45" s="173" t="str">
        <f>IF($AI45="","",IF(INDEX('Roadmap Calc (Don’t Touch)'!$AA$2:$AX$151,$AI45,9)&gt;0,IF(AND($H45&lt;&gt;"",$H45&lt;=EOMONTH(R$12,0),$I45&gt;=R$12),"BOTH","UX"),IF(AND($H45&lt;&gt;"",$H45&lt;=EOMONTH(R$12,0),$I45&gt;=R$12),"DEV","")))</f>
        <v/>
      </c>
      <c r="S45" s="173" t="str">
        <f>IF($AI45="","",IF(INDEX('Roadmap Calc (Don’t Touch)'!$AA$2:$AX$151,$AI45,10)&gt;0,IF(AND($H45&lt;&gt;"",$H45&lt;=EOMONTH(S$12,0),$I45&gt;=S$12),"BOTH","UX"),IF(AND($H45&lt;&gt;"",$H45&lt;=EOMONTH(S$12,0),$I45&gt;=S$12),"DEV","")))</f>
        <v/>
      </c>
      <c r="T45" s="173" t="str">
        <f>IF($AI45="","",IF(INDEX('Roadmap Calc (Don’t Touch)'!$AA$2:$AX$151,$AI45,11)&gt;0,IF(AND($H45&lt;&gt;"",$H45&lt;=EOMONTH(T$12,0),$I45&gt;=T$12),"BOTH","UX"),IF(AND($H45&lt;&gt;"",$H45&lt;=EOMONTH(T$12,0),$I45&gt;=T$12),"DEV","")))</f>
        <v/>
      </c>
      <c r="U45" s="173" t="str">
        <f>IF($AI45="","",IF(INDEX('Roadmap Calc (Don’t Touch)'!$AA$2:$AX$151,$AI45,12)&gt;0,IF(AND($H45&lt;&gt;"",$H45&lt;=EOMONTH(U$12,0),$I45&gt;=U$12),"BOTH","UX"),IF(AND($H45&lt;&gt;"",$H45&lt;=EOMONTH(U$12,0),$I45&gt;=U$12),"DEV","")))</f>
        <v/>
      </c>
      <c r="V45" s="173" t="str">
        <f>IF($AI45="","",IF(INDEX('Roadmap Calc (Don’t Touch)'!$AA$2:$AX$151,$AI45,13)&gt;0,IF(AND($H45&lt;&gt;"",$H45&lt;=EOMONTH(V$12,0),$I45&gt;=V$12),"BOTH","UX"),IF(AND($H45&lt;&gt;"",$H45&lt;=EOMONTH(V$12,0),$I45&gt;=V$12),"DEV","")))</f>
        <v/>
      </c>
      <c r="W45" s="173" t="str">
        <f>IF($AI45="","",IF(INDEX('Roadmap Calc (Don’t Touch)'!$AA$2:$AX$151,$AI45,14)&gt;0,IF(AND($H45&lt;&gt;"",$H45&lt;=EOMONTH(W$12,0),$I45&gt;=W$12),"BOTH","UX"),IF(AND($H45&lt;&gt;"",$H45&lt;=EOMONTH(W$12,0),$I45&gt;=W$12),"DEV","")))</f>
        <v/>
      </c>
      <c r="X45" s="173" t="str">
        <f>IF($AI45="","",IF(INDEX('Roadmap Calc (Don’t Touch)'!$AA$2:$AX$151,$AI45,15)&gt;0,IF(AND($H45&lt;&gt;"",$H45&lt;=EOMONTH(X$12,0),$I45&gt;=X$12),"BOTH","UX"),IF(AND($H45&lt;&gt;"",$H45&lt;=EOMONTH(X$12,0),$I45&gt;=X$12),"DEV","")))</f>
        <v/>
      </c>
      <c r="Y45" s="173" t="str">
        <f>IF($AI45="","",IF(INDEX('Roadmap Calc (Don’t Touch)'!$AA$2:$AX$151,$AI45,16)&gt;0,IF(AND($H45&lt;&gt;"",$H45&lt;=EOMONTH(Y$12,0),$I45&gt;=Y$12),"BOTH","UX"),IF(AND($H45&lt;&gt;"",$H45&lt;=EOMONTH(Y$12,0),$I45&gt;=Y$12),"DEV","")))</f>
        <v/>
      </c>
      <c r="Z45" s="173" t="str">
        <f>IF($AI45="","",IF(INDEX('Roadmap Calc (Don’t Touch)'!$AA$2:$AX$151,$AI45,17)&gt;0,IF(AND($H45&lt;&gt;"",$H45&lt;=EOMONTH(Z$12,0),$I45&gt;=Z$12),"BOTH","UX"),IF(AND($H45&lt;&gt;"",$H45&lt;=EOMONTH(Z$12,0),$I45&gt;=Z$12),"DEV","")))</f>
        <v/>
      </c>
      <c r="AA45" s="173" t="str">
        <f>IF($AI45="","",IF(INDEX('Roadmap Calc (Don’t Touch)'!$AA$2:$AX$151,$AI45,18)&gt;0,IF(AND($H45&lt;&gt;"",$H45&lt;=EOMONTH(AA$12,0),$I45&gt;=AA$12),"BOTH","UX"),IF(AND($H45&lt;&gt;"",$H45&lt;=EOMONTH(AA$12,0),$I45&gt;=AA$12),"DEV","")))</f>
        <v/>
      </c>
      <c r="AB45" s="173" t="str">
        <f>IF($AI45="","",IF(INDEX('Roadmap Calc (Don’t Touch)'!$AA$2:$AX$151,$AI45,19)&gt;0,IF(AND($H45&lt;&gt;"",$H45&lt;=EOMONTH(AB$12,0),$I45&gt;=AB$12),"BOTH","UX"),IF(AND($H45&lt;&gt;"",$H45&lt;=EOMONTH(AB$12,0),$I45&gt;=AB$12),"DEV","")))</f>
        <v/>
      </c>
      <c r="AC45" s="173" t="str">
        <f>IF($AI45="","",IF(INDEX('Roadmap Calc (Don’t Touch)'!$AA$2:$AX$151,$AI45,20)&gt;0,IF(AND($H45&lt;&gt;"",$H45&lt;=EOMONTH(AC$12,0),$I45&gt;=AC$12),"BOTH","UX"),IF(AND($H45&lt;&gt;"",$H45&lt;=EOMONTH(AC$12,0),$I45&gt;=AC$12),"DEV","")))</f>
        <v/>
      </c>
      <c r="AD45" s="173" t="str">
        <f>IF($AI45="","",IF(INDEX('Roadmap Calc (Don’t Touch)'!$AA$2:$AX$151,$AI45,21)&gt;0,IF(AND($H45&lt;&gt;"",$H45&lt;=EOMONTH(AD$12,0),$I45&gt;=AD$12),"BOTH","UX"),IF(AND($H45&lt;&gt;"",$H45&lt;=EOMONTH(AD$12,0),$I45&gt;=AD$12),"DEV","")))</f>
        <v/>
      </c>
      <c r="AE45" s="173" t="str">
        <f>IF($AI45="","",IF(INDEX('Roadmap Calc (Don’t Touch)'!$AA$2:$AX$151,$AI45,22)&gt;0,IF(AND($H45&lt;&gt;"",$H45&lt;=EOMONTH(AE$12,0),$I45&gt;=AE$12),"BOTH","UX"),IF(AND($H45&lt;&gt;"",$H45&lt;=EOMONTH(AE$12,0),$I45&gt;=AE$12),"DEV","")))</f>
        <v/>
      </c>
      <c r="AF45" s="173" t="str">
        <f>IF($AI45="","",IF(INDEX('Roadmap Calc (Don’t Touch)'!$AA$2:$AX$151,$AI45,23)&gt;0,IF(AND($H45&lt;&gt;"",$H45&lt;=EOMONTH(AF$12,0),$I45&gt;=AF$12),"BOTH","UX"),IF(AND($H45&lt;&gt;"",$H45&lt;=EOMONTH(AF$12,0),$I45&gt;=AF$12),"DEV","")))</f>
        <v/>
      </c>
      <c r="AG45" s="173" t="str">
        <f>IF($AI45="","",IF(INDEX('Roadmap Calc (Don’t Touch)'!$AA$2:$AX$151,$AI45,24)&gt;0,IF(AND($H45&lt;&gt;"",$H45&lt;=EOMONTH(AG$12,0),$I45&gt;=AG$12),"BOTH","UX"),IF(AND($H45&lt;&gt;"",$H45&lt;=EOMONTH(AG$12,0),$I45&gt;=AG$12),"DEV","")))</f>
        <v/>
      </c>
      <c r="AH45" s="160" t="str">
        <f>IF($AI45="","",INDEX('Roadmap Calc (Don’t Touch)'!$D$2:$D$151,$AI45))</f>
        <v/>
      </c>
      <c r="AI45" s="160" t="str">
        <f>IFERROR(MATCH(30,'Roadmap Calc (Don’t Touch)'!$O$2:$O$151,0),"")</f>
        <v/>
      </c>
      <c r="AJ45" s="160"/>
      <c r="AK45" s="160"/>
      <c r="AL45" s="160"/>
      <c r="AM45" s="160"/>
    </row>
    <row r="46" spans="1:39" ht="20" customHeight="1" x14ac:dyDescent="0.25">
      <c r="A46" s="214" t="str">
        <f>IF($AI46="","",IF($AH46=$AH45,"",IF(INDEX('Roadmap Calc (Don’t Touch)'!$U$2:$U$151,$AI46)=0,$AH46,HYPERLINK("#'Control (Don’t Touch)'!E"&amp;INDEX('Roadmap Calc (Don’t Touch)'!$U$2:$U$151,$AI46),$AH46))))</f>
        <v/>
      </c>
      <c r="B46" s="174" t="str">
        <f>IF($AI46="","",IF(INDEX('Roadmap Calc (Don’t Touch)'!$K$2:$K$151,$AI46)="",INDEX('Roadmap Calc (Don’t Touch)'!$B$2:$B$151,$AI46),HYPERLINK("https://jira.bnh.com/browse/"&amp;INDEX('Roadmap Calc (Don’t Touch)'!$K$2:$K$151,$AI46),INDEX('Roadmap Calc (Don’t Touch)'!$B$2:$B$151,$AI46))))</f>
        <v/>
      </c>
      <c r="C46" s="174" t="str">
        <f>IF($AI46="","",IF(INDEX('Roadmap Calc (Don’t Touch)'!$E$2:$E$151,$AI46)="","",HYPERLINK("https://jira.bnh.com/browse/"&amp;INDEX('Roadmap Calc (Don’t Touch)'!$E$2:$E$151,$AI46),INDEX('Roadmap Calc (Don’t Touch)'!$E$2:$E$151,$AI46))))</f>
        <v/>
      </c>
      <c r="D46" s="176" t="str">
        <f>IF($AI46="","",INDEX('Roadmap Calc (Don’t Touch)'!$F$2:$F$151,$AI46))</f>
        <v/>
      </c>
      <c r="E46" s="170" t="str">
        <f>IF($AI46="","",IF(ISNUMBER(INDEX('Roadmap Calc (Don’t Touch)'!$G$2:$G$151,$AI46)),INDEX('Roadmap Calc (Don’t Touch)'!$G$2:$G$151,$AI46),""))</f>
        <v/>
      </c>
      <c r="F46" s="170" t="str">
        <f>IF($AI46="","",IF(ISNUMBER(INDEX('Roadmap Calc (Don’t Touch)'!$H$2:$H$151,$AI46)),INDEX('Roadmap Calc (Don’t Touch)'!$H$2:$H$151,$AI46),""))</f>
        <v/>
      </c>
      <c r="G46" s="171" t="str">
        <f>IF($AI46="","",INDEX('Roadmap Calc (Don’t Touch)'!$T$2:$T$151,$AI46))</f>
        <v/>
      </c>
      <c r="H46" s="172" t="str">
        <f>IF($AI46="","",IF(ISNUMBER(INDEX('Roadmap Calc (Don’t Touch)'!$I$2:$I$151,$AI46)),INDEX('Roadmap Calc (Don’t Touch)'!$I$2:$I$151,$AI46),""))</f>
        <v/>
      </c>
      <c r="I46" s="172" t="str">
        <f>IF($AI46="","",IF(ISNUMBER(INDEX('Roadmap Calc (Don’t Touch)'!$J$2:$J$151,$AI46)),INDEX('Roadmap Calc (Don’t Touch)'!$J$2:$J$151,$AI46),""))</f>
        <v/>
      </c>
      <c r="J46" s="173" t="str">
        <f>IF($AI46="","",IF(INDEX('Roadmap Calc (Don’t Touch)'!$AA$2:$AX$151,$AI46,1)&gt;0,IF(AND($H46&lt;&gt;"",$H46&lt;=EOMONTH(J$12,0),$I46&gt;=J$12),"BOTH","UX"),IF(AND($H46&lt;&gt;"",$H46&lt;=EOMONTH(J$12,0),$I46&gt;=J$12),"DEV","")))</f>
        <v/>
      </c>
      <c r="K46" s="173" t="str">
        <f>IF($AI46="","",IF(INDEX('Roadmap Calc (Don’t Touch)'!$AA$2:$AX$151,$AI46,2)&gt;0,IF(AND($H46&lt;&gt;"",$H46&lt;=EOMONTH(K$12,0),$I46&gt;=K$12),"BOTH","UX"),IF(AND($H46&lt;&gt;"",$H46&lt;=EOMONTH(K$12,0),$I46&gt;=K$12),"DEV","")))</f>
        <v/>
      </c>
      <c r="L46" s="173" t="str">
        <f>IF($AI46="","",IF(INDEX('Roadmap Calc (Don’t Touch)'!$AA$2:$AX$151,$AI46,3)&gt;0,IF(AND($H46&lt;&gt;"",$H46&lt;=EOMONTH(L$12,0),$I46&gt;=L$12),"BOTH","UX"),IF(AND($H46&lt;&gt;"",$H46&lt;=EOMONTH(L$12,0),$I46&gt;=L$12),"DEV","")))</f>
        <v/>
      </c>
      <c r="M46" s="173" t="str">
        <f>IF($AI46="","",IF(INDEX('Roadmap Calc (Don’t Touch)'!$AA$2:$AX$151,$AI46,4)&gt;0,IF(AND($H46&lt;&gt;"",$H46&lt;=EOMONTH(M$12,0),$I46&gt;=M$12),"BOTH","UX"),IF(AND($H46&lt;&gt;"",$H46&lt;=EOMONTH(M$12,0),$I46&gt;=M$12),"DEV","")))</f>
        <v/>
      </c>
      <c r="N46" s="173" t="str">
        <f>IF($AI46="","",IF(INDEX('Roadmap Calc (Don’t Touch)'!$AA$2:$AX$151,$AI46,5)&gt;0,IF(AND($H46&lt;&gt;"",$H46&lt;=EOMONTH(N$12,0),$I46&gt;=N$12),"BOTH","UX"),IF(AND($H46&lt;&gt;"",$H46&lt;=EOMONTH(N$12,0),$I46&gt;=N$12),"DEV","")))</f>
        <v/>
      </c>
      <c r="O46" s="173" t="str">
        <f>IF($AI46="","",IF(INDEX('Roadmap Calc (Don’t Touch)'!$AA$2:$AX$151,$AI46,6)&gt;0,IF(AND($H46&lt;&gt;"",$H46&lt;=EOMONTH(O$12,0),$I46&gt;=O$12),"BOTH","UX"),IF(AND($H46&lt;&gt;"",$H46&lt;=EOMONTH(O$12,0),$I46&gt;=O$12),"DEV","")))</f>
        <v/>
      </c>
      <c r="P46" s="173" t="str">
        <f>IF($AI46="","",IF(INDEX('Roadmap Calc (Don’t Touch)'!$AA$2:$AX$151,$AI46,7)&gt;0,IF(AND($H46&lt;&gt;"",$H46&lt;=EOMONTH(P$12,0),$I46&gt;=P$12),"BOTH","UX"),IF(AND($H46&lt;&gt;"",$H46&lt;=EOMONTH(P$12,0),$I46&gt;=P$12),"DEV","")))</f>
        <v/>
      </c>
      <c r="Q46" s="173" t="str">
        <f>IF($AI46="","",IF(INDEX('Roadmap Calc (Don’t Touch)'!$AA$2:$AX$151,$AI46,8)&gt;0,IF(AND($H46&lt;&gt;"",$H46&lt;=EOMONTH(Q$12,0),$I46&gt;=Q$12),"BOTH","UX"),IF(AND($H46&lt;&gt;"",$H46&lt;=EOMONTH(Q$12,0),$I46&gt;=Q$12),"DEV","")))</f>
        <v/>
      </c>
      <c r="R46" s="173" t="str">
        <f>IF($AI46="","",IF(INDEX('Roadmap Calc (Don’t Touch)'!$AA$2:$AX$151,$AI46,9)&gt;0,IF(AND($H46&lt;&gt;"",$H46&lt;=EOMONTH(R$12,0),$I46&gt;=R$12),"BOTH","UX"),IF(AND($H46&lt;&gt;"",$H46&lt;=EOMONTH(R$12,0),$I46&gt;=R$12),"DEV","")))</f>
        <v/>
      </c>
      <c r="S46" s="173" t="str">
        <f>IF($AI46="","",IF(INDEX('Roadmap Calc (Don’t Touch)'!$AA$2:$AX$151,$AI46,10)&gt;0,IF(AND($H46&lt;&gt;"",$H46&lt;=EOMONTH(S$12,0),$I46&gt;=S$12),"BOTH","UX"),IF(AND($H46&lt;&gt;"",$H46&lt;=EOMONTH(S$12,0),$I46&gt;=S$12),"DEV","")))</f>
        <v/>
      </c>
      <c r="T46" s="173" t="str">
        <f>IF($AI46="","",IF(INDEX('Roadmap Calc (Don’t Touch)'!$AA$2:$AX$151,$AI46,11)&gt;0,IF(AND($H46&lt;&gt;"",$H46&lt;=EOMONTH(T$12,0),$I46&gt;=T$12),"BOTH","UX"),IF(AND($H46&lt;&gt;"",$H46&lt;=EOMONTH(T$12,0),$I46&gt;=T$12),"DEV","")))</f>
        <v/>
      </c>
      <c r="U46" s="173" t="str">
        <f>IF($AI46="","",IF(INDEX('Roadmap Calc (Don’t Touch)'!$AA$2:$AX$151,$AI46,12)&gt;0,IF(AND($H46&lt;&gt;"",$H46&lt;=EOMONTH(U$12,0),$I46&gt;=U$12),"BOTH","UX"),IF(AND($H46&lt;&gt;"",$H46&lt;=EOMONTH(U$12,0),$I46&gt;=U$12),"DEV","")))</f>
        <v/>
      </c>
      <c r="V46" s="173" t="str">
        <f>IF($AI46="","",IF(INDEX('Roadmap Calc (Don’t Touch)'!$AA$2:$AX$151,$AI46,13)&gt;0,IF(AND($H46&lt;&gt;"",$H46&lt;=EOMONTH(V$12,0),$I46&gt;=V$12),"BOTH","UX"),IF(AND($H46&lt;&gt;"",$H46&lt;=EOMONTH(V$12,0),$I46&gt;=V$12),"DEV","")))</f>
        <v/>
      </c>
      <c r="W46" s="173" t="str">
        <f>IF($AI46="","",IF(INDEX('Roadmap Calc (Don’t Touch)'!$AA$2:$AX$151,$AI46,14)&gt;0,IF(AND($H46&lt;&gt;"",$H46&lt;=EOMONTH(W$12,0),$I46&gt;=W$12),"BOTH","UX"),IF(AND($H46&lt;&gt;"",$H46&lt;=EOMONTH(W$12,0),$I46&gt;=W$12),"DEV","")))</f>
        <v/>
      </c>
      <c r="X46" s="173" t="str">
        <f>IF($AI46="","",IF(INDEX('Roadmap Calc (Don’t Touch)'!$AA$2:$AX$151,$AI46,15)&gt;0,IF(AND($H46&lt;&gt;"",$H46&lt;=EOMONTH(X$12,0),$I46&gt;=X$12),"BOTH","UX"),IF(AND($H46&lt;&gt;"",$H46&lt;=EOMONTH(X$12,0),$I46&gt;=X$12),"DEV","")))</f>
        <v/>
      </c>
      <c r="Y46" s="173" t="str">
        <f>IF($AI46="","",IF(INDEX('Roadmap Calc (Don’t Touch)'!$AA$2:$AX$151,$AI46,16)&gt;0,IF(AND($H46&lt;&gt;"",$H46&lt;=EOMONTH(Y$12,0),$I46&gt;=Y$12),"BOTH","UX"),IF(AND($H46&lt;&gt;"",$H46&lt;=EOMONTH(Y$12,0),$I46&gt;=Y$12),"DEV","")))</f>
        <v/>
      </c>
      <c r="Z46" s="173" t="str">
        <f>IF($AI46="","",IF(INDEX('Roadmap Calc (Don’t Touch)'!$AA$2:$AX$151,$AI46,17)&gt;0,IF(AND($H46&lt;&gt;"",$H46&lt;=EOMONTH(Z$12,0),$I46&gt;=Z$12),"BOTH","UX"),IF(AND($H46&lt;&gt;"",$H46&lt;=EOMONTH(Z$12,0),$I46&gt;=Z$12),"DEV","")))</f>
        <v/>
      </c>
      <c r="AA46" s="173" t="str">
        <f>IF($AI46="","",IF(INDEX('Roadmap Calc (Don’t Touch)'!$AA$2:$AX$151,$AI46,18)&gt;0,IF(AND($H46&lt;&gt;"",$H46&lt;=EOMONTH(AA$12,0),$I46&gt;=AA$12),"BOTH","UX"),IF(AND($H46&lt;&gt;"",$H46&lt;=EOMONTH(AA$12,0),$I46&gt;=AA$12),"DEV","")))</f>
        <v/>
      </c>
      <c r="AB46" s="173" t="str">
        <f>IF($AI46="","",IF(INDEX('Roadmap Calc (Don’t Touch)'!$AA$2:$AX$151,$AI46,19)&gt;0,IF(AND($H46&lt;&gt;"",$H46&lt;=EOMONTH(AB$12,0),$I46&gt;=AB$12),"BOTH","UX"),IF(AND($H46&lt;&gt;"",$H46&lt;=EOMONTH(AB$12,0),$I46&gt;=AB$12),"DEV","")))</f>
        <v/>
      </c>
      <c r="AC46" s="173" t="str">
        <f>IF($AI46="","",IF(INDEX('Roadmap Calc (Don’t Touch)'!$AA$2:$AX$151,$AI46,20)&gt;0,IF(AND($H46&lt;&gt;"",$H46&lt;=EOMONTH(AC$12,0),$I46&gt;=AC$12),"BOTH","UX"),IF(AND($H46&lt;&gt;"",$H46&lt;=EOMONTH(AC$12,0),$I46&gt;=AC$12),"DEV","")))</f>
        <v/>
      </c>
      <c r="AD46" s="173" t="str">
        <f>IF($AI46="","",IF(INDEX('Roadmap Calc (Don’t Touch)'!$AA$2:$AX$151,$AI46,21)&gt;0,IF(AND($H46&lt;&gt;"",$H46&lt;=EOMONTH(AD$12,0),$I46&gt;=AD$12),"BOTH","UX"),IF(AND($H46&lt;&gt;"",$H46&lt;=EOMONTH(AD$12,0),$I46&gt;=AD$12),"DEV","")))</f>
        <v/>
      </c>
      <c r="AE46" s="173" t="str">
        <f>IF($AI46="","",IF(INDEX('Roadmap Calc (Don’t Touch)'!$AA$2:$AX$151,$AI46,22)&gt;0,IF(AND($H46&lt;&gt;"",$H46&lt;=EOMONTH(AE$12,0),$I46&gt;=AE$12),"BOTH","UX"),IF(AND($H46&lt;&gt;"",$H46&lt;=EOMONTH(AE$12,0),$I46&gt;=AE$12),"DEV","")))</f>
        <v/>
      </c>
      <c r="AF46" s="173" t="str">
        <f>IF($AI46="","",IF(INDEX('Roadmap Calc (Don’t Touch)'!$AA$2:$AX$151,$AI46,23)&gt;0,IF(AND($H46&lt;&gt;"",$H46&lt;=EOMONTH(AF$12,0),$I46&gt;=AF$12),"BOTH","UX"),IF(AND($H46&lt;&gt;"",$H46&lt;=EOMONTH(AF$12,0),$I46&gt;=AF$12),"DEV","")))</f>
        <v/>
      </c>
      <c r="AG46" s="173" t="str">
        <f>IF($AI46="","",IF(INDEX('Roadmap Calc (Don’t Touch)'!$AA$2:$AX$151,$AI46,24)&gt;0,IF(AND($H46&lt;&gt;"",$H46&lt;=EOMONTH(AG$12,0),$I46&gt;=AG$12),"BOTH","UX"),IF(AND($H46&lt;&gt;"",$H46&lt;=EOMONTH(AG$12,0),$I46&gt;=AG$12),"DEV","")))</f>
        <v/>
      </c>
      <c r="AH46" s="160" t="str">
        <f>IF($AI46="","",INDEX('Roadmap Calc (Don’t Touch)'!$D$2:$D$151,$AI46))</f>
        <v/>
      </c>
      <c r="AI46" s="160" t="str">
        <f>IFERROR(MATCH(31,'Roadmap Calc (Don’t Touch)'!$O$2:$O$151,0),"")</f>
        <v/>
      </c>
      <c r="AJ46" s="160"/>
      <c r="AK46" s="160"/>
      <c r="AL46" s="160"/>
      <c r="AM46" s="160"/>
    </row>
    <row r="47" spans="1:39" ht="20" customHeight="1" x14ac:dyDescent="0.25">
      <c r="A47" s="214" t="str">
        <f>IF($AI47="","",IF($AH47=$AH46,"",IF(INDEX('Roadmap Calc (Don’t Touch)'!$U$2:$U$151,$AI47)=0,$AH47,HYPERLINK("#'Control (Don’t Touch)'!E"&amp;INDEX('Roadmap Calc (Don’t Touch)'!$U$2:$U$151,$AI47),$AH47))))</f>
        <v/>
      </c>
      <c r="B47" s="174" t="str">
        <f>IF($AI47="","",IF(INDEX('Roadmap Calc (Don’t Touch)'!$K$2:$K$151,$AI47)="",INDEX('Roadmap Calc (Don’t Touch)'!$B$2:$B$151,$AI47),HYPERLINK("https://jira.bnh.com/browse/"&amp;INDEX('Roadmap Calc (Don’t Touch)'!$K$2:$K$151,$AI47),INDEX('Roadmap Calc (Don’t Touch)'!$B$2:$B$151,$AI47))))</f>
        <v/>
      </c>
      <c r="C47" s="174" t="str">
        <f>IF($AI47="","",IF(INDEX('Roadmap Calc (Don’t Touch)'!$E$2:$E$151,$AI47)="","",HYPERLINK("https://jira.bnh.com/browse/"&amp;INDEX('Roadmap Calc (Don’t Touch)'!$E$2:$E$151,$AI47),INDEX('Roadmap Calc (Don’t Touch)'!$E$2:$E$151,$AI47))))</f>
        <v/>
      </c>
      <c r="D47" s="176" t="str">
        <f>IF($AI47="","",INDEX('Roadmap Calc (Don’t Touch)'!$F$2:$F$151,$AI47))</f>
        <v/>
      </c>
      <c r="E47" s="170" t="str">
        <f>IF($AI47="","",IF(ISNUMBER(INDEX('Roadmap Calc (Don’t Touch)'!$G$2:$G$151,$AI47)),INDEX('Roadmap Calc (Don’t Touch)'!$G$2:$G$151,$AI47),""))</f>
        <v/>
      </c>
      <c r="F47" s="170" t="str">
        <f>IF($AI47="","",IF(ISNUMBER(INDEX('Roadmap Calc (Don’t Touch)'!$H$2:$H$151,$AI47)),INDEX('Roadmap Calc (Don’t Touch)'!$H$2:$H$151,$AI47),""))</f>
        <v/>
      </c>
      <c r="G47" s="171" t="str">
        <f>IF($AI47="","",INDEX('Roadmap Calc (Don’t Touch)'!$T$2:$T$151,$AI47))</f>
        <v/>
      </c>
      <c r="H47" s="172" t="str">
        <f>IF($AI47="","",IF(ISNUMBER(INDEX('Roadmap Calc (Don’t Touch)'!$I$2:$I$151,$AI47)),INDEX('Roadmap Calc (Don’t Touch)'!$I$2:$I$151,$AI47),""))</f>
        <v/>
      </c>
      <c r="I47" s="172" t="str">
        <f>IF($AI47="","",IF(ISNUMBER(INDEX('Roadmap Calc (Don’t Touch)'!$J$2:$J$151,$AI47)),INDEX('Roadmap Calc (Don’t Touch)'!$J$2:$J$151,$AI47),""))</f>
        <v/>
      </c>
      <c r="J47" s="173" t="str">
        <f>IF($AI47="","",IF(INDEX('Roadmap Calc (Don’t Touch)'!$AA$2:$AX$151,$AI47,1)&gt;0,IF(AND($H47&lt;&gt;"",$H47&lt;=EOMONTH(J$12,0),$I47&gt;=J$12),"BOTH","UX"),IF(AND($H47&lt;&gt;"",$H47&lt;=EOMONTH(J$12,0),$I47&gt;=J$12),"DEV","")))</f>
        <v/>
      </c>
      <c r="K47" s="173" t="str">
        <f>IF($AI47="","",IF(INDEX('Roadmap Calc (Don’t Touch)'!$AA$2:$AX$151,$AI47,2)&gt;0,IF(AND($H47&lt;&gt;"",$H47&lt;=EOMONTH(K$12,0),$I47&gt;=K$12),"BOTH","UX"),IF(AND($H47&lt;&gt;"",$H47&lt;=EOMONTH(K$12,0),$I47&gt;=K$12),"DEV","")))</f>
        <v/>
      </c>
      <c r="L47" s="173" t="str">
        <f>IF($AI47="","",IF(INDEX('Roadmap Calc (Don’t Touch)'!$AA$2:$AX$151,$AI47,3)&gt;0,IF(AND($H47&lt;&gt;"",$H47&lt;=EOMONTH(L$12,0),$I47&gt;=L$12),"BOTH","UX"),IF(AND($H47&lt;&gt;"",$H47&lt;=EOMONTH(L$12,0),$I47&gt;=L$12),"DEV","")))</f>
        <v/>
      </c>
      <c r="M47" s="173" t="str">
        <f>IF($AI47="","",IF(INDEX('Roadmap Calc (Don’t Touch)'!$AA$2:$AX$151,$AI47,4)&gt;0,IF(AND($H47&lt;&gt;"",$H47&lt;=EOMONTH(M$12,0),$I47&gt;=M$12),"BOTH","UX"),IF(AND($H47&lt;&gt;"",$H47&lt;=EOMONTH(M$12,0),$I47&gt;=M$12),"DEV","")))</f>
        <v/>
      </c>
      <c r="N47" s="173" t="str">
        <f>IF($AI47="","",IF(INDEX('Roadmap Calc (Don’t Touch)'!$AA$2:$AX$151,$AI47,5)&gt;0,IF(AND($H47&lt;&gt;"",$H47&lt;=EOMONTH(N$12,0),$I47&gt;=N$12),"BOTH","UX"),IF(AND($H47&lt;&gt;"",$H47&lt;=EOMONTH(N$12,0),$I47&gt;=N$12),"DEV","")))</f>
        <v/>
      </c>
      <c r="O47" s="173" t="str">
        <f>IF($AI47="","",IF(INDEX('Roadmap Calc (Don’t Touch)'!$AA$2:$AX$151,$AI47,6)&gt;0,IF(AND($H47&lt;&gt;"",$H47&lt;=EOMONTH(O$12,0),$I47&gt;=O$12),"BOTH","UX"),IF(AND($H47&lt;&gt;"",$H47&lt;=EOMONTH(O$12,0),$I47&gt;=O$12),"DEV","")))</f>
        <v/>
      </c>
      <c r="P47" s="173" t="str">
        <f>IF($AI47="","",IF(INDEX('Roadmap Calc (Don’t Touch)'!$AA$2:$AX$151,$AI47,7)&gt;0,IF(AND($H47&lt;&gt;"",$H47&lt;=EOMONTH(P$12,0),$I47&gt;=P$12),"BOTH","UX"),IF(AND($H47&lt;&gt;"",$H47&lt;=EOMONTH(P$12,0),$I47&gt;=P$12),"DEV","")))</f>
        <v/>
      </c>
      <c r="Q47" s="173" t="str">
        <f>IF($AI47="","",IF(INDEX('Roadmap Calc (Don’t Touch)'!$AA$2:$AX$151,$AI47,8)&gt;0,IF(AND($H47&lt;&gt;"",$H47&lt;=EOMONTH(Q$12,0),$I47&gt;=Q$12),"BOTH","UX"),IF(AND($H47&lt;&gt;"",$H47&lt;=EOMONTH(Q$12,0),$I47&gt;=Q$12),"DEV","")))</f>
        <v/>
      </c>
      <c r="R47" s="173" t="str">
        <f>IF($AI47="","",IF(INDEX('Roadmap Calc (Don’t Touch)'!$AA$2:$AX$151,$AI47,9)&gt;0,IF(AND($H47&lt;&gt;"",$H47&lt;=EOMONTH(R$12,0),$I47&gt;=R$12),"BOTH","UX"),IF(AND($H47&lt;&gt;"",$H47&lt;=EOMONTH(R$12,0),$I47&gt;=R$12),"DEV","")))</f>
        <v/>
      </c>
      <c r="S47" s="173" t="str">
        <f>IF($AI47="","",IF(INDEX('Roadmap Calc (Don’t Touch)'!$AA$2:$AX$151,$AI47,10)&gt;0,IF(AND($H47&lt;&gt;"",$H47&lt;=EOMONTH(S$12,0),$I47&gt;=S$12),"BOTH","UX"),IF(AND($H47&lt;&gt;"",$H47&lt;=EOMONTH(S$12,0),$I47&gt;=S$12),"DEV","")))</f>
        <v/>
      </c>
      <c r="T47" s="173" t="str">
        <f>IF($AI47="","",IF(INDEX('Roadmap Calc (Don’t Touch)'!$AA$2:$AX$151,$AI47,11)&gt;0,IF(AND($H47&lt;&gt;"",$H47&lt;=EOMONTH(T$12,0),$I47&gt;=T$12),"BOTH","UX"),IF(AND($H47&lt;&gt;"",$H47&lt;=EOMONTH(T$12,0),$I47&gt;=T$12),"DEV","")))</f>
        <v/>
      </c>
      <c r="U47" s="173" t="str">
        <f>IF($AI47="","",IF(INDEX('Roadmap Calc (Don’t Touch)'!$AA$2:$AX$151,$AI47,12)&gt;0,IF(AND($H47&lt;&gt;"",$H47&lt;=EOMONTH(U$12,0),$I47&gt;=U$12),"BOTH","UX"),IF(AND($H47&lt;&gt;"",$H47&lt;=EOMONTH(U$12,0),$I47&gt;=U$12),"DEV","")))</f>
        <v/>
      </c>
      <c r="V47" s="173" t="str">
        <f>IF($AI47="","",IF(INDEX('Roadmap Calc (Don’t Touch)'!$AA$2:$AX$151,$AI47,13)&gt;0,IF(AND($H47&lt;&gt;"",$H47&lt;=EOMONTH(V$12,0),$I47&gt;=V$12),"BOTH","UX"),IF(AND($H47&lt;&gt;"",$H47&lt;=EOMONTH(V$12,0),$I47&gt;=V$12),"DEV","")))</f>
        <v/>
      </c>
      <c r="W47" s="173" t="str">
        <f>IF($AI47="","",IF(INDEX('Roadmap Calc (Don’t Touch)'!$AA$2:$AX$151,$AI47,14)&gt;0,IF(AND($H47&lt;&gt;"",$H47&lt;=EOMONTH(W$12,0),$I47&gt;=W$12),"BOTH","UX"),IF(AND($H47&lt;&gt;"",$H47&lt;=EOMONTH(W$12,0),$I47&gt;=W$12),"DEV","")))</f>
        <v/>
      </c>
      <c r="X47" s="173" t="str">
        <f>IF($AI47="","",IF(INDEX('Roadmap Calc (Don’t Touch)'!$AA$2:$AX$151,$AI47,15)&gt;0,IF(AND($H47&lt;&gt;"",$H47&lt;=EOMONTH(X$12,0),$I47&gt;=X$12),"BOTH","UX"),IF(AND($H47&lt;&gt;"",$H47&lt;=EOMONTH(X$12,0),$I47&gt;=X$12),"DEV","")))</f>
        <v/>
      </c>
      <c r="Y47" s="173" t="str">
        <f>IF($AI47="","",IF(INDEX('Roadmap Calc (Don’t Touch)'!$AA$2:$AX$151,$AI47,16)&gt;0,IF(AND($H47&lt;&gt;"",$H47&lt;=EOMONTH(Y$12,0),$I47&gt;=Y$12),"BOTH","UX"),IF(AND($H47&lt;&gt;"",$H47&lt;=EOMONTH(Y$12,0),$I47&gt;=Y$12),"DEV","")))</f>
        <v/>
      </c>
      <c r="Z47" s="173" t="str">
        <f>IF($AI47="","",IF(INDEX('Roadmap Calc (Don’t Touch)'!$AA$2:$AX$151,$AI47,17)&gt;0,IF(AND($H47&lt;&gt;"",$H47&lt;=EOMONTH(Z$12,0),$I47&gt;=Z$12),"BOTH","UX"),IF(AND($H47&lt;&gt;"",$H47&lt;=EOMONTH(Z$12,0),$I47&gt;=Z$12),"DEV","")))</f>
        <v/>
      </c>
      <c r="AA47" s="173" t="str">
        <f>IF($AI47="","",IF(INDEX('Roadmap Calc (Don’t Touch)'!$AA$2:$AX$151,$AI47,18)&gt;0,IF(AND($H47&lt;&gt;"",$H47&lt;=EOMONTH(AA$12,0),$I47&gt;=AA$12),"BOTH","UX"),IF(AND($H47&lt;&gt;"",$H47&lt;=EOMONTH(AA$12,0),$I47&gt;=AA$12),"DEV","")))</f>
        <v/>
      </c>
      <c r="AB47" s="173" t="str">
        <f>IF($AI47="","",IF(INDEX('Roadmap Calc (Don’t Touch)'!$AA$2:$AX$151,$AI47,19)&gt;0,IF(AND($H47&lt;&gt;"",$H47&lt;=EOMONTH(AB$12,0),$I47&gt;=AB$12),"BOTH","UX"),IF(AND($H47&lt;&gt;"",$H47&lt;=EOMONTH(AB$12,0),$I47&gt;=AB$12),"DEV","")))</f>
        <v/>
      </c>
      <c r="AC47" s="173" t="str">
        <f>IF($AI47="","",IF(INDEX('Roadmap Calc (Don’t Touch)'!$AA$2:$AX$151,$AI47,20)&gt;0,IF(AND($H47&lt;&gt;"",$H47&lt;=EOMONTH(AC$12,0),$I47&gt;=AC$12),"BOTH","UX"),IF(AND($H47&lt;&gt;"",$H47&lt;=EOMONTH(AC$12,0),$I47&gt;=AC$12),"DEV","")))</f>
        <v/>
      </c>
      <c r="AD47" s="173" t="str">
        <f>IF($AI47="","",IF(INDEX('Roadmap Calc (Don’t Touch)'!$AA$2:$AX$151,$AI47,21)&gt;0,IF(AND($H47&lt;&gt;"",$H47&lt;=EOMONTH(AD$12,0),$I47&gt;=AD$12),"BOTH","UX"),IF(AND($H47&lt;&gt;"",$H47&lt;=EOMONTH(AD$12,0),$I47&gt;=AD$12),"DEV","")))</f>
        <v/>
      </c>
      <c r="AE47" s="173" t="str">
        <f>IF($AI47="","",IF(INDEX('Roadmap Calc (Don’t Touch)'!$AA$2:$AX$151,$AI47,22)&gt;0,IF(AND($H47&lt;&gt;"",$H47&lt;=EOMONTH(AE$12,0),$I47&gt;=AE$12),"BOTH","UX"),IF(AND($H47&lt;&gt;"",$H47&lt;=EOMONTH(AE$12,0),$I47&gt;=AE$12),"DEV","")))</f>
        <v/>
      </c>
      <c r="AF47" s="173" t="str">
        <f>IF($AI47="","",IF(INDEX('Roadmap Calc (Don’t Touch)'!$AA$2:$AX$151,$AI47,23)&gt;0,IF(AND($H47&lt;&gt;"",$H47&lt;=EOMONTH(AF$12,0),$I47&gt;=AF$12),"BOTH","UX"),IF(AND($H47&lt;&gt;"",$H47&lt;=EOMONTH(AF$12,0),$I47&gt;=AF$12),"DEV","")))</f>
        <v/>
      </c>
      <c r="AG47" s="173" t="str">
        <f>IF($AI47="","",IF(INDEX('Roadmap Calc (Don’t Touch)'!$AA$2:$AX$151,$AI47,24)&gt;0,IF(AND($H47&lt;&gt;"",$H47&lt;=EOMONTH(AG$12,0),$I47&gt;=AG$12),"BOTH","UX"),IF(AND($H47&lt;&gt;"",$H47&lt;=EOMONTH(AG$12,0),$I47&gt;=AG$12),"DEV","")))</f>
        <v/>
      </c>
      <c r="AH47" s="160" t="str">
        <f>IF($AI47="","",INDEX('Roadmap Calc (Don’t Touch)'!$D$2:$D$151,$AI47))</f>
        <v/>
      </c>
      <c r="AI47" s="160" t="str">
        <f>IFERROR(MATCH(32,'Roadmap Calc (Don’t Touch)'!$O$2:$O$151,0),"")</f>
        <v/>
      </c>
      <c r="AJ47" s="160"/>
      <c r="AK47" s="160"/>
      <c r="AL47" s="160"/>
      <c r="AM47" s="160"/>
    </row>
    <row r="48" spans="1:39" ht="20" customHeight="1" x14ac:dyDescent="0.25">
      <c r="A48" s="214" t="str">
        <f>IF($AI48="","",IF($AH48=$AH47,"",IF(INDEX('Roadmap Calc (Don’t Touch)'!$U$2:$U$151,$AI48)=0,$AH48,HYPERLINK("#'Control (Don’t Touch)'!E"&amp;INDEX('Roadmap Calc (Don’t Touch)'!$U$2:$U$151,$AI48),$AH48))))</f>
        <v/>
      </c>
      <c r="B48" s="174" t="str">
        <f>IF($AI48="","",IF(INDEX('Roadmap Calc (Don’t Touch)'!$K$2:$K$151,$AI48)="",INDEX('Roadmap Calc (Don’t Touch)'!$B$2:$B$151,$AI48),HYPERLINK("https://jira.bnh.com/browse/"&amp;INDEX('Roadmap Calc (Don’t Touch)'!$K$2:$K$151,$AI48),INDEX('Roadmap Calc (Don’t Touch)'!$B$2:$B$151,$AI48))))</f>
        <v/>
      </c>
      <c r="C48" s="174" t="str">
        <f>IF($AI48="","",IF(INDEX('Roadmap Calc (Don’t Touch)'!$E$2:$E$151,$AI48)="","",HYPERLINK("https://jira.bnh.com/browse/"&amp;INDEX('Roadmap Calc (Don’t Touch)'!$E$2:$E$151,$AI48),INDEX('Roadmap Calc (Don’t Touch)'!$E$2:$E$151,$AI48))))</f>
        <v/>
      </c>
      <c r="D48" s="176" t="str">
        <f>IF($AI48="","",INDEX('Roadmap Calc (Don’t Touch)'!$F$2:$F$151,$AI48))</f>
        <v/>
      </c>
      <c r="E48" s="170" t="str">
        <f>IF($AI48="","",IF(ISNUMBER(INDEX('Roadmap Calc (Don’t Touch)'!$G$2:$G$151,$AI48)),INDEX('Roadmap Calc (Don’t Touch)'!$G$2:$G$151,$AI48),""))</f>
        <v/>
      </c>
      <c r="F48" s="170" t="str">
        <f>IF($AI48="","",IF(ISNUMBER(INDEX('Roadmap Calc (Don’t Touch)'!$H$2:$H$151,$AI48)),INDEX('Roadmap Calc (Don’t Touch)'!$H$2:$H$151,$AI48),""))</f>
        <v/>
      </c>
      <c r="G48" s="171" t="str">
        <f>IF($AI48="","",INDEX('Roadmap Calc (Don’t Touch)'!$T$2:$T$151,$AI48))</f>
        <v/>
      </c>
      <c r="H48" s="172" t="str">
        <f>IF($AI48="","",IF(ISNUMBER(INDEX('Roadmap Calc (Don’t Touch)'!$I$2:$I$151,$AI48)),INDEX('Roadmap Calc (Don’t Touch)'!$I$2:$I$151,$AI48),""))</f>
        <v/>
      </c>
      <c r="I48" s="172" t="str">
        <f>IF($AI48="","",IF(ISNUMBER(INDEX('Roadmap Calc (Don’t Touch)'!$J$2:$J$151,$AI48)),INDEX('Roadmap Calc (Don’t Touch)'!$J$2:$J$151,$AI48),""))</f>
        <v/>
      </c>
      <c r="J48" s="173" t="str">
        <f>IF($AI48="","",IF(INDEX('Roadmap Calc (Don’t Touch)'!$AA$2:$AX$151,$AI48,1)&gt;0,IF(AND($H48&lt;&gt;"",$H48&lt;=EOMONTH(J$12,0),$I48&gt;=J$12),"BOTH","UX"),IF(AND($H48&lt;&gt;"",$H48&lt;=EOMONTH(J$12,0),$I48&gt;=J$12),"DEV","")))</f>
        <v/>
      </c>
      <c r="K48" s="173" t="str">
        <f>IF($AI48="","",IF(INDEX('Roadmap Calc (Don’t Touch)'!$AA$2:$AX$151,$AI48,2)&gt;0,IF(AND($H48&lt;&gt;"",$H48&lt;=EOMONTH(K$12,0),$I48&gt;=K$12),"BOTH","UX"),IF(AND($H48&lt;&gt;"",$H48&lt;=EOMONTH(K$12,0),$I48&gt;=K$12),"DEV","")))</f>
        <v/>
      </c>
      <c r="L48" s="173" t="str">
        <f>IF($AI48="","",IF(INDEX('Roadmap Calc (Don’t Touch)'!$AA$2:$AX$151,$AI48,3)&gt;0,IF(AND($H48&lt;&gt;"",$H48&lt;=EOMONTH(L$12,0),$I48&gt;=L$12),"BOTH","UX"),IF(AND($H48&lt;&gt;"",$H48&lt;=EOMONTH(L$12,0),$I48&gt;=L$12),"DEV","")))</f>
        <v/>
      </c>
      <c r="M48" s="173" t="str">
        <f>IF($AI48="","",IF(INDEX('Roadmap Calc (Don’t Touch)'!$AA$2:$AX$151,$AI48,4)&gt;0,IF(AND($H48&lt;&gt;"",$H48&lt;=EOMONTH(M$12,0),$I48&gt;=M$12),"BOTH","UX"),IF(AND($H48&lt;&gt;"",$H48&lt;=EOMONTH(M$12,0),$I48&gt;=M$12),"DEV","")))</f>
        <v/>
      </c>
      <c r="N48" s="173" t="str">
        <f>IF($AI48="","",IF(INDEX('Roadmap Calc (Don’t Touch)'!$AA$2:$AX$151,$AI48,5)&gt;0,IF(AND($H48&lt;&gt;"",$H48&lt;=EOMONTH(N$12,0),$I48&gt;=N$12),"BOTH","UX"),IF(AND($H48&lt;&gt;"",$H48&lt;=EOMONTH(N$12,0),$I48&gt;=N$12),"DEV","")))</f>
        <v/>
      </c>
      <c r="O48" s="173" t="str">
        <f>IF($AI48="","",IF(INDEX('Roadmap Calc (Don’t Touch)'!$AA$2:$AX$151,$AI48,6)&gt;0,IF(AND($H48&lt;&gt;"",$H48&lt;=EOMONTH(O$12,0),$I48&gt;=O$12),"BOTH","UX"),IF(AND($H48&lt;&gt;"",$H48&lt;=EOMONTH(O$12,0),$I48&gt;=O$12),"DEV","")))</f>
        <v/>
      </c>
      <c r="P48" s="173" t="str">
        <f>IF($AI48="","",IF(INDEX('Roadmap Calc (Don’t Touch)'!$AA$2:$AX$151,$AI48,7)&gt;0,IF(AND($H48&lt;&gt;"",$H48&lt;=EOMONTH(P$12,0),$I48&gt;=P$12),"BOTH","UX"),IF(AND($H48&lt;&gt;"",$H48&lt;=EOMONTH(P$12,0),$I48&gt;=P$12),"DEV","")))</f>
        <v/>
      </c>
      <c r="Q48" s="173" t="str">
        <f>IF($AI48="","",IF(INDEX('Roadmap Calc (Don’t Touch)'!$AA$2:$AX$151,$AI48,8)&gt;0,IF(AND($H48&lt;&gt;"",$H48&lt;=EOMONTH(Q$12,0),$I48&gt;=Q$12),"BOTH","UX"),IF(AND($H48&lt;&gt;"",$H48&lt;=EOMONTH(Q$12,0),$I48&gt;=Q$12),"DEV","")))</f>
        <v/>
      </c>
      <c r="R48" s="173" t="str">
        <f>IF($AI48="","",IF(INDEX('Roadmap Calc (Don’t Touch)'!$AA$2:$AX$151,$AI48,9)&gt;0,IF(AND($H48&lt;&gt;"",$H48&lt;=EOMONTH(R$12,0),$I48&gt;=R$12),"BOTH","UX"),IF(AND($H48&lt;&gt;"",$H48&lt;=EOMONTH(R$12,0),$I48&gt;=R$12),"DEV","")))</f>
        <v/>
      </c>
      <c r="S48" s="173" t="str">
        <f>IF($AI48="","",IF(INDEX('Roadmap Calc (Don’t Touch)'!$AA$2:$AX$151,$AI48,10)&gt;0,IF(AND($H48&lt;&gt;"",$H48&lt;=EOMONTH(S$12,0),$I48&gt;=S$12),"BOTH","UX"),IF(AND($H48&lt;&gt;"",$H48&lt;=EOMONTH(S$12,0),$I48&gt;=S$12),"DEV","")))</f>
        <v/>
      </c>
      <c r="T48" s="173" t="str">
        <f>IF($AI48="","",IF(INDEX('Roadmap Calc (Don’t Touch)'!$AA$2:$AX$151,$AI48,11)&gt;0,IF(AND($H48&lt;&gt;"",$H48&lt;=EOMONTH(T$12,0),$I48&gt;=T$12),"BOTH","UX"),IF(AND($H48&lt;&gt;"",$H48&lt;=EOMONTH(T$12,0),$I48&gt;=T$12),"DEV","")))</f>
        <v/>
      </c>
      <c r="U48" s="173" t="str">
        <f>IF($AI48="","",IF(INDEX('Roadmap Calc (Don’t Touch)'!$AA$2:$AX$151,$AI48,12)&gt;0,IF(AND($H48&lt;&gt;"",$H48&lt;=EOMONTH(U$12,0),$I48&gt;=U$12),"BOTH","UX"),IF(AND($H48&lt;&gt;"",$H48&lt;=EOMONTH(U$12,0),$I48&gt;=U$12),"DEV","")))</f>
        <v/>
      </c>
      <c r="V48" s="173" t="str">
        <f>IF($AI48="","",IF(INDEX('Roadmap Calc (Don’t Touch)'!$AA$2:$AX$151,$AI48,13)&gt;0,IF(AND($H48&lt;&gt;"",$H48&lt;=EOMONTH(V$12,0),$I48&gt;=V$12),"BOTH","UX"),IF(AND($H48&lt;&gt;"",$H48&lt;=EOMONTH(V$12,0),$I48&gt;=V$12),"DEV","")))</f>
        <v/>
      </c>
      <c r="W48" s="173" t="str">
        <f>IF($AI48="","",IF(INDEX('Roadmap Calc (Don’t Touch)'!$AA$2:$AX$151,$AI48,14)&gt;0,IF(AND($H48&lt;&gt;"",$H48&lt;=EOMONTH(W$12,0),$I48&gt;=W$12),"BOTH","UX"),IF(AND($H48&lt;&gt;"",$H48&lt;=EOMONTH(W$12,0),$I48&gt;=W$12),"DEV","")))</f>
        <v/>
      </c>
      <c r="X48" s="173" t="str">
        <f>IF($AI48="","",IF(INDEX('Roadmap Calc (Don’t Touch)'!$AA$2:$AX$151,$AI48,15)&gt;0,IF(AND($H48&lt;&gt;"",$H48&lt;=EOMONTH(X$12,0),$I48&gt;=X$12),"BOTH","UX"),IF(AND($H48&lt;&gt;"",$H48&lt;=EOMONTH(X$12,0),$I48&gt;=X$12),"DEV","")))</f>
        <v/>
      </c>
      <c r="Y48" s="173" t="str">
        <f>IF($AI48="","",IF(INDEX('Roadmap Calc (Don’t Touch)'!$AA$2:$AX$151,$AI48,16)&gt;0,IF(AND($H48&lt;&gt;"",$H48&lt;=EOMONTH(Y$12,0),$I48&gt;=Y$12),"BOTH","UX"),IF(AND($H48&lt;&gt;"",$H48&lt;=EOMONTH(Y$12,0),$I48&gt;=Y$12),"DEV","")))</f>
        <v/>
      </c>
      <c r="Z48" s="173" t="str">
        <f>IF($AI48="","",IF(INDEX('Roadmap Calc (Don’t Touch)'!$AA$2:$AX$151,$AI48,17)&gt;0,IF(AND($H48&lt;&gt;"",$H48&lt;=EOMONTH(Z$12,0),$I48&gt;=Z$12),"BOTH","UX"),IF(AND($H48&lt;&gt;"",$H48&lt;=EOMONTH(Z$12,0),$I48&gt;=Z$12),"DEV","")))</f>
        <v/>
      </c>
      <c r="AA48" s="173" t="str">
        <f>IF($AI48="","",IF(INDEX('Roadmap Calc (Don’t Touch)'!$AA$2:$AX$151,$AI48,18)&gt;0,IF(AND($H48&lt;&gt;"",$H48&lt;=EOMONTH(AA$12,0),$I48&gt;=AA$12),"BOTH","UX"),IF(AND($H48&lt;&gt;"",$H48&lt;=EOMONTH(AA$12,0),$I48&gt;=AA$12),"DEV","")))</f>
        <v/>
      </c>
      <c r="AB48" s="173" t="str">
        <f>IF($AI48="","",IF(INDEX('Roadmap Calc (Don’t Touch)'!$AA$2:$AX$151,$AI48,19)&gt;0,IF(AND($H48&lt;&gt;"",$H48&lt;=EOMONTH(AB$12,0),$I48&gt;=AB$12),"BOTH","UX"),IF(AND($H48&lt;&gt;"",$H48&lt;=EOMONTH(AB$12,0),$I48&gt;=AB$12),"DEV","")))</f>
        <v/>
      </c>
      <c r="AC48" s="173" t="str">
        <f>IF($AI48="","",IF(INDEX('Roadmap Calc (Don’t Touch)'!$AA$2:$AX$151,$AI48,20)&gt;0,IF(AND($H48&lt;&gt;"",$H48&lt;=EOMONTH(AC$12,0),$I48&gt;=AC$12),"BOTH","UX"),IF(AND($H48&lt;&gt;"",$H48&lt;=EOMONTH(AC$12,0),$I48&gt;=AC$12),"DEV","")))</f>
        <v/>
      </c>
      <c r="AD48" s="173" t="str">
        <f>IF($AI48="","",IF(INDEX('Roadmap Calc (Don’t Touch)'!$AA$2:$AX$151,$AI48,21)&gt;0,IF(AND($H48&lt;&gt;"",$H48&lt;=EOMONTH(AD$12,0),$I48&gt;=AD$12),"BOTH","UX"),IF(AND($H48&lt;&gt;"",$H48&lt;=EOMONTH(AD$12,0),$I48&gt;=AD$12),"DEV","")))</f>
        <v/>
      </c>
      <c r="AE48" s="173" t="str">
        <f>IF($AI48="","",IF(INDEX('Roadmap Calc (Don’t Touch)'!$AA$2:$AX$151,$AI48,22)&gt;0,IF(AND($H48&lt;&gt;"",$H48&lt;=EOMONTH(AE$12,0),$I48&gt;=AE$12),"BOTH","UX"),IF(AND($H48&lt;&gt;"",$H48&lt;=EOMONTH(AE$12,0),$I48&gt;=AE$12),"DEV","")))</f>
        <v/>
      </c>
      <c r="AF48" s="173" t="str">
        <f>IF($AI48="","",IF(INDEX('Roadmap Calc (Don’t Touch)'!$AA$2:$AX$151,$AI48,23)&gt;0,IF(AND($H48&lt;&gt;"",$H48&lt;=EOMONTH(AF$12,0),$I48&gt;=AF$12),"BOTH","UX"),IF(AND($H48&lt;&gt;"",$H48&lt;=EOMONTH(AF$12,0),$I48&gt;=AF$12),"DEV","")))</f>
        <v/>
      </c>
      <c r="AG48" s="173" t="str">
        <f>IF($AI48="","",IF(INDEX('Roadmap Calc (Don’t Touch)'!$AA$2:$AX$151,$AI48,24)&gt;0,IF(AND($H48&lt;&gt;"",$H48&lt;=EOMONTH(AG$12,0),$I48&gt;=AG$12),"BOTH","UX"),IF(AND($H48&lt;&gt;"",$H48&lt;=EOMONTH(AG$12,0),$I48&gt;=AG$12),"DEV","")))</f>
        <v/>
      </c>
      <c r="AH48" s="160" t="str">
        <f>IF($AI48="","",INDEX('Roadmap Calc (Don’t Touch)'!$D$2:$D$151,$AI48))</f>
        <v/>
      </c>
      <c r="AI48" s="160" t="str">
        <f>IFERROR(MATCH(33,'Roadmap Calc (Don’t Touch)'!$O$2:$O$151,0),"")</f>
        <v/>
      </c>
      <c r="AJ48" s="160"/>
      <c r="AK48" s="160"/>
      <c r="AL48" s="160"/>
      <c r="AM48" s="160"/>
    </row>
    <row r="49" spans="1:39" ht="20" customHeight="1" x14ac:dyDescent="0.25">
      <c r="A49" s="214" t="str">
        <f>IF($AI49="","",IF($AH49=$AH48,"",IF(INDEX('Roadmap Calc (Don’t Touch)'!$U$2:$U$151,$AI49)=0,$AH49,HYPERLINK("#'Control (Don’t Touch)'!E"&amp;INDEX('Roadmap Calc (Don’t Touch)'!$U$2:$U$151,$AI49),$AH49))))</f>
        <v/>
      </c>
      <c r="B49" s="174" t="str">
        <f>IF($AI49="","",IF(INDEX('Roadmap Calc (Don’t Touch)'!$K$2:$K$151,$AI49)="",INDEX('Roadmap Calc (Don’t Touch)'!$B$2:$B$151,$AI49),HYPERLINK("https://jira.bnh.com/browse/"&amp;INDEX('Roadmap Calc (Don’t Touch)'!$K$2:$K$151,$AI49),INDEX('Roadmap Calc (Don’t Touch)'!$B$2:$B$151,$AI49))))</f>
        <v/>
      </c>
      <c r="C49" s="174" t="str">
        <f>IF($AI49="","",IF(INDEX('Roadmap Calc (Don’t Touch)'!$E$2:$E$151,$AI49)="","",HYPERLINK("https://jira.bnh.com/browse/"&amp;INDEX('Roadmap Calc (Don’t Touch)'!$E$2:$E$151,$AI49),INDEX('Roadmap Calc (Don’t Touch)'!$E$2:$E$151,$AI49))))</f>
        <v/>
      </c>
      <c r="D49" s="176" t="str">
        <f>IF($AI49="","",INDEX('Roadmap Calc (Don’t Touch)'!$F$2:$F$151,$AI49))</f>
        <v/>
      </c>
      <c r="E49" s="170" t="str">
        <f>IF($AI49="","",IF(ISNUMBER(INDEX('Roadmap Calc (Don’t Touch)'!$G$2:$G$151,$AI49)),INDEX('Roadmap Calc (Don’t Touch)'!$G$2:$G$151,$AI49),""))</f>
        <v/>
      </c>
      <c r="F49" s="170" t="str">
        <f>IF($AI49="","",IF(ISNUMBER(INDEX('Roadmap Calc (Don’t Touch)'!$H$2:$H$151,$AI49)),INDEX('Roadmap Calc (Don’t Touch)'!$H$2:$H$151,$AI49),""))</f>
        <v/>
      </c>
      <c r="G49" s="171" t="str">
        <f>IF($AI49="","",INDEX('Roadmap Calc (Don’t Touch)'!$T$2:$T$151,$AI49))</f>
        <v/>
      </c>
      <c r="H49" s="172" t="str">
        <f>IF($AI49="","",IF(ISNUMBER(INDEX('Roadmap Calc (Don’t Touch)'!$I$2:$I$151,$AI49)),INDEX('Roadmap Calc (Don’t Touch)'!$I$2:$I$151,$AI49),""))</f>
        <v/>
      </c>
      <c r="I49" s="172" t="str">
        <f>IF($AI49="","",IF(ISNUMBER(INDEX('Roadmap Calc (Don’t Touch)'!$J$2:$J$151,$AI49)),INDEX('Roadmap Calc (Don’t Touch)'!$J$2:$J$151,$AI49),""))</f>
        <v/>
      </c>
      <c r="J49" s="173" t="str">
        <f>IF($AI49="","",IF(INDEX('Roadmap Calc (Don’t Touch)'!$AA$2:$AX$151,$AI49,1)&gt;0,IF(AND($H49&lt;&gt;"",$H49&lt;=EOMONTH(J$12,0),$I49&gt;=J$12),"BOTH","UX"),IF(AND($H49&lt;&gt;"",$H49&lt;=EOMONTH(J$12,0),$I49&gt;=J$12),"DEV","")))</f>
        <v/>
      </c>
      <c r="K49" s="173" t="str">
        <f>IF($AI49="","",IF(INDEX('Roadmap Calc (Don’t Touch)'!$AA$2:$AX$151,$AI49,2)&gt;0,IF(AND($H49&lt;&gt;"",$H49&lt;=EOMONTH(K$12,0),$I49&gt;=K$12),"BOTH","UX"),IF(AND($H49&lt;&gt;"",$H49&lt;=EOMONTH(K$12,0),$I49&gt;=K$12),"DEV","")))</f>
        <v/>
      </c>
      <c r="L49" s="173" t="str">
        <f>IF($AI49="","",IF(INDEX('Roadmap Calc (Don’t Touch)'!$AA$2:$AX$151,$AI49,3)&gt;0,IF(AND($H49&lt;&gt;"",$H49&lt;=EOMONTH(L$12,0),$I49&gt;=L$12),"BOTH","UX"),IF(AND($H49&lt;&gt;"",$H49&lt;=EOMONTH(L$12,0),$I49&gt;=L$12),"DEV","")))</f>
        <v/>
      </c>
      <c r="M49" s="173" t="str">
        <f>IF($AI49="","",IF(INDEX('Roadmap Calc (Don’t Touch)'!$AA$2:$AX$151,$AI49,4)&gt;0,IF(AND($H49&lt;&gt;"",$H49&lt;=EOMONTH(M$12,0),$I49&gt;=M$12),"BOTH","UX"),IF(AND($H49&lt;&gt;"",$H49&lt;=EOMONTH(M$12,0),$I49&gt;=M$12),"DEV","")))</f>
        <v/>
      </c>
      <c r="N49" s="173" t="str">
        <f>IF($AI49="","",IF(INDEX('Roadmap Calc (Don’t Touch)'!$AA$2:$AX$151,$AI49,5)&gt;0,IF(AND($H49&lt;&gt;"",$H49&lt;=EOMONTH(N$12,0),$I49&gt;=N$12),"BOTH","UX"),IF(AND($H49&lt;&gt;"",$H49&lt;=EOMONTH(N$12,0),$I49&gt;=N$12),"DEV","")))</f>
        <v/>
      </c>
      <c r="O49" s="173" t="str">
        <f>IF($AI49="","",IF(INDEX('Roadmap Calc (Don’t Touch)'!$AA$2:$AX$151,$AI49,6)&gt;0,IF(AND($H49&lt;&gt;"",$H49&lt;=EOMONTH(O$12,0),$I49&gt;=O$12),"BOTH","UX"),IF(AND($H49&lt;&gt;"",$H49&lt;=EOMONTH(O$12,0),$I49&gt;=O$12),"DEV","")))</f>
        <v/>
      </c>
      <c r="P49" s="173" t="str">
        <f>IF($AI49="","",IF(INDEX('Roadmap Calc (Don’t Touch)'!$AA$2:$AX$151,$AI49,7)&gt;0,IF(AND($H49&lt;&gt;"",$H49&lt;=EOMONTH(P$12,0),$I49&gt;=P$12),"BOTH","UX"),IF(AND($H49&lt;&gt;"",$H49&lt;=EOMONTH(P$12,0),$I49&gt;=P$12),"DEV","")))</f>
        <v/>
      </c>
      <c r="Q49" s="173" t="str">
        <f>IF($AI49="","",IF(INDEX('Roadmap Calc (Don’t Touch)'!$AA$2:$AX$151,$AI49,8)&gt;0,IF(AND($H49&lt;&gt;"",$H49&lt;=EOMONTH(Q$12,0),$I49&gt;=Q$12),"BOTH","UX"),IF(AND($H49&lt;&gt;"",$H49&lt;=EOMONTH(Q$12,0),$I49&gt;=Q$12),"DEV","")))</f>
        <v/>
      </c>
      <c r="R49" s="173" t="str">
        <f>IF($AI49="","",IF(INDEX('Roadmap Calc (Don’t Touch)'!$AA$2:$AX$151,$AI49,9)&gt;0,IF(AND($H49&lt;&gt;"",$H49&lt;=EOMONTH(R$12,0),$I49&gt;=R$12),"BOTH","UX"),IF(AND($H49&lt;&gt;"",$H49&lt;=EOMONTH(R$12,0),$I49&gt;=R$12),"DEV","")))</f>
        <v/>
      </c>
      <c r="S49" s="173" t="str">
        <f>IF($AI49="","",IF(INDEX('Roadmap Calc (Don’t Touch)'!$AA$2:$AX$151,$AI49,10)&gt;0,IF(AND($H49&lt;&gt;"",$H49&lt;=EOMONTH(S$12,0),$I49&gt;=S$12),"BOTH","UX"),IF(AND($H49&lt;&gt;"",$H49&lt;=EOMONTH(S$12,0),$I49&gt;=S$12),"DEV","")))</f>
        <v/>
      </c>
      <c r="T49" s="173" t="str">
        <f>IF($AI49="","",IF(INDEX('Roadmap Calc (Don’t Touch)'!$AA$2:$AX$151,$AI49,11)&gt;0,IF(AND($H49&lt;&gt;"",$H49&lt;=EOMONTH(T$12,0),$I49&gt;=T$12),"BOTH","UX"),IF(AND($H49&lt;&gt;"",$H49&lt;=EOMONTH(T$12,0),$I49&gt;=T$12),"DEV","")))</f>
        <v/>
      </c>
      <c r="U49" s="173" t="str">
        <f>IF($AI49="","",IF(INDEX('Roadmap Calc (Don’t Touch)'!$AA$2:$AX$151,$AI49,12)&gt;0,IF(AND($H49&lt;&gt;"",$H49&lt;=EOMONTH(U$12,0),$I49&gt;=U$12),"BOTH","UX"),IF(AND($H49&lt;&gt;"",$H49&lt;=EOMONTH(U$12,0),$I49&gt;=U$12),"DEV","")))</f>
        <v/>
      </c>
      <c r="V49" s="173" t="str">
        <f>IF($AI49="","",IF(INDEX('Roadmap Calc (Don’t Touch)'!$AA$2:$AX$151,$AI49,13)&gt;0,IF(AND($H49&lt;&gt;"",$H49&lt;=EOMONTH(V$12,0),$I49&gt;=V$12),"BOTH","UX"),IF(AND($H49&lt;&gt;"",$H49&lt;=EOMONTH(V$12,0),$I49&gt;=V$12),"DEV","")))</f>
        <v/>
      </c>
      <c r="W49" s="173" t="str">
        <f>IF($AI49="","",IF(INDEX('Roadmap Calc (Don’t Touch)'!$AA$2:$AX$151,$AI49,14)&gt;0,IF(AND($H49&lt;&gt;"",$H49&lt;=EOMONTH(W$12,0),$I49&gt;=W$12),"BOTH","UX"),IF(AND($H49&lt;&gt;"",$H49&lt;=EOMONTH(W$12,0),$I49&gt;=W$12),"DEV","")))</f>
        <v/>
      </c>
      <c r="X49" s="173" t="str">
        <f>IF($AI49="","",IF(INDEX('Roadmap Calc (Don’t Touch)'!$AA$2:$AX$151,$AI49,15)&gt;0,IF(AND($H49&lt;&gt;"",$H49&lt;=EOMONTH(X$12,0),$I49&gt;=X$12),"BOTH","UX"),IF(AND($H49&lt;&gt;"",$H49&lt;=EOMONTH(X$12,0),$I49&gt;=X$12),"DEV","")))</f>
        <v/>
      </c>
      <c r="Y49" s="173" t="str">
        <f>IF($AI49="","",IF(INDEX('Roadmap Calc (Don’t Touch)'!$AA$2:$AX$151,$AI49,16)&gt;0,IF(AND($H49&lt;&gt;"",$H49&lt;=EOMONTH(Y$12,0),$I49&gt;=Y$12),"BOTH","UX"),IF(AND($H49&lt;&gt;"",$H49&lt;=EOMONTH(Y$12,0),$I49&gt;=Y$12),"DEV","")))</f>
        <v/>
      </c>
      <c r="Z49" s="173" t="str">
        <f>IF($AI49="","",IF(INDEX('Roadmap Calc (Don’t Touch)'!$AA$2:$AX$151,$AI49,17)&gt;0,IF(AND($H49&lt;&gt;"",$H49&lt;=EOMONTH(Z$12,0),$I49&gt;=Z$12),"BOTH","UX"),IF(AND($H49&lt;&gt;"",$H49&lt;=EOMONTH(Z$12,0),$I49&gt;=Z$12),"DEV","")))</f>
        <v/>
      </c>
      <c r="AA49" s="173" t="str">
        <f>IF($AI49="","",IF(INDEX('Roadmap Calc (Don’t Touch)'!$AA$2:$AX$151,$AI49,18)&gt;0,IF(AND($H49&lt;&gt;"",$H49&lt;=EOMONTH(AA$12,0),$I49&gt;=AA$12),"BOTH","UX"),IF(AND($H49&lt;&gt;"",$H49&lt;=EOMONTH(AA$12,0),$I49&gt;=AA$12),"DEV","")))</f>
        <v/>
      </c>
      <c r="AB49" s="173" t="str">
        <f>IF($AI49="","",IF(INDEX('Roadmap Calc (Don’t Touch)'!$AA$2:$AX$151,$AI49,19)&gt;0,IF(AND($H49&lt;&gt;"",$H49&lt;=EOMONTH(AB$12,0),$I49&gt;=AB$12),"BOTH","UX"),IF(AND($H49&lt;&gt;"",$H49&lt;=EOMONTH(AB$12,0),$I49&gt;=AB$12),"DEV","")))</f>
        <v/>
      </c>
      <c r="AC49" s="173" t="str">
        <f>IF($AI49="","",IF(INDEX('Roadmap Calc (Don’t Touch)'!$AA$2:$AX$151,$AI49,20)&gt;0,IF(AND($H49&lt;&gt;"",$H49&lt;=EOMONTH(AC$12,0),$I49&gt;=AC$12),"BOTH","UX"),IF(AND($H49&lt;&gt;"",$H49&lt;=EOMONTH(AC$12,0),$I49&gt;=AC$12),"DEV","")))</f>
        <v/>
      </c>
      <c r="AD49" s="173" t="str">
        <f>IF($AI49="","",IF(INDEX('Roadmap Calc (Don’t Touch)'!$AA$2:$AX$151,$AI49,21)&gt;0,IF(AND($H49&lt;&gt;"",$H49&lt;=EOMONTH(AD$12,0),$I49&gt;=AD$12),"BOTH","UX"),IF(AND($H49&lt;&gt;"",$H49&lt;=EOMONTH(AD$12,0),$I49&gt;=AD$12),"DEV","")))</f>
        <v/>
      </c>
      <c r="AE49" s="173" t="str">
        <f>IF($AI49="","",IF(INDEX('Roadmap Calc (Don’t Touch)'!$AA$2:$AX$151,$AI49,22)&gt;0,IF(AND($H49&lt;&gt;"",$H49&lt;=EOMONTH(AE$12,0),$I49&gt;=AE$12),"BOTH","UX"),IF(AND($H49&lt;&gt;"",$H49&lt;=EOMONTH(AE$12,0),$I49&gt;=AE$12),"DEV","")))</f>
        <v/>
      </c>
      <c r="AF49" s="173" t="str">
        <f>IF($AI49="","",IF(INDEX('Roadmap Calc (Don’t Touch)'!$AA$2:$AX$151,$AI49,23)&gt;0,IF(AND($H49&lt;&gt;"",$H49&lt;=EOMONTH(AF$12,0),$I49&gt;=AF$12),"BOTH","UX"),IF(AND($H49&lt;&gt;"",$H49&lt;=EOMONTH(AF$12,0),$I49&gt;=AF$12),"DEV","")))</f>
        <v/>
      </c>
      <c r="AG49" s="173" t="str">
        <f>IF($AI49="","",IF(INDEX('Roadmap Calc (Don’t Touch)'!$AA$2:$AX$151,$AI49,24)&gt;0,IF(AND($H49&lt;&gt;"",$H49&lt;=EOMONTH(AG$12,0),$I49&gt;=AG$12),"BOTH","UX"),IF(AND($H49&lt;&gt;"",$H49&lt;=EOMONTH(AG$12,0),$I49&gt;=AG$12),"DEV","")))</f>
        <v/>
      </c>
      <c r="AH49" s="160" t="str">
        <f>IF($AI49="","",INDEX('Roadmap Calc (Don’t Touch)'!$D$2:$D$151,$AI49))</f>
        <v/>
      </c>
      <c r="AI49" s="160" t="str">
        <f>IFERROR(MATCH(34,'Roadmap Calc (Don’t Touch)'!$O$2:$O$151,0),"")</f>
        <v/>
      </c>
      <c r="AJ49" s="160"/>
      <c r="AK49" s="160"/>
      <c r="AL49" s="160"/>
      <c r="AM49" s="160"/>
    </row>
    <row r="50" spans="1:39" ht="20" customHeight="1" x14ac:dyDescent="0.25">
      <c r="A50" s="214" t="str">
        <f>IF($AI50="","",IF($AH50=$AH49,"",IF(INDEX('Roadmap Calc (Don’t Touch)'!$U$2:$U$151,$AI50)=0,$AH50,HYPERLINK("#'Control (Don’t Touch)'!E"&amp;INDEX('Roadmap Calc (Don’t Touch)'!$U$2:$U$151,$AI50),$AH50))))</f>
        <v/>
      </c>
      <c r="B50" s="174" t="str">
        <f>IF($AI50="","",IF(INDEX('Roadmap Calc (Don’t Touch)'!$K$2:$K$151,$AI50)="",INDEX('Roadmap Calc (Don’t Touch)'!$B$2:$B$151,$AI50),HYPERLINK("https://jira.bnh.com/browse/"&amp;INDEX('Roadmap Calc (Don’t Touch)'!$K$2:$K$151,$AI50),INDEX('Roadmap Calc (Don’t Touch)'!$B$2:$B$151,$AI50))))</f>
        <v/>
      </c>
      <c r="C50" s="174" t="str">
        <f>IF($AI50="","",IF(INDEX('Roadmap Calc (Don’t Touch)'!$E$2:$E$151,$AI50)="","",HYPERLINK("https://jira.bnh.com/browse/"&amp;INDEX('Roadmap Calc (Don’t Touch)'!$E$2:$E$151,$AI50),INDEX('Roadmap Calc (Don’t Touch)'!$E$2:$E$151,$AI50))))</f>
        <v/>
      </c>
      <c r="D50" s="176" t="str">
        <f>IF($AI50="","",INDEX('Roadmap Calc (Don’t Touch)'!$F$2:$F$151,$AI50))</f>
        <v/>
      </c>
      <c r="E50" s="170" t="str">
        <f>IF($AI50="","",IF(ISNUMBER(INDEX('Roadmap Calc (Don’t Touch)'!$G$2:$G$151,$AI50)),INDEX('Roadmap Calc (Don’t Touch)'!$G$2:$G$151,$AI50),""))</f>
        <v/>
      </c>
      <c r="F50" s="170" t="str">
        <f>IF($AI50="","",IF(ISNUMBER(INDEX('Roadmap Calc (Don’t Touch)'!$H$2:$H$151,$AI50)),INDEX('Roadmap Calc (Don’t Touch)'!$H$2:$H$151,$AI50),""))</f>
        <v/>
      </c>
      <c r="G50" s="171" t="str">
        <f>IF($AI50="","",INDEX('Roadmap Calc (Don’t Touch)'!$T$2:$T$151,$AI50))</f>
        <v/>
      </c>
      <c r="H50" s="172" t="str">
        <f>IF($AI50="","",IF(ISNUMBER(INDEX('Roadmap Calc (Don’t Touch)'!$I$2:$I$151,$AI50)),INDEX('Roadmap Calc (Don’t Touch)'!$I$2:$I$151,$AI50),""))</f>
        <v/>
      </c>
      <c r="I50" s="172" t="str">
        <f>IF($AI50="","",IF(ISNUMBER(INDEX('Roadmap Calc (Don’t Touch)'!$J$2:$J$151,$AI50)),INDEX('Roadmap Calc (Don’t Touch)'!$J$2:$J$151,$AI50),""))</f>
        <v/>
      </c>
      <c r="J50" s="173" t="str">
        <f>IF($AI50="","",IF(INDEX('Roadmap Calc (Don’t Touch)'!$AA$2:$AX$151,$AI50,1)&gt;0,IF(AND($H50&lt;&gt;"",$H50&lt;=EOMONTH(J$12,0),$I50&gt;=J$12),"BOTH","UX"),IF(AND($H50&lt;&gt;"",$H50&lt;=EOMONTH(J$12,0),$I50&gt;=J$12),"DEV","")))</f>
        <v/>
      </c>
      <c r="K50" s="173" t="str">
        <f>IF($AI50="","",IF(INDEX('Roadmap Calc (Don’t Touch)'!$AA$2:$AX$151,$AI50,2)&gt;0,IF(AND($H50&lt;&gt;"",$H50&lt;=EOMONTH(K$12,0),$I50&gt;=K$12),"BOTH","UX"),IF(AND($H50&lt;&gt;"",$H50&lt;=EOMONTH(K$12,0),$I50&gt;=K$12),"DEV","")))</f>
        <v/>
      </c>
      <c r="L50" s="173" t="str">
        <f>IF($AI50="","",IF(INDEX('Roadmap Calc (Don’t Touch)'!$AA$2:$AX$151,$AI50,3)&gt;0,IF(AND($H50&lt;&gt;"",$H50&lt;=EOMONTH(L$12,0),$I50&gt;=L$12),"BOTH","UX"),IF(AND($H50&lt;&gt;"",$H50&lt;=EOMONTH(L$12,0),$I50&gt;=L$12),"DEV","")))</f>
        <v/>
      </c>
      <c r="M50" s="173" t="str">
        <f>IF($AI50="","",IF(INDEX('Roadmap Calc (Don’t Touch)'!$AA$2:$AX$151,$AI50,4)&gt;0,IF(AND($H50&lt;&gt;"",$H50&lt;=EOMONTH(M$12,0),$I50&gt;=M$12),"BOTH","UX"),IF(AND($H50&lt;&gt;"",$H50&lt;=EOMONTH(M$12,0),$I50&gt;=M$12),"DEV","")))</f>
        <v/>
      </c>
      <c r="N50" s="173" t="str">
        <f>IF($AI50="","",IF(INDEX('Roadmap Calc (Don’t Touch)'!$AA$2:$AX$151,$AI50,5)&gt;0,IF(AND($H50&lt;&gt;"",$H50&lt;=EOMONTH(N$12,0),$I50&gt;=N$12),"BOTH","UX"),IF(AND($H50&lt;&gt;"",$H50&lt;=EOMONTH(N$12,0),$I50&gt;=N$12),"DEV","")))</f>
        <v/>
      </c>
      <c r="O50" s="173" t="str">
        <f>IF($AI50="","",IF(INDEX('Roadmap Calc (Don’t Touch)'!$AA$2:$AX$151,$AI50,6)&gt;0,IF(AND($H50&lt;&gt;"",$H50&lt;=EOMONTH(O$12,0),$I50&gt;=O$12),"BOTH","UX"),IF(AND($H50&lt;&gt;"",$H50&lt;=EOMONTH(O$12,0),$I50&gt;=O$12),"DEV","")))</f>
        <v/>
      </c>
      <c r="P50" s="173" t="str">
        <f>IF($AI50="","",IF(INDEX('Roadmap Calc (Don’t Touch)'!$AA$2:$AX$151,$AI50,7)&gt;0,IF(AND($H50&lt;&gt;"",$H50&lt;=EOMONTH(P$12,0),$I50&gt;=P$12),"BOTH","UX"),IF(AND($H50&lt;&gt;"",$H50&lt;=EOMONTH(P$12,0),$I50&gt;=P$12),"DEV","")))</f>
        <v/>
      </c>
      <c r="Q50" s="173" t="str">
        <f>IF($AI50="","",IF(INDEX('Roadmap Calc (Don’t Touch)'!$AA$2:$AX$151,$AI50,8)&gt;0,IF(AND($H50&lt;&gt;"",$H50&lt;=EOMONTH(Q$12,0),$I50&gt;=Q$12),"BOTH","UX"),IF(AND($H50&lt;&gt;"",$H50&lt;=EOMONTH(Q$12,0),$I50&gt;=Q$12),"DEV","")))</f>
        <v/>
      </c>
      <c r="R50" s="173" t="str">
        <f>IF($AI50="","",IF(INDEX('Roadmap Calc (Don’t Touch)'!$AA$2:$AX$151,$AI50,9)&gt;0,IF(AND($H50&lt;&gt;"",$H50&lt;=EOMONTH(R$12,0),$I50&gt;=R$12),"BOTH","UX"),IF(AND($H50&lt;&gt;"",$H50&lt;=EOMONTH(R$12,0),$I50&gt;=R$12),"DEV","")))</f>
        <v/>
      </c>
      <c r="S50" s="173" t="str">
        <f>IF($AI50="","",IF(INDEX('Roadmap Calc (Don’t Touch)'!$AA$2:$AX$151,$AI50,10)&gt;0,IF(AND($H50&lt;&gt;"",$H50&lt;=EOMONTH(S$12,0),$I50&gt;=S$12),"BOTH","UX"),IF(AND($H50&lt;&gt;"",$H50&lt;=EOMONTH(S$12,0),$I50&gt;=S$12),"DEV","")))</f>
        <v/>
      </c>
      <c r="T50" s="173" t="str">
        <f>IF($AI50="","",IF(INDEX('Roadmap Calc (Don’t Touch)'!$AA$2:$AX$151,$AI50,11)&gt;0,IF(AND($H50&lt;&gt;"",$H50&lt;=EOMONTH(T$12,0),$I50&gt;=T$12),"BOTH","UX"),IF(AND($H50&lt;&gt;"",$H50&lt;=EOMONTH(T$12,0),$I50&gt;=T$12),"DEV","")))</f>
        <v/>
      </c>
      <c r="U50" s="173" t="str">
        <f>IF($AI50="","",IF(INDEX('Roadmap Calc (Don’t Touch)'!$AA$2:$AX$151,$AI50,12)&gt;0,IF(AND($H50&lt;&gt;"",$H50&lt;=EOMONTH(U$12,0),$I50&gt;=U$12),"BOTH","UX"),IF(AND($H50&lt;&gt;"",$H50&lt;=EOMONTH(U$12,0),$I50&gt;=U$12),"DEV","")))</f>
        <v/>
      </c>
      <c r="V50" s="173" t="str">
        <f>IF($AI50="","",IF(INDEX('Roadmap Calc (Don’t Touch)'!$AA$2:$AX$151,$AI50,13)&gt;0,IF(AND($H50&lt;&gt;"",$H50&lt;=EOMONTH(V$12,0),$I50&gt;=V$12),"BOTH","UX"),IF(AND($H50&lt;&gt;"",$H50&lt;=EOMONTH(V$12,0),$I50&gt;=V$12),"DEV","")))</f>
        <v/>
      </c>
      <c r="W50" s="173" t="str">
        <f>IF($AI50="","",IF(INDEX('Roadmap Calc (Don’t Touch)'!$AA$2:$AX$151,$AI50,14)&gt;0,IF(AND($H50&lt;&gt;"",$H50&lt;=EOMONTH(W$12,0),$I50&gt;=W$12),"BOTH","UX"),IF(AND($H50&lt;&gt;"",$H50&lt;=EOMONTH(W$12,0),$I50&gt;=W$12),"DEV","")))</f>
        <v/>
      </c>
      <c r="X50" s="173" t="str">
        <f>IF($AI50="","",IF(INDEX('Roadmap Calc (Don’t Touch)'!$AA$2:$AX$151,$AI50,15)&gt;0,IF(AND($H50&lt;&gt;"",$H50&lt;=EOMONTH(X$12,0),$I50&gt;=X$12),"BOTH","UX"),IF(AND($H50&lt;&gt;"",$H50&lt;=EOMONTH(X$12,0),$I50&gt;=X$12),"DEV","")))</f>
        <v/>
      </c>
      <c r="Y50" s="173" t="str">
        <f>IF($AI50="","",IF(INDEX('Roadmap Calc (Don’t Touch)'!$AA$2:$AX$151,$AI50,16)&gt;0,IF(AND($H50&lt;&gt;"",$H50&lt;=EOMONTH(Y$12,0),$I50&gt;=Y$12),"BOTH","UX"),IF(AND($H50&lt;&gt;"",$H50&lt;=EOMONTH(Y$12,0),$I50&gt;=Y$12),"DEV","")))</f>
        <v/>
      </c>
      <c r="Z50" s="173" t="str">
        <f>IF($AI50="","",IF(INDEX('Roadmap Calc (Don’t Touch)'!$AA$2:$AX$151,$AI50,17)&gt;0,IF(AND($H50&lt;&gt;"",$H50&lt;=EOMONTH(Z$12,0),$I50&gt;=Z$12),"BOTH","UX"),IF(AND($H50&lt;&gt;"",$H50&lt;=EOMONTH(Z$12,0),$I50&gt;=Z$12),"DEV","")))</f>
        <v/>
      </c>
      <c r="AA50" s="173" t="str">
        <f>IF($AI50="","",IF(INDEX('Roadmap Calc (Don’t Touch)'!$AA$2:$AX$151,$AI50,18)&gt;0,IF(AND($H50&lt;&gt;"",$H50&lt;=EOMONTH(AA$12,0),$I50&gt;=AA$12),"BOTH","UX"),IF(AND($H50&lt;&gt;"",$H50&lt;=EOMONTH(AA$12,0),$I50&gt;=AA$12),"DEV","")))</f>
        <v/>
      </c>
      <c r="AB50" s="173" t="str">
        <f>IF($AI50="","",IF(INDEX('Roadmap Calc (Don’t Touch)'!$AA$2:$AX$151,$AI50,19)&gt;0,IF(AND($H50&lt;&gt;"",$H50&lt;=EOMONTH(AB$12,0),$I50&gt;=AB$12),"BOTH","UX"),IF(AND($H50&lt;&gt;"",$H50&lt;=EOMONTH(AB$12,0),$I50&gt;=AB$12),"DEV","")))</f>
        <v/>
      </c>
      <c r="AC50" s="173" t="str">
        <f>IF($AI50="","",IF(INDEX('Roadmap Calc (Don’t Touch)'!$AA$2:$AX$151,$AI50,20)&gt;0,IF(AND($H50&lt;&gt;"",$H50&lt;=EOMONTH(AC$12,0),$I50&gt;=AC$12),"BOTH","UX"),IF(AND($H50&lt;&gt;"",$H50&lt;=EOMONTH(AC$12,0),$I50&gt;=AC$12),"DEV","")))</f>
        <v/>
      </c>
      <c r="AD50" s="173" t="str">
        <f>IF($AI50="","",IF(INDEX('Roadmap Calc (Don’t Touch)'!$AA$2:$AX$151,$AI50,21)&gt;0,IF(AND($H50&lt;&gt;"",$H50&lt;=EOMONTH(AD$12,0),$I50&gt;=AD$12),"BOTH","UX"),IF(AND($H50&lt;&gt;"",$H50&lt;=EOMONTH(AD$12,0),$I50&gt;=AD$12),"DEV","")))</f>
        <v/>
      </c>
      <c r="AE50" s="173" t="str">
        <f>IF($AI50="","",IF(INDEX('Roadmap Calc (Don’t Touch)'!$AA$2:$AX$151,$AI50,22)&gt;0,IF(AND($H50&lt;&gt;"",$H50&lt;=EOMONTH(AE$12,0),$I50&gt;=AE$12),"BOTH","UX"),IF(AND($H50&lt;&gt;"",$H50&lt;=EOMONTH(AE$12,0),$I50&gt;=AE$12),"DEV","")))</f>
        <v/>
      </c>
      <c r="AF50" s="173" t="str">
        <f>IF($AI50="","",IF(INDEX('Roadmap Calc (Don’t Touch)'!$AA$2:$AX$151,$AI50,23)&gt;0,IF(AND($H50&lt;&gt;"",$H50&lt;=EOMONTH(AF$12,0),$I50&gt;=AF$12),"BOTH","UX"),IF(AND($H50&lt;&gt;"",$H50&lt;=EOMONTH(AF$12,0),$I50&gt;=AF$12),"DEV","")))</f>
        <v/>
      </c>
      <c r="AG50" s="173" t="str">
        <f>IF($AI50="","",IF(INDEX('Roadmap Calc (Don’t Touch)'!$AA$2:$AX$151,$AI50,24)&gt;0,IF(AND($H50&lt;&gt;"",$H50&lt;=EOMONTH(AG$12,0),$I50&gt;=AG$12),"BOTH","UX"),IF(AND($H50&lt;&gt;"",$H50&lt;=EOMONTH(AG$12,0),$I50&gt;=AG$12),"DEV","")))</f>
        <v/>
      </c>
      <c r="AH50" s="160" t="str">
        <f>IF($AI50="","",INDEX('Roadmap Calc (Don’t Touch)'!$D$2:$D$151,$AI50))</f>
        <v/>
      </c>
      <c r="AI50" s="160" t="str">
        <f>IFERROR(MATCH(35,'Roadmap Calc (Don’t Touch)'!$O$2:$O$151,0),"")</f>
        <v/>
      </c>
      <c r="AJ50" s="160"/>
      <c r="AK50" s="160"/>
      <c r="AL50" s="160"/>
      <c r="AM50" s="160"/>
    </row>
    <row r="51" spans="1:39" ht="20" customHeight="1" x14ac:dyDescent="0.25">
      <c r="A51" s="214" t="str">
        <f>IF($AI51="","",IF($AH51=$AH50,"",IF(INDEX('Roadmap Calc (Don’t Touch)'!$U$2:$U$151,$AI51)=0,$AH51,HYPERLINK("#'Control (Don’t Touch)'!E"&amp;INDEX('Roadmap Calc (Don’t Touch)'!$U$2:$U$151,$AI51),$AH51))))</f>
        <v/>
      </c>
      <c r="B51" s="174" t="str">
        <f>IF($AI51="","",IF(INDEX('Roadmap Calc (Don’t Touch)'!$K$2:$K$151,$AI51)="",INDEX('Roadmap Calc (Don’t Touch)'!$B$2:$B$151,$AI51),HYPERLINK("https://jira.bnh.com/browse/"&amp;INDEX('Roadmap Calc (Don’t Touch)'!$K$2:$K$151,$AI51),INDEX('Roadmap Calc (Don’t Touch)'!$B$2:$B$151,$AI51))))</f>
        <v/>
      </c>
      <c r="C51" s="174" t="str">
        <f>IF($AI51="","",IF(INDEX('Roadmap Calc (Don’t Touch)'!$E$2:$E$151,$AI51)="","",HYPERLINK("https://jira.bnh.com/browse/"&amp;INDEX('Roadmap Calc (Don’t Touch)'!$E$2:$E$151,$AI51),INDEX('Roadmap Calc (Don’t Touch)'!$E$2:$E$151,$AI51))))</f>
        <v/>
      </c>
      <c r="D51" s="176" t="str">
        <f>IF($AI51="","",INDEX('Roadmap Calc (Don’t Touch)'!$F$2:$F$151,$AI51))</f>
        <v/>
      </c>
      <c r="E51" s="170" t="str">
        <f>IF($AI51="","",IF(ISNUMBER(INDEX('Roadmap Calc (Don’t Touch)'!$G$2:$G$151,$AI51)),INDEX('Roadmap Calc (Don’t Touch)'!$G$2:$G$151,$AI51),""))</f>
        <v/>
      </c>
      <c r="F51" s="170" t="str">
        <f>IF($AI51="","",IF(ISNUMBER(INDEX('Roadmap Calc (Don’t Touch)'!$H$2:$H$151,$AI51)),INDEX('Roadmap Calc (Don’t Touch)'!$H$2:$H$151,$AI51),""))</f>
        <v/>
      </c>
      <c r="G51" s="171" t="str">
        <f>IF($AI51="","",INDEX('Roadmap Calc (Don’t Touch)'!$T$2:$T$151,$AI51))</f>
        <v/>
      </c>
      <c r="H51" s="172" t="str">
        <f>IF($AI51="","",IF(ISNUMBER(INDEX('Roadmap Calc (Don’t Touch)'!$I$2:$I$151,$AI51)),INDEX('Roadmap Calc (Don’t Touch)'!$I$2:$I$151,$AI51),""))</f>
        <v/>
      </c>
      <c r="I51" s="172" t="str">
        <f>IF($AI51="","",IF(ISNUMBER(INDEX('Roadmap Calc (Don’t Touch)'!$J$2:$J$151,$AI51)),INDEX('Roadmap Calc (Don’t Touch)'!$J$2:$J$151,$AI51),""))</f>
        <v/>
      </c>
      <c r="J51" s="173" t="str">
        <f>IF($AI51="","",IF(INDEX('Roadmap Calc (Don’t Touch)'!$AA$2:$AX$151,$AI51,1)&gt;0,IF(AND($H51&lt;&gt;"",$H51&lt;=EOMONTH(J$12,0),$I51&gt;=J$12),"BOTH","UX"),IF(AND($H51&lt;&gt;"",$H51&lt;=EOMONTH(J$12,0),$I51&gt;=J$12),"DEV","")))</f>
        <v/>
      </c>
      <c r="K51" s="173" t="str">
        <f>IF($AI51="","",IF(INDEX('Roadmap Calc (Don’t Touch)'!$AA$2:$AX$151,$AI51,2)&gt;0,IF(AND($H51&lt;&gt;"",$H51&lt;=EOMONTH(K$12,0),$I51&gt;=K$12),"BOTH","UX"),IF(AND($H51&lt;&gt;"",$H51&lt;=EOMONTH(K$12,0),$I51&gt;=K$12),"DEV","")))</f>
        <v/>
      </c>
      <c r="L51" s="173" t="str">
        <f>IF($AI51="","",IF(INDEX('Roadmap Calc (Don’t Touch)'!$AA$2:$AX$151,$AI51,3)&gt;0,IF(AND($H51&lt;&gt;"",$H51&lt;=EOMONTH(L$12,0),$I51&gt;=L$12),"BOTH","UX"),IF(AND($H51&lt;&gt;"",$H51&lt;=EOMONTH(L$12,0),$I51&gt;=L$12),"DEV","")))</f>
        <v/>
      </c>
      <c r="M51" s="173" t="str">
        <f>IF($AI51="","",IF(INDEX('Roadmap Calc (Don’t Touch)'!$AA$2:$AX$151,$AI51,4)&gt;0,IF(AND($H51&lt;&gt;"",$H51&lt;=EOMONTH(M$12,0),$I51&gt;=M$12),"BOTH","UX"),IF(AND($H51&lt;&gt;"",$H51&lt;=EOMONTH(M$12,0),$I51&gt;=M$12),"DEV","")))</f>
        <v/>
      </c>
      <c r="N51" s="173" t="str">
        <f>IF($AI51="","",IF(INDEX('Roadmap Calc (Don’t Touch)'!$AA$2:$AX$151,$AI51,5)&gt;0,IF(AND($H51&lt;&gt;"",$H51&lt;=EOMONTH(N$12,0),$I51&gt;=N$12),"BOTH","UX"),IF(AND($H51&lt;&gt;"",$H51&lt;=EOMONTH(N$12,0),$I51&gt;=N$12),"DEV","")))</f>
        <v/>
      </c>
      <c r="O51" s="173" t="str">
        <f>IF($AI51="","",IF(INDEX('Roadmap Calc (Don’t Touch)'!$AA$2:$AX$151,$AI51,6)&gt;0,IF(AND($H51&lt;&gt;"",$H51&lt;=EOMONTH(O$12,0),$I51&gt;=O$12),"BOTH","UX"),IF(AND($H51&lt;&gt;"",$H51&lt;=EOMONTH(O$12,0),$I51&gt;=O$12),"DEV","")))</f>
        <v/>
      </c>
      <c r="P51" s="173" t="str">
        <f>IF($AI51="","",IF(INDEX('Roadmap Calc (Don’t Touch)'!$AA$2:$AX$151,$AI51,7)&gt;0,IF(AND($H51&lt;&gt;"",$H51&lt;=EOMONTH(P$12,0),$I51&gt;=P$12),"BOTH","UX"),IF(AND($H51&lt;&gt;"",$H51&lt;=EOMONTH(P$12,0),$I51&gt;=P$12),"DEV","")))</f>
        <v/>
      </c>
      <c r="Q51" s="173" t="str">
        <f>IF($AI51="","",IF(INDEX('Roadmap Calc (Don’t Touch)'!$AA$2:$AX$151,$AI51,8)&gt;0,IF(AND($H51&lt;&gt;"",$H51&lt;=EOMONTH(Q$12,0),$I51&gt;=Q$12),"BOTH","UX"),IF(AND($H51&lt;&gt;"",$H51&lt;=EOMONTH(Q$12,0),$I51&gt;=Q$12),"DEV","")))</f>
        <v/>
      </c>
      <c r="R51" s="173" t="str">
        <f>IF($AI51="","",IF(INDEX('Roadmap Calc (Don’t Touch)'!$AA$2:$AX$151,$AI51,9)&gt;0,IF(AND($H51&lt;&gt;"",$H51&lt;=EOMONTH(R$12,0),$I51&gt;=R$12),"BOTH","UX"),IF(AND($H51&lt;&gt;"",$H51&lt;=EOMONTH(R$12,0),$I51&gt;=R$12),"DEV","")))</f>
        <v/>
      </c>
      <c r="S51" s="173" t="str">
        <f>IF($AI51="","",IF(INDEX('Roadmap Calc (Don’t Touch)'!$AA$2:$AX$151,$AI51,10)&gt;0,IF(AND($H51&lt;&gt;"",$H51&lt;=EOMONTH(S$12,0),$I51&gt;=S$12),"BOTH","UX"),IF(AND($H51&lt;&gt;"",$H51&lt;=EOMONTH(S$12,0),$I51&gt;=S$12),"DEV","")))</f>
        <v/>
      </c>
      <c r="T51" s="173" t="str">
        <f>IF($AI51="","",IF(INDEX('Roadmap Calc (Don’t Touch)'!$AA$2:$AX$151,$AI51,11)&gt;0,IF(AND($H51&lt;&gt;"",$H51&lt;=EOMONTH(T$12,0),$I51&gt;=T$12),"BOTH","UX"),IF(AND($H51&lt;&gt;"",$H51&lt;=EOMONTH(T$12,0),$I51&gt;=T$12),"DEV","")))</f>
        <v/>
      </c>
      <c r="U51" s="173" t="str">
        <f>IF($AI51="","",IF(INDEX('Roadmap Calc (Don’t Touch)'!$AA$2:$AX$151,$AI51,12)&gt;0,IF(AND($H51&lt;&gt;"",$H51&lt;=EOMONTH(U$12,0),$I51&gt;=U$12),"BOTH","UX"),IF(AND($H51&lt;&gt;"",$H51&lt;=EOMONTH(U$12,0),$I51&gt;=U$12),"DEV","")))</f>
        <v/>
      </c>
      <c r="V51" s="173" t="str">
        <f>IF($AI51="","",IF(INDEX('Roadmap Calc (Don’t Touch)'!$AA$2:$AX$151,$AI51,13)&gt;0,IF(AND($H51&lt;&gt;"",$H51&lt;=EOMONTH(V$12,0),$I51&gt;=V$12),"BOTH","UX"),IF(AND($H51&lt;&gt;"",$H51&lt;=EOMONTH(V$12,0),$I51&gt;=V$12),"DEV","")))</f>
        <v/>
      </c>
      <c r="W51" s="173" t="str">
        <f>IF($AI51="","",IF(INDEX('Roadmap Calc (Don’t Touch)'!$AA$2:$AX$151,$AI51,14)&gt;0,IF(AND($H51&lt;&gt;"",$H51&lt;=EOMONTH(W$12,0),$I51&gt;=W$12),"BOTH","UX"),IF(AND($H51&lt;&gt;"",$H51&lt;=EOMONTH(W$12,0),$I51&gt;=W$12),"DEV","")))</f>
        <v/>
      </c>
      <c r="X51" s="173" t="str">
        <f>IF($AI51="","",IF(INDEX('Roadmap Calc (Don’t Touch)'!$AA$2:$AX$151,$AI51,15)&gt;0,IF(AND($H51&lt;&gt;"",$H51&lt;=EOMONTH(X$12,0),$I51&gt;=X$12),"BOTH","UX"),IF(AND($H51&lt;&gt;"",$H51&lt;=EOMONTH(X$12,0),$I51&gt;=X$12),"DEV","")))</f>
        <v/>
      </c>
      <c r="Y51" s="173" t="str">
        <f>IF($AI51="","",IF(INDEX('Roadmap Calc (Don’t Touch)'!$AA$2:$AX$151,$AI51,16)&gt;0,IF(AND($H51&lt;&gt;"",$H51&lt;=EOMONTH(Y$12,0),$I51&gt;=Y$12),"BOTH","UX"),IF(AND($H51&lt;&gt;"",$H51&lt;=EOMONTH(Y$12,0),$I51&gt;=Y$12),"DEV","")))</f>
        <v/>
      </c>
      <c r="Z51" s="173" t="str">
        <f>IF($AI51="","",IF(INDEX('Roadmap Calc (Don’t Touch)'!$AA$2:$AX$151,$AI51,17)&gt;0,IF(AND($H51&lt;&gt;"",$H51&lt;=EOMONTH(Z$12,0),$I51&gt;=Z$12),"BOTH","UX"),IF(AND($H51&lt;&gt;"",$H51&lt;=EOMONTH(Z$12,0),$I51&gt;=Z$12),"DEV","")))</f>
        <v/>
      </c>
      <c r="AA51" s="173" t="str">
        <f>IF($AI51="","",IF(INDEX('Roadmap Calc (Don’t Touch)'!$AA$2:$AX$151,$AI51,18)&gt;0,IF(AND($H51&lt;&gt;"",$H51&lt;=EOMONTH(AA$12,0),$I51&gt;=AA$12),"BOTH","UX"),IF(AND($H51&lt;&gt;"",$H51&lt;=EOMONTH(AA$12,0),$I51&gt;=AA$12),"DEV","")))</f>
        <v/>
      </c>
      <c r="AB51" s="173" t="str">
        <f>IF($AI51="","",IF(INDEX('Roadmap Calc (Don’t Touch)'!$AA$2:$AX$151,$AI51,19)&gt;0,IF(AND($H51&lt;&gt;"",$H51&lt;=EOMONTH(AB$12,0),$I51&gt;=AB$12),"BOTH","UX"),IF(AND($H51&lt;&gt;"",$H51&lt;=EOMONTH(AB$12,0),$I51&gt;=AB$12),"DEV","")))</f>
        <v/>
      </c>
      <c r="AC51" s="173" t="str">
        <f>IF($AI51="","",IF(INDEX('Roadmap Calc (Don’t Touch)'!$AA$2:$AX$151,$AI51,20)&gt;0,IF(AND($H51&lt;&gt;"",$H51&lt;=EOMONTH(AC$12,0),$I51&gt;=AC$12),"BOTH","UX"),IF(AND($H51&lt;&gt;"",$H51&lt;=EOMONTH(AC$12,0),$I51&gt;=AC$12),"DEV","")))</f>
        <v/>
      </c>
      <c r="AD51" s="173" t="str">
        <f>IF($AI51="","",IF(INDEX('Roadmap Calc (Don’t Touch)'!$AA$2:$AX$151,$AI51,21)&gt;0,IF(AND($H51&lt;&gt;"",$H51&lt;=EOMONTH(AD$12,0),$I51&gt;=AD$12),"BOTH","UX"),IF(AND($H51&lt;&gt;"",$H51&lt;=EOMONTH(AD$12,0),$I51&gt;=AD$12),"DEV","")))</f>
        <v/>
      </c>
      <c r="AE51" s="173" t="str">
        <f>IF($AI51="","",IF(INDEX('Roadmap Calc (Don’t Touch)'!$AA$2:$AX$151,$AI51,22)&gt;0,IF(AND($H51&lt;&gt;"",$H51&lt;=EOMONTH(AE$12,0),$I51&gt;=AE$12),"BOTH","UX"),IF(AND($H51&lt;&gt;"",$H51&lt;=EOMONTH(AE$12,0),$I51&gt;=AE$12),"DEV","")))</f>
        <v/>
      </c>
      <c r="AF51" s="173" t="str">
        <f>IF($AI51="","",IF(INDEX('Roadmap Calc (Don’t Touch)'!$AA$2:$AX$151,$AI51,23)&gt;0,IF(AND($H51&lt;&gt;"",$H51&lt;=EOMONTH(AF$12,0),$I51&gt;=AF$12),"BOTH","UX"),IF(AND($H51&lt;&gt;"",$H51&lt;=EOMONTH(AF$12,0),$I51&gt;=AF$12),"DEV","")))</f>
        <v/>
      </c>
      <c r="AG51" s="173" t="str">
        <f>IF($AI51="","",IF(INDEX('Roadmap Calc (Don’t Touch)'!$AA$2:$AX$151,$AI51,24)&gt;0,IF(AND($H51&lt;&gt;"",$H51&lt;=EOMONTH(AG$12,0),$I51&gt;=AG$12),"BOTH","UX"),IF(AND($H51&lt;&gt;"",$H51&lt;=EOMONTH(AG$12,0),$I51&gt;=AG$12),"DEV","")))</f>
        <v/>
      </c>
      <c r="AH51" s="160" t="str">
        <f>IF($AI51="","",INDEX('Roadmap Calc (Don’t Touch)'!$D$2:$D$151,$AI51))</f>
        <v/>
      </c>
      <c r="AI51" s="160" t="str">
        <f>IFERROR(MATCH(36,'Roadmap Calc (Don’t Touch)'!$O$2:$O$151,0),"")</f>
        <v/>
      </c>
      <c r="AJ51" s="160"/>
      <c r="AK51" s="160"/>
      <c r="AL51" s="160"/>
      <c r="AM51" s="160"/>
    </row>
    <row r="52" spans="1:39" ht="20" customHeight="1" x14ac:dyDescent="0.25">
      <c r="A52" s="214" t="str">
        <f>IF($AI52="","",IF($AH52=$AH51,"",IF(INDEX('Roadmap Calc (Don’t Touch)'!$U$2:$U$151,$AI52)=0,$AH52,HYPERLINK("#'Control (Don’t Touch)'!E"&amp;INDEX('Roadmap Calc (Don’t Touch)'!$U$2:$U$151,$AI52),$AH52))))</f>
        <v/>
      </c>
      <c r="B52" s="174" t="str">
        <f>IF($AI52="","",IF(INDEX('Roadmap Calc (Don’t Touch)'!$K$2:$K$151,$AI52)="",INDEX('Roadmap Calc (Don’t Touch)'!$B$2:$B$151,$AI52),HYPERLINK("https://jira.bnh.com/browse/"&amp;INDEX('Roadmap Calc (Don’t Touch)'!$K$2:$K$151,$AI52),INDEX('Roadmap Calc (Don’t Touch)'!$B$2:$B$151,$AI52))))</f>
        <v/>
      </c>
      <c r="C52" s="174" t="str">
        <f>IF($AI52="","",IF(INDEX('Roadmap Calc (Don’t Touch)'!$E$2:$E$151,$AI52)="","",HYPERLINK("https://jira.bnh.com/browse/"&amp;INDEX('Roadmap Calc (Don’t Touch)'!$E$2:$E$151,$AI52),INDEX('Roadmap Calc (Don’t Touch)'!$E$2:$E$151,$AI52))))</f>
        <v/>
      </c>
      <c r="D52" s="176" t="str">
        <f>IF($AI52="","",INDEX('Roadmap Calc (Don’t Touch)'!$F$2:$F$151,$AI52))</f>
        <v/>
      </c>
      <c r="E52" s="170" t="str">
        <f>IF($AI52="","",IF(ISNUMBER(INDEX('Roadmap Calc (Don’t Touch)'!$G$2:$G$151,$AI52)),INDEX('Roadmap Calc (Don’t Touch)'!$G$2:$G$151,$AI52),""))</f>
        <v/>
      </c>
      <c r="F52" s="170" t="str">
        <f>IF($AI52="","",IF(ISNUMBER(INDEX('Roadmap Calc (Don’t Touch)'!$H$2:$H$151,$AI52)),INDEX('Roadmap Calc (Don’t Touch)'!$H$2:$H$151,$AI52),""))</f>
        <v/>
      </c>
      <c r="G52" s="171" t="str">
        <f>IF($AI52="","",INDEX('Roadmap Calc (Don’t Touch)'!$T$2:$T$151,$AI52))</f>
        <v/>
      </c>
      <c r="H52" s="172" t="str">
        <f>IF($AI52="","",IF(ISNUMBER(INDEX('Roadmap Calc (Don’t Touch)'!$I$2:$I$151,$AI52)),INDEX('Roadmap Calc (Don’t Touch)'!$I$2:$I$151,$AI52),""))</f>
        <v/>
      </c>
      <c r="I52" s="172" t="str">
        <f>IF($AI52="","",IF(ISNUMBER(INDEX('Roadmap Calc (Don’t Touch)'!$J$2:$J$151,$AI52)),INDEX('Roadmap Calc (Don’t Touch)'!$J$2:$J$151,$AI52),""))</f>
        <v/>
      </c>
      <c r="J52" s="173" t="str">
        <f>IF($AI52="","",IF(INDEX('Roadmap Calc (Don’t Touch)'!$AA$2:$AX$151,$AI52,1)&gt;0,IF(AND($H52&lt;&gt;"",$H52&lt;=EOMONTH(J$12,0),$I52&gt;=J$12),"BOTH","UX"),IF(AND($H52&lt;&gt;"",$H52&lt;=EOMONTH(J$12,0),$I52&gt;=J$12),"DEV","")))</f>
        <v/>
      </c>
      <c r="K52" s="173" t="str">
        <f>IF($AI52="","",IF(INDEX('Roadmap Calc (Don’t Touch)'!$AA$2:$AX$151,$AI52,2)&gt;0,IF(AND($H52&lt;&gt;"",$H52&lt;=EOMONTH(K$12,0),$I52&gt;=K$12),"BOTH","UX"),IF(AND($H52&lt;&gt;"",$H52&lt;=EOMONTH(K$12,0),$I52&gt;=K$12),"DEV","")))</f>
        <v/>
      </c>
      <c r="L52" s="173" t="str">
        <f>IF($AI52="","",IF(INDEX('Roadmap Calc (Don’t Touch)'!$AA$2:$AX$151,$AI52,3)&gt;0,IF(AND($H52&lt;&gt;"",$H52&lt;=EOMONTH(L$12,0),$I52&gt;=L$12),"BOTH","UX"),IF(AND($H52&lt;&gt;"",$H52&lt;=EOMONTH(L$12,0),$I52&gt;=L$12),"DEV","")))</f>
        <v/>
      </c>
      <c r="M52" s="173" t="str">
        <f>IF($AI52="","",IF(INDEX('Roadmap Calc (Don’t Touch)'!$AA$2:$AX$151,$AI52,4)&gt;0,IF(AND($H52&lt;&gt;"",$H52&lt;=EOMONTH(M$12,0),$I52&gt;=M$12),"BOTH","UX"),IF(AND($H52&lt;&gt;"",$H52&lt;=EOMONTH(M$12,0),$I52&gt;=M$12),"DEV","")))</f>
        <v/>
      </c>
      <c r="N52" s="173" t="str">
        <f>IF($AI52="","",IF(INDEX('Roadmap Calc (Don’t Touch)'!$AA$2:$AX$151,$AI52,5)&gt;0,IF(AND($H52&lt;&gt;"",$H52&lt;=EOMONTH(N$12,0),$I52&gt;=N$12),"BOTH","UX"),IF(AND($H52&lt;&gt;"",$H52&lt;=EOMONTH(N$12,0),$I52&gt;=N$12),"DEV","")))</f>
        <v/>
      </c>
      <c r="O52" s="173" t="str">
        <f>IF($AI52="","",IF(INDEX('Roadmap Calc (Don’t Touch)'!$AA$2:$AX$151,$AI52,6)&gt;0,IF(AND($H52&lt;&gt;"",$H52&lt;=EOMONTH(O$12,0),$I52&gt;=O$12),"BOTH","UX"),IF(AND($H52&lt;&gt;"",$H52&lt;=EOMONTH(O$12,0),$I52&gt;=O$12),"DEV","")))</f>
        <v/>
      </c>
      <c r="P52" s="173" t="str">
        <f>IF($AI52="","",IF(INDEX('Roadmap Calc (Don’t Touch)'!$AA$2:$AX$151,$AI52,7)&gt;0,IF(AND($H52&lt;&gt;"",$H52&lt;=EOMONTH(P$12,0),$I52&gt;=P$12),"BOTH","UX"),IF(AND($H52&lt;&gt;"",$H52&lt;=EOMONTH(P$12,0),$I52&gt;=P$12),"DEV","")))</f>
        <v/>
      </c>
      <c r="Q52" s="173" t="str">
        <f>IF($AI52="","",IF(INDEX('Roadmap Calc (Don’t Touch)'!$AA$2:$AX$151,$AI52,8)&gt;0,IF(AND($H52&lt;&gt;"",$H52&lt;=EOMONTH(Q$12,0),$I52&gt;=Q$12),"BOTH","UX"),IF(AND($H52&lt;&gt;"",$H52&lt;=EOMONTH(Q$12,0),$I52&gt;=Q$12),"DEV","")))</f>
        <v/>
      </c>
      <c r="R52" s="173" t="str">
        <f>IF($AI52="","",IF(INDEX('Roadmap Calc (Don’t Touch)'!$AA$2:$AX$151,$AI52,9)&gt;0,IF(AND($H52&lt;&gt;"",$H52&lt;=EOMONTH(R$12,0),$I52&gt;=R$12),"BOTH","UX"),IF(AND($H52&lt;&gt;"",$H52&lt;=EOMONTH(R$12,0),$I52&gt;=R$12),"DEV","")))</f>
        <v/>
      </c>
      <c r="S52" s="173" t="str">
        <f>IF($AI52="","",IF(INDEX('Roadmap Calc (Don’t Touch)'!$AA$2:$AX$151,$AI52,10)&gt;0,IF(AND($H52&lt;&gt;"",$H52&lt;=EOMONTH(S$12,0),$I52&gt;=S$12),"BOTH","UX"),IF(AND($H52&lt;&gt;"",$H52&lt;=EOMONTH(S$12,0),$I52&gt;=S$12),"DEV","")))</f>
        <v/>
      </c>
      <c r="T52" s="173" t="str">
        <f>IF($AI52="","",IF(INDEX('Roadmap Calc (Don’t Touch)'!$AA$2:$AX$151,$AI52,11)&gt;0,IF(AND($H52&lt;&gt;"",$H52&lt;=EOMONTH(T$12,0),$I52&gt;=T$12),"BOTH","UX"),IF(AND($H52&lt;&gt;"",$H52&lt;=EOMONTH(T$12,0),$I52&gt;=T$12),"DEV","")))</f>
        <v/>
      </c>
      <c r="U52" s="173" t="str">
        <f>IF($AI52="","",IF(INDEX('Roadmap Calc (Don’t Touch)'!$AA$2:$AX$151,$AI52,12)&gt;0,IF(AND($H52&lt;&gt;"",$H52&lt;=EOMONTH(U$12,0),$I52&gt;=U$12),"BOTH","UX"),IF(AND($H52&lt;&gt;"",$H52&lt;=EOMONTH(U$12,0),$I52&gt;=U$12),"DEV","")))</f>
        <v/>
      </c>
      <c r="V52" s="173" t="str">
        <f>IF($AI52="","",IF(INDEX('Roadmap Calc (Don’t Touch)'!$AA$2:$AX$151,$AI52,13)&gt;0,IF(AND($H52&lt;&gt;"",$H52&lt;=EOMONTH(V$12,0),$I52&gt;=V$12),"BOTH","UX"),IF(AND($H52&lt;&gt;"",$H52&lt;=EOMONTH(V$12,0),$I52&gt;=V$12),"DEV","")))</f>
        <v/>
      </c>
      <c r="W52" s="173" t="str">
        <f>IF($AI52="","",IF(INDEX('Roadmap Calc (Don’t Touch)'!$AA$2:$AX$151,$AI52,14)&gt;0,IF(AND($H52&lt;&gt;"",$H52&lt;=EOMONTH(W$12,0),$I52&gt;=W$12),"BOTH","UX"),IF(AND($H52&lt;&gt;"",$H52&lt;=EOMONTH(W$12,0),$I52&gt;=W$12),"DEV","")))</f>
        <v/>
      </c>
      <c r="X52" s="173" t="str">
        <f>IF($AI52="","",IF(INDEX('Roadmap Calc (Don’t Touch)'!$AA$2:$AX$151,$AI52,15)&gt;0,IF(AND($H52&lt;&gt;"",$H52&lt;=EOMONTH(X$12,0),$I52&gt;=X$12),"BOTH","UX"),IF(AND($H52&lt;&gt;"",$H52&lt;=EOMONTH(X$12,0),$I52&gt;=X$12),"DEV","")))</f>
        <v/>
      </c>
      <c r="Y52" s="173" t="str">
        <f>IF($AI52="","",IF(INDEX('Roadmap Calc (Don’t Touch)'!$AA$2:$AX$151,$AI52,16)&gt;0,IF(AND($H52&lt;&gt;"",$H52&lt;=EOMONTH(Y$12,0),$I52&gt;=Y$12),"BOTH","UX"),IF(AND($H52&lt;&gt;"",$H52&lt;=EOMONTH(Y$12,0),$I52&gt;=Y$12),"DEV","")))</f>
        <v/>
      </c>
      <c r="Z52" s="173" t="str">
        <f>IF($AI52="","",IF(INDEX('Roadmap Calc (Don’t Touch)'!$AA$2:$AX$151,$AI52,17)&gt;0,IF(AND($H52&lt;&gt;"",$H52&lt;=EOMONTH(Z$12,0),$I52&gt;=Z$12),"BOTH","UX"),IF(AND($H52&lt;&gt;"",$H52&lt;=EOMONTH(Z$12,0),$I52&gt;=Z$12),"DEV","")))</f>
        <v/>
      </c>
      <c r="AA52" s="173" t="str">
        <f>IF($AI52="","",IF(INDEX('Roadmap Calc (Don’t Touch)'!$AA$2:$AX$151,$AI52,18)&gt;0,IF(AND($H52&lt;&gt;"",$H52&lt;=EOMONTH(AA$12,0),$I52&gt;=AA$12),"BOTH","UX"),IF(AND($H52&lt;&gt;"",$H52&lt;=EOMONTH(AA$12,0),$I52&gt;=AA$12),"DEV","")))</f>
        <v/>
      </c>
      <c r="AB52" s="173" t="str">
        <f>IF($AI52="","",IF(INDEX('Roadmap Calc (Don’t Touch)'!$AA$2:$AX$151,$AI52,19)&gt;0,IF(AND($H52&lt;&gt;"",$H52&lt;=EOMONTH(AB$12,0),$I52&gt;=AB$12),"BOTH","UX"),IF(AND($H52&lt;&gt;"",$H52&lt;=EOMONTH(AB$12,0),$I52&gt;=AB$12),"DEV","")))</f>
        <v/>
      </c>
      <c r="AC52" s="173" t="str">
        <f>IF($AI52="","",IF(INDEX('Roadmap Calc (Don’t Touch)'!$AA$2:$AX$151,$AI52,20)&gt;0,IF(AND($H52&lt;&gt;"",$H52&lt;=EOMONTH(AC$12,0),$I52&gt;=AC$12),"BOTH","UX"),IF(AND($H52&lt;&gt;"",$H52&lt;=EOMONTH(AC$12,0),$I52&gt;=AC$12),"DEV","")))</f>
        <v/>
      </c>
      <c r="AD52" s="173" t="str">
        <f>IF($AI52="","",IF(INDEX('Roadmap Calc (Don’t Touch)'!$AA$2:$AX$151,$AI52,21)&gt;0,IF(AND($H52&lt;&gt;"",$H52&lt;=EOMONTH(AD$12,0),$I52&gt;=AD$12),"BOTH","UX"),IF(AND($H52&lt;&gt;"",$H52&lt;=EOMONTH(AD$12,0),$I52&gt;=AD$12),"DEV","")))</f>
        <v/>
      </c>
      <c r="AE52" s="173" t="str">
        <f>IF($AI52="","",IF(INDEX('Roadmap Calc (Don’t Touch)'!$AA$2:$AX$151,$AI52,22)&gt;0,IF(AND($H52&lt;&gt;"",$H52&lt;=EOMONTH(AE$12,0),$I52&gt;=AE$12),"BOTH","UX"),IF(AND($H52&lt;&gt;"",$H52&lt;=EOMONTH(AE$12,0),$I52&gt;=AE$12),"DEV","")))</f>
        <v/>
      </c>
      <c r="AF52" s="173" t="str">
        <f>IF($AI52="","",IF(INDEX('Roadmap Calc (Don’t Touch)'!$AA$2:$AX$151,$AI52,23)&gt;0,IF(AND($H52&lt;&gt;"",$H52&lt;=EOMONTH(AF$12,0),$I52&gt;=AF$12),"BOTH","UX"),IF(AND($H52&lt;&gt;"",$H52&lt;=EOMONTH(AF$12,0),$I52&gt;=AF$12),"DEV","")))</f>
        <v/>
      </c>
      <c r="AG52" s="173" t="str">
        <f>IF($AI52="","",IF(INDEX('Roadmap Calc (Don’t Touch)'!$AA$2:$AX$151,$AI52,24)&gt;0,IF(AND($H52&lt;&gt;"",$H52&lt;=EOMONTH(AG$12,0),$I52&gt;=AG$12),"BOTH","UX"),IF(AND($H52&lt;&gt;"",$H52&lt;=EOMONTH(AG$12,0),$I52&gt;=AG$12),"DEV","")))</f>
        <v/>
      </c>
      <c r="AH52" s="160" t="str">
        <f>IF($AI52="","",INDEX('Roadmap Calc (Don’t Touch)'!$D$2:$D$151,$AI52))</f>
        <v/>
      </c>
      <c r="AI52" s="160" t="str">
        <f>IFERROR(MATCH(37,'Roadmap Calc (Don’t Touch)'!$O$2:$O$151,0),"")</f>
        <v/>
      </c>
      <c r="AJ52" s="160"/>
      <c r="AK52" s="160"/>
      <c r="AL52" s="160"/>
      <c r="AM52" s="160"/>
    </row>
    <row r="53" spans="1:39" ht="20" customHeight="1" x14ac:dyDescent="0.25">
      <c r="A53" s="214" t="str">
        <f>IF($AI53="","",IF($AH53=$AH52,"",IF(INDEX('Roadmap Calc (Don’t Touch)'!$U$2:$U$151,$AI53)=0,$AH53,HYPERLINK("#'Control (Don’t Touch)'!E"&amp;INDEX('Roadmap Calc (Don’t Touch)'!$U$2:$U$151,$AI53),$AH53))))</f>
        <v/>
      </c>
      <c r="B53" s="174" t="str">
        <f>IF($AI53="","",IF(INDEX('Roadmap Calc (Don’t Touch)'!$K$2:$K$151,$AI53)="",INDEX('Roadmap Calc (Don’t Touch)'!$B$2:$B$151,$AI53),HYPERLINK("https://jira.bnh.com/browse/"&amp;INDEX('Roadmap Calc (Don’t Touch)'!$K$2:$K$151,$AI53),INDEX('Roadmap Calc (Don’t Touch)'!$B$2:$B$151,$AI53))))</f>
        <v/>
      </c>
      <c r="C53" s="174" t="str">
        <f>IF($AI53="","",IF(INDEX('Roadmap Calc (Don’t Touch)'!$E$2:$E$151,$AI53)="","",HYPERLINK("https://jira.bnh.com/browse/"&amp;INDEX('Roadmap Calc (Don’t Touch)'!$E$2:$E$151,$AI53),INDEX('Roadmap Calc (Don’t Touch)'!$E$2:$E$151,$AI53))))</f>
        <v/>
      </c>
      <c r="D53" s="176" t="str">
        <f>IF($AI53="","",INDEX('Roadmap Calc (Don’t Touch)'!$F$2:$F$151,$AI53))</f>
        <v/>
      </c>
      <c r="E53" s="170" t="str">
        <f>IF($AI53="","",IF(ISNUMBER(INDEX('Roadmap Calc (Don’t Touch)'!$G$2:$G$151,$AI53)),INDEX('Roadmap Calc (Don’t Touch)'!$G$2:$G$151,$AI53),""))</f>
        <v/>
      </c>
      <c r="F53" s="170" t="str">
        <f>IF($AI53="","",IF(ISNUMBER(INDEX('Roadmap Calc (Don’t Touch)'!$H$2:$H$151,$AI53)),INDEX('Roadmap Calc (Don’t Touch)'!$H$2:$H$151,$AI53),""))</f>
        <v/>
      </c>
      <c r="G53" s="171" t="str">
        <f>IF($AI53="","",INDEX('Roadmap Calc (Don’t Touch)'!$T$2:$T$151,$AI53))</f>
        <v/>
      </c>
      <c r="H53" s="172" t="str">
        <f>IF($AI53="","",IF(ISNUMBER(INDEX('Roadmap Calc (Don’t Touch)'!$I$2:$I$151,$AI53)),INDEX('Roadmap Calc (Don’t Touch)'!$I$2:$I$151,$AI53),""))</f>
        <v/>
      </c>
      <c r="I53" s="172" t="str">
        <f>IF($AI53="","",IF(ISNUMBER(INDEX('Roadmap Calc (Don’t Touch)'!$J$2:$J$151,$AI53)),INDEX('Roadmap Calc (Don’t Touch)'!$J$2:$J$151,$AI53),""))</f>
        <v/>
      </c>
      <c r="J53" s="173" t="str">
        <f>IF($AI53="","",IF(INDEX('Roadmap Calc (Don’t Touch)'!$AA$2:$AX$151,$AI53,1)&gt;0,IF(AND($H53&lt;&gt;"",$H53&lt;=EOMONTH(J$12,0),$I53&gt;=J$12),"BOTH","UX"),IF(AND($H53&lt;&gt;"",$H53&lt;=EOMONTH(J$12,0),$I53&gt;=J$12),"DEV","")))</f>
        <v/>
      </c>
      <c r="K53" s="173" t="str">
        <f>IF($AI53="","",IF(INDEX('Roadmap Calc (Don’t Touch)'!$AA$2:$AX$151,$AI53,2)&gt;0,IF(AND($H53&lt;&gt;"",$H53&lt;=EOMONTH(K$12,0),$I53&gt;=K$12),"BOTH","UX"),IF(AND($H53&lt;&gt;"",$H53&lt;=EOMONTH(K$12,0),$I53&gt;=K$12),"DEV","")))</f>
        <v/>
      </c>
      <c r="L53" s="173" t="str">
        <f>IF($AI53="","",IF(INDEX('Roadmap Calc (Don’t Touch)'!$AA$2:$AX$151,$AI53,3)&gt;0,IF(AND($H53&lt;&gt;"",$H53&lt;=EOMONTH(L$12,0),$I53&gt;=L$12),"BOTH","UX"),IF(AND($H53&lt;&gt;"",$H53&lt;=EOMONTH(L$12,0),$I53&gt;=L$12),"DEV","")))</f>
        <v/>
      </c>
      <c r="M53" s="173" t="str">
        <f>IF($AI53="","",IF(INDEX('Roadmap Calc (Don’t Touch)'!$AA$2:$AX$151,$AI53,4)&gt;0,IF(AND($H53&lt;&gt;"",$H53&lt;=EOMONTH(M$12,0),$I53&gt;=M$12),"BOTH","UX"),IF(AND($H53&lt;&gt;"",$H53&lt;=EOMONTH(M$12,0),$I53&gt;=M$12),"DEV","")))</f>
        <v/>
      </c>
      <c r="N53" s="173" t="str">
        <f>IF($AI53="","",IF(INDEX('Roadmap Calc (Don’t Touch)'!$AA$2:$AX$151,$AI53,5)&gt;0,IF(AND($H53&lt;&gt;"",$H53&lt;=EOMONTH(N$12,0),$I53&gt;=N$12),"BOTH","UX"),IF(AND($H53&lt;&gt;"",$H53&lt;=EOMONTH(N$12,0),$I53&gt;=N$12),"DEV","")))</f>
        <v/>
      </c>
      <c r="O53" s="173" t="str">
        <f>IF($AI53="","",IF(INDEX('Roadmap Calc (Don’t Touch)'!$AA$2:$AX$151,$AI53,6)&gt;0,IF(AND($H53&lt;&gt;"",$H53&lt;=EOMONTH(O$12,0),$I53&gt;=O$12),"BOTH","UX"),IF(AND($H53&lt;&gt;"",$H53&lt;=EOMONTH(O$12,0),$I53&gt;=O$12),"DEV","")))</f>
        <v/>
      </c>
      <c r="P53" s="173" t="str">
        <f>IF($AI53="","",IF(INDEX('Roadmap Calc (Don’t Touch)'!$AA$2:$AX$151,$AI53,7)&gt;0,IF(AND($H53&lt;&gt;"",$H53&lt;=EOMONTH(P$12,0),$I53&gt;=P$12),"BOTH","UX"),IF(AND($H53&lt;&gt;"",$H53&lt;=EOMONTH(P$12,0),$I53&gt;=P$12),"DEV","")))</f>
        <v/>
      </c>
      <c r="Q53" s="173" t="str">
        <f>IF($AI53="","",IF(INDEX('Roadmap Calc (Don’t Touch)'!$AA$2:$AX$151,$AI53,8)&gt;0,IF(AND($H53&lt;&gt;"",$H53&lt;=EOMONTH(Q$12,0),$I53&gt;=Q$12),"BOTH","UX"),IF(AND($H53&lt;&gt;"",$H53&lt;=EOMONTH(Q$12,0),$I53&gt;=Q$12),"DEV","")))</f>
        <v/>
      </c>
      <c r="R53" s="173" t="str">
        <f>IF($AI53="","",IF(INDEX('Roadmap Calc (Don’t Touch)'!$AA$2:$AX$151,$AI53,9)&gt;0,IF(AND($H53&lt;&gt;"",$H53&lt;=EOMONTH(R$12,0),$I53&gt;=R$12),"BOTH","UX"),IF(AND($H53&lt;&gt;"",$H53&lt;=EOMONTH(R$12,0),$I53&gt;=R$12),"DEV","")))</f>
        <v/>
      </c>
      <c r="S53" s="173" t="str">
        <f>IF($AI53="","",IF(INDEX('Roadmap Calc (Don’t Touch)'!$AA$2:$AX$151,$AI53,10)&gt;0,IF(AND($H53&lt;&gt;"",$H53&lt;=EOMONTH(S$12,0),$I53&gt;=S$12),"BOTH","UX"),IF(AND($H53&lt;&gt;"",$H53&lt;=EOMONTH(S$12,0),$I53&gt;=S$12),"DEV","")))</f>
        <v/>
      </c>
      <c r="T53" s="173" t="str">
        <f>IF($AI53="","",IF(INDEX('Roadmap Calc (Don’t Touch)'!$AA$2:$AX$151,$AI53,11)&gt;0,IF(AND($H53&lt;&gt;"",$H53&lt;=EOMONTH(T$12,0),$I53&gt;=T$12),"BOTH","UX"),IF(AND($H53&lt;&gt;"",$H53&lt;=EOMONTH(T$12,0),$I53&gt;=T$12),"DEV","")))</f>
        <v/>
      </c>
      <c r="U53" s="173" t="str">
        <f>IF($AI53="","",IF(INDEX('Roadmap Calc (Don’t Touch)'!$AA$2:$AX$151,$AI53,12)&gt;0,IF(AND($H53&lt;&gt;"",$H53&lt;=EOMONTH(U$12,0),$I53&gt;=U$12),"BOTH","UX"),IF(AND($H53&lt;&gt;"",$H53&lt;=EOMONTH(U$12,0),$I53&gt;=U$12),"DEV","")))</f>
        <v/>
      </c>
      <c r="V53" s="173" t="str">
        <f>IF($AI53="","",IF(INDEX('Roadmap Calc (Don’t Touch)'!$AA$2:$AX$151,$AI53,13)&gt;0,IF(AND($H53&lt;&gt;"",$H53&lt;=EOMONTH(V$12,0),$I53&gt;=V$12),"BOTH","UX"),IF(AND($H53&lt;&gt;"",$H53&lt;=EOMONTH(V$12,0),$I53&gt;=V$12),"DEV","")))</f>
        <v/>
      </c>
      <c r="W53" s="173" t="str">
        <f>IF($AI53="","",IF(INDEX('Roadmap Calc (Don’t Touch)'!$AA$2:$AX$151,$AI53,14)&gt;0,IF(AND($H53&lt;&gt;"",$H53&lt;=EOMONTH(W$12,0),$I53&gt;=W$12),"BOTH","UX"),IF(AND($H53&lt;&gt;"",$H53&lt;=EOMONTH(W$12,0),$I53&gt;=W$12),"DEV","")))</f>
        <v/>
      </c>
      <c r="X53" s="173" t="str">
        <f>IF($AI53="","",IF(INDEX('Roadmap Calc (Don’t Touch)'!$AA$2:$AX$151,$AI53,15)&gt;0,IF(AND($H53&lt;&gt;"",$H53&lt;=EOMONTH(X$12,0),$I53&gt;=X$12),"BOTH","UX"),IF(AND($H53&lt;&gt;"",$H53&lt;=EOMONTH(X$12,0),$I53&gt;=X$12),"DEV","")))</f>
        <v/>
      </c>
      <c r="Y53" s="173" t="str">
        <f>IF($AI53="","",IF(INDEX('Roadmap Calc (Don’t Touch)'!$AA$2:$AX$151,$AI53,16)&gt;0,IF(AND($H53&lt;&gt;"",$H53&lt;=EOMONTH(Y$12,0),$I53&gt;=Y$12),"BOTH","UX"),IF(AND($H53&lt;&gt;"",$H53&lt;=EOMONTH(Y$12,0),$I53&gt;=Y$12),"DEV","")))</f>
        <v/>
      </c>
      <c r="Z53" s="173" t="str">
        <f>IF($AI53="","",IF(INDEX('Roadmap Calc (Don’t Touch)'!$AA$2:$AX$151,$AI53,17)&gt;0,IF(AND($H53&lt;&gt;"",$H53&lt;=EOMONTH(Z$12,0),$I53&gt;=Z$12),"BOTH","UX"),IF(AND($H53&lt;&gt;"",$H53&lt;=EOMONTH(Z$12,0),$I53&gt;=Z$12),"DEV","")))</f>
        <v/>
      </c>
      <c r="AA53" s="173" t="str">
        <f>IF($AI53="","",IF(INDEX('Roadmap Calc (Don’t Touch)'!$AA$2:$AX$151,$AI53,18)&gt;0,IF(AND($H53&lt;&gt;"",$H53&lt;=EOMONTH(AA$12,0),$I53&gt;=AA$12),"BOTH","UX"),IF(AND($H53&lt;&gt;"",$H53&lt;=EOMONTH(AA$12,0),$I53&gt;=AA$12),"DEV","")))</f>
        <v/>
      </c>
      <c r="AB53" s="173" t="str">
        <f>IF($AI53="","",IF(INDEX('Roadmap Calc (Don’t Touch)'!$AA$2:$AX$151,$AI53,19)&gt;0,IF(AND($H53&lt;&gt;"",$H53&lt;=EOMONTH(AB$12,0),$I53&gt;=AB$12),"BOTH","UX"),IF(AND($H53&lt;&gt;"",$H53&lt;=EOMONTH(AB$12,0),$I53&gt;=AB$12),"DEV","")))</f>
        <v/>
      </c>
      <c r="AC53" s="173" t="str">
        <f>IF($AI53="","",IF(INDEX('Roadmap Calc (Don’t Touch)'!$AA$2:$AX$151,$AI53,20)&gt;0,IF(AND($H53&lt;&gt;"",$H53&lt;=EOMONTH(AC$12,0),$I53&gt;=AC$12),"BOTH","UX"),IF(AND($H53&lt;&gt;"",$H53&lt;=EOMONTH(AC$12,0),$I53&gt;=AC$12),"DEV","")))</f>
        <v/>
      </c>
      <c r="AD53" s="173" t="str">
        <f>IF($AI53="","",IF(INDEX('Roadmap Calc (Don’t Touch)'!$AA$2:$AX$151,$AI53,21)&gt;0,IF(AND($H53&lt;&gt;"",$H53&lt;=EOMONTH(AD$12,0),$I53&gt;=AD$12),"BOTH","UX"),IF(AND($H53&lt;&gt;"",$H53&lt;=EOMONTH(AD$12,0),$I53&gt;=AD$12),"DEV","")))</f>
        <v/>
      </c>
      <c r="AE53" s="173" t="str">
        <f>IF($AI53="","",IF(INDEX('Roadmap Calc (Don’t Touch)'!$AA$2:$AX$151,$AI53,22)&gt;0,IF(AND($H53&lt;&gt;"",$H53&lt;=EOMONTH(AE$12,0),$I53&gt;=AE$12),"BOTH","UX"),IF(AND($H53&lt;&gt;"",$H53&lt;=EOMONTH(AE$12,0),$I53&gt;=AE$12),"DEV","")))</f>
        <v/>
      </c>
      <c r="AF53" s="173" t="str">
        <f>IF($AI53="","",IF(INDEX('Roadmap Calc (Don’t Touch)'!$AA$2:$AX$151,$AI53,23)&gt;0,IF(AND($H53&lt;&gt;"",$H53&lt;=EOMONTH(AF$12,0),$I53&gt;=AF$12),"BOTH","UX"),IF(AND($H53&lt;&gt;"",$H53&lt;=EOMONTH(AF$12,0),$I53&gt;=AF$12),"DEV","")))</f>
        <v/>
      </c>
      <c r="AG53" s="173" t="str">
        <f>IF($AI53="","",IF(INDEX('Roadmap Calc (Don’t Touch)'!$AA$2:$AX$151,$AI53,24)&gt;0,IF(AND($H53&lt;&gt;"",$H53&lt;=EOMONTH(AG$12,0),$I53&gt;=AG$12),"BOTH","UX"),IF(AND($H53&lt;&gt;"",$H53&lt;=EOMONTH(AG$12,0),$I53&gt;=AG$12),"DEV","")))</f>
        <v/>
      </c>
      <c r="AH53" s="160" t="str">
        <f>IF($AI53="","",INDEX('Roadmap Calc (Don’t Touch)'!$D$2:$D$151,$AI53))</f>
        <v/>
      </c>
      <c r="AI53" s="160" t="str">
        <f>IFERROR(MATCH(38,'Roadmap Calc (Don’t Touch)'!$O$2:$O$151,0),"")</f>
        <v/>
      </c>
      <c r="AJ53" s="160"/>
      <c r="AK53" s="160"/>
      <c r="AL53" s="160"/>
      <c r="AM53" s="160"/>
    </row>
    <row r="54" spans="1:39" ht="20" customHeight="1" x14ac:dyDescent="0.25">
      <c r="A54" s="214" t="str">
        <f>IF($AI54="","",IF($AH54=$AH53,"",IF(INDEX('Roadmap Calc (Don’t Touch)'!$U$2:$U$151,$AI54)=0,$AH54,HYPERLINK("#'Control (Don’t Touch)'!E"&amp;INDEX('Roadmap Calc (Don’t Touch)'!$U$2:$U$151,$AI54),$AH54))))</f>
        <v/>
      </c>
      <c r="B54" s="174" t="str">
        <f>IF($AI54="","",IF(INDEX('Roadmap Calc (Don’t Touch)'!$K$2:$K$151,$AI54)="",INDEX('Roadmap Calc (Don’t Touch)'!$B$2:$B$151,$AI54),HYPERLINK("https://jira.bnh.com/browse/"&amp;INDEX('Roadmap Calc (Don’t Touch)'!$K$2:$K$151,$AI54),INDEX('Roadmap Calc (Don’t Touch)'!$B$2:$B$151,$AI54))))</f>
        <v/>
      </c>
      <c r="C54" s="174" t="str">
        <f>IF($AI54="","",IF(INDEX('Roadmap Calc (Don’t Touch)'!$E$2:$E$151,$AI54)="","",HYPERLINK("https://jira.bnh.com/browse/"&amp;INDEX('Roadmap Calc (Don’t Touch)'!$E$2:$E$151,$AI54),INDEX('Roadmap Calc (Don’t Touch)'!$E$2:$E$151,$AI54))))</f>
        <v/>
      </c>
      <c r="D54" s="176" t="str">
        <f>IF($AI54="","",INDEX('Roadmap Calc (Don’t Touch)'!$F$2:$F$151,$AI54))</f>
        <v/>
      </c>
      <c r="E54" s="170" t="str">
        <f>IF($AI54="","",IF(ISNUMBER(INDEX('Roadmap Calc (Don’t Touch)'!$G$2:$G$151,$AI54)),INDEX('Roadmap Calc (Don’t Touch)'!$G$2:$G$151,$AI54),""))</f>
        <v/>
      </c>
      <c r="F54" s="170" t="str">
        <f>IF($AI54="","",IF(ISNUMBER(INDEX('Roadmap Calc (Don’t Touch)'!$H$2:$H$151,$AI54)),INDEX('Roadmap Calc (Don’t Touch)'!$H$2:$H$151,$AI54),""))</f>
        <v/>
      </c>
      <c r="G54" s="171" t="str">
        <f>IF($AI54="","",INDEX('Roadmap Calc (Don’t Touch)'!$T$2:$T$151,$AI54))</f>
        <v/>
      </c>
      <c r="H54" s="172" t="str">
        <f>IF($AI54="","",IF(ISNUMBER(INDEX('Roadmap Calc (Don’t Touch)'!$I$2:$I$151,$AI54)),INDEX('Roadmap Calc (Don’t Touch)'!$I$2:$I$151,$AI54),""))</f>
        <v/>
      </c>
      <c r="I54" s="172" t="str">
        <f>IF($AI54="","",IF(ISNUMBER(INDEX('Roadmap Calc (Don’t Touch)'!$J$2:$J$151,$AI54)),INDEX('Roadmap Calc (Don’t Touch)'!$J$2:$J$151,$AI54),""))</f>
        <v/>
      </c>
      <c r="J54" s="173" t="str">
        <f>IF($AI54="","",IF(INDEX('Roadmap Calc (Don’t Touch)'!$AA$2:$AX$151,$AI54,1)&gt;0,IF(AND($H54&lt;&gt;"",$H54&lt;=EOMONTH(J$12,0),$I54&gt;=J$12),"BOTH","UX"),IF(AND($H54&lt;&gt;"",$H54&lt;=EOMONTH(J$12,0),$I54&gt;=J$12),"DEV","")))</f>
        <v/>
      </c>
      <c r="K54" s="173" t="str">
        <f>IF($AI54="","",IF(INDEX('Roadmap Calc (Don’t Touch)'!$AA$2:$AX$151,$AI54,2)&gt;0,IF(AND($H54&lt;&gt;"",$H54&lt;=EOMONTH(K$12,0),$I54&gt;=K$12),"BOTH","UX"),IF(AND($H54&lt;&gt;"",$H54&lt;=EOMONTH(K$12,0),$I54&gt;=K$12),"DEV","")))</f>
        <v/>
      </c>
      <c r="L54" s="173" t="str">
        <f>IF($AI54="","",IF(INDEX('Roadmap Calc (Don’t Touch)'!$AA$2:$AX$151,$AI54,3)&gt;0,IF(AND($H54&lt;&gt;"",$H54&lt;=EOMONTH(L$12,0),$I54&gt;=L$12),"BOTH","UX"),IF(AND($H54&lt;&gt;"",$H54&lt;=EOMONTH(L$12,0),$I54&gt;=L$12),"DEV","")))</f>
        <v/>
      </c>
      <c r="M54" s="173" t="str">
        <f>IF($AI54="","",IF(INDEX('Roadmap Calc (Don’t Touch)'!$AA$2:$AX$151,$AI54,4)&gt;0,IF(AND($H54&lt;&gt;"",$H54&lt;=EOMONTH(M$12,0),$I54&gt;=M$12),"BOTH","UX"),IF(AND($H54&lt;&gt;"",$H54&lt;=EOMONTH(M$12,0),$I54&gt;=M$12),"DEV","")))</f>
        <v/>
      </c>
      <c r="N54" s="173" t="str">
        <f>IF($AI54="","",IF(INDEX('Roadmap Calc (Don’t Touch)'!$AA$2:$AX$151,$AI54,5)&gt;0,IF(AND($H54&lt;&gt;"",$H54&lt;=EOMONTH(N$12,0),$I54&gt;=N$12),"BOTH","UX"),IF(AND($H54&lt;&gt;"",$H54&lt;=EOMONTH(N$12,0),$I54&gt;=N$12),"DEV","")))</f>
        <v/>
      </c>
      <c r="O54" s="173" t="str">
        <f>IF($AI54="","",IF(INDEX('Roadmap Calc (Don’t Touch)'!$AA$2:$AX$151,$AI54,6)&gt;0,IF(AND($H54&lt;&gt;"",$H54&lt;=EOMONTH(O$12,0),$I54&gt;=O$12),"BOTH","UX"),IF(AND($H54&lt;&gt;"",$H54&lt;=EOMONTH(O$12,0),$I54&gt;=O$12),"DEV","")))</f>
        <v/>
      </c>
      <c r="P54" s="173" t="str">
        <f>IF($AI54="","",IF(INDEX('Roadmap Calc (Don’t Touch)'!$AA$2:$AX$151,$AI54,7)&gt;0,IF(AND($H54&lt;&gt;"",$H54&lt;=EOMONTH(P$12,0),$I54&gt;=P$12),"BOTH","UX"),IF(AND($H54&lt;&gt;"",$H54&lt;=EOMONTH(P$12,0),$I54&gt;=P$12),"DEV","")))</f>
        <v/>
      </c>
      <c r="Q54" s="173" t="str">
        <f>IF($AI54="","",IF(INDEX('Roadmap Calc (Don’t Touch)'!$AA$2:$AX$151,$AI54,8)&gt;0,IF(AND($H54&lt;&gt;"",$H54&lt;=EOMONTH(Q$12,0),$I54&gt;=Q$12),"BOTH","UX"),IF(AND($H54&lt;&gt;"",$H54&lt;=EOMONTH(Q$12,0),$I54&gt;=Q$12),"DEV","")))</f>
        <v/>
      </c>
      <c r="R54" s="173" t="str">
        <f>IF($AI54="","",IF(INDEX('Roadmap Calc (Don’t Touch)'!$AA$2:$AX$151,$AI54,9)&gt;0,IF(AND($H54&lt;&gt;"",$H54&lt;=EOMONTH(R$12,0),$I54&gt;=R$12),"BOTH","UX"),IF(AND($H54&lt;&gt;"",$H54&lt;=EOMONTH(R$12,0),$I54&gt;=R$12),"DEV","")))</f>
        <v/>
      </c>
      <c r="S54" s="173" t="str">
        <f>IF($AI54="","",IF(INDEX('Roadmap Calc (Don’t Touch)'!$AA$2:$AX$151,$AI54,10)&gt;0,IF(AND($H54&lt;&gt;"",$H54&lt;=EOMONTH(S$12,0),$I54&gt;=S$12),"BOTH","UX"),IF(AND($H54&lt;&gt;"",$H54&lt;=EOMONTH(S$12,0),$I54&gt;=S$12),"DEV","")))</f>
        <v/>
      </c>
      <c r="T54" s="173" t="str">
        <f>IF($AI54="","",IF(INDEX('Roadmap Calc (Don’t Touch)'!$AA$2:$AX$151,$AI54,11)&gt;0,IF(AND($H54&lt;&gt;"",$H54&lt;=EOMONTH(T$12,0),$I54&gt;=T$12),"BOTH","UX"),IF(AND($H54&lt;&gt;"",$H54&lt;=EOMONTH(T$12,0),$I54&gt;=T$12),"DEV","")))</f>
        <v/>
      </c>
      <c r="U54" s="173" t="str">
        <f>IF($AI54="","",IF(INDEX('Roadmap Calc (Don’t Touch)'!$AA$2:$AX$151,$AI54,12)&gt;0,IF(AND($H54&lt;&gt;"",$H54&lt;=EOMONTH(U$12,0),$I54&gt;=U$12),"BOTH","UX"),IF(AND($H54&lt;&gt;"",$H54&lt;=EOMONTH(U$12,0),$I54&gt;=U$12),"DEV","")))</f>
        <v/>
      </c>
      <c r="V54" s="173" t="str">
        <f>IF($AI54="","",IF(INDEX('Roadmap Calc (Don’t Touch)'!$AA$2:$AX$151,$AI54,13)&gt;0,IF(AND($H54&lt;&gt;"",$H54&lt;=EOMONTH(V$12,0),$I54&gt;=V$12),"BOTH","UX"),IF(AND($H54&lt;&gt;"",$H54&lt;=EOMONTH(V$12,0),$I54&gt;=V$12),"DEV","")))</f>
        <v/>
      </c>
      <c r="W54" s="173" t="str">
        <f>IF($AI54="","",IF(INDEX('Roadmap Calc (Don’t Touch)'!$AA$2:$AX$151,$AI54,14)&gt;0,IF(AND($H54&lt;&gt;"",$H54&lt;=EOMONTH(W$12,0),$I54&gt;=W$12),"BOTH","UX"),IF(AND($H54&lt;&gt;"",$H54&lt;=EOMONTH(W$12,0),$I54&gt;=W$12),"DEV","")))</f>
        <v/>
      </c>
      <c r="X54" s="173" t="str">
        <f>IF($AI54="","",IF(INDEX('Roadmap Calc (Don’t Touch)'!$AA$2:$AX$151,$AI54,15)&gt;0,IF(AND($H54&lt;&gt;"",$H54&lt;=EOMONTH(X$12,0),$I54&gt;=X$12),"BOTH","UX"),IF(AND($H54&lt;&gt;"",$H54&lt;=EOMONTH(X$12,0),$I54&gt;=X$12),"DEV","")))</f>
        <v/>
      </c>
      <c r="Y54" s="173" t="str">
        <f>IF($AI54="","",IF(INDEX('Roadmap Calc (Don’t Touch)'!$AA$2:$AX$151,$AI54,16)&gt;0,IF(AND($H54&lt;&gt;"",$H54&lt;=EOMONTH(Y$12,0),$I54&gt;=Y$12),"BOTH","UX"),IF(AND($H54&lt;&gt;"",$H54&lt;=EOMONTH(Y$12,0),$I54&gt;=Y$12),"DEV","")))</f>
        <v/>
      </c>
      <c r="Z54" s="173" t="str">
        <f>IF($AI54="","",IF(INDEX('Roadmap Calc (Don’t Touch)'!$AA$2:$AX$151,$AI54,17)&gt;0,IF(AND($H54&lt;&gt;"",$H54&lt;=EOMONTH(Z$12,0),$I54&gt;=Z$12),"BOTH","UX"),IF(AND($H54&lt;&gt;"",$H54&lt;=EOMONTH(Z$12,0),$I54&gt;=Z$12),"DEV","")))</f>
        <v/>
      </c>
      <c r="AA54" s="173" t="str">
        <f>IF($AI54="","",IF(INDEX('Roadmap Calc (Don’t Touch)'!$AA$2:$AX$151,$AI54,18)&gt;0,IF(AND($H54&lt;&gt;"",$H54&lt;=EOMONTH(AA$12,0),$I54&gt;=AA$12),"BOTH","UX"),IF(AND($H54&lt;&gt;"",$H54&lt;=EOMONTH(AA$12,0),$I54&gt;=AA$12),"DEV","")))</f>
        <v/>
      </c>
      <c r="AB54" s="173" t="str">
        <f>IF($AI54="","",IF(INDEX('Roadmap Calc (Don’t Touch)'!$AA$2:$AX$151,$AI54,19)&gt;0,IF(AND($H54&lt;&gt;"",$H54&lt;=EOMONTH(AB$12,0),$I54&gt;=AB$12),"BOTH","UX"),IF(AND($H54&lt;&gt;"",$H54&lt;=EOMONTH(AB$12,0),$I54&gt;=AB$12),"DEV","")))</f>
        <v/>
      </c>
      <c r="AC54" s="173" t="str">
        <f>IF($AI54="","",IF(INDEX('Roadmap Calc (Don’t Touch)'!$AA$2:$AX$151,$AI54,20)&gt;0,IF(AND($H54&lt;&gt;"",$H54&lt;=EOMONTH(AC$12,0),$I54&gt;=AC$12),"BOTH","UX"),IF(AND($H54&lt;&gt;"",$H54&lt;=EOMONTH(AC$12,0),$I54&gt;=AC$12),"DEV","")))</f>
        <v/>
      </c>
      <c r="AD54" s="173" t="str">
        <f>IF($AI54="","",IF(INDEX('Roadmap Calc (Don’t Touch)'!$AA$2:$AX$151,$AI54,21)&gt;0,IF(AND($H54&lt;&gt;"",$H54&lt;=EOMONTH(AD$12,0),$I54&gt;=AD$12),"BOTH","UX"),IF(AND($H54&lt;&gt;"",$H54&lt;=EOMONTH(AD$12,0),$I54&gt;=AD$12),"DEV","")))</f>
        <v/>
      </c>
      <c r="AE54" s="173" t="str">
        <f>IF($AI54="","",IF(INDEX('Roadmap Calc (Don’t Touch)'!$AA$2:$AX$151,$AI54,22)&gt;0,IF(AND($H54&lt;&gt;"",$H54&lt;=EOMONTH(AE$12,0),$I54&gt;=AE$12),"BOTH","UX"),IF(AND($H54&lt;&gt;"",$H54&lt;=EOMONTH(AE$12,0),$I54&gt;=AE$12),"DEV","")))</f>
        <v/>
      </c>
      <c r="AF54" s="173" t="str">
        <f>IF($AI54="","",IF(INDEX('Roadmap Calc (Don’t Touch)'!$AA$2:$AX$151,$AI54,23)&gt;0,IF(AND($H54&lt;&gt;"",$H54&lt;=EOMONTH(AF$12,0),$I54&gt;=AF$12),"BOTH","UX"),IF(AND($H54&lt;&gt;"",$H54&lt;=EOMONTH(AF$12,0),$I54&gt;=AF$12),"DEV","")))</f>
        <v/>
      </c>
      <c r="AG54" s="173" t="str">
        <f>IF($AI54="","",IF(INDEX('Roadmap Calc (Don’t Touch)'!$AA$2:$AX$151,$AI54,24)&gt;0,IF(AND($H54&lt;&gt;"",$H54&lt;=EOMONTH(AG$12,0),$I54&gt;=AG$12),"BOTH","UX"),IF(AND($H54&lt;&gt;"",$H54&lt;=EOMONTH(AG$12,0),$I54&gt;=AG$12),"DEV","")))</f>
        <v/>
      </c>
      <c r="AH54" s="160" t="str">
        <f>IF($AI54="","",INDEX('Roadmap Calc (Don’t Touch)'!$D$2:$D$151,$AI54))</f>
        <v/>
      </c>
      <c r="AI54" s="160" t="str">
        <f>IFERROR(MATCH(39,'Roadmap Calc (Don’t Touch)'!$O$2:$O$151,0),"")</f>
        <v/>
      </c>
      <c r="AJ54" s="160"/>
      <c r="AK54" s="160"/>
      <c r="AL54" s="160"/>
      <c r="AM54" s="160"/>
    </row>
    <row r="55" spans="1:39" ht="20" customHeight="1" x14ac:dyDescent="0.25">
      <c r="A55" s="214" t="str">
        <f>IF($AI55="","",IF($AH55=$AH54,"",IF(INDEX('Roadmap Calc (Don’t Touch)'!$U$2:$U$151,$AI55)=0,$AH55,HYPERLINK("#'Control (Don’t Touch)'!E"&amp;INDEX('Roadmap Calc (Don’t Touch)'!$U$2:$U$151,$AI55),$AH55))))</f>
        <v/>
      </c>
      <c r="B55" s="174" t="str">
        <f>IF($AI55="","",IF(INDEX('Roadmap Calc (Don’t Touch)'!$K$2:$K$151,$AI55)="",INDEX('Roadmap Calc (Don’t Touch)'!$B$2:$B$151,$AI55),HYPERLINK("https://jira.bnh.com/browse/"&amp;INDEX('Roadmap Calc (Don’t Touch)'!$K$2:$K$151,$AI55),INDEX('Roadmap Calc (Don’t Touch)'!$B$2:$B$151,$AI55))))</f>
        <v/>
      </c>
      <c r="C55" s="174" t="str">
        <f>IF($AI55="","",IF(INDEX('Roadmap Calc (Don’t Touch)'!$E$2:$E$151,$AI55)="","",HYPERLINK("https://jira.bnh.com/browse/"&amp;INDEX('Roadmap Calc (Don’t Touch)'!$E$2:$E$151,$AI55),INDEX('Roadmap Calc (Don’t Touch)'!$E$2:$E$151,$AI55))))</f>
        <v/>
      </c>
      <c r="D55" s="176" t="str">
        <f>IF($AI55="","",INDEX('Roadmap Calc (Don’t Touch)'!$F$2:$F$151,$AI55))</f>
        <v/>
      </c>
      <c r="E55" s="170" t="str">
        <f>IF($AI55="","",IF(ISNUMBER(INDEX('Roadmap Calc (Don’t Touch)'!$G$2:$G$151,$AI55)),INDEX('Roadmap Calc (Don’t Touch)'!$G$2:$G$151,$AI55),""))</f>
        <v/>
      </c>
      <c r="F55" s="170" t="str">
        <f>IF($AI55="","",IF(ISNUMBER(INDEX('Roadmap Calc (Don’t Touch)'!$H$2:$H$151,$AI55)),INDEX('Roadmap Calc (Don’t Touch)'!$H$2:$H$151,$AI55),""))</f>
        <v/>
      </c>
      <c r="G55" s="171" t="str">
        <f>IF($AI55="","",INDEX('Roadmap Calc (Don’t Touch)'!$T$2:$T$151,$AI55))</f>
        <v/>
      </c>
      <c r="H55" s="172" t="str">
        <f>IF($AI55="","",IF(ISNUMBER(INDEX('Roadmap Calc (Don’t Touch)'!$I$2:$I$151,$AI55)),INDEX('Roadmap Calc (Don’t Touch)'!$I$2:$I$151,$AI55),""))</f>
        <v/>
      </c>
      <c r="I55" s="172" t="str">
        <f>IF($AI55="","",IF(ISNUMBER(INDEX('Roadmap Calc (Don’t Touch)'!$J$2:$J$151,$AI55)),INDEX('Roadmap Calc (Don’t Touch)'!$J$2:$J$151,$AI55),""))</f>
        <v/>
      </c>
      <c r="J55" s="173" t="str">
        <f>IF($AI55="","",IF(INDEX('Roadmap Calc (Don’t Touch)'!$AA$2:$AX$151,$AI55,1)&gt;0,IF(AND($H55&lt;&gt;"",$H55&lt;=EOMONTH(J$12,0),$I55&gt;=J$12),"BOTH","UX"),IF(AND($H55&lt;&gt;"",$H55&lt;=EOMONTH(J$12,0),$I55&gt;=J$12),"DEV","")))</f>
        <v/>
      </c>
      <c r="K55" s="173" t="str">
        <f>IF($AI55="","",IF(INDEX('Roadmap Calc (Don’t Touch)'!$AA$2:$AX$151,$AI55,2)&gt;0,IF(AND($H55&lt;&gt;"",$H55&lt;=EOMONTH(K$12,0),$I55&gt;=K$12),"BOTH","UX"),IF(AND($H55&lt;&gt;"",$H55&lt;=EOMONTH(K$12,0),$I55&gt;=K$12),"DEV","")))</f>
        <v/>
      </c>
      <c r="L55" s="173" t="str">
        <f>IF($AI55="","",IF(INDEX('Roadmap Calc (Don’t Touch)'!$AA$2:$AX$151,$AI55,3)&gt;0,IF(AND($H55&lt;&gt;"",$H55&lt;=EOMONTH(L$12,0),$I55&gt;=L$12),"BOTH","UX"),IF(AND($H55&lt;&gt;"",$H55&lt;=EOMONTH(L$12,0),$I55&gt;=L$12),"DEV","")))</f>
        <v/>
      </c>
      <c r="M55" s="173" t="str">
        <f>IF($AI55="","",IF(INDEX('Roadmap Calc (Don’t Touch)'!$AA$2:$AX$151,$AI55,4)&gt;0,IF(AND($H55&lt;&gt;"",$H55&lt;=EOMONTH(M$12,0),$I55&gt;=M$12),"BOTH","UX"),IF(AND($H55&lt;&gt;"",$H55&lt;=EOMONTH(M$12,0),$I55&gt;=M$12),"DEV","")))</f>
        <v/>
      </c>
      <c r="N55" s="173" t="str">
        <f>IF($AI55="","",IF(INDEX('Roadmap Calc (Don’t Touch)'!$AA$2:$AX$151,$AI55,5)&gt;0,IF(AND($H55&lt;&gt;"",$H55&lt;=EOMONTH(N$12,0),$I55&gt;=N$12),"BOTH","UX"),IF(AND($H55&lt;&gt;"",$H55&lt;=EOMONTH(N$12,0),$I55&gt;=N$12),"DEV","")))</f>
        <v/>
      </c>
      <c r="O55" s="173" t="str">
        <f>IF($AI55="","",IF(INDEX('Roadmap Calc (Don’t Touch)'!$AA$2:$AX$151,$AI55,6)&gt;0,IF(AND($H55&lt;&gt;"",$H55&lt;=EOMONTH(O$12,0),$I55&gt;=O$12),"BOTH","UX"),IF(AND($H55&lt;&gt;"",$H55&lt;=EOMONTH(O$12,0),$I55&gt;=O$12),"DEV","")))</f>
        <v/>
      </c>
      <c r="P55" s="173" t="str">
        <f>IF($AI55="","",IF(INDEX('Roadmap Calc (Don’t Touch)'!$AA$2:$AX$151,$AI55,7)&gt;0,IF(AND($H55&lt;&gt;"",$H55&lt;=EOMONTH(P$12,0),$I55&gt;=P$12),"BOTH","UX"),IF(AND($H55&lt;&gt;"",$H55&lt;=EOMONTH(P$12,0),$I55&gt;=P$12),"DEV","")))</f>
        <v/>
      </c>
      <c r="Q55" s="173" t="str">
        <f>IF($AI55="","",IF(INDEX('Roadmap Calc (Don’t Touch)'!$AA$2:$AX$151,$AI55,8)&gt;0,IF(AND($H55&lt;&gt;"",$H55&lt;=EOMONTH(Q$12,0),$I55&gt;=Q$12),"BOTH","UX"),IF(AND($H55&lt;&gt;"",$H55&lt;=EOMONTH(Q$12,0),$I55&gt;=Q$12),"DEV","")))</f>
        <v/>
      </c>
      <c r="R55" s="173" t="str">
        <f>IF($AI55="","",IF(INDEX('Roadmap Calc (Don’t Touch)'!$AA$2:$AX$151,$AI55,9)&gt;0,IF(AND($H55&lt;&gt;"",$H55&lt;=EOMONTH(R$12,0),$I55&gt;=R$12),"BOTH","UX"),IF(AND($H55&lt;&gt;"",$H55&lt;=EOMONTH(R$12,0),$I55&gt;=R$12),"DEV","")))</f>
        <v/>
      </c>
      <c r="S55" s="173" t="str">
        <f>IF($AI55="","",IF(INDEX('Roadmap Calc (Don’t Touch)'!$AA$2:$AX$151,$AI55,10)&gt;0,IF(AND($H55&lt;&gt;"",$H55&lt;=EOMONTH(S$12,0),$I55&gt;=S$12),"BOTH","UX"),IF(AND($H55&lt;&gt;"",$H55&lt;=EOMONTH(S$12,0),$I55&gt;=S$12),"DEV","")))</f>
        <v/>
      </c>
      <c r="T55" s="173" t="str">
        <f>IF($AI55="","",IF(INDEX('Roadmap Calc (Don’t Touch)'!$AA$2:$AX$151,$AI55,11)&gt;0,IF(AND($H55&lt;&gt;"",$H55&lt;=EOMONTH(T$12,0),$I55&gt;=T$12),"BOTH","UX"),IF(AND($H55&lt;&gt;"",$H55&lt;=EOMONTH(T$12,0),$I55&gt;=T$12),"DEV","")))</f>
        <v/>
      </c>
      <c r="U55" s="173" t="str">
        <f>IF($AI55="","",IF(INDEX('Roadmap Calc (Don’t Touch)'!$AA$2:$AX$151,$AI55,12)&gt;0,IF(AND($H55&lt;&gt;"",$H55&lt;=EOMONTH(U$12,0),$I55&gt;=U$12),"BOTH","UX"),IF(AND($H55&lt;&gt;"",$H55&lt;=EOMONTH(U$12,0),$I55&gt;=U$12),"DEV","")))</f>
        <v/>
      </c>
      <c r="V55" s="173" t="str">
        <f>IF($AI55="","",IF(INDEX('Roadmap Calc (Don’t Touch)'!$AA$2:$AX$151,$AI55,13)&gt;0,IF(AND($H55&lt;&gt;"",$H55&lt;=EOMONTH(V$12,0),$I55&gt;=V$12),"BOTH","UX"),IF(AND($H55&lt;&gt;"",$H55&lt;=EOMONTH(V$12,0),$I55&gt;=V$12),"DEV","")))</f>
        <v/>
      </c>
      <c r="W55" s="173" t="str">
        <f>IF($AI55="","",IF(INDEX('Roadmap Calc (Don’t Touch)'!$AA$2:$AX$151,$AI55,14)&gt;0,IF(AND($H55&lt;&gt;"",$H55&lt;=EOMONTH(W$12,0),$I55&gt;=W$12),"BOTH","UX"),IF(AND($H55&lt;&gt;"",$H55&lt;=EOMONTH(W$12,0),$I55&gt;=W$12),"DEV","")))</f>
        <v/>
      </c>
      <c r="X55" s="173" t="str">
        <f>IF($AI55="","",IF(INDEX('Roadmap Calc (Don’t Touch)'!$AA$2:$AX$151,$AI55,15)&gt;0,IF(AND($H55&lt;&gt;"",$H55&lt;=EOMONTH(X$12,0),$I55&gt;=X$12),"BOTH","UX"),IF(AND($H55&lt;&gt;"",$H55&lt;=EOMONTH(X$12,0),$I55&gt;=X$12),"DEV","")))</f>
        <v/>
      </c>
      <c r="Y55" s="173" t="str">
        <f>IF($AI55="","",IF(INDEX('Roadmap Calc (Don’t Touch)'!$AA$2:$AX$151,$AI55,16)&gt;0,IF(AND($H55&lt;&gt;"",$H55&lt;=EOMONTH(Y$12,0),$I55&gt;=Y$12),"BOTH","UX"),IF(AND($H55&lt;&gt;"",$H55&lt;=EOMONTH(Y$12,0),$I55&gt;=Y$12),"DEV","")))</f>
        <v/>
      </c>
      <c r="Z55" s="173" t="str">
        <f>IF($AI55="","",IF(INDEX('Roadmap Calc (Don’t Touch)'!$AA$2:$AX$151,$AI55,17)&gt;0,IF(AND($H55&lt;&gt;"",$H55&lt;=EOMONTH(Z$12,0),$I55&gt;=Z$12),"BOTH","UX"),IF(AND($H55&lt;&gt;"",$H55&lt;=EOMONTH(Z$12,0),$I55&gt;=Z$12),"DEV","")))</f>
        <v/>
      </c>
      <c r="AA55" s="173" t="str">
        <f>IF($AI55="","",IF(INDEX('Roadmap Calc (Don’t Touch)'!$AA$2:$AX$151,$AI55,18)&gt;0,IF(AND($H55&lt;&gt;"",$H55&lt;=EOMONTH(AA$12,0),$I55&gt;=AA$12),"BOTH","UX"),IF(AND($H55&lt;&gt;"",$H55&lt;=EOMONTH(AA$12,0),$I55&gt;=AA$12),"DEV","")))</f>
        <v/>
      </c>
      <c r="AB55" s="173" t="str">
        <f>IF($AI55="","",IF(INDEX('Roadmap Calc (Don’t Touch)'!$AA$2:$AX$151,$AI55,19)&gt;0,IF(AND($H55&lt;&gt;"",$H55&lt;=EOMONTH(AB$12,0),$I55&gt;=AB$12),"BOTH","UX"),IF(AND($H55&lt;&gt;"",$H55&lt;=EOMONTH(AB$12,0),$I55&gt;=AB$12),"DEV","")))</f>
        <v/>
      </c>
      <c r="AC55" s="173" t="str">
        <f>IF($AI55="","",IF(INDEX('Roadmap Calc (Don’t Touch)'!$AA$2:$AX$151,$AI55,20)&gt;0,IF(AND($H55&lt;&gt;"",$H55&lt;=EOMONTH(AC$12,0),$I55&gt;=AC$12),"BOTH","UX"),IF(AND($H55&lt;&gt;"",$H55&lt;=EOMONTH(AC$12,0),$I55&gt;=AC$12),"DEV","")))</f>
        <v/>
      </c>
      <c r="AD55" s="173" t="str">
        <f>IF($AI55="","",IF(INDEX('Roadmap Calc (Don’t Touch)'!$AA$2:$AX$151,$AI55,21)&gt;0,IF(AND($H55&lt;&gt;"",$H55&lt;=EOMONTH(AD$12,0),$I55&gt;=AD$12),"BOTH","UX"),IF(AND($H55&lt;&gt;"",$H55&lt;=EOMONTH(AD$12,0),$I55&gt;=AD$12),"DEV","")))</f>
        <v/>
      </c>
      <c r="AE55" s="173" t="str">
        <f>IF($AI55="","",IF(INDEX('Roadmap Calc (Don’t Touch)'!$AA$2:$AX$151,$AI55,22)&gt;0,IF(AND($H55&lt;&gt;"",$H55&lt;=EOMONTH(AE$12,0),$I55&gt;=AE$12),"BOTH","UX"),IF(AND($H55&lt;&gt;"",$H55&lt;=EOMONTH(AE$12,0),$I55&gt;=AE$12),"DEV","")))</f>
        <v/>
      </c>
      <c r="AF55" s="173" t="str">
        <f>IF($AI55="","",IF(INDEX('Roadmap Calc (Don’t Touch)'!$AA$2:$AX$151,$AI55,23)&gt;0,IF(AND($H55&lt;&gt;"",$H55&lt;=EOMONTH(AF$12,0),$I55&gt;=AF$12),"BOTH","UX"),IF(AND($H55&lt;&gt;"",$H55&lt;=EOMONTH(AF$12,0),$I55&gt;=AF$12),"DEV","")))</f>
        <v/>
      </c>
      <c r="AG55" s="173" t="str">
        <f>IF($AI55="","",IF(INDEX('Roadmap Calc (Don’t Touch)'!$AA$2:$AX$151,$AI55,24)&gt;0,IF(AND($H55&lt;&gt;"",$H55&lt;=EOMONTH(AG$12,0),$I55&gt;=AG$12),"BOTH","UX"),IF(AND($H55&lt;&gt;"",$H55&lt;=EOMONTH(AG$12,0),$I55&gt;=AG$12),"DEV","")))</f>
        <v/>
      </c>
      <c r="AH55" s="160" t="str">
        <f>IF($AI55="","",INDEX('Roadmap Calc (Don’t Touch)'!$D$2:$D$151,$AI55))</f>
        <v/>
      </c>
      <c r="AI55" s="160" t="str">
        <f>IFERROR(MATCH(40,'Roadmap Calc (Don’t Touch)'!$O$2:$O$151,0),"")</f>
        <v/>
      </c>
      <c r="AJ55" s="160"/>
      <c r="AK55" s="160"/>
      <c r="AL55" s="160"/>
      <c r="AM55" s="160"/>
    </row>
    <row r="56" spans="1:39" ht="20" customHeight="1" x14ac:dyDescent="0.25">
      <c r="A56" s="214" t="str">
        <f>IF($AI56="","",IF($AH56=$AH55,"",IF(INDEX('Roadmap Calc (Don’t Touch)'!$U$2:$U$151,$AI56)=0,$AH56,HYPERLINK("#'Control (Don’t Touch)'!E"&amp;INDEX('Roadmap Calc (Don’t Touch)'!$U$2:$U$151,$AI56),$AH56))))</f>
        <v/>
      </c>
      <c r="B56" s="174" t="str">
        <f>IF($AI56="","",IF(INDEX('Roadmap Calc (Don’t Touch)'!$K$2:$K$151,$AI56)="",INDEX('Roadmap Calc (Don’t Touch)'!$B$2:$B$151,$AI56),HYPERLINK("https://jira.bnh.com/browse/"&amp;INDEX('Roadmap Calc (Don’t Touch)'!$K$2:$K$151,$AI56),INDEX('Roadmap Calc (Don’t Touch)'!$B$2:$B$151,$AI56))))</f>
        <v/>
      </c>
      <c r="C56" s="174" t="str">
        <f>IF($AI56="","",IF(INDEX('Roadmap Calc (Don’t Touch)'!$E$2:$E$151,$AI56)="","",HYPERLINK("https://jira.bnh.com/browse/"&amp;INDEX('Roadmap Calc (Don’t Touch)'!$E$2:$E$151,$AI56),INDEX('Roadmap Calc (Don’t Touch)'!$E$2:$E$151,$AI56))))</f>
        <v/>
      </c>
      <c r="D56" s="176" t="str">
        <f>IF($AI56="","",INDEX('Roadmap Calc (Don’t Touch)'!$F$2:$F$151,$AI56))</f>
        <v/>
      </c>
      <c r="E56" s="170" t="str">
        <f>IF($AI56="","",IF(ISNUMBER(INDEX('Roadmap Calc (Don’t Touch)'!$G$2:$G$151,$AI56)),INDEX('Roadmap Calc (Don’t Touch)'!$G$2:$G$151,$AI56),""))</f>
        <v/>
      </c>
      <c r="F56" s="170" t="str">
        <f>IF($AI56="","",IF(ISNUMBER(INDEX('Roadmap Calc (Don’t Touch)'!$H$2:$H$151,$AI56)),INDEX('Roadmap Calc (Don’t Touch)'!$H$2:$H$151,$AI56),""))</f>
        <v/>
      </c>
      <c r="G56" s="171" t="str">
        <f>IF($AI56="","",INDEX('Roadmap Calc (Don’t Touch)'!$T$2:$T$151,$AI56))</f>
        <v/>
      </c>
      <c r="H56" s="172" t="str">
        <f>IF($AI56="","",IF(ISNUMBER(INDEX('Roadmap Calc (Don’t Touch)'!$I$2:$I$151,$AI56)),INDEX('Roadmap Calc (Don’t Touch)'!$I$2:$I$151,$AI56),""))</f>
        <v/>
      </c>
      <c r="I56" s="172" t="str">
        <f>IF($AI56="","",IF(ISNUMBER(INDEX('Roadmap Calc (Don’t Touch)'!$J$2:$J$151,$AI56)),INDEX('Roadmap Calc (Don’t Touch)'!$J$2:$J$151,$AI56),""))</f>
        <v/>
      </c>
      <c r="J56" s="173" t="str">
        <f>IF($AI56="","",IF(INDEX('Roadmap Calc (Don’t Touch)'!$AA$2:$AX$151,$AI56,1)&gt;0,IF(AND($H56&lt;&gt;"",$H56&lt;=EOMONTH(J$12,0),$I56&gt;=J$12),"BOTH","UX"),IF(AND($H56&lt;&gt;"",$H56&lt;=EOMONTH(J$12,0),$I56&gt;=J$12),"DEV","")))</f>
        <v/>
      </c>
      <c r="K56" s="173" t="str">
        <f>IF($AI56="","",IF(INDEX('Roadmap Calc (Don’t Touch)'!$AA$2:$AX$151,$AI56,2)&gt;0,IF(AND($H56&lt;&gt;"",$H56&lt;=EOMONTH(K$12,0),$I56&gt;=K$12),"BOTH","UX"),IF(AND($H56&lt;&gt;"",$H56&lt;=EOMONTH(K$12,0),$I56&gt;=K$12),"DEV","")))</f>
        <v/>
      </c>
      <c r="L56" s="173" t="str">
        <f>IF($AI56="","",IF(INDEX('Roadmap Calc (Don’t Touch)'!$AA$2:$AX$151,$AI56,3)&gt;0,IF(AND($H56&lt;&gt;"",$H56&lt;=EOMONTH(L$12,0),$I56&gt;=L$12),"BOTH","UX"),IF(AND($H56&lt;&gt;"",$H56&lt;=EOMONTH(L$12,0),$I56&gt;=L$12),"DEV","")))</f>
        <v/>
      </c>
      <c r="M56" s="173" t="str">
        <f>IF($AI56="","",IF(INDEX('Roadmap Calc (Don’t Touch)'!$AA$2:$AX$151,$AI56,4)&gt;0,IF(AND($H56&lt;&gt;"",$H56&lt;=EOMONTH(M$12,0),$I56&gt;=M$12),"BOTH","UX"),IF(AND($H56&lt;&gt;"",$H56&lt;=EOMONTH(M$12,0),$I56&gt;=M$12),"DEV","")))</f>
        <v/>
      </c>
      <c r="N56" s="173" t="str">
        <f>IF($AI56="","",IF(INDEX('Roadmap Calc (Don’t Touch)'!$AA$2:$AX$151,$AI56,5)&gt;0,IF(AND($H56&lt;&gt;"",$H56&lt;=EOMONTH(N$12,0),$I56&gt;=N$12),"BOTH","UX"),IF(AND($H56&lt;&gt;"",$H56&lt;=EOMONTH(N$12,0),$I56&gt;=N$12),"DEV","")))</f>
        <v/>
      </c>
      <c r="O56" s="173" t="str">
        <f>IF($AI56="","",IF(INDEX('Roadmap Calc (Don’t Touch)'!$AA$2:$AX$151,$AI56,6)&gt;0,IF(AND($H56&lt;&gt;"",$H56&lt;=EOMONTH(O$12,0),$I56&gt;=O$12),"BOTH","UX"),IF(AND($H56&lt;&gt;"",$H56&lt;=EOMONTH(O$12,0),$I56&gt;=O$12),"DEV","")))</f>
        <v/>
      </c>
      <c r="P56" s="173" t="str">
        <f>IF($AI56="","",IF(INDEX('Roadmap Calc (Don’t Touch)'!$AA$2:$AX$151,$AI56,7)&gt;0,IF(AND($H56&lt;&gt;"",$H56&lt;=EOMONTH(P$12,0),$I56&gt;=P$12),"BOTH","UX"),IF(AND($H56&lt;&gt;"",$H56&lt;=EOMONTH(P$12,0),$I56&gt;=P$12),"DEV","")))</f>
        <v/>
      </c>
      <c r="Q56" s="173" t="str">
        <f>IF($AI56="","",IF(INDEX('Roadmap Calc (Don’t Touch)'!$AA$2:$AX$151,$AI56,8)&gt;0,IF(AND($H56&lt;&gt;"",$H56&lt;=EOMONTH(Q$12,0),$I56&gt;=Q$12),"BOTH","UX"),IF(AND($H56&lt;&gt;"",$H56&lt;=EOMONTH(Q$12,0),$I56&gt;=Q$12),"DEV","")))</f>
        <v/>
      </c>
      <c r="R56" s="173" t="str">
        <f>IF($AI56="","",IF(INDEX('Roadmap Calc (Don’t Touch)'!$AA$2:$AX$151,$AI56,9)&gt;0,IF(AND($H56&lt;&gt;"",$H56&lt;=EOMONTH(R$12,0),$I56&gt;=R$12),"BOTH","UX"),IF(AND($H56&lt;&gt;"",$H56&lt;=EOMONTH(R$12,0),$I56&gt;=R$12),"DEV","")))</f>
        <v/>
      </c>
      <c r="S56" s="173" t="str">
        <f>IF($AI56="","",IF(INDEX('Roadmap Calc (Don’t Touch)'!$AA$2:$AX$151,$AI56,10)&gt;0,IF(AND($H56&lt;&gt;"",$H56&lt;=EOMONTH(S$12,0),$I56&gt;=S$12),"BOTH","UX"),IF(AND($H56&lt;&gt;"",$H56&lt;=EOMONTH(S$12,0),$I56&gt;=S$12),"DEV","")))</f>
        <v/>
      </c>
      <c r="T56" s="173" t="str">
        <f>IF($AI56="","",IF(INDEX('Roadmap Calc (Don’t Touch)'!$AA$2:$AX$151,$AI56,11)&gt;0,IF(AND($H56&lt;&gt;"",$H56&lt;=EOMONTH(T$12,0),$I56&gt;=T$12),"BOTH","UX"),IF(AND($H56&lt;&gt;"",$H56&lt;=EOMONTH(T$12,0),$I56&gt;=T$12),"DEV","")))</f>
        <v/>
      </c>
      <c r="U56" s="173" t="str">
        <f>IF($AI56="","",IF(INDEX('Roadmap Calc (Don’t Touch)'!$AA$2:$AX$151,$AI56,12)&gt;0,IF(AND($H56&lt;&gt;"",$H56&lt;=EOMONTH(U$12,0),$I56&gt;=U$12),"BOTH","UX"),IF(AND($H56&lt;&gt;"",$H56&lt;=EOMONTH(U$12,0),$I56&gt;=U$12),"DEV","")))</f>
        <v/>
      </c>
      <c r="V56" s="173" t="str">
        <f>IF($AI56="","",IF(INDEX('Roadmap Calc (Don’t Touch)'!$AA$2:$AX$151,$AI56,13)&gt;0,IF(AND($H56&lt;&gt;"",$H56&lt;=EOMONTH(V$12,0),$I56&gt;=V$12),"BOTH","UX"),IF(AND($H56&lt;&gt;"",$H56&lt;=EOMONTH(V$12,0),$I56&gt;=V$12),"DEV","")))</f>
        <v/>
      </c>
      <c r="W56" s="173" t="str">
        <f>IF($AI56="","",IF(INDEX('Roadmap Calc (Don’t Touch)'!$AA$2:$AX$151,$AI56,14)&gt;0,IF(AND($H56&lt;&gt;"",$H56&lt;=EOMONTH(W$12,0),$I56&gt;=W$12),"BOTH","UX"),IF(AND($H56&lt;&gt;"",$H56&lt;=EOMONTH(W$12,0),$I56&gt;=W$12),"DEV","")))</f>
        <v/>
      </c>
      <c r="X56" s="173" t="str">
        <f>IF($AI56="","",IF(INDEX('Roadmap Calc (Don’t Touch)'!$AA$2:$AX$151,$AI56,15)&gt;0,IF(AND($H56&lt;&gt;"",$H56&lt;=EOMONTH(X$12,0),$I56&gt;=X$12),"BOTH","UX"),IF(AND($H56&lt;&gt;"",$H56&lt;=EOMONTH(X$12,0),$I56&gt;=X$12),"DEV","")))</f>
        <v/>
      </c>
      <c r="Y56" s="173" t="str">
        <f>IF($AI56="","",IF(INDEX('Roadmap Calc (Don’t Touch)'!$AA$2:$AX$151,$AI56,16)&gt;0,IF(AND($H56&lt;&gt;"",$H56&lt;=EOMONTH(Y$12,0),$I56&gt;=Y$12),"BOTH","UX"),IF(AND($H56&lt;&gt;"",$H56&lt;=EOMONTH(Y$12,0),$I56&gt;=Y$12),"DEV","")))</f>
        <v/>
      </c>
      <c r="Z56" s="173" t="str">
        <f>IF($AI56="","",IF(INDEX('Roadmap Calc (Don’t Touch)'!$AA$2:$AX$151,$AI56,17)&gt;0,IF(AND($H56&lt;&gt;"",$H56&lt;=EOMONTH(Z$12,0),$I56&gt;=Z$12),"BOTH","UX"),IF(AND($H56&lt;&gt;"",$H56&lt;=EOMONTH(Z$12,0),$I56&gt;=Z$12),"DEV","")))</f>
        <v/>
      </c>
      <c r="AA56" s="173" t="str">
        <f>IF($AI56="","",IF(INDEX('Roadmap Calc (Don’t Touch)'!$AA$2:$AX$151,$AI56,18)&gt;0,IF(AND($H56&lt;&gt;"",$H56&lt;=EOMONTH(AA$12,0),$I56&gt;=AA$12),"BOTH","UX"),IF(AND($H56&lt;&gt;"",$H56&lt;=EOMONTH(AA$12,0),$I56&gt;=AA$12),"DEV","")))</f>
        <v/>
      </c>
      <c r="AB56" s="173" t="str">
        <f>IF($AI56="","",IF(INDEX('Roadmap Calc (Don’t Touch)'!$AA$2:$AX$151,$AI56,19)&gt;0,IF(AND($H56&lt;&gt;"",$H56&lt;=EOMONTH(AB$12,0),$I56&gt;=AB$12),"BOTH","UX"),IF(AND($H56&lt;&gt;"",$H56&lt;=EOMONTH(AB$12,0),$I56&gt;=AB$12),"DEV","")))</f>
        <v/>
      </c>
      <c r="AC56" s="173" t="str">
        <f>IF($AI56="","",IF(INDEX('Roadmap Calc (Don’t Touch)'!$AA$2:$AX$151,$AI56,20)&gt;0,IF(AND($H56&lt;&gt;"",$H56&lt;=EOMONTH(AC$12,0),$I56&gt;=AC$12),"BOTH","UX"),IF(AND($H56&lt;&gt;"",$H56&lt;=EOMONTH(AC$12,0),$I56&gt;=AC$12),"DEV","")))</f>
        <v/>
      </c>
      <c r="AD56" s="173" t="str">
        <f>IF($AI56="","",IF(INDEX('Roadmap Calc (Don’t Touch)'!$AA$2:$AX$151,$AI56,21)&gt;0,IF(AND($H56&lt;&gt;"",$H56&lt;=EOMONTH(AD$12,0),$I56&gt;=AD$12),"BOTH","UX"),IF(AND($H56&lt;&gt;"",$H56&lt;=EOMONTH(AD$12,0),$I56&gt;=AD$12),"DEV","")))</f>
        <v/>
      </c>
      <c r="AE56" s="173" t="str">
        <f>IF($AI56="","",IF(INDEX('Roadmap Calc (Don’t Touch)'!$AA$2:$AX$151,$AI56,22)&gt;0,IF(AND($H56&lt;&gt;"",$H56&lt;=EOMONTH(AE$12,0),$I56&gt;=AE$12),"BOTH","UX"),IF(AND($H56&lt;&gt;"",$H56&lt;=EOMONTH(AE$12,0),$I56&gt;=AE$12),"DEV","")))</f>
        <v/>
      </c>
      <c r="AF56" s="173" t="str">
        <f>IF($AI56="","",IF(INDEX('Roadmap Calc (Don’t Touch)'!$AA$2:$AX$151,$AI56,23)&gt;0,IF(AND($H56&lt;&gt;"",$H56&lt;=EOMONTH(AF$12,0),$I56&gt;=AF$12),"BOTH","UX"),IF(AND($H56&lt;&gt;"",$H56&lt;=EOMONTH(AF$12,0),$I56&gt;=AF$12),"DEV","")))</f>
        <v/>
      </c>
      <c r="AG56" s="173" t="str">
        <f>IF($AI56="","",IF(INDEX('Roadmap Calc (Don’t Touch)'!$AA$2:$AX$151,$AI56,24)&gt;0,IF(AND($H56&lt;&gt;"",$H56&lt;=EOMONTH(AG$12,0),$I56&gt;=AG$12),"BOTH","UX"),IF(AND($H56&lt;&gt;"",$H56&lt;=EOMONTH(AG$12,0),$I56&gt;=AG$12),"DEV","")))</f>
        <v/>
      </c>
      <c r="AH56" s="160" t="str">
        <f>IF($AI56="","",INDEX('Roadmap Calc (Don’t Touch)'!$D$2:$D$151,$AI56))</f>
        <v/>
      </c>
      <c r="AI56" s="160" t="str">
        <f>IFERROR(MATCH(41,'Roadmap Calc (Don’t Touch)'!$O$2:$O$151,0),"")</f>
        <v/>
      </c>
      <c r="AJ56" s="160"/>
      <c r="AK56" s="160"/>
      <c r="AL56" s="160"/>
      <c r="AM56" s="160"/>
    </row>
    <row r="57" spans="1:39" ht="20" customHeight="1" x14ac:dyDescent="0.25">
      <c r="A57" s="214" t="str">
        <f>IF($AI57="","",IF($AH57=$AH56,"",IF(INDEX('Roadmap Calc (Don’t Touch)'!$U$2:$U$151,$AI57)=0,$AH57,HYPERLINK("#'Control (Don’t Touch)'!E"&amp;INDEX('Roadmap Calc (Don’t Touch)'!$U$2:$U$151,$AI57),$AH57))))</f>
        <v/>
      </c>
      <c r="B57" s="174" t="str">
        <f>IF($AI57="","",IF(INDEX('Roadmap Calc (Don’t Touch)'!$K$2:$K$151,$AI57)="",INDEX('Roadmap Calc (Don’t Touch)'!$B$2:$B$151,$AI57),HYPERLINK("https://jira.bnh.com/browse/"&amp;INDEX('Roadmap Calc (Don’t Touch)'!$K$2:$K$151,$AI57),INDEX('Roadmap Calc (Don’t Touch)'!$B$2:$B$151,$AI57))))</f>
        <v/>
      </c>
      <c r="C57" s="174" t="str">
        <f>IF($AI57="","",IF(INDEX('Roadmap Calc (Don’t Touch)'!$E$2:$E$151,$AI57)="","",HYPERLINK("https://jira.bnh.com/browse/"&amp;INDEX('Roadmap Calc (Don’t Touch)'!$E$2:$E$151,$AI57),INDEX('Roadmap Calc (Don’t Touch)'!$E$2:$E$151,$AI57))))</f>
        <v/>
      </c>
      <c r="D57" s="176" t="str">
        <f>IF($AI57="","",INDEX('Roadmap Calc (Don’t Touch)'!$F$2:$F$151,$AI57))</f>
        <v/>
      </c>
      <c r="E57" s="170" t="str">
        <f>IF($AI57="","",IF(ISNUMBER(INDEX('Roadmap Calc (Don’t Touch)'!$G$2:$G$151,$AI57)),INDEX('Roadmap Calc (Don’t Touch)'!$G$2:$G$151,$AI57),""))</f>
        <v/>
      </c>
      <c r="F57" s="170" t="str">
        <f>IF($AI57="","",IF(ISNUMBER(INDEX('Roadmap Calc (Don’t Touch)'!$H$2:$H$151,$AI57)),INDEX('Roadmap Calc (Don’t Touch)'!$H$2:$H$151,$AI57),""))</f>
        <v/>
      </c>
      <c r="G57" s="171" t="str">
        <f>IF($AI57="","",INDEX('Roadmap Calc (Don’t Touch)'!$T$2:$T$151,$AI57))</f>
        <v/>
      </c>
      <c r="H57" s="172" t="str">
        <f>IF($AI57="","",IF(ISNUMBER(INDEX('Roadmap Calc (Don’t Touch)'!$I$2:$I$151,$AI57)),INDEX('Roadmap Calc (Don’t Touch)'!$I$2:$I$151,$AI57),""))</f>
        <v/>
      </c>
      <c r="I57" s="172" t="str">
        <f>IF($AI57="","",IF(ISNUMBER(INDEX('Roadmap Calc (Don’t Touch)'!$J$2:$J$151,$AI57)),INDEX('Roadmap Calc (Don’t Touch)'!$J$2:$J$151,$AI57),""))</f>
        <v/>
      </c>
      <c r="J57" s="173" t="str">
        <f>IF($AI57="","",IF(INDEX('Roadmap Calc (Don’t Touch)'!$AA$2:$AX$151,$AI57,1)&gt;0,IF(AND($H57&lt;&gt;"",$H57&lt;=EOMONTH(J$12,0),$I57&gt;=J$12),"BOTH","UX"),IF(AND($H57&lt;&gt;"",$H57&lt;=EOMONTH(J$12,0),$I57&gt;=J$12),"DEV","")))</f>
        <v/>
      </c>
      <c r="K57" s="173" t="str">
        <f>IF($AI57="","",IF(INDEX('Roadmap Calc (Don’t Touch)'!$AA$2:$AX$151,$AI57,2)&gt;0,IF(AND($H57&lt;&gt;"",$H57&lt;=EOMONTH(K$12,0),$I57&gt;=K$12),"BOTH","UX"),IF(AND($H57&lt;&gt;"",$H57&lt;=EOMONTH(K$12,0),$I57&gt;=K$12),"DEV","")))</f>
        <v/>
      </c>
      <c r="L57" s="173" t="str">
        <f>IF($AI57="","",IF(INDEX('Roadmap Calc (Don’t Touch)'!$AA$2:$AX$151,$AI57,3)&gt;0,IF(AND($H57&lt;&gt;"",$H57&lt;=EOMONTH(L$12,0),$I57&gt;=L$12),"BOTH","UX"),IF(AND($H57&lt;&gt;"",$H57&lt;=EOMONTH(L$12,0),$I57&gt;=L$12),"DEV","")))</f>
        <v/>
      </c>
      <c r="M57" s="173" t="str">
        <f>IF($AI57="","",IF(INDEX('Roadmap Calc (Don’t Touch)'!$AA$2:$AX$151,$AI57,4)&gt;0,IF(AND($H57&lt;&gt;"",$H57&lt;=EOMONTH(M$12,0),$I57&gt;=M$12),"BOTH","UX"),IF(AND($H57&lt;&gt;"",$H57&lt;=EOMONTH(M$12,0),$I57&gt;=M$12),"DEV","")))</f>
        <v/>
      </c>
      <c r="N57" s="173" t="str">
        <f>IF($AI57="","",IF(INDEX('Roadmap Calc (Don’t Touch)'!$AA$2:$AX$151,$AI57,5)&gt;0,IF(AND($H57&lt;&gt;"",$H57&lt;=EOMONTH(N$12,0),$I57&gt;=N$12),"BOTH","UX"),IF(AND($H57&lt;&gt;"",$H57&lt;=EOMONTH(N$12,0),$I57&gt;=N$12),"DEV","")))</f>
        <v/>
      </c>
      <c r="O57" s="173" t="str">
        <f>IF($AI57="","",IF(INDEX('Roadmap Calc (Don’t Touch)'!$AA$2:$AX$151,$AI57,6)&gt;0,IF(AND($H57&lt;&gt;"",$H57&lt;=EOMONTH(O$12,0),$I57&gt;=O$12),"BOTH","UX"),IF(AND($H57&lt;&gt;"",$H57&lt;=EOMONTH(O$12,0),$I57&gt;=O$12),"DEV","")))</f>
        <v/>
      </c>
      <c r="P57" s="173" t="str">
        <f>IF($AI57="","",IF(INDEX('Roadmap Calc (Don’t Touch)'!$AA$2:$AX$151,$AI57,7)&gt;0,IF(AND($H57&lt;&gt;"",$H57&lt;=EOMONTH(P$12,0),$I57&gt;=P$12),"BOTH","UX"),IF(AND($H57&lt;&gt;"",$H57&lt;=EOMONTH(P$12,0),$I57&gt;=P$12),"DEV","")))</f>
        <v/>
      </c>
      <c r="Q57" s="173" t="str">
        <f>IF($AI57="","",IF(INDEX('Roadmap Calc (Don’t Touch)'!$AA$2:$AX$151,$AI57,8)&gt;0,IF(AND($H57&lt;&gt;"",$H57&lt;=EOMONTH(Q$12,0),$I57&gt;=Q$12),"BOTH","UX"),IF(AND($H57&lt;&gt;"",$H57&lt;=EOMONTH(Q$12,0),$I57&gt;=Q$12),"DEV","")))</f>
        <v/>
      </c>
      <c r="R57" s="173" t="str">
        <f>IF($AI57="","",IF(INDEX('Roadmap Calc (Don’t Touch)'!$AA$2:$AX$151,$AI57,9)&gt;0,IF(AND($H57&lt;&gt;"",$H57&lt;=EOMONTH(R$12,0),$I57&gt;=R$12),"BOTH","UX"),IF(AND($H57&lt;&gt;"",$H57&lt;=EOMONTH(R$12,0),$I57&gt;=R$12),"DEV","")))</f>
        <v/>
      </c>
      <c r="S57" s="173" t="str">
        <f>IF($AI57="","",IF(INDEX('Roadmap Calc (Don’t Touch)'!$AA$2:$AX$151,$AI57,10)&gt;0,IF(AND($H57&lt;&gt;"",$H57&lt;=EOMONTH(S$12,0),$I57&gt;=S$12),"BOTH","UX"),IF(AND($H57&lt;&gt;"",$H57&lt;=EOMONTH(S$12,0),$I57&gt;=S$12),"DEV","")))</f>
        <v/>
      </c>
      <c r="T57" s="173" t="str">
        <f>IF($AI57="","",IF(INDEX('Roadmap Calc (Don’t Touch)'!$AA$2:$AX$151,$AI57,11)&gt;0,IF(AND($H57&lt;&gt;"",$H57&lt;=EOMONTH(T$12,0),$I57&gt;=T$12),"BOTH","UX"),IF(AND($H57&lt;&gt;"",$H57&lt;=EOMONTH(T$12,0),$I57&gt;=T$12),"DEV","")))</f>
        <v/>
      </c>
      <c r="U57" s="173" t="str">
        <f>IF($AI57="","",IF(INDEX('Roadmap Calc (Don’t Touch)'!$AA$2:$AX$151,$AI57,12)&gt;0,IF(AND($H57&lt;&gt;"",$H57&lt;=EOMONTH(U$12,0),$I57&gt;=U$12),"BOTH","UX"),IF(AND($H57&lt;&gt;"",$H57&lt;=EOMONTH(U$12,0),$I57&gt;=U$12),"DEV","")))</f>
        <v/>
      </c>
      <c r="V57" s="173" t="str">
        <f>IF($AI57="","",IF(INDEX('Roadmap Calc (Don’t Touch)'!$AA$2:$AX$151,$AI57,13)&gt;0,IF(AND($H57&lt;&gt;"",$H57&lt;=EOMONTH(V$12,0),$I57&gt;=V$12),"BOTH","UX"),IF(AND($H57&lt;&gt;"",$H57&lt;=EOMONTH(V$12,0),$I57&gt;=V$12),"DEV","")))</f>
        <v/>
      </c>
      <c r="W57" s="173" t="str">
        <f>IF($AI57="","",IF(INDEX('Roadmap Calc (Don’t Touch)'!$AA$2:$AX$151,$AI57,14)&gt;0,IF(AND($H57&lt;&gt;"",$H57&lt;=EOMONTH(W$12,0),$I57&gt;=W$12),"BOTH","UX"),IF(AND($H57&lt;&gt;"",$H57&lt;=EOMONTH(W$12,0),$I57&gt;=W$12),"DEV","")))</f>
        <v/>
      </c>
      <c r="X57" s="173" t="str">
        <f>IF($AI57="","",IF(INDEX('Roadmap Calc (Don’t Touch)'!$AA$2:$AX$151,$AI57,15)&gt;0,IF(AND($H57&lt;&gt;"",$H57&lt;=EOMONTH(X$12,0),$I57&gt;=X$12),"BOTH","UX"),IF(AND($H57&lt;&gt;"",$H57&lt;=EOMONTH(X$12,0),$I57&gt;=X$12),"DEV","")))</f>
        <v/>
      </c>
      <c r="Y57" s="173" t="str">
        <f>IF($AI57="","",IF(INDEX('Roadmap Calc (Don’t Touch)'!$AA$2:$AX$151,$AI57,16)&gt;0,IF(AND($H57&lt;&gt;"",$H57&lt;=EOMONTH(Y$12,0),$I57&gt;=Y$12),"BOTH","UX"),IF(AND($H57&lt;&gt;"",$H57&lt;=EOMONTH(Y$12,0),$I57&gt;=Y$12),"DEV","")))</f>
        <v/>
      </c>
      <c r="Z57" s="173" t="str">
        <f>IF($AI57="","",IF(INDEX('Roadmap Calc (Don’t Touch)'!$AA$2:$AX$151,$AI57,17)&gt;0,IF(AND($H57&lt;&gt;"",$H57&lt;=EOMONTH(Z$12,0),$I57&gt;=Z$12),"BOTH","UX"),IF(AND($H57&lt;&gt;"",$H57&lt;=EOMONTH(Z$12,0),$I57&gt;=Z$12),"DEV","")))</f>
        <v/>
      </c>
      <c r="AA57" s="173" t="str">
        <f>IF($AI57="","",IF(INDEX('Roadmap Calc (Don’t Touch)'!$AA$2:$AX$151,$AI57,18)&gt;0,IF(AND($H57&lt;&gt;"",$H57&lt;=EOMONTH(AA$12,0),$I57&gt;=AA$12),"BOTH","UX"),IF(AND($H57&lt;&gt;"",$H57&lt;=EOMONTH(AA$12,0),$I57&gt;=AA$12),"DEV","")))</f>
        <v/>
      </c>
      <c r="AB57" s="173" t="str">
        <f>IF($AI57="","",IF(INDEX('Roadmap Calc (Don’t Touch)'!$AA$2:$AX$151,$AI57,19)&gt;0,IF(AND($H57&lt;&gt;"",$H57&lt;=EOMONTH(AB$12,0),$I57&gt;=AB$12),"BOTH","UX"),IF(AND($H57&lt;&gt;"",$H57&lt;=EOMONTH(AB$12,0),$I57&gt;=AB$12),"DEV","")))</f>
        <v/>
      </c>
      <c r="AC57" s="173" t="str">
        <f>IF($AI57="","",IF(INDEX('Roadmap Calc (Don’t Touch)'!$AA$2:$AX$151,$AI57,20)&gt;0,IF(AND($H57&lt;&gt;"",$H57&lt;=EOMONTH(AC$12,0),$I57&gt;=AC$12),"BOTH","UX"),IF(AND($H57&lt;&gt;"",$H57&lt;=EOMONTH(AC$12,0),$I57&gt;=AC$12),"DEV","")))</f>
        <v/>
      </c>
      <c r="AD57" s="173" t="str">
        <f>IF($AI57="","",IF(INDEX('Roadmap Calc (Don’t Touch)'!$AA$2:$AX$151,$AI57,21)&gt;0,IF(AND($H57&lt;&gt;"",$H57&lt;=EOMONTH(AD$12,0),$I57&gt;=AD$12),"BOTH","UX"),IF(AND($H57&lt;&gt;"",$H57&lt;=EOMONTH(AD$12,0),$I57&gt;=AD$12),"DEV","")))</f>
        <v/>
      </c>
      <c r="AE57" s="173" t="str">
        <f>IF($AI57="","",IF(INDEX('Roadmap Calc (Don’t Touch)'!$AA$2:$AX$151,$AI57,22)&gt;0,IF(AND($H57&lt;&gt;"",$H57&lt;=EOMONTH(AE$12,0),$I57&gt;=AE$12),"BOTH","UX"),IF(AND($H57&lt;&gt;"",$H57&lt;=EOMONTH(AE$12,0),$I57&gt;=AE$12),"DEV","")))</f>
        <v/>
      </c>
      <c r="AF57" s="173" t="str">
        <f>IF($AI57="","",IF(INDEX('Roadmap Calc (Don’t Touch)'!$AA$2:$AX$151,$AI57,23)&gt;0,IF(AND($H57&lt;&gt;"",$H57&lt;=EOMONTH(AF$12,0),$I57&gt;=AF$12),"BOTH","UX"),IF(AND($H57&lt;&gt;"",$H57&lt;=EOMONTH(AF$12,0),$I57&gt;=AF$12),"DEV","")))</f>
        <v/>
      </c>
      <c r="AG57" s="173" t="str">
        <f>IF($AI57="","",IF(INDEX('Roadmap Calc (Don’t Touch)'!$AA$2:$AX$151,$AI57,24)&gt;0,IF(AND($H57&lt;&gt;"",$H57&lt;=EOMONTH(AG$12,0),$I57&gt;=AG$12),"BOTH","UX"),IF(AND($H57&lt;&gt;"",$H57&lt;=EOMONTH(AG$12,0),$I57&gt;=AG$12),"DEV","")))</f>
        <v/>
      </c>
      <c r="AH57" s="160" t="str">
        <f>IF($AI57="","",INDEX('Roadmap Calc (Don’t Touch)'!$D$2:$D$151,$AI57))</f>
        <v/>
      </c>
      <c r="AI57" s="160" t="str">
        <f>IFERROR(MATCH(42,'Roadmap Calc (Don’t Touch)'!$O$2:$O$151,0),"")</f>
        <v/>
      </c>
      <c r="AJ57" s="160"/>
      <c r="AK57" s="160"/>
      <c r="AL57" s="160"/>
      <c r="AM57" s="160"/>
    </row>
    <row r="58" spans="1:39" ht="20" customHeight="1" x14ac:dyDescent="0.25">
      <c r="A58" s="214" t="str">
        <f>IF($AI58="","",IF($AH58=$AH57,"",IF(INDEX('Roadmap Calc (Don’t Touch)'!$U$2:$U$151,$AI58)=0,$AH58,HYPERLINK("#'Control (Don’t Touch)'!E"&amp;INDEX('Roadmap Calc (Don’t Touch)'!$U$2:$U$151,$AI58),$AH58))))</f>
        <v/>
      </c>
      <c r="B58" s="174" t="str">
        <f>IF($AI58="","",IF(INDEX('Roadmap Calc (Don’t Touch)'!$K$2:$K$151,$AI58)="",INDEX('Roadmap Calc (Don’t Touch)'!$B$2:$B$151,$AI58),HYPERLINK("https://jira.bnh.com/browse/"&amp;INDEX('Roadmap Calc (Don’t Touch)'!$K$2:$K$151,$AI58),INDEX('Roadmap Calc (Don’t Touch)'!$B$2:$B$151,$AI58))))</f>
        <v/>
      </c>
      <c r="C58" s="174" t="str">
        <f>IF($AI58="","",IF(INDEX('Roadmap Calc (Don’t Touch)'!$E$2:$E$151,$AI58)="","",HYPERLINK("https://jira.bnh.com/browse/"&amp;INDEX('Roadmap Calc (Don’t Touch)'!$E$2:$E$151,$AI58),INDEX('Roadmap Calc (Don’t Touch)'!$E$2:$E$151,$AI58))))</f>
        <v/>
      </c>
      <c r="D58" s="176" t="str">
        <f>IF($AI58="","",INDEX('Roadmap Calc (Don’t Touch)'!$F$2:$F$151,$AI58))</f>
        <v/>
      </c>
      <c r="E58" s="170" t="str">
        <f>IF($AI58="","",IF(ISNUMBER(INDEX('Roadmap Calc (Don’t Touch)'!$G$2:$G$151,$AI58)),INDEX('Roadmap Calc (Don’t Touch)'!$G$2:$G$151,$AI58),""))</f>
        <v/>
      </c>
      <c r="F58" s="170" t="str">
        <f>IF($AI58="","",IF(ISNUMBER(INDEX('Roadmap Calc (Don’t Touch)'!$H$2:$H$151,$AI58)),INDEX('Roadmap Calc (Don’t Touch)'!$H$2:$H$151,$AI58),""))</f>
        <v/>
      </c>
      <c r="G58" s="171" t="str">
        <f>IF($AI58="","",INDEX('Roadmap Calc (Don’t Touch)'!$T$2:$T$151,$AI58))</f>
        <v/>
      </c>
      <c r="H58" s="172" t="str">
        <f>IF($AI58="","",IF(ISNUMBER(INDEX('Roadmap Calc (Don’t Touch)'!$I$2:$I$151,$AI58)),INDEX('Roadmap Calc (Don’t Touch)'!$I$2:$I$151,$AI58),""))</f>
        <v/>
      </c>
      <c r="I58" s="172" t="str">
        <f>IF($AI58="","",IF(ISNUMBER(INDEX('Roadmap Calc (Don’t Touch)'!$J$2:$J$151,$AI58)),INDEX('Roadmap Calc (Don’t Touch)'!$J$2:$J$151,$AI58),""))</f>
        <v/>
      </c>
      <c r="J58" s="173" t="str">
        <f>IF($AI58="","",IF(INDEX('Roadmap Calc (Don’t Touch)'!$AA$2:$AX$151,$AI58,1)&gt;0,IF(AND($H58&lt;&gt;"",$H58&lt;=EOMONTH(J$12,0),$I58&gt;=J$12),"BOTH","UX"),IF(AND($H58&lt;&gt;"",$H58&lt;=EOMONTH(J$12,0),$I58&gt;=J$12),"DEV","")))</f>
        <v/>
      </c>
      <c r="K58" s="173" t="str">
        <f>IF($AI58="","",IF(INDEX('Roadmap Calc (Don’t Touch)'!$AA$2:$AX$151,$AI58,2)&gt;0,IF(AND($H58&lt;&gt;"",$H58&lt;=EOMONTH(K$12,0),$I58&gt;=K$12),"BOTH","UX"),IF(AND($H58&lt;&gt;"",$H58&lt;=EOMONTH(K$12,0),$I58&gt;=K$12),"DEV","")))</f>
        <v/>
      </c>
      <c r="L58" s="173" t="str">
        <f>IF($AI58="","",IF(INDEX('Roadmap Calc (Don’t Touch)'!$AA$2:$AX$151,$AI58,3)&gt;0,IF(AND($H58&lt;&gt;"",$H58&lt;=EOMONTH(L$12,0),$I58&gt;=L$12),"BOTH","UX"),IF(AND($H58&lt;&gt;"",$H58&lt;=EOMONTH(L$12,0),$I58&gt;=L$12),"DEV","")))</f>
        <v/>
      </c>
      <c r="M58" s="173" t="str">
        <f>IF($AI58="","",IF(INDEX('Roadmap Calc (Don’t Touch)'!$AA$2:$AX$151,$AI58,4)&gt;0,IF(AND($H58&lt;&gt;"",$H58&lt;=EOMONTH(M$12,0),$I58&gt;=M$12),"BOTH","UX"),IF(AND($H58&lt;&gt;"",$H58&lt;=EOMONTH(M$12,0),$I58&gt;=M$12),"DEV","")))</f>
        <v/>
      </c>
      <c r="N58" s="173" t="str">
        <f>IF($AI58="","",IF(INDEX('Roadmap Calc (Don’t Touch)'!$AA$2:$AX$151,$AI58,5)&gt;0,IF(AND($H58&lt;&gt;"",$H58&lt;=EOMONTH(N$12,0),$I58&gt;=N$12),"BOTH","UX"),IF(AND($H58&lt;&gt;"",$H58&lt;=EOMONTH(N$12,0),$I58&gt;=N$12),"DEV","")))</f>
        <v/>
      </c>
      <c r="O58" s="173" t="str">
        <f>IF($AI58="","",IF(INDEX('Roadmap Calc (Don’t Touch)'!$AA$2:$AX$151,$AI58,6)&gt;0,IF(AND($H58&lt;&gt;"",$H58&lt;=EOMONTH(O$12,0),$I58&gt;=O$12),"BOTH","UX"),IF(AND($H58&lt;&gt;"",$H58&lt;=EOMONTH(O$12,0),$I58&gt;=O$12),"DEV","")))</f>
        <v/>
      </c>
      <c r="P58" s="173" t="str">
        <f>IF($AI58="","",IF(INDEX('Roadmap Calc (Don’t Touch)'!$AA$2:$AX$151,$AI58,7)&gt;0,IF(AND($H58&lt;&gt;"",$H58&lt;=EOMONTH(P$12,0),$I58&gt;=P$12),"BOTH","UX"),IF(AND($H58&lt;&gt;"",$H58&lt;=EOMONTH(P$12,0),$I58&gt;=P$12),"DEV","")))</f>
        <v/>
      </c>
      <c r="Q58" s="173" t="str">
        <f>IF($AI58="","",IF(INDEX('Roadmap Calc (Don’t Touch)'!$AA$2:$AX$151,$AI58,8)&gt;0,IF(AND($H58&lt;&gt;"",$H58&lt;=EOMONTH(Q$12,0),$I58&gt;=Q$12),"BOTH","UX"),IF(AND($H58&lt;&gt;"",$H58&lt;=EOMONTH(Q$12,0),$I58&gt;=Q$12),"DEV","")))</f>
        <v/>
      </c>
      <c r="R58" s="173" t="str">
        <f>IF($AI58="","",IF(INDEX('Roadmap Calc (Don’t Touch)'!$AA$2:$AX$151,$AI58,9)&gt;0,IF(AND($H58&lt;&gt;"",$H58&lt;=EOMONTH(R$12,0),$I58&gt;=R$12),"BOTH","UX"),IF(AND($H58&lt;&gt;"",$H58&lt;=EOMONTH(R$12,0),$I58&gt;=R$12),"DEV","")))</f>
        <v/>
      </c>
      <c r="S58" s="173" t="str">
        <f>IF($AI58="","",IF(INDEX('Roadmap Calc (Don’t Touch)'!$AA$2:$AX$151,$AI58,10)&gt;0,IF(AND($H58&lt;&gt;"",$H58&lt;=EOMONTH(S$12,0),$I58&gt;=S$12),"BOTH","UX"),IF(AND($H58&lt;&gt;"",$H58&lt;=EOMONTH(S$12,0),$I58&gt;=S$12),"DEV","")))</f>
        <v/>
      </c>
      <c r="T58" s="173" t="str">
        <f>IF($AI58="","",IF(INDEX('Roadmap Calc (Don’t Touch)'!$AA$2:$AX$151,$AI58,11)&gt;0,IF(AND($H58&lt;&gt;"",$H58&lt;=EOMONTH(T$12,0),$I58&gt;=T$12),"BOTH","UX"),IF(AND($H58&lt;&gt;"",$H58&lt;=EOMONTH(T$12,0),$I58&gt;=T$12),"DEV","")))</f>
        <v/>
      </c>
      <c r="U58" s="173" t="str">
        <f>IF($AI58="","",IF(INDEX('Roadmap Calc (Don’t Touch)'!$AA$2:$AX$151,$AI58,12)&gt;0,IF(AND($H58&lt;&gt;"",$H58&lt;=EOMONTH(U$12,0),$I58&gt;=U$12),"BOTH","UX"),IF(AND($H58&lt;&gt;"",$H58&lt;=EOMONTH(U$12,0),$I58&gt;=U$12),"DEV","")))</f>
        <v/>
      </c>
      <c r="V58" s="173" t="str">
        <f>IF($AI58="","",IF(INDEX('Roadmap Calc (Don’t Touch)'!$AA$2:$AX$151,$AI58,13)&gt;0,IF(AND($H58&lt;&gt;"",$H58&lt;=EOMONTH(V$12,0),$I58&gt;=V$12),"BOTH","UX"),IF(AND($H58&lt;&gt;"",$H58&lt;=EOMONTH(V$12,0),$I58&gt;=V$12),"DEV","")))</f>
        <v/>
      </c>
      <c r="W58" s="173" t="str">
        <f>IF($AI58="","",IF(INDEX('Roadmap Calc (Don’t Touch)'!$AA$2:$AX$151,$AI58,14)&gt;0,IF(AND($H58&lt;&gt;"",$H58&lt;=EOMONTH(W$12,0),$I58&gt;=W$12),"BOTH","UX"),IF(AND($H58&lt;&gt;"",$H58&lt;=EOMONTH(W$12,0),$I58&gt;=W$12),"DEV","")))</f>
        <v/>
      </c>
      <c r="X58" s="173" t="str">
        <f>IF($AI58="","",IF(INDEX('Roadmap Calc (Don’t Touch)'!$AA$2:$AX$151,$AI58,15)&gt;0,IF(AND($H58&lt;&gt;"",$H58&lt;=EOMONTH(X$12,0),$I58&gt;=X$12),"BOTH","UX"),IF(AND($H58&lt;&gt;"",$H58&lt;=EOMONTH(X$12,0),$I58&gt;=X$12),"DEV","")))</f>
        <v/>
      </c>
      <c r="Y58" s="173" t="str">
        <f>IF($AI58="","",IF(INDEX('Roadmap Calc (Don’t Touch)'!$AA$2:$AX$151,$AI58,16)&gt;0,IF(AND($H58&lt;&gt;"",$H58&lt;=EOMONTH(Y$12,0),$I58&gt;=Y$12),"BOTH","UX"),IF(AND($H58&lt;&gt;"",$H58&lt;=EOMONTH(Y$12,0),$I58&gt;=Y$12),"DEV","")))</f>
        <v/>
      </c>
      <c r="Z58" s="173" t="str">
        <f>IF($AI58="","",IF(INDEX('Roadmap Calc (Don’t Touch)'!$AA$2:$AX$151,$AI58,17)&gt;0,IF(AND($H58&lt;&gt;"",$H58&lt;=EOMONTH(Z$12,0),$I58&gt;=Z$12),"BOTH","UX"),IF(AND($H58&lt;&gt;"",$H58&lt;=EOMONTH(Z$12,0),$I58&gt;=Z$12),"DEV","")))</f>
        <v/>
      </c>
      <c r="AA58" s="173" t="str">
        <f>IF($AI58="","",IF(INDEX('Roadmap Calc (Don’t Touch)'!$AA$2:$AX$151,$AI58,18)&gt;0,IF(AND($H58&lt;&gt;"",$H58&lt;=EOMONTH(AA$12,0),$I58&gt;=AA$12),"BOTH","UX"),IF(AND($H58&lt;&gt;"",$H58&lt;=EOMONTH(AA$12,0),$I58&gt;=AA$12),"DEV","")))</f>
        <v/>
      </c>
      <c r="AB58" s="173" t="str">
        <f>IF($AI58="","",IF(INDEX('Roadmap Calc (Don’t Touch)'!$AA$2:$AX$151,$AI58,19)&gt;0,IF(AND($H58&lt;&gt;"",$H58&lt;=EOMONTH(AB$12,0),$I58&gt;=AB$12),"BOTH","UX"),IF(AND($H58&lt;&gt;"",$H58&lt;=EOMONTH(AB$12,0),$I58&gt;=AB$12),"DEV","")))</f>
        <v/>
      </c>
      <c r="AC58" s="173" t="str">
        <f>IF($AI58="","",IF(INDEX('Roadmap Calc (Don’t Touch)'!$AA$2:$AX$151,$AI58,20)&gt;0,IF(AND($H58&lt;&gt;"",$H58&lt;=EOMONTH(AC$12,0),$I58&gt;=AC$12),"BOTH","UX"),IF(AND($H58&lt;&gt;"",$H58&lt;=EOMONTH(AC$12,0),$I58&gt;=AC$12),"DEV","")))</f>
        <v/>
      </c>
      <c r="AD58" s="173" t="str">
        <f>IF($AI58="","",IF(INDEX('Roadmap Calc (Don’t Touch)'!$AA$2:$AX$151,$AI58,21)&gt;0,IF(AND($H58&lt;&gt;"",$H58&lt;=EOMONTH(AD$12,0),$I58&gt;=AD$12),"BOTH","UX"),IF(AND($H58&lt;&gt;"",$H58&lt;=EOMONTH(AD$12,0),$I58&gt;=AD$12),"DEV","")))</f>
        <v/>
      </c>
      <c r="AE58" s="173" t="str">
        <f>IF($AI58="","",IF(INDEX('Roadmap Calc (Don’t Touch)'!$AA$2:$AX$151,$AI58,22)&gt;0,IF(AND($H58&lt;&gt;"",$H58&lt;=EOMONTH(AE$12,0),$I58&gt;=AE$12),"BOTH","UX"),IF(AND($H58&lt;&gt;"",$H58&lt;=EOMONTH(AE$12,0),$I58&gt;=AE$12),"DEV","")))</f>
        <v/>
      </c>
      <c r="AF58" s="173" t="str">
        <f>IF($AI58="","",IF(INDEX('Roadmap Calc (Don’t Touch)'!$AA$2:$AX$151,$AI58,23)&gt;0,IF(AND($H58&lt;&gt;"",$H58&lt;=EOMONTH(AF$12,0),$I58&gt;=AF$12),"BOTH","UX"),IF(AND($H58&lt;&gt;"",$H58&lt;=EOMONTH(AF$12,0),$I58&gt;=AF$12),"DEV","")))</f>
        <v/>
      </c>
      <c r="AG58" s="173" t="str">
        <f>IF($AI58="","",IF(INDEX('Roadmap Calc (Don’t Touch)'!$AA$2:$AX$151,$AI58,24)&gt;0,IF(AND($H58&lt;&gt;"",$H58&lt;=EOMONTH(AG$12,0),$I58&gt;=AG$12),"BOTH","UX"),IF(AND($H58&lt;&gt;"",$H58&lt;=EOMONTH(AG$12,0),$I58&gt;=AG$12),"DEV","")))</f>
        <v/>
      </c>
      <c r="AH58" s="160" t="str">
        <f>IF($AI58="","",INDEX('Roadmap Calc (Don’t Touch)'!$D$2:$D$151,$AI58))</f>
        <v/>
      </c>
      <c r="AI58" s="160" t="str">
        <f>IFERROR(MATCH(43,'Roadmap Calc (Don’t Touch)'!$O$2:$O$151,0),"")</f>
        <v/>
      </c>
      <c r="AJ58" s="160"/>
      <c r="AK58" s="160"/>
      <c r="AL58" s="160"/>
      <c r="AM58" s="160"/>
    </row>
    <row r="59" spans="1:39" ht="20" customHeight="1" x14ac:dyDescent="0.25">
      <c r="A59" s="214" t="str">
        <f>IF($AI59="","",IF($AH59=$AH58,"",IF(INDEX('Roadmap Calc (Don’t Touch)'!$U$2:$U$151,$AI59)=0,$AH59,HYPERLINK("#'Control (Don’t Touch)'!E"&amp;INDEX('Roadmap Calc (Don’t Touch)'!$U$2:$U$151,$AI59),$AH59))))</f>
        <v/>
      </c>
      <c r="B59" s="174" t="str">
        <f>IF($AI59="","",IF(INDEX('Roadmap Calc (Don’t Touch)'!$K$2:$K$151,$AI59)="",INDEX('Roadmap Calc (Don’t Touch)'!$B$2:$B$151,$AI59),HYPERLINK("https://jira.bnh.com/browse/"&amp;INDEX('Roadmap Calc (Don’t Touch)'!$K$2:$K$151,$AI59),INDEX('Roadmap Calc (Don’t Touch)'!$B$2:$B$151,$AI59))))</f>
        <v/>
      </c>
      <c r="C59" s="174" t="str">
        <f>IF($AI59="","",IF(INDEX('Roadmap Calc (Don’t Touch)'!$E$2:$E$151,$AI59)="","",HYPERLINK("https://jira.bnh.com/browse/"&amp;INDEX('Roadmap Calc (Don’t Touch)'!$E$2:$E$151,$AI59),INDEX('Roadmap Calc (Don’t Touch)'!$E$2:$E$151,$AI59))))</f>
        <v/>
      </c>
      <c r="D59" s="176" t="str">
        <f>IF($AI59="","",INDEX('Roadmap Calc (Don’t Touch)'!$F$2:$F$151,$AI59))</f>
        <v/>
      </c>
      <c r="E59" s="170" t="str">
        <f>IF($AI59="","",IF(ISNUMBER(INDEX('Roadmap Calc (Don’t Touch)'!$G$2:$G$151,$AI59)),INDEX('Roadmap Calc (Don’t Touch)'!$G$2:$G$151,$AI59),""))</f>
        <v/>
      </c>
      <c r="F59" s="170" t="str">
        <f>IF($AI59="","",IF(ISNUMBER(INDEX('Roadmap Calc (Don’t Touch)'!$H$2:$H$151,$AI59)),INDEX('Roadmap Calc (Don’t Touch)'!$H$2:$H$151,$AI59),""))</f>
        <v/>
      </c>
      <c r="G59" s="171" t="str">
        <f>IF($AI59="","",INDEX('Roadmap Calc (Don’t Touch)'!$T$2:$T$151,$AI59))</f>
        <v/>
      </c>
      <c r="H59" s="172" t="str">
        <f>IF($AI59="","",IF(ISNUMBER(INDEX('Roadmap Calc (Don’t Touch)'!$I$2:$I$151,$AI59)),INDEX('Roadmap Calc (Don’t Touch)'!$I$2:$I$151,$AI59),""))</f>
        <v/>
      </c>
      <c r="I59" s="172" t="str">
        <f>IF($AI59="","",IF(ISNUMBER(INDEX('Roadmap Calc (Don’t Touch)'!$J$2:$J$151,$AI59)),INDEX('Roadmap Calc (Don’t Touch)'!$J$2:$J$151,$AI59),""))</f>
        <v/>
      </c>
      <c r="J59" s="173" t="str">
        <f>IF($AI59="","",IF(INDEX('Roadmap Calc (Don’t Touch)'!$AA$2:$AX$151,$AI59,1)&gt;0,IF(AND($H59&lt;&gt;"",$H59&lt;=EOMONTH(J$12,0),$I59&gt;=J$12),"BOTH","UX"),IF(AND($H59&lt;&gt;"",$H59&lt;=EOMONTH(J$12,0),$I59&gt;=J$12),"DEV","")))</f>
        <v/>
      </c>
      <c r="K59" s="173" t="str">
        <f>IF($AI59="","",IF(INDEX('Roadmap Calc (Don’t Touch)'!$AA$2:$AX$151,$AI59,2)&gt;0,IF(AND($H59&lt;&gt;"",$H59&lt;=EOMONTH(K$12,0),$I59&gt;=K$12),"BOTH","UX"),IF(AND($H59&lt;&gt;"",$H59&lt;=EOMONTH(K$12,0),$I59&gt;=K$12),"DEV","")))</f>
        <v/>
      </c>
      <c r="L59" s="173" t="str">
        <f>IF($AI59="","",IF(INDEX('Roadmap Calc (Don’t Touch)'!$AA$2:$AX$151,$AI59,3)&gt;0,IF(AND($H59&lt;&gt;"",$H59&lt;=EOMONTH(L$12,0),$I59&gt;=L$12),"BOTH","UX"),IF(AND($H59&lt;&gt;"",$H59&lt;=EOMONTH(L$12,0),$I59&gt;=L$12),"DEV","")))</f>
        <v/>
      </c>
      <c r="M59" s="173" t="str">
        <f>IF($AI59="","",IF(INDEX('Roadmap Calc (Don’t Touch)'!$AA$2:$AX$151,$AI59,4)&gt;0,IF(AND($H59&lt;&gt;"",$H59&lt;=EOMONTH(M$12,0),$I59&gt;=M$12),"BOTH","UX"),IF(AND($H59&lt;&gt;"",$H59&lt;=EOMONTH(M$12,0),$I59&gt;=M$12),"DEV","")))</f>
        <v/>
      </c>
      <c r="N59" s="173" t="str">
        <f>IF($AI59="","",IF(INDEX('Roadmap Calc (Don’t Touch)'!$AA$2:$AX$151,$AI59,5)&gt;0,IF(AND($H59&lt;&gt;"",$H59&lt;=EOMONTH(N$12,0),$I59&gt;=N$12),"BOTH","UX"),IF(AND($H59&lt;&gt;"",$H59&lt;=EOMONTH(N$12,0),$I59&gt;=N$12),"DEV","")))</f>
        <v/>
      </c>
      <c r="O59" s="173" t="str">
        <f>IF($AI59="","",IF(INDEX('Roadmap Calc (Don’t Touch)'!$AA$2:$AX$151,$AI59,6)&gt;0,IF(AND($H59&lt;&gt;"",$H59&lt;=EOMONTH(O$12,0),$I59&gt;=O$12),"BOTH","UX"),IF(AND($H59&lt;&gt;"",$H59&lt;=EOMONTH(O$12,0),$I59&gt;=O$12),"DEV","")))</f>
        <v/>
      </c>
      <c r="P59" s="173" t="str">
        <f>IF($AI59="","",IF(INDEX('Roadmap Calc (Don’t Touch)'!$AA$2:$AX$151,$AI59,7)&gt;0,IF(AND($H59&lt;&gt;"",$H59&lt;=EOMONTH(P$12,0),$I59&gt;=P$12),"BOTH","UX"),IF(AND($H59&lt;&gt;"",$H59&lt;=EOMONTH(P$12,0),$I59&gt;=P$12),"DEV","")))</f>
        <v/>
      </c>
      <c r="Q59" s="173" t="str">
        <f>IF($AI59="","",IF(INDEX('Roadmap Calc (Don’t Touch)'!$AA$2:$AX$151,$AI59,8)&gt;0,IF(AND($H59&lt;&gt;"",$H59&lt;=EOMONTH(Q$12,0),$I59&gt;=Q$12),"BOTH","UX"),IF(AND($H59&lt;&gt;"",$H59&lt;=EOMONTH(Q$12,0),$I59&gt;=Q$12),"DEV","")))</f>
        <v/>
      </c>
      <c r="R59" s="173" t="str">
        <f>IF($AI59="","",IF(INDEX('Roadmap Calc (Don’t Touch)'!$AA$2:$AX$151,$AI59,9)&gt;0,IF(AND($H59&lt;&gt;"",$H59&lt;=EOMONTH(R$12,0),$I59&gt;=R$12),"BOTH","UX"),IF(AND($H59&lt;&gt;"",$H59&lt;=EOMONTH(R$12,0),$I59&gt;=R$12),"DEV","")))</f>
        <v/>
      </c>
      <c r="S59" s="173" t="str">
        <f>IF($AI59="","",IF(INDEX('Roadmap Calc (Don’t Touch)'!$AA$2:$AX$151,$AI59,10)&gt;0,IF(AND($H59&lt;&gt;"",$H59&lt;=EOMONTH(S$12,0),$I59&gt;=S$12),"BOTH","UX"),IF(AND($H59&lt;&gt;"",$H59&lt;=EOMONTH(S$12,0),$I59&gt;=S$12),"DEV","")))</f>
        <v/>
      </c>
      <c r="T59" s="173" t="str">
        <f>IF($AI59="","",IF(INDEX('Roadmap Calc (Don’t Touch)'!$AA$2:$AX$151,$AI59,11)&gt;0,IF(AND($H59&lt;&gt;"",$H59&lt;=EOMONTH(T$12,0),$I59&gt;=T$12),"BOTH","UX"),IF(AND($H59&lt;&gt;"",$H59&lt;=EOMONTH(T$12,0),$I59&gt;=T$12),"DEV","")))</f>
        <v/>
      </c>
      <c r="U59" s="173" t="str">
        <f>IF($AI59="","",IF(INDEX('Roadmap Calc (Don’t Touch)'!$AA$2:$AX$151,$AI59,12)&gt;0,IF(AND($H59&lt;&gt;"",$H59&lt;=EOMONTH(U$12,0),$I59&gt;=U$12),"BOTH","UX"),IF(AND($H59&lt;&gt;"",$H59&lt;=EOMONTH(U$12,0),$I59&gt;=U$12),"DEV","")))</f>
        <v/>
      </c>
      <c r="V59" s="173" t="str">
        <f>IF($AI59="","",IF(INDEX('Roadmap Calc (Don’t Touch)'!$AA$2:$AX$151,$AI59,13)&gt;0,IF(AND($H59&lt;&gt;"",$H59&lt;=EOMONTH(V$12,0),$I59&gt;=V$12),"BOTH","UX"),IF(AND($H59&lt;&gt;"",$H59&lt;=EOMONTH(V$12,0),$I59&gt;=V$12),"DEV","")))</f>
        <v/>
      </c>
      <c r="W59" s="173" t="str">
        <f>IF($AI59="","",IF(INDEX('Roadmap Calc (Don’t Touch)'!$AA$2:$AX$151,$AI59,14)&gt;0,IF(AND($H59&lt;&gt;"",$H59&lt;=EOMONTH(W$12,0),$I59&gt;=W$12),"BOTH","UX"),IF(AND($H59&lt;&gt;"",$H59&lt;=EOMONTH(W$12,0),$I59&gt;=W$12),"DEV","")))</f>
        <v/>
      </c>
      <c r="X59" s="173" t="str">
        <f>IF($AI59="","",IF(INDEX('Roadmap Calc (Don’t Touch)'!$AA$2:$AX$151,$AI59,15)&gt;0,IF(AND($H59&lt;&gt;"",$H59&lt;=EOMONTH(X$12,0),$I59&gt;=X$12),"BOTH","UX"),IF(AND($H59&lt;&gt;"",$H59&lt;=EOMONTH(X$12,0),$I59&gt;=X$12),"DEV","")))</f>
        <v/>
      </c>
      <c r="Y59" s="173" t="str">
        <f>IF($AI59="","",IF(INDEX('Roadmap Calc (Don’t Touch)'!$AA$2:$AX$151,$AI59,16)&gt;0,IF(AND($H59&lt;&gt;"",$H59&lt;=EOMONTH(Y$12,0),$I59&gt;=Y$12),"BOTH","UX"),IF(AND($H59&lt;&gt;"",$H59&lt;=EOMONTH(Y$12,0),$I59&gt;=Y$12),"DEV","")))</f>
        <v/>
      </c>
      <c r="Z59" s="173" t="str">
        <f>IF($AI59="","",IF(INDEX('Roadmap Calc (Don’t Touch)'!$AA$2:$AX$151,$AI59,17)&gt;0,IF(AND($H59&lt;&gt;"",$H59&lt;=EOMONTH(Z$12,0),$I59&gt;=Z$12),"BOTH","UX"),IF(AND($H59&lt;&gt;"",$H59&lt;=EOMONTH(Z$12,0),$I59&gt;=Z$12),"DEV","")))</f>
        <v/>
      </c>
      <c r="AA59" s="173" t="str">
        <f>IF($AI59="","",IF(INDEX('Roadmap Calc (Don’t Touch)'!$AA$2:$AX$151,$AI59,18)&gt;0,IF(AND($H59&lt;&gt;"",$H59&lt;=EOMONTH(AA$12,0),$I59&gt;=AA$12),"BOTH","UX"),IF(AND($H59&lt;&gt;"",$H59&lt;=EOMONTH(AA$12,0),$I59&gt;=AA$12),"DEV","")))</f>
        <v/>
      </c>
      <c r="AB59" s="173" t="str">
        <f>IF($AI59="","",IF(INDEX('Roadmap Calc (Don’t Touch)'!$AA$2:$AX$151,$AI59,19)&gt;0,IF(AND($H59&lt;&gt;"",$H59&lt;=EOMONTH(AB$12,0),$I59&gt;=AB$12),"BOTH","UX"),IF(AND($H59&lt;&gt;"",$H59&lt;=EOMONTH(AB$12,0),$I59&gt;=AB$12),"DEV","")))</f>
        <v/>
      </c>
      <c r="AC59" s="173" t="str">
        <f>IF($AI59="","",IF(INDEX('Roadmap Calc (Don’t Touch)'!$AA$2:$AX$151,$AI59,20)&gt;0,IF(AND($H59&lt;&gt;"",$H59&lt;=EOMONTH(AC$12,0),$I59&gt;=AC$12),"BOTH","UX"),IF(AND($H59&lt;&gt;"",$H59&lt;=EOMONTH(AC$12,0),$I59&gt;=AC$12),"DEV","")))</f>
        <v/>
      </c>
      <c r="AD59" s="173" t="str">
        <f>IF($AI59="","",IF(INDEX('Roadmap Calc (Don’t Touch)'!$AA$2:$AX$151,$AI59,21)&gt;0,IF(AND($H59&lt;&gt;"",$H59&lt;=EOMONTH(AD$12,0),$I59&gt;=AD$12),"BOTH","UX"),IF(AND($H59&lt;&gt;"",$H59&lt;=EOMONTH(AD$12,0),$I59&gt;=AD$12),"DEV","")))</f>
        <v/>
      </c>
      <c r="AE59" s="173" t="str">
        <f>IF($AI59="","",IF(INDEX('Roadmap Calc (Don’t Touch)'!$AA$2:$AX$151,$AI59,22)&gt;0,IF(AND($H59&lt;&gt;"",$H59&lt;=EOMONTH(AE$12,0),$I59&gt;=AE$12),"BOTH","UX"),IF(AND($H59&lt;&gt;"",$H59&lt;=EOMONTH(AE$12,0),$I59&gt;=AE$12),"DEV","")))</f>
        <v/>
      </c>
      <c r="AF59" s="173" t="str">
        <f>IF($AI59="","",IF(INDEX('Roadmap Calc (Don’t Touch)'!$AA$2:$AX$151,$AI59,23)&gt;0,IF(AND($H59&lt;&gt;"",$H59&lt;=EOMONTH(AF$12,0),$I59&gt;=AF$12),"BOTH","UX"),IF(AND($H59&lt;&gt;"",$H59&lt;=EOMONTH(AF$12,0),$I59&gt;=AF$12),"DEV","")))</f>
        <v/>
      </c>
      <c r="AG59" s="173" t="str">
        <f>IF($AI59="","",IF(INDEX('Roadmap Calc (Don’t Touch)'!$AA$2:$AX$151,$AI59,24)&gt;0,IF(AND($H59&lt;&gt;"",$H59&lt;=EOMONTH(AG$12,0),$I59&gt;=AG$12),"BOTH","UX"),IF(AND($H59&lt;&gt;"",$H59&lt;=EOMONTH(AG$12,0),$I59&gt;=AG$12),"DEV","")))</f>
        <v/>
      </c>
      <c r="AH59" s="160" t="str">
        <f>IF($AI59="","",INDEX('Roadmap Calc (Don’t Touch)'!$D$2:$D$151,$AI59))</f>
        <v/>
      </c>
      <c r="AI59" s="160" t="str">
        <f>IFERROR(MATCH(44,'Roadmap Calc (Don’t Touch)'!$O$2:$O$151,0),"")</f>
        <v/>
      </c>
      <c r="AJ59" s="160"/>
      <c r="AK59" s="160"/>
      <c r="AL59" s="160"/>
      <c r="AM59" s="160"/>
    </row>
    <row r="60" spans="1:39" ht="20" customHeight="1" x14ac:dyDescent="0.25">
      <c r="A60" s="214" t="str">
        <f>IF($AI60="","",IF($AH60=$AH59,"",IF(INDEX('Roadmap Calc (Don’t Touch)'!$U$2:$U$151,$AI60)=0,$AH60,HYPERLINK("#'Control (Don’t Touch)'!E"&amp;INDEX('Roadmap Calc (Don’t Touch)'!$U$2:$U$151,$AI60),$AH60))))</f>
        <v/>
      </c>
      <c r="B60" s="174" t="str">
        <f>IF($AI60="","",IF(INDEX('Roadmap Calc (Don’t Touch)'!$K$2:$K$151,$AI60)="",INDEX('Roadmap Calc (Don’t Touch)'!$B$2:$B$151,$AI60),HYPERLINK("https://jira.bnh.com/browse/"&amp;INDEX('Roadmap Calc (Don’t Touch)'!$K$2:$K$151,$AI60),INDEX('Roadmap Calc (Don’t Touch)'!$B$2:$B$151,$AI60))))</f>
        <v/>
      </c>
      <c r="C60" s="174" t="str">
        <f>IF($AI60="","",IF(INDEX('Roadmap Calc (Don’t Touch)'!$E$2:$E$151,$AI60)="","",HYPERLINK("https://jira.bnh.com/browse/"&amp;INDEX('Roadmap Calc (Don’t Touch)'!$E$2:$E$151,$AI60),INDEX('Roadmap Calc (Don’t Touch)'!$E$2:$E$151,$AI60))))</f>
        <v/>
      </c>
      <c r="D60" s="176" t="str">
        <f>IF($AI60="","",INDEX('Roadmap Calc (Don’t Touch)'!$F$2:$F$151,$AI60))</f>
        <v/>
      </c>
      <c r="E60" s="170" t="str">
        <f>IF($AI60="","",IF(ISNUMBER(INDEX('Roadmap Calc (Don’t Touch)'!$G$2:$G$151,$AI60)),INDEX('Roadmap Calc (Don’t Touch)'!$G$2:$G$151,$AI60),""))</f>
        <v/>
      </c>
      <c r="F60" s="170" t="str">
        <f>IF($AI60="","",IF(ISNUMBER(INDEX('Roadmap Calc (Don’t Touch)'!$H$2:$H$151,$AI60)),INDEX('Roadmap Calc (Don’t Touch)'!$H$2:$H$151,$AI60),""))</f>
        <v/>
      </c>
      <c r="G60" s="171" t="str">
        <f>IF($AI60="","",INDEX('Roadmap Calc (Don’t Touch)'!$T$2:$T$151,$AI60))</f>
        <v/>
      </c>
      <c r="H60" s="172" t="str">
        <f>IF($AI60="","",IF(ISNUMBER(INDEX('Roadmap Calc (Don’t Touch)'!$I$2:$I$151,$AI60)),INDEX('Roadmap Calc (Don’t Touch)'!$I$2:$I$151,$AI60),""))</f>
        <v/>
      </c>
      <c r="I60" s="172" t="str">
        <f>IF($AI60="","",IF(ISNUMBER(INDEX('Roadmap Calc (Don’t Touch)'!$J$2:$J$151,$AI60)),INDEX('Roadmap Calc (Don’t Touch)'!$J$2:$J$151,$AI60),""))</f>
        <v/>
      </c>
      <c r="J60" s="173" t="str">
        <f>IF($AI60="","",IF(INDEX('Roadmap Calc (Don’t Touch)'!$AA$2:$AX$151,$AI60,1)&gt;0,IF(AND($H60&lt;&gt;"",$H60&lt;=EOMONTH(J$12,0),$I60&gt;=J$12),"BOTH","UX"),IF(AND($H60&lt;&gt;"",$H60&lt;=EOMONTH(J$12,0),$I60&gt;=J$12),"DEV","")))</f>
        <v/>
      </c>
      <c r="K60" s="173" t="str">
        <f>IF($AI60="","",IF(INDEX('Roadmap Calc (Don’t Touch)'!$AA$2:$AX$151,$AI60,2)&gt;0,IF(AND($H60&lt;&gt;"",$H60&lt;=EOMONTH(K$12,0),$I60&gt;=K$12),"BOTH","UX"),IF(AND($H60&lt;&gt;"",$H60&lt;=EOMONTH(K$12,0),$I60&gt;=K$12),"DEV","")))</f>
        <v/>
      </c>
      <c r="L60" s="173" t="str">
        <f>IF($AI60="","",IF(INDEX('Roadmap Calc (Don’t Touch)'!$AA$2:$AX$151,$AI60,3)&gt;0,IF(AND($H60&lt;&gt;"",$H60&lt;=EOMONTH(L$12,0),$I60&gt;=L$12),"BOTH","UX"),IF(AND($H60&lt;&gt;"",$H60&lt;=EOMONTH(L$12,0),$I60&gt;=L$12),"DEV","")))</f>
        <v/>
      </c>
      <c r="M60" s="173" t="str">
        <f>IF($AI60="","",IF(INDEX('Roadmap Calc (Don’t Touch)'!$AA$2:$AX$151,$AI60,4)&gt;0,IF(AND($H60&lt;&gt;"",$H60&lt;=EOMONTH(M$12,0),$I60&gt;=M$12),"BOTH","UX"),IF(AND($H60&lt;&gt;"",$H60&lt;=EOMONTH(M$12,0),$I60&gt;=M$12),"DEV","")))</f>
        <v/>
      </c>
      <c r="N60" s="173" t="str">
        <f>IF($AI60="","",IF(INDEX('Roadmap Calc (Don’t Touch)'!$AA$2:$AX$151,$AI60,5)&gt;0,IF(AND($H60&lt;&gt;"",$H60&lt;=EOMONTH(N$12,0),$I60&gt;=N$12),"BOTH","UX"),IF(AND($H60&lt;&gt;"",$H60&lt;=EOMONTH(N$12,0),$I60&gt;=N$12),"DEV","")))</f>
        <v/>
      </c>
      <c r="O60" s="173" t="str">
        <f>IF($AI60="","",IF(INDEX('Roadmap Calc (Don’t Touch)'!$AA$2:$AX$151,$AI60,6)&gt;0,IF(AND($H60&lt;&gt;"",$H60&lt;=EOMONTH(O$12,0),$I60&gt;=O$12),"BOTH","UX"),IF(AND($H60&lt;&gt;"",$H60&lt;=EOMONTH(O$12,0),$I60&gt;=O$12),"DEV","")))</f>
        <v/>
      </c>
      <c r="P60" s="173" t="str">
        <f>IF($AI60="","",IF(INDEX('Roadmap Calc (Don’t Touch)'!$AA$2:$AX$151,$AI60,7)&gt;0,IF(AND($H60&lt;&gt;"",$H60&lt;=EOMONTH(P$12,0),$I60&gt;=P$12),"BOTH","UX"),IF(AND($H60&lt;&gt;"",$H60&lt;=EOMONTH(P$12,0),$I60&gt;=P$12),"DEV","")))</f>
        <v/>
      </c>
      <c r="Q60" s="173" t="str">
        <f>IF($AI60="","",IF(INDEX('Roadmap Calc (Don’t Touch)'!$AA$2:$AX$151,$AI60,8)&gt;0,IF(AND($H60&lt;&gt;"",$H60&lt;=EOMONTH(Q$12,0),$I60&gt;=Q$12),"BOTH","UX"),IF(AND($H60&lt;&gt;"",$H60&lt;=EOMONTH(Q$12,0),$I60&gt;=Q$12),"DEV","")))</f>
        <v/>
      </c>
      <c r="R60" s="173" t="str">
        <f>IF($AI60="","",IF(INDEX('Roadmap Calc (Don’t Touch)'!$AA$2:$AX$151,$AI60,9)&gt;0,IF(AND($H60&lt;&gt;"",$H60&lt;=EOMONTH(R$12,0),$I60&gt;=R$12),"BOTH","UX"),IF(AND($H60&lt;&gt;"",$H60&lt;=EOMONTH(R$12,0),$I60&gt;=R$12),"DEV","")))</f>
        <v/>
      </c>
      <c r="S60" s="173" t="str">
        <f>IF($AI60="","",IF(INDEX('Roadmap Calc (Don’t Touch)'!$AA$2:$AX$151,$AI60,10)&gt;0,IF(AND($H60&lt;&gt;"",$H60&lt;=EOMONTH(S$12,0),$I60&gt;=S$12),"BOTH","UX"),IF(AND($H60&lt;&gt;"",$H60&lt;=EOMONTH(S$12,0),$I60&gt;=S$12),"DEV","")))</f>
        <v/>
      </c>
      <c r="T60" s="173" t="str">
        <f>IF($AI60="","",IF(INDEX('Roadmap Calc (Don’t Touch)'!$AA$2:$AX$151,$AI60,11)&gt;0,IF(AND($H60&lt;&gt;"",$H60&lt;=EOMONTH(T$12,0),$I60&gt;=T$12),"BOTH","UX"),IF(AND($H60&lt;&gt;"",$H60&lt;=EOMONTH(T$12,0),$I60&gt;=T$12),"DEV","")))</f>
        <v/>
      </c>
      <c r="U60" s="173" t="str">
        <f>IF($AI60="","",IF(INDEX('Roadmap Calc (Don’t Touch)'!$AA$2:$AX$151,$AI60,12)&gt;0,IF(AND($H60&lt;&gt;"",$H60&lt;=EOMONTH(U$12,0),$I60&gt;=U$12),"BOTH","UX"),IF(AND($H60&lt;&gt;"",$H60&lt;=EOMONTH(U$12,0),$I60&gt;=U$12),"DEV","")))</f>
        <v/>
      </c>
      <c r="V60" s="173" t="str">
        <f>IF($AI60="","",IF(INDEX('Roadmap Calc (Don’t Touch)'!$AA$2:$AX$151,$AI60,13)&gt;0,IF(AND($H60&lt;&gt;"",$H60&lt;=EOMONTH(V$12,0),$I60&gt;=V$12),"BOTH","UX"),IF(AND($H60&lt;&gt;"",$H60&lt;=EOMONTH(V$12,0),$I60&gt;=V$12),"DEV","")))</f>
        <v/>
      </c>
      <c r="W60" s="173" t="str">
        <f>IF($AI60="","",IF(INDEX('Roadmap Calc (Don’t Touch)'!$AA$2:$AX$151,$AI60,14)&gt;0,IF(AND($H60&lt;&gt;"",$H60&lt;=EOMONTH(W$12,0),$I60&gt;=W$12),"BOTH","UX"),IF(AND($H60&lt;&gt;"",$H60&lt;=EOMONTH(W$12,0),$I60&gt;=W$12),"DEV","")))</f>
        <v/>
      </c>
      <c r="X60" s="173" t="str">
        <f>IF($AI60="","",IF(INDEX('Roadmap Calc (Don’t Touch)'!$AA$2:$AX$151,$AI60,15)&gt;0,IF(AND($H60&lt;&gt;"",$H60&lt;=EOMONTH(X$12,0),$I60&gt;=X$12),"BOTH","UX"),IF(AND($H60&lt;&gt;"",$H60&lt;=EOMONTH(X$12,0),$I60&gt;=X$12),"DEV","")))</f>
        <v/>
      </c>
      <c r="Y60" s="173" t="str">
        <f>IF($AI60="","",IF(INDEX('Roadmap Calc (Don’t Touch)'!$AA$2:$AX$151,$AI60,16)&gt;0,IF(AND($H60&lt;&gt;"",$H60&lt;=EOMONTH(Y$12,0),$I60&gt;=Y$12),"BOTH","UX"),IF(AND($H60&lt;&gt;"",$H60&lt;=EOMONTH(Y$12,0),$I60&gt;=Y$12),"DEV","")))</f>
        <v/>
      </c>
      <c r="Z60" s="173" t="str">
        <f>IF($AI60="","",IF(INDEX('Roadmap Calc (Don’t Touch)'!$AA$2:$AX$151,$AI60,17)&gt;0,IF(AND($H60&lt;&gt;"",$H60&lt;=EOMONTH(Z$12,0),$I60&gt;=Z$12),"BOTH","UX"),IF(AND($H60&lt;&gt;"",$H60&lt;=EOMONTH(Z$12,0),$I60&gt;=Z$12),"DEV","")))</f>
        <v/>
      </c>
      <c r="AA60" s="173" t="str">
        <f>IF($AI60="","",IF(INDEX('Roadmap Calc (Don’t Touch)'!$AA$2:$AX$151,$AI60,18)&gt;0,IF(AND($H60&lt;&gt;"",$H60&lt;=EOMONTH(AA$12,0),$I60&gt;=AA$12),"BOTH","UX"),IF(AND($H60&lt;&gt;"",$H60&lt;=EOMONTH(AA$12,0),$I60&gt;=AA$12),"DEV","")))</f>
        <v/>
      </c>
      <c r="AB60" s="173" t="str">
        <f>IF($AI60="","",IF(INDEX('Roadmap Calc (Don’t Touch)'!$AA$2:$AX$151,$AI60,19)&gt;0,IF(AND($H60&lt;&gt;"",$H60&lt;=EOMONTH(AB$12,0),$I60&gt;=AB$12),"BOTH","UX"),IF(AND($H60&lt;&gt;"",$H60&lt;=EOMONTH(AB$12,0),$I60&gt;=AB$12),"DEV","")))</f>
        <v/>
      </c>
      <c r="AC60" s="173" t="str">
        <f>IF($AI60="","",IF(INDEX('Roadmap Calc (Don’t Touch)'!$AA$2:$AX$151,$AI60,20)&gt;0,IF(AND($H60&lt;&gt;"",$H60&lt;=EOMONTH(AC$12,0),$I60&gt;=AC$12),"BOTH","UX"),IF(AND($H60&lt;&gt;"",$H60&lt;=EOMONTH(AC$12,0),$I60&gt;=AC$12),"DEV","")))</f>
        <v/>
      </c>
      <c r="AD60" s="173" t="str">
        <f>IF($AI60="","",IF(INDEX('Roadmap Calc (Don’t Touch)'!$AA$2:$AX$151,$AI60,21)&gt;0,IF(AND($H60&lt;&gt;"",$H60&lt;=EOMONTH(AD$12,0),$I60&gt;=AD$12),"BOTH","UX"),IF(AND($H60&lt;&gt;"",$H60&lt;=EOMONTH(AD$12,0),$I60&gt;=AD$12),"DEV","")))</f>
        <v/>
      </c>
      <c r="AE60" s="173" t="str">
        <f>IF($AI60="","",IF(INDEX('Roadmap Calc (Don’t Touch)'!$AA$2:$AX$151,$AI60,22)&gt;0,IF(AND($H60&lt;&gt;"",$H60&lt;=EOMONTH(AE$12,0),$I60&gt;=AE$12),"BOTH","UX"),IF(AND($H60&lt;&gt;"",$H60&lt;=EOMONTH(AE$12,0),$I60&gt;=AE$12),"DEV","")))</f>
        <v/>
      </c>
      <c r="AF60" s="173" t="str">
        <f>IF($AI60="","",IF(INDEX('Roadmap Calc (Don’t Touch)'!$AA$2:$AX$151,$AI60,23)&gt;0,IF(AND($H60&lt;&gt;"",$H60&lt;=EOMONTH(AF$12,0),$I60&gt;=AF$12),"BOTH","UX"),IF(AND($H60&lt;&gt;"",$H60&lt;=EOMONTH(AF$12,0),$I60&gt;=AF$12),"DEV","")))</f>
        <v/>
      </c>
      <c r="AG60" s="173" t="str">
        <f>IF($AI60="","",IF(INDEX('Roadmap Calc (Don’t Touch)'!$AA$2:$AX$151,$AI60,24)&gt;0,IF(AND($H60&lt;&gt;"",$H60&lt;=EOMONTH(AG$12,0),$I60&gt;=AG$12),"BOTH","UX"),IF(AND($H60&lt;&gt;"",$H60&lt;=EOMONTH(AG$12,0),$I60&gt;=AG$12),"DEV","")))</f>
        <v/>
      </c>
      <c r="AH60" s="160" t="str">
        <f>IF($AI60="","",INDEX('Roadmap Calc (Don’t Touch)'!$D$2:$D$151,$AI60))</f>
        <v/>
      </c>
      <c r="AI60" s="160" t="str">
        <f>IFERROR(MATCH(45,'Roadmap Calc (Don’t Touch)'!$O$2:$O$151,0),"")</f>
        <v/>
      </c>
      <c r="AJ60" s="160"/>
      <c r="AK60" s="160"/>
      <c r="AL60" s="160"/>
      <c r="AM60" s="160"/>
    </row>
    <row r="61" spans="1:39" ht="17" customHeight="1" x14ac:dyDescent="0.25">
      <c r="A61" s="214" t="str">
        <f>IF($AI61="","",IF($AH61=$AH60,"",IF(INDEX('Roadmap Calc (Don’t Touch)'!$U$2:$U$151,$AI61)=0,$AH61,HYPERLINK("#'Control (Don’t Touch)'!E"&amp;INDEX('Roadmap Calc (Don’t Touch)'!$U$2:$U$151,$AI61),$AH61))))</f>
        <v/>
      </c>
      <c r="B61" s="174" t="str">
        <f>IF($AI61="","",IF(INDEX('Roadmap Calc (Don’t Touch)'!$K$2:$K$151,$AI61)="",INDEX('Roadmap Calc (Don’t Touch)'!$B$2:$B$151,$AI61),HYPERLINK("https://jira.bnh.com/browse/"&amp;INDEX('Roadmap Calc (Don’t Touch)'!$K$2:$K$151,$AI61),INDEX('Roadmap Calc (Don’t Touch)'!$B$2:$B$151,$AI61))))</f>
        <v/>
      </c>
      <c r="C61" s="174" t="str">
        <f>IF($AI61="","",IF(INDEX('Roadmap Calc (Don’t Touch)'!$E$2:$E$151,$AI61)="","",HYPERLINK("https://jira.bnh.com/browse/"&amp;INDEX('Roadmap Calc (Don’t Touch)'!$E$2:$E$151,$AI61),INDEX('Roadmap Calc (Don’t Touch)'!$E$2:$E$151,$AI61))))</f>
        <v/>
      </c>
      <c r="D61" s="175" t="str">
        <f>IF($AI61="","",INDEX('Roadmap Calc (Don’t Touch)'!$F$2:$F$151,$AI61))</f>
        <v/>
      </c>
      <c r="E61" s="170" t="str">
        <f>IF($AI61="","",IF(ISNUMBER(INDEX('Roadmap Calc (Don’t Touch)'!$G$2:$G$151,$AI61)),INDEX('Roadmap Calc (Don’t Touch)'!$G$2:$G$151,$AI61),""))</f>
        <v/>
      </c>
      <c r="F61" s="170" t="str">
        <f>IF($AI61="","",IF(ISNUMBER(INDEX('Roadmap Calc (Don’t Touch)'!$H$2:$H$151,$AI61)),INDEX('Roadmap Calc (Don’t Touch)'!$H$2:$H$151,$AI61),""))</f>
        <v/>
      </c>
      <c r="G61" s="171" t="str">
        <f>IF($AI61="","",INDEX('Roadmap Calc (Don’t Touch)'!$T$2:$T$151,$AI61))</f>
        <v/>
      </c>
      <c r="H61" s="172" t="str">
        <f>IF($AI61="","",IF(ISNUMBER(INDEX('Roadmap Calc (Don’t Touch)'!$I$2:$I$151,$AI61)),INDEX('Roadmap Calc (Don’t Touch)'!$I$2:$I$151,$AI61),""))</f>
        <v/>
      </c>
      <c r="I61" s="172" t="str">
        <f>IF($AI61="","",IF(ISNUMBER(INDEX('Roadmap Calc (Don’t Touch)'!$J$2:$J$151,$AI61)),INDEX('Roadmap Calc (Don’t Touch)'!$J$2:$J$151,$AI61),""))</f>
        <v/>
      </c>
      <c r="J61" s="173" t="str">
        <f>IF($AI61="","",IF(INDEX('Roadmap Calc (Don’t Touch)'!$AA$2:$AX$151,$AI61,1)&gt;0,IF(AND($H61&lt;&gt;"",$H61&lt;=EOMONTH(J$12,0),$I61&gt;=J$12),"BOTH","UX"),IF(AND($H61&lt;&gt;"",$H61&lt;=EOMONTH(J$12,0),$I61&gt;=J$12),"DEV","")))</f>
        <v/>
      </c>
      <c r="K61" s="173" t="str">
        <f>IF($AI61="","",IF(INDEX('Roadmap Calc (Don’t Touch)'!$AA$2:$AX$151,$AI61,2)&gt;0,IF(AND($H61&lt;&gt;"",$H61&lt;=EOMONTH(K$12,0),$I61&gt;=K$12),"BOTH","UX"),IF(AND($H61&lt;&gt;"",$H61&lt;=EOMONTH(K$12,0),$I61&gt;=K$12),"DEV","")))</f>
        <v/>
      </c>
      <c r="L61" s="173" t="str">
        <f>IF($AI61="","",IF(INDEX('Roadmap Calc (Don’t Touch)'!$AA$2:$AX$151,$AI61,3)&gt;0,IF(AND($H61&lt;&gt;"",$H61&lt;=EOMONTH(L$12,0),$I61&gt;=L$12),"BOTH","UX"),IF(AND($H61&lt;&gt;"",$H61&lt;=EOMONTH(L$12,0),$I61&gt;=L$12),"DEV","")))</f>
        <v/>
      </c>
      <c r="M61" s="173" t="str">
        <f>IF($AI61="","",IF(INDEX('Roadmap Calc (Don’t Touch)'!$AA$2:$AX$151,$AI61,4)&gt;0,IF(AND($H61&lt;&gt;"",$H61&lt;=EOMONTH(M$12,0),$I61&gt;=M$12),"BOTH","UX"),IF(AND($H61&lt;&gt;"",$H61&lt;=EOMONTH(M$12,0),$I61&gt;=M$12),"DEV","")))</f>
        <v/>
      </c>
      <c r="N61" s="173" t="str">
        <f>IF($AI61="","",IF(INDEX('Roadmap Calc (Don’t Touch)'!$AA$2:$AX$151,$AI61,5)&gt;0,IF(AND($H61&lt;&gt;"",$H61&lt;=EOMONTH(N$12,0),$I61&gt;=N$12),"BOTH","UX"),IF(AND($H61&lt;&gt;"",$H61&lt;=EOMONTH(N$12,0),$I61&gt;=N$12),"DEV","")))</f>
        <v/>
      </c>
      <c r="O61" s="173" t="str">
        <f>IF($AI61="","",IF(INDEX('Roadmap Calc (Don’t Touch)'!$AA$2:$AX$151,$AI61,6)&gt;0,IF(AND($H61&lt;&gt;"",$H61&lt;=EOMONTH(O$12,0),$I61&gt;=O$12),"BOTH","UX"),IF(AND($H61&lt;&gt;"",$H61&lt;=EOMONTH(O$12,0),$I61&gt;=O$12),"DEV","")))</f>
        <v/>
      </c>
      <c r="P61" s="173" t="str">
        <f>IF($AI61="","",IF(INDEX('Roadmap Calc (Don’t Touch)'!$AA$2:$AX$151,$AI61,7)&gt;0,IF(AND($H61&lt;&gt;"",$H61&lt;=EOMONTH(P$12,0),$I61&gt;=P$12),"BOTH","UX"),IF(AND($H61&lt;&gt;"",$H61&lt;=EOMONTH(P$12,0),$I61&gt;=P$12),"DEV","")))</f>
        <v/>
      </c>
      <c r="Q61" s="173" t="str">
        <f>IF($AI61="","",IF(INDEX('Roadmap Calc (Don’t Touch)'!$AA$2:$AX$151,$AI61,8)&gt;0,IF(AND($H61&lt;&gt;"",$H61&lt;=EOMONTH(Q$12,0),$I61&gt;=Q$12),"BOTH","UX"),IF(AND($H61&lt;&gt;"",$H61&lt;=EOMONTH(Q$12,0),$I61&gt;=Q$12),"DEV","")))</f>
        <v/>
      </c>
      <c r="R61" s="173" t="str">
        <f>IF($AI61="","",IF(INDEX('Roadmap Calc (Don’t Touch)'!$AA$2:$AX$151,$AI61,9)&gt;0,IF(AND($H61&lt;&gt;"",$H61&lt;=EOMONTH(R$12,0),$I61&gt;=R$12),"BOTH","UX"),IF(AND($H61&lt;&gt;"",$H61&lt;=EOMONTH(R$12,0),$I61&gt;=R$12),"DEV","")))</f>
        <v/>
      </c>
      <c r="S61" s="173" t="str">
        <f>IF($AI61="","",IF(INDEX('Roadmap Calc (Don’t Touch)'!$AA$2:$AX$151,$AI61,10)&gt;0,IF(AND($H61&lt;&gt;"",$H61&lt;=EOMONTH(S$12,0),$I61&gt;=S$12),"BOTH","UX"),IF(AND($H61&lt;&gt;"",$H61&lt;=EOMONTH(S$12,0),$I61&gt;=S$12),"DEV","")))</f>
        <v/>
      </c>
      <c r="T61" s="173" t="str">
        <f>IF($AI61="","",IF(INDEX('Roadmap Calc (Don’t Touch)'!$AA$2:$AX$151,$AI61,11)&gt;0,IF(AND($H61&lt;&gt;"",$H61&lt;=EOMONTH(T$12,0),$I61&gt;=T$12),"BOTH","UX"),IF(AND($H61&lt;&gt;"",$H61&lt;=EOMONTH(T$12,0),$I61&gt;=T$12),"DEV","")))</f>
        <v/>
      </c>
      <c r="U61" s="173" t="str">
        <f>IF($AI61="","",IF(INDEX('Roadmap Calc (Don’t Touch)'!$AA$2:$AX$151,$AI61,12)&gt;0,IF(AND($H61&lt;&gt;"",$H61&lt;=EOMONTH(U$12,0),$I61&gt;=U$12),"BOTH","UX"),IF(AND($H61&lt;&gt;"",$H61&lt;=EOMONTH(U$12,0),$I61&gt;=U$12),"DEV","")))</f>
        <v/>
      </c>
      <c r="V61" s="173" t="str">
        <f>IF($AI61="","",IF(INDEX('Roadmap Calc (Don’t Touch)'!$AA$2:$AX$151,$AI61,13)&gt;0,IF(AND($H61&lt;&gt;"",$H61&lt;=EOMONTH(V$12,0),$I61&gt;=V$12),"BOTH","UX"),IF(AND($H61&lt;&gt;"",$H61&lt;=EOMONTH(V$12,0),$I61&gt;=V$12),"DEV","")))</f>
        <v/>
      </c>
      <c r="W61" s="173" t="str">
        <f>IF($AI61="","",IF(INDEX('Roadmap Calc (Don’t Touch)'!$AA$2:$AX$151,$AI61,14)&gt;0,IF(AND($H61&lt;&gt;"",$H61&lt;=EOMONTH(W$12,0),$I61&gt;=W$12),"BOTH","UX"),IF(AND($H61&lt;&gt;"",$H61&lt;=EOMONTH(W$12,0),$I61&gt;=W$12),"DEV","")))</f>
        <v/>
      </c>
      <c r="X61" s="173" t="str">
        <f>IF($AI61="","",IF(INDEX('Roadmap Calc (Don’t Touch)'!$AA$2:$AX$151,$AI61,15)&gt;0,IF(AND($H61&lt;&gt;"",$H61&lt;=EOMONTH(X$12,0),$I61&gt;=X$12),"BOTH","UX"),IF(AND($H61&lt;&gt;"",$H61&lt;=EOMONTH(X$12,0),$I61&gt;=X$12),"DEV","")))</f>
        <v/>
      </c>
      <c r="Y61" s="173" t="str">
        <f>IF($AI61="","",IF(INDEX('Roadmap Calc (Don’t Touch)'!$AA$2:$AX$151,$AI61,16)&gt;0,IF(AND($H61&lt;&gt;"",$H61&lt;=EOMONTH(Y$12,0),$I61&gt;=Y$12),"BOTH","UX"),IF(AND($H61&lt;&gt;"",$H61&lt;=EOMONTH(Y$12,0),$I61&gt;=Y$12),"DEV","")))</f>
        <v/>
      </c>
      <c r="Z61" s="173" t="str">
        <f>IF($AI61="","",IF(INDEX('Roadmap Calc (Don’t Touch)'!$AA$2:$AX$151,$AI61,17)&gt;0,IF(AND($H61&lt;&gt;"",$H61&lt;=EOMONTH(Z$12,0),$I61&gt;=Z$12),"BOTH","UX"),IF(AND($H61&lt;&gt;"",$H61&lt;=EOMONTH(Z$12,0),$I61&gt;=Z$12),"DEV","")))</f>
        <v/>
      </c>
      <c r="AA61" s="173" t="str">
        <f>IF($AI61="","",IF(INDEX('Roadmap Calc (Don’t Touch)'!$AA$2:$AX$151,$AI61,18)&gt;0,IF(AND($H61&lt;&gt;"",$H61&lt;=EOMONTH(AA$12,0),$I61&gt;=AA$12),"BOTH","UX"),IF(AND($H61&lt;&gt;"",$H61&lt;=EOMONTH(AA$12,0),$I61&gt;=AA$12),"DEV","")))</f>
        <v/>
      </c>
      <c r="AB61" s="173" t="str">
        <f>IF($AI61="","",IF(INDEX('Roadmap Calc (Don’t Touch)'!$AA$2:$AX$151,$AI61,19)&gt;0,IF(AND($H61&lt;&gt;"",$H61&lt;=EOMONTH(AB$12,0),$I61&gt;=AB$12),"BOTH","UX"),IF(AND($H61&lt;&gt;"",$H61&lt;=EOMONTH(AB$12,0),$I61&gt;=AB$12),"DEV","")))</f>
        <v/>
      </c>
      <c r="AC61" s="173" t="str">
        <f>IF($AI61="","",IF(INDEX('Roadmap Calc (Don’t Touch)'!$AA$2:$AX$151,$AI61,20)&gt;0,IF(AND($H61&lt;&gt;"",$H61&lt;=EOMONTH(AC$12,0),$I61&gt;=AC$12),"BOTH","UX"),IF(AND($H61&lt;&gt;"",$H61&lt;=EOMONTH(AC$12,0),$I61&gt;=AC$12),"DEV","")))</f>
        <v/>
      </c>
      <c r="AD61" s="173" t="str">
        <f>IF($AI61="","",IF(INDEX('Roadmap Calc (Don’t Touch)'!$AA$2:$AX$151,$AI61,21)&gt;0,IF(AND($H61&lt;&gt;"",$H61&lt;=EOMONTH(AD$12,0),$I61&gt;=AD$12),"BOTH","UX"),IF(AND($H61&lt;&gt;"",$H61&lt;=EOMONTH(AD$12,0),$I61&gt;=AD$12),"DEV","")))</f>
        <v/>
      </c>
      <c r="AE61" s="173" t="str">
        <f>IF($AI61="","",IF(INDEX('Roadmap Calc (Don’t Touch)'!$AA$2:$AX$151,$AI61,22)&gt;0,IF(AND($H61&lt;&gt;"",$H61&lt;=EOMONTH(AE$12,0),$I61&gt;=AE$12),"BOTH","UX"),IF(AND($H61&lt;&gt;"",$H61&lt;=EOMONTH(AE$12,0),$I61&gt;=AE$12),"DEV","")))</f>
        <v/>
      </c>
      <c r="AF61" s="173" t="str">
        <f>IF($AI61="","",IF(INDEX('Roadmap Calc (Don’t Touch)'!$AA$2:$AX$151,$AI61,23)&gt;0,IF(AND($H61&lt;&gt;"",$H61&lt;=EOMONTH(AF$12,0),$I61&gt;=AF$12),"BOTH","UX"),IF(AND($H61&lt;&gt;"",$H61&lt;=EOMONTH(AF$12,0),$I61&gt;=AF$12),"DEV","")))</f>
        <v/>
      </c>
      <c r="AG61" s="173" t="str">
        <f>IF($AI61="","",IF(INDEX('Roadmap Calc (Don’t Touch)'!$AA$2:$AX$151,$AI61,24)&gt;0,IF(AND($H61&lt;&gt;"",$H61&lt;=EOMONTH(AG$12,0),$I61&gt;=AG$12),"BOTH","UX"),IF(AND($H61&lt;&gt;"",$H61&lt;=EOMONTH(AG$12,0),$I61&gt;=AG$12),"DEV","")))</f>
        <v/>
      </c>
      <c r="AH61" s="160" t="str">
        <f>IF($AI61="","",INDEX('Roadmap Calc (Don’t Touch)'!$D$2:$D$151,$AI61))</f>
        <v/>
      </c>
      <c r="AI61" s="160" t="str">
        <f>IFERROR(MATCH(46,'Roadmap Calc (Don’t Touch)'!$O$2:$O$151,0),"")</f>
        <v/>
      </c>
      <c r="AJ61" s="160"/>
      <c r="AK61" s="160"/>
      <c r="AL61" s="160"/>
      <c r="AM61" s="160"/>
    </row>
    <row r="62" spans="1:39" ht="17" customHeight="1" x14ac:dyDescent="0.25">
      <c r="A62" s="214" t="str">
        <f>IF($AI62="","",IF($AH62=$AH61,"",IF(INDEX('Roadmap Calc (Don’t Touch)'!$U$2:$U$151,$AI62)=0,$AH62,HYPERLINK("#'Control (Don’t Touch)'!E"&amp;INDEX('Roadmap Calc (Don’t Touch)'!$U$2:$U$151,$AI62),$AH62))))</f>
        <v/>
      </c>
      <c r="B62" s="174" t="str">
        <f>IF($AI62="","",IF(INDEX('Roadmap Calc (Don’t Touch)'!$K$2:$K$151,$AI62)="",INDEX('Roadmap Calc (Don’t Touch)'!$B$2:$B$151,$AI62),HYPERLINK("https://jira.bnh.com/browse/"&amp;INDEX('Roadmap Calc (Don’t Touch)'!$K$2:$K$151,$AI62),INDEX('Roadmap Calc (Don’t Touch)'!$B$2:$B$151,$AI62))))</f>
        <v/>
      </c>
      <c r="C62" s="174" t="str">
        <f>IF($AI62="","",IF(INDEX('Roadmap Calc (Don’t Touch)'!$E$2:$E$151,$AI62)="","",HYPERLINK("https://jira.bnh.com/browse/"&amp;INDEX('Roadmap Calc (Don’t Touch)'!$E$2:$E$151,$AI62),INDEX('Roadmap Calc (Don’t Touch)'!$E$2:$E$151,$AI62))))</f>
        <v/>
      </c>
      <c r="D62" s="175" t="str">
        <f>IF($AI62="","",INDEX('Roadmap Calc (Don’t Touch)'!$F$2:$F$151,$AI62))</f>
        <v/>
      </c>
      <c r="E62" s="170" t="str">
        <f>IF($AI62="","",IF(ISNUMBER(INDEX('Roadmap Calc (Don’t Touch)'!$G$2:$G$151,$AI62)),INDEX('Roadmap Calc (Don’t Touch)'!$G$2:$G$151,$AI62),""))</f>
        <v/>
      </c>
      <c r="F62" s="170" t="str">
        <f>IF($AI62="","",IF(ISNUMBER(INDEX('Roadmap Calc (Don’t Touch)'!$H$2:$H$151,$AI62)),INDEX('Roadmap Calc (Don’t Touch)'!$H$2:$H$151,$AI62),""))</f>
        <v/>
      </c>
      <c r="G62" s="171" t="str">
        <f>IF($AI62="","",INDEX('Roadmap Calc (Don’t Touch)'!$T$2:$T$151,$AI62))</f>
        <v/>
      </c>
      <c r="H62" s="172" t="str">
        <f>IF($AI62="","",IF(ISNUMBER(INDEX('Roadmap Calc (Don’t Touch)'!$I$2:$I$151,$AI62)),INDEX('Roadmap Calc (Don’t Touch)'!$I$2:$I$151,$AI62),""))</f>
        <v/>
      </c>
      <c r="I62" s="172" t="str">
        <f>IF($AI62="","",IF(ISNUMBER(INDEX('Roadmap Calc (Don’t Touch)'!$J$2:$J$151,$AI62)),INDEX('Roadmap Calc (Don’t Touch)'!$J$2:$J$151,$AI62),""))</f>
        <v/>
      </c>
      <c r="J62" s="173" t="str">
        <f>IF($AI62="","",IF(INDEX('Roadmap Calc (Don’t Touch)'!$AA$2:$AX$151,$AI62,1)&gt;0,IF(AND($H62&lt;&gt;"",$H62&lt;=EOMONTH(J$12,0),$I62&gt;=J$12),"BOTH","UX"),IF(AND($H62&lt;&gt;"",$H62&lt;=EOMONTH(J$12,0),$I62&gt;=J$12),"DEV","")))</f>
        <v/>
      </c>
      <c r="K62" s="173" t="str">
        <f>IF($AI62="","",IF(INDEX('Roadmap Calc (Don’t Touch)'!$AA$2:$AX$151,$AI62,2)&gt;0,IF(AND($H62&lt;&gt;"",$H62&lt;=EOMONTH(K$12,0),$I62&gt;=K$12),"BOTH","UX"),IF(AND($H62&lt;&gt;"",$H62&lt;=EOMONTH(K$12,0),$I62&gt;=K$12),"DEV","")))</f>
        <v/>
      </c>
      <c r="L62" s="173" t="str">
        <f>IF($AI62="","",IF(INDEX('Roadmap Calc (Don’t Touch)'!$AA$2:$AX$151,$AI62,3)&gt;0,IF(AND($H62&lt;&gt;"",$H62&lt;=EOMONTH(L$12,0),$I62&gt;=L$12),"BOTH","UX"),IF(AND($H62&lt;&gt;"",$H62&lt;=EOMONTH(L$12,0),$I62&gt;=L$12),"DEV","")))</f>
        <v/>
      </c>
      <c r="M62" s="173" t="str">
        <f>IF($AI62="","",IF(INDEX('Roadmap Calc (Don’t Touch)'!$AA$2:$AX$151,$AI62,4)&gt;0,IF(AND($H62&lt;&gt;"",$H62&lt;=EOMONTH(M$12,0),$I62&gt;=M$12),"BOTH","UX"),IF(AND($H62&lt;&gt;"",$H62&lt;=EOMONTH(M$12,0),$I62&gt;=M$12),"DEV","")))</f>
        <v/>
      </c>
      <c r="N62" s="173" t="str">
        <f>IF($AI62="","",IF(INDEX('Roadmap Calc (Don’t Touch)'!$AA$2:$AX$151,$AI62,5)&gt;0,IF(AND($H62&lt;&gt;"",$H62&lt;=EOMONTH(N$12,0),$I62&gt;=N$12),"BOTH","UX"),IF(AND($H62&lt;&gt;"",$H62&lt;=EOMONTH(N$12,0),$I62&gt;=N$12),"DEV","")))</f>
        <v/>
      </c>
      <c r="O62" s="173" t="str">
        <f>IF($AI62="","",IF(INDEX('Roadmap Calc (Don’t Touch)'!$AA$2:$AX$151,$AI62,6)&gt;0,IF(AND($H62&lt;&gt;"",$H62&lt;=EOMONTH(O$12,0),$I62&gt;=O$12),"BOTH","UX"),IF(AND($H62&lt;&gt;"",$H62&lt;=EOMONTH(O$12,0),$I62&gt;=O$12),"DEV","")))</f>
        <v/>
      </c>
      <c r="P62" s="173" t="str">
        <f>IF($AI62="","",IF(INDEX('Roadmap Calc (Don’t Touch)'!$AA$2:$AX$151,$AI62,7)&gt;0,IF(AND($H62&lt;&gt;"",$H62&lt;=EOMONTH(P$12,0),$I62&gt;=P$12),"BOTH","UX"),IF(AND($H62&lt;&gt;"",$H62&lt;=EOMONTH(P$12,0),$I62&gt;=P$12),"DEV","")))</f>
        <v/>
      </c>
      <c r="Q62" s="173" t="str">
        <f>IF($AI62="","",IF(INDEX('Roadmap Calc (Don’t Touch)'!$AA$2:$AX$151,$AI62,8)&gt;0,IF(AND($H62&lt;&gt;"",$H62&lt;=EOMONTH(Q$12,0),$I62&gt;=Q$12),"BOTH","UX"),IF(AND($H62&lt;&gt;"",$H62&lt;=EOMONTH(Q$12,0),$I62&gt;=Q$12),"DEV","")))</f>
        <v/>
      </c>
      <c r="R62" s="173" t="str">
        <f>IF($AI62="","",IF(INDEX('Roadmap Calc (Don’t Touch)'!$AA$2:$AX$151,$AI62,9)&gt;0,IF(AND($H62&lt;&gt;"",$H62&lt;=EOMONTH(R$12,0),$I62&gt;=R$12),"BOTH","UX"),IF(AND($H62&lt;&gt;"",$H62&lt;=EOMONTH(R$12,0),$I62&gt;=R$12),"DEV","")))</f>
        <v/>
      </c>
      <c r="S62" s="173" t="str">
        <f>IF($AI62="","",IF(INDEX('Roadmap Calc (Don’t Touch)'!$AA$2:$AX$151,$AI62,10)&gt;0,IF(AND($H62&lt;&gt;"",$H62&lt;=EOMONTH(S$12,0),$I62&gt;=S$12),"BOTH","UX"),IF(AND($H62&lt;&gt;"",$H62&lt;=EOMONTH(S$12,0),$I62&gt;=S$12),"DEV","")))</f>
        <v/>
      </c>
      <c r="T62" s="173" t="str">
        <f>IF($AI62="","",IF(INDEX('Roadmap Calc (Don’t Touch)'!$AA$2:$AX$151,$AI62,11)&gt;0,IF(AND($H62&lt;&gt;"",$H62&lt;=EOMONTH(T$12,0),$I62&gt;=T$12),"BOTH","UX"),IF(AND($H62&lt;&gt;"",$H62&lt;=EOMONTH(T$12,0),$I62&gt;=T$12),"DEV","")))</f>
        <v/>
      </c>
      <c r="U62" s="173" t="str">
        <f>IF($AI62="","",IF(INDEX('Roadmap Calc (Don’t Touch)'!$AA$2:$AX$151,$AI62,12)&gt;0,IF(AND($H62&lt;&gt;"",$H62&lt;=EOMONTH(U$12,0),$I62&gt;=U$12),"BOTH","UX"),IF(AND($H62&lt;&gt;"",$H62&lt;=EOMONTH(U$12,0),$I62&gt;=U$12),"DEV","")))</f>
        <v/>
      </c>
      <c r="V62" s="173" t="str">
        <f>IF($AI62="","",IF(INDEX('Roadmap Calc (Don’t Touch)'!$AA$2:$AX$151,$AI62,13)&gt;0,IF(AND($H62&lt;&gt;"",$H62&lt;=EOMONTH(V$12,0),$I62&gt;=V$12),"BOTH","UX"),IF(AND($H62&lt;&gt;"",$H62&lt;=EOMONTH(V$12,0),$I62&gt;=V$12),"DEV","")))</f>
        <v/>
      </c>
      <c r="W62" s="173" t="str">
        <f>IF($AI62="","",IF(INDEX('Roadmap Calc (Don’t Touch)'!$AA$2:$AX$151,$AI62,14)&gt;0,IF(AND($H62&lt;&gt;"",$H62&lt;=EOMONTH(W$12,0),$I62&gt;=W$12),"BOTH","UX"),IF(AND($H62&lt;&gt;"",$H62&lt;=EOMONTH(W$12,0),$I62&gt;=W$12),"DEV","")))</f>
        <v/>
      </c>
      <c r="X62" s="173" t="str">
        <f>IF($AI62="","",IF(INDEX('Roadmap Calc (Don’t Touch)'!$AA$2:$AX$151,$AI62,15)&gt;0,IF(AND($H62&lt;&gt;"",$H62&lt;=EOMONTH(X$12,0),$I62&gt;=X$12),"BOTH","UX"),IF(AND($H62&lt;&gt;"",$H62&lt;=EOMONTH(X$12,0),$I62&gt;=X$12),"DEV","")))</f>
        <v/>
      </c>
      <c r="Y62" s="173" t="str">
        <f>IF($AI62="","",IF(INDEX('Roadmap Calc (Don’t Touch)'!$AA$2:$AX$151,$AI62,16)&gt;0,IF(AND($H62&lt;&gt;"",$H62&lt;=EOMONTH(Y$12,0),$I62&gt;=Y$12),"BOTH","UX"),IF(AND($H62&lt;&gt;"",$H62&lt;=EOMONTH(Y$12,0),$I62&gt;=Y$12),"DEV","")))</f>
        <v/>
      </c>
      <c r="Z62" s="173" t="str">
        <f>IF($AI62="","",IF(INDEX('Roadmap Calc (Don’t Touch)'!$AA$2:$AX$151,$AI62,17)&gt;0,IF(AND($H62&lt;&gt;"",$H62&lt;=EOMONTH(Z$12,0),$I62&gt;=Z$12),"BOTH","UX"),IF(AND($H62&lt;&gt;"",$H62&lt;=EOMONTH(Z$12,0),$I62&gt;=Z$12),"DEV","")))</f>
        <v/>
      </c>
      <c r="AA62" s="173" t="str">
        <f>IF($AI62="","",IF(INDEX('Roadmap Calc (Don’t Touch)'!$AA$2:$AX$151,$AI62,18)&gt;0,IF(AND($H62&lt;&gt;"",$H62&lt;=EOMONTH(AA$12,0),$I62&gt;=AA$12),"BOTH","UX"),IF(AND($H62&lt;&gt;"",$H62&lt;=EOMONTH(AA$12,0),$I62&gt;=AA$12),"DEV","")))</f>
        <v/>
      </c>
      <c r="AB62" s="173" t="str">
        <f>IF($AI62="","",IF(INDEX('Roadmap Calc (Don’t Touch)'!$AA$2:$AX$151,$AI62,19)&gt;0,IF(AND($H62&lt;&gt;"",$H62&lt;=EOMONTH(AB$12,0),$I62&gt;=AB$12),"BOTH","UX"),IF(AND($H62&lt;&gt;"",$H62&lt;=EOMONTH(AB$12,0),$I62&gt;=AB$12),"DEV","")))</f>
        <v/>
      </c>
      <c r="AC62" s="173" t="str">
        <f>IF($AI62="","",IF(INDEX('Roadmap Calc (Don’t Touch)'!$AA$2:$AX$151,$AI62,20)&gt;0,IF(AND($H62&lt;&gt;"",$H62&lt;=EOMONTH(AC$12,0),$I62&gt;=AC$12),"BOTH","UX"),IF(AND($H62&lt;&gt;"",$H62&lt;=EOMONTH(AC$12,0),$I62&gt;=AC$12),"DEV","")))</f>
        <v/>
      </c>
      <c r="AD62" s="173" t="str">
        <f>IF($AI62="","",IF(INDEX('Roadmap Calc (Don’t Touch)'!$AA$2:$AX$151,$AI62,21)&gt;0,IF(AND($H62&lt;&gt;"",$H62&lt;=EOMONTH(AD$12,0),$I62&gt;=AD$12),"BOTH","UX"),IF(AND($H62&lt;&gt;"",$H62&lt;=EOMONTH(AD$12,0),$I62&gt;=AD$12),"DEV","")))</f>
        <v/>
      </c>
      <c r="AE62" s="173" t="str">
        <f>IF($AI62="","",IF(INDEX('Roadmap Calc (Don’t Touch)'!$AA$2:$AX$151,$AI62,22)&gt;0,IF(AND($H62&lt;&gt;"",$H62&lt;=EOMONTH(AE$12,0),$I62&gt;=AE$12),"BOTH","UX"),IF(AND($H62&lt;&gt;"",$H62&lt;=EOMONTH(AE$12,0),$I62&gt;=AE$12),"DEV","")))</f>
        <v/>
      </c>
      <c r="AF62" s="173" t="str">
        <f>IF($AI62="","",IF(INDEX('Roadmap Calc (Don’t Touch)'!$AA$2:$AX$151,$AI62,23)&gt;0,IF(AND($H62&lt;&gt;"",$H62&lt;=EOMONTH(AF$12,0),$I62&gt;=AF$12),"BOTH","UX"),IF(AND($H62&lt;&gt;"",$H62&lt;=EOMONTH(AF$12,0),$I62&gt;=AF$12),"DEV","")))</f>
        <v/>
      </c>
      <c r="AG62" s="173" t="str">
        <f>IF($AI62="","",IF(INDEX('Roadmap Calc (Don’t Touch)'!$AA$2:$AX$151,$AI62,24)&gt;0,IF(AND($H62&lt;&gt;"",$H62&lt;=EOMONTH(AG$12,0),$I62&gt;=AG$12),"BOTH","UX"),IF(AND($H62&lt;&gt;"",$H62&lt;=EOMONTH(AG$12,0),$I62&gt;=AG$12),"DEV","")))</f>
        <v/>
      </c>
      <c r="AH62" s="160" t="str">
        <f>IF($AI62="","",INDEX('Roadmap Calc (Don’t Touch)'!$D$2:$D$151,$AI62))</f>
        <v/>
      </c>
      <c r="AI62" s="160" t="str">
        <f>IFERROR(MATCH(47,'Roadmap Calc (Don’t Touch)'!$O$2:$O$151,0),"")</f>
        <v/>
      </c>
      <c r="AJ62" s="160"/>
      <c r="AK62" s="160"/>
      <c r="AL62" s="160"/>
      <c r="AM62" s="160"/>
    </row>
    <row r="63" spans="1:39" ht="17" customHeight="1" x14ac:dyDescent="0.25">
      <c r="A63" s="214" t="str">
        <f>IF($AI63="","",IF($AH63=$AH62,"",IF(INDEX('Roadmap Calc (Don’t Touch)'!$U$2:$U$151,$AI63)=0,$AH63,HYPERLINK("#'Control (Don’t Touch)'!E"&amp;INDEX('Roadmap Calc (Don’t Touch)'!$U$2:$U$151,$AI63),$AH63))))</f>
        <v/>
      </c>
      <c r="B63" s="168" t="str">
        <f>IF($AI63="","",IF(INDEX('Roadmap Calc (Don’t Touch)'!$K$2:$K$151,$AI63)="",INDEX('Roadmap Calc (Don’t Touch)'!$B$2:$B$151,$AI63),HYPERLINK("https://jira.bnh.com/browse/"&amp;INDEX('Roadmap Calc (Don’t Touch)'!$K$2:$K$151,$AI63),INDEX('Roadmap Calc (Don’t Touch)'!$B$2:$B$151,$AI63))))</f>
        <v/>
      </c>
      <c r="C63" s="174" t="str">
        <f>IF($AI63="","",IF(INDEX('Roadmap Calc (Don’t Touch)'!$E$2:$E$151,$AI63)="","",HYPERLINK("https://jira.bnh.com/browse/"&amp;INDEX('Roadmap Calc (Don’t Touch)'!$E$2:$E$151,$AI63),INDEX('Roadmap Calc (Don’t Touch)'!$E$2:$E$151,$AI63))))</f>
        <v/>
      </c>
      <c r="D63" s="175" t="str">
        <f>IF($AI63="","",INDEX('Roadmap Calc (Don’t Touch)'!$F$2:$F$151,$AI63))</f>
        <v/>
      </c>
      <c r="E63" s="170" t="str">
        <f>IF($AI63="","",IF(ISNUMBER(INDEX('Roadmap Calc (Don’t Touch)'!$G$2:$G$151,$AI63)),INDEX('Roadmap Calc (Don’t Touch)'!$G$2:$G$151,$AI63),""))</f>
        <v/>
      </c>
      <c r="F63" s="170" t="str">
        <f>IF($AI63="","",IF(ISNUMBER(INDEX('Roadmap Calc (Don’t Touch)'!$H$2:$H$151,$AI63)),INDEX('Roadmap Calc (Don’t Touch)'!$H$2:$H$151,$AI63),""))</f>
        <v/>
      </c>
      <c r="G63" s="171" t="str">
        <f>IF($AI63="","",INDEX('Roadmap Calc (Don’t Touch)'!$T$2:$T$151,$AI63))</f>
        <v/>
      </c>
      <c r="H63" s="172" t="str">
        <f>IF($AI63="","",IF(ISNUMBER(INDEX('Roadmap Calc (Don’t Touch)'!$I$2:$I$151,$AI63)),INDEX('Roadmap Calc (Don’t Touch)'!$I$2:$I$151,$AI63),""))</f>
        <v/>
      </c>
      <c r="I63" s="172" t="str">
        <f>IF($AI63="","",IF(ISNUMBER(INDEX('Roadmap Calc (Don’t Touch)'!$J$2:$J$151,$AI63)),INDEX('Roadmap Calc (Don’t Touch)'!$J$2:$J$151,$AI63),""))</f>
        <v/>
      </c>
      <c r="J63" s="173" t="str">
        <f>IF($AI63="","",IF(INDEX('Roadmap Calc (Don’t Touch)'!$AA$2:$AX$151,$AI63,1)&gt;0,IF(AND($H63&lt;&gt;"",$H63&lt;=EOMONTH(J$12,0),$I63&gt;=J$12),"BOTH","UX"),IF(AND($H63&lt;&gt;"",$H63&lt;=EOMONTH(J$12,0),$I63&gt;=J$12),"DEV","")))</f>
        <v/>
      </c>
      <c r="K63" s="173" t="str">
        <f>IF($AI63="","",IF(INDEX('Roadmap Calc (Don’t Touch)'!$AA$2:$AX$151,$AI63,2)&gt;0,IF(AND($H63&lt;&gt;"",$H63&lt;=EOMONTH(K$12,0),$I63&gt;=K$12),"BOTH","UX"),IF(AND($H63&lt;&gt;"",$H63&lt;=EOMONTH(K$12,0),$I63&gt;=K$12),"DEV","")))</f>
        <v/>
      </c>
      <c r="L63" s="173" t="str">
        <f>IF($AI63="","",IF(INDEX('Roadmap Calc (Don’t Touch)'!$AA$2:$AX$151,$AI63,3)&gt;0,IF(AND($H63&lt;&gt;"",$H63&lt;=EOMONTH(L$12,0),$I63&gt;=L$12),"BOTH","UX"),IF(AND($H63&lt;&gt;"",$H63&lt;=EOMONTH(L$12,0),$I63&gt;=L$12),"DEV","")))</f>
        <v/>
      </c>
      <c r="M63" s="173" t="str">
        <f>IF($AI63="","",IF(INDEX('Roadmap Calc (Don’t Touch)'!$AA$2:$AX$151,$AI63,4)&gt;0,IF(AND($H63&lt;&gt;"",$H63&lt;=EOMONTH(M$12,0),$I63&gt;=M$12),"BOTH","UX"),IF(AND($H63&lt;&gt;"",$H63&lt;=EOMONTH(M$12,0),$I63&gt;=M$12),"DEV","")))</f>
        <v/>
      </c>
      <c r="N63" s="173" t="str">
        <f>IF($AI63="","",IF(INDEX('Roadmap Calc (Don’t Touch)'!$AA$2:$AX$151,$AI63,5)&gt;0,IF(AND($H63&lt;&gt;"",$H63&lt;=EOMONTH(N$12,0),$I63&gt;=N$12),"BOTH","UX"),IF(AND($H63&lt;&gt;"",$H63&lt;=EOMONTH(N$12,0),$I63&gt;=N$12),"DEV","")))</f>
        <v/>
      </c>
      <c r="O63" s="173" t="str">
        <f>IF($AI63="","",IF(INDEX('Roadmap Calc (Don’t Touch)'!$AA$2:$AX$151,$AI63,6)&gt;0,IF(AND($H63&lt;&gt;"",$H63&lt;=EOMONTH(O$12,0),$I63&gt;=O$12),"BOTH","UX"),IF(AND($H63&lt;&gt;"",$H63&lt;=EOMONTH(O$12,0),$I63&gt;=O$12),"DEV","")))</f>
        <v/>
      </c>
      <c r="P63" s="173" t="str">
        <f>IF($AI63="","",IF(INDEX('Roadmap Calc (Don’t Touch)'!$AA$2:$AX$151,$AI63,7)&gt;0,IF(AND($H63&lt;&gt;"",$H63&lt;=EOMONTH(P$12,0),$I63&gt;=P$12),"BOTH","UX"),IF(AND($H63&lt;&gt;"",$H63&lt;=EOMONTH(P$12,0),$I63&gt;=P$12),"DEV","")))</f>
        <v/>
      </c>
      <c r="Q63" s="173" t="str">
        <f>IF($AI63="","",IF(INDEX('Roadmap Calc (Don’t Touch)'!$AA$2:$AX$151,$AI63,8)&gt;0,IF(AND($H63&lt;&gt;"",$H63&lt;=EOMONTH(Q$12,0),$I63&gt;=Q$12),"BOTH","UX"),IF(AND($H63&lt;&gt;"",$H63&lt;=EOMONTH(Q$12,0),$I63&gt;=Q$12),"DEV","")))</f>
        <v/>
      </c>
      <c r="R63" s="173" t="str">
        <f>IF($AI63="","",IF(INDEX('Roadmap Calc (Don’t Touch)'!$AA$2:$AX$151,$AI63,9)&gt;0,IF(AND($H63&lt;&gt;"",$H63&lt;=EOMONTH(R$12,0),$I63&gt;=R$12),"BOTH","UX"),IF(AND($H63&lt;&gt;"",$H63&lt;=EOMONTH(R$12,0),$I63&gt;=R$12),"DEV","")))</f>
        <v/>
      </c>
      <c r="S63" s="173" t="str">
        <f>IF($AI63="","",IF(INDEX('Roadmap Calc (Don’t Touch)'!$AA$2:$AX$151,$AI63,10)&gt;0,IF(AND($H63&lt;&gt;"",$H63&lt;=EOMONTH(S$12,0),$I63&gt;=S$12),"BOTH","UX"),IF(AND($H63&lt;&gt;"",$H63&lt;=EOMONTH(S$12,0),$I63&gt;=S$12),"DEV","")))</f>
        <v/>
      </c>
      <c r="T63" s="173" t="str">
        <f>IF($AI63="","",IF(INDEX('Roadmap Calc (Don’t Touch)'!$AA$2:$AX$151,$AI63,11)&gt;0,IF(AND($H63&lt;&gt;"",$H63&lt;=EOMONTH(T$12,0),$I63&gt;=T$12),"BOTH","UX"),IF(AND($H63&lt;&gt;"",$H63&lt;=EOMONTH(T$12,0),$I63&gt;=T$12),"DEV","")))</f>
        <v/>
      </c>
      <c r="U63" s="173" t="str">
        <f>IF($AI63="","",IF(INDEX('Roadmap Calc (Don’t Touch)'!$AA$2:$AX$151,$AI63,12)&gt;0,IF(AND($H63&lt;&gt;"",$H63&lt;=EOMONTH(U$12,0),$I63&gt;=U$12),"BOTH","UX"),IF(AND($H63&lt;&gt;"",$H63&lt;=EOMONTH(U$12,0),$I63&gt;=U$12),"DEV","")))</f>
        <v/>
      </c>
      <c r="V63" s="173" t="str">
        <f>IF($AI63="","",IF(INDEX('Roadmap Calc (Don’t Touch)'!$AA$2:$AX$151,$AI63,13)&gt;0,IF(AND($H63&lt;&gt;"",$H63&lt;=EOMONTH(V$12,0),$I63&gt;=V$12),"BOTH","UX"),IF(AND($H63&lt;&gt;"",$H63&lt;=EOMONTH(V$12,0),$I63&gt;=V$12),"DEV","")))</f>
        <v/>
      </c>
      <c r="W63" s="173" t="str">
        <f>IF($AI63="","",IF(INDEX('Roadmap Calc (Don’t Touch)'!$AA$2:$AX$151,$AI63,14)&gt;0,IF(AND($H63&lt;&gt;"",$H63&lt;=EOMONTH(W$12,0),$I63&gt;=W$12),"BOTH","UX"),IF(AND($H63&lt;&gt;"",$H63&lt;=EOMONTH(W$12,0),$I63&gt;=W$12),"DEV","")))</f>
        <v/>
      </c>
      <c r="X63" s="173" t="str">
        <f>IF($AI63="","",IF(INDEX('Roadmap Calc (Don’t Touch)'!$AA$2:$AX$151,$AI63,15)&gt;0,IF(AND($H63&lt;&gt;"",$H63&lt;=EOMONTH(X$12,0),$I63&gt;=X$12),"BOTH","UX"),IF(AND($H63&lt;&gt;"",$H63&lt;=EOMONTH(X$12,0),$I63&gt;=X$12),"DEV","")))</f>
        <v/>
      </c>
      <c r="Y63" s="173" t="str">
        <f>IF($AI63="","",IF(INDEX('Roadmap Calc (Don’t Touch)'!$AA$2:$AX$151,$AI63,16)&gt;0,IF(AND($H63&lt;&gt;"",$H63&lt;=EOMONTH(Y$12,0),$I63&gt;=Y$12),"BOTH","UX"),IF(AND($H63&lt;&gt;"",$H63&lt;=EOMONTH(Y$12,0),$I63&gt;=Y$12),"DEV","")))</f>
        <v/>
      </c>
      <c r="Z63" s="173" t="str">
        <f>IF($AI63="","",IF(INDEX('Roadmap Calc (Don’t Touch)'!$AA$2:$AX$151,$AI63,17)&gt;0,IF(AND($H63&lt;&gt;"",$H63&lt;=EOMONTH(Z$12,0),$I63&gt;=Z$12),"BOTH","UX"),IF(AND($H63&lt;&gt;"",$H63&lt;=EOMONTH(Z$12,0),$I63&gt;=Z$12),"DEV","")))</f>
        <v/>
      </c>
      <c r="AA63" s="173" t="str">
        <f>IF($AI63="","",IF(INDEX('Roadmap Calc (Don’t Touch)'!$AA$2:$AX$151,$AI63,18)&gt;0,IF(AND($H63&lt;&gt;"",$H63&lt;=EOMONTH(AA$12,0),$I63&gt;=AA$12),"BOTH","UX"),IF(AND($H63&lt;&gt;"",$H63&lt;=EOMONTH(AA$12,0),$I63&gt;=AA$12),"DEV","")))</f>
        <v/>
      </c>
      <c r="AB63" s="173" t="str">
        <f>IF($AI63="","",IF(INDEX('Roadmap Calc (Don’t Touch)'!$AA$2:$AX$151,$AI63,19)&gt;0,IF(AND($H63&lt;&gt;"",$H63&lt;=EOMONTH(AB$12,0),$I63&gt;=AB$12),"BOTH","UX"),IF(AND($H63&lt;&gt;"",$H63&lt;=EOMONTH(AB$12,0),$I63&gt;=AB$12),"DEV","")))</f>
        <v/>
      </c>
      <c r="AC63" s="173" t="str">
        <f>IF($AI63="","",IF(INDEX('Roadmap Calc (Don’t Touch)'!$AA$2:$AX$151,$AI63,20)&gt;0,IF(AND($H63&lt;&gt;"",$H63&lt;=EOMONTH(AC$12,0),$I63&gt;=AC$12),"BOTH","UX"),IF(AND($H63&lt;&gt;"",$H63&lt;=EOMONTH(AC$12,0),$I63&gt;=AC$12),"DEV","")))</f>
        <v/>
      </c>
      <c r="AD63" s="173" t="str">
        <f>IF($AI63="","",IF(INDEX('Roadmap Calc (Don’t Touch)'!$AA$2:$AX$151,$AI63,21)&gt;0,IF(AND($H63&lt;&gt;"",$H63&lt;=EOMONTH(AD$12,0),$I63&gt;=AD$12),"BOTH","UX"),IF(AND($H63&lt;&gt;"",$H63&lt;=EOMONTH(AD$12,0),$I63&gt;=AD$12),"DEV","")))</f>
        <v/>
      </c>
      <c r="AE63" s="173" t="str">
        <f>IF($AI63="","",IF(INDEX('Roadmap Calc (Don’t Touch)'!$AA$2:$AX$151,$AI63,22)&gt;0,IF(AND($H63&lt;&gt;"",$H63&lt;=EOMONTH(AE$12,0),$I63&gt;=AE$12),"BOTH","UX"),IF(AND($H63&lt;&gt;"",$H63&lt;=EOMONTH(AE$12,0),$I63&gt;=AE$12),"DEV","")))</f>
        <v/>
      </c>
      <c r="AF63" s="173" t="str">
        <f>IF($AI63="","",IF(INDEX('Roadmap Calc (Don’t Touch)'!$AA$2:$AX$151,$AI63,23)&gt;0,IF(AND($H63&lt;&gt;"",$H63&lt;=EOMONTH(AF$12,0),$I63&gt;=AF$12),"BOTH","UX"),IF(AND($H63&lt;&gt;"",$H63&lt;=EOMONTH(AF$12,0),$I63&gt;=AF$12),"DEV","")))</f>
        <v/>
      </c>
      <c r="AG63" s="173" t="str">
        <f>IF($AI63="","",IF(INDEX('Roadmap Calc (Don’t Touch)'!$AA$2:$AX$151,$AI63,24)&gt;0,IF(AND($H63&lt;&gt;"",$H63&lt;=EOMONTH(AG$12,0),$I63&gt;=AG$12),"BOTH","UX"),IF(AND($H63&lt;&gt;"",$H63&lt;=EOMONTH(AG$12,0),$I63&gt;=AG$12),"DEV","")))</f>
        <v/>
      </c>
      <c r="AH63" s="160" t="str">
        <f>IF($AI63="","",INDEX('Roadmap Calc (Don’t Touch)'!$D$2:$D$151,$AI63))</f>
        <v/>
      </c>
      <c r="AI63" s="160" t="str">
        <f>IFERROR(MATCH(48,'Roadmap Calc (Don’t Touch)'!$O$2:$O$151,0),"")</f>
        <v/>
      </c>
      <c r="AJ63" s="160"/>
      <c r="AK63" s="160"/>
      <c r="AL63" s="160"/>
      <c r="AM63" s="160"/>
    </row>
    <row r="64" spans="1:39" ht="17" customHeight="1" x14ac:dyDescent="0.25">
      <c r="A64" s="214" t="str">
        <f>IF($AI64="","",IF($AH64=$AH63,"",IF(INDEX('Roadmap Calc (Don’t Touch)'!$U$2:$U$151,$AI64)=0,$AH64,HYPERLINK("#'Control (Don’t Touch)'!E"&amp;INDEX('Roadmap Calc (Don’t Touch)'!$U$2:$U$151,$AI64),$AH64))))</f>
        <v/>
      </c>
      <c r="B64" s="168" t="str">
        <f>IF($AI64="","",IF(INDEX('Roadmap Calc (Don’t Touch)'!$K$2:$K$151,$AI64)="",INDEX('Roadmap Calc (Don’t Touch)'!$B$2:$B$151,$AI64),HYPERLINK("https://jira.bnh.com/browse/"&amp;INDEX('Roadmap Calc (Don’t Touch)'!$K$2:$K$151,$AI64),INDEX('Roadmap Calc (Don’t Touch)'!$B$2:$B$151,$AI64))))</f>
        <v/>
      </c>
      <c r="C64" s="174" t="str">
        <f>IF($AI64="","",IF(INDEX('Roadmap Calc (Don’t Touch)'!$E$2:$E$151,$AI64)="","",HYPERLINK("https://jira.bnh.com/browse/"&amp;INDEX('Roadmap Calc (Don’t Touch)'!$E$2:$E$151,$AI64),INDEX('Roadmap Calc (Don’t Touch)'!$E$2:$E$151,$AI64))))</f>
        <v/>
      </c>
      <c r="D64" s="175" t="str">
        <f>IF($AI64="","",INDEX('Roadmap Calc (Don’t Touch)'!$F$2:$F$151,$AI64))</f>
        <v/>
      </c>
      <c r="E64" s="170" t="str">
        <f>IF($AI64="","",IF(ISNUMBER(INDEX('Roadmap Calc (Don’t Touch)'!$G$2:$G$151,$AI64)),INDEX('Roadmap Calc (Don’t Touch)'!$G$2:$G$151,$AI64),""))</f>
        <v/>
      </c>
      <c r="F64" s="170" t="str">
        <f>IF($AI64="","",IF(ISNUMBER(INDEX('Roadmap Calc (Don’t Touch)'!$H$2:$H$151,$AI64)),INDEX('Roadmap Calc (Don’t Touch)'!$H$2:$H$151,$AI64),""))</f>
        <v/>
      </c>
      <c r="G64" s="171" t="str">
        <f>IF($AI64="","",INDEX('Roadmap Calc (Don’t Touch)'!$T$2:$T$151,$AI64))</f>
        <v/>
      </c>
      <c r="H64" s="172" t="str">
        <f>IF($AI64="","",IF(ISNUMBER(INDEX('Roadmap Calc (Don’t Touch)'!$I$2:$I$151,$AI64)),INDEX('Roadmap Calc (Don’t Touch)'!$I$2:$I$151,$AI64),""))</f>
        <v/>
      </c>
      <c r="I64" s="172" t="str">
        <f>IF($AI64="","",IF(ISNUMBER(INDEX('Roadmap Calc (Don’t Touch)'!$J$2:$J$151,$AI64)),INDEX('Roadmap Calc (Don’t Touch)'!$J$2:$J$151,$AI64),""))</f>
        <v/>
      </c>
      <c r="J64" s="173" t="str">
        <f>IF($AI64="","",IF(INDEX('Roadmap Calc (Don’t Touch)'!$AA$2:$AX$151,$AI64,1)&gt;0,IF(AND($H64&lt;&gt;"",$H64&lt;=EOMONTH(J$12,0),$I64&gt;=J$12),"BOTH","UX"),IF(AND($H64&lt;&gt;"",$H64&lt;=EOMONTH(J$12,0),$I64&gt;=J$12),"DEV","")))</f>
        <v/>
      </c>
      <c r="K64" s="173" t="str">
        <f>IF($AI64="","",IF(INDEX('Roadmap Calc (Don’t Touch)'!$AA$2:$AX$151,$AI64,2)&gt;0,IF(AND($H64&lt;&gt;"",$H64&lt;=EOMONTH(K$12,0),$I64&gt;=K$12),"BOTH","UX"),IF(AND($H64&lt;&gt;"",$H64&lt;=EOMONTH(K$12,0),$I64&gt;=K$12),"DEV","")))</f>
        <v/>
      </c>
      <c r="L64" s="173" t="str">
        <f>IF($AI64="","",IF(INDEX('Roadmap Calc (Don’t Touch)'!$AA$2:$AX$151,$AI64,3)&gt;0,IF(AND($H64&lt;&gt;"",$H64&lt;=EOMONTH(L$12,0),$I64&gt;=L$12),"BOTH","UX"),IF(AND($H64&lt;&gt;"",$H64&lt;=EOMONTH(L$12,0),$I64&gt;=L$12),"DEV","")))</f>
        <v/>
      </c>
      <c r="M64" s="173" t="str">
        <f>IF($AI64="","",IF(INDEX('Roadmap Calc (Don’t Touch)'!$AA$2:$AX$151,$AI64,4)&gt;0,IF(AND($H64&lt;&gt;"",$H64&lt;=EOMONTH(M$12,0),$I64&gt;=M$12),"BOTH","UX"),IF(AND($H64&lt;&gt;"",$H64&lt;=EOMONTH(M$12,0),$I64&gt;=M$12),"DEV","")))</f>
        <v/>
      </c>
      <c r="N64" s="173" t="str">
        <f>IF($AI64="","",IF(INDEX('Roadmap Calc (Don’t Touch)'!$AA$2:$AX$151,$AI64,5)&gt;0,IF(AND($H64&lt;&gt;"",$H64&lt;=EOMONTH(N$12,0),$I64&gt;=N$12),"BOTH","UX"),IF(AND($H64&lt;&gt;"",$H64&lt;=EOMONTH(N$12,0),$I64&gt;=N$12),"DEV","")))</f>
        <v/>
      </c>
      <c r="O64" s="173" t="str">
        <f>IF($AI64="","",IF(INDEX('Roadmap Calc (Don’t Touch)'!$AA$2:$AX$151,$AI64,6)&gt;0,IF(AND($H64&lt;&gt;"",$H64&lt;=EOMONTH(O$12,0),$I64&gt;=O$12),"BOTH","UX"),IF(AND($H64&lt;&gt;"",$H64&lt;=EOMONTH(O$12,0),$I64&gt;=O$12),"DEV","")))</f>
        <v/>
      </c>
      <c r="P64" s="173" t="str">
        <f>IF($AI64="","",IF(INDEX('Roadmap Calc (Don’t Touch)'!$AA$2:$AX$151,$AI64,7)&gt;0,IF(AND($H64&lt;&gt;"",$H64&lt;=EOMONTH(P$12,0),$I64&gt;=P$12),"BOTH","UX"),IF(AND($H64&lt;&gt;"",$H64&lt;=EOMONTH(P$12,0),$I64&gt;=P$12),"DEV","")))</f>
        <v/>
      </c>
      <c r="Q64" s="173" t="str">
        <f>IF($AI64="","",IF(INDEX('Roadmap Calc (Don’t Touch)'!$AA$2:$AX$151,$AI64,8)&gt;0,IF(AND($H64&lt;&gt;"",$H64&lt;=EOMONTH(Q$12,0),$I64&gt;=Q$12),"BOTH","UX"),IF(AND($H64&lt;&gt;"",$H64&lt;=EOMONTH(Q$12,0),$I64&gt;=Q$12),"DEV","")))</f>
        <v/>
      </c>
      <c r="R64" s="173" t="str">
        <f>IF($AI64="","",IF(INDEX('Roadmap Calc (Don’t Touch)'!$AA$2:$AX$151,$AI64,9)&gt;0,IF(AND($H64&lt;&gt;"",$H64&lt;=EOMONTH(R$12,0),$I64&gt;=R$12),"BOTH","UX"),IF(AND($H64&lt;&gt;"",$H64&lt;=EOMONTH(R$12,0),$I64&gt;=R$12),"DEV","")))</f>
        <v/>
      </c>
      <c r="S64" s="173" t="str">
        <f>IF($AI64="","",IF(INDEX('Roadmap Calc (Don’t Touch)'!$AA$2:$AX$151,$AI64,10)&gt;0,IF(AND($H64&lt;&gt;"",$H64&lt;=EOMONTH(S$12,0),$I64&gt;=S$12),"BOTH","UX"),IF(AND($H64&lt;&gt;"",$H64&lt;=EOMONTH(S$12,0),$I64&gt;=S$12),"DEV","")))</f>
        <v/>
      </c>
      <c r="T64" s="173" t="str">
        <f>IF($AI64="","",IF(INDEX('Roadmap Calc (Don’t Touch)'!$AA$2:$AX$151,$AI64,11)&gt;0,IF(AND($H64&lt;&gt;"",$H64&lt;=EOMONTH(T$12,0),$I64&gt;=T$12),"BOTH","UX"),IF(AND($H64&lt;&gt;"",$H64&lt;=EOMONTH(T$12,0),$I64&gt;=T$12),"DEV","")))</f>
        <v/>
      </c>
      <c r="U64" s="173" t="str">
        <f>IF($AI64="","",IF(INDEX('Roadmap Calc (Don’t Touch)'!$AA$2:$AX$151,$AI64,12)&gt;0,IF(AND($H64&lt;&gt;"",$H64&lt;=EOMONTH(U$12,0),$I64&gt;=U$12),"BOTH","UX"),IF(AND($H64&lt;&gt;"",$H64&lt;=EOMONTH(U$12,0),$I64&gt;=U$12),"DEV","")))</f>
        <v/>
      </c>
      <c r="V64" s="173" t="str">
        <f>IF($AI64="","",IF(INDEX('Roadmap Calc (Don’t Touch)'!$AA$2:$AX$151,$AI64,13)&gt;0,IF(AND($H64&lt;&gt;"",$H64&lt;=EOMONTH(V$12,0),$I64&gt;=V$12),"BOTH","UX"),IF(AND($H64&lt;&gt;"",$H64&lt;=EOMONTH(V$12,0),$I64&gt;=V$12),"DEV","")))</f>
        <v/>
      </c>
      <c r="W64" s="173" t="str">
        <f>IF($AI64="","",IF(INDEX('Roadmap Calc (Don’t Touch)'!$AA$2:$AX$151,$AI64,14)&gt;0,IF(AND($H64&lt;&gt;"",$H64&lt;=EOMONTH(W$12,0),$I64&gt;=W$12),"BOTH","UX"),IF(AND($H64&lt;&gt;"",$H64&lt;=EOMONTH(W$12,0),$I64&gt;=W$12),"DEV","")))</f>
        <v/>
      </c>
      <c r="X64" s="173" t="str">
        <f>IF($AI64="","",IF(INDEX('Roadmap Calc (Don’t Touch)'!$AA$2:$AX$151,$AI64,15)&gt;0,IF(AND($H64&lt;&gt;"",$H64&lt;=EOMONTH(X$12,0),$I64&gt;=X$12),"BOTH","UX"),IF(AND($H64&lt;&gt;"",$H64&lt;=EOMONTH(X$12,0),$I64&gt;=X$12),"DEV","")))</f>
        <v/>
      </c>
      <c r="Y64" s="173" t="str">
        <f>IF($AI64="","",IF(INDEX('Roadmap Calc (Don’t Touch)'!$AA$2:$AX$151,$AI64,16)&gt;0,IF(AND($H64&lt;&gt;"",$H64&lt;=EOMONTH(Y$12,0),$I64&gt;=Y$12),"BOTH","UX"),IF(AND($H64&lt;&gt;"",$H64&lt;=EOMONTH(Y$12,0),$I64&gt;=Y$12),"DEV","")))</f>
        <v/>
      </c>
      <c r="Z64" s="173" t="str">
        <f>IF($AI64="","",IF(INDEX('Roadmap Calc (Don’t Touch)'!$AA$2:$AX$151,$AI64,17)&gt;0,IF(AND($H64&lt;&gt;"",$H64&lt;=EOMONTH(Z$12,0),$I64&gt;=Z$12),"BOTH","UX"),IF(AND($H64&lt;&gt;"",$H64&lt;=EOMONTH(Z$12,0),$I64&gt;=Z$12),"DEV","")))</f>
        <v/>
      </c>
      <c r="AA64" s="173" t="str">
        <f>IF($AI64="","",IF(INDEX('Roadmap Calc (Don’t Touch)'!$AA$2:$AX$151,$AI64,18)&gt;0,IF(AND($H64&lt;&gt;"",$H64&lt;=EOMONTH(AA$12,0),$I64&gt;=AA$12),"BOTH","UX"),IF(AND($H64&lt;&gt;"",$H64&lt;=EOMONTH(AA$12,0),$I64&gt;=AA$12),"DEV","")))</f>
        <v/>
      </c>
      <c r="AB64" s="173" t="str">
        <f>IF($AI64="","",IF(INDEX('Roadmap Calc (Don’t Touch)'!$AA$2:$AX$151,$AI64,19)&gt;0,IF(AND($H64&lt;&gt;"",$H64&lt;=EOMONTH(AB$12,0),$I64&gt;=AB$12),"BOTH","UX"),IF(AND($H64&lt;&gt;"",$H64&lt;=EOMONTH(AB$12,0),$I64&gt;=AB$12),"DEV","")))</f>
        <v/>
      </c>
      <c r="AC64" s="173" t="str">
        <f>IF($AI64="","",IF(INDEX('Roadmap Calc (Don’t Touch)'!$AA$2:$AX$151,$AI64,20)&gt;0,IF(AND($H64&lt;&gt;"",$H64&lt;=EOMONTH(AC$12,0),$I64&gt;=AC$12),"BOTH","UX"),IF(AND($H64&lt;&gt;"",$H64&lt;=EOMONTH(AC$12,0),$I64&gt;=AC$12),"DEV","")))</f>
        <v/>
      </c>
      <c r="AD64" s="173" t="str">
        <f>IF($AI64="","",IF(INDEX('Roadmap Calc (Don’t Touch)'!$AA$2:$AX$151,$AI64,21)&gt;0,IF(AND($H64&lt;&gt;"",$H64&lt;=EOMONTH(AD$12,0),$I64&gt;=AD$12),"BOTH","UX"),IF(AND($H64&lt;&gt;"",$H64&lt;=EOMONTH(AD$12,0),$I64&gt;=AD$12),"DEV","")))</f>
        <v/>
      </c>
      <c r="AE64" s="173" t="str">
        <f>IF($AI64="","",IF(INDEX('Roadmap Calc (Don’t Touch)'!$AA$2:$AX$151,$AI64,22)&gt;0,IF(AND($H64&lt;&gt;"",$H64&lt;=EOMONTH(AE$12,0),$I64&gt;=AE$12),"BOTH","UX"),IF(AND($H64&lt;&gt;"",$H64&lt;=EOMONTH(AE$12,0),$I64&gt;=AE$12),"DEV","")))</f>
        <v/>
      </c>
      <c r="AF64" s="173" t="str">
        <f>IF($AI64="","",IF(INDEX('Roadmap Calc (Don’t Touch)'!$AA$2:$AX$151,$AI64,23)&gt;0,IF(AND($H64&lt;&gt;"",$H64&lt;=EOMONTH(AF$12,0),$I64&gt;=AF$12),"BOTH","UX"),IF(AND($H64&lt;&gt;"",$H64&lt;=EOMONTH(AF$12,0),$I64&gt;=AF$12),"DEV","")))</f>
        <v/>
      </c>
      <c r="AG64" s="173" t="str">
        <f>IF($AI64="","",IF(INDEX('Roadmap Calc (Don’t Touch)'!$AA$2:$AX$151,$AI64,24)&gt;0,IF(AND($H64&lt;&gt;"",$H64&lt;=EOMONTH(AG$12,0),$I64&gt;=AG$12),"BOTH","UX"),IF(AND($H64&lt;&gt;"",$H64&lt;=EOMONTH(AG$12,0),$I64&gt;=AG$12),"DEV","")))</f>
        <v/>
      </c>
      <c r="AH64" s="160" t="str">
        <f>IF($AI64="","",INDEX('Roadmap Calc (Don’t Touch)'!$D$2:$D$151,$AI64))</f>
        <v/>
      </c>
      <c r="AI64" s="160" t="str">
        <f>IFERROR(MATCH(49,'Roadmap Calc (Don’t Touch)'!$O$2:$O$151,0),"")</f>
        <v/>
      </c>
      <c r="AJ64" s="160"/>
      <c r="AK64" s="160"/>
      <c r="AL64" s="160"/>
      <c r="AM64" s="160"/>
    </row>
    <row r="65" spans="1:39" ht="17" customHeight="1" x14ac:dyDescent="0.25">
      <c r="A65" s="167" t="str">
        <f>IF($AI65="","",IF($AH65=$AH64,"",IF(INDEX('Roadmap Calc (Don’t Touch)'!$U$2:$U$151,$AI65)=0,$AH65,HYPERLINK("#'Control (Don’t Touch)'!E"&amp;INDEX('Roadmap Calc (Don’t Touch)'!$U$2:$U$151,$AI65),$AH65))))</f>
        <v/>
      </c>
      <c r="B65" s="168" t="str">
        <f>IF($AI65="","",IF(INDEX('Roadmap Calc (Don’t Touch)'!$K$2:$K$151,$AI65)="",INDEX('Roadmap Calc (Don’t Touch)'!$B$2:$B$151,$AI65),HYPERLINK("https://jira.bnh.com/browse/"&amp;INDEX('Roadmap Calc (Don’t Touch)'!$K$2:$K$151,$AI65),INDEX('Roadmap Calc (Don’t Touch)'!$B$2:$B$151,$AI65))))</f>
        <v/>
      </c>
      <c r="C65" s="168" t="str">
        <f>IF($AI65="","",IF(INDEX('Roadmap Calc (Don’t Touch)'!$E$2:$E$151,$AI65)="","",HYPERLINK("https://jira.bnh.com/browse/"&amp;INDEX('Roadmap Calc (Don’t Touch)'!$E$2:$E$151,$AI65),INDEX('Roadmap Calc (Don’t Touch)'!$E$2:$E$151,$AI65))))</f>
        <v/>
      </c>
      <c r="D65" s="175" t="str">
        <f>IF($AI65="","",INDEX('Roadmap Calc (Don’t Touch)'!$F$2:$F$151,$AI65))</f>
        <v/>
      </c>
      <c r="E65" s="170" t="str">
        <f>IF($AI65="","",IF(ISNUMBER(INDEX('Roadmap Calc (Don’t Touch)'!$G$2:$G$151,$AI65)),INDEX('Roadmap Calc (Don’t Touch)'!$G$2:$G$151,$AI65),""))</f>
        <v/>
      </c>
      <c r="F65" s="170" t="str">
        <f>IF($AI65="","",IF(ISNUMBER(INDEX('Roadmap Calc (Don’t Touch)'!$H$2:$H$151,$AI65)),INDEX('Roadmap Calc (Don’t Touch)'!$H$2:$H$151,$AI65),""))</f>
        <v/>
      </c>
      <c r="G65" s="171" t="str">
        <f>IF($AI65="","",INDEX('Roadmap Calc (Don’t Touch)'!$T$2:$T$151,$AI65))</f>
        <v/>
      </c>
      <c r="H65" s="172" t="str">
        <f>IF($AI65="","",IF(ISNUMBER(INDEX('Roadmap Calc (Don’t Touch)'!$I$2:$I$151,$AI65)),INDEX('Roadmap Calc (Don’t Touch)'!$I$2:$I$151,$AI65),""))</f>
        <v/>
      </c>
      <c r="I65" s="172" t="str">
        <f>IF($AI65="","",IF(ISNUMBER(INDEX('Roadmap Calc (Don’t Touch)'!$J$2:$J$151,$AI65)),INDEX('Roadmap Calc (Don’t Touch)'!$J$2:$J$151,$AI65),""))</f>
        <v/>
      </c>
      <c r="J65" s="173" t="str">
        <f>IF($AI65="","",IF(INDEX('Roadmap Calc (Don’t Touch)'!$AA$2:$AX$151,$AI65,1)&gt;0,IF(AND($H65&lt;&gt;"",$H65&lt;=EOMONTH(J$12,0),$I65&gt;=J$12),"BOTH","UX"),IF(AND($H65&lt;&gt;"",$H65&lt;=EOMONTH(J$12,0),$I65&gt;=J$12),"DEV","")))</f>
        <v/>
      </c>
      <c r="K65" s="173" t="str">
        <f>IF($AI65="","",IF(INDEX('Roadmap Calc (Don’t Touch)'!$AA$2:$AX$151,$AI65,2)&gt;0,IF(AND($H65&lt;&gt;"",$H65&lt;=EOMONTH(K$12,0),$I65&gt;=K$12),"BOTH","UX"),IF(AND($H65&lt;&gt;"",$H65&lt;=EOMONTH(K$12,0),$I65&gt;=K$12),"DEV","")))</f>
        <v/>
      </c>
      <c r="L65" s="173" t="str">
        <f>IF($AI65="","",IF(INDEX('Roadmap Calc (Don’t Touch)'!$AA$2:$AX$151,$AI65,3)&gt;0,IF(AND($H65&lt;&gt;"",$H65&lt;=EOMONTH(L$12,0),$I65&gt;=L$12),"BOTH","UX"),IF(AND($H65&lt;&gt;"",$H65&lt;=EOMONTH(L$12,0),$I65&gt;=L$12),"DEV","")))</f>
        <v/>
      </c>
      <c r="M65" s="173" t="str">
        <f>IF($AI65="","",IF(INDEX('Roadmap Calc (Don’t Touch)'!$AA$2:$AX$151,$AI65,4)&gt;0,IF(AND($H65&lt;&gt;"",$H65&lt;=EOMONTH(M$12,0),$I65&gt;=M$12),"BOTH","UX"),IF(AND($H65&lt;&gt;"",$H65&lt;=EOMONTH(M$12,0),$I65&gt;=M$12),"DEV","")))</f>
        <v/>
      </c>
      <c r="N65" s="173" t="str">
        <f>IF($AI65="","",IF(INDEX('Roadmap Calc (Don’t Touch)'!$AA$2:$AX$151,$AI65,5)&gt;0,IF(AND($H65&lt;&gt;"",$H65&lt;=EOMONTH(N$12,0),$I65&gt;=N$12),"BOTH","UX"),IF(AND($H65&lt;&gt;"",$H65&lt;=EOMONTH(N$12,0),$I65&gt;=N$12),"DEV","")))</f>
        <v/>
      </c>
      <c r="O65" s="173" t="str">
        <f>IF($AI65="","",IF(INDEX('Roadmap Calc (Don’t Touch)'!$AA$2:$AX$151,$AI65,6)&gt;0,IF(AND($H65&lt;&gt;"",$H65&lt;=EOMONTH(O$12,0),$I65&gt;=O$12),"BOTH","UX"),IF(AND($H65&lt;&gt;"",$H65&lt;=EOMONTH(O$12,0),$I65&gt;=O$12),"DEV","")))</f>
        <v/>
      </c>
      <c r="P65" s="173" t="str">
        <f>IF($AI65="","",IF(INDEX('Roadmap Calc (Don’t Touch)'!$AA$2:$AX$151,$AI65,7)&gt;0,IF(AND($H65&lt;&gt;"",$H65&lt;=EOMONTH(P$12,0),$I65&gt;=P$12),"BOTH","UX"),IF(AND($H65&lt;&gt;"",$H65&lt;=EOMONTH(P$12,0),$I65&gt;=P$12),"DEV","")))</f>
        <v/>
      </c>
      <c r="Q65" s="173" t="str">
        <f>IF($AI65="","",IF(INDEX('Roadmap Calc (Don’t Touch)'!$AA$2:$AX$151,$AI65,8)&gt;0,IF(AND($H65&lt;&gt;"",$H65&lt;=EOMONTH(Q$12,0),$I65&gt;=Q$12),"BOTH","UX"),IF(AND($H65&lt;&gt;"",$H65&lt;=EOMONTH(Q$12,0),$I65&gt;=Q$12),"DEV","")))</f>
        <v/>
      </c>
      <c r="R65" s="173" t="str">
        <f>IF($AI65="","",IF(INDEX('Roadmap Calc (Don’t Touch)'!$AA$2:$AX$151,$AI65,9)&gt;0,IF(AND($H65&lt;&gt;"",$H65&lt;=EOMONTH(R$12,0),$I65&gt;=R$12),"BOTH","UX"),IF(AND($H65&lt;&gt;"",$H65&lt;=EOMONTH(R$12,0),$I65&gt;=R$12),"DEV","")))</f>
        <v/>
      </c>
      <c r="S65" s="173" t="str">
        <f>IF($AI65="","",IF(INDEX('Roadmap Calc (Don’t Touch)'!$AA$2:$AX$151,$AI65,10)&gt;0,IF(AND($H65&lt;&gt;"",$H65&lt;=EOMONTH(S$12,0),$I65&gt;=S$12),"BOTH","UX"),IF(AND($H65&lt;&gt;"",$H65&lt;=EOMONTH(S$12,0),$I65&gt;=S$12),"DEV","")))</f>
        <v/>
      </c>
      <c r="T65" s="173" t="str">
        <f>IF($AI65="","",IF(INDEX('Roadmap Calc (Don’t Touch)'!$AA$2:$AX$151,$AI65,11)&gt;0,IF(AND($H65&lt;&gt;"",$H65&lt;=EOMONTH(T$12,0),$I65&gt;=T$12),"BOTH","UX"),IF(AND($H65&lt;&gt;"",$H65&lt;=EOMONTH(T$12,0),$I65&gt;=T$12),"DEV","")))</f>
        <v/>
      </c>
      <c r="U65" s="173" t="str">
        <f>IF($AI65="","",IF(INDEX('Roadmap Calc (Don’t Touch)'!$AA$2:$AX$151,$AI65,12)&gt;0,IF(AND($H65&lt;&gt;"",$H65&lt;=EOMONTH(U$12,0),$I65&gt;=U$12),"BOTH","UX"),IF(AND($H65&lt;&gt;"",$H65&lt;=EOMONTH(U$12,0),$I65&gt;=U$12),"DEV","")))</f>
        <v/>
      </c>
      <c r="V65" s="173" t="str">
        <f>IF($AI65="","",IF(INDEX('Roadmap Calc (Don’t Touch)'!$AA$2:$AX$151,$AI65,13)&gt;0,IF(AND($H65&lt;&gt;"",$H65&lt;=EOMONTH(V$12,0),$I65&gt;=V$12),"BOTH","UX"),IF(AND($H65&lt;&gt;"",$H65&lt;=EOMONTH(V$12,0),$I65&gt;=V$12),"DEV","")))</f>
        <v/>
      </c>
      <c r="W65" s="173" t="str">
        <f>IF($AI65="","",IF(INDEX('Roadmap Calc (Don’t Touch)'!$AA$2:$AX$151,$AI65,14)&gt;0,IF(AND($H65&lt;&gt;"",$H65&lt;=EOMONTH(W$12,0),$I65&gt;=W$12),"BOTH","UX"),IF(AND($H65&lt;&gt;"",$H65&lt;=EOMONTH(W$12,0),$I65&gt;=W$12),"DEV","")))</f>
        <v/>
      </c>
      <c r="X65" s="173" t="str">
        <f>IF($AI65="","",IF(INDEX('Roadmap Calc (Don’t Touch)'!$AA$2:$AX$151,$AI65,15)&gt;0,IF(AND($H65&lt;&gt;"",$H65&lt;=EOMONTH(X$12,0),$I65&gt;=X$12),"BOTH","UX"),IF(AND($H65&lt;&gt;"",$H65&lt;=EOMONTH(X$12,0),$I65&gt;=X$12),"DEV","")))</f>
        <v/>
      </c>
      <c r="Y65" s="173" t="str">
        <f>IF($AI65="","",IF(INDEX('Roadmap Calc (Don’t Touch)'!$AA$2:$AX$151,$AI65,16)&gt;0,IF(AND($H65&lt;&gt;"",$H65&lt;=EOMONTH(Y$12,0),$I65&gt;=Y$12),"BOTH","UX"),IF(AND($H65&lt;&gt;"",$H65&lt;=EOMONTH(Y$12,0),$I65&gt;=Y$12),"DEV","")))</f>
        <v/>
      </c>
      <c r="Z65" s="173" t="str">
        <f>IF($AI65="","",IF(INDEX('Roadmap Calc (Don’t Touch)'!$AA$2:$AX$151,$AI65,17)&gt;0,IF(AND($H65&lt;&gt;"",$H65&lt;=EOMONTH(Z$12,0),$I65&gt;=Z$12),"BOTH","UX"),IF(AND($H65&lt;&gt;"",$H65&lt;=EOMONTH(Z$12,0),$I65&gt;=Z$12),"DEV","")))</f>
        <v/>
      </c>
      <c r="AA65" s="173" t="str">
        <f>IF($AI65="","",IF(INDEX('Roadmap Calc (Don’t Touch)'!$AA$2:$AX$151,$AI65,18)&gt;0,IF(AND($H65&lt;&gt;"",$H65&lt;=EOMONTH(AA$12,0),$I65&gt;=AA$12),"BOTH","UX"),IF(AND($H65&lt;&gt;"",$H65&lt;=EOMONTH(AA$12,0),$I65&gt;=AA$12),"DEV","")))</f>
        <v/>
      </c>
      <c r="AB65" s="173" t="str">
        <f>IF($AI65="","",IF(INDEX('Roadmap Calc (Don’t Touch)'!$AA$2:$AX$151,$AI65,19)&gt;0,IF(AND($H65&lt;&gt;"",$H65&lt;=EOMONTH(AB$12,0),$I65&gt;=AB$12),"BOTH","UX"),IF(AND($H65&lt;&gt;"",$H65&lt;=EOMONTH(AB$12,0),$I65&gt;=AB$12),"DEV","")))</f>
        <v/>
      </c>
      <c r="AC65" s="173" t="str">
        <f>IF($AI65="","",IF(INDEX('Roadmap Calc (Don’t Touch)'!$AA$2:$AX$151,$AI65,20)&gt;0,IF(AND($H65&lt;&gt;"",$H65&lt;=EOMONTH(AC$12,0),$I65&gt;=AC$12),"BOTH","UX"),IF(AND($H65&lt;&gt;"",$H65&lt;=EOMONTH(AC$12,0),$I65&gt;=AC$12),"DEV","")))</f>
        <v/>
      </c>
      <c r="AD65" s="173" t="str">
        <f>IF($AI65="","",IF(INDEX('Roadmap Calc (Don’t Touch)'!$AA$2:$AX$151,$AI65,21)&gt;0,IF(AND($H65&lt;&gt;"",$H65&lt;=EOMONTH(AD$12,0),$I65&gt;=AD$12),"BOTH","UX"),IF(AND($H65&lt;&gt;"",$H65&lt;=EOMONTH(AD$12,0),$I65&gt;=AD$12),"DEV","")))</f>
        <v/>
      </c>
      <c r="AE65" s="173" t="str">
        <f>IF($AI65="","",IF(INDEX('Roadmap Calc (Don’t Touch)'!$AA$2:$AX$151,$AI65,22)&gt;0,IF(AND($H65&lt;&gt;"",$H65&lt;=EOMONTH(AE$12,0),$I65&gt;=AE$12),"BOTH","UX"),IF(AND($H65&lt;&gt;"",$H65&lt;=EOMONTH(AE$12,0),$I65&gt;=AE$12),"DEV","")))</f>
        <v/>
      </c>
      <c r="AF65" s="173" t="str">
        <f>IF($AI65="","",IF(INDEX('Roadmap Calc (Don’t Touch)'!$AA$2:$AX$151,$AI65,23)&gt;0,IF(AND($H65&lt;&gt;"",$H65&lt;=EOMONTH(AF$12,0),$I65&gt;=AF$12),"BOTH","UX"),IF(AND($H65&lt;&gt;"",$H65&lt;=EOMONTH(AF$12,0),$I65&gt;=AF$12),"DEV","")))</f>
        <v/>
      </c>
      <c r="AG65" s="173" t="str">
        <f>IF($AI65="","",IF(INDEX('Roadmap Calc (Don’t Touch)'!$AA$2:$AX$151,$AI65,24)&gt;0,IF(AND($H65&lt;&gt;"",$H65&lt;=EOMONTH(AG$12,0),$I65&gt;=AG$12),"BOTH","UX"),IF(AND($H65&lt;&gt;"",$H65&lt;=EOMONTH(AG$12,0),$I65&gt;=AG$12),"DEV","")))</f>
        <v/>
      </c>
      <c r="AH65" s="160" t="str">
        <f>IF($AI65="","",INDEX('Roadmap Calc (Don’t Touch)'!$D$2:$D$151,$AI65))</f>
        <v/>
      </c>
      <c r="AI65" s="160" t="str">
        <f>IFERROR(MATCH(50,'Roadmap Calc (Don’t Touch)'!$O$2:$O$151,0),"")</f>
        <v/>
      </c>
      <c r="AJ65" s="160"/>
      <c r="AK65" s="160"/>
      <c r="AL65" s="160"/>
      <c r="AM65" s="160"/>
    </row>
    <row r="66" spans="1:39" ht="17" customHeight="1" x14ac:dyDescent="0.25">
      <c r="A66" s="167" t="str">
        <f>IF($AI66="","",IF($AH66=$AH65,"",IF(INDEX('Roadmap Calc (Don’t Touch)'!$U$2:$U$151,$AI66)=0,$AH66,HYPERLINK("#'Control (Don’t Touch)'!E"&amp;INDEX('Roadmap Calc (Don’t Touch)'!$U$2:$U$151,$AI66),$AH66))))</f>
        <v/>
      </c>
      <c r="B66" s="168" t="str">
        <f>IF($AI66="","",IF(INDEX('Roadmap Calc (Don’t Touch)'!$K$2:$K$151,$AI66)="",INDEX('Roadmap Calc (Don’t Touch)'!$B$2:$B$151,$AI66),HYPERLINK("https://jira.bnh.com/browse/"&amp;INDEX('Roadmap Calc (Don’t Touch)'!$K$2:$K$151,$AI66),INDEX('Roadmap Calc (Don’t Touch)'!$B$2:$B$151,$AI66))))</f>
        <v/>
      </c>
      <c r="C66" s="168" t="str">
        <f>IF($AI66="","",IF(INDEX('Roadmap Calc (Don’t Touch)'!$E$2:$E$151,$AI66)="","",HYPERLINK("https://jira.bnh.com/browse/"&amp;INDEX('Roadmap Calc (Don’t Touch)'!$E$2:$E$151,$AI66),INDEX('Roadmap Calc (Don’t Touch)'!$E$2:$E$151,$AI66))))</f>
        <v/>
      </c>
      <c r="D66" s="175" t="str">
        <f>IF($AI66="","",INDEX('Roadmap Calc (Don’t Touch)'!$F$2:$F$151,$AI66))</f>
        <v/>
      </c>
      <c r="E66" s="170" t="str">
        <f>IF($AI66="","",IF(ISNUMBER(INDEX('Roadmap Calc (Don’t Touch)'!$G$2:$G$151,$AI66)),INDEX('Roadmap Calc (Don’t Touch)'!$G$2:$G$151,$AI66),""))</f>
        <v/>
      </c>
      <c r="F66" s="170" t="str">
        <f>IF($AI66="","",IF(ISNUMBER(INDEX('Roadmap Calc (Don’t Touch)'!$H$2:$H$151,$AI66)),INDEX('Roadmap Calc (Don’t Touch)'!$H$2:$H$151,$AI66),""))</f>
        <v/>
      </c>
      <c r="G66" s="171" t="str">
        <f>IF($AI66="","",INDEX('Roadmap Calc (Don’t Touch)'!$T$2:$T$151,$AI66))</f>
        <v/>
      </c>
      <c r="H66" s="172" t="str">
        <f>IF($AI66="","",IF(ISNUMBER(INDEX('Roadmap Calc (Don’t Touch)'!$I$2:$I$151,$AI66)),INDEX('Roadmap Calc (Don’t Touch)'!$I$2:$I$151,$AI66),""))</f>
        <v/>
      </c>
      <c r="I66" s="172" t="str">
        <f>IF($AI66="","",IF(ISNUMBER(INDEX('Roadmap Calc (Don’t Touch)'!$J$2:$J$151,$AI66)),INDEX('Roadmap Calc (Don’t Touch)'!$J$2:$J$151,$AI66),""))</f>
        <v/>
      </c>
      <c r="J66" s="173" t="str">
        <f>IF($AI66="","",IF(INDEX('Roadmap Calc (Don’t Touch)'!$AA$2:$AX$151,$AI66,1)&gt;0,IF(AND($H66&lt;&gt;"",$H66&lt;=EOMONTH(J$12,0),$I66&gt;=J$12),"BOTH","UX"),IF(AND($H66&lt;&gt;"",$H66&lt;=EOMONTH(J$12,0),$I66&gt;=J$12),"DEV","")))</f>
        <v/>
      </c>
      <c r="K66" s="173" t="str">
        <f>IF($AI66="","",IF(INDEX('Roadmap Calc (Don’t Touch)'!$AA$2:$AX$151,$AI66,2)&gt;0,IF(AND($H66&lt;&gt;"",$H66&lt;=EOMONTH(K$12,0),$I66&gt;=K$12),"BOTH","UX"),IF(AND($H66&lt;&gt;"",$H66&lt;=EOMONTH(K$12,0),$I66&gt;=K$12),"DEV","")))</f>
        <v/>
      </c>
      <c r="L66" s="173" t="str">
        <f>IF($AI66="","",IF(INDEX('Roadmap Calc (Don’t Touch)'!$AA$2:$AX$151,$AI66,3)&gt;0,IF(AND($H66&lt;&gt;"",$H66&lt;=EOMONTH(L$12,0),$I66&gt;=L$12),"BOTH","UX"),IF(AND($H66&lt;&gt;"",$H66&lt;=EOMONTH(L$12,0),$I66&gt;=L$12),"DEV","")))</f>
        <v/>
      </c>
      <c r="M66" s="173" t="str">
        <f>IF($AI66="","",IF(INDEX('Roadmap Calc (Don’t Touch)'!$AA$2:$AX$151,$AI66,4)&gt;0,IF(AND($H66&lt;&gt;"",$H66&lt;=EOMONTH(M$12,0),$I66&gt;=M$12),"BOTH","UX"),IF(AND($H66&lt;&gt;"",$H66&lt;=EOMONTH(M$12,0),$I66&gt;=M$12),"DEV","")))</f>
        <v/>
      </c>
      <c r="N66" s="173" t="str">
        <f>IF($AI66="","",IF(INDEX('Roadmap Calc (Don’t Touch)'!$AA$2:$AX$151,$AI66,5)&gt;0,IF(AND($H66&lt;&gt;"",$H66&lt;=EOMONTH(N$12,0),$I66&gt;=N$12),"BOTH","UX"),IF(AND($H66&lt;&gt;"",$H66&lt;=EOMONTH(N$12,0),$I66&gt;=N$12),"DEV","")))</f>
        <v/>
      </c>
      <c r="O66" s="173" t="str">
        <f>IF($AI66="","",IF(INDEX('Roadmap Calc (Don’t Touch)'!$AA$2:$AX$151,$AI66,6)&gt;0,IF(AND($H66&lt;&gt;"",$H66&lt;=EOMONTH(O$12,0),$I66&gt;=O$12),"BOTH","UX"),IF(AND($H66&lt;&gt;"",$H66&lt;=EOMONTH(O$12,0),$I66&gt;=O$12),"DEV","")))</f>
        <v/>
      </c>
      <c r="P66" s="173" t="str">
        <f>IF($AI66="","",IF(INDEX('Roadmap Calc (Don’t Touch)'!$AA$2:$AX$151,$AI66,7)&gt;0,IF(AND($H66&lt;&gt;"",$H66&lt;=EOMONTH(P$12,0),$I66&gt;=P$12),"BOTH","UX"),IF(AND($H66&lt;&gt;"",$H66&lt;=EOMONTH(P$12,0),$I66&gt;=P$12),"DEV","")))</f>
        <v/>
      </c>
      <c r="Q66" s="173" t="str">
        <f>IF($AI66="","",IF(INDEX('Roadmap Calc (Don’t Touch)'!$AA$2:$AX$151,$AI66,8)&gt;0,IF(AND($H66&lt;&gt;"",$H66&lt;=EOMONTH(Q$12,0),$I66&gt;=Q$12),"BOTH","UX"),IF(AND($H66&lt;&gt;"",$H66&lt;=EOMONTH(Q$12,0),$I66&gt;=Q$12),"DEV","")))</f>
        <v/>
      </c>
      <c r="R66" s="173" t="str">
        <f>IF($AI66="","",IF(INDEX('Roadmap Calc (Don’t Touch)'!$AA$2:$AX$151,$AI66,9)&gt;0,IF(AND($H66&lt;&gt;"",$H66&lt;=EOMONTH(R$12,0),$I66&gt;=R$12),"BOTH","UX"),IF(AND($H66&lt;&gt;"",$H66&lt;=EOMONTH(R$12,0),$I66&gt;=R$12),"DEV","")))</f>
        <v/>
      </c>
      <c r="S66" s="173" t="str">
        <f>IF($AI66="","",IF(INDEX('Roadmap Calc (Don’t Touch)'!$AA$2:$AX$151,$AI66,10)&gt;0,IF(AND($H66&lt;&gt;"",$H66&lt;=EOMONTH(S$12,0),$I66&gt;=S$12),"BOTH","UX"),IF(AND($H66&lt;&gt;"",$H66&lt;=EOMONTH(S$12,0),$I66&gt;=S$12),"DEV","")))</f>
        <v/>
      </c>
      <c r="T66" s="173" t="str">
        <f>IF($AI66="","",IF(INDEX('Roadmap Calc (Don’t Touch)'!$AA$2:$AX$151,$AI66,11)&gt;0,IF(AND($H66&lt;&gt;"",$H66&lt;=EOMONTH(T$12,0),$I66&gt;=T$12),"BOTH","UX"),IF(AND($H66&lt;&gt;"",$H66&lt;=EOMONTH(T$12,0),$I66&gt;=T$12),"DEV","")))</f>
        <v/>
      </c>
      <c r="U66" s="173" t="str">
        <f>IF($AI66="","",IF(INDEX('Roadmap Calc (Don’t Touch)'!$AA$2:$AX$151,$AI66,12)&gt;0,IF(AND($H66&lt;&gt;"",$H66&lt;=EOMONTH(U$12,0),$I66&gt;=U$12),"BOTH","UX"),IF(AND($H66&lt;&gt;"",$H66&lt;=EOMONTH(U$12,0),$I66&gt;=U$12),"DEV","")))</f>
        <v/>
      </c>
      <c r="V66" s="173" t="str">
        <f>IF($AI66="","",IF(INDEX('Roadmap Calc (Don’t Touch)'!$AA$2:$AX$151,$AI66,13)&gt;0,IF(AND($H66&lt;&gt;"",$H66&lt;=EOMONTH(V$12,0),$I66&gt;=V$12),"BOTH","UX"),IF(AND($H66&lt;&gt;"",$H66&lt;=EOMONTH(V$12,0),$I66&gt;=V$12),"DEV","")))</f>
        <v/>
      </c>
      <c r="W66" s="173" t="str">
        <f>IF($AI66="","",IF(INDEX('Roadmap Calc (Don’t Touch)'!$AA$2:$AX$151,$AI66,14)&gt;0,IF(AND($H66&lt;&gt;"",$H66&lt;=EOMONTH(W$12,0),$I66&gt;=W$12),"BOTH","UX"),IF(AND($H66&lt;&gt;"",$H66&lt;=EOMONTH(W$12,0),$I66&gt;=W$12),"DEV","")))</f>
        <v/>
      </c>
      <c r="X66" s="173" t="str">
        <f>IF($AI66="","",IF(INDEX('Roadmap Calc (Don’t Touch)'!$AA$2:$AX$151,$AI66,15)&gt;0,IF(AND($H66&lt;&gt;"",$H66&lt;=EOMONTH(X$12,0),$I66&gt;=X$12),"BOTH","UX"),IF(AND($H66&lt;&gt;"",$H66&lt;=EOMONTH(X$12,0),$I66&gt;=X$12),"DEV","")))</f>
        <v/>
      </c>
      <c r="Y66" s="173" t="str">
        <f>IF($AI66="","",IF(INDEX('Roadmap Calc (Don’t Touch)'!$AA$2:$AX$151,$AI66,16)&gt;0,IF(AND($H66&lt;&gt;"",$H66&lt;=EOMONTH(Y$12,0),$I66&gt;=Y$12),"BOTH","UX"),IF(AND($H66&lt;&gt;"",$H66&lt;=EOMONTH(Y$12,0),$I66&gt;=Y$12),"DEV","")))</f>
        <v/>
      </c>
      <c r="Z66" s="173" t="str">
        <f>IF($AI66="","",IF(INDEX('Roadmap Calc (Don’t Touch)'!$AA$2:$AX$151,$AI66,17)&gt;0,IF(AND($H66&lt;&gt;"",$H66&lt;=EOMONTH(Z$12,0),$I66&gt;=Z$12),"BOTH","UX"),IF(AND($H66&lt;&gt;"",$H66&lt;=EOMONTH(Z$12,0),$I66&gt;=Z$12),"DEV","")))</f>
        <v/>
      </c>
      <c r="AA66" s="173" t="str">
        <f>IF($AI66="","",IF(INDEX('Roadmap Calc (Don’t Touch)'!$AA$2:$AX$151,$AI66,18)&gt;0,IF(AND($H66&lt;&gt;"",$H66&lt;=EOMONTH(AA$12,0),$I66&gt;=AA$12),"BOTH","UX"),IF(AND($H66&lt;&gt;"",$H66&lt;=EOMONTH(AA$12,0),$I66&gt;=AA$12),"DEV","")))</f>
        <v/>
      </c>
      <c r="AB66" s="173" t="str">
        <f>IF($AI66="","",IF(INDEX('Roadmap Calc (Don’t Touch)'!$AA$2:$AX$151,$AI66,19)&gt;0,IF(AND($H66&lt;&gt;"",$H66&lt;=EOMONTH(AB$12,0),$I66&gt;=AB$12),"BOTH","UX"),IF(AND($H66&lt;&gt;"",$H66&lt;=EOMONTH(AB$12,0),$I66&gt;=AB$12),"DEV","")))</f>
        <v/>
      </c>
      <c r="AC66" s="173" t="str">
        <f>IF($AI66="","",IF(INDEX('Roadmap Calc (Don’t Touch)'!$AA$2:$AX$151,$AI66,20)&gt;0,IF(AND($H66&lt;&gt;"",$H66&lt;=EOMONTH(AC$12,0),$I66&gt;=AC$12),"BOTH","UX"),IF(AND($H66&lt;&gt;"",$H66&lt;=EOMONTH(AC$12,0),$I66&gt;=AC$12),"DEV","")))</f>
        <v/>
      </c>
      <c r="AD66" s="173" t="str">
        <f>IF($AI66="","",IF(INDEX('Roadmap Calc (Don’t Touch)'!$AA$2:$AX$151,$AI66,21)&gt;0,IF(AND($H66&lt;&gt;"",$H66&lt;=EOMONTH(AD$12,0),$I66&gt;=AD$12),"BOTH","UX"),IF(AND($H66&lt;&gt;"",$H66&lt;=EOMONTH(AD$12,0),$I66&gt;=AD$12),"DEV","")))</f>
        <v/>
      </c>
      <c r="AE66" s="173" t="str">
        <f>IF($AI66="","",IF(INDEX('Roadmap Calc (Don’t Touch)'!$AA$2:$AX$151,$AI66,22)&gt;0,IF(AND($H66&lt;&gt;"",$H66&lt;=EOMONTH(AE$12,0),$I66&gt;=AE$12),"BOTH","UX"),IF(AND($H66&lt;&gt;"",$H66&lt;=EOMONTH(AE$12,0),$I66&gt;=AE$12),"DEV","")))</f>
        <v/>
      </c>
      <c r="AF66" s="173" t="str">
        <f>IF($AI66="","",IF(INDEX('Roadmap Calc (Don’t Touch)'!$AA$2:$AX$151,$AI66,23)&gt;0,IF(AND($H66&lt;&gt;"",$H66&lt;=EOMONTH(AF$12,0),$I66&gt;=AF$12),"BOTH","UX"),IF(AND($H66&lt;&gt;"",$H66&lt;=EOMONTH(AF$12,0),$I66&gt;=AF$12),"DEV","")))</f>
        <v/>
      </c>
      <c r="AG66" s="173" t="str">
        <f>IF($AI66="","",IF(INDEX('Roadmap Calc (Don’t Touch)'!$AA$2:$AX$151,$AI66,24)&gt;0,IF(AND($H66&lt;&gt;"",$H66&lt;=EOMONTH(AG$12,0),$I66&gt;=AG$12),"BOTH","UX"),IF(AND($H66&lt;&gt;"",$H66&lt;=EOMONTH(AG$12,0),$I66&gt;=AG$12),"DEV","")))</f>
        <v/>
      </c>
      <c r="AH66" s="160" t="str">
        <f>IF($AI66="","",INDEX('Roadmap Calc (Don’t Touch)'!$D$2:$D$151,$AI66))</f>
        <v/>
      </c>
      <c r="AI66" s="160" t="str">
        <f>IFERROR(MATCH(51,'Roadmap Calc (Don’t Touch)'!$O$2:$O$151,0),"")</f>
        <v/>
      </c>
      <c r="AJ66" s="160"/>
      <c r="AK66" s="160"/>
      <c r="AL66" s="160"/>
      <c r="AM66" s="160"/>
    </row>
    <row r="67" spans="1:39" ht="17" customHeight="1" x14ac:dyDescent="0.25">
      <c r="A67" s="167" t="str">
        <f>IF($AI67="","",IF($AH67=$AH66,"",IF(INDEX('Roadmap Calc (Don’t Touch)'!$U$2:$U$151,$AI67)=0,$AH67,HYPERLINK("#'Control (Don’t Touch)'!E"&amp;INDEX('Roadmap Calc (Don’t Touch)'!$U$2:$U$151,$AI67),$AH67))))</f>
        <v/>
      </c>
      <c r="B67" s="168" t="str">
        <f>IF($AI67="","",IF(INDEX('Roadmap Calc (Don’t Touch)'!$K$2:$K$151,$AI67)="",INDEX('Roadmap Calc (Don’t Touch)'!$B$2:$B$151,$AI67),HYPERLINK("https://jira.bnh.com/browse/"&amp;INDEX('Roadmap Calc (Don’t Touch)'!$K$2:$K$151,$AI67),INDEX('Roadmap Calc (Don’t Touch)'!$B$2:$B$151,$AI67))))</f>
        <v/>
      </c>
      <c r="C67" s="168" t="str">
        <f>IF($AI67="","",IF(INDEX('Roadmap Calc (Don’t Touch)'!$E$2:$E$151,$AI67)="","",HYPERLINK("https://jira.bnh.com/browse/"&amp;INDEX('Roadmap Calc (Don’t Touch)'!$E$2:$E$151,$AI67),INDEX('Roadmap Calc (Don’t Touch)'!$E$2:$E$151,$AI67))))</f>
        <v/>
      </c>
      <c r="D67" s="175" t="str">
        <f>IF($AI67="","",INDEX('Roadmap Calc (Don’t Touch)'!$F$2:$F$151,$AI67))</f>
        <v/>
      </c>
      <c r="E67" s="170" t="str">
        <f>IF($AI67="","",IF(ISNUMBER(INDEX('Roadmap Calc (Don’t Touch)'!$G$2:$G$151,$AI67)),INDEX('Roadmap Calc (Don’t Touch)'!$G$2:$G$151,$AI67),""))</f>
        <v/>
      </c>
      <c r="F67" s="170" t="str">
        <f>IF($AI67="","",IF(ISNUMBER(INDEX('Roadmap Calc (Don’t Touch)'!$H$2:$H$151,$AI67)),INDEX('Roadmap Calc (Don’t Touch)'!$H$2:$H$151,$AI67),""))</f>
        <v/>
      </c>
      <c r="G67" s="171" t="str">
        <f>IF($AI67="","",INDEX('Roadmap Calc (Don’t Touch)'!$T$2:$T$151,$AI67))</f>
        <v/>
      </c>
      <c r="H67" s="172" t="str">
        <f>IF($AI67="","",IF(ISNUMBER(INDEX('Roadmap Calc (Don’t Touch)'!$I$2:$I$151,$AI67)),INDEX('Roadmap Calc (Don’t Touch)'!$I$2:$I$151,$AI67),""))</f>
        <v/>
      </c>
      <c r="I67" s="172" t="str">
        <f>IF($AI67="","",IF(ISNUMBER(INDEX('Roadmap Calc (Don’t Touch)'!$J$2:$J$151,$AI67)),INDEX('Roadmap Calc (Don’t Touch)'!$J$2:$J$151,$AI67),""))</f>
        <v/>
      </c>
      <c r="J67" s="173" t="str">
        <f>IF($AI67="","",IF(INDEX('Roadmap Calc (Don’t Touch)'!$AA$2:$AX$151,$AI67,1)&gt;0,IF(AND($H67&lt;&gt;"",$H67&lt;=EOMONTH(J$12,0),$I67&gt;=J$12),"BOTH","UX"),IF(AND($H67&lt;&gt;"",$H67&lt;=EOMONTH(J$12,0),$I67&gt;=J$12),"DEV","")))</f>
        <v/>
      </c>
      <c r="K67" s="173" t="str">
        <f>IF($AI67="","",IF(INDEX('Roadmap Calc (Don’t Touch)'!$AA$2:$AX$151,$AI67,2)&gt;0,IF(AND($H67&lt;&gt;"",$H67&lt;=EOMONTH(K$12,0),$I67&gt;=K$12),"BOTH","UX"),IF(AND($H67&lt;&gt;"",$H67&lt;=EOMONTH(K$12,0),$I67&gt;=K$12),"DEV","")))</f>
        <v/>
      </c>
      <c r="L67" s="173" t="str">
        <f>IF($AI67="","",IF(INDEX('Roadmap Calc (Don’t Touch)'!$AA$2:$AX$151,$AI67,3)&gt;0,IF(AND($H67&lt;&gt;"",$H67&lt;=EOMONTH(L$12,0),$I67&gt;=L$12),"BOTH","UX"),IF(AND($H67&lt;&gt;"",$H67&lt;=EOMONTH(L$12,0),$I67&gt;=L$12),"DEV","")))</f>
        <v/>
      </c>
      <c r="M67" s="173" t="str">
        <f>IF($AI67="","",IF(INDEX('Roadmap Calc (Don’t Touch)'!$AA$2:$AX$151,$AI67,4)&gt;0,IF(AND($H67&lt;&gt;"",$H67&lt;=EOMONTH(M$12,0),$I67&gt;=M$12),"BOTH","UX"),IF(AND($H67&lt;&gt;"",$H67&lt;=EOMONTH(M$12,0),$I67&gt;=M$12),"DEV","")))</f>
        <v/>
      </c>
      <c r="N67" s="173" t="str">
        <f>IF($AI67="","",IF(INDEX('Roadmap Calc (Don’t Touch)'!$AA$2:$AX$151,$AI67,5)&gt;0,IF(AND($H67&lt;&gt;"",$H67&lt;=EOMONTH(N$12,0),$I67&gt;=N$12),"BOTH","UX"),IF(AND($H67&lt;&gt;"",$H67&lt;=EOMONTH(N$12,0),$I67&gt;=N$12),"DEV","")))</f>
        <v/>
      </c>
      <c r="O67" s="173" t="str">
        <f>IF($AI67="","",IF(INDEX('Roadmap Calc (Don’t Touch)'!$AA$2:$AX$151,$AI67,6)&gt;0,IF(AND($H67&lt;&gt;"",$H67&lt;=EOMONTH(O$12,0),$I67&gt;=O$12),"BOTH","UX"),IF(AND($H67&lt;&gt;"",$H67&lt;=EOMONTH(O$12,0),$I67&gt;=O$12),"DEV","")))</f>
        <v/>
      </c>
      <c r="P67" s="173" t="str">
        <f>IF($AI67="","",IF(INDEX('Roadmap Calc (Don’t Touch)'!$AA$2:$AX$151,$AI67,7)&gt;0,IF(AND($H67&lt;&gt;"",$H67&lt;=EOMONTH(P$12,0),$I67&gt;=P$12),"BOTH","UX"),IF(AND($H67&lt;&gt;"",$H67&lt;=EOMONTH(P$12,0),$I67&gt;=P$12),"DEV","")))</f>
        <v/>
      </c>
      <c r="Q67" s="173" t="str">
        <f>IF($AI67="","",IF(INDEX('Roadmap Calc (Don’t Touch)'!$AA$2:$AX$151,$AI67,8)&gt;0,IF(AND($H67&lt;&gt;"",$H67&lt;=EOMONTH(Q$12,0),$I67&gt;=Q$12),"BOTH","UX"),IF(AND($H67&lt;&gt;"",$H67&lt;=EOMONTH(Q$12,0),$I67&gt;=Q$12),"DEV","")))</f>
        <v/>
      </c>
      <c r="R67" s="173" t="str">
        <f>IF($AI67="","",IF(INDEX('Roadmap Calc (Don’t Touch)'!$AA$2:$AX$151,$AI67,9)&gt;0,IF(AND($H67&lt;&gt;"",$H67&lt;=EOMONTH(R$12,0),$I67&gt;=R$12),"BOTH","UX"),IF(AND($H67&lt;&gt;"",$H67&lt;=EOMONTH(R$12,0),$I67&gt;=R$12),"DEV","")))</f>
        <v/>
      </c>
      <c r="S67" s="173" t="str">
        <f>IF($AI67="","",IF(INDEX('Roadmap Calc (Don’t Touch)'!$AA$2:$AX$151,$AI67,10)&gt;0,IF(AND($H67&lt;&gt;"",$H67&lt;=EOMONTH(S$12,0),$I67&gt;=S$12),"BOTH","UX"),IF(AND($H67&lt;&gt;"",$H67&lt;=EOMONTH(S$12,0),$I67&gt;=S$12),"DEV","")))</f>
        <v/>
      </c>
      <c r="T67" s="173" t="str">
        <f>IF($AI67="","",IF(INDEX('Roadmap Calc (Don’t Touch)'!$AA$2:$AX$151,$AI67,11)&gt;0,IF(AND($H67&lt;&gt;"",$H67&lt;=EOMONTH(T$12,0),$I67&gt;=T$12),"BOTH","UX"),IF(AND($H67&lt;&gt;"",$H67&lt;=EOMONTH(T$12,0),$I67&gt;=T$12),"DEV","")))</f>
        <v/>
      </c>
      <c r="U67" s="173" t="str">
        <f>IF($AI67="","",IF(INDEX('Roadmap Calc (Don’t Touch)'!$AA$2:$AX$151,$AI67,12)&gt;0,IF(AND($H67&lt;&gt;"",$H67&lt;=EOMONTH(U$12,0),$I67&gt;=U$12),"BOTH","UX"),IF(AND($H67&lt;&gt;"",$H67&lt;=EOMONTH(U$12,0),$I67&gt;=U$12),"DEV","")))</f>
        <v/>
      </c>
      <c r="V67" s="173" t="str">
        <f>IF($AI67="","",IF(INDEX('Roadmap Calc (Don’t Touch)'!$AA$2:$AX$151,$AI67,13)&gt;0,IF(AND($H67&lt;&gt;"",$H67&lt;=EOMONTH(V$12,0),$I67&gt;=V$12),"BOTH","UX"),IF(AND($H67&lt;&gt;"",$H67&lt;=EOMONTH(V$12,0),$I67&gt;=V$12),"DEV","")))</f>
        <v/>
      </c>
      <c r="W67" s="173" t="str">
        <f>IF($AI67="","",IF(INDEX('Roadmap Calc (Don’t Touch)'!$AA$2:$AX$151,$AI67,14)&gt;0,IF(AND($H67&lt;&gt;"",$H67&lt;=EOMONTH(W$12,0),$I67&gt;=W$12),"BOTH","UX"),IF(AND($H67&lt;&gt;"",$H67&lt;=EOMONTH(W$12,0),$I67&gt;=W$12),"DEV","")))</f>
        <v/>
      </c>
      <c r="X67" s="173" t="str">
        <f>IF($AI67="","",IF(INDEX('Roadmap Calc (Don’t Touch)'!$AA$2:$AX$151,$AI67,15)&gt;0,IF(AND($H67&lt;&gt;"",$H67&lt;=EOMONTH(X$12,0),$I67&gt;=X$12),"BOTH","UX"),IF(AND($H67&lt;&gt;"",$H67&lt;=EOMONTH(X$12,0),$I67&gt;=X$12),"DEV","")))</f>
        <v/>
      </c>
      <c r="Y67" s="173" t="str">
        <f>IF($AI67="","",IF(INDEX('Roadmap Calc (Don’t Touch)'!$AA$2:$AX$151,$AI67,16)&gt;0,IF(AND($H67&lt;&gt;"",$H67&lt;=EOMONTH(Y$12,0),$I67&gt;=Y$12),"BOTH","UX"),IF(AND($H67&lt;&gt;"",$H67&lt;=EOMONTH(Y$12,0),$I67&gt;=Y$12),"DEV","")))</f>
        <v/>
      </c>
      <c r="Z67" s="173" t="str">
        <f>IF($AI67="","",IF(INDEX('Roadmap Calc (Don’t Touch)'!$AA$2:$AX$151,$AI67,17)&gt;0,IF(AND($H67&lt;&gt;"",$H67&lt;=EOMONTH(Z$12,0),$I67&gt;=Z$12),"BOTH","UX"),IF(AND($H67&lt;&gt;"",$H67&lt;=EOMONTH(Z$12,0),$I67&gt;=Z$12),"DEV","")))</f>
        <v/>
      </c>
      <c r="AA67" s="173" t="str">
        <f>IF($AI67="","",IF(INDEX('Roadmap Calc (Don’t Touch)'!$AA$2:$AX$151,$AI67,18)&gt;0,IF(AND($H67&lt;&gt;"",$H67&lt;=EOMONTH(AA$12,0),$I67&gt;=AA$12),"BOTH","UX"),IF(AND($H67&lt;&gt;"",$H67&lt;=EOMONTH(AA$12,0),$I67&gt;=AA$12),"DEV","")))</f>
        <v/>
      </c>
      <c r="AB67" s="173" t="str">
        <f>IF($AI67="","",IF(INDEX('Roadmap Calc (Don’t Touch)'!$AA$2:$AX$151,$AI67,19)&gt;0,IF(AND($H67&lt;&gt;"",$H67&lt;=EOMONTH(AB$12,0),$I67&gt;=AB$12),"BOTH","UX"),IF(AND($H67&lt;&gt;"",$H67&lt;=EOMONTH(AB$12,0),$I67&gt;=AB$12),"DEV","")))</f>
        <v/>
      </c>
      <c r="AC67" s="173" t="str">
        <f>IF($AI67="","",IF(INDEX('Roadmap Calc (Don’t Touch)'!$AA$2:$AX$151,$AI67,20)&gt;0,IF(AND($H67&lt;&gt;"",$H67&lt;=EOMONTH(AC$12,0),$I67&gt;=AC$12),"BOTH","UX"),IF(AND($H67&lt;&gt;"",$H67&lt;=EOMONTH(AC$12,0),$I67&gt;=AC$12),"DEV","")))</f>
        <v/>
      </c>
      <c r="AD67" s="173" t="str">
        <f>IF($AI67="","",IF(INDEX('Roadmap Calc (Don’t Touch)'!$AA$2:$AX$151,$AI67,21)&gt;0,IF(AND($H67&lt;&gt;"",$H67&lt;=EOMONTH(AD$12,0),$I67&gt;=AD$12),"BOTH","UX"),IF(AND($H67&lt;&gt;"",$H67&lt;=EOMONTH(AD$12,0),$I67&gt;=AD$12),"DEV","")))</f>
        <v/>
      </c>
      <c r="AE67" s="173" t="str">
        <f>IF($AI67="","",IF(INDEX('Roadmap Calc (Don’t Touch)'!$AA$2:$AX$151,$AI67,22)&gt;0,IF(AND($H67&lt;&gt;"",$H67&lt;=EOMONTH(AE$12,0),$I67&gt;=AE$12),"BOTH","UX"),IF(AND($H67&lt;&gt;"",$H67&lt;=EOMONTH(AE$12,0),$I67&gt;=AE$12),"DEV","")))</f>
        <v/>
      </c>
      <c r="AF67" s="173" t="str">
        <f>IF($AI67="","",IF(INDEX('Roadmap Calc (Don’t Touch)'!$AA$2:$AX$151,$AI67,23)&gt;0,IF(AND($H67&lt;&gt;"",$H67&lt;=EOMONTH(AF$12,0),$I67&gt;=AF$12),"BOTH","UX"),IF(AND($H67&lt;&gt;"",$H67&lt;=EOMONTH(AF$12,0),$I67&gt;=AF$12),"DEV","")))</f>
        <v/>
      </c>
      <c r="AG67" s="173" t="str">
        <f>IF($AI67="","",IF(INDEX('Roadmap Calc (Don’t Touch)'!$AA$2:$AX$151,$AI67,24)&gt;0,IF(AND($H67&lt;&gt;"",$H67&lt;=EOMONTH(AG$12,0),$I67&gt;=AG$12),"BOTH","UX"),IF(AND($H67&lt;&gt;"",$H67&lt;=EOMONTH(AG$12,0),$I67&gt;=AG$12),"DEV","")))</f>
        <v/>
      </c>
      <c r="AH67" s="160" t="str">
        <f>IF($AI67="","",INDEX('Roadmap Calc (Don’t Touch)'!$D$2:$D$151,$AI67))</f>
        <v/>
      </c>
      <c r="AI67" s="160" t="str">
        <f>IFERROR(MATCH(52,'Roadmap Calc (Don’t Touch)'!$O$2:$O$151,0),"")</f>
        <v/>
      </c>
      <c r="AJ67" s="160"/>
      <c r="AK67" s="160"/>
      <c r="AL67" s="160"/>
      <c r="AM67" s="160"/>
    </row>
    <row r="68" spans="1:39" ht="17" customHeight="1" x14ac:dyDescent="0.25">
      <c r="A68" s="167" t="str">
        <f>IF($AI68="","",IF($AH68=$AH67,"",IF(INDEX('Roadmap Calc (Don’t Touch)'!$U$2:$U$151,$AI68)=0,$AH68,HYPERLINK("#'Control (Don’t Touch)'!E"&amp;INDEX('Roadmap Calc (Don’t Touch)'!$U$2:$U$151,$AI68),$AH68))))</f>
        <v/>
      </c>
      <c r="B68" s="168" t="str">
        <f>IF($AI68="","",IF(INDEX('Roadmap Calc (Don’t Touch)'!$K$2:$K$151,$AI68)="",INDEX('Roadmap Calc (Don’t Touch)'!$B$2:$B$151,$AI68),HYPERLINK("https://jira.bnh.com/browse/"&amp;INDEX('Roadmap Calc (Don’t Touch)'!$K$2:$K$151,$AI68),INDEX('Roadmap Calc (Don’t Touch)'!$B$2:$B$151,$AI68))))</f>
        <v/>
      </c>
      <c r="C68" s="168" t="str">
        <f>IF($AI68="","",IF(INDEX('Roadmap Calc (Don’t Touch)'!$E$2:$E$151,$AI68)="","",HYPERLINK("https://jira.bnh.com/browse/"&amp;INDEX('Roadmap Calc (Don’t Touch)'!$E$2:$E$151,$AI68),INDEX('Roadmap Calc (Don’t Touch)'!$E$2:$E$151,$AI68))))</f>
        <v/>
      </c>
      <c r="D68" s="175" t="str">
        <f>IF($AI68="","",INDEX('Roadmap Calc (Don’t Touch)'!$F$2:$F$151,$AI68))</f>
        <v/>
      </c>
      <c r="E68" s="170" t="str">
        <f>IF($AI68="","",IF(ISNUMBER(INDEX('Roadmap Calc (Don’t Touch)'!$G$2:$G$151,$AI68)),INDEX('Roadmap Calc (Don’t Touch)'!$G$2:$G$151,$AI68),""))</f>
        <v/>
      </c>
      <c r="F68" s="170" t="str">
        <f>IF($AI68="","",IF(ISNUMBER(INDEX('Roadmap Calc (Don’t Touch)'!$H$2:$H$151,$AI68)),INDEX('Roadmap Calc (Don’t Touch)'!$H$2:$H$151,$AI68),""))</f>
        <v/>
      </c>
      <c r="G68" s="171" t="str">
        <f>IF($AI68="","",INDEX('Roadmap Calc (Don’t Touch)'!$T$2:$T$151,$AI68))</f>
        <v/>
      </c>
      <c r="H68" s="172" t="str">
        <f>IF($AI68="","",IF(ISNUMBER(INDEX('Roadmap Calc (Don’t Touch)'!$I$2:$I$151,$AI68)),INDEX('Roadmap Calc (Don’t Touch)'!$I$2:$I$151,$AI68),""))</f>
        <v/>
      </c>
      <c r="I68" s="172" t="str">
        <f>IF($AI68="","",IF(ISNUMBER(INDEX('Roadmap Calc (Don’t Touch)'!$J$2:$J$151,$AI68)),INDEX('Roadmap Calc (Don’t Touch)'!$J$2:$J$151,$AI68),""))</f>
        <v/>
      </c>
      <c r="J68" s="173" t="str">
        <f>IF($AI68="","",IF(INDEX('Roadmap Calc (Don’t Touch)'!$AA$2:$AX$151,$AI68,1)&gt;0,IF(AND($H68&lt;&gt;"",$H68&lt;=EOMONTH(J$12,0),$I68&gt;=J$12),"BOTH","UX"),IF(AND($H68&lt;&gt;"",$H68&lt;=EOMONTH(J$12,0),$I68&gt;=J$12),"DEV","")))</f>
        <v/>
      </c>
      <c r="K68" s="173" t="str">
        <f>IF($AI68="","",IF(INDEX('Roadmap Calc (Don’t Touch)'!$AA$2:$AX$151,$AI68,2)&gt;0,IF(AND($H68&lt;&gt;"",$H68&lt;=EOMONTH(K$12,0),$I68&gt;=K$12),"BOTH","UX"),IF(AND($H68&lt;&gt;"",$H68&lt;=EOMONTH(K$12,0),$I68&gt;=K$12),"DEV","")))</f>
        <v/>
      </c>
      <c r="L68" s="173" t="str">
        <f>IF($AI68="","",IF(INDEX('Roadmap Calc (Don’t Touch)'!$AA$2:$AX$151,$AI68,3)&gt;0,IF(AND($H68&lt;&gt;"",$H68&lt;=EOMONTH(L$12,0),$I68&gt;=L$12),"BOTH","UX"),IF(AND($H68&lt;&gt;"",$H68&lt;=EOMONTH(L$12,0),$I68&gt;=L$12),"DEV","")))</f>
        <v/>
      </c>
      <c r="M68" s="173" t="str">
        <f>IF($AI68="","",IF(INDEX('Roadmap Calc (Don’t Touch)'!$AA$2:$AX$151,$AI68,4)&gt;0,IF(AND($H68&lt;&gt;"",$H68&lt;=EOMONTH(M$12,0),$I68&gt;=M$12),"BOTH","UX"),IF(AND($H68&lt;&gt;"",$H68&lt;=EOMONTH(M$12,0),$I68&gt;=M$12),"DEV","")))</f>
        <v/>
      </c>
      <c r="N68" s="173" t="str">
        <f>IF($AI68="","",IF(INDEX('Roadmap Calc (Don’t Touch)'!$AA$2:$AX$151,$AI68,5)&gt;0,IF(AND($H68&lt;&gt;"",$H68&lt;=EOMONTH(N$12,0),$I68&gt;=N$12),"BOTH","UX"),IF(AND($H68&lt;&gt;"",$H68&lt;=EOMONTH(N$12,0),$I68&gt;=N$12),"DEV","")))</f>
        <v/>
      </c>
      <c r="O68" s="173" t="str">
        <f>IF($AI68="","",IF(INDEX('Roadmap Calc (Don’t Touch)'!$AA$2:$AX$151,$AI68,6)&gt;0,IF(AND($H68&lt;&gt;"",$H68&lt;=EOMONTH(O$12,0),$I68&gt;=O$12),"BOTH","UX"),IF(AND($H68&lt;&gt;"",$H68&lt;=EOMONTH(O$12,0),$I68&gt;=O$12),"DEV","")))</f>
        <v/>
      </c>
      <c r="P68" s="173" t="str">
        <f>IF($AI68="","",IF(INDEX('Roadmap Calc (Don’t Touch)'!$AA$2:$AX$151,$AI68,7)&gt;0,IF(AND($H68&lt;&gt;"",$H68&lt;=EOMONTH(P$12,0),$I68&gt;=P$12),"BOTH","UX"),IF(AND($H68&lt;&gt;"",$H68&lt;=EOMONTH(P$12,0),$I68&gt;=P$12),"DEV","")))</f>
        <v/>
      </c>
      <c r="Q68" s="173" t="str">
        <f>IF($AI68="","",IF(INDEX('Roadmap Calc (Don’t Touch)'!$AA$2:$AX$151,$AI68,8)&gt;0,IF(AND($H68&lt;&gt;"",$H68&lt;=EOMONTH(Q$12,0),$I68&gt;=Q$12),"BOTH","UX"),IF(AND($H68&lt;&gt;"",$H68&lt;=EOMONTH(Q$12,0),$I68&gt;=Q$12),"DEV","")))</f>
        <v/>
      </c>
      <c r="R68" s="173" t="str">
        <f>IF($AI68="","",IF(INDEX('Roadmap Calc (Don’t Touch)'!$AA$2:$AX$151,$AI68,9)&gt;0,IF(AND($H68&lt;&gt;"",$H68&lt;=EOMONTH(R$12,0),$I68&gt;=R$12),"BOTH","UX"),IF(AND($H68&lt;&gt;"",$H68&lt;=EOMONTH(R$12,0),$I68&gt;=R$12),"DEV","")))</f>
        <v/>
      </c>
      <c r="S68" s="173" t="str">
        <f>IF($AI68="","",IF(INDEX('Roadmap Calc (Don’t Touch)'!$AA$2:$AX$151,$AI68,10)&gt;0,IF(AND($H68&lt;&gt;"",$H68&lt;=EOMONTH(S$12,0),$I68&gt;=S$12),"BOTH","UX"),IF(AND($H68&lt;&gt;"",$H68&lt;=EOMONTH(S$12,0),$I68&gt;=S$12),"DEV","")))</f>
        <v/>
      </c>
      <c r="T68" s="173" t="str">
        <f>IF($AI68="","",IF(INDEX('Roadmap Calc (Don’t Touch)'!$AA$2:$AX$151,$AI68,11)&gt;0,IF(AND($H68&lt;&gt;"",$H68&lt;=EOMONTH(T$12,0),$I68&gt;=T$12),"BOTH","UX"),IF(AND($H68&lt;&gt;"",$H68&lt;=EOMONTH(T$12,0),$I68&gt;=T$12),"DEV","")))</f>
        <v/>
      </c>
      <c r="U68" s="173" t="str">
        <f>IF($AI68="","",IF(INDEX('Roadmap Calc (Don’t Touch)'!$AA$2:$AX$151,$AI68,12)&gt;0,IF(AND($H68&lt;&gt;"",$H68&lt;=EOMONTH(U$12,0),$I68&gt;=U$12),"BOTH","UX"),IF(AND($H68&lt;&gt;"",$H68&lt;=EOMONTH(U$12,0),$I68&gt;=U$12),"DEV","")))</f>
        <v/>
      </c>
      <c r="V68" s="173" t="str">
        <f>IF($AI68="","",IF(INDEX('Roadmap Calc (Don’t Touch)'!$AA$2:$AX$151,$AI68,13)&gt;0,IF(AND($H68&lt;&gt;"",$H68&lt;=EOMONTH(V$12,0),$I68&gt;=V$12),"BOTH","UX"),IF(AND($H68&lt;&gt;"",$H68&lt;=EOMONTH(V$12,0),$I68&gt;=V$12),"DEV","")))</f>
        <v/>
      </c>
      <c r="W68" s="173" t="str">
        <f>IF($AI68="","",IF(INDEX('Roadmap Calc (Don’t Touch)'!$AA$2:$AX$151,$AI68,14)&gt;0,IF(AND($H68&lt;&gt;"",$H68&lt;=EOMONTH(W$12,0),$I68&gt;=W$12),"BOTH","UX"),IF(AND($H68&lt;&gt;"",$H68&lt;=EOMONTH(W$12,0),$I68&gt;=W$12),"DEV","")))</f>
        <v/>
      </c>
      <c r="X68" s="173" t="str">
        <f>IF($AI68="","",IF(INDEX('Roadmap Calc (Don’t Touch)'!$AA$2:$AX$151,$AI68,15)&gt;0,IF(AND($H68&lt;&gt;"",$H68&lt;=EOMONTH(X$12,0),$I68&gt;=X$12),"BOTH","UX"),IF(AND($H68&lt;&gt;"",$H68&lt;=EOMONTH(X$12,0),$I68&gt;=X$12),"DEV","")))</f>
        <v/>
      </c>
      <c r="Y68" s="173" t="str">
        <f>IF($AI68="","",IF(INDEX('Roadmap Calc (Don’t Touch)'!$AA$2:$AX$151,$AI68,16)&gt;0,IF(AND($H68&lt;&gt;"",$H68&lt;=EOMONTH(Y$12,0),$I68&gt;=Y$12),"BOTH","UX"),IF(AND($H68&lt;&gt;"",$H68&lt;=EOMONTH(Y$12,0),$I68&gt;=Y$12),"DEV","")))</f>
        <v/>
      </c>
      <c r="Z68" s="173" t="str">
        <f>IF($AI68="","",IF(INDEX('Roadmap Calc (Don’t Touch)'!$AA$2:$AX$151,$AI68,17)&gt;0,IF(AND($H68&lt;&gt;"",$H68&lt;=EOMONTH(Z$12,0),$I68&gt;=Z$12),"BOTH","UX"),IF(AND($H68&lt;&gt;"",$H68&lt;=EOMONTH(Z$12,0),$I68&gt;=Z$12),"DEV","")))</f>
        <v/>
      </c>
      <c r="AA68" s="173" t="str">
        <f>IF($AI68="","",IF(INDEX('Roadmap Calc (Don’t Touch)'!$AA$2:$AX$151,$AI68,18)&gt;0,IF(AND($H68&lt;&gt;"",$H68&lt;=EOMONTH(AA$12,0),$I68&gt;=AA$12),"BOTH","UX"),IF(AND($H68&lt;&gt;"",$H68&lt;=EOMONTH(AA$12,0),$I68&gt;=AA$12),"DEV","")))</f>
        <v/>
      </c>
      <c r="AB68" s="173" t="str">
        <f>IF($AI68="","",IF(INDEX('Roadmap Calc (Don’t Touch)'!$AA$2:$AX$151,$AI68,19)&gt;0,IF(AND($H68&lt;&gt;"",$H68&lt;=EOMONTH(AB$12,0),$I68&gt;=AB$12),"BOTH","UX"),IF(AND($H68&lt;&gt;"",$H68&lt;=EOMONTH(AB$12,0),$I68&gt;=AB$12),"DEV","")))</f>
        <v/>
      </c>
      <c r="AC68" s="173" t="str">
        <f>IF($AI68="","",IF(INDEX('Roadmap Calc (Don’t Touch)'!$AA$2:$AX$151,$AI68,20)&gt;0,IF(AND($H68&lt;&gt;"",$H68&lt;=EOMONTH(AC$12,0),$I68&gt;=AC$12),"BOTH","UX"),IF(AND($H68&lt;&gt;"",$H68&lt;=EOMONTH(AC$12,0),$I68&gt;=AC$12),"DEV","")))</f>
        <v/>
      </c>
      <c r="AD68" s="173" t="str">
        <f>IF($AI68="","",IF(INDEX('Roadmap Calc (Don’t Touch)'!$AA$2:$AX$151,$AI68,21)&gt;0,IF(AND($H68&lt;&gt;"",$H68&lt;=EOMONTH(AD$12,0),$I68&gt;=AD$12),"BOTH","UX"),IF(AND($H68&lt;&gt;"",$H68&lt;=EOMONTH(AD$12,0),$I68&gt;=AD$12),"DEV","")))</f>
        <v/>
      </c>
      <c r="AE68" s="173" t="str">
        <f>IF($AI68="","",IF(INDEX('Roadmap Calc (Don’t Touch)'!$AA$2:$AX$151,$AI68,22)&gt;0,IF(AND($H68&lt;&gt;"",$H68&lt;=EOMONTH(AE$12,0),$I68&gt;=AE$12),"BOTH","UX"),IF(AND($H68&lt;&gt;"",$H68&lt;=EOMONTH(AE$12,0),$I68&gt;=AE$12),"DEV","")))</f>
        <v/>
      </c>
      <c r="AF68" s="173" t="str">
        <f>IF($AI68="","",IF(INDEX('Roadmap Calc (Don’t Touch)'!$AA$2:$AX$151,$AI68,23)&gt;0,IF(AND($H68&lt;&gt;"",$H68&lt;=EOMONTH(AF$12,0),$I68&gt;=AF$12),"BOTH","UX"),IF(AND($H68&lt;&gt;"",$H68&lt;=EOMONTH(AF$12,0),$I68&gt;=AF$12),"DEV","")))</f>
        <v/>
      </c>
      <c r="AG68" s="173" t="str">
        <f>IF($AI68="","",IF(INDEX('Roadmap Calc (Don’t Touch)'!$AA$2:$AX$151,$AI68,24)&gt;0,IF(AND($H68&lt;&gt;"",$H68&lt;=EOMONTH(AG$12,0),$I68&gt;=AG$12),"BOTH","UX"),IF(AND($H68&lt;&gt;"",$H68&lt;=EOMONTH(AG$12,0),$I68&gt;=AG$12),"DEV","")))</f>
        <v/>
      </c>
      <c r="AH68" s="160" t="str">
        <f>IF($AI68="","",INDEX('Roadmap Calc (Don’t Touch)'!$D$2:$D$151,$AI68))</f>
        <v/>
      </c>
      <c r="AI68" s="160" t="str">
        <f>IFERROR(MATCH(53,'Roadmap Calc (Don’t Touch)'!$O$2:$O$151,0),"")</f>
        <v/>
      </c>
      <c r="AJ68" s="160"/>
      <c r="AK68" s="160"/>
      <c r="AL68" s="160"/>
      <c r="AM68" s="160"/>
    </row>
    <row r="69" spans="1:39" ht="17" customHeight="1" x14ac:dyDescent="0.25">
      <c r="A69" s="167" t="str">
        <f>IF($AI69="","",IF($AH69=$AH68,"",IF(INDEX('Roadmap Calc (Don’t Touch)'!$U$2:$U$151,$AI69)=0,$AH69,HYPERLINK("#'Control (Don’t Touch)'!E"&amp;INDEX('Roadmap Calc (Don’t Touch)'!$U$2:$U$151,$AI69),$AH69))))</f>
        <v/>
      </c>
      <c r="B69" s="168" t="str">
        <f>IF($AI69="","",IF(INDEX('Roadmap Calc (Don’t Touch)'!$K$2:$K$151,$AI69)="",INDEX('Roadmap Calc (Don’t Touch)'!$B$2:$B$151,$AI69),HYPERLINK("https://jira.bnh.com/browse/"&amp;INDEX('Roadmap Calc (Don’t Touch)'!$K$2:$K$151,$AI69),INDEX('Roadmap Calc (Don’t Touch)'!$B$2:$B$151,$AI69))))</f>
        <v/>
      </c>
      <c r="C69" s="168" t="str">
        <f>IF($AI69="","",IF(INDEX('Roadmap Calc (Don’t Touch)'!$E$2:$E$151,$AI69)="","",HYPERLINK("https://jira.bnh.com/browse/"&amp;INDEX('Roadmap Calc (Don’t Touch)'!$E$2:$E$151,$AI69),INDEX('Roadmap Calc (Don’t Touch)'!$E$2:$E$151,$AI69))))</f>
        <v/>
      </c>
      <c r="D69" s="175" t="str">
        <f>IF($AI69="","",INDEX('Roadmap Calc (Don’t Touch)'!$F$2:$F$151,$AI69))</f>
        <v/>
      </c>
      <c r="E69" s="170" t="str">
        <f>IF($AI69="","",IF(ISNUMBER(INDEX('Roadmap Calc (Don’t Touch)'!$G$2:$G$151,$AI69)),INDEX('Roadmap Calc (Don’t Touch)'!$G$2:$G$151,$AI69),""))</f>
        <v/>
      </c>
      <c r="F69" s="170" t="str">
        <f>IF($AI69="","",IF(ISNUMBER(INDEX('Roadmap Calc (Don’t Touch)'!$H$2:$H$151,$AI69)),INDEX('Roadmap Calc (Don’t Touch)'!$H$2:$H$151,$AI69),""))</f>
        <v/>
      </c>
      <c r="G69" s="171" t="str">
        <f>IF($AI69="","",INDEX('Roadmap Calc (Don’t Touch)'!$T$2:$T$151,$AI69))</f>
        <v/>
      </c>
      <c r="H69" s="172" t="str">
        <f>IF($AI69="","",IF(ISNUMBER(INDEX('Roadmap Calc (Don’t Touch)'!$I$2:$I$151,$AI69)),INDEX('Roadmap Calc (Don’t Touch)'!$I$2:$I$151,$AI69),""))</f>
        <v/>
      </c>
      <c r="I69" s="172" t="str">
        <f>IF($AI69="","",IF(ISNUMBER(INDEX('Roadmap Calc (Don’t Touch)'!$J$2:$J$151,$AI69)),INDEX('Roadmap Calc (Don’t Touch)'!$J$2:$J$151,$AI69),""))</f>
        <v/>
      </c>
      <c r="J69" s="173" t="str">
        <f>IF($AI69="","",IF(INDEX('Roadmap Calc (Don’t Touch)'!$AA$2:$AX$151,$AI69,1)&gt;0,IF(AND($H69&lt;&gt;"",$H69&lt;=EOMONTH(J$12,0),$I69&gt;=J$12),"BOTH","UX"),IF(AND($H69&lt;&gt;"",$H69&lt;=EOMONTH(J$12,0),$I69&gt;=J$12),"DEV","")))</f>
        <v/>
      </c>
      <c r="K69" s="173" t="str">
        <f>IF($AI69="","",IF(INDEX('Roadmap Calc (Don’t Touch)'!$AA$2:$AX$151,$AI69,2)&gt;0,IF(AND($H69&lt;&gt;"",$H69&lt;=EOMONTH(K$12,0),$I69&gt;=K$12),"BOTH","UX"),IF(AND($H69&lt;&gt;"",$H69&lt;=EOMONTH(K$12,0),$I69&gt;=K$12),"DEV","")))</f>
        <v/>
      </c>
      <c r="L69" s="173" t="str">
        <f>IF($AI69="","",IF(INDEX('Roadmap Calc (Don’t Touch)'!$AA$2:$AX$151,$AI69,3)&gt;0,IF(AND($H69&lt;&gt;"",$H69&lt;=EOMONTH(L$12,0),$I69&gt;=L$12),"BOTH","UX"),IF(AND($H69&lt;&gt;"",$H69&lt;=EOMONTH(L$12,0),$I69&gt;=L$12),"DEV","")))</f>
        <v/>
      </c>
      <c r="M69" s="173" t="str">
        <f>IF($AI69="","",IF(INDEX('Roadmap Calc (Don’t Touch)'!$AA$2:$AX$151,$AI69,4)&gt;0,IF(AND($H69&lt;&gt;"",$H69&lt;=EOMONTH(M$12,0),$I69&gt;=M$12),"BOTH","UX"),IF(AND($H69&lt;&gt;"",$H69&lt;=EOMONTH(M$12,0),$I69&gt;=M$12),"DEV","")))</f>
        <v/>
      </c>
      <c r="N69" s="173" t="str">
        <f>IF($AI69="","",IF(INDEX('Roadmap Calc (Don’t Touch)'!$AA$2:$AX$151,$AI69,5)&gt;0,IF(AND($H69&lt;&gt;"",$H69&lt;=EOMONTH(N$12,0),$I69&gt;=N$12),"BOTH","UX"),IF(AND($H69&lt;&gt;"",$H69&lt;=EOMONTH(N$12,0),$I69&gt;=N$12),"DEV","")))</f>
        <v/>
      </c>
      <c r="O69" s="173" t="str">
        <f>IF($AI69="","",IF(INDEX('Roadmap Calc (Don’t Touch)'!$AA$2:$AX$151,$AI69,6)&gt;0,IF(AND($H69&lt;&gt;"",$H69&lt;=EOMONTH(O$12,0),$I69&gt;=O$12),"BOTH","UX"),IF(AND($H69&lt;&gt;"",$H69&lt;=EOMONTH(O$12,0),$I69&gt;=O$12),"DEV","")))</f>
        <v/>
      </c>
      <c r="P69" s="173" t="str">
        <f>IF($AI69="","",IF(INDEX('Roadmap Calc (Don’t Touch)'!$AA$2:$AX$151,$AI69,7)&gt;0,IF(AND($H69&lt;&gt;"",$H69&lt;=EOMONTH(P$12,0),$I69&gt;=P$12),"BOTH","UX"),IF(AND($H69&lt;&gt;"",$H69&lt;=EOMONTH(P$12,0),$I69&gt;=P$12),"DEV","")))</f>
        <v/>
      </c>
      <c r="Q69" s="173" t="str">
        <f>IF($AI69="","",IF(INDEX('Roadmap Calc (Don’t Touch)'!$AA$2:$AX$151,$AI69,8)&gt;0,IF(AND($H69&lt;&gt;"",$H69&lt;=EOMONTH(Q$12,0),$I69&gt;=Q$12),"BOTH","UX"),IF(AND($H69&lt;&gt;"",$H69&lt;=EOMONTH(Q$12,0),$I69&gt;=Q$12),"DEV","")))</f>
        <v/>
      </c>
      <c r="R69" s="173" t="str">
        <f>IF($AI69="","",IF(INDEX('Roadmap Calc (Don’t Touch)'!$AA$2:$AX$151,$AI69,9)&gt;0,IF(AND($H69&lt;&gt;"",$H69&lt;=EOMONTH(R$12,0),$I69&gt;=R$12),"BOTH","UX"),IF(AND($H69&lt;&gt;"",$H69&lt;=EOMONTH(R$12,0),$I69&gt;=R$12),"DEV","")))</f>
        <v/>
      </c>
      <c r="S69" s="173" t="str">
        <f>IF($AI69="","",IF(INDEX('Roadmap Calc (Don’t Touch)'!$AA$2:$AX$151,$AI69,10)&gt;0,IF(AND($H69&lt;&gt;"",$H69&lt;=EOMONTH(S$12,0),$I69&gt;=S$12),"BOTH","UX"),IF(AND($H69&lt;&gt;"",$H69&lt;=EOMONTH(S$12,0),$I69&gt;=S$12),"DEV","")))</f>
        <v/>
      </c>
      <c r="T69" s="173" t="str">
        <f>IF($AI69="","",IF(INDEX('Roadmap Calc (Don’t Touch)'!$AA$2:$AX$151,$AI69,11)&gt;0,IF(AND($H69&lt;&gt;"",$H69&lt;=EOMONTH(T$12,0),$I69&gt;=T$12),"BOTH","UX"),IF(AND($H69&lt;&gt;"",$H69&lt;=EOMONTH(T$12,0),$I69&gt;=T$12),"DEV","")))</f>
        <v/>
      </c>
      <c r="U69" s="173" t="str">
        <f>IF($AI69="","",IF(INDEX('Roadmap Calc (Don’t Touch)'!$AA$2:$AX$151,$AI69,12)&gt;0,IF(AND($H69&lt;&gt;"",$H69&lt;=EOMONTH(U$12,0),$I69&gt;=U$12),"BOTH","UX"),IF(AND($H69&lt;&gt;"",$H69&lt;=EOMONTH(U$12,0),$I69&gt;=U$12),"DEV","")))</f>
        <v/>
      </c>
      <c r="V69" s="173" t="str">
        <f>IF($AI69="","",IF(INDEX('Roadmap Calc (Don’t Touch)'!$AA$2:$AX$151,$AI69,13)&gt;0,IF(AND($H69&lt;&gt;"",$H69&lt;=EOMONTH(V$12,0),$I69&gt;=V$12),"BOTH","UX"),IF(AND($H69&lt;&gt;"",$H69&lt;=EOMONTH(V$12,0),$I69&gt;=V$12),"DEV","")))</f>
        <v/>
      </c>
      <c r="W69" s="173" t="str">
        <f>IF($AI69="","",IF(INDEX('Roadmap Calc (Don’t Touch)'!$AA$2:$AX$151,$AI69,14)&gt;0,IF(AND($H69&lt;&gt;"",$H69&lt;=EOMONTH(W$12,0),$I69&gt;=W$12),"BOTH","UX"),IF(AND($H69&lt;&gt;"",$H69&lt;=EOMONTH(W$12,0),$I69&gt;=W$12),"DEV","")))</f>
        <v/>
      </c>
      <c r="X69" s="173" t="str">
        <f>IF($AI69="","",IF(INDEX('Roadmap Calc (Don’t Touch)'!$AA$2:$AX$151,$AI69,15)&gt;0,IF(AND($H69&lt;&gt;"",$H69&lt;=EOMONTH(X$12,0),$I69&gt;=X$12),"BOTH","UX"),IF(AND($H69&lt;&gt;"",$H69&lt;=EOMONTH(X$12,0),$I69&gt;=X$12),"DEV","")))</f>
        <v/>
      </c>
      <c r="Y69" s="173" t="str">
        <f>IF($AI69="","",IF(INDEX('Roadmap Calc (Don’t Touch)'!$AA$2:$AX$151,$AI69,16)&gt;0,IF(AND($H69&lt;&gt;"",$H69&lt;=EOMONTH(Y$12,0),$I69&gt;=Y$12),"BOTH","UX"),IF(AND($H69&lt;&gt;"",$H69&lt;=EOMONTH(Y$12,0),$I69&gt;=Y$12),"DEV","")))</f>
        <v/>
      </c>
      <c r="Z69" s="173" t="str">
        <f>IF($AI69="","",IF(INDEX('Roadmap Calc (Don’t Touch)'!$AA$2:$AX$151,$AI69,17)&gt;0,IF(AND($H69&lt;&gt;"",$H69&lt;=EOMONTH(Z$12,0),$I69&gt;=Z$12),"BOTH","UX"),IF(AND($H69&lt;&gt;"",$H69&lt;=EOMONTH(Z$12,0),$I69&gt;=Z$12),"DEV","")))</f>
        <v/>
      </c>
      <c r="AA69" s="173" t="str">
        <f>IF($AI69="","",IF(INDEX('Roadmap Calc (Don’t Touch)'!$AA$2:$AX$151,$AI69,18)&gt;0,IF(AND($H69&lt;&gt;"",$H69&lt;=EOMONTH(AA$12,0),$I69&gt;=AA$12),"BOTH","UX"),IF(AND($H69&lt;&gt;"",$H69&lt;=EOMONTH(AA$12,0),$I69&gt;=AA$12),"DEV","")))</f>
        <v/>
      </c>
      <c r="AB69" s="173" t="str">
        <f>IF($AI69="","",IF(INDEX('Roadmap Calc (Don’t Touch)'!$AA$2:$AX$151,$AI69,19)&gt;0,IF(AND($H69&lt;&gt;"",$H69&lt;=EOMONTH(AB$12,0),$I69&gt;=AB$12),"BOTH","UX"),IF(AND($H69&lt;&gt;"",$H69&lt;=EOMONTH(AB$12,0),$I69&gt;=AB$12),"DEV","")))</f>
        <v/>
      </c>
      <c r="AC69" s="173" t="str">
        <f>IF($AI69="","",IF(INDEX('Roadmap Calc (Don’t Touch)'!$AA$2:$AX$151,$AI69,20)&gt;0,IF(AND($H69&lt;&gt;"",$H69&lt;=EOMONTH(AC$12,0),$I69&gt;=AC$12),"BOTH","UX"),IF(AND($H69&lt;&gt;"",$H69&lt;=EOMONTH(AC$12,0),$I69&gt;=AC$12),"DEV","")))</f>
        <v/>
      </c>
      <c r="AD69" s="173" t="str">
        <f>IF($AI69="","",IF(INDEX('Roadmap Calc (Don’t Touch)'!$AA$2:$AX$151,$AI69,21)&gt;0,IF(AND($H69&lt;&gt;"",$H69&lt;=EOMONTH(AD$12,0),$I69&gt;=AD$12),"BOTH","UX"),IF(AND($H69&lt;&gt;"",$H69&lt;=EOMONTH(AD$12,0),$I69&gt;=AD$12),"DEV","")))</f>
        <v/>
      </c>
      <c r="AE69" s="173" t="str">
        <f>IF($AI69="","",IF(INDEX('Roadmap Calc (Don’t Touch)'!$AA$2:$AX$151,$AI69,22)&gt;0,IF(AND($H69&lt;&gt;"",$H69&lt;=EOMONTH(AE$12,0),$I69&gt;=AE$12),"BOTH","UX"),IF(AND($H69&lt;&gt;"",$H69&lt;=EOMONTH(AE$12,0),$I69&gt;=AE$12),"DEV","")))</f>
        <v/>
      </c>
      <c r="AF69" s="173" t="str">
        <f>IF($AI69="","",IF(INDEX('Roadmap Calc (Don’t Touch)'!$AA$2:$AX$151,$AI69,23)&gt;0,IF(AND($H69&lt;&gt;"",$H69&lt;=EOMONTH(AF$12,0),$I69&gt;=AF$12),"BOTH","UX"),IF(AND($H69&lt;&gt;"",$H69&lt;=EOMONTH(AF$12,0),$I69&gt;=AF$12),"DEV","")))</f>
        <v/>
      </c>
      <c r="AG69" s="173" t="str">
        <f>IF($AI69="","",IF(INDEX('Roadmap Calc (Don’t Touch)'!$AA$2:$AX$151,$AI69,24)&gt;0,IF(AND($H69&lt;&gt;"",$H69&lt;=EOMONTH(AG$12,0),$I69&gt;=AG$12),"BOTH","UX"),IF(AND($H69&lt;&gt;"",$H69&lt;=EOMONTH(AG$12,0),$I69&gt;=AG$12),"DEV","")))</f>
        <v/>
      </c>
      <c r="AH69" s="160" t="str">
        <f>IF($AI69="","",INDEX('Roadmap Calc (Don’t Touch)'!$D$2:$D$151,$AI69))</f>
        <v/>
      </c>
      <c r="AI69" s="160" t="str">
        <f>IFERROR(MATCH(54,'Roadmap Calc (Don’t Touch)'!$O$2:$O$151,0),"")</f>
        <v/>
      </c>
      <c r="AJ69" s="160"/>
      <c r="AK69" s="160"/>
      <c r="AL69" s="160"/>
      <c r="AM69" s="160"/>
    </row>
    <row r="70" spans="1:39" ht="17" customHeight="1" x14ac:dyDescent="0.25">
      <c r="A70" s="167" t="str">
        <f>IF($AI70="","",IF($AH70=$AH69,"",IF(INDEX('Roadmap Calc (Don’t Touch)'!$U$2:$U$151,$AI70)=0,$AH70,HYPERLINK("#'Control (Don’t Touch)'!E"&amp;INDEX('Roadmap Calc (Don’t Touch)'!$U$2:$U$151,$AI70),$AH70))))</f>
        <v/>
      </c>
      <c r="B70" s="168" t="str">
        <f>IF($AI70="","",IF(INDEX('Roadmap Calc (Don’t Touch)'!$K$2:$K$151,$AI70)="",INDEX('Roadmap Calc (Don’t Touch)'!$B$2:$B$151,$AI70),HYPERLINK("https://jira.bnh.com/browse/"&amp;INDEX('Roadmap Calc (Don’t Touch)'!$K$2:$K$151,$AI70),INDEX('Roadmap Calc (Don’t Touch)'!$B$2:$B$151,$AI70))))</f>
        <v/>
      </c>
      <c r="C70" s="168" t="str">
        <f>IF($AI70="","",IF(INDEX('Roadmap Calc (Don’t Touch)'!$E$2:$E$151,$AI70)="","",HYPERLINK("https://jira.bnh.com/browse/"&amp;INDEX('Roadmap Calc (Don’t Touch)'!$E$2:$E$151,$AI70),INDEX('Roadmap Calc (Don’t Touch)'!$E$2:$E$151,$AI70))))</f>
        <v/>
      </c>
      <c r="D70" s="169" t="str">
        <f>IF($AI70="","",INDEX('Roadmap Calc (Don’t Touch)'!$F$2:$F$151,$AI70))</f>
        <v/>
      </c>
      <c r="E70" s="170" t="str">
        <f>IF($AI70="","",IF(ISNUMBER(INDEX('Roadmap Calc (Don’t Touch)'!$G$2:$G$151,$AI70)),INDEX('Roadmap Calc (Don’t Touch)'!$G$2:$G$151,$AI70),""))</f>
        <v/>
      </c>
      <c r="F70" s="170" t="str">
        <f>IF($AI70="","",IF(ISNUMBER(INDEX('Roadmap Calc (Don’t Touch)'!$H$2:$H$151,$AI70)),INDEX('Roadmap Calc (Don’t Touch)'!$H$2:$H$151,$AI70),""))</f>
        <v/>
      </c>
      <c r="G70" s="171" t="str">
        <f>IF($AI70="","",INDEX('Roadmap Calc (Don’t Touch)'!$T$2:$T$151,$AI70))</f>
        <v/>
      </c>
      <c r="H70" s="172" t="str">
        <f>IF($AI70="","",IF(ISNUMBER(INDEX('Roadmap Calc (Don’t Touch)'!$I$2:$I$151,$AI70)),INDEX('Roadmap Calc (Don’t Touch)'!$I$2:$I$151,$AI70),""))</f>
        <v/>
      </c>
      <c r="I70" s="172" t="str">
        <f>IF($AI70="","",IF(ISNUMBER(INDEX('Roadmap Calc (Don’t Touch)'!$J$2:$J$151,$AI70)),INDEX('Roadmap Calc (Don’t Touch)'!$J$2:$J$151,$AI70),""))</f>
        <v/>
      </c>
      <c r="J70" s="173" t="str">
        <f>IF($AI70="","",IF(INDEX('Roadmap Calc (Don’t Touch)'!$AA$2:$AX$151,$AI70,1)&gt;0,IF(AND($H70&lt;&gt;"",$H70&lt;=EOMONTH(J$12,0),$I70&gt;=J$12),"BOTH","UX"),IF(AND($H70&lt;&gt;"",$H70&lt;=EOMONTH(J$12,0),$I70&gt;=J$12),"DEV","")))</f>
        <v/>
      </c>
      <c r="K70" s="173" t="str">
        <f>IF($AI70="","",IF(INDEX('Roadmap Calc (Don’t Touch)'!$AA$2:$AX$151,$AI70,2)&gt;0,IF(AND($H70&lt;&gt;"",$H70&lt;=EOMONTH(K$12,0),$I70&gt;=K$12),"BOTH","UX"),IF(AND($H70&lt;&gt;"",$H70&lt;=EOMONTH(K$12,0),$I70&gt;=K$12),"DEV","")))</f>
        <v/>
      </c>
      <c r="L70" s="173" t="str">
        <f>IF($AI70="","",IF(INDEX('Roadmap Calc (Don’t Touch)'!$AA$2:$AX$151,$AI70,3)&gt;0,IF(AND($H70&lt;&gt;"",$H70&lt;=EOMONTH(L$12,0),$I70&gt;=L$12),"BOTH","UX"),IF(AND($H70&lt;&gt;"",$H70&lt;=EOMONTH(L$12,0),$I70&gt;=L$12),"DEV","")))</f>
        <v/>
      </c>
      <c r="M70" s="173" t="str">
        <f>IF($AI70="","",IF(INDEX('Roadmap Calc (Don’t Touch)'!$AA$2:$AX$151,$AI70,4)&gt;0,IF(AND($H70&lt;&gt;"",$H70&lt;=EOMONTH(M$12,0),$I70&gt;=M$12),"BOTH","UX"),IF(AND($H70&lt;&gt;"",$H70&lt;=EOMONTH(M$12,0),$I70&gt;=M$12),"DEV","")))</f>
        <v/>
      </c>
      <c r="N70" s="173" t="str">
        <f>IF($AI70="","",IF(INDEX('Roadmap Calc (Don’t Touch)'!$AA$2:$AX$151,$AI70,5)&gt;0,IF(AND($H70&lt;&gt;"",$H70&lt;=EOMONTH(N$12,0),$I70&gt;=N$12),"BOTH","UX"),IF(AND($H70&lt;&gt;"",$H70&lt;=EOMONTH(N$12,0),$I70&gt;=N$12),"DEV","")))</f>
        <v/>
      </c>
      <c r="O70" s="173" t="str">
        <f>IF($AI70="","",IF(INDEX('Roadmap Calc (Don’t Touch)'!$AA$2:$AX$151,$AI70,6)&gt;0,IF(AND($H70&lt;&gt;"",$H70&lt;=EOMONTH(O$12,0),$I70&gt;=O$12),"BOTH","UX"),IF(AND($H70&lt;&gt;"",$H70&lt;=EOMONTH(O$12,0),$I70&gt;=O$12),"DEV","")))</f>
        <v/>
      </c>
      <c r="P70" s="173" t="str">
        <f>IF($AI70="","",IF(INDEX('Roadmap Calc (Don’t Touch)'!$AA$2:$AX$151,$AI70,7)&gt;0,IF(AND($H70&lt;&gt;"",$H70&lt;=EOMONTH(P$12,0),$I70&gt;=P$12),"BOTH","UX"),IF(AND($H70&lt;&gt;"",$H70&lt;=EOMONTH(P$12,0),$I70&gt;=P$12),"DEV","")))</f>
        <v/>
      </c>
      <c r="Q70" s="173" t="str">
        <f>IF($AI70="","",IF(INDEX('Roadmap Calc (Don’t Touch)'!$AA$2:$AX$151,$AI70,8)&gt;0,IF(AND($H70&lt;&gt;"",$H70&lt;=EOMONTH(Q$12,0),$I70&gt;=Q$12),"BOTH","UX"),IF(AND($H70&lt;&gt;"",$H70&lt;=EOMONTH(Q$12,0),$I70&gt;=Q$12),"DEV","")))</f>
        <v/>
      </c>
      <c r="R70" s="173" t="str">
        <f>IF($AI70="","",IF(INDEX('Roadmap Calc (Don’t Touch)'!$AA$2:$AX$151,$AI70,9)&gt;0,IF(AND($H70&lt;&gt;"",$H70&lt;=EOMONTH(R$12,0),$I70&gt;=R$12),"BOTH","UX"),IF(AND($H70&lt;&gt;"",$H70&lt;=EOMONTH(R$12,0),$I70&gt;=R$12),"DEV","")))</f>
        <v/>
      </c>
      <c r="S70" s="173" t="str">
        <f>IF($AI70="","",IF(INDEX('Roadmap Calc (Don’t Touch)'!$AA$2:$AX$151,$AI70,10)&gt;0,IF(AND($H70&lt;&gt;"",$H70&lt;=EOMONTH(S$12,0),$I70&gt;=S$12),"BOTH","UX"),IF(AND($H70&lt;&gt;"",$H70&lt;=EOMONTH(S$12,0),$I70&gt;=S$12),"DEV","")))</f>
        <v/>
      </c>
      <c r="T70" s="173" t="str">
        <f>IF($AI70="","",IF(INDEX('Roadmap Calc (Don’t Touch)'!$AA$2:$AX$151,$AI70,11)&gt;0,IF(AND($H70&lt;&gt;"",$H70&lt;=EOMONTH(T$12,0),$I70&gt;=T$12),"BOTH","UX"),IF(AND($H70&lt;&gt;"",$H70&lt;=EOMONTH(T$12,0),$I70&gt;=T$12),"DEV","")))</f>
        <v/>
      </c>
      <c r="U70" s="173" t="str">
        <f>IF($AI70="","",IF(INDEX('Roadmap Calc (Don’t Touch)'!$AA$2:$AX$151,$AI70,12)&gt;0,IF(AND($H70&lt;&gt;"",$H70&lt;=EOMONTH(U$12,0),$I70&gt;=U$12),"BOTH","UX"),IF(AND($H70&lt;&gt;"",$H70&lt;=EOMONTH(U$12,0),$I70&gt;=U$12),"DEV","")))</f>
        <v/>
      </c>
      <c r="V70" s="173" t="str">
        <f>IF($AI70="","",IF(INDEX('Roadmap Calc (Don’t Touch)'!$AA$2:$AX$151,$AI70,13)&gt;0,IF(AND($H70&lt;&gt;"",$H70&lt;=EOMONTH(V$12,0),$I70&gt;=V$12),"BOTH","UX"),IF(AND($H70&lt;&gt;"",$H70&lt;=EOMONTH(V$12,0),$I70&gt;=V$12),"DEV","")))</f>
        <v/>
      </c>
      <c r="W70" s="173" t="str">
        <f>IF($AI70="","",IF(INDEX('Roadmap Calc (Don’t Touch)'!$AA$2:$AX$151,$AI70,14)&gt;0,IF(AND($H70&lt;&gt;"",$H70&lt;=EOMONTH(W$12,0),$I70&gt;=W$12),"BOTH","UX"),IF(AND($H70&lt;&gt;"",$H70&lt;=EOMONTH(W$12,0),$I70&gt;=W$12),"DEV","")))</f>
        <v/>
      </c>
      <c r="X70" s="173" t="str">
        <f>IF($AI70="","",IF(INDEX('Roadmap Calc (Don’t Touch)'!$AA$2:$AX$151,$AI70,15)&gt;0,IF(AND($H70&lt;&gt;"",$H70&lt;=EOMONTH(X$12,0),$I70&gt;=X$12),"BOTH","UX"),IF(AND($H70&lt;&gt;"",$H70&lt;=EOMONTH(X$12,0),$I70&gt;=X$12),"DEV","")))</f>
        <v/>
      </c>
      <c r="Y70" s="173" t="str">
        <f>IF($AI70="","",IF(INDEX('Roadmap Calc (Don’t Touch)'!$AA$2:$AX$151,$AI70,16)&gt;0,IF(AND($H70&lt;&gt;"",$H70&lt;=EOMONTH(Y$12,0),$I70&gt;=Y$12),"BOTH","UX"),IF(AND($H70&lt;&gt;"",$H70&lt;=EOMONTH(Y$12,0),$I70&gt;=Y$12),"DEV","")))</f>
        <v/>
      </c>
      <c r="Z70" s="173" t="str">
        <f>IF($AI70="","",IF(INDEX('Roadmap Calc (Don’t Touch)'!$AA$2:$AX$151,$AI70,17)&gt;0,IF(AND($H70&lt;&gt;"",$H70&lt;=EOMONTH(Z$12,0),$I70&gt;=Z$12),"BOTH","UX"),IF(AND($H70&lt;&gt;"",$H70&lt;=EOMONTH(Z$12,0),$I70&gt;=Z$12),"DEV","")))</f>
        <v/>
      </c>
      <c r="AA70" s="173" t="str">
        <f>IF($AI70="","",IF(INDEX('Roadmap Calc (Don’t Touch)'!$AA$2:$AX$151,$AI70,18)&gt;0,IF(AND($H70&lt;&gt;"",$H70&lt;=EOMONTH(AA$12,0),$I70&gt;=AA$12),"BOTH","UX"),IF(AND($H70&lt;&gt;"",$H70&lt;=EOMONTH(AA$12,0),$I70&gt;=AA$12),"DEV","")))</f>
        <v/>
      </c>
      <c r="AB70" s="173" t="str">
        <f>IF($AI70="","",IF(INDEX('Roadmap Calc (Don’t Touch)'!$AA$2:$AX$151,$AI70,19)&gt;0,IF(AND($H70&lt;&gt;"",$H70&lt;=EOMONTH(AB$12,0),$I70&gt;=AB$12),"BOTH","UX"),IF(AND($H70&lt;&gt;"",$H70&lt;=EOMONTH(AB$12,0),$I70&gt;=AB$12),"DEV","")))</f>
        <v/>
      </c>
      <c r="AC70" s="173" t="str">
        <f>IF($AI70="","",IF(INDEX('Roadmap Calc (Don’t Touch)'!$AA$2:$AX$151,$AI70,20)&gt;0,IF(AND($H70&lt;&gt;"",$H70&lt;=EOMONTH(AC$12,0),$I70&gt;=AC$12),"BOTH","UX"),IF(AND($H70&lt;&gt;"",$H70&lt;=EOMONTH(AC$12,0),$I70&gt;=AC$12),"DEV","")))</f>
        <v/>
      </c>
      <c r="AD70" s="173" t="str">
        <f>IF($AI70="","",IF(INDEX('Roadmap Calc (Don’t Touch)'!$AA$2:$AX$151,$AI70,21)&gt;0,IF(AND($H70&lt;&gt;"",$H70&lt;=EOMONTH(AD$12,0),$I70&gt;=AD$12),"BOTH","UX"),IF(AND($H70&lt;&gt;"",$H70&lt;=EOMONTH(AD$12,0),$I70&gt;=AD$12),"DEV","")))</f>
        <v/>
      </c>
      <c r="AE70" s="173" t="str">
        <f>IF($AI70="","",IF(INDEX('Roadmap Calc (Don’t Touch)'!$AA$2:$AX$151,$AI70,22)&gt;0,IF(AND($H70&lt;&gt;"",$H70&lt;=EOMONTH(AE$12,0),$I70&gt;=AE$12),"BOTH","UX"),IF(AND($H70&lt;&gt;"",$H70&lt;=EOMONTH(AE$12,0),$I70&gt;=AE$12),"DEV","")))</f>
        <v/>
      </c>
      <c r="AF70" s="173" t="str">
        <f>IF($AI70="","",IF(INDEX('Roadmap Calc (Don’t Touch)'!$AA$2:$AX$151,$AI70,23)&gt;0,IF(AND($H70&lt;&gt;"",$H70&lt;=EOMONTH(AF$12,0),$I70&gt;=AF$12),"BOTH","UX"),IF(AND($H70&lt;&gt;"",$H70&lt;=EOMONTH(AF$12,0),$I70&gt;=AF$12),"DEV","")))</f>
        <v/>
      </c>
      <c r="AG70" s="173" t="str">
        <f>IF($AI70="","",IF(INDEX('Roadmap Calc (Don’t Touch)'!$AA$2:$AX$151,$AI70,24)&gt;0,IF(AND($H70&lt;&gt;"",$H70&lt;=EOMONTH(AG$12,0),$I70&gt;=AG$12),"BOTH","UX"),IF(AND($H70&lt;&gt;"",$H70&lt;=EOMONTH(AG$12,0),$I70&gt;=AG$12),"DEV","")))</f>
        <v/>
      </c>
      <c r="AH70" s="160" t="str">
        <f>IF($AI70="","",INDEX('Roadmap Calc (Don’t Touch)'!$D$2:$D$151,$AI70))</f>
        <v/>
      </c>
      <c r="AI70" s="160" t="str">
        <f>IFERROR(MATCH(55,'Roadmap Calc (Don’t Touch)'!$O$2:$O$151,0),"")</f>
        <v/>
      </c>
      <c r="AJ70" s="160"/>
      <c r="AK70" s="160"/>
      <c r="AL70" s="160"/>
      <c r="AM70" s="160"/>
    </row>
    <row r="71" spans="1:39" ht="17" customHeight="1" x14ac:dyDescent="0.25">
      <c r="A71" s="167" t="str">
        <f>IF($AI71="","",IF($AH71=$AH70,"",IF(INDEX('Roadmap Calc (Don’t Touch)'!$U$2:$U$151,$AI71)=0,$AH71,HYPERLINK("#'Control (Don’t Touch)'!E"&amp;INDEX('Roadmap Calc (Don’t Touch)'!$U$2:$U$151,$AI71),$AH71))))</f>
        <v/>
      </c>
      <c r="B71" s="168" t="str">
        <f>IF($AI71="","",IF(INDEX('Roadmap Calc (Don’t Touch)'!$K$2:$K$151,$AI71)="",INDEX('Roadmap Calc (Don’t Touch)'!$B$2:$B$151,$AI71),HYPERLINK("https://jira.bnh.com/browse/"&amp;INDEX('Roadmap Calc (Don’t Touch)'!$K$2:$K$151,$AI71),INDEX('Roadmap Calc (Don’t Touch)'!$B$2:$B$151,$AI71))))</f>
        <v/>
      </c>
      <c r="C71" s="168" t="str">
        <f>IF($AI71="","",IF(INDEX('Roadmap Calc (Don’t Touch)'!$E$2:$E$151,$AI71)="","",HYPERLINK("https://jira.bnh.com/browse/"&amp;INDEX('Roadmap Calc (Don’t Touch)'!$E$2:$E$151,$AI71),INDEX('Roadmap Calc (Don’t Touch)'!$E$2:$E$151,$AI71))))</f>
        <v/>
      </c>
      <c r="D71" s="169" t="str">
        <f>IF($AI71="","",INDEX('Roadmap Calc (Don’t Touch)'!$F$2:$F$151,$AI71))</f>
        <v/>
      </c>
      <c r="E71" s="170" t="str">
        <f>IF($AI71="","",IF(ISNUMBER(INDEX('Roadmap Calc (Don’t Touch)'!$G$2:$G$151,$AI71)),INDEX('Roadmap Calc (Don’t Touch)'!$G$2:$G$151,$AI71),""))</f>
        <v/>
      </c>
      <c r="F71" s="170" t="str">
        <f>IF($AI71="","",IF(ISNUMBER(INDEX('Roadmap Calc (Don’t Touch)'!$H$2:$H$151,$AI71)),INDEX('Roadmap Calc (Don’t Touch)'!$H$2:$H$151,$AI71),""))</f>
        <v/>
      </c>
      <c r="G71" s="171" t="str">
        <f>IF($AI71="","",INDEX('Roadmap Calc (Don’t Touch)'!$T$2:$T$151,$AI71))</f>
        <v/>
      </c>
      <c r="H71" s="172" t="str">
        <f>IF($AI71="","",IF(ISNUMBER(INDEX('Roadmap Calc (Don’t Touch)'!$I$2:$I$151,$AI71)),INDEX('Roadmap Calc (Don’t Touch)'!$I$2:$I$151,$AI71),""))</f>
        <v/>
      </c>
      <c r="I71" s="172" t="str">
        <f>IF($AI71="","",IF(ISNUMBER(INDEX('Roadmap Calc (Don’t Touch)'!$J$2:$J$151,$AI71)),INDEX('Roadmap Calc (Don’t Touch)'!$J$2:$J$151,$AI71),""))</f>
        <v/>
      </c>
      <c r="J71" s="173" t="str">
        <f>IF($AI71="","",IF(INDEX('Roadmap Calc (Don’t Touch)'!$AA$2:$AX$151,$AI71,1)&gt;0,IF(AND($H71&lt;&gt;"",$H71&lt;=EOMONTH(J$12,0),$I71&gt;=J$12),"BOTH","UX"),IF(AND($H71&lt;&gt;"",$H71&lt;=EOMONTH(J$12,0),$I71&gt;=J$12),"DEV","")))</f>
        <v/>
      </c>
      <c r="K71" s="173" t="str">
        <f>IF($AI71="","",IF(INDEX('Roadmap Calc (Don’t Touch)'!$AA$2:$AX$151,$AI71,2)&gt;0,IF(AND($H71&lt;&gt;"",$H71&lt;=EOMONTH(K$12,0),$I71&gt;=K$12),"BOTH","UX"),IF(AND($H71&lt;&gt;"",$H71&lt;=EOMONTH(K$12,0),$I71&gt;=K$12),"DEV","")))</f>
        <v/>
      </c>
      <c r="L71" s="173" t="str">
        <f>IF($AI71="","",IF(INDEX('Roadmap Calc (Don’t Touch)'!$AA$2:$AX$151,$AI71,3)&gt;0,IF(AND($H71&lt;&gt;"",$H71&lt;=EOMONTH(L$12,0),$I71&gt;=L$12),"BOTH","UX"),IF(AND($H71&lt;&gt;"",$H71&lt;=EOMONTH(L$12,0),$I71&gt;=L$12),"DEV","")))</f>
        <v/>
      </c>
      <c r="M71" s="173" t="str">
        <f>IF($AI71="","",IF(INDEX('Roadmap Calc (Don’t Touch)'!$AA$2:$AX$151,$AI71,4)&gt;0,IF(AND($H71&lt;&gt;"",$H71&lt;=EOMONTH(M$12,0),$I71&gt;=M$12),"BOTH","UX"),IF(AND($H71&lt;&gt;"",$H71&lt;=EOMONTH(M$12,0),$I71&gt;=M$12),"DEV","")))</f>
        <v/>
      </c>
      <c r="N71" s="173" t="str">
        <f>IF($AI71="","",IF(INDEX('Roadmap Calc (Don’t Touch)'!$AA$2:$AX$151,$AI71,5)&gt;0,IF(AND($H71&lt;&gt;"",$H71&lt;=EOMONTH(N$12,0),$I71&gt;=N$12),"BOTH","UX"),IF(AND($H71&lt;&gt;"",$H71&lt;=EOMONTH(N$12,0),$I71&gt;=N$12),"DEV","")))</f>
        <v/>
      </c>
      <c r="O71" s="173" t="str">
        <f>IF($AI71="","",IF(INDEX('Roadmap Calc (Don’t Touch)'!$AA$2:$AX$151,$AI71,6)&gt;0,IF(AND($H71&lt;&gt;"",$H71&lt;=EOMONTH(O$12,0),$I71&gt;=O$12),"BOTH","UX"),IF(AND($H71&lt;&gt;"",$H71&lt;=EOMONTH(O$12,0),$I71&gt;=O$12),"DEV","")))</f>
        <v/>
      </c>
      <c r="P71" s="173" t="str">
        <f>IF($AI71="","",IF(INDEX('Roadmap Calc (Don’t Touch)'!$AA$2:$AX$151,$AI71,7)&gt;0,IF(AND($H71&lt;&gt;"",$H71&lt;=EOMONTH(P$12,0),$I71&gt;=P$12),"BOTH","UX"),IF(AND($H71&lt;&gt;"",$H71&lt;=EOMONTH(P$12,0),$I71&gt;=P$12),"DEV","")))</f>
        <v/>
      </c>
      <c r="Q71" s="173" t="str">
        <f>IF($AI71="","",IF(INDEX('Roadmap Calc (Don’t Touch)'!$AA$2:$AX$151,$AI71,8)&gt;0,IF(AND($H71&lt;&gt;"",$H71&lt;=EOMONTH(Q$12,0),$I71&gt;=Q$12),"BOTH","UX"),IF(AND($H71&lt;&gt;"",$H71&lt;=EOMONTH(Q$12,0),$I71&gt;=Q$12),"DEV","")))</f>
        <v/>
      </c>
      <c r="R71" s="173" t="str">
        <f>IF($AI71="","",IF(INDEX('Roadmap Calc (Don’t Touch)'!$AA$2:$AX$151,$AI71,9)&gt;0,IF(AND($H71&lt;&gt;"",$H71&lt;=EOMONTH(R$12,0),$I71&gt;=R$12),"BOTH","UX"),IF(AND($H71&lt;&gt;"",$H71&lt;=EOMONTH(R$12,0),$I71&gt;=R$12),"DEV","")))</f>
        <v/>
      </c>
      <c r="S71" s="173" t="str">
        <f>IF($AI71="","",IF(INDEX('Roadmap Calc (Don’t Touch)'!$AA$2:$AX$151,$AI71,10)&gt;0,IF(AND($H71&lt;&gt;"",$H71&lt;=EOMONTH(S$12,0),$I71&gt;=S$12),"BOTH","UX"),IF(AND($H71&lt;&gt;"",$H71&lt;=EOMONTH(S$12,0),$I71&gt;=S$12),"DEV","")))</f>
        <v/>
      </c>
      <c r="T71" s="173" t="str">
        <f>IF($AI71="","",IF(INDEX('Roadmap Calc (Don’t Touch)'!$AA$2:$AX$151,$AI71,11)&gt;0,IF(AND($H71&lt;&gt;"",$H71&lt;=EOMONTH(T$12,0),$I71&gt;=T$12),"BOTH","UX"),IF(AND($H71&lt;&gt;"",$H71&lt;=EOMONTH(T$12,0),$I71&gt;=T$12),"DEV","")))</f>
        <v/>
      </c>
      <c r="U71" s="173" t="str">
        <f>IF($AI71="","",IF(INDEX('Roadmap Calc (Don’t Touch)'!$AA$2:$AX$151,$AI71,12)&gt;0,IF(AND($H71&lt;&gt;"",$H71&lt;=EOMONTH(U$12,0),$I71&gt;=U$12),"BOTH","UX"),IF(AND($H71&lt;&gt;"",$H71&lt;=EOMONTH(U$12,0),$I71&gt;=U$12),"DEV","")))</f>
        <v/>
      </c>
      <c r="V71" s="173" t="str">
        <f>IF($AI71="","",IF(INDEX('Roadmap Calc (Don’t Touch)'!$AA$2:$AX$151,$AI71,13)&gt;0,IF(AND($H71&lt;&gt;"",$H71&lt;=EOMONTH(V$12,0),$I71&gt;=V$12),"BOTH","UX"),IF(AND($H71&lt;&gt;"",$H71&lt;=EOMONTH(V$12,0),$I71&gt;=V$12),"DEV","")))</f>
        <v/>
      </c>
      <c r="W71" s="173" t="str">
        <f>IF($AI71="","",IF(INDEX('Roadmap Calc (Don’t Touch)'!$AA$2:$AX$151,$AI71,14)&gt;0,IF(AND($H71&lt;&gt;"",$H71&lt;=EOMONTH(W$12,0),$I71&gt;=W$12),"BOTH","UX"),IF(AND($H71&lt;&gt;"",$H71&lt;=EOMONTH(W$12,0),$I71&gt;=W$12),"DEV","")))</f>
        <v/>
      </c>
      <c r="X71" s="173" t="str">
        <f>IF($AI71="","",IF(INDEX('Roadmap Calc (Don’t Touch)'!$AA$2:$AX$151,$AI71,15)&gt;0,IF(AND($H71&lt;&gt;"",$H71&lt;=EOMONTH(X$12,0),$I71&gt;=X$12),"BOTH","UX"),IF(AND($H71&lt;&gt;"",$H71&lt;=EOMONTH(X$12,0),$I71&gt;=X$12),"DEV","")))</f>
        <v/>
      </c>
      <c r="Y71" s="173" t="str">
        <f>IF($AI71="","",IF(INDEX('Roadmap Calc (Don’t Touch)'!$AA$2:$AX$151,$AI71,16)&gt;0,IF(AND($H71&lt;&gt;"",$H71&lt;=EOMONTH(Y$12,0),$I71&gt;=Y$12),"BOTH","UX"),IF(AND($H71&lt;&gt;"",$H71&lt;=EOMONTH(Y$12,0),$I71&gt;=Y$12),"DEV","")))</f>
        <v/>
      </c>
      <c r="Z71" s="173" t="str">
        <f>IF($AI71="","",IF(INDEX('Roadmap Calc (Don’t Touch)'!$AA$2:$AX$151,$AI71,17)&gt;0,IF(AND($H71&lt;&gt;"",$H71&lt;=EOMONTH(Z$12,0),$I71&gt;=Z$12),"BOTH","UX"),IF(AND($H71&lt;&gt;"",$H71&lt;=EOMONTH(Z$12,0),$I71&gt;=Z$12),"DEV","")))</f>
        <v/>
      </c>
      <c r="AA71" s="173" t="str">
        <f>IF($AI71="","",IF(INDEX('Roadmap Calc (Don’t Touch)'!$AA$2:$AX$151,$AI71,18)&gt;0,IF(AND($H71&lt;&gt;"",$H71&lt;=EOMONTH(AA$12,0),$I71&gt;=AA$12),"BOTH","UX"),IF(AND($H71&lt;&gt;"",$H71&lt;=EOMONTH(AA$12,0),$I71&gt;=AA$12),"DEV","")))</f>
        <v/>
      </c>
      <c r="AB71" s="173" t="str">
        <f>IF($AI71="","",IF(INDEX('Roadmap Calc (Don’t Touch)'!$AA$2:$AX$151,$AI71,19)&gt;0,IF(AND($H71&lt;&gt;"",$H71&lt;=EOMONTH(AB$12,0),$I71&gt;=AB$12),"BOTH","UX"),IF(AND($H71&lt;&gt;"",$H71&lt;=EOMONTH(AB$12,0),$I71&gt;=AB$12),"DEV","")))</f>
        <v/>
      </c>
      <c r="AC71" s="173" t="str">
        <f>IF($AI71="","",IF(INDEX('Roadmap Calc (Don’t Touch)'!$AA$2:$AX$151,$AI71,20)&gt;0,IF(AND($H71&lt;&gt;"",$H71&lt;=EOMONTH(AC$12,0),$I71&gt;=AC$12),"BOTH","UX"),IF(AND($H71&lt;&gt;"",$H71&lt;=EOMONTH(AC$12,0),$I71&gt;=AC$12),"DEV","")))</f>
        <v/>
      </c>
      <c r="AD71" s="173" t="str">
        <f>IF($AI71="","",IF(INDEX('Roadmap Calc (Don’t Touch)'!$AA$2:$AX$151,$AI71,21)&gt;0,IF(AND($H71&lt;&gt;"",$H71&lt;=EOMONTH(AD$12,0),$I71&gt;=AD$12),"BOTH","UX"),IF(AND($H71&lt;&gt;"",$H71&lt;=EOMONTH(AD$12,0),$I71&gt;=AD$12),"DEV","")))</f>
        <v/>
      </c>
      <c r="AE71" s="173" t="str">
        <f>IF($AI71="","",IF(INDEX('Roadmap Calc (Don’t Touch)'!$AA$2:$AX$151,$AI71,22)&gt;0,IF(AND($H71&lt;&gt;"",$H71&lt;=EOMONTH(AE$12,0),$I71&gt;=AE$12),"BOTH","UX"),IF(AND($H71&lt;&gt;"",$H71&lt;=EOMONTH(AE$12,0),$I71&gt;=AE$12),"DEV","")))</f>
        <v/>
      </c>
      <c r="AF71" s="173" t="str">
        <f>IF($AI71="","",IF(INDEX('Roadmap Calc (Don’t Touch)'!$AA$2:$AX$151,$AI71,23)&gt;0,IF(AND($H71&lt;&gt;"",$H71&lt;=EOMONTH(AF$12,0),$I71&gt;=AF$12),"BOTH","UX"),IF(AND($H71&lt;&gt;"",$H71&lt;=EOMONTH(AF$12,0),$I71&gt;=AF$12),"DEV","")))</f>
        <v/>
      </c>
      <c r="AG71" s="173" t="str">
        <f>IF($AI71="","",IF(INDEX('Roadmap Calc (Don’t Touch)'!$AA$2:$AX$151,$AI71,24)&gt;0,IF(AND($H71&lt;&gt;"",$H71&lt;=EOMONTH(AG$12,0),$I71&gt;=AG$12),"BOTH","UX"),IF(AND($H71&lt;&gt;"",$H71&lt;=EOMONTH(AG$12,0),$I71&gt;=AG$12),"DEV","")))</f>
        <v/>
      </c>
      <c r="AH71" s="160" t="str">
        <f>IF($AI71="","",INDEX('Roadmap Calc (Don’t Touch)'!$D$2:$D$151,$AI71))</f>
        <v/>
      </c>
      <c r="AI71" s="160" t="str">
        <f>IFERROR(MATCH(56,'Roadmap Calc (Don’t Touch)'!$O$2:$O$151,0),"")</f>
        <v/>
      </c>
      <c r="AJ71" s="160"/>
      <c r="AK71" s="160"/>
      <c r="AL71" s="160"/>
      <c r="AM71" s="160"/>
    </row>
    <row r="72" spans="1:39" ht="17" customHeight="1" x14ac:dyDescent="0.25">
      <c r="A72" s="167" t="str">
        <f>IF($AI72="","",IF($AH72=$AH71,"",IF(INDEX('Roadmap Calc (Don’t Touch)'!$U$2:$U$151,$AI72)=0,$AH72,HYPERLINK("#'Control (Don’t Touch)'!E"&amp;INDEX('Roadmap Calc (Don’t Touch)'!$U$2:$U$151,$AI72),$AH72))))</f>
        <v/>
      </c>
      <c r="B72" s="168" t="str">
        <f>IF($AI72="","",IF(INDEX('Roadmap Calc (Don’t Touch)'!$K$2:$K$151,$AI72)="",INDEX('Roadmap Calc (Don’t Touch)'!$B$2:$B$151,$AI72),HYPERLINK("https://jira.bnh.com/browse/"&amp;INDEX('Roadmap Calc (Don’t Touch)'!$K$2:$K$151,$AI72),INDEX('Roadmap Calc (Don’t Touch)'!$B$2:$B$151,$AI72))))</f>
        <v/>
      </c>
      <c r="C72" s="168" t="str">
        <f>IF($AI72="","",IF(INDEX('Roadmap Calc (Don’t Touch)'!$E$2:$E$151,$AI72)="","",HYPERLINK("https://jira.bnh.com/browse/"&amp;INDEX('Roadmap Calc (Don’t Touch)'!$E$2:$E$151,$AI72),INDEX('Roadmap Calc (Don’t Touch)'!$E$2:$E$151,$AI72))))</f>
        <v/>
      </c>
      <c r="D72" s="169" t="str">
        <f>IF($AI72="","",INDEX('Roadmap Calc (Don’t Touch)'!$F$2:$F$151,$AI72))</f>
        <v/>
      </c>
      <c r="E72" s="170" t="str">
        <f>IF($AI72="","",IF(ISNUMBER(INDEX('Roadmap Calc (Don’t Touch)'!$G$2:$G$151,$AI72)),INDEX('Roadmap Calc (Don’t Touch)'!$G$2:$G$151,$AI72),""))</f>
        <v/>
      </c>
      <c r="F72" s="170" t="str">
        <f>IF($AI72="","",IF(ISNUMBER(INDEX('Roadmap Calc (Don’t Touch)'!$H$2:$H$151,$AI72)),INDEX('Roadmap Calc (Don’t Touch)'!$H$2:$H$151,$AI72),""))</f>
        <v/>
      </c>
      <c r="G72" s="171" t="str">
        <f>IF($AI72="","",INDEX('Roadmap Calc (Don’t Touch)'!$T$2:$T$151,$AI72))</f>
        <v/>
      </c>
      <c r="H72" s="172" t="str">
        <f>IF($AI72="","",IF(ISNUMBER(INDEX('Roadmap Calc (Don’t Touch)'!$I$2:$I$151,$AI72)),INDEX('Roadmap Calc (Don’t Touch)'!$I$2:$I$151,$AI72),""))</f>
        <v/>
      </c>
      <c r="I72" s="172" t="str">
        <f>IF($AI72="","",IF(ISNUMBER(INDEX('Roadmap Calc (Don’t Touch)'!$J$2:$J$151,$AI72)),INDEX('Roadmap Calc (Don’t Touch)'!$J$2:$J$151,$AI72),""))</f>
        <v/>
      </c>
      <c r="J72" s="173" t="str">
        <f>IF($AI72="","",IF(INDEX('Roadmap Calc (Don’t Touch)'!$AA$2:$AX$151,$AI72,1)&gt;0,IF(AND($H72&lt;&gt;"",$H72&lt;=EOMONTH(J$12,0),$I72&gt;=J$12),"BOTH","UX"),IF(AND($H72&lt;&gt;"",$H72&lt;=EOMONTH(J$12,0),$I72&gt;=J$12),"DEV","")))</f>
        <v/>
      </c>
      <c r="K72" s="173" t="str">
        <f>IF($AI72="","",IF(INDEX('Roadmap Calc (Don’t Touch)'!$AA$2:$AX$151,$AI72,2)&gt;0,IF(AND($H72&lt;&gt;"",$H72&lt;=EOMONTH(K$12,0),$I72&gt;=K$12),"BOTH","UX"),IF(AND($H72&lt;&gt;"",$H72&lt;=EOMONTH(K$12,0),$I72&gt;=K$12),"DEV","")))</f>
        <v/>
      </c>
      <c r="L72" s="173" t="str">
        <f>IF($AI72="","",IF(INDEX('Roadmap Calc (Don’t Touch)'!$AA$2:$AX$151,$AI72,3)&gt;0,IF(AND($H72&lt;&gt;"",$H72&lt;=EOMONTH(L$12,0),$I72&gt;=L$12),"BOTH","UX"),IF(AND($H72&lt;&gt;"",$H72&lt;=EOMONTH(L$12,0),$I72&gt;=L$12),"DEV","")))</f>
        <v/>
      </c>
      <c r="M72" s="173" t="str">
        <f>IF($AI72="","",IF(INDEX('Roadmap Calc (Don’t Touch)'!$AA$2:$AX$151,$AI72,4)&gt;0,IF(AND($H72&lt;&gt;"",$H72&lt;=EOMONTH(M$12,0),$I72&gt;=M$12),"BOTH","UX"),IF(AND($H72&lt;&gt;"",$H72&lt;=EOMONTH(M$12,0),$I72&gt;=M$12),"DEV","")))</f>
        <v/>
      </c>
      <c r="N72" s="173" t="str">
        <f>IF($AI72="","",IF(INDEX('Roadmap Calc (Don’t Touch)'!$AA$2:$AX$151,$AI72,5)&gt;0,IF(AND($H72&lt;&gt;"",$H72&lt;=EOMONTH(N$12,0),$I72&gt;=N$12),"BOTH","UX"),IF(AND($H72&lt;&gt;"",$H72&lt;=EOMONTH(N$12,0),$I72&gt;=N$12),"DEV","")))</f>
        <v/>
      </c>
      <c r="O72" s="173" t="str">
        <f>IF($AI72="","",IF(INDEX('Roadmap Calc (Don’t Touch)'!$AA$2:$AX$151,$AI72,6)&gt;0,IF(AND($H72&lt;&gt;"",$H72&lt;=EOMONTH(O$12,0),$I72&gt;=O$12),"BOTH","UX"),IF(AND($H72&lt;&gt;"",$H72&lt;=EOMONTH(O$12,0),$I72&gt;=O$12),"DEV","")))</f>
        <v/>
      </c>
      <c r="P72" s="173" t="str">
        <f>IF($AI72="","",IF(INDEX('Roadmap Calc (Don’t Touch)'!$AA$2:$AX$151,$AI72,7)&gt;0,IF(AND($H72&lt;&gt;"",$H72&lt;=EOMONTH(P$12,0),$I72&gt;=P$12),"BOTH","UX"),IF(AND($H72&lt;&gt;"",$H72&lt;=EOMONTH(P$12,0),$I72&gt;=P$12),"DEV","")))</f>
        <v/>
      </c>
      <c r="Q72" s="173" t="str">
        <f>IF($AI72="","",IF(INDEX('Roadmap Calc (Don’t Touch)'!$AA$2:$AX$151,$AI72,8)&gt;0,IF(AND($H72&lt;&gt;"",$H72&lt;=EOMONTH(Q$12,0),$I72&gt;=Q$12),"BOTH","UX"),IF(AND($H72&lt;&gt;"",$H72&lt;=EOMONTH(Q$12,0),$I72&gt;=Q$12),"DEV","")))</f>
        <v/>
      </c>
      <c r="R72" s="173" t="str">
        <f>IF($AI72="","",IF(INDEX('Roadmap Calc (Don’t Touch)'!$AA$2:$AX$151,$AI72,9)&gt;0,IF(AND($H72&lt;&gt;"",$H72&lt;=EOMONTH(R$12,0),$I72&gt;=R$12),"BOTH","UX"),IF(AND($H72&lt;&gt;"",$H72&lt;=EOMONTH(R$12,0),$I72&gt;=R$12),"DEV","")))</f>
        <v/>
      </c>
      <c r="S72" s="173" t="str">
        <f>IF($AI72="","",IF(INDEX('Roadmap Calc (Don’t Touch)'!$AA$2:$AX$151,$AI72,10)&gt;0,IF(AND($H72&lt;&gt;"",$H72&lt;=EOMONTH(S$12,0),$I72&gt;=S$12),"BOTH","UX"),IF(AND($H72&lt;&gt;"",$H72&lt;=EOMONTH(S$12,0),$I72&gt;=S$12),"DEV","")))</f>
        <v/>
      </c>
      <c r="T72" s="173" t="str">
        <f>IF($AI72="","",IF(INDEX('Roadmap Calc (Don’t Touch)'!$AA$2:$AX$151,$AI72,11)&gt;0,IF(AND($H72&lt;&gt;"",$H72&lt;=EOMONTH(T$12,0),$I72&gt;=T$12),"BOTH","UX"),IF(AND($H72&lt;&gt;"",$H72&lt;=EOMONTH(T$12,0),$I72&gt;=T$12),"DEV","")))</f>
        <v/>
      </c>
      <c r="U72" s="173" t="str">
        <f>IF($AI72="","",IF(INDEX('Roadmap Calc (Don’t Touch)'!$AA$2:$AX$151,$AI72,12)&gt;0,IF(AND($H72&lt;&gt;"",$H72&lt;=EOMONTH(U$12,0),$I72&gt;=U$12),"BOTH","UX"),IF(AND($H72&lt;&gt;"",$H72&lt;=EOMONTH(U$12,0),$I72&gt;=U$12),"DEV","")))</f>
        <v/>
      </c>
      <c r="V72" s="173" t="str">
        <f>IF($AI72="","",IF(INDEX('Roadmap Calc (Don’t Touch)'!$AA$2:$AX$151,$AI72,13)&gt;0,IF(AND($H72&lt;&gt;"",$H72&lt;=EOMONTH(V$12,0),$I72&gt;=V$12),"BOTH","UX"),IF(AND($H72&lt;&gt;"",$H72&lt;=EOMONTH(V$12,0),$I72&gt;=V$12),"DEV","")))</f>
        <v/>
      </c>
      <c r="W72" s="173" t="str">
        <f>IF($AI72="","",IF(INDEX('Roadmap Calc (Don’t Touch)'!$AA$2:$AX$151,$AI72,14)&gt;0,IF(AND($H72&lt;&gt;"",$H72&lt;=EOMONTH(W$12,0),$I72&gt;=W$12),"BOTH","UX"),IF(AND($H72&lt;&gt;"",$H72&lt;=EOMONTH(W$12,0),$I72&gt;=W$12),"DEV","")))</f>
        <v/>
      </c>
      <c r="X72" s="173" t="str">
        <f>IF($AI72="","",IF(INDEX('Roadmap Calc (Don’t Touch)'!$AA$2:$AX$151,$AI72,15)&gt;0,IF(AND($H72&lt;&gt;"",$H72&lt;=EOMONTH(X$12,0),$I72&gt;=X$12),"BOTH","UX"),IF(AND($H72&lt;&gt;"",$H72&lt;=EOMONTH(X$12,0),$I72&gt;=X$12),"DEV","")))</f>
        <v/>
      </c>
      <c r="Y72" s="173" t="str">
        <f>IF($AI72="","",IF(INDEX('Roadmap Calc (Don’t Touch)'!$AA$2:$AX$151,$AI72,16)&gt;0,IF(AND($H72&lt;&gt;"",$H72&lt;=EOMONTH(Y$12,0),$I72&gt;=Y$12),"BOTH","UX"),IF(AND($H72&lt;&gt;"",$H72&lt;=EOMONTH(Y$12,0),$I72&gt;=Y$12),"DEV","")))</f>
        <v/>
      </c>
      <c r="Z72" s="173" t="str">
        <f>IF($AI72="","",IF(INDEX('Roadmap Calc (Don’t Touch)'!$AA$2:$AX$151,$AI72,17)&gt;0,IF(AND($H72&lt;&gt;"",$H72&lt;=EOMONTH(Z$12,0),$I72&gt;=Z$12),"BOTH","UX"),IF(AND($H72&lt;&gt;"",$H72&lt;=EOMONTH(Z$12,0),$I72&gt;=Z$12),"DEV","")))</f>
        <v/>
      </c>
      <c r="AA72" s="173" t="str">
        <f>IF($AI72="","",IF(INDEX('Roadmap Calc (Don’t Touch)'!$AA$2:$AX$151,$AI72,18)&gt;0,IF(AND($H72&lt;&gt;"",$H72&lt;=EOMONTH(AA$12,0),$I72&gt;=AA$12),"BOTH","UX"),IF(AND($H72&lt;&gt;"",$H72&lt;=EOMONTH(AA$12,0),$I72&gt;=AA$12),"DEV","")))</f>
        <v/>
      </c>
      <c r="AB72" s="173" t="str">
        <f>IF($AI72="","",IF(INDEX('Roadmap Calc (Don’t Touch)'!$AA$2:$AX$151,$AI72,19)&gt;0,IF(AND($H72&lt;&gt;"",$H72&lt;=EOMONTH(AB$12,0),$I72&gt;=AB$12),"BOTH","UX"),IF(AND($H72&lt;&gt;"",$H72&lt;=EOMONTH(AB$12,0),$I72&gt;=AB$12),"DEV","")))</f>
        <v/>
      </c>
      <c r="AC72" s="173" t="str">
        <f>IF($AI72="","",IF(INDEX('Roadmap Calc (Don’t Touch)'!$AA$2:$AX$151,$AI72,20)&gt;0,IF(AND($H72&lt;&gt;"",$H72&lt;=EOMONTH(AC$12,0),$I72&gt;=AC$12),"BOTH","UX"),IF(AND($H72&lt;&gt;"",$H72&lt;=EOMONTH(AC$12,0),$I72&gt;=AC$12),"DEV","")))</f>
        <v/>
      </c>
      <c r="AD72" s="173" t="str">
        <f>IF($AI72="","",IF(INDEX('Roadmap Calc (Don’t Touch)'!$AA$2:$AX$151,$AI72,21)&gt;0,IF(AND($H72&lt;&gt;"",$H72&lt;=EOMONTH(AD$12,0),$I72&gt;=AD$12),"BOTH","UX"),IF(AND($H72&lt;&gt;"",$H72&lt;=EOMONTH(AD$12,0),$I72&gt;=AD$12),"DEV","")))</f>
        <v/>
      </c>
      <c r="AE72" s="173" t="str">
        <f>IF($AI72="","",IF(INDEX('Roadmap Calc (Don’t Touch)'!$AA$2:$AX$151,$AI72,22)&gt;0,IF(AND($H72&lt;&gt;"",$H72&lt;=EOMONTH(AE$12,0),$I72&gt;=AE$12),"BOTH","UX"),IF(AND($H72&lt;&gt;"",$H72&lt;=EOMONTH(AE$12,0),$I72&gt;=AE$12),"DEV","")))</f>
        <v/>
      </c>
      <c r="AF72" s="173" t="str">
        <f>IF($AI72="","",IF(INDEX('Roadmap Calc (Don’t Touch)'!$AA$2:$AX$151,$AI72,23)&gt;0,IF(AND($H72&lt;&gt;"",$H72&lt;=EOMONTH(AF$12,0),$I72&gt;=AF$12),"BOTH","UX"),IF(AND($H72&lt;&gt;"",$H72&lt;=EOMONTH(AF$12,0),$I72&gt;=AF$12),"DEV","")))</f>
        <v/>
      </c>
      <c r="AG72" s="173" t="str">
        <f>IF($AI72="","",IF(INDEX('Roadmap Calc (Don’t Touch)'!$AA$2:$AX$151,$AI72,24)&gt;0,IF(AND($H72&lt;&gt;"",$H72&lt;=EOMONTH(AG$12,0),$I72&gt;=AG$12),"BOTH","UX"),IF(AND($H72&lt;&gt;"",$H72&lt;=EOMONTH(AG$12,0),$I72&gt;=AG$12),"DEV","")))</f>
        <v/>
      </c>
      <c r="AH72" s="160" t="str">
        <f>IF($AI72="","",INDEX('Roadmap Calc (Don’t Touch)'!$D$2:$D$151,$AI72))</f>
        <v/>
      </c>
      <c r="AI72" s="160" t="str">
        <f>IFERROR(MATCH(57,'Roadmap Calc (Don’t Touch)'!$O$2:$O$151,0),"")</f>
        <v/>
      </c>
      <c r="AJ72" s="160"/>
      <c r="AK72" s="160"/>
      <c r="AL72" s="160"/>
      <c r="AM72" s="160"/>
    </row>
    <row r="73" spans="1:39" ht="17" customHeight="1" x14ac:dyDescent="0.25">
      <c r="A73" s="167" t="str">
        <f>IF($AI73="","",IF($AH73=$AH72,"",IF(INDEX('Roadmap Calc (Don’t Touch)'!$U$2:$U$151,$AI73)=0,$AH73,HYPERLINK("#'Control (Don’t Touch)'!E"&amp;INDEX('Roadmap Calc (Don’t Touch)'!$U$2:$U$151,$AI73),$AH73))))</f>
        <v/>
      </c>
      <c r="B73" s="168" t="str">
        <f>IF($AI73="","",IF(INDEX('Roadmap Calc (Don’t Touch)'!$K$2:$K$151,$AI73)="",INDEX('Roadmap Calc (Don’t Touch)'!$B$2:$B$151,$AI73),HYPERLINK("https://jira.bnh.com/browse/"&amp;INDEX('Roadmap Calc (Don’t Touch)'!$K$2:$K$151,$AI73),INDEX('Roadmap Calc (Don’t Touch)'!$B$2:$B$151,$AI73))))</f>
        <v/>
      </c>
      <c r="C73" s="168" t="str">
        <f>IF($AI73="","",IF(INDEX('Roadmap Calc (Don’t Touch)'!$E$2:$E$151,$AI73)="","",HYPERLINK("https://jira.bnh.com/browse/"&amp;INDEX('Roadmap Calc (Don’t Touch)'!$E$2:$E$151,$AI73),INDEX('Roadmap Calc (Don’t Touch)'!$E$2:$E$151,$AI73))))</f>
        <v/>
      </c>
      <c r="D73" s="169" t="str">
        <f>IF($AI73="","",INDEX('Roadmap Calc (Don’t Touch)'!$F$2:$F$151,$AI73))</f>
        <v/>
      </c>
      <c r="E73" s="170" t="str">
        <f>IF($AI73="","",IF(ISNUMBER(INDEX('Roadmap Calc (Don’t Touch)'!$G$2:$G$151,$AI73)),INDEX('Roadmap Calc (Don’t Touch)'!$G$2:$G$151,$AI73),""))</f>
        <v/>
      </c>
      <c r="F73" s="170" t="str">
        <f>IF($AI73="","",IF(ISNUMBER(INDEX('Roadmap Calc (Don’t Touch)'!$H$2:$H$151,$AI73)),INDEX('Roadmap Calc (Don’t Touch)'!$H$2:$H$151,$AI73),""))</f>
        <v/>
      </c>
      <c r="G73" s="171" t="str">
        <f>IF($AI73="","",INDEX('Roadmap Calc (Don’t Touch)'!$T$2:$T$151,$AI73))</f>
        <v/>
      </c>
      <c r="H73" s="172" t="str">
        <f>IF($AI73="","",IF(ISNUMBER(INDEX('Roadmap Calc (Don’t Touch)'!$I$2:$I$151,$AI73)),INDEX('Roadmap Calc (Don’t Touch)'!$I$2:$I$151,$AI73),""))</f>
        <v/>
      </c>
      <c r="I73" s="172" t="str">
        <f>IF($AI73="","",IF(ISNUMBER(INDEX('Roadmap Calc (Don’t Touch)'!$J$2:$J$151,$AI73)),INDEX('Roadmap Calc (Don’t Touch)'!$J$2:$J$151,$AI73),""))</f>
        <v/>
      </c>
      <c r="J73" s="173" t="str">
        <f>IF($AI73="","",IF(INDEX('Roadmap Calc (Don’t Touch)'!$AA$2:$AX$151,$AI73,1)&gt;0,IF(AND($H73&lt;&gt;"",$H73&lt;=EOMONTH(J$12,0),$I73&gt;=J$12),"BOTH","UX"),IF(AND($H73&lt;&gt;"",$H73&lt;=EOMONTH(J$12,0),$I73&gt;=J$12),"DEV","")))</f>
        <v/>
      </c>
      <c r="K73" s="173" t="str">
        <f>IF($AI73="","",IF(INDEX('Roadmap Calc (Don’t Touch)'!$AA$2:$AX$151,$AI73,2)&gt;0,IF(AND($H73&lt;&gt;"",$H73&lt;=EOMONTH(K$12,0),$I73&gt;=K$12),"BOTH","UX"),IF(AND($H73&lt;&gt;"",$H73&lt;=EOMONTH(K$12,0),$I73&gt;=K$12),"DEV","")))</f>
        <v/>
      </c>
      <c r="L73" s="173" t="str">
        <f>IF($AI73="","",IF(INDEX('Roadmap Calc (Don’t Touch)'!$AA$2:$AX$151,$AI73,3)&gt;0,IF(AND($H73&lt;&gt;"",$H73&lt;=EOMONTH(L$12,0),$I73&gt;=L$12),"BOTH","UX"),IF(AND($H73&lt;&gt;"",$H73&lt;=EOMONTH(L$12,0),$I73&gt;=L$12),"DEV","")))</f>
        <v/>
      </c>
      <c r="M73" s="173" t="str">
        <f>IF($AI73="","",IF(INDEX('Roadmap Calc (Don’t Touch)'!$AA$2:$AX$151,$AI73,4)&gt;0,IF(AND($H73&lt;&gt;"",$H73&lt;=EOMONTH(M$12,0),$I73&gt;=M$12),"BOTH","UX"),IF(AND($H73&lt;&gt;"",$H73&lt;=EOMONTH(M$12,0),$I73&gt;=M$12),"DEV","")))</f>
        <v/>
      </c>
      <c r="N73" s="173" t="str">
        <f>IF($AI73="","",IF(INDEX('Roadmap Calc (Don’t Touch)'!$AA$2:$AX$151,$AI73,5)&gt;0,IF(AND($H73&lt;&gt;"",$H73&lt;=EOMONTH(N$12,0),$I73&gt;=N$12),"BOTH","UX"),IF(AND($H73&lt;&gt;"",$H73&lt;=EOMONTH(N$12,0),$I73&gt;=N$12),"DEV","")))</f>
        <v/>
      </c>
      <c r="O73" s="173" t="str">
        <f>IF($AI73="","",IF(INDEX('Roadmap Calc (Don’t Touch)'!$AA$2:$AX$151,$AI73,6)&gt;0,IF(AND($H73&lt;&gt;"",$H73&lt;=EOMONTH(O$12,0),$I73&gt;=O$12),"BOTH","UX"),IF(AND($H73&lt;&gt;"",$H73&lt;=EOMONTH(O$12,0),$I73&gt;=O$12),"DEV","")))</f>
        <v/>
      </c>
      <c r="P73" s="173" t="str">
        <f>IF($AI73="","",IF(INDEX('Roadmap Calc (Don’t Touch)'!$AA$2:$AX$151,$AI73,7)&gt;0,IF(AND($H73&lt;&gt;"",$H73&lt;=EOMONTH(P$12,0),$I73&gt;=P$12),"BOTH","UX"),IF(AND($H73&lt;&gt;"",$H73&lt;=EOMONTH(P$12,0),$I73&gt;=P$12),"DEV","")))</f>
        <v/>
      </c>
      <c r="Q73" s="173" t="str">
        <f>IF($AI73="","",IF(INDEX('Roadmap Calc (Don’t Touch)'!$AA$2:$AX$151,$AI73,8)&gt;0,IF(AND($H73&lt;&gt;"",$H73&lt;=EOMONTH(Q$12,0),$I73&gt;=Q$12),"BOTH","UX"),IF(AND($H73&lt;&gt;"",$H73&lt;=EOMONTH(Q$12,0),$I73&gt;=Q$12),"DEV","")))</f>
        <v/>
      </c>
      <c r="R73" s="173" t="str">
        <f>IF($AI73="","",IF(INDEX('Roadmap Calc (Don’t Touch)'!$AA$2:$AX$151,$AI73,9)&gt;0,IF(AND($H73&lt;&gt;"",$H73&lt;=EOMONTH(R$12,0),$I73&gt;=R$12),"BOTH","UX"),IF(AND($H73&lt;&gt;"",$H73&lt;=EOMONTH(R$12,0),$I73&gt;=R$12),"DEV","")))</f>
        <v/>
      </c>
      <c r="S73" s="173" t="str">
        <f>IF($AI73="","",IF(INDEX('Roadmap Calc (Don’t Touch)'!$AA$2:$AX$151,$AI73,10)&gt;0,IF(AND($H73&lt;&gt;"",$H73&lt;=EOMONTH(S$12,0),$I73&gt;=S$12),"BOTH","UX"),IF(AND($H73&lt;&gt;"",$H73&lt;=EOMONTH(S$12,0),$I73&gt;=S$12),"DEV","")))</f>
        <v/>
      </c>
      <c r="T73" s="173" t="str">
        <f>IF($AI73="","",IF(INDEX('Roadmap Calc (Don’t Touch)'!$AA$2:$AX$151,$AI73,11)&gt;0,IF(AND($H73&lt;&gt;"",$H73&lt;=EOMONTH(T$12,0),$I73&gt;=T$12),"BOTH","UX"),IF(AND($H73&lt;&gt;"",$H73&lt;=EOMONTH(T$12,0),$I73&gt;=T$12),"DEV","")))</f>
        <v/>
      </c>
      <c r="U73" s="173" t="str">
        <f>IF($AI73="","",IF(INDEX('Roadmap Calc (Don’t Touch)'!$AA$2:$AX$151,$AI73,12)&gt;0,IF(AND($H73&lt;&gt;"",$H73&lt;=EOMONTH(U$12,0),$I73&gt;=U$12),"BOTH","UX"),IF(AND($H73&lt;&gt;"",$H73&lt;=EOMONTH(U$12,0),$I73&gt;=U$12),"DEV","")))</f>
        <v/>
      </c>
      <c r="V73" s="173" t="str">
        <f>IF($AI73="","",IF(INDEX('Roadmap Calc (Don’t Touch)'!$AA$2:$AX$151,$AI73,13)&gt;0,IF(AND($H73&lt;&gt;"",$H73&lt;=EOMONTH(V$12,0),$I73&gt;=V$12),"BOTH","UX"),IF(AND($H73&lt;&gt;"",$H73&lt;=EOMONTH(V$12,0),$I73&gt;=V$12),"DEV","")))</f>
        <v/>
      </c>
      <c r="W73" s="173" t="str">
        <f>IF($AI73="","",IF(INDEX('Roadmap Calc (Don’t Touch)'!$AA$2:$AX$151,$AI73,14)&gt;0,IF(AND($H73&lt;&gt;"",$H73&lt;=EOMONTH(W$12,0),$I73&gt;=W$12),"BOTH","UX"),IF(AND($H73&lt;&gt;"",$H73&lt;=EOMONTH(W$12,0),$I73&gt;=W$12),"DEV","")))</f>
        <v/>
      </c>
      <c r="X73" s="173" t="str">
        <f>IF($AI73="","",IF(INDEX('Roadmap Calc (Don’t Touch)'!$AA$2:$AX$151,$AI73,15)&gt;0,IF(AND($H73&lt;&gt;"",$H73&lt;=EOMONTH(X$12,0),$I73&gt;=X$12),"BOTH","UX"),IF(AND($H73&lt;&gt;"",$H73&lt;=EOMONTH(X$12,0),$I73&gt;=X$12),"DEV","")))</f>
        <v/>
      </c>
      <c r="Y73" s="173" t="str">
        <f>IF($AI73="","",IF(INDEX('Roadmap Calc (Don’t Touch)'!$AA$2:$AX$151,$AI73,16)&gt;0,IF(AND($H73&lt;&gt;"",$H73&lt;=EOMONTH(Y$12,0),$I73&gt;=Y$12),"BOTH","UX"),IF(AND($H73&lt;&gt;"",$H73&lt;=EOMONTH(Y$12,0),$I73&gt;=Y$12),"DEV","")))</f>
        <v/>
      </c>
      <c r="Z73" s="173" t="str">
        <f>IF($AI73="","",IF(INDEX('Roadmap Calc (Don’t Touch)'!$AA$2:$AX$151,$AI73,17)&gt;0,IF(AND($H73&lt;&gt;"",$H73&lt;=EOMONTH(Z$12,0),$I73&gt;=Z$12),"BOTH","UX"),IF(AND($H73&lt;&gt;"",$H73&lt;=EOMONTH(Z$12,0),$I73&gt;=Z$12),"DEV","")))</f>
        <v/>
      </c>
      <c r="AA73" s="173" t="str">
        <f>IF($AI73="","",IF(INDEX('Roadmap Calc (Don’t Touch)'!$AA$2:$AX$151,$AI73,18)&gt;0,IF(AND($H73&lt;&gt;"",$H73&lt;=EOMONTH(AA$12,0),$I73&gt;=AA$12),"BOTH","UX"),IF(AND($H73&lt;&gt;"",$H73&lt;=EOMONTH(AA$12,0),$I73&gt;=AA$12),"DEV","")))</f>
        <v/>
      </c>
      <c r="AB73" s="173" t="str">
        <f>IF($AI73="","",IF(INDEX('Roadmap Calc (Don’t Touch)'!$AA$2:$AX$151,$AI73,19)&gt;0,IF(AND($H73&lt;&gt;"",$H73&lt;=EOMONTH(AB$12,0),$I73&gt;=AB$12),"BOTH","UX"),IF(AND($H73&lt;&gt;"",$H73&lt;=EOMONTH(AB$12,0),$I73&gt;=AB$12),"DEV","")))</f>
        <v/>
      </c>
      <c r="AC73" s="173" t="str">
        <f>IF($AI73="","",IF(INDEX('Roadmap Calc (Don’t Touch)'!$AA$2:$AX$151,$AI73,20)&gt;0,IF(AND($H73&lt;&gt;"",$H73&lt;=EOMONTH(AC$12,0),$I73&gt;=AC$12),"BOTH","UX"),IF(AND($H73&lt;&gt;"",$H73&lt;=EOMONTH(AC$12,0),$I73&gt;=AC$12),"DEV","")))</f>
        <v/>
      </c>
      <c r="AD73" s="173" t="str">
        <f>IF($AI73="","",IF(INDEX('Roadmap Calc (Don’t Touch)'!$AA$2:$AX$151,$AI73,21)&gt;0,IF(AND($H73&lt;&gt;"",$H73&lt;=EOMONTH(AD$12,0),$I73&gt;=AD$12),"BOTH","UX"),IF(AND($H73&lt;&gt;"",$H73&lt;=EOMONTH(AD$12,0),$I73&gt;=AD$12),"DEV","")))</f>
        <v/>
      </c>
      <c r="AE73" s="173" t="str">
        <f>IF($AI73="","",IF(INDEX('Roadmap Calc (Don’t Touch)'!$AA$2:$AX$151,$AI73,22)&gt;0,IF(AND($H73&lt;&gt;"",$H73&lt;=EOMONTH(AE$12,0),$I73&gt;=AE$12),"BOTH","UX"),IF(AND($H73&lt;&gt;"",$H73&lt;=EOMONTH(AE$12,0),$I73&gt;=AE$12),"DEV","")))</f>
        <v/>
      </c>
      <c r="AF73" s="173" t="str">
        <f>IF($AI73="","",IF(INDEX('Roadmap Calc (Don’t Touch)'!$AA$2:$AX$151,$AI73,23)&gt;0,IF(AND($H73&lt;&gt;"",$H73&lt;=EOMONTH(AF$12,0),$I73&gt;=AF$12),"BOTH","UX"),IF(AND($H73&lt;&gt;"",$H73&lt;=EOMONTH(AF$12,0),$I73&gt;=AF$12),"DEV","")))</f>
        <v/>
      </c>
      <c r="AG73" s="173" t="str">
        <f>IF($AI73="","",IF(INDEX('Roadmap Calc (Don’t Touch)'!$AA$2:$AX$151,$AI73,24)&gt;0,IF(AND($H73&lt;&gt;"",$H73&lt;=EOMONTH(AG$12,0),$I73&gt;=AG$12),"BOTH","UX"),IF(AND($H73&lt;&gt;"",$H73&lt;=EOMONTH(AG$12,0),$I73&gt;=AG$12),"DEV","")))</f>
        <v/>
      </c>
      <c r="AH73" s="160" t="str">
        <f>IF($AI73="","",INDEX('Roadmap Calc (Don’t Touch)'!$D$2:$D$151,$AI73))</f>
        <v/>
      </c>
      <c r="AI73" s="160" t="str">
        <f>IFERROR(MATCH(58,'Roadmap Calc (Don’t Touch)'!$O$2:$O$151,0),"")</f>
        <v/>
      </c>
      <c r="AJ73" s="160"/>
      <c r="AK73" s="160"/>
      <c r="AL73" s="160"/>
      <c r="AM73" s="160"/>
    </row>
    <row r="74" spans="1:39" ht="17" customHeight="1" x14ac:dyDescent="0.25">
      <c r="A74" s="167" t="str">
        <f>IF($AI74="","",IF($AH74=$AH73,"",IF(INDEX('Roadmap Calc (Don’t Touch)'!$U$2:$U$151,$AI74)=0,$AH74,HYPERLINK("#'Control (Don’t Touch)'!E"&amp;INDEX('Roadmap Calc (Don’t Touch)'!$U$2:$U$151,$AI74),$AH74))))</f>
        <v/>
      </c>
      <c r="B74" s="168" t="str">
        <f>IF($AI74="","",IF(INDEX('Roadmap Calc (Don’t Touch)'!$K$2:$K$151,$AI74)="",INDEX('Roadmap Calc (Don’t Touch)'!$B$2:$B$151,$AI74),HYPERLINK("https://jira.bnh.com/browse/"&amp;INDEX('Roadmap Calc (Don’t Touch)'!$K$2:$K$151,$AI74),INDEX('Roadmap Calc (Don’t Touch)'!$B$2:$B$151,$AI74))))</f>
        <v/>
      </c>
      <c r="C74" s="168" t="str">
        <f>IF($AI74="","",IF(INDEX('Roadmap Calc (Don’t Touch)'!$E$2:$E$151,$AI74)="","",HYPERLINK("https://jira.bnh.com/browse/"&amp;INDEX('Roadmap Calc (Don’t Touch)'!$E$2:$E$151,$AI74),INDEX('Roadmap Calc (Don’t Touch)'!$E$2:$E$151,$AI74))))</f>
        <v/>
      </c>
      <c r="D74" s="169" t="str">
        <f>IF($AI74="","",INDEX('Roadmap Calc (Don’t Touch)'!$F$2:$F$151,$AI74))</f>
        <v/>
      </c>
      <c r="E74" s="170" t="str">
        <f>IF($AI74="","",IF(ISNUMBER(INDEX('Roadmap Calc (Don’t Touch)'!$G$2:$G$151,$AI74)),INDEX('Roadmap Calc (Don’t Touch)'!$G$2:$G$151,$AI74),""))</f>
        <v/>
      </c>
      <c r="F74" s="170" t="str">
        <f>IF($AI74="","",IF(ISNUMBER(INDEX('Roadmap Calc (Don’t Touch)'!$H$2:$H$151,$AI74)),INDEX('Roadmap Calc (Don’t Touch)'!$H$2:$H$151,$AI74),""))</f>
        <v/>
      </c>
      <c r="G74" s="171" t="str">
        <f>IF($AI74="","",INDEX('Roadmap Calc (Don’t Touch)'!$T$2:$T$151,$AI74))</f>
        <v/>
      </c>
      <c r="H74" s="172" t="str">
        <f>IF($AI74="","",IF(ISNUMBER(INDEX('Roadmap Calc (Don’t Touch)'!$I$2:$I$151,$AI74)),INDEX('Roadmap Calc (Don’t Touch)'!$I$2:$I$151,$AI74),""))</f>
        <v/>
      </c>
      <c r="I74" s="172" t="str">
        <f>IF($AI74="","",IF(ISNUMBER(INDEX('Roadmap Calc (Don’t Touch)'!$J$2:$J$151,$AI74)),INDEX('Roadmap Calc (Don’t Touch)'!$J$2:$J$151,$AI74),""))</f>
        <v/>
      </c>
      <c r="J74" s="173" t="str">
        <f>IF($AI74="","",IF(INDEX('Roadmap Calc (Don’t Touch)'!$AA$2:$AX$151,$AI74,1)&gt;0,IF(AND($H74&lt;&gt;"",$H74&lt;=EOMONTH(J$12,0),$I74&gt;=J$12),"BOTH","UX"),IF(AND($H74&lt;&gt;"",$H74&lt;=EOMONTH(J$12,0),$I74&gt;=J$12),"DEV","")))</f>
        <v/>
      </c>
      <c r="K74" s="173" t="str">
        <f>IF($AI74="","",IF(INDEX('Roadmap Calc (Don’t Touch)'!$AA$2:$AX$151,$AI74,2)&gt;0,IF(AND($H74&lt;&gt;"",$H74&lt;=EOMONTH(K$12,0),$I74&gt;=K$12),"BOTH","UX"),IF(AND($H74&lt;&gt;"",$H74&lt;=EOMONTH(K$12,0),$I74&gt;=K$12),"DEV","")))</f>
        <v/>
      </c>
      <c r="L74" s="173" t="str">
        <f>IF($AI74="","",IF(INDEX('Roadmap Calc (Don’t Touch)'!$AA$2:$AX$151,$AI74,3)&gt;0,IF(AND($H74&lt;&gt;"",$H74&lt;=EOMONTH(L$12,0),$I74&gt;=L$12),"BOTH","UX"),IF(AND($H74&lt;&gt;"",$H74&lt;=EOMONTH(L$12,0),$I74&gt;=L$12),"DEV","")))</f>
        <v/>
      </c>
      <c r="M74" s="173" t="str">
        <f>IF($AI74="","",IF(INDEX('Roadmap Calc (Don’t Touch)'!$AA$2:$AX$151,$AI74,4)&gt;0,IF(AND($H74&lt;&gt;"",$H74&lt;=EOMONTH(M$12,0),$I74&gt;=M$12),"BOTH","UX"),IF(AND($H74&lt;&gt;"",$H74&lt;=EOMONTH(M$12,0),$I74&gt;=M$12),"DEV","")))</f>
        <v/>
      </c>
      <c r="N74" s="173" t="str">
        <f>IF($AI74="","",IF(INDEX('Roadmap Calc (Don’t Touch)'!$AA$2:$AX$151,$AI74,5)&gt;0,IF(AND($H74&lt;&gt;"",$H74&lt;=EOMONTH(N$12,0),$I74&gt;=N$12),"BOTH","UX"),IF(AND($H74&lt;&gt;"",$H74&lt;=EOMONTH(N$12,0),$I74&gt;=N$12),"DEV","")))</f>
        <v/>
      </c>
      <c r="O74" s="173" t="str">
        <f>IF($AI74="","",IF(INDEX('Roadmap Calc (Don’t Touch)'!$AA$2:$AX$151,$AI74,6)&gt;0,IF(AND($H74&lt;&gt;"",$H74&lt;=EOMONTH(O$12,0),$I74&gt;=O$12),"BOTH","UX"),IF(AND($H74&lt;&gt;"",$H74&lt;=EOMONTH(O$12,0),$I74&gt;=O$12),"DEV","")))</f>
        <v/>
      </c>
      <c r="P74" s="173" t="str">
        <f>IF($AI74="","",IF(INDEX('Roadmap Calc (Don’t Touch)'!$AA$2:$AX$151,$AI74,7)&gt;0,IF(AND($H74&lt;&gt;"",$H74&lt;=EOMONTH(P$12,0),$I74&gt;=P$12),"BOTH","UX"),IF(AND($H74&lt;&gt;"",$H74&lt;=EOMONTH(P$12,0),$I74&gt;=P$12),"DEV","")))</f>
        <v/>
      </c>
      <c r="Q74" s="173" t="str">
        <f>IF($AI74="","",IF(INDEX('Roadmap Calc (Don’t Touch)'!$AA$2:$AX$151,$AI74,8)&gt;0,IF(AND($H74&lt;&gt;"",$H74&lt;=EOMONTH(Q$12,0),$I74&gt;=Q$12),"BOTH","UX"),IF(AND($H74&lt;&gt;"",$H74&lt;=EOMONTH(Q$12,0),$I74&gt;=Q$12),"DEV","")))</f>
        <v/>
      </c>
      <c r="R74" s="173" t="str">
        <f>IF($AI74="","",IF(INDEX('Roadmap Calc (Don’t Touch)'!$AA$2:$AX$151,$AI74,9)&gt;0,IF(AND($H74&lt;&gt;"",$H74&lt;=EOMONTH(R$12,0),$I74&gt;=R$12),"BOTH","UX"),IF(AND($H74&lt;&gt;"",$H74&lt;=EOMONTH(R$12,0),$I74&gt;=R$12),"DEV","")))</f>
        <v/>
      </c>
      <c r="S74" s="173" t="str">
        <f>IF($AI74="","",IF(INDEX('Roadmap Calc (Don’t Touch)'!$AA$2:$AX$151,$AI74,10)&gt;0,IF(AND($H74&lt;&gt;"",$H74&lt;=EOMONTH(S$12,0),$I74&gt;=S$12),"BOTH","UX"),IF(AND($H74&lt;&gt;"",$H74&lt;=EOMONTH(S$12,0),$I74&gt;=S$12),"DEV","")))</f>
        <v/>
      </c>
      <c r="T74" s="173" t="str">
        <f>IF($AI74="","",IF(INDEX('Roadmap Calc (Don’t Touch)'!$AA$2:$AX$151,$AI74,11)&gt;0,IF(AND($H74&lt;&gt;"",$H74&lt;=EOMONTH(T$12,0),$I74&gt;=T$12),"BOTH","UX"),IF(AND($H74&lt;&gt;"",$H74&lt;=EOMONTH(T$12,0),$I74&gt;=T$12),"DEV","")))</f>
        <v/>
      </c>
      <c r="U74" s="173" t="str">
        <f>IF($AI74="","",IF(INDEX('Roadmap Calc (Don’t Touch)'!$AA$2:$AX$151,$AI74,12)&gt;0,IF(AND($H74&lt;&gt;"",$H74&lt;=EOMONTH(U$12,0),$I74&gt;=U$12),"BOTH","UX"),IF(AND($H74&lt;&gt;"",$H74&lt;=EOMONTH(U$12,0),$I74&gt;=U$12),"DEV","")))</f>
        <v/>
      </c>
      <c r="V74" s="173" t="str">
        <f>IF($AI74="","",IF(INDEX('Roadmap Calc (Don’t Touch)'!$AA$2:$AX$151,$AI74,13)&gt;0,IF(AND($H74&lt;&gt;"",$H74&lt;=EOMONTH(V$12,0),$I74&gt;=V$12),"BOTH","UX"),IF(AND($H74&lt;&gt;"",$H74&lt;=EOMONTH(V$12,0),$I74&gt;=V$12),"DEV","")))</f>
        <v/>
      </c>
      <c r="W74" s="173" t="str">
        <f>IF($AI74="","",IF(INDEX('Roadmap Calc (Don’t Touch)'!$AA$2:$AX$151,$AI74,14)&gt;0,IF(AND($H74&lt;&gt;"",$H74&lt;=EOMONTH(W$12,0),$I74&gt;=W$12),"BOTH","UX"),IF(AND($H74&lt;&gt;"",$H74&lt;=EOMONTH(W$12,0),$I74&gt;=W$12),"DEV","")))</f>
        <v/>
      </c>
      <c r="X74" s="173" t="str">
        <f>IF($AI74="","",IF(INDEX('Roadmap Calc (Don’t Touch)'!$AA$2:$AX$151,$AI74,15)&gt;0,IF(AND($H74&lt;&gt;"",$H74&lt;=EOMONTH(X$12,0),$I74&gt;=X$12),"BOTH","UX"),IF(AND($H74&lt;&gt;"",$H74&lt;=EOMONTH(X$12,0),$I74&gt;=X$12),"DEV","")))</f>
        <v/>
      </c>
      <c r="Y74" s="173" t="str">
        <f>IF($AI74="","",IF(INDEX('Roadmap Calc (Don’t Touch)'!$AA$2:$AX$151,$AI74,16)&gt;0,IF(AND($H74&lt;&gt;"",$H74&lt;=EOMONTH(Y$12,0),$I74&gt;=Y$12),"BOTH","UX"),IF(AND($H74&lt;&gt;"",$H74&lt;=EOMONTH(Y$12,0),$I74&gt;=Y$12),"DEV","")))</f>
        <v/>
      </c>
      <c r="Z74" s="173" t="str">
        <f>IF($AI74="","",IF(INDEX('Roadmap Calc (Don’t Touch)'!$AA$2:$AX$151,$AI74,17)&gt;0,IF(AND($H74&lt;&gt;"",$H74&lt;=EOMONTH(Z$12,0),$I74&gt;=Z$12),"BOTH","UX"),IF(AND($H74&lt;&gt;"",$H74&lt;=EOMONTH(Z$12,0),$I74&gt;=Z$12),"DEV","")))</f>
        <v/>
      </c>
      <c r="AA74" s="173" t="str">
        <f>IF($AI74="","",IF(INDEX('Roadmap Calc (Don’t Touch)'!$AA$2:$AX$151,$AI74,18)&gt;0,IF(AND($H74&lt;&gt;"",$H74&lt;=EOMONTH(AA$12,0),$I74&gt;=AA$12),"BOTH","UX"),IF(AND($H74&lt;&gt;"",$H74&lt;=EOMONTH(AA$12,0),$I74&gt;=AA$12),"DEV","")))</f>
        <v/>
      </c>
      <c r="AB74" s="173" t="str">
        <f>IF($AI74="","",IF(INDEX('Roadmap Calc (Don’t Touch)'!$AA$2:$AX$151,$AI74,19)&gt;0,IF(AND($H74&lt;&gt;"",$H74&lt;=EOMONTH(AB$12,0),$I74&gt;=AB$12),"BOTH","UX"),IF(AND($H74&lt;&gt;"",$H74&lt;=EOMONTH(AB$12,0),$I74&gt;=AB$12),"DEV","")))</f>
        <v/>
      </c>
      <c r="AC74" s="173" t="str">
        <f>IF($AI74="","",IF(INDEX('Roadmap Calc (Don’t Touch)'!$AA$2:$AX$151,$AI74,20)&gt;0,IF(AND($H74&lt;&gt;"",$H74&lt;=EOMONTH(AC$12,0),$I74&gt;=AC$12),"BOTH","UX"),IF(AND($H74&lt;&gt;"",$H74&lt;=EOMONTH(AC$12,0),$I74&gt;=AC$12),"DEV","")))</f>
        <v/>
      </c>
      <c r="AD74" s="173" t="str">
        <f>IF($AI74="","",IF(INDEX('Roadmap Calc (Don’t Touch)'!$AA$2:$AX$151,$AI74,21)&gt;0,IF(AND($H74&lt;&gt;"",$H74&lt;=EOMONTH(AD$12,0),$I74&gt;=AD$12),"BOTH","UX"),IF(AND($H74&lt;&gt;"",$H74&lt;=EOMONTH(AD$12,0),$I74&gt;=AD$12),"DEV","")))</f>
        <v/>
      </c>
      <c r="AE74" s="173" t="str">
        <f>IF($AI74="","",IF(INDEX('Roadmap Calc (Don’t Touch)'!$AA$2:$AX$151,$AI74,22)&gt;0,IF(AND($H74&lt;&gt;"",$H74&lt;=EOMONTH(AE$12,0),$I74&gt;=AE$12),"BOTH","UX"),IF(AND($H74&lt;&gt;"",$H74&lt;=EOMONTH(AE$12,0),$I74&gt;=AE$12),"DEV","")))</f>
        <v/>
      </c>
      <c r="AF74" s="173" t="str">
        <f>IF($AI74="","",IF(INDEX('Roadmap Calc (Don’t Touch)'!$AA$2:$AX$151,$AI74,23)&gt;0,IF(AND($H74&lt;&gt;"",$H74&lt;=EOMONTH(AF$12,0),$I74&gt;=AF$12),"BOTH","UX"),IF(AND($H74&lt;&gt;"",$H74&lt;=EOMONTH(AF$12,0),$I74&gt;=AF$12),"DEV","")))</f>
        <v/>
      </c>
      <c r="AG74" s="173" t="str">
        <f>IF($AI74="","",IF(INDEX('Roadmap Calc (Don’t Touch)'!$AA$2:$AX$151,$AI74,24)&gt;0,IF(AND($H74&lt;&gt;"",$H74&lt;=EOMONTH(AG$12,0),$I74&gt;=AG$12),"BOTH","UX"),IF(AND($H74&lt;&gt;"",$H74&lt;=EOMONTH(AG$12,0),$I74&gt;=AG$12),"DEV","")))</f>
        <v/>
      </c>
      <c r="AH74" s="160" t="str">
        <f>IF($AI74="","",INDEX('Roadmap Calc (Don’t Touch)'!$D$2:$D$151,$AI74))</f>
        <v/>
      </c>
      <c r="AI74" s="160" t="str">
        <f>IFERROR(MATCH(59,'Roadmap Calc (Don’t Touch)'!$O$2:$O$151,0),"")</f>
        <v/>
      </c>
      <c r="AJ74" s="160"/>
      <c r="AK74" s="160"/>
      <c r="AL74" s="160"/>
      <c r="AM74" s="160"/>
    </row>
    <row r="75" spans="1:39" ht="17" customHeight="1" x14ac:dyDescent="0.25">
      <c r="A75" s="167" t="str">
        <f>IF($AI75="","",IF($AH75=$AH74,"",IF(INDEX('Roadmap Calc (Don’t Touch)'!$U$2:$U$151,$AI75)=0,$AH75,HYPERLINK("#'Control (Don’t Touch)'!E"&amp;INDEX('Roadmap Calc (Don’t Touch)'!$U$2:$U$151,$AI75),$AH75))))</f>
        <v/>
      </c>
      <c r="B75" s="168" t="str">
        <f>IF($AI75="","",IF(INDEX('Roadmap Calc (Don’t Touch)'!$K$2:$K$151,$AI75)="",INDEX('Roadmap Calc (Don’t Touch)'!$B$2:$B$151,$AI75),HYPERLINK("https://jira.bnh.com/browse/"&amp;INDEX('Roadmap Calc (Don’t Touch)'!$K$2:$K$151,$AI75),INDEX('Roadmap Calc (Don’t Touch)'!$B$2:$B$151,$AI75))))</f>
        <v/>
      </c>
      <c r="C75" s="168" t="str">
        <f>IF($AI75="","",IF(INDEX('Roadmap Calc (Don’t Touch)'!$E$2:$E$151,$AI75)="","",HYPERLINK("https://jira.bnh.com/browse/"&amp;INDEX('Roadmap Calc (Don’t Touch)'!$E$2:$E$151,$AI75),INDEX('Roadmap Calc (Don’t Touch)'!$E$2:$E$151,$AI75))))</f>
        <v/>
      </c>
      <c r="D75" s="169" t="str">
        <f>IF($AI75="","",INDEX('Roadmap Calc (Don’t Touch)'!$F$2:$F$151,$AI75))</f>
        <v/>
      </c>
      <c r="E75" s="170" t="str">
        <f>IF($AI75="","",IF(ISNUMBER(INDEX('Roadmap Calc (Don’t Touch)'!$G$2:$G$151,$AI75)),INDEX('Roadmap Calc (Don’t Touch)'!$G$2:$G$151,$AI75),""))</f>
        <v/>
      </c>
      <c r="F75" s="170" t="str">
        <f>IF($AI75="","",IF(ISNUMBER(INDEX('Roadmap Calc (Don’t Touch)'!$H$2:$H$151,$AI75)),INDEX('Roadmap Calc (Don’t Touch)'!$H$2:$H$151,$AI75),""))</f>
        <v/>
      </c>
      <c r="G75" s="171" t="str">
        <f>IF($AI75="","",INDEX('Roadmap Calc (Don’t Touch)'!$T$2:$T$151,$AI75))</f>
        <v/>
      </c>
      <c r="H75" s="172" t="str">
        <f>IF($AI75="","",IF(ISNUMBER(INDEX('Roadmap Calc (Don’t Touch)'!$I$2:$I$151,$AI75)),INDEX('Roadmap Calc (Don’t Touch)'!$I$2:$I$151,$AI75),""))</f>
        <v/>
      </c>
      <c r="I75" s="172" t="str">
        <f>IF($AI75="","",IF(ISNUMBER(INDEX('Roadmap Calc (Don’t Touch)'!$J$2:$J$151,$AI75)),INDEX('Roadmap Calc (Don’t Touch)'!$J$2:$J$151,$AI75),""))</f>
        <v/>
      </c>
      <c r="J75" s="173" t="str">
        <f>IF($AI75="","",IF(INDEX('Roadmap Calc (Don’t Touch)'!$AA$2:$AX$151,$AI75,1)&gt;0,IF(AND($H75&lt;&gt;"",$H75&lt;=EOMONTH(J$12,0),$I75&gt;=J$12),"BOTH","UX"),IF(AND($H75&lt;&gt;"",$H75&lt;=EOMONTH(J$12,0),$I75&gt;=J$12),"DEV","")))</f>
        <v/>
      </c>
      <c r="K75" s="173" t="str">
        <f>IF($AI75="","",IF(INDEX('Roadmap Calc (Don’t Touch)'!$AA$2:$AX$151,$AI75,2)&gt;0,IF(AND($H75&lt;&gt;"",$H75&lt;=EOMONTH(K$12,0),$I75&gt;=K$12),"BOTH","UX"),IF(AND($H75&lt;&gt;"",$H75&lt;=EOMONTH(K$12,0),$I75&gt;=K$12),"DEV","")))</f>
        <v/>
      </c>
      <c r="L75" s="173" t="str">
        <f>IF($AI75="","",IF(INDEX('Roadmap Calc (Don’t Touch)'!$AA$2:$AX$151,$AI75,3)&gt;0,IF(AND($H75&lt;&gt;"",$H75&lt;=EOMONTH(L$12,0),$I75&gt;=L$12),"BOTH","UX"),IF(AND($H75&lt;&gt;"",$H75&lt;=EOMONTH(L$12,0),$I75&gt;=L$12),"DEV","")))</f>
        <v/>
      </c>
      <c r="M75" s="173" t="str">
        <f>IF($AI75="","",IF(INDEX('Roadmap Calc (Don’t Touch)'!$AA$2:$AX$151,$AI75,4)&gt;0,IF(AND($H75&lt;&gt;"",$H75&lt;=EOMONTH(M$12,0),$I75&gt;=M$12),"BOTH","UX"),IF(AND($H75&lt;&gt;"",$H75&lt;=EOMONTH(M$12,0),$I75&gt;=M$12),"DEV","")))</f>
        <v/>
      </c>
      <c r="N75" s="173" t="str">
        <f>IF($AI75="","",IF(INDEX('Roadmap Calc (Don’t Touch)'!$AA$2:$AX$151,$AI75,5)&gt;0,IF(AND($H75&lt;&gt;"",$H75&lt;=EOMONTH(N$12,0),$I75&gt;=N$12),"BOTH","UX"),IF(AND($H75&lt;&gt;"",$H75&lt;=EOMONTH(N$12,0),$I75&gt;=N$12),"DEV","")))</f>
        <v/>
      </c>
      <c r="O75" s="173" t="str">
        <f>IF($AI75="","",IF(INDEX('Roadmap Calc (Don’t Touch)'!$AA$2:$AX$151,$AI75,6)&gt;0,IF(AND($H75&lt;&gt;"",$H75&lt;=EOMONTH(O$12,0),$I75&gt;=O$12),"BOTH","UX"),IF(AND($H75&lt;&gt;"",$H75&lt;=EOMONTH(O$12,0),$I75&gt;=O$12),"DEV","")))</f>
        <v/>
      </c>
      <c r="P75" s="173" t="str">
        <f>IF($AI75="","",IF(INDEX('Roadmap Calc (Don’t Touch)'!$AA$2:$AX$151,$AI75,7)&gt;0,IF(AND($H75&lt;&gt;"",$H75&lt;=EOMONTH(P$12,0),$I75&gt;=P$12),"BOTH","UX"),IF(AND($H75&lt;&gt;"",$H75&lt;=EOMONTH(P$12,0),$I75&gt;=P$12),"DEV","")))</f>
        <v/>
      </c>
      <c r="Q75" s="173" t="str">
        <f>IF($AI75="","",IF(INDEX('Roadmap Calc (Don’t Touch)'!$AA$2:$AX$151,$AI75,8)&gt;0,IF(AND($H75&lt;&gt;"",$H75&lt;=EOMONTH(Q$12,0),$I75&gt;=Q$12),"BOTH","UX"),IF(AND($H75&lt;&gt;"",$H75&lt;=EOMONTH(Q$12,0),$I75&gt;=Q$12),"DEV","")))</f>
        <v/>
      </c>
      <c r="R75" s="173" t="str">
        <f>IF($AI75="","",IF(INDEX('Roadmap Calc (Don’t Touch)'!$AA$2:$AX$151,$AI75,9)&gt;0,IF(AND($H75&lt;&gt;"",$H75&lt;=EOMONTH(R$12,0),$I75&gt;=R$12),"BOTH","UX"),IF(AND($H75&lt;&gt;"",$H75&lt;=EOMONTH(R$12,0),$I75&gt;=R$12),"DEV","")))</f>
        <v/>
      </c>
      <c r="S75" s="173" t="str">
        <f>IF($AI75="","",IF(INDEX('Roadmap Calc (Don’t Touch)'!$AA$2:$AX$151,$AI75,10)&gt;0,IF(AND($H75&lt;&gt;"",$H75&lt;=EOMONTH(S$12,0),$I75&gt;=S$12),"BOTH","UX"),IF(AND($H75&lt;&gt;"",$H75&lt;=EOMONTH(S$12,0),$I75&gt;=S$12),"DEV","")))</f>
        <v/>
      </c>
      <c r="T75" s="173" t="str">
        <f>IF($AI75="","",IF(INDEX('Roadmap Calc (Don’t Touch)'!$AA$2:$AX$151,$AI75,11)&gt;0,IF(AND($H75&lt;&gt;"",$H75&lt;=EOMONTH(T$12,0),$I75&gt;=T$12),"BOTH","UX"),IF(AND($H75&lt;&gt;"",$H75&lt;=EOMONTH(T$12,0),$I75&gt;=T$12),"DEV","")))</f>
        <v/>
      </c>
      <c r="U75" s="173" t="str">
        <f>IF($AI75="","",IF(INDEX('Roadmap Calc (Don’t Touch)'!$AA$2:$AX$151,$AI75,12)&gt;0,IF(AND($H75&lt;&gt;"",$H75&lt;=EOMONTH(U$12,0),$I75&gt;=U$12),"BOTH","UX"),IF(AND($H75&lt;&gt;"",$H75&lt;=EOMONTH(U$12,0),$I75&gt;=U$12),"DEV","")))</f>
        <v/>
      </c>
      <c r="V75" s="173" t="str">
        <f>IF($AI75="","",IF(INDEX('Roadmap Calc (Don’t Touch)'!$AA$2:$AX$151,$AI75,13)&gt;0,IF(AND($H75&lt;&gt;"",$H75&lt;=EOMONTH(V$12,0),$I75&gt;=V$12),"BOTH","UX"),IF(AND($H75&lt;&gt;"",$H75&lt;=EOMONTH(V$12,0),$I75&gt;=V$12),"DEV","")))</f>
        <v/>
      </c>
      <c r="W75" s="173" t="str">
        <f>IF($AI75="","",IF(INDEX('Roadmap Calc (Don’t Touch)'!$AA$2:$AX$151,$AI75,14)&gt;0,IF(AND($H75&lt;&gt;"",$H75&lt;=EOMONTH(W$12,0),$I75&gt;=W$12),"BOTH","UX"),IF(AND($H75&lt;&gt;"",$H75&lt;=EOMONTH(W$12,0),$I75&gt;=W$12),"DEV","")))</f>
        <v/>
      </c>
      <c r="X75" s="173" t="str">
        <f>IF($AI75="","",IF(INDEX('Roadmap Calc (Don’t Touch)'!$AA$2:$AX$151,$AI75,15)&gt;0,IF(AND($H75&lt;&gt;"",$H75&lt;=EOMONTH(X$12,0),$I75&gt;=X$12),"BOTH","UX"),IF(AND($H75&lt;&gt;"",$H75&lt;=EOMONTH(X$12,0),$I75&gt;=X$12),"DEV","")))</f>
        <v/>
      </c>
      <c r="Y75" s="173" t="str">
        <f>IF($AI75="","",IF(INDEX('Roadmap Calc (Don’t Touch)'!$AA$2:$AX$151,$AI75,16)&gt;0,IF(AND($H75&lt;&gt;"",$H75&lt;=EOMONTH(Y$12,0),$I75&gt;=Y$12),"BOTH","UX"),IF(AND($H75&lt;&gt;"",$H75&lt;=EOMONTH(Y$12,0),$I75&gt;=Y$12),"DEV","")))</f>
        <v/>
      </c>
      <c r="Z75" s="173" t="str">
        <f>IF($AI75="","",IF(INDEX('Roadmap Calc (Don’t Touch)'!$AA$2:$AX$151,$AI75,17)&gt;0,IF(AND($H75&lt;&gt;"",$H75&lt;=EOMONTH(Z$12,0),$I75&gt;=Z$12),"BOTH","UX"),IF(AND($H75&lt;&gt;"",$H75&lt;=EOMONTH(Z$12,0),$I75&gt;=Z$12),"DEV","")))</f>
        <v/>
      </c>
      <c r="AA75" s="173" t="str">
        <f>IF($AI75="","",IF(INDEX('Roadmap Calc (Don’t Touch)'!$AA$2:$AX$151,$AI75,18)&gt;0,IF(AND($H75&lt;&gt;"",$H75&lt;=EOMONTH(AA$12,0),$I75&gt;=AA$12),"BOTH","UX"),IF(AND($H75&lt;&gt;"",$H75&lt;=EOMONTH(AA$12,0),$I75&gt;=AA$12),"DEV","")))</f>
        <v/>
      </c>
      <c r="AB75" s="173" t="str">
        <f>IF($AI75="","",IF(INDEX('Roadmap Calc (Don’t Touch)'!$AA$2:$AX$151,$AI75,19)&gt;0,IF(AND($H75&lt;&gt;"",$H75&lt;=EOMONTH(AB$12,0),$I75&gt;=AB$12),"BOTH","UX"),IF(AND($H75&lt;&gt;"",$H75&lt;=EOMONTH(AB$12,0),$I75&gt;=AB$12),"DEV","")))</f>
        <v/>
      </c>
      <c r="AC75" s="173" t="str">
        <f>IF($AI75="","",IF(INDEX('Roadmap Calc (Don’t Touch)'!$AA$2:$AX$151,$AI75,20)&gt;0,IF(AND($H75&lt;&gt;"",$H75&lt;=EOMONTH(AC$12,0),$I75&gt;=AC$12),"BOTH","UX"),IF(AND($H75&lt;&gt;"",$H75&lt;=EOMONTH(AC$12,0),$I75&gt;=AC$12),"DEV","")))</f>
        <v/>
      </c>
      <c r="AD75" s="173" t="str">
        <f>IF($AI75="","",IF(INDEX('Roadmap Calc (Don’t Touch)'!$AA$2:$AX$151,$AI75,21)&gt;0,IF(AND($H75&lt;&gt;"",$H75&lt;=EOMONTH(AD$12,0),$I75&gt;=AD$12),"BOTH","UX"),IF(AND($H75&lt;&gt;"",$H75&lt;=EOMONTH(AD$12,0),$I75&gt;=AD$12),"DEV","")))</f>
        <v/>
      </c>
      <c r="AE75" s="173" t="str">
        <f>IF($AI75="","",IF(INDEX('Roadmap Calc (Don’t Touch)'!$AA$2:$AX$151,$AI75,22)&gt;0,IF(AND($H75&lt;&gt;"",$H75&lt;=EOMONTH(AE$12,0),$I75&gt;=AE$12),"BOTH","UX"),IF(AND($H75&lt;&gt;"",$H75&lt;=EOMONTH(AE$12,0),$I75&gt;=AE$12),"DEV","")))</f>
        <v/>
      </c>
      <c r="AF75" s="173" t="str">
        <f>IF($AI75="","",IF(INDEX('Roadmap Calc (Don’t Touch)'!$AA$2:$AX$151,$AI75,23)&gt;0,IF(AND($H75&lt;&gt;"",$H75&lt;=EOMONTH(AF$12,0),$I75&gt;=AF$12),"BOTH","UX"),IF(AND($H75&lt;&gt;"",$H75&lt;=EOMONTH(AF$12,0),$I75&gt;=AF$12),"DEV","")))</f>
        <v/>
      </c>
      <c r="AG75" s="173" t="str">
        <f>IF($AI75="","",IF(INDEX('Roadmap Calc (Don’t Touch)'!$AA$2:$AX$151,$AI75,24)&gt;0,IF(AND($H75&lt;&gt;"",$H75&lt;=EOMONTH(AG$12,0),$I75&gt;=AG$12),"BOTH","UX"),IF(AND($H75&lt;&gt;"",$H75&lt;=EOMONTH(AG$12,0),$I75&gt;=AG$12),"DEV","")))</f>
        <v/>
      </c>
      <c r="AH75" s="160" t="str">
        <f>IF($AI75="","",INDEX('Roadmap Calc (Don’t Touch)'!$D$2:$D$151,$AI75))</f>
        <v/>
      </c>
      <c r="AI75" s="160" t="str">
        <f>IFERROR(MATCH(60,'Roadmap Calc (Don’t Touch)'!$O$2:$O$151,0),"")</f>
        <v/>
      </c>
      <c r="AJ75" s="160"/>
      <c r="AK75" s="160"/>
      <c r="AL75" s="160"/>
      <c r="AM75" s="160"/>
    </row>
    <row r="76" spans="1:39" ht="17" customHeight="1" x14ac:dyDescent="0.25">
      <c r="A76" s="167" t="str">
        <f>IF($AI76="","",IF($AH76=$AH75,"",IF(INDEX('Roadmap Calc (Don’t Touch)'!$U$2:$U$151,$AI76)=0,$AH76,HYPERLINK("#'Control (Don’t Touch)'!E"&amp;INDEX('Roadmap Calc (Don’t Touch)'!$U$2:$U$151,$AI76),$AH76))))</f>
        <v/>
      </c>
      <c r="B76" s="168" t="str">
        <f>IF($AI76="","",IF(INDEX('Roadmap Calc (Don’t Touch)'!$K$2:$K$151,$AI76)="",INDEX('Roadmap Calc (Don’t Touch)'!$B$2:$B$151,$AI76),HYPERLINK("https://jira.bnh.com/browse/"&amp;INDEX('Roadmap Calc (Don’t Touch)'!$K$2:$K$151,$AI76),INDEX('Roadmap Calc (Don’t Touch)'!$B$2:$B$151,$AI76))))</f>
        <v/>
      </c>
      <c r="C76" s="168" t="str">
        <f>IF($AI76="","",IF(INDEX('Roadmap Calc (Don’t Touch)'!$E$2:$E$151,$AI76)="","",HYPERLINK("https://jira.bnh.com/browse/"&amp;INDEX('Roadmap Calc (Don’t Touch)'!$E$2:$E$151,$AI76),INDEX('Roadmap Calc (Don’t Touch)'!$E$2:$E$151,$AI76))))</f>
        <v/>
      </c>
      <c r="D76" s="169" t="str">
        <f>IF($AI76="","",INDEX('Roadmap Calc (Don’t Touch)'!$F$2:$F$151,$AI76))</f>
        <v/>
      </c>
      <c r="E76" s="170" t="str">
        <f>IF($AI76="","",IF(ISNUMBER(INDEX('Roadmap Calc (Don’t Touch)'!$G$2:$G$151,$AI76)),INDEX('Roadmap Calc (Don’t Touch)'!$G$2:$G$151,$AI76),""))</f>
        <v/>
      </c>
      <c r="F76" s="170" t="str">
        <f>IF($AI76="","",IF(ISNUMBER(INDEX('Roadmap Calc (Don’t Touch)'!$H$2:$H$151,$AI76)),INDEX('Roadmap Calc (Don’t Touch)'!$H$2:$H$151,$AI76),""))</f>
        <v/>
      </c>
      <c r="G76" s="171" t="str">
        <f>IF($AI76="","",INDEX('Roadmap Calc (Don’t Touch)'!$T$2:$T$151,$AI76))</f>
        <v/>
      </c>
      <c r="H76" s="172" t="str">
        <f>IF($AI76="","",IF(ISNUMBER(INDEX('Roadmap Calc (Don’t Touch)'!$I$2:$I$151,$AI76)),INDEX('Roadmap Calc (Don’t Touch)'!$I$2:$I$151,$AI76),""))</f>
        <v/>
      </c>
      <c r="I76" s="172" t="str">
        <f>IF($AI76="","",IF(ISNUMBER(INDEX('Roadmap Calc (Don’t Touch)'!$J$2:$J$151,$AI76)),INDEX('Roadmap Calc (Don’t Touch)'!$J$2:$J$151,$AI76),""))</f>
        <v/>
      </c>
      <c r="J76" s="173" t="str">
        <f>IF($AI76="","",IF(INDEX('Roadmap Calc (Don’t Touch)'!$AA$2:$AX$151,$AI76,1)&gt;0,IF(AND($H76&lt;&gt;"",$H76&lt;=EOMONTH(J$12,0),$I76&gt;=J$12),"BOTH","UX"),IF(AND($H76&lt;&gt;"",$H76&lt;=EOMONTH(J$12,0),$I76&gt;=J$12),"DEV","")))</f>
        <v/>
      </c>
      <c r="K76" s="173" t="str">
        <f>IF($AI76="","",IF(INDEX('Roadmap Calc (Don’t Touch)'!$AA$2:$AX$151,$AI76,2)&gt;0,IF(AND($H76&lt;&gt;"",$H76&lt;=EOMONTH(K$12,0),$I76&gt;=K$12),"BOTH","UX"),IF(AND($H76&lt;&gt;"",$H76&lt;=EOMONTH(K$12,0),$I76&gt;=K$12),"DEV","")))</f>
        <v/>
      </c>
      <c r="L76" s="173" t="str">
        <f>IF($AI76="","",IF(INDEX('Roadmap Calc (Don’t Touch)'!$AA$2:$AX$151,$AI76,3)&gt;0,IF(AND($H76&lt;&gt;"",$H76&lt;=EOMONTH(L$12,0),$I76&gt;=L$12),"BOTH","UX"),IF(AND($H76&lt;&gt;"",$H76&lt;=EOMONTH(L$12,0),$I76&gt;=L$12),"DEV","")))</f>
        <v/>
      </c>
      <c r="M76" s="173" t="str">
        <f>IF($AI76="","",IF(INDEX('Roadmap Calc (Don’t Touch)'!$AA$2:$AX$151,$AI76,4)&gt;0,IF(AND($H76&lt;&gt;"",$H76&lt;=EOMONTH(M$12,0),$I76&gt;=M$12),"BOTH","UX"),IF(AND($H76&lt;&gt;"",$H76&lt;=EOMONTH(M$12,0),$I76&gt;=M$12),"DEV","")))</f>
        <v/>
      </c>
      <c r="N76" s="173" t="str">
        <f>IF($AI76="","",IF(INDEX('Roadmap Calc (Don’t Touch)'!$AA$2:$AX$151,$AI76,5)&gt;0,IF(AND($H76&lt;&gt;"",$H76&lt;=EOMONTH(N$12,0),$I76&gt;=N$12),"BOTH","UX"),IF(AND($H76&lt;&gt;"",$H76&lt;=EOMONTH(N$12,0),$I76&gt;=N$12),"DEV","")))</f>
        <v/>
      </c>
      <c r="O76" s="173" t="str">
        <f>IF($AI76="","",IF(INDEX('Roadmap Calc (Don’t Touch)'!$AA$2:$AX$151,$AI76,6)&gt;0,IF(AND($H76&lt;&gt;"",$H76&lt;=EOMONTH(O$12,0),$I76&gt;=O$12),"BOTH","UX"),IF(AND($H76&lt;&gt;"",$H76&lt;=EOMONTH(O$12,0),$I76&gt;=O$12),"DEV","")))</f>
        <v/>
      </c>
      <c r="P76" s="173" t="str">
        <f>IF($AI76="","",IF(INDEX('Roadmap Calc (Don’t Touch)'!$AA$2:$AX$151,$AI76,7)&gt;0,IF(AND($H76&lt;&gt;"",$H76&lt;=EOMONTH(P$12,0),$I76&gt;=P$12),"BOTH","UX"),IF(AND($H76&lt;&gt;"",$H76&lt;=EOMONTH(P$12,0),$I76&gt;=P$12),"DEV","")))</f>
        <v/>
      </c>
      <c r="Q76" s="173" t="str">
        <f>IF($AI76="","",IF(INDEX('Roadmap Calc (Don’t Touch)'!$AA$2:$AX$151,$AI76,8)&gt;0,IF(AND($H76&lt;&gt;"",$H76&lt;=EOMONTH(Q$12,0),$I76&gt;=Q$12),"BOTH","UX"),IF(AND($H76&lt;&gt;"",$H76&lt;=EOMONTH(Q$12,0),$I76&gt;=Q$12),"DEV","")))</f>
        <v/>
      </c>
      <c r="R76" s="173" t="str">
        <f>IF($AI76="","",IF(INDEX('Roadmap Calc (Don’t Touch)'!$AA$2:$AX$151,$AI76,9)&gt;0,IF(AND($H76&lt;&gt;"",$H76&lt;=EOMONTH(R$12,0),$I76&gt;=R$12),"BOTH","UX"),IF(AND($H76&lt;&gt;"",$H76&lt;=EOMONTH(R$12,0),$I76&gt;=R$12),"DEV","")))</f>
        <v/>
      </c>
      <c r="S76" s="173" t="str">
        <f>IF($AI76="","",IF(INDEX('Roadmap Calc (Don’t Touch)'!$AA$2:$AX$151,$AI76,10)&gt;0,IF(AND($H76&lt;&gt;"",$H76&lt;=EOMONTH(S$12,0),$I76&gt;=S$12),"BOTH","UX"),IF(AND($H76&lt;&gt;"",$H76&lt;=EOMONTH(S$12,0),$I76&gt;=S$12),"DEV","")))</f>
        <v/>
      </c>
      <c r="T76" s="173" t="str">
        <f>IF($AI76="","",IF(INDEX('Roadmap Calc (Don’t Touch)'!$AA$2:$AX$151,$AI76,11)&gt;0,IF(AND($H76&lt;&gt;"",$H76&lt;=EOMONTH(T$12,0),$I76&gt;=T$12),"BOTH","UX"),IF(AND($H76&lt;&gt;"",$H76&lt;=EOMONTH(T$12,0),$I76&gt;=T$12),"DEV","")))</f>
        <v/>
      </c>
      <c r="U76" s="173" t="str">
        <f>IF($AI76="","",IF(INDEX('Roadmap Calc (Don’t Touch)'!$AA$2:$AX$151,$AI76,12)&gt;0,IF(AND($H76&lt;&gt;"",$H76&lt;=EOMONTH(U$12,0),$I76&gt;=U$12),"BOTH","UX"),IF(AND($H76&lt;&gt;"",$H76&lt;=EOMONTH(U$12,0),$I76&gt;=U$12),"DEV","")))</f>
        <v/>
      </c>
      <c r="V76" s="173" t="str">
        <f>IF($AI76="","",IF(INDEX('Roadmap Calc (Don’t Touch)'!$AA$2:$AX$151,$AI76,13)&gt;0,IF(AND($H76&lt;&gt;"",$H76&lt;=EOMONTH(V$12,0),$I76&gt;=V$12),"BOTH","UX"),IF(AND($H76&lt;&gt;"",$H76&lt;=EOMONTH(V$12,0),$I76&gt;=V$12),"DEV","")))</f>
        <v/>
      </c>
      <c r="W76" s="173" t="str">
        <f>IF($AI76="","",IF(INDEX('Roadmap Calc (Don’t Touch)'!$AA$2:$AX$151,$AI76,14)&gt;0,IF(AND($H76&lt;&gt;"",$H76&lt;=EOMONTH(W$12,0),$I76&gt;=W$12),"BOTH","UX"),IF(AND($H76&lt;&gt;"",$H76&lt;=EOMONTH(W$12,0),$I76&gt;=W$12),"DEV","")))</f>
        <v/>
      </c>
      <c r="X76" s="173" t="str">
        <f>IF($AI76="","",IF(INDEX('Roadmap Calc (Don’t Touch)'!$AA$2:$AX$151,$AI76,15)&gt;0,IF(AND($H76&lt;&gt;"",$H76&lt;=EOMONTH(X$12,0),$I76&gt;=X$12),"BOTH","UX"),IF(AND($H76&lt;&gt;"",$H76&lt;=EOMONTH(X$12,0),$I76&gt;=X$12),"DEV","")))</f>
        <v/>
      </c>
      <c r="Y76" s="173" t="str">
        <f>IF($AI76="","",IF(INDEX('Roadmap Calc (Don’t Touch)'!$AA$2:$AX$151,$AI76,16)&gt;0,IF(AND($H76&lt;&gt;"",$H76&lt;=EOMONTH(Y$12,0),$I76&gt;=Y$12),"BOTH","UX"),IF(AND($H76&lt;&gt;"",$H76&lt;=EOMONTH(Y$12,0),$I76&gt;=Y$12),"DEV","")))</f>
        <v/>
      </c>
      <c r="Z76" s="173" t="str">
        <f>IF($AI76="","",IF(INDEX('Roadmap Calc (Don’t Touch)'!$AA$2:$AX$151,$AI76,17)&gt;0,IF(AND($H76&lt;&gt;"",$H76&lt;=EOMONTH(Z$12,0),$I76&gt;=Z$12),"BOTH","UX"),IF(AND($H76&lt;&gt;"",$H76&lt;=EOMONTH(Z$12,0),$I76&gt;=Z$12),"DEV","")))</f>
        <v/>
      </c>
      <c r="AA76" s="173" t="str">
        <f>IF($AI76="","",IF(INDEX('Roadmap Calc (Don’t Touch)'!$AA$2:$AX$151,$AI76,18)&gt;0,IF(AND($H76&lt;&gt;"",$H76&lt;=EOMONTH(AA$12,0),$I76&gt;=AA$12),"BOTH","UX"),IF(AND($H76&lt;&gt;"",$H76&lt;=EOMONTH(AA$12,0),$I76&gt;=AA$12),"DEV","")))</f>
        <v/>
      </c>
      <c r="AB76" s="173" t="str">
        <f>IF($AI76="","",IF(INDEX('Roadmap Calc (Don’t Touch)'!$AA$2:$AX$151,$AI76,19)&gt;0,IF(AND($H76&lt;&gt;"",$H76&lt;=EOMONTH(AB$12,0),$I76&gt;=AB$12),"BOTH","UX"),IF(AND($H76&lt;&gt;"",$H76&lt;=EOMONTH(AB$12,0),$I76&gt;=AB$12),"DEV","")))</f>
        <v/>
      </c>
      <c r="AC76" s="173" t="str">
        <f>IF($AI76="","",IF(INDEX('Roadmap Calc (Don’t Touch)'!$AA$2:$AX$151,$AI76,20)&gt;0,IF(AND($H76&lt;&gt;"",$H76&lt;=EOMONTH(AC$12,0),$I76&gt;=AC$12),"BOTH","UX"),IF(AND($H76&lt;&gt;"",$H76&lt;=EOMONTH(AC$12,0),$I76&gt;=AC$12),"DEV","")))</f>
        <v/>
      </c>
      <c r="AD76" s="173" t="str">
        <f>IF($AI76="","",IF(INDEX('Roadmap Calc (Don’t Touch)'!$AA$2:$AX$151,$AI76,21)&gt;0,IF(AND($H76&lt;&gt;"",$H76&lt;=EOMONTH(AD$12,0),$I76&gt;=AD$12),"BOTH","UX"),IF(AND($H76&lt;&gt;"",$H76&lt;=EOMONTH(AD$12,0),$I76&gt;=AD$12),"DEV","")))</f>
        <v/>
      </c>
      <c r="AE76" s="173" t="str">
        <f>IF($AI76="","",IF(INDEX('Roadmap Calc (Don’t Touch)'!$AA$2:$AX$151,$AI76,22)&gt;0,IF(AND($H76&lt;&gt;"",$H76&lt;=EOMONTH(AE$12,0),$I76&gt;=AE$12),"BOTH","UX"),IF(AND($H76&lt;&gt;"",$H76&lt;=EOMONTH(AE$12,0),$I76&gt;=AE$12),"DEV","")))</f>
        <v/>
      </c>
      <c r="AF76" s="173" t="str">
        <f>IF($AI76="","",IF(INDEX('Roadmap Calc (Don’t Touch)'!$AA$2:$AX$151,$AI76,23)&gt;0,IF(AND($H76&lt;&gt;"",$H76&lt;=EOMONTH(AF$12,0),$I76&gt;=AF$12),"BOTH","UX"),IF(AND($H76&lt;&gt;"",$H76&lt;=EOMONTH(AF$12,0),$I76&gt;=AF$12),"DEV","")))</f>
        <v/>
      </c>
      <c r="AG76" s="173" t="str">
        <f>IF($AI76="","",IF(INDEX('Roadmap Calc (Don’t Touch)'!$AA$2:$AX$151,$AI76,24)&gt;0,IF(AND($H76&lt;&gt;"",$H76&lt;=EOMONTH(AG$12,0),$I76&gt;=AG$12),"BOTH","UX"),IF(AND($H76&lt;&gt;"",$H76&lt;=EOMONTH(AG$12,0),$I76&gt;=AG$12),"DEV","")))</f>
        <v/>
      </c>
      <c r="AH76" s="160" t="str">
        <f>IF($AI76="","",INDEX('Roadmap Calc (Don’t Touch)'!$D$2:$D$151,$AI76))</f>
        <v/>
      </c>
      <c r="AI76" s="160" t="str">
        <f>IFERROR(MATCH(61,'Roadmap Calc (Don’t Touch)'!$O$2:$O$151,0),"")</f>
        <v/>
      </c>
      <c r="AJ76" s="160"/>
      <c r="AK76" s="160"/>
      <c r="AL76" s="160"/>
      <c r="AM76" s="160"/>
    </row>
    <row r="77" spans="1:39" ht="17" customHeight="1" x14ac:dyDescent="0.25">
      <c r="A77" s="167" t="str">
        <f>IF($AI77="","",IF($AH77=$AH76,"",IF(INDEX('Roadmap Calc (Don’t Touch)'!$U$2:$U$151,$AI77)=0,$AH77,HYPERLINK("#'Control (Don’t Touch)'!E"&amp;INDEX('Roadmap Calc (Don’t Touch)'!$U$2:$U$151,$AI77),$AH77))))</f>
        <v/>
      </c>
      <c r="B77" s="168" t="str">
        <f>IF($AI77="","",IF(INDEX('Roadmap Calc (Don’t Touch)'!$K$2:$K$151,$AI77)="",INDEX('Roadmap Calc (Don’t Touch)'!$B$2:$B$151,$AI77),HYPERLINK("https://jira.bnh.com/browse/"&amp;INDEX('Roadmap Calc (Don’t Touch)'!$K$2:$K$151,$AI77),INDEX('Roadmap Calc (Don’t Touch)'!$B$2:$B$151,$AI77))))</f>
        <v/>
      </c>
      <c r="C77" s="168" t="str">
        <f>IF($AI77="","",IF(INDEX('Roadmap Calc (Don’t Touch)'!$E$2:$E$151,$AI77)="","",HYPERLINK("https://jira.bnh.com/browse/"&amp;INDEX('Roadmap Calc (Don’t Touch)'!$E$2:$E$151,$AI77),INDEX('Roadmap Calc (Don’t Touch)'!$E$2:$E$151,$AI77))))</f>
        <v/>
      </c>
      <c r="D77" s="169" t="str">
        <f>IF($AI77="","",INDEX('Roadmap Calc (Don’t Touch)'!$F$2:$F$151,$AI77))</f>
        <v/>
      </c>
      <c r="E77" s="170" t="str">
        <f>IF($AI77="","",IF(ISNUMBER(INDEX('Roadmap Calc (Don’t Touch)'!$G$2:$G$151,$AI77)),INDEX('Roadmap Calc (Don’t Touch)'!$G$2:$G$151,$AI77),""))</f>
        <v/>
      </c>
      <c r="F77" s="170" t="str">
        <f>IF($AI77="","",IF(ISNUMBER(INDEX('Roadmap Calc (Don’t Touch)'!$H$2:$H$151,$AI77)),INDEX('Roadmap Calc (Don’t Touch)'!$H$2:$H$151,$AI77),""))</f>
        <v/>
      </c>
      <c r="G77" s="171" t="str">
        <f>IF($AI77="","",INDEX('Roadmap Calc (Don’t Touch)'!$T$2:$T$151,$AI77))</f>
        <v/>
      </c>
      <c r="H77" s="172" t="str">
        <f>IF($AI77="","",IF(ISNUMBER(INDEX('Roadmap Calc (Don’t Touch)'!$I$2:$I$151,$AI77)),INDEX('Roadmap Calc (Don’t Touch)'!$I$2:$I$151,$AI77),""))</f>
        <v/>
      </c>
      <c r="I77" s="172" t="str">
        <f>IF($AI77="","",IF(ISNUMBER(INDEX('Roadmap Calc (Don’t Touch)'!$J$2:$J$151,$AI77)),INDEX('Roadmap Calc (Don’t Touch)'!$J$2:$J$151,$AI77),""))</f>
        <v/>
      </c>
      <c r="J77" s="173" t="str">
        <f>IF($AI77="","",IF(INDEX('Roadmap Calc (Don’t Touch)'!$AA$2:$AX$151,$AI77,1)&gt;0,IF(AND($H77&lt;&gt;"",$H77&lt;=EOMONTH(J$12,0),$I77&gt;=J$12),"BOTH","UX"),IF(AND($H77&lt;&gt;"",$H77&lt;=EOMONTH(J$12,0),$I77&gt;=J$12),"DEV","")))</f>
        <v/>
      </c>
      <c r="K77" s="173" t="str">
        <f>IF($AI77="","",IF(INDEX('Roadmap Calc (Don’t Touch)'!$AA$2:$AX$151,$AI77,2)&gt;0,IF(AND($H77&lt;&gt;"",$H77&lt;=EOMONTH(K$12,0),$I77&gt;=K$12),"BOTH","UX"),IF(AND($H77&lt;&gt;"",$H77&lt;=EOMONTH(K$12,0),$I77&gt;=K$12),"DEV","")))</f>
        <v/>
      </c>
      <c r="L77" s="173" t="str">
        <f>IF($AI77="","",IF(INDEX('Roadmap Calc (Don’t Touch)'!$AA$2:$AX$151,$AI77,3)&gt;0,IF(AND($H77&lt;&gt;"",$H77&lt;=EOMONTH(L$12,0),$I77&gt;=L$12),"BOTH","UX"),IF(AND($H77&lt;&gt;"",$H77&lt;=EOMONTH(L$12,0),$I77&gt;=L$12),"DEV","")))</f>
        <v/>
      </c>
      <c r="M77" s="173" t="str">
        <f>IF($AI77="","",IF(INDEX('Roadmap Calc (Don’t Touch)'!$AA$2:$AX$151,$AI77,4)&gt;0,IF(AND($H77&lt;&gt;"",$H77&lt;=EOMONTH(M$12,0),$I77&gt;=M$12),"BOTH","UX"),IF(AND($H77&lt;&gt;"",$H77&lt;=EOMONTH(M$12,0),$I77&gt;=M$12),"DEV","")))</f>
        <v/>
      </c>
      <c r="N77" s="173" t="str">
        <f>IF($AI77="","",IF(INDEX('Roadmap Calc (Don’t Touch)'!$AA$2:$AX$151,$AI77,5)&gt;0,IF(AND($H77&lt;&gt;"",$H77&lt;=EOMONTH(N$12,0),$I77&gt;=N$12),"BOTH","UX"),IF(AND($H77&lt;&gt;"",$H77&lt;=EOMONTH(N$12,0),$I77&gt;=N$12),"DEV","")))</f>
        <v/>
      </c>
      <c r="O77" s="173" t="str">
        <f>IF($AI77="","",IF(INDEX('Roadmap Calc (Don’t Touch)'!$AA$2:$AX$151,$AI77,6)&gt;0,IF(AND($H77&lt;&gt;"",$H77&lt;=EOMONTH(O$12,0),$I77&gt;=O$12),"BOTH","UX"),IF(AND($H77&lt;&gt;"",$H77&lt;=EOMONTH(O$12,0),$I77&gt;=O$12),"DEV","")))</f>
        <v/>
      </c>
      <c r="P77" s="173" t="str">
        <f>IF($AI77="","",IF(INDEX('Roadmap Calc (Don’t Touch)'!$AA$2:$AX$151,$AI77,7)&gt;0,IF(AND($H77&lt;&gt;"",$H77&lt;=EOMONTH(P$12,0),$I77&gt;=P$12),"BOTH","UX"),IF(AND($H77&lt;&gt;"",$H77&lt;=EOMONTH(P$12,0),$I77&gt;=P$12),"DEV","")))</f>
        <v/>
      </c>
      <c r="Q77" s="173" t="str">
        <f>IF($AI77="","",IF(INDEX('Roadmap Calc (Don’t Touch)'!$AA$2:$AX$151,$AI77,8)&gt;0,IF(AND($H77&lt;&gt;"",$H77&lt;=EOMONTH(Q$12,0),$I77&gt;=Q$12),"BOTH","UX"),IF(AND($H77&lt;&gt;"",$H77&lt;=EOMONTH(Q$12,0),$I77&gt;=Q$12),"DEV","")))</f>
        <v/>
      </c>
      <c r="R77" s="173" t="str">
        <f>IF($AI77="","",IF(INDEX('Roadmap Calc (Don’t Touch)'!$AA$2:$AX$151,$AI77,9)&gt;0,IF(AND($H77&lt;&gt;"",$H77&lt;=EOMONTH(R$12,0),$I77&gt;=R$12),"BOTH","UX"),IF(AND($H77&lt;&gt;"",$H77&lt;=EOMONTH(R$12,0),$I77&gt;=R$12),"DEV","")))</f>
        <v/>
      </c>
      <c r="S77" s="173" t="str">
        <f>IF($AI77="","",IF(INDEX('Roadmap Calc (Don’t Touch)'!$AA$2:$AX$151,$AI77,10)&gt;0,IF(AND($H77&lt;&gt;"",$H77&lt;=EOMONTH(S$12,0),$I77&gt;=S$12),"BOTH","UX"),IF(AND($H77&lt;&gt;"",$H77&lt;=EOMONTH(S$12,0),$I77&gt;=S$12),"DEV","")))</f>
        <v/>
      </c>
      <c r="T77" s="173" t="str">
        <f>IF($AI77="","",IF(INDEX('Roadmap Calc (Don’t Touch)'!$AA$2:$AX$151,$AI77,11)&gt;0,IF(AND($H77&lt;&gt;"",$H77&lt;=EOMONTH(T$12,0),$I77&gt;=T$12),"BOTH","UX"),IF(AND($H77&lt;&gt;"",$H77&lt;=EOMONTH(T$12,0),$I77&gt;=T$12),"DEV","")))</f>
        <v/>
      </c>
      <c r="U77" s="173" t="str">
        <f>IF($AI77="","",IF(INDEX('Roadmap Calc (Don’t Touch)'!$AA$2:$AX$151,$AI77,12)&gt;0,IF(AND($H77&lt;&gt;"",$H77&lt;=EOMONTH(U$12,0),$I77&gt;=U$12),"BOTH","UX"),IF(AND($H77&lt;&gt;"",$H77&lt;=EOMONTH(U$12,0),$I77&gt;=U$12),"DEV","")))</f>
        <v/>
      </c>
      <c r="V77" s="173" t="str">
        <f>IF($AI77="","",IF(INDEX('Roadmap Calc (Don’t Touch)'!$AA$2:$AX$151,$AI77,13)&gt;0,IF(AND($H77&lt;&gt;"",$H77&lt;=EOMONTH(V$12,0),$I77&gt;=V$12),"BOTH","UX"),IF(AND($H77&lt;&gt;"",$H77&lt;=EOMONTH(V$12,0),$I77&gt;=V$12),"DEV","")))</f>
        <v/>
      </c>
      <c r="W77" s="173" t="str">
        <f>IF($AI77="","",IF(INDEX('Roadmap Calc (Don’t Touch)'!$AA$2:$AX$151,$AI77,14)&gt;0,IF(AND($H77&lt;&gt;"",$H77&lt;=EOMONTH(W$12,0),$I77&gt;=W$12),"BOTH","UX"),IF(AND($H77&lt;&gt;"",$H77&lt;=EOMONTH(W$12,0),$I77&gt;=W$12),"DEV","")))</f>
        <v/>
      </c>
      <c r="X77" s="173" t="str">
        <f>IF($AI77="","",IF(INDEX('Roadmap Calc (Don’t Touch)'!$AA$2:$AX$151,$AI77,15)&gt;0,IF(AND($H77&lt;&gt;"",$H77&lt;=EOMONTH(X$12,0),$I77&gt;=X$12),"BOTH","UX"),IF(AND($H77&lt;&gt;"",$H77&lt;=EOMONTH(X$12,0),$I77&gt;=X$12),"DEV","")))</f>
        <v/>
      </c>
      <c r="Y77" s="173" t="str">
        <f>IF($AI77="","",IF(INDEX('Roadmap Calc (Don’t Touch)'!$AA$2:$AX$151,$AI77,16)&gt;0,IF(AND($H77&lt;&gt;"",$H77&lt;=EOMONTH(Y$12,0),$I77&gt;=Y$12),"BOTH","UX"),IF(AND($H77&lt;&gt;"",$H77&lt;=EOMONTH(Y$12,0),$I77&gt;=Y$12),"DEV","")))</f>
        <v/>
      </c>
      <c r="Z77" s="173" t="str">
        <f>IF($AI77="","",IF(INDEX('Roadmap Calc (Don’t Touch)'!$AA$2:$AX$151,$AI77,17)&gt;0,IF(AND($H77&lt;&gt;"",$H77&lt;=EOMONTH(Z$12,0),$I77&gt;=Z$12),"BOTH","UX"),IF(AND($H77&lt;&gt;"",$H77&lt;=EOMONTH(Z$12,0),$I77&gt;=Z$12),"DEV","")))</f>
        <v/>
      </c>
      <c r="AA77" s="173" t="str">
        <f>IF($AI77="","",IF(INDEX('Roadmap Calc (Don’t Touch)'!$AA$2:$AX$151,$AI77,18)&gt;0,IF(AND($H77&lt;&gt;"",$H77&lt;=EOMONTH(AA$12,0),$I77&gt;=AA$12),"BOTH","UX"),IF(AND($H77&lt;&gt;"",$H77&lt;=EOMONTH(AA$12,0),$I77&gt;=AA$12),"DEV","")))</f>
        <v/>
      </c>
      <c r="AB77" s="173" t="str">
        <f>IF($AI77="","",IF(INDEX('Roadmap Calc (Don’t Touch)'!$AA$2:$AX$151,$AI77,19)&gt;0,IF(AND($H77&lt;&gt;"",$H77&lt;=EOMONTH(AB$12,0),$I77&gt;=AB$12),"BOTH","UX"),IF(AND($H77&lt;&gt;"",$H77&lt;=EOMONTH(AB$12,0),$I77&gt;=AB$12),"DEV","")))</f>
        <v/>
      </c>
      <c r="AC77" s="173" t="str">
        <f>IF($AI77="","",IF(INDEX('Roadmap Calc (Don’t Touch)'!$AA$2:$AX$151,$AI77,20)&gt;0,IF(AND($H77&lt;&gt;"",$H77&lt;=EOMONTH(AC$12,0),$I77&gt;=AC$12),"BOTH","UX"),IF(AND($H77&lt;&gt;"",$H77&lt;=EOMONTH(AC$12,0),$I77&gt;=AC$12),"DEV","")))</f>
        <v/>
      </c>
      <c r="AD77" s="173" t="str">
        <f>IF($AI77="","",IF(INDEX('Roadmap Calc (Don’t Touch)'!$AA$2:$AX$151,$AI77,21)&gt;0,IF(AND($H77&lt;&gt;"",$H77&lt;=EOMONTH(AD$12,0),$I77&gt;=AD$12),"BOTH","UX"),IF(AND($H77&lt;&gt;"",$H77&lt;=EOMONTH(AD$12,0),$I77&gt;=AD$12),"DEV","")))</f>
        <v/>
      </c>
      <c r="AE77" s="173" t="str">
        <f>IF($AI77="","",IF(INDEX('Roadmap Calc (Don’t Touch)'!$AA$2:$AX$151,$AI77,22)&gt;0,IF(AND($H77&lt;&gt;"",$H77&lt;=EOMONTH(AE$12,0),$I77&gt;=AE$12),"BOTH","UX"),IF(AND($H77&lt;&gt;"",$H77&lt;=EOMONTH(AE$12,0),$I77&gt;=AE$12),"DEV","")))</f>
        <v/>
      </c>
      <c r="AF77" s="173" t="str">
        <f>IF($AI77="","",IF(INDEX('Roadmap Calc (Don’t Touch)'!$AA$2:$AX$151,$AI77,23)&gt;0,IF(AND($H77&lt;&gt;"",$H77&lt;=EOMONTH(AF$12,0),$I77&gt;=AF$12),"BOTH","UX"),IF(AND($H77&lt;&gt;"",$H77&lt;=EOMONTH(AF$12,0),$I77&gt;=AF$12),"DEV","")))</f>
        <v/>
      </c>
      <c r="AG77" s="173" t="str">
        <f>IF($AI77="","",IF(INDEX('Roadmap Calc (Don’t Touch)'!$AA$2:$AX$151,$AI77,24)&gt;0,IF(AND($H77&lt;&gt;"",$H77&lt;=EOMONTH(AG$12,0),$I77&gt;=AG$12),"BOTH","UX"),IF(AND($H77&lt;&gt;"",$H77&lt;=EOMONTH(AG$12,0),$I77&gt;=AG$12),"DEV","")))</f>
        <v/>
      </c>
      <c r="AH77" s="160" t="str">
        <f>IF($AI77="","",INDEX('Roadmap Calc (Don’t Touch)'!$D$2:$D$151,$AI77))</f>
        <v/>
      </c>
      <c r="AI77" s="160" t="str">
        <f>IFERROR(MATCH(62,'Roadmap Calc (Don’t Touch)'!$O$2:$O$151,0),"")</f>
        <v/>
      </c>
      <c r="AJ77" s="160"/>
      <c r="AK77" s="160"/>
      <c r="AL77" s="160"/>
      <c r="AM77" s="160"/>
    </row>
    <row r="78" spans="1:39" ht="17" customHeight="1" x14ac:dyDescent="0.25">
      <c r="A78" s="167" t="str">
        <f>IF($AI78="","",IF($AH78=$AH77,"",IF(INDEX('Roadmap Calc (Don’t Touch)'!$U$2:$U$151,$AI78)=0,$AH78,HYPERLINK("#'Control (Don’t Touch)'!E"&amp;INDEX('Roadmap Calc (Don’t Touch)'!$U$2:$U$151,$AI78),$AH78))))</f>
        <v/>
      </c>
      <c r="B78" s="168" t="str">
        <f>IF($AI78="","",IF(INDEX('Roadmap Calc (Don’t Touch)'!$K$2:$K$151,$AI78)="",INDEX('Roadmap Calc (Don’t Touch)'!$B$2:$B$151,$AI78),HYPERLINK("https://jira.bnh.com/browse/"&amp;INDEX('Roadmap Calc (Don’t Touch)'!$K$2:$K$151,$AI78),INDEX('Roadmap Calc (Don’t Touch)'!$B$2:$B$151,$AI78))))</f>
        <v/>
      </c>
      <c r="C78" s="168" t="str">
        <f>IF($AI78="","",IF(INDEX('Roadmap Calc (Don’t Touch)'!$E$2:$E$151,$AI78)="","",HYPERLINK("https://jira.bnh.com/browse/"&amp;INDEX('Roadmap Calc (Don’t Touch)'!$E$2:$E$151,$AI78),INDEX('Roadmap Calc (Don’t Touch)'!$E$2:$E$151,$AI78))))</f>
        <v/>
      </c>
      <c r="D78" s="169" t="str">
        <f>IF($AI78="","",INDEX('Roadmap Calc (Don’t Touch)'!$F$2:$F$151,$AI78))</f>
        <v/>
      </c>
      <c r="E78" s="170" t="str">
        <f>IF($AI78="","",IF(ISNUMBER(INDEX('Roadmap Calc (Don’t Touch)'!$G$2:$G$151,$AI78)),INDEX('Roadmap Calc (Don’t Touch)'!$G$2:$G$151,$AI78),""))</f>
        <v/>
      </c>
      <c r="F78" s="170" t="str">
        <f>IF($AI78="","",IF(ISNUMBER(INDEX('Roadmap Calc (Don’t Touch)'!$H$2:$H$151,$AI78)),INDEX('Roadmap Calc (Don’t Touch)'!$H$2:$H$151,$AI78),""))</f>
        <v/>
      </c>
      <c r="G78" s="171" t="str">
        <f>IF($AI78="","",INDEX('Roadmap Calc (Don’t Touch)'!$T$2:$T$151,$AI78))</f>
        <v/>
      </c>
      <c r="H78" s="172" t="str">
        <f>IF($AI78="","",IF(ISNUMBER(INDEX('Roadmap Calc (Don’t Touch)'!$I$2:$I$151,$AI78)),INDEX('Roadmap Calc (Don’t Touch)'!$I$2:$I$151,$AI78),""))</f>
        <v/>
      </c>
      <c r="I78" s="172" t="str">
        <f>IF($AI78="","",IF(ISNUMBER(INDEX('Roadmap Calc (Don’t Touch)'!$J$2:$J$151,$AI78)),INDEX('Roadmap Calc (Don’t Touch)'!$J$2:$J$151,$AI78),""))</f>
        <v/>
      </c>
      <c r="J78" s="173" t="str">
        <f>IF($AI78="","",IF(INDEX('Roadmap Calc (Don’t Touch)'!$AA$2:$AX$151,$AI78,1)&gt;0,IF(AND($H78&lt;&gt;"",$H78&lt;=EOMONTH(J$12,0),$I78&gt;=J$12),"BOTH","UX"),IF(AND($H78&lt;&gt;"",$H78&lt;=EOMONTH(J$12,0),$I78&gt;=J$12),"DEV","")))</f>
        <v/>
      </c>
      <c r="K78" s="173" t="str">
        <f>IF($AI78="","",IF(INDEX('Roadmap Calc (Don’t Touch)'!$AA$2:$AX$151,$AI78,2)&gt;0,IF(AND($H78&lt;&gt;"",$H78&lt;=EOMONTH(K$12,0),$I78&gt;=K$12),"BOTH","UX"),IF(AND($H78&lt;&gt;"",$H78&lt;=EOMONTH(K$12,0),$I78&gt;=K$12),"DEV","")))</f>
        <v/>
      </c>
      <c r="L78" s="173" t="str">
        <f>IF($AI78="","",IF(INDEX('Roadmap Calc (Don’t Touch)'!$AA$2:$AX$151,$AI78,3)&gt;0,IF(AND($H78&lt;&gt;"",$H78&lt;=EOMONTH(L$12,0),$I78&gt;=L$12),"BOTH","UX"),IF(AND($H78&lt;&gt;"",$H78&lt;=EOMONTH(L$12,0),$I78&gt;=L$12),"DEV","")))</f>
        <v/>
      </c>
      <c r="M78" s="173" t="str">
        <f>IF($AI78="","",IF(INDEX('Roadmap Calc (Don’t Touch)'!$AA$2:$AX$151,$AI78,4)&gt;0,IF(AND($H78&lt;&gt;"",$H78&lt;=EOMONTH(M$12,0),$I78&gt;=M$12),"BOTH","UX"),IF(AND($H78&lt;&gt;"",$H78&lt;=EOMONTH(M$12,0),$I78&gt;=M$12),"DEV","")))</f>
        <v/>
      </c>
      <c r="N78" s="173" t="str">
        <f>IF($AI78="","",IF(INDEX('Roadmap Calc (Don’t Touch)'!$AA$2:$AX$151,$AI78,5)&gt;0,IF(AND($H78&lt;&gt;"",$H78&lt;=EOMONTH(N$12,0),$I78&gt;=N$12),"BOTH","UX"),IF(AND($H78&lt;&gt;"",$H78&lt;=EOMONTH(N$12,0),$I78&gt;=N$12),"DEV","")))</f>
        <v/>
      </c>
      <c r="O78" s="173" t="str">
        <f>IF($AI78="","",IF(INDEX('Roadmap Calc (Don’t Touch)'!$AA$2:$AX$151,$AI78,6)&gt;0,IF(AND($H78&lt;&gt;"",$H78&lt;=EOMONTH(O$12,0),$I78&gt;=O$12),"BOTH","UX"),IF(AND($H78&lt;&gt;"",$H78&lt;=EOMONTH(O$12,0),$I78&gt;=O$12),"DEV","")))</f>
        <v/>
      </c>
      <c r="P78" s="173" t="str">
        <f>IF($AI78="","",IF(INDEX('Roadmap Calc (Don’t Touch)'!$AA$2:$AX$151,$AI78,7)&gt;0,IF(AND($H78&lt;&gt;"",$H78&lt;=EOMONTH(P$12,0),$I78&gt;=P$12),"BOTH","UX"),IF(AND($H78&lt;&gt;"",$H78&lt;=EOMONTH(P$12,0),$I78&gt;=P$12),"DEV","")))</f>
        <v/>
      </c>
      <c r="Q78" s="173" t="str">
        <f>IF($AI78="","",IF(INDEX('Roadmap Calc (Don’t Touch)'!$AA$2:$AX$151,$AI78,8)&gt;0,IF(AND($H78&lt;&gt;"",$H78&lt;=EOMONTH(Q$12,0),$I78&gt;=Q$12),"BOTH","UX"),IF(AND($H78&lt;&gt;"",$H78&lt;=EOMONTH(Q$12,0),$I78&gt;=Q$12),"DEV","")))</f>
        <v/>
      </c>
      <c r="R78" s="173" t="str">
        <f>IF($AI78="","",IF(INDEX('Roadmap Calc (Don’t Touch)'!$AA$2:$AX$151,$AI78,9)&gt;0,IF(AND($H78&lt;&gt;"",$H78&lt;=EOMONTH(R$12,0),$I78&gt;=R$12),"BOTH","UX"),IF(AND($H78&lt;&gt;"",$H78&lt;=EOMONTH(R$12,0),$I78&gt;=R$12),"DEV","")))</f>
        <v/>
      </c>
      <c r="S78" s="173" t="str">
        <f>IF($AI78="","",IF(INDEX('Roadmap Calc (Don’t Touch)'!$AA$2:$AX$151,$AI78,10)&gt;0,IF(AND($H78&lt;&gt;"",$H78&lt;=EOMONTH(S$12,0),$I78&gt;=S$12),"BOTH","UX"),IF(AND($H78&lt;&gt;"",$H78&lt;=EOMONTH(S$12,0),$I78&gt;=S$12),"DEV","")))</f>
        <v/>
      </c>
      <c r="T78" s="173" t="str">
        <f>IF($AI78="","",IF(INDEX('Roadmap Calc (Don’t Touch)'!$AA$2:$AX$151,$AI78,11)&gt;0,IF(AND($H78&lt;&gt;"",$H78&lt;=EOMONTH(T$12,0),$I78&gt;=T$12),"BOTH","UX"),IF(AND($H78&lt;&gt;"",$H78&lt;=EOMONTH(T$12,0),$I78&gt;=T$12),"DEV","")))</f>
        <v/>
      </c>
      <c r="U78" s="173" t="str">
        <f>IF($AI78="","",IF(INDEX('Roadmap Calc (Don’t Touch)'!$AA$2:$AX$151,$AI78,12)&gt;0,IF(AND($H78&lt;&gt;"",$H78&lt;=EOMONTH(U$12,0),$I78&gt;=U$12),"BOTH","UX"),IF(AND($H78&lt;&gt;"",$H78&lt;=EOMONTH(U$12,0),$I78&gt;=U$12),"DEV","")))</f>
        <v/>
      </c>
      <c r="V78" s="173" t="str">
        <f>IF($AI78="","",IF(INDEX('Roadmap Calc (Don’t Touch)'!$AA$2:$AX$151,$AI78,13)&gt;0,IF(AND($H78&lt;&gt;"",$H78&lt;=EOMONTH(V$12,0),$I78&gt;=V$12),"BOTH","UX"),IF(AND($H78&lt;&gt;"",$H78&lt;=EOMONTH(V$12,0),$I78&gt;=V$12),"DEV","")))</f>
        <v/>
      </c>
      <c r="W78" s="173" t="str">
        <f>IF($AI78="","",IF(INDEX('Roadmap Calc (Don’t Touch)'!$AA$2:$AX$151,$AI78,14)&gt;0,IF(AND($H78&lt;&gt;"",$H78&lt;=EOMONTH(W$12,0),$I78&gt;=W$12),"BOTH","UX"),IF(AND($H78&lt;&gt;"",$H78&lt;=EOMONTH(W$12,0),$I78&gt;=W$12),"DEV","")))</f>
        <v/>
      </c>
      <c r="X78" s="173" t="str">
        <f>IF($AI78="","",IF(INDEX('Roadmap Calc (Don’t Touch)'!$AA$2:$AX$151,$AI78,15)&gt;0,IF(AND($H78&lt;&gt;"",$H78&lt;=EOMONTH(X$12,0),$I78&gt;=X$12),"BOTH","UX"),IF(AND($H78&lt;&gt;"",$H78&lt;=EOMONTH(X$12,0),$I78&gt;=X$12),"DEV","")))</f>
        <v/>
      </c>
      <c r="Y78" s="173" t="str">
        <f>IF($AI78="","",IF(INDEX('Roadmap Calc (Don’t Touch)'!$AA$2:$AX$151,$AI78,16)&gt;0,IF(AND($H78&lt;&gt;"",$H78&lt;=EOMONTH(Y$12,0),$I78&gt;=Y$12),"BOTH","UX"),IF(AND($H78&lt;&gt;"",$H78&lt;=EOMONTH(Y$12,0),$I78&gt;=Y$12),"DEV","")))</f>
        <v/>
      </c>
      <c r="Z78" s="173" t="str">
        <f>IF($AI78="","",IF(INDEX('Roadmap Calc (Don’t Touch)'!$AA$2:$AX$151,$AI78,17)&gt;0,IF(AND($H78&lt;&gt;"",$H78&lt;=EOMONTH(Z$12,0),$I78&gt;=Z$12),"BOTH","UX"),IF(AND($H78&lt;&gt;"",$H78&lt;=EOMONTH(Z$12,0),$I78&gt;=Z$12),"DEV","")))</f>
        <v/>
      </c>
      <c r="AA78" s="173" t="str">
        <f>IF($AI78="","",IF(INDEX('Roadmap Calc (Don’t Touch)'!$AA$2:$AX$151,$AI78,18)&gt;0,IF(AND($H78&lt;&gt;"",$H78&lt;=EOMONTH(AA$12,0),$I78&gt;=AA$12),"BOTH","UX"),IF(AND($H78&lt;&gt;"",$H78&lt;=EOMONTH(AA$12,0),$I78&gt;=AA$12),"DEV","")))</f>
        <v/>
      </c>
      <c r="AB78" s="173" t="str">
        <f>IF($AI78="","",IF(INDEX('Roadmap Calc (Don’t Touch)'!$AA$2:$AX$151,$AI78,19)&gt;0,IF(AND($H78&lt;&gt;"",$H78&lt;=EOMONTH(AB$12,0),$I78&gt;=AB$12),"BOTH","UX"),IF(AND($H78&lt;&gt;"",$H78&lt;=EOMONTH(AB$12,0),$I78&gt;=AB$12),"DEV","")))</f>
        <v/>
      </c>
      <c r="AC78" s="173" t="str">
        <f>IF($AI78="","",IF(INDEX('Roadmap Calc (Don’t Touch)'!$AA$2:$AX$151,$AI78,20)&gt;0,IF(AND($H78&lt;&gt;"",$H78&lt;=EOMONTH(AC$12,0),$I78&gt;=AC$12),"BOTH","UX"),IF(AND($H78&lt;&gt;"",$H78&lt;=EOMONTH(AC$12,0),$I78&gt;=AC$12),"DEV","")))</f>
        <v/>
      </c>
      <c r="AD78" s="173" t="str">
        <f>IF($AI78="","",IF(INDEX('Roadmap Calc (Don’t Touch)'!$AA$2:$AX$151,$AI78,21)&gt;0,IF(AND($H78&lt;&gt;"",$H78&lt;=EOMONTH(AD$12,0),$I78&gt;=AD$12),"BOTH","UX"),IF(AND($H78&lt;&gt;"",$H78&lt;=EOMONTH(AD$12,0),$I78&gt;=AD$12),"DEV","")))</f>
        <v/>
      </c>
      <c r="AE78" s="173" t="str">
        <f>IF($AI78="","",IF(INDEX('Roadmap Calc (Don’t Touch)'!$AA$2:$AX$151,$AI78,22)&gt;0,IF(AND($H78&lt;&gt;"",$H78&lt;=EOMONTH(AE$12,0),$I78&gt;=AE$12),"BOTH","UX"),IF(AND($H78&lt;&gt;"",$H78&lt;=EOMONTH(AE$12,0),$I78&gt;=AE$12),"DEV","")))</f>
        <v/>
      </c>
      <c r="AF78" s="173" t="str">
        <f>IF($AI78="","",IF(INDEX('Roadmap Calc (Don’t Touch)'!$AA$2:$AX$151,$AI78,23)&gt;0,IF(AND($H78&lt;&gt;"",$H78&lt;=EOMONTH(AF$12,0),$I78&gt;=AF$12),"BOTH","UX"),IF(AND($H78&lt;&gt;"",$H78&lt;=EOMONTH(AF$12,0),$I78&gt;=AF$12),"DEV","")))</f>
        <v/>
      </c>
      <c r="AG78" s="173" t="str">
        <f>IF($AI78="","",IF(INDEX('Roadmap Calc (Don’t Touch)'!$AA$2:$AX$151,$AI78,24)&gt;0,IF(AND($H78&lt;&gt;"",$H78&lt;=EOMONTH(AG$12,0),$I78&gt;=AG$12),"BOTH","UX"),IF(AND($H78&lt;&gt;"",$H78&lt;=EOMONTH(AG$12,0),$I78&gt;=AG$12),"DEV","")))</f>
        <v/>
      </c>
      <c r="AH78" s="160" t="str">
        <f>IF($AI78="","",INDEX('Roadmap Calc (Don’t Touch)'!$D$2:$D$151,$AI78))</f>
        <v/>
      </c>
      <c r="AI78" s="160" t="str">
        <f>IFERROR(MATCH(63,'Roadmap Calc (Don’t Touch)'!$O$2:$O$151,0),"")</f>
        <v/>
      </c>
      <c r="AJ78" s="160"/>
      <c r="AK78" s="160"/>
      <c r="AL78" s="160"/>
      <c r="AM78" s="160"/>
    </row>
    <row r="79" spans="1:39" ht="17" customHeight="1" x14ac:dyDescent="0.25">
      <c r="A79" s="167" t="str">
        <f>IF($AI79="","",IF($AH79=$AH78,"",IF(INDEX('Roadmap Calc (Don’t Touch)'!$U$2:$U$151,$AI79)=0,$AH79,HYPERLINK("#'Control (Don’t Touch)'!E"&amp;INDEX('Roadmap Calc (Don’t Touch)'!$U$2:$U$151,$AI79),$AH79))))</f>
        <v/>
      </c>
      <c r="B79" s="168" t="str">
        <f>IF($AI79="","",IF(INDEX('Roadmap Calc (Don’t Touch)'!$K$2:$K$151,$AI79)="",INDEX('Roadmap Calc (Don’t Touch)'!$B$2:$B$151,$AI79),HYPERLINK("https://jira.bnh.com/browse/"&amp;INDEX('Roadmap Calc (Don’t Touch)'!$K$2:$K$151,$AI79),INDEX('Roadmap Calc (Don’t Touch)'!$B$2:$B$151,$AI79))))</f>
        <v/>
      </c>
      <c r="C79" s="168" t="str">
        <f>IF($AI79="","",IF(INDEX('Roadmap Calc (Don’t Touch)'!$E$2:$E$151,$AI79)="","",HYPERLINK("https://jira.bnh.com/browse/"&amp;INDEX('Roadmap Calc (Don’t Touch)'!$E$2:$E$151,$AI79),INDEX('Roadmap Calc (Don’t Touch)'!$E$2:$E$151,$AI79))))</f>
        <v/>
      </c>
      <c r="D79" s="169" t="str">
        <f>IF($AI79="","",INDEX('Roadmap Calc (Don’t Touch)'!$F$2:$F$151,$AI79))</f>
        <v/>
      </c>
      <c r="E79" s="170" t="str">
        <f>IF($AI79="","",IF(ISNUMBER(INDEX('Roadmap Calc (Don’t Touch)'!$G$2:$G$151,$AI79)),INDEX('Roadmap Calc (Don’t Touch)'!$G$2:$G$151,$AI79),""))</f>
        <v/>
      </c>
      <c r="F79" s="170" t="str">
        <f>IF($AI79="","",IF(ISNUMBER(INDEX('Roadmap Calc (Don’t Touch)'!$H$2:$H$151,$AI79)),INDEX('Roadmap Calc (Don’t Touch)'!$H$2:$H$151,$AI79),""))</f>
        <v/>
      </c>
      <c r="G79" s="171" t="str">
        <f>IF($AI79="","",INDEX('Roadmap Calc (Don’t Touch)'!$T$2:$T$151,$AI79))</f>
        <v/>
      </c>
      <c r="H79" s="172" t="str">
        <f>IF($AI79="","",IF(ISNUMBER(INDEX('Roadmap Calc (Don’t Touch)'!$I$2:$I$151,$AI79)),INDEX('Roadmap Calc (Don’t Touch)'!$I$2:$I$151,$AI79),""))</f>
        <v/>
      </c>
      <c r="I79" s="172" t="str">
        <f>IF($AI79="","",IF(ISNUMBER(INDEX('Roadmap Calc (Don’t Touch)'!$J$2:$J$151,$AI79)),INDEX('Roadmap Calc (Don’t Touch)'!$J$2:$J$151,$AI79),""))</f>
        <v/>
      </c>
      <c r="J79" s="173" t="str">
        <f>IF($AI79="","",IF(INDEX('Roadmap Calc (Don’t Touch)'!$AA$2:$AX$151,$AI79,1)&gt;0,IF(AND($H79&lt;&gt;"",$H79&lt;=EOMONTH(J$12,0),$I79&gt;=J$12),"BOTH","UX"),IF(AND($H79&lt;&gt;"",$H79&lt;=EOMONTH(J$12,0),$I79&gt;=J$12),"DEV","")))</f>
        <v/>
      </c>
      <c r="K79" s="173" t="str">
        <f>IF($AI79="","",IF(INDEX('Roadmap Calc (Don’t Touch)'!$AA$2:$AX$151,$AI79,2)&gt;0,IF(AND($H79&lt;&gt;"",$H79&lt;=EOMONTH(K$12,0),$I79&gt;=K$12),"BOTH","UX"),IF(AND($H79&lt;&gt;"",$H79&lt;=EOMONTH(K$12,0),$I79&gt;=K$12),"DEV","")))</f>
        <v/>
      </c>
      <c r="L79" s="173" t="str">
        <f>IF($AI79="","",IF(INDEX('Roadmap Calc (Don’t Touch)'!$AA$2:$AX$151,$AI79,3)&gt;0,IF(AND($H79&lt;&gt;"",$H79&lt;=EOMONTH(L$12,0),$I79&gt;=L$12),"BOTH","UX"),IF(AND($H79&lt;&gt;"",$H79&lt;=EOMONTH(L$12,0),$I79&gt;=L$12),"DEV","")))</f>
        <v/>
      </c>
      <c r="M79" s="173" t="str">
        <f>IF($AI79="","",IF(INDEX('Roadmap Calc (Don’t Touch)'!$AA$2:$AX$151,$AI79,4)&gt;0,IF(AND($H79&lt;&gt;"",$H79&lt;=EOMONTH(M$12,0),$I79&gt;=M$12),"BOTH","UX"),IF(AND($H79&lt;&gt;"",$H79&lt;=EOMONTH(M$12,0),$I79&gt;=M$12),"DEV","")))</f>
        <v/>
      </c>
      <c r="N79" s="173" t="str">
        <f>IF($AI79="","",IF(INDEX('Roadmap Calc (Don’t Touch)'!$AA$2:$AX$151,$AI79,5)&gt;0,IF(AND($H79&lt;&gt;"",$H79&lt;=EOMONTH(N$12,0),$I79&gt;=N$12),"BOTH","UX"),IF(AND($H79&lt;&gt;"",$H79&lt;=EOMONTH(N$12,0),$I79&gt;=N$12),"DEV","")))</f>
        <v/>
      </c>
      <c r="O79" s="173" t="str">
        <f>IF($AI79="","",IF(INDEX('Roadmap Calc (Don’t Touch)'!$AA$2:$AX$151,$AI79,6)&gt;0,IF(AND($H79&lt;&gt;"",$H79&lt;=EOMONTH(O$12,0),$I79&gt;=O$12),"BOTH","UX"),IF(AND($H79&lt;&gt;"",$H79&lt;=EOMONTH(O$12,0),$I79&gt;=O$12),"DEV","")))</f>
        <v/>
      </c>
      <c r="P79" s="173" t="str">
        <f>IF($AI79="","",IF(INDEX('Roadmap Calc (Don’t Touch)'!$AA$2:$AX$151,$AI79,7)&gt;0,IF(AND($H79&lt;&gt;"",$H79&lt;=EOMONTH(P$12,0),$I79&gt;=P$12),"BOTH","UX"),IF(AND($H79&lt;&gt;"",$H79&lt;=EOMONTH(P$12,0),$I79&gt;=P$12),"DEV","")))</f>
        <v/>
      </c>
      <c r="Q79" s="173" t="str">
        <f>IF($AI79="","",IF(INDEX('Roadmap Calc (Don’t Touch)'!$AA$2:$AX$151,$AI79,8)&gt;0,IF(AND($H79&lt;&gt;"",$H79&lt;=EOMONTH(Q$12,0),$I79&gt;=Q$12),"BOTH","UX"),IF(AND($H79&lt;&gt;"",$H79&lt;=EOMONTH(Q$12,0),$I79&gt;=Q$12),"DEV","")))</f>
        <v/>
      </c>
      <c r="R79" s="173" t="str">
        <f>IF($AI79="","",IF(INDEX('Roadmap Calc (Don’t Touch)'!$AA$2:$AX$151,$AI79,9)&gt;0,IF(AND($H79&lt;&gt;"",$H79&lt;=EOMONTH(R$12,0),$I79&gt;=R$12),"BOTH","UX"),IF(AND($H79&lt;&gt;"",$H79&lt;=EOMONTH(R$12,0),$I79&gt;=R$12),"DEV","")))</f>
        <v/>
      </c>
      <c r="S79" s="173" t="str">
        <f>IF($AI79="","",IF(INDEX('Roadmap Calc (Don’t Touch)'!$AA$2:$AX$151,$AI79,10)&gt;0,IF(AND($H79&lt;&gt;"",$H79&lt;=EOMONTH(S$12,0),$I79&gt;=S$12),"BOTH","UX"),IF(AND($H79&lt;&gt;"",$H79&lt;=EOMONTH(S$12,0),$I79&gt;=S$12),"DEV","")))</f>
        <v/>
      </c>
      <c r="T79" s="173" t="str">
        <f>IF($AI79="","",IF(INDEX('Roadmap Calc (Don’t Touch)'!$AA$2:$AX$151,$AI79,11)&gt;0,IF(AND($H79&lt;&gt;"",$H79&lt;=EOMONTH(T$12,0),$I79&gt;=T$12),"BOTH","UX"),IF(AND($H79&lt;&gt;"",$H79&lt;=EOMONTH(T$12,0),$I79&gt;=T$12),"DEV","")))</f>
        <v/>
      </c>
      <c r="U79" s="173" t="str">
        <f>IF($AI79="","",IF(INDEX('Roadmap Calc (Don’t Touch)'!$AA$2:$AX$151,$AI79,12)&gt;0,IF(AND($H79&lt;&gt;"",$H79&lt;=EOMONTH(U$12,0),$I79&gt;=U$12),"BOTH","UX"),IF(AND($H79&lt;&gt;"",$H79&lt;=EOMONTH(U$12,0),$I79&gt;=U$12),"DEV","")))</f>
        <v/>
      </c>
      <c r="V79" s="173" t="str">
        <f>IF($AI79="","",IF(INDEX('Roadmap Calc (Don’t Touch)'!$AA$2:$AX$151,$AI79,13)&gt;0,IF(AND($H79&lt;&gt;"",$H79&lt;=EOMONTH(V$12,0),$I79&gt;=V$12),"BOTH","UX"),IF(AND($H79&lt;&gt;"",$H79&lt;=EOMONTH(V$12,0),$I79&gt;=V$12),"DEV","")))</f>
        <v/>
      </c>
      <c r="W79" s="173" t="str">
        <f>IF($AI79="","",IF(INDEX('Roadmap Calc (Don’t Touch)'!$AA$2:$AX$151,$AI79,14)&gt;0,IF(AND($H79&lt;&gt;"",$H79&lt;=EOMONTH(W$12,0),$I79&gt;=W$12),"BOTH","UX"),IF(AND($H79&lt;&gt;"",$H79&lt;=EOMONTH(W$12,0),$I79&gt;=W$12),"DEV","")))</f>
        <v/>
      </c>
      <c r="X79" s="173" t="str">
        <f>IF($AI79="","",IF(INDEX('Roadmap Calc (Don’t Touch)'!$AA$2:$AX$151,$AI79,15)&gt;0,IF(AND($H79&lt;&gt;"",$H79&lt;=EOMONTH(X$12,0),$I79&gt;=X$12),"BOTH","UX"),IF(AND($H79&lt;&gt;"",$H79&lt;=EOMONTH(X$12,0),$I79&gt;=X$12),"DEV","")))</f>
        <v/>
      </c>
      <c r="Y79" s="173" t="str">
        <f>IF($AI79="","",IF(INDEX('Roadmap Calc (Don’t Touch)'!$AA$2:$AX$151,$AI79,16)&gt;0,IF(AND($H79&lt;&gt;"",$H79&lt;=EOMONTH(Y$12,0),$I79&gt;=Y$12),"BOTH","UX"),IF(AND($H79&lt;&gt;"",$H79&lt;=EOMONTH(Y$12,0),$I79&gt;=Y$12),"DEV","")))</f>
        <v/>
      </c>
      <c r="Z79" s="173" t="str">
        <f>IF($AI79="","",IF(INDEX('Roadmap Calc (Don’t Touch)'!$AA$2:$AX$151,$AI79,17)&gt;0,IF(AND($H79&lt;&gt;"",$H79&lt;=EOMONTH(Z$12,0),$I79&gt;=Z$12),"BOTH","UX"),IF(AND($H79&lt;&gt;"",$H79&lt;=EOMONTH(Z$12,0),$I79&gt;=Z$12),"DEV","")))</f>
        <v/>
      </c>
      <c r="AA79" s="173" t="str">
        <f>IF($AI79="","",IF(INDEX('Roadmap Calc (Don’t Touch)'!$AA$2:$AX$151,$AI79,18)&gt;0,IF(AND($H79&lt;&gt;"",$H79&lt;=EOMONTH(AA$12,0),$I79&gt;=AA$12),"BOTH","UX"),IF(AND($H79&lt;&gt;"",$H79&lt;=EOMONTH(AA$12,0),$I79&gt;=AA$12),"DEV","")))</f>
        <v/>
      </c>
      <c r="AB79" s="173" t="str">
        <f>IF($AI79="","",IF(INDEX('Roadmap Calc (Don’t Touch)'!$AA$2:$AX$151,$AI79,19)&gt;0,IF(AND($H79&lt;&gt;"",$H79&lt;=EOMONTH(AB$12,0),$I79&gt;=AB$12),"BOTH","UX"),IF(AND($H79&lt;&gt;"",$H79&lt;=EOMONTH(AB$12,0),$I79&gt;=AB$12),"DEV","")))</f>
        <v/>
      </c>
      <c r="AC79" s="173" t="str">
        <f>IF($AI79="","",IF(INDEX('Roadmap Calc (Don’t Touch)'!$AA$2:$AX$151,$AI79,20)&gt;0,IF(AND($H79&lt;&gt;"",$H79&lt;=EOMONTH(AC$12,0),$I79&gt;=AC$12),"BOTH","UX"),IF(AND($H79&lt;&gt;"",$H79&lt;=EOMONTH(AC$12,0),$I79&gt;=AC$12),"DEV","")))</f>
        <v/>
      </c>
      <c r="AD79" s="173" t="str">
        <f>IF($AI79="","",IF(INDEX('Roadmap Calc (Don’t Touch)'!$AA$2:$AX$151,$AI79,21)&gt;0,IF(AND($H79&lt;&gt;"",$H79&lt;=EOMONTH(AD$12,0),$I79&gt;=AD$12),"BOTH","UX"),IF(AND($H79&lt;&gt;"",$H79&lt;=EOMONTH(AD$12,0),$I79&gt;=AD$12),"DEV","")))</f>
        <v/>
      </c>
      <c r="AE79" s="173" t="str">
        <f>IF($AI79="","",IF(INDEX('Roadmap Calc (Don’t Touch)'!$AA$2:$AX$151,$AI79,22)&gt;0,IF(AND($H79&lt;&gt;"",$H79&lt;=EOMONTH(AE$12,0),$I79&gt;=AE$12),"BOTH","UX"),IF(AND($H79&lt;&gt;"",$H79&lt;=EOMONTH(AE$12,0),$I79&gt;=AE$12),"DEV","")))</f>
        <v/>
      </c>
      <c r="AF79" s="173" t="str">
        <f>IF($AI79="","",IF(INDEX('Roadmap Calc (Don’t Touch)'!$AA$2:$AX$151,$AI79,23)&gt;0,IF(AND($H79&lt;&gt;"",$H79&lt;=EOMONTH(AF$12,0),$I79&gt;=AF$12),"BOTH","UX"),IF(AND($H79&lt;&gt;"",$H79&lt;=EOMONTH(AF$12,0),$I79&gt;=AF$12),"DEV","")))</f>
        <v/>
      </c>
      <c r="AG79" s="173" t="str">
        <f>IF($AI79="","",IF(INDEX('Roadmap Calc (Don’t Touch)'!$AA$2:$AX$151,$AI79,24)&gt;0,IF(AND($H79&lt;&gt;"",$H79&lt;=EOMONTH(AG$12,0),$I79&gt;=AG$12),"BOTH","UX"),IF(AND($H79&lt;&gt;"",$H79&lt;=EOMONTH(AG$12,0),$I79&gt;=AG$12),"DEV","")))</f>
        <v/>
      </c>
      <c r="AH79" s="160" t="str">
        <f>IF($AI79="","",INDEX('Roadmap Calc (Don’t Touch)'!$D$2:$D$151,$AI79))</f>
        <v/>
      </c>
      <c r="AI79" s="160" t="str">
        <f>IFERROR(MATCH(64,'Roadmap Calc (Don’t Touch)'!$O$2:$O$151,0),"")</f>
        <v/>
      </c>
      <c r="AJ79" s="160"/>
      <c r="AK79" s="160"/>
      <c r="AL79" s="160"/>
      <c r="AM79" s="160"/>
    </row>
    <row r="80" spans="1:39" ht="17" customHeight="1" x14ac:dyDescent="0.25">
      <c r="A80" s="167" t="str">
        <f>IF($AI80="","",IF($AH80=$AH79,"",IF(INDEX('Roadmap Calc (Don’t Touch)'!$U$2:$U$151,$AI80)=0,$AH80,HYPERLINK("#'Control (Don’t Touch)'!E"&amp;INDEX('Roadmap Calc (Don’t Touch)'!$U$2:$U$151,$AI80),$AH80))))</f>
        <v/>
      </c>
      <c r="B80" s="168" t="str">
        <f>IF($AI80="","",IF(INDEX('Roadmap Calc (Don’t Touch)'!$K$2:$K$151,$AI80)="",INDEX('Roadmap Calc (Don’t Touch)'!$B$2:$B$151,$AI80),HYPERLINK("https://jira.bnh.com/browse/"&amp;INDEX('Roadmap Calc (Don’t Touch)'!$K$2:$K$151,$AI80),INDEX('Roadmap Calc (Don’t Touch)'!$B$2:$B$151,$AI80))))</f>
        <v/>
      </c>
      <c r="C80" s="168" t="str">
        <f>IF($AI80="","",IF(INDEX('Roadmap Calc (Don’t Touch)'!$E$2:$E$151,$AI80)="","",HYPERLINK("https://jira.bnh.com/browse/"&amp;INDEX('Roadmap Calc (Don’t Touch)'!$E$2:$E$151,$AI80),INDEX('Roadmap Calc (Don’t Touch)'!$E$2:$E$151,$AI80))))</f>
        <v/>
      </c>
      <c r="D80" s="169" t="str">
        <f>IF($AI80="","",INDEX('Roadmap Calc (Don’t Touch)'!$F$2:$F$151,$AI80))</f>
        <v/>
      </c>
      <c r="E80" s="170" t="str">
        <f>IF($AI80="","",IF(ISNUMBER(INDEX('Roadmap Calc (Don’t Touch)'!$G$2:$G$151,$AI80)),INDEX('Roadmap Calc (Don’t Touch)'!$G$2:$G$151,$AI80),""))</f>
        <v/>
      </c>
      <c r="F80" s="170" t="str">
        <f>IF($AI80="","",IF(ISNUMBER(INDEX('Roadmap Calc (Don’t Touch)'!$H$2:$H$151,$AI80)),INDEX('Roadmap Calc (Don’t Touch)'!$H$2:$H$151,$AI80),""))</f>
        <v/>
      </c>
      <c r="G80" s="171" t="str">
        <f>IF($AI80="","",INDEX('Roadmap Calc (Don’t Touch)'!$T$2:$T$151,$AI80))</f>
        <v/>
      </c>
      <c r="H80" s="172" t="str">
        <f>IF($AI80="","",IF(ISNUMBER(INDEX('Roadmap Calc (Don’t Touch)'!$I$2:$I$151,$AI80)),INDEX('Roadmap Calc (Don’t Touch)'!$I$2:$I$151,$AI80),""))</f>
        <v/>
      </c>
      <c r="I80" s="172" t="str">
        <f>IF($AI80="","",IF(ISNUMBER(INDEX('Roadmap Calc (Don’t Touch)'!$J$2:$J$151,$AI80)),INDEX('Roadmap Calc (Don’t Touch)'!$J$2:$J$151,$AI80),""))</f>
        <v/>
      </c>
      <c r="J80" s="173" t="str">
        <f>IF($AI80="","",IF(INDEX('Roadmap Calc (Don’t Touch)'!$AA$2:$AX$151,$AI80,1)&gt;0,IF(AND($H80&lt;&gt;"",$H80&lt;=EOMONTH(J$12,0),$I80&gt;=J$12),"BOTH","UX"),IF(AND($H80&lt;&gt;"",$H80&lt;=EOMONTH(J$12,0),$I80&gt;=J$12),"DEV","")))</f>
        <v/>
      </c>
      <c r="K80" s="173" t="str">
        <f>IF($AI80="","",IF(INDEX('Roadmap Calc (Don’t Touch)'!$AA$2:$AX$151,$AI80,2)&gt;0,IF(AND($H80&lt;&gt;"",$H80&lt;=EOMONTH(K$12,0),$I80&gt;=K$12),"BOTH","UX"),IF(AND($H80&lt;&gt;"",$H80&lt;=EOMONTH(K$12,0),$I80&gt;=K$12),"DEV","")))</f>
        <v/>
      </c>
      <c r="L80" s="173" t="str">
        <f>IF($AI80="","",IF(INDEX('Roadmap Calc (Don’t Touch)'!$AA$2:$AX$151,$AI80,3)&gt;0,IF(AND($H80&lt;&gt;"",$H80&lt;=EOMONTH(L$12,0),$I80&gt;=L$12),"BOTH","UX"),IF(AND($H80&lt;&gt;"",$H80&lt;=EOMONTH(L$12,0),$I80&gt;=L$12),"DEV","")))</f>
        <v/>
      </c>
      <c r="M80" s="173" t="str">
        <f>IF($AI80="","",IF(INDEX('Roadmap Calc (Don’t Touch)'!$AA$2:$AX$151,$AI80,4)&gt;0,IF(AND($H80&lt;&gt;"",$H80&lt;=EOMONTH(M$12,0),$I80&gt;=M$12),"BOTH","UX"),IF(AND($H80&lt;&gt;"",$H80&lt;=EOMONTH(M$12,0),$I80&gt;=M$12),"DEV","")))</f>
        <v/>
      </c>
      <c r="N80" s="173" t="str">
        <f>IF($AI80="","",IF(INDEX('Roadmap Calc (Don’t Touch)'!$AA$2:$AX$151,$AI80,5)&gt;0,IF(AND($H80&lt;&gt;"",$H80&lt;=EOMONTH(N$12,0),$I80&gt;=N$12),"BOTH","UX"),IF(AND($H80&lt;&gt;"",$H80&lt;=EOMONTH(N$12,0),$I80&gt;=N$12),"DEV","")))</f>
        <v/>
      </c>
      <c r="O80" s="173" t="str">
        <f>IF($AI80="","",IF(INDEX('Roadmap Calc (Don’t Touch)'!$AA$2:$AX$151,$AI80,6)&gt;0,IF(AND($H80&lt;&gt;"",$H80&lt;=EOMONTH(O$12,0),$I80&gt;=O$12),"BOTH","UX"),IF(AND($H80&lt;&gt;"",$H80&lt;=EOMONTH(O$12,0),$I80&gt;=O$12),"DEV","")))</f>
        <v/>
      </c>
      <c r="P80" s="173" t="str">
        <f>IF($AI80="","",IF(INDEX('Roadmap Calc (Don’t Touch)'!$AA$2:$AX$151,$AI80,7)&gt;0,IF(AND($H80&lt;&gt;"",$H80&lt;=EOMONTH(P$12,0),$I80&gt;=P$12),"BOTH","UX"),IF(AND($H80&lt;&gt;"",$H80&lt;=EOMONTH(P$12,0),$I80&gt;=P$12),"DEV","")))</f>
        <v/>
      </c>
      <c r="Q80" s="173" t="str">
        <f>IF($AI80="","",IF(INDEX('Roadmap Calc (Don’t Touch)'!$AA$2:$AX$151,$AI80,8)&gt;0,IF(AND($H80&lt;&gt;"",$H80&lt;=EOMONTH(Q$12,0),$I80&gt;=Q$12),"BOTH","UX"),IF(AND($H80&lt;&gt;"",$H80&lt;=EOMONTH(Q$12,0),$I80&gt;=Q$12),"DEV","")))</f>
        <v/>
      </c>
      <c r="R80" s="173" t="str">
        <f>IF($AI80="","",IF(INDEX('Roadmap Calc (Don’t Touch)'!$AA$2:$AX$151,$AI80,9)&gt;0,IF(AND($H80&lt;&gt;"",$H80&lt;=EOMONTH(R$12,0),$I80&gt;=R$12),"BOTH","UX"),IF(AND($H80&lt;&gt;"",$H80&lt;=EOMONTH(R$12,0),$I80&gt;=R$12),"DEV","")))</f>
        <v/>
      </c>
      <c r="S80" s="173" t="str">
        <f>IF($AI80="","",IF(INDEX('Roadmap Calc (Don’t Touch)'!$AA$2:$AX$151,$AI80,10)&gt;0,IF(AND($H80&lt;&gt;"",$H80&lt;=EOMONTH(S$12,0),$I80&gt;=S$12),"BOTH","UX"),IF(AND($H80&lt;&gt;"",$H80&lt;=EOMONTH(S$12,0),$I80&gt;=S$12),"DEV","")))</f>
        <v/>
      </c>
      <c r="T80" s="173" t="str">
        <f>IF($AI80="","",IF(INDEX('Roadmap Calc (Don’t Touch)'!$AA$2:$AX$151,$AI80,11)&gt;0,IF(AND($H80&lt;&gt;"",$H80&lt;=EOMONTH(T$12,0),$I80&gt;=T$12),"BOTH","UX"),IF(AND($H80&lt;&gt;"",$H80&lt;=EOMONTH(T$12,0),$I80&gt;=T$12),"DEV","")))</f>
        <v/>
      </c>
      <c r="U80" s="173" t="str">
        <f>IF($AI80="","",IF(INDEX('Roadmap Calc (Don’t Touch)'!$AA$2:$AX$151,$AI80,12)&gt;0,IF(AND($H80&lt;&gt;"",$H80&lt;=EOMONTH(U$12,0),$I80&gt;=U$12),"BOTH","UX"),IF(AND($H80&lt;&gt;"",$H80&lt;=EOMONTH(U$12,0),$I80&gt;=U$12),"DEV","")))</f>
        <v/>
      </c>
      <c r="V80" s="173" t="str">
        <f>IF($AI80="","",IF(INDEX('Roadmap Calc (Don’t Touch)'!$AA$2:$AX$151,$AI80,13)&gt;0,IF(AND($H80&lt;&gt;"",$H80&lt;=EOMONTH(V$12,0),$I80&gt;=V$12),"BOTH","UX"),IF(AND($H80&lt;&gt;"",$H80&lt;=EOMONTH(V$12,0),$I80&gt;=V$12),"DEV","")))</f>
        <v/>
      </c>
      <c r="W80" s="173" t="str">
        <f>IF($AI80="","",IF(INDEX('Roadmap Calc (Don’t Touch)'!$AA$2:$AX$151,$AI80,14)&gt;0,IF(AND($H80&lt;&gt;"",$H80&lt;=EOMONTH(W$12,0),$I80&gt;=W$12),"BOTH","UX"),IF(AND($H80&lt;&gt;"",$H80&lt;=EOMONTH(W$12,0),$I80&gt;=W$12),"DEV","")))</f>
        <v/>
      </c>
      <c r="X80" s="173" t="str">
        <f>IF($AI80="","",IF(INDEX('Roadmap Calc (Don’t Touch)'!$AA$2:$AX$151,$AI80,15)&gt;0,IF(AND($H80&lt;&gt;"",$H80&lt;=EOMONTH(X$12,0),$I80&gt;=X$12),"BOTH","UX"),IF(AND($H80&lt;&gt;"",$H80&lt;=EOMONTH(X$12,0),$I80&gt;=X$12),"DEV","")))</f>
        <v/>
      </c>
      <c r="Y80" s="173" t="str">
        <f>IF($AI80="","",IF(INDEX('Roadmap Calc (Don’t Touch)'!$AA$2:$AX$151,$AI80,16)&gt;0,IF(AND($H80&lt;&gt;"",$H80&lt;=EOMONTH(Y$12,0),$I80&gt;=Y$12),"BOTH","UX"),IF(AND($H80&lt;&gt;"",$H80&lt;=EOMONTH(Y$12,0),$I80&gt;=Y$12),"DEV","")))</f>
        <v/>
      </c>
      <c r="Z80" s="173" t="str">
        <f>IF($AI80="","",IF(INDEX('Roadmap Calc (Don’t Touch)'!$AA$2:$AX$151,$AI80,17)&gt;0,IF(AND($H80&lt;&gt;"",$H80&lt;=EOMONTH(Z$12,0),$I80&gt;=Z$12),"BOTH","UX"),IF(AND($H80&lt;&gt;"",$H80&lt;=EOMONTH(Z$12,0),$I80&gt;=Z$12),"DEV","")))</f>
        <v/>
      </c>
      <c r="AA80" s="173" t="str">
        <f>IF($AI80="","",IF(INDEX('Roadmap Calc (Don’t Touch)'!$AA$2:$AX$151,$AI80,18)&gt;0,IF(AND($H80&lt;&gt;"",$H80&lt;=EOMONTH(AA$12,0),$I80&gt;=AA$12),"BOTH","UX"),IF(AND($H80&lt;&gt;"",$H80&lt;=EOMONTH(AA$12,0),$I80&gt;=AA$12),"DEV","")))</f>
        <v/>
      </c>
      <c r="AB80" s="173" t="str">
        <f>IF($AI80="","",IF(INDEX('Roadmap Calc (Don’t Touch)'!$AA$2:$AX$151,$AI80,19)&gt;0,IF(AND($H80&lt;&gt;"",$H80&lt;=EOMONTH(AB$12,0),$I80&gt;=AB$12),"BOTH","UX"),IF(AND($H80&lt;&gt;"",$H80&lt;=EOMONTH(AB$12,0),$I80&gt;=AB$12),"DEV","")))</f>
        <v/>
      </c>
      <c r="AC80" s="173" t="str">
        <f>IF($AI80="","",IF(INDEX('Roadmap Calc (Don’t Touch)'!$AA$2:$AX$151,$AI80,20)&gt;0,IF(AND($H80&lt;&gt;"",$H80&lt;=EOMONTH(AC$12,0),$I80&gt;=AC$12),"BOTH","UX"),IF(AND($H80&lt;&gt;"",$H80&lt;=EOMONTH(AC$12,0),$I80&gt;=AC$12),"DEV","")))</f>
        <v/>
      </c>
      <c r="AD80" s="173" t="str">
        <f>IF($AI80="","",IF(INDEX('Roadmap Calc (Don’t Touch)'!$AA$2:$AX$151,$AI80,21)&gt;0,IF(AND($H80&lt;&gt;"",$H80&lt;=EOMONTH(AD$12,0),$I80&gt;=AD$12),"BOTH","UX"),IF(AND($H80&lt;&gt;"",$H80&lt;=EOMONTH(AD$12,0),$I80&gt;=AD$12),"DEV","")))</f>
        <v/>
      </c>
      <c r="AE80" s="173" t="str">
        <f>IF($AI80="","",IF(INDEX('Roadmap Calc (Don’t Touch)'!$AA$2:$AX$151,$AI80,22)&gt;0,IF(AND($H80&lt;&gt;"",$H80&lt;=EOMONTH(AE$12,0),$I80&gt;=AE$12),"BOTH","UX"),IF(AND($H80&lt;&gt;"",$H80&lt;=EOMONTH(AE$12,0),$I80&gt;=AE$12),"DEV","")))</f>
        <v/>
      </c>
      <c r="AF80" s="173" t="str">
        <f>IF($AI80="","",IF(INDEX('Roadmap Calc (Don’t Touch)'!$AA$2:$AX$151,$AI80,23)&gt;0,IF(AND($H80&lt;&gt;"",$H80&lt;=EOMONTH(AF$12,0),$I80&gt;=AF$12),"BOTH","UX"),IF(AND($H80&lt;&gt;"",$H80&lt;=EOMONTH(AF$12,0),$I80&gt;=AF$12),"DEV","")))</f>
        <v/>
      </c>
      <c r="AG80" s="173" t="str">
        <f>IF($AI80="","",IF(INDEX('Roadmap Calc (Don’t Touch)'!$AA$2:$AX$151,$AI80,24)&gt;0,IF(AND($H80&lt;&gt;"",$H80&lt;=EOMONTH(AG$12,0),$I80&gt;=AG$12),"BOTH","UX"),IF(AND($H80&lt;&gt;"",$H80&lt;=EOMONTH(AG$12,0),$I80&gt;=AG$12),"DEV","")))</f>
        <v/>
      </c>
      <c r="AH80" s="160" t="str">
        <f>IF($AI80="","",INDEX('Roadmap Calc (Don’t Touch)'!$D$2:$D$151,$AI80))</f>
        <v/>
      </c>
      <c r="AI80" s="160" t="str">
        <f>IFERROR(MATCH(65,'Roadmap Calc (Don’t Touch)'!$O$2:$O$151,0),"")</f>
        <v/>
      </c>
      <c r="AJ80" s="160"/>
      <c r="AK80" s="160"/>
      <c r="AL80" s="160"/>
      <c r="AM80" s="160"/>
    </row>
    <row r="81" spans="1:39" ht="17" customHeight="1" x14ac:dyDescent="0.25">
      <c r="A81" s="167" t="str">
        <f>IF($AI81="","",IF($AH81=$AH80,"",IF(INDEX('Roadmap Calc (Don’t Touch)'!$U$2:$U$151,$AI81)=0,$AH81,HYPERLINK("#'Control (Don’t Touch)'!E"&amp;INDEX('Roadmap Calc (Don’t Touch)'!$U$2:$U$151,$AI81),$AH81))))</f>
        <v/>
      </c>
      <c r="B81" s="168" t="str">
        <f>IF($AI81="","",IF(INDEX('Roadmap Calc (Don’t Touch)'!$K$2:$K$151,$AI81)="",INDEX('Roadmap Calc (Don’t Touch)'!$B$2:$B$151,$AI81),HYPERLINK("https://jira.bnh.com/browse/"&amp;INDEX('Roadmap Calc (Don’t Touch)'!$K$2:$K$151,$AI81),INDEX('Roadmap Calc (Don’t Touch)'!$B$2:$B$151,$AI81))))</f>
        <v/>
      </c>
      <c r="C81" s="168" t="str">
        <f>IF($AI81="","",IF(INDEX('Roadmap Calc (Don’t Touch)'!$E$2:$E$151,$AI81)="","",HYPERLINK("https://jira.bnh.com/browse/"&amp;INDEX('Roadmap Calc (Don’t Touch)'!$E$2:$E$151,$AI81),INDEX('Roadmap Calc (Don’t Touch)'!$E$2:$E$151,$AI81))))</f>
        <v/>
      </c>
      <c r="D81" s="169" t="str">
        <f>IF($AI81="","",INDEX('Roadmap Calc (Don’t Touch)'!$F$2:$F$151,$AI81))</f>
        <v/>
      </c>
      <c r="E81" s="170" t="str">
        <f>IF($AI81="","",IF(ISNUMBER(INDEX('Roadmap Calc (Don’t Touch)'!$G$2:$G$151,$AI81)),INDEX('Roadmap Calc (Don’t Touch)'!$G$2:$G$151,$AI81),""))</f>
        <v/>
      </c>
      <c r="F81" s="170" t="str">
        <f>IF($AI81="","",IF(ISNUMBER(INDEX('Roadmap Calc (Don’t Touch)'!$H$2:$H$151,$AI81)),INDEX('Roadmap Calc (Don’t Touch)'!$H$2:$H$151,$AI81),""))</f>
        <v/>
      </c>
      <c r="G81" s="171" t="str">
        <f>IF($AI81="","",INDEX('Roadmap Calc (Don’t Touch)'!$T$2:$T$151,$AI81))</f>
        <v/>
      </c>
      <c r="H81" s="172" t="str">
        <f>IF($AI81="","",IF(ISNUMBER(INDEX('Roadmap Calc (Don’t Touch)'!$I$2:$I$151,$AI81)),INDEX('Roadmap Calc (Don’t Touch)'!$I$2:$I$151,$AI81),""))</f>
        <v/>
      </c>
      <c r="I81" s="172" t="str">
        <f>IF($AI81="","",IF(ISNUMBER(INDEX('Roadmap Calc (Don’t Touch)'!$J$2:$J$151,$AI81)),INDEX('Roadmap Calc (Don’t Touch)'!$J$2:$J$151,$AI81),""))</f>
        <v/>
      </c>
      <c r="J81" s="173" t="str">
        <f>IF($AI81="","",IF(INDEX('Roadmap Calc (Don’t Touch)'!$AA$2:$AX$151,$AI81,1)&gt;0,IF(AND($H81&lt;&gt;"",$H81&lt;=EOMONTH(J$12,0),$I81&gt;=J$12),"BOTH","UX"),IF(AND($H81&lt;&gt;"",$H81&lt;=EOMONTH(J$12,0),$I81&gt;=J$12),"DEV","")))</f>
        <v/>
      </c>
      <c r="K81" s="173" t="str">
        <f>IF($AI81="","",IF(INDEX('Roadmap Calc (Don’t Touch)'!$AA$2:$AX$151,$AI81,2)&gt;0,IF(AND($H81&lt;&gt;"",$H81&lt;=EOMONTH(K$12,0),$I81&gt;=K$12),"BOTH","UX"),IF(AND($H81&lt;&gt;"",$H81&lt;=EOMONTH(K$12,0),$I81&gt;=K$12),"DEV","")))</f>
        <v/>
      </c>
      <c r="L81" s="173" t="str">
        <f>IF($AI81="","",IF(INDEX('Roadmap Calc (Don’t Touch)'!$AA$2:$AX$151,$AI81,3)&gt;0,IF(AND($H81&lt;&gt;"",$H81&lt;=EOMONTH(L$12,0),$I81&gt;=L$12),"BOTH","UX"),IF(AND($H81&lt;&gt;"",$H81&lt;=EOMONTH(L$12,0),$I81&gt;=L$12),"DEV","")))</f>
        <v/>
      </c>
      <c r="M81" s="173" t="str">
        <f>IF($AI81="","",IF(INDEX('Roadmap Calc (Don’t Touch)'!$AA$2:$AX$151,$AI81,4)&gt;0,IF(AND($H81&lt;&gt;"",$H81&lt;=EOMONTH(M$12,0),$I81&gt;=M$12),"BOTH","UX"),IF(AND($H81&lt;&gt;"",$H81&lt;=EOMONTH(M$12,0),$I81&gt;=M$12),"DEV","")))</f>
        <v/>
      </c>
      <c r="N81" s="173" t="str">
        <f>IF($AI81="","",IF(INDEX('Roadmap Calc (Don’t Touch)'!$AA$2:$AX$151,$AI81,5)&gt;0,IF(AND($H81&lt;&gt;"",$H81&lt;=EOMONTH(N$12,0),$I81&gt;=N$12),"BOTH","UX"),IF(AND($H81&lt;&gt;"",$H81&lt;=EOMONTH(N$12,0),$I81&gt;=N$12),"DEV","")))</f>
        <v/>
      </c>
      <c r="O81" s="173" t="str">
        <f>IF($AI81="","",IF(INDEX('Roadmap Calc (Don’t Touch)'!$AA$2:$AX$151,$AI81,6)&gt;0,IF(AND($H81&lt;&gt;"",$H81&lt;=EOMONTH(O$12,0),$I81&gt;=O$12),"BOTH","UX"),IF(AND($H81&lt;&gt;"",$H81&lt;=EOMONTH(O$12,0),$I81&gt;=O$12),"DEV","")))</f>
        <v/>
      </c>
      <c r="P81" s="173" t="str">
        <f>IF($AI81="","",IF(INDEX('Roadmap Calc (Don’t Touch)'!$AA$2:$AX$151,$AI81,7)&gt;0,IF(AND($H81&lt;&gt;"",$H81&lt;=EOMONTH(P$12,0),$I81&gt;=P$12),"BOTH","UX"),IF(AND($H81&lt;&gt;"",$H81&lt;=EOMONTH(P$12,0),$I81&gt;=P$12),"DEV","")))</f>
        <v/>
      </c>
      <c r="Q81" s="173" t="str">
        <f>IF($AI81="","",IF(INDEX('Roadmap Calc (Don’t Touch)'!$AA$2:$AX$151,$AI81,8)&gt;0,IF(AND($H81&lt;&gt;"",$H81&lt;=EOMONTH(Q$12,0),$I81&gt;=Q$12),"BOTH","UX"),IF(AND($H81&lt;&gt;"",$H81&lt;=EOMONTH(Q$12,0),$I81&gt;=Q$12),"DEV","")))</f>
        <v/>
      </c>
      <c r="R81" s="173" t="str">
        <f>IF($AI81="","",IF(INDEX('Roadmap Calc (Don’t Touch)'!$AA$2:$AX$151,$AI81,9)&gt;0,IF(AND($H81&lt;&gt;"",$H81&lt;=EOMONTH(R$12,0),$I81&gt;=R$12),"BOTH","UX"),IF(AND($H81&lt;&gt;"",$H81&lt;=EOMONTH(R$12,0),$I81&gt;=R$12),"DEV","")))</f>
        <v/>
      </c>
      <c r="S81" s="173" t="str">
        <f>IF($AI81="","",IF(INDEX('Roadmap Calc (Don’t Touch)'!$AA$2:$AX$151,$AI81,10)&gt;0,IF(AND($H81&lt;&gt;"",$H81&lt;=EOMONTH(S$12,0),$I81&gt;=S$12),"BOTH","UX"),IF(AND($H81&lt;&gt;"",$H81&lt;=EOMONTH(S$12,0),$I81&gt;=S$12),"DEV","")))</f>
        <v/>
      </c>
      <c r="T81" s="173" t="str">
        <f>IF($AI81="","",IF(INDEX('Roadmap Calc (Don’t Touch)'!$AA$2:$AX$151,$AI81,11)&gt;0,IF(AND($H81&lt;&gt;"",$H81&lt;=EOMONTH(T$12,0),$I81&gt;=T$12),"BOTH","UX"),IF(AND($H81&lt;&gt;"",$H81&lt;=EOMONTH(T$12,0),$I81&gt;=T$12),"DEV","")))</f>
        <v/>
      </c>
      <c r="U81" s="173" t="str">
        <f>IF($AI81="","",IF(INDEX('Roadmap Calc (Don’t Touch)'!$AA$2:$AX$151,$AI81,12)&gt;0,IF(AND($H81&lt;&gt;"",$H81&lt;=EOMONTH(U$12,0),$I81&gt;=U$12),"BOTH","UX"),IF(AND($H81&lt;&gt;"",$H81&lt;=EOMONTH(U$12,0),$I81&gt;=U$12),"DEV","")))</f>
        <v/>
      </c>
      <c r="V81" s="173" t="str">
        <f>IF($AI81="","",IF(INDEX('Roadmap Calc (Don’t Touch)'!$AA$2:$AX$151,$AI81,13)&gt;0,IF(AND($H81&lt;&gt;"",$H81&lt;=EOMONTH(V$12,0),$I81&gt;=V$12),"BOTH","UX"),IF(AND($H81&lt;&gt;"",$H81&lt;=EOMONTH(V$12,0),$I81&gt;=V$12),"DEV","")))</f>
        <v/>
      </c>
      <c r="W81" s="173" t="str">
        <f>IF($AI81="","",IF(INDEX('Roadmap Calc (Don’t Touch)'!$AA$2:$AX$151,$AI81,14)&gt;0,IF(AND($H81&lt;&gt;"",$H81&lt;=EOMONTH(W$12,0),$I81&gt;=W$12),"BOTH","UX"),IF(AND($H81&lt;&gt;"",$H81&lt;=EOMONTH(W$12,0),$I81&gt;=W$12),"DEV","")))</f>
        <v/>
      </c>
      <c r="X81" s="173" t="str">
        <f>IF($AI81="","",IF(INDEX('Roadmap Calc (Don’t Touch)'!$AA$2:$AX$151,$AI81,15)&gt;0,IF(AND($H81&lt;&gt;"",$H81&lt;=EOMONTH(X$12,0),$I81&gt;=X$12),"BOTH","UX"),IF(AND($H81&lt;&gt;"",$H81&lt;=EOMONTH(X$12,0),$I81&gt;=X$12),"DEV","")))</f>
        <v/>
      </c>
      <c r="Y81" s="173" t="str">
        <f>IF($AI81="","",IF(INDEX('Roadmap Calc (Don’t Touch)'!$AA$2:$AX$151,$AI81,16)&gt;0,IF(AND($H81&lt;&gt;"",$H81&lt;=EOMONTH(Y$12,0),$I81&gt;=Y$12),"BOTH","UX"),IF(AND($H81&lt;&gt;"",$H81&lt;=EOMONTH(Y$12,0),$I81&gt;=Y$12),"DEV","")))</f>
        <v/>
      </c>
      <c r="Z81" s="173" t="str">
        <f>IF($AI81="","",IF(INDEX('Roadmap Calc (Don’t Touch)'!$AA$2:$AX$151,$AI81,17)&gt;0,IF(AND($H81&lt;&gt;"",$H81&lt;=EOMONTH(Z$12,0),$I81&gt;=Z$12),"BOTH","UX"),IF(AND($H81&lt;&gt;"",$H81&lt;=EOMONTH(Z$12,0),$I81&gt;=Z$12),"DEV","")))</f>
        <v/>
      </c>
      <c r="AA81" s="173" t="str">
        <f>IF($AI81="","",IF(INDEX('Roadmap Calc (Don’t Touch)'!$AA$2:$AX$151,$AI81,18)&gt;0,IF(AND($H81&lt;&gt;"",$H81&lt;=EOMONTH(AA$12,0),$I81&gt;=AA$12),"BOTH","UX"),IF(AND($H81&lt;&gt;"",$H81&lt;=EOMONTH(AA$12,0),$I81&gt;=AA$12),"DEV","")))</f>
        <v/>
      </c>
      <c r="AB81" s="173" t="str">
        <f>IF($AI81="","",IF(INDEX('Roadmap Calc (Don’t Touch)'!$AA$2:$AX$151,$AI81,19)&gt;0,IF(AND($H81&lt;&gt;"",$H81&lt;=EOMONTH(AB$12,0),$I81&gt;=AB$12),"BOTH","UX"),IF(AND($H81&lt;&gt;"",$H81&lt;=EOMONTH(AB$12,0),$I81&gt;=AB$12),"DEV","")))</f>
        <v/>
      </c>
      <c r="AC81" s="173" t="str">
        <f>IF($AI81="","",IF(INDEX('Roadmap Calc (Don’t Touch)'!$AA$2:$AX$151,$AI81,20)&gt;0,IF(AND($H81&lt;&gt;"",$H81&lt;=EOMONTH(AC$12,0),$I81&gt;=AC$12),"BOTH","UX"),IF(AND($H81&lt;&gt;"",$H81&lt;=EOMONTH(AC$12,0),$I81&gt;=AC$12),"DEV","")))</f>
        <v/>
      </c>
      <c r="AD81" s="173" t="str">
        <f>IF($AI81="","",IF(INDEX('Roadmap Calc (Don’t Touch)'!$AA$2:$AX$151,$AI81,21)&gt;0,IF(AND($H81&lt;&gt;"",$H81&lt;=EOMONTH(AD$12,0),$I81&gt;=AD$12),"BOTH","UX"),IF(AND($H81&lt;&gt;"",$H81&lt;=EOMONTH(AD$12,0),$I81&gt;=AD$12),"DEV","")))</f>
        <v/>
      </c>
      <c r="AE81" s="173" t="str">
        <f>IF($AI81="","",IF(INDEX('Roadmap Calc (Don’t Touch)'!$AA$2:$AX$151,$AI81,22)&gt;0,IF(AND($H81&lt;&gt;"",$H81&lt;=EOMONTH(AE$12,0),$I81&gt;=AE$12),"BOTH","UX"),IF(AND($H81&lt;&gt;"",$H81&lt;=EOMONTH(AE$12,0),$I81&gt;=AE$12),"DEV","")))</f>
        <v/>
      </c>
      <c r="AF81" s="173" t="str">
        <f>IF($AI81="","",IF(INDEX('Roadmap Calc (Don’t Touch)'!$AA$2:$AX$151,$AI81,23)&gt;0,IF(AND($H81&lt;&gt;"",$H81&lt;=EOMONTH(AF$12,0),$I81&gt;=AF$12),"BOTH","UX"),IF(AND($H81&lt;&gt;"",$H81&lt;=EOMONTH(AF$12,0),$I81&gt;=AF$12),"DEV","")))</f>
        <v/>
      </c>
      <c r="AG81" s="173" t="str">
        <f>IF($AI81="","",IF(INDEX('Roadmap Calc (Don’t Touch)'!$AA$2:$AX$151,$AI81,24)&gt;0,IF(AND($H81&lt;&gt;"",$H81&lt;=EOMONTH(AG$12,0),$I81&gt;=AG$12),"BOTH","UX"),IF(AND($H81&lt;&gt;"",$H81&lt;=EOMONTH(AG$12,0),$I81&gt;=AG$12),"DEV","")))</f>
        <v/>
      </c>
      <c r="AH81" s="160" t="str">
        <f>IF($AI81="","",INDEX('Roadmap Calc (Don’t Touch)'!$D$2:$D$151,$AI81))</f>
        <v/>
      </c>
      <c r="AI81" s="160" t="str">
        <f>IFERROR(MATCH(66,'Roadmap Calc (Don’t Touch)'!$O$2:$O$151,0),"")</f>
        <v/>
      </c>
      <c r="AJ81" s="160"/>
      <c r="AK81" s="160"/>
      <c r="AL81" s="160"/>
      <c r="AM81" s="160"/>
    </row>
    <row r="82" spans="1:39" ht="17" customHeight="1" x14ac:dyDescent="0.25">
      <c r="A82" s="167" t="str">
        <f>IF($AI82="","",IF($AH82=$AH81,"",IF(INDEX('Roadmap Calc (Don’t Touch)'!$U$2:$U$151,$AI82)=0,$AH82,HYPERLINK("#'Control (Don’t Touch)'!E"&amp;INDEX('Roadmap Calc (Don’t Touch)'!$U$2:$U$151,$AI82),$AH82))))</f>
        <v/>
      </c>
      <c r="B82" s="168" t="str">
        <f>IF($AI82="","",IF(INDEX('Roadmap Calc (Don’t Touch)'!$K$2:$K$151,$AI82)="",INDEX('Roadmap Calc (Don’t Touch)'!$B$2:$B$151,$AI82),HYPERLINK("https://jira.bnh.com/browse/"&amp;INDEX('Roadmap Calc (Don’t Touch)'!$K$2:$K$151,$AI82),INDEX('Roadmap Calc (Don’t Touch)'!$B$2:$B$151,$AI82))))</f>
        <v/>
      </c>
      <c r="C82" s="168" t="str">
        <f>IF($AI82="","",IF(INDEX('Roadmap Calc (Don’t Touch)'!$E$2:$E$151,$AI82)="","",HYPERLINK("https://jira.bnh.com/browse/"&amp;INDEX('Roadmap Calc (Don’t Touch)'!$E$2:$E$151,$AI82),INDEX('Roadmap Calc (Don’t Touch)'!$E$2:$E$151,$AI82))))</f>
        <v/>
      </c>
      <c r="D82" s="169" t="str">
        <f>IF($AI82="","",INDEX('Roadmap Calc (Don’t Touch)'!$F$2:$F$151,$AI82))</f>
        <v/>
      </c>
      <c r="E82" s="170" t="str">
        <f>IF($AI82="","",IF(ISNUMBER(INDEX('Roadmap Calc (Don’t Touch)'!$G$2:$G$151,$AI82)),INDEX('Roadmap Calc (Don’t Touch)'!$G$2:$G$151,$AI82),""))</f>
        <v/>
      </c>
      <c r="F82" s="170" t="str">
        <f>IF($AI82="","",IF(ISNUMBER(INDEX('Roadmap Calc (Don’t Touch)'!$H$2:$H$151,$AI82)),INDEX('Roadmap Calc (Don’t Touch)'!$H$2:$H$151,$AI82),""))</f>
        <v/>
      </c>
      <c r="G82" s="171" t="str">
        <f>IF($AI82="","",INDEX('Roadmap Calc (Don’t Touch)'!$T$2:$T$151,$AI82))</f>
        <v/>
      </c>
      <c r="H82" s="172" t="str">
        <f>IF($AI82="","",IF(ISNUMBER(INDEX('Roadmap Calc (Don’t Touch)'!$I$2:$I$151,$AI82)),INDEX('Roadmap Calc (Don’t Touch)'!$I$2:$I$151,$AI82),""))</f>
        <v/>
      </c>
      <c r="I82" s="172" t="str">
        <f>IF($AI82="","",IF(ISNUMBER(INDEX('Roadmap Calc (Don’t Touch)'!$J$2:$J$151,$AI82)),INDEX('Roadmap Calc (Don’t Touch)'!$J$2:$J$151,$AI82),""))</f>
        <v/>
      </c>
      <c r="J82" s="173" t="str">
        <f>IF($AI82="","",IF(INDEX('Roadmap Calc (Don’t Touch)'!$AA$2:$AX$151,$AI82,1)&gt;0,IF(AND($H82&lt;&gt;"",$H82&lt;=EOMONTH(J$12,0),$I82&gt;=J$12),"BOTH","UX"),IF(AND($H82&lt;&gt;"",$H82&lt;=EOMONTH(J$12,0),$I82&gt;=J$12),"DEV","")))</f>
        <v/>
      </c>
      <c r="K82" s="173" t="str">
        <f>IF($AI82="","",IF(INDEX('Roadmap Calc (Don’t Touch)'!$AA$2:$AX$151,$AI82,2)&gt;0,IF(AND($H82&lt;&gt;"",$H82&lt;=EOMONTH(K$12,0),$I82&gt;=K$12),"BOTH","UX"),IF(AND($H82&lt;&gt;"",$H82&lt;=EOMONTH(K$12,0),$I82&gt;=K$12),"DEV","")))</f>
        <v/>
      </c>
      <c r="L82" s="173" t="str">
        <f>IF($AI82="","",IF(INDEX('Roadmap Calc (Don’t Touch)'!$AA$2:$AX$151,$AI82,3)&gt;0,IF(AND($H82&lt;&gt;"",$H82&lt;=EOMONTH(L$12,0),$I82&gt;=L$12),"BOTH","UX"),IF(AND($H82&lt;&gt;"",$H82&lt;=EOMONTH(L$12,0),$I82&gt;=L$12),"DEV","")))</f>
        <v/>
      </c>
      <c r="M82" s="173" t="str">
        <f>IF($AI82="","",IF(INDEX('Roadmap Calc (Don’t Touch)'!$AA$2:$AX$151,$AI82,4)&gt;0,IF(AND($H82&lt;&gt;"",$H82&lt;=EOMONTH(M$12,0),$I82&gt;=M$12),"BOTH","UX"),IF(AND($H82&lt;&gt;"",$H82&lt;=EOMONTH(M$12,0),$I82&gt;=M$12),"DEV","")))</f>
        <v/>
      </c>
      <c r="N82" s="173" t="str">
        <f>IF($AI82="","",IF(INDEX('Roadmap Calc (Don’t Touch)'!$AA$2:$AX$151,$AI82,5)&gt;0,IF(AND($H82&lt;&gt;"",$H82&lt;=EOMONTH(N$12,0),$I82&gt;=N$12),"BOTH","UX"),IF(AND($H82&lt;&gt;"",$H82&lt;=EOMONTH(N$12,0),$I82&gt;=N$12),"DEV","")))</f>
        <v/>
      </c>
      <c r="O82" s="173" t="str">
        <f>IF($AI82="","",IF(INDEX('Roadmap Calc (Don’t Touch)'!$AA$2:$AX$151,$AI82,6)&gt;0,IF(AND($H82&lt;&gt;"",$H82&lt;=EOMONTH(O$12,0),$I82&gt;=O$12),"BOTH","UX"),IF(AND($H82&lt;&gt;"",$H82&lt;=EOMONTH(O$12,0),$I82&gt;=O$12),"DEV","")))</f>
        <v/>
      </c>
      <c r="P82" s="173" t="str">
        <f>IF($AI82="","",IF(INDEX('Roadmap Calc (Don’t Touch)'!$AA$2:$AX$151,$AI82,7)&gt;0,IF(AND($H82&lt;&gt;"",$H82&lt;=EOMONTH(P$12,0),$I82&gt;=P$12),"BOTH","UX"),IF(AND($H82&lt;&gt;"",$H82&lt;=EOMONTH(P$12,0),$I82&gt;=P$12),"DEV","")))</f>
        <v/>
      </c>
      <c r="Q82" s="173" t="str">
        <f>IF($AI82="","",IF(INDEX('Roadmap Calc (Don’t Touch)'!$AA$2:$AX$151,$AI82,8)&gt;0,IF(AND($H82&lt;&gt;"",$H82&lt;=EOMONTH(Q$12,0),$I82&gt;=Q$12),"BOTH","UX"),IF(AND($H82&lt;&gt;"",$H82&lt;=EOMONTH(Q$12,0),$I82&gt;=Q$12),"DEV","")))</f>
        <v/>
      </c>
      <c r="R82" s="173" t="str">
        <f>IF($AI82="","",IF(INDEX('Roadmap Calc (Don’t Touch)'!$AA$2:$AX$151,$AI82,9)&gt;0,IF(AND($H82&lt;&gt;"",$H82&lt;=EOMONTH(R$12,0),$I82&gt;=R$12),"BOTH","UX"),IF(AND($H82&lt;&gt;"",$H82&lt;=EOMONTH(R$12,0),$I82&gt;=R$12),"DEV","")))</f>
        <v/>
      </c>
      <c r="S82" s="173" t="str">
        <f>IF($AI82="","",IF(INDEX('Roadmap Calc (Don’t Touch)'!$AA$2:$AX$151,$AI82,10)&gt;0,IF(AND($H82&lt;&gt;"",$H82&lt;=EOMONTH(S$12,0),$I82&gt;=S$12),"BOTH","UX"),IF(AND($H82&lt;&gt;"",$H82&lt;=EOMONTH(S$12,0),$I82&gt;=S$12),"DEV","")))</f>
        <v/>
      </c>
      <c r="T82" s="173" t="str">
        <f>IF($AI82="","",IF(INDEX('Roadmap Calc (Don’t Touch)'!$AA$2:$AX$151,$AI82,11)&gt;0,IF(AND($H82&lt;&gt;"",$H82&lt;=EOMONTH(T$12,0),$I82&gt;=T$12),"BOTH","UX"),IF(AND($H82&lt;&gt;"",$H82&lt;=EOMONTH(T$12,0),$I82&gt;=T$12),"DEV","")))</f>
        <v/>
      </c>
      <c r="U82" s="173" t="str">
        <f>IF($AI82="","",IF(INDEX('Roadmap Calc (Don’t Touch)'!$AA$2:$AX$151,$AI82,12)&gt;0,IF(AND($H82&lt;&gt;"",$H82&lt;=EOMONTH(U$12,0),$I82&gt;=U$12),"BOTH","UX"),IF(AND($H82&lt;&gt;"",$H82&lt;=EOMONTH(U$12,0),$I82&gt;=U$12),"DEV","")))</f>
        <v/>
      </c>
      <c r="V82" s="173" t="str">
        <f>IF($AI82="","",IF(INDEX('Roadmap Calc (Don’t Touch)'!$AA$2:$AX$151,$AI82,13)&gt;0,IF(AND($H82&lt;&gt;"",$H82&lt;=EOMONTH(V$12,0),$I82&gt;=V$12),"BOTH","UX"),IF(AND($H82&lt;&gt;"",$H82&lt;=EOMONTH(V$12,0),$I82&gt;=V$12),"DEV","")))</f>
        <v/>
      </c>
      <c r="W82" s="173" t="str">
        <f>IF($AI82="","",IF(INDEX('Roadmap Calc (Don’t Touch)'!$AA$2:$AX$151,$AI82,14)&gt;0,IF(AND($H82&lt;&gt;"",$H82&lt;=EOMONTH(W$12,0),$I82&gt;=W$12),"BOTH","UX"),IF(AND($H82&lt;&gt;"",$H82&lt;=EOMONTH(W$12,0),$I82&gt;=W$12),"DEV","")))</f>
        <v/>
      </c>
      <c r="X82" s="173" t="str">
        <f>IF($AI82="","",IF(INDEX('Roadmap Calc (Don’t Touch)'!$AA$2:$AX$151,$AI82,15)&gt;0,IF(AND($H82&lt;&gt;"",$H82&lt;=EOMONTH(X$12,0),$I82&gt;=X$12),"BOTH","UX"),IF(AND($H82&lt;&gt;"",$H82&lt;=EOMONTH(X$12,0),$I82&gt;=X$12),"DEV","")))</f>
        <v/>
      </c>
      <c r="Y82" s="173" t="str">
        <f>IF($AI82="","",IF(INDEX('Roadmap Calc (Don’t Touch)'!$AA$2:$AX$151,$AI82,16)&gt;0,IF(AND($H82&lt;&gt;"",$H82&lt;=EOMONTH(Y$12,0),$I82&gt;=Y$12),"BOTH","UX"),IF(AND($H82&lt;&gt;"",$H82&lt;=EOMONTH(Y$12,0),$I82&gt;=Y$12),"DEV","")))</f>
        <v/>
      </c>
      <c r="Z82" s="173" t="str">
        <f>IF($AI82="","",IF(INDEX('Roadmap Calc (Don’t Touch)'!$AA$2:$AX$151,$AI82,17)&gt;0,IF(AND($H82&lt;&gt;"",$H82&lt;=EOMONTH(Z$12,0),$I82&gt;=Z$12),"BOTH","UX"),IF(AND($H82&lt;&gt;"",$H82&lt;=EOMONTH(Z$12,0),$I82&gt;=Z$12),"DEV","")))</f>
        <v/>
      </c>
      <c r="AA82" s="173" t="str">
        <f>IF($AI82="","",IF(INDEX('Roadmap Calc (Don’t Touch)'!$AA$2:$AX$151,$AI82,18)&gt;0,IF(AND($H82&lt;&gt;"",$H82&lt;=EOMONTH(AA$12,0),$I82&gt;=AA$12),"BOTH","UX"),IF(AND($H82&lt;&gt;"",$H82&lt;=EOMONTH(AA$12,0),$I82&gt;=AA$12),"DEV","")))</f>
        <v/>
      </c>
      <c r="AB82" s="173" t="str">
        <f>IF($AI82="","",IF(INDEX('Roadmap Calc (Don’t Touch)'!$AA$2:$AX$151,$AI82,19)&gt;0,IF(AND($H82&lt;&gt;"",$H82&lt;=EOMONTH(AB$12,0),$I82&gt;=AB$12),"BOTH","UX"),IF(AND($H82&lt;&gt;"",$H82&lt;=EOMONTH(AB$12,0),$I82&gt;=AB$12),"DEV","")))</f>
        <v/>
      </c>
      <c r="AC82" s="173" t="str">
        <f>IF($AI82="","",IF(INDEX('Roadmap Calc (Don’t Touch)'!$AA$2:$AX$151,$AI82,20)&gt;0,IF(AND($H82&lt;&gt;"",$H82&lt;=EOMONTH(AC$12,0),$I82&gt;=AC$12),"BOTH","UX"),IF(AND($H82&lt;&gt;"",$H82&lt;=EOMONTH(AC$12,0),$I82&gt;=AC$12),"DEV","")))</f>
        <v/>
      </c>
      <c r="AD82" s="173" t="str">
        <f>IF($AI82="","",IF(INDEX('Roadmap Calc (Don’t Touch)'!$AA$2:$AX$151,$AI82,21)&gt;0,IF(AND($H82&lt;&gt;"",$H82&lt;=EOMONTH(AD$12,0),$I82&gt;=AD$12),"BOTH","UX"),IF(AND($H82&lt;&gt;"",$H82&lt;=EOMONTH(AD$12,0),$I82&gt;=AD$12),"DEV","")))</f>
        <v/>
      </c>
      <c r="AE82" s="173" t="str">
        <f>IF($AI82="","",IF(INDEX('Roadmap Calc (Don’t Touch)'!$AA$2:$AX$151,$AI82,22)&gt;0,IF(AND($H82&lt;&gt;"",$H82&lt;=EOMONTH(AE$12,0),$I82&gt;=AE$12),"BOTH","UX"),IF(AND($H82&lt;&gt;"",$H82&lt;=EOMONTH(AE$12,0),$I82&gt;=AE$12),"DEV","")))</f>
        <v/>
      </c>
      <c r="AF82" s="173" t="str">
        <f>IF($AI82="","",IF(INDEX('Roadmap Calc (Don’t Touch)'!$AA$2:$AX$151,$AI82,23)&gt;0,IF(AND($H82&lt;&gt;"",$H82&lt;=EOMONTH(AF$12,0),$I82&gt;=AF$12),"BOTH","UX"),IF(AND($H82&lt;&gt;"",$H82&lt;=EOMONTH(AF$12,0),$I82&gt;=AF$12),"DEV","")))</f>
        <v/>
      </c>
      <c r="AG82" s="173" t="str">
        <f>IF($AI82="","",IF(INDEX('Roadmap Calc (Don’t Touch)'!$AA$2:$AX$151,$AI82,24)&gt;0,IF(AND($H82&lt;&gt;"",$H82&lt;=EOMONTH(AG$12,0),$I82&gt;=AG$12),"BOTH","UX"),IF(AND($H82&lt;&gt;"",$H82&lt;=EOMONTH(AG$12,0),$I82&gt;=AG$12),"DEV","")))</f>
        <v/>
      </c>
      <c r="AH82" s="160" t="str">
        <f>IF($AI82="","",INDEX('Roadmap Calc (Don’t Touch)'!$D$2:$D$151,$AI82))</f>
        <v/>
      </c>
      <c r="AI82" s="160" t="str">
        <f>IFERROR(MATCH(67,'Roadmap Calc (Don’t Touch)'!$O$2:$O$151,0),"")</f>
        <v/>
      </c>
      <c r="AJ82" s="160"/>
      <c r="AK82" s="160"/>
      <c r="AL82" s="160"/>
      <c r="AM82" s="160"/>
    </row>
    <row r="83" spans="1:39" ht="17" customHeight="1" x14ac:dyDescent="0.25">
      <c r="A83" s="167" t="str">
        <f>IF($AI83="","",IF($AH83=$AH82,"",IF(INDEX('Roadmap Calc (Don’t Touch)'!$U$2:$U$151,$AI83)=0,$AH83,HYPERLINK("#'Control (Don’t Touch)'!E"&amp;INDEX('Roadmap Calc (Don’t Touch)'!$U$2:$U$151,$AI83),$AH83))))</f>
        <v/>
      </c>
      <c r="B83" s="168" t="str">
        <f>IF($AI83="","",IF(INDEX('Roadmap Calc (Don’t Touch)'!$K$2:$K$151,$AI83)="",INDEX('Roadmap Calc (Don’t Touch)'!$B$2:$B$151,$AI83),HYPERLINK("https://jira.bnh.com/browse/"&amp;INDEX('Roadmap Calc (Don’t Touch)'!$K$2:$K$151,$AI83),INDEX('Roadmap Calc (Don’t Touch)'!$B$2:$B$151,$AI83))))</f>
        <v/>
      </c>
      <c r="C83" s="168" t="str">
        <f>IF($AI83="","",IF(INDEX('Roadmap Calc (Don’t Touch)'!$E$2:$E$151,$AI83)="","",HYPERLINK("https://jira.bnh.com/browse/"&amp;INDEX('Roadmap Calc (Don’t Touch)'!$E$2:$E$151,$AI83),INDEX('Roadmap Calc (Don’t Touch)'!$E$2:$E$151,$AI83))))</f>
        <v/>
      </c>
      <c r="D83" s="169" t="str">
        <f>IF($AI83="","",INDEX('Roadmap Calc (Don’t Touch)'!$F$2:$F$151,$AI83))</f>
        <v/>
      </c>
      <c r="E83" s="170" t="str">
        <f>IF($AI83="","",IF(ISNUMBER(INDEX('Roadmap Calc (Don’t Touch)'!$G$2:$G$151,$AI83)),INDEX('Roadmap Calc (Don’t Touch)'!$G$2:$G$151,$AI83),""))</f>
        <v/>
      </c>
      <c r="F83" s="170" t="str">
        <f>IF($AI83="","",IF(ISNUMBER(INDEX('Roadmap Calc (Don’t Touch)'!$H$2:$H$151,$AI83)),INDEX('Roadmap Calc (Don’t Touch)'!$H$2:$H$151,$AI83),""))</f>
        <v/>
      </c>
      <c r="G83" s="171" t="str">
        <f>IF($AI83="","",INDEX('Roadmap Calc (Don’t Touch)'!$T$2:$T$151,$AI83))</f>
        <v/>
      </c>
      <c r="H83" s="172" t="str">
        <f>IF($AI83="","",IF(ISNUMBER(INDEX('Roadmap Calc (Don’t Touch)'!$I$2:$I$151,$AI83)),INDEX('Roadmap Calc (Don’t Touch)'!$I$2:$I$151,$AI83),""))</f>
        <v/>
      </c>
      <c r="I83" s="172" t="str">
        <f>IF($AI83="","",IF(ISNUMBER(INDEX('Roadmap Calc (Don’t Touch)'!$J$2:$J$151,$AI83)),INDEX('Roadmap Calc (Don’t Touch)'!$J$2:$J$151,$AI83),""))</f>
        <v/>
      </c>
      <c r="J83" s="173" t="str">
        <f>IF($AI83="","",IF(INDEX('Roadmap Calc (Don’t Touch)'!$AA$2:$AX$151,$AI83,1)&gt;0,IF(AND($H83&lt;&gt;"",$H83&lt;=EOMONTH(J$12,0),$I83&gt;=J$12),"BOTH","UX"),IF(AND($H83&lt;&gt;"",$H83&lt;=EOMONTH(J$12,0),$I83&gt;=J$12),"DEV","")))</f>
        <v/>
      </c>
      <c r="K83" s="173" t="str">
        <f>IF($AI83="","",IF(INDEX('Roadmap Calc (Don’t Touch)'!$AA$2:$AX$151,$AI83,2)&gt;0,IF(AND($H83&lt;&gt;"",$H83&lt;=EOMONTH(K$12,0),$I83&gt;=K$12),"BOTH","UX"),IF(AND($H83&lt;&gt;"",$H83&lt;=EOMONTH(K$12,0),$I83&gt;=K$12),"DEV","")))</f>
        <v/>
      </c>
      <c r="L83" s="173" t="str">
        <f>IF($AI83="","",IF(INDEX('Roadmap Calc (Don’t Touch)'!$AA$2:$AX$151,$AI83,3)&gt;0,IF(AND($H83&lt;&gt;"",$H83&lt;=EOMONTH(L$12,0),$I83&gt;=L$12),"BOTH","UX"),IF(AND($H83&lt;&gt;"",$H83&lt;=EOMONTH(L$12,0),$I83&gt;=L$12),"DEV","")))</f>
        <v/>
      </c>
      <c r="M83" s="173" t="str">
        <f>IF($AI83="","",IF(INDEX('Roadmap Calc (Don’t Touch)'!$AA$2:$AX$151,$AI83,4)&gt;0,IF(AND($H83&lt;&gt;"",$H83&lt;=EOMONTH(M$12,0),$I83&gt;=M$12),"BOTH","UX"),IF(AND($H83&lt;&gt;"",$H83&lt;=EOMONTH(M$12,0),$I83&gt;=M$12),"DEV","")))</f>
        <v/>
      </c>
      <c r="N83" s="173" t="str">
        <f>IF($AI83="","",IF(INDEX('Roadmap Calc (Don’t Touch)'!$AA$2:$AX$151,$AI83,5)&gt;0,IF(AND($H83&lt;&gt;"",$H83&lt;=EOMONTH(N$12,0),$I83&gt;=N$12),"BOTH","UX"),IF(AND($H83&lt;&gt;"",$H83&lt;=EOMONTH(N$12,0),$I83&gt;=N$12),"DEV","")))</f>
        <v/>
      </c>
      <c r="O83" s="173" t="str">
        <f>IF($AI83="","",IF(INDEX('Roadmap Calc (Don’t Touch)'!$AA$2:$AX$151,$AI83,6)&gt;0,IF(AND($H83&lt;&gt;"",$H83&lt;=EOMONTH(O$12,0),$I83&gt;=O$12),"BOTH","UX"),IF(AND($H83&lt;&gt;"",$H83&lt;=EOMONTH(O$12,0),$I83&gt;=O$12),"DEV","")))</f>
        <v/>
      </c>
      <c r="P83" s="173" t="str">
        <f>IF($AI83="","",IF(INDEX('Roadmap Calc (Don’t Touch)'!$AA$2:$AX$151,$AI83,7)&gt;0,IF(AND($H83&lt;&gt;"",$H83&lt;=EOMONTH(P$12,0),$I83&gt;=P$12),"BOTH","UX"),IF(AND($H83&lt;&gt;"",$H83&lt;=EOMONTH(P$12,0),$I83&gt;=P$12),"DEV","")))</f>
        <v/>
      </c>
      <c r="Q83" s="173" t="str">
        <f>IF($AI83="","",IF(INDEX('Roadmap Calc (Don’t Touch)'!$AA$2:$AX$151,$AI83,8)&gt;0,IF(AND($H83&lt;&gt;"",$H83&lt;=EOMONTH(Q$12,0),$I83&gt;=Q$12),"BOTH","UX"),IF(AND($H83&lt;&gt;"",$H83&lt;=EOMONTH(Q$12,0),$I83&gt;=Q$12),"DEV","")))</f>
        <v/>
      </c>
      <c r="R83" s="173" t="str">
        <f>IF($AI83="","",IF(INDEX('Roadmap Calc (Don’t Touch)'!$AA$2:$AX$151,$AI83,9)&gt;0,IF(AND($H83&lt;&gt;"",$H83&lt;=EOMONTH(R$12,0),$I83&gt;=R$12),"BOTH","UX"),IF(AND($H83&lt;&gt;"",$H83&lt;=EOMONTH(R$12,0),$I83&gt;=R$12),"DEV","")))</f>
        <v/>
      </c>
      <c r="S83" s="173" t="str">
        <f>IF($AI83="","",IF(INDEX('Roadmap Calc (Don’t Touch)'!$AA$2:$AX$151,$AI83,10)&gt;0,IF(AND($H83&lt;&gt;"",$H83&lt;=EOMONTH(S$12,0),$I83&gt;=S$12),"BOTH","UX"),IF(AND($H83&lt;&gt;"",$H83&lt;=EOMONTH(S$12,0),$I83&gt;=S$12),"DEV","")))</f>
        <v/>
      </c>
      <c r="T83" s="173" t="str">
        <f>IF($AI83="","",IF(INDEX('Roadmap Calc (Don’t Touch)'!$AA$2:$AX$151,$AI83,11)&gt;0,IF(AND($H83&lt;&gt;"",$H83&lt;=EOMONTH(T$12,0),$I83&gt;=T$12),"BOTH","UX"),IF(AND($H83&lt;&gt;"",$H83&lt;=EOMONTH(T$12,0),$I83&gt;=T$12),"DEV","")))</f>
        <v/>
      </c>
      <c r="U83" s="173" t="str">
        <f>IF($AI83="","",IF(INDEX('Roadmap Calc (Don’t Touch)'!$AA$2:$AX$151,$AI83,12)&gt;0,IF(AND($H83&lt;&gt;"",$H83&lt;=EOMONTH(U$12,0),$I83&gt;=U$12),"BOTH","UX"),IF(AND($H83&lt;&gt;"",$H83&lt;=EOMONTH(U$12,0),$I83&gt;=U$12),"DEV","")))</f>
        <v/>
      </c>
      <c r="V83" s="173" t="str">
        <f>IF($AI83="","",IF(INDEX('Roadmap Calc (Don’t Touch)'!$AA$2:$AX$151,$AI83,13)&gt;0,IF(AND($H83&lt;&gt;"",$H83&lt;=EOMONTH(V$12,0),$I83&gt;=V$12),"BOTH","UX"),IF(AND($H83&lt;&gt;"",$H83&lt;=EOMONTH(V$12,0),$I83&gt;=V$12),"DEV","")))</f>
        <v/>
      </c>
      <c r="W83" s="173" t="str">
        <f>IF($AI83="","",IF(INDEX('Roadmap Calc (Don’t Touch)'!$AA$2:$AX$151,$AI83,14)&gt;0,IF(AND($H83&lt;&gt;"",$H83&lt;=EOMONTH(W$12,0),$I83&gt;=W$12),"BOTH","UX"),IF(AND($H83&lt;&gt;"",$H83&lt;=EOMONTH(W$12,0),$I83&gt;=W$12),"DEV","")))</f>
        <v/>
      </c>
      <c r="X83" s="173" t="str">
        <f>IF($AI83="","",IF(INDEX('Roadmap Calc (Don’t Touch)'!$AA$2:$AX$151,$AI83,15)&gt;0,IF(AND($H83&lt;&gt;"",$H83&lt;=EOMONTH(X$12,0),$I83&gt;=X$12),"BOTH","UX"),IF(AND($H83&lt;&gt;"",$H83&lt;=EOMONTH(X$12,0),$I83&gt;=X$12),"DEV","")))</f>
        <v/>
      </c>
      <c r="Y83" s="173" t="str">
        <f>IF($AI83="","",IF(INDEX('Roadmap Calc (Don’t Touch)'!$AA$2:$AX$151,$AI83,16)&gt;0,IF(AND($H83&lt;&gt;"",$H83&lt;=EOMONTH(Y$12,0),$I83&gt;=Y$12),"BOTH","UX"),IF(AND($H83&lt;&gt;"",$H83&lt;=EOMONTH(Y$12,0),$I83&gt;=Y$12),"DEV","")))</f>
        <v/>
      </c>
      <c r="Z83" s="173" t="str">
        <f>IF($AI83="","",IF(INDEX('Roadmap Calc (Don’t Touch)'!$AA$2:$AX$151,$AI83,17)&gt;0,IF(AND($H83&lt;&gt;"",$H83&lt;=EOMONTH(Z$12,0),$I83&gt;=Z$12),"BOTH","UX"),IF(AND($H83&lt;&gt;"",$H83&lt;=EOMONTH(Z$12,0),$I83&gt;=Z$12),"DEV","")))</f>
        <v/>
      </c>
      <c r="AA83" s="173" t="str">
        <f>IF($AI83="","",IF(INDEX('Roadmap Calc (Don’t Touch)'!$AA$2:$AX$151,$AI83,18)&gt;0,IF(AND($H83&lt;&gt;"",$H83&lt;=EOMONTH(AA$12,0),$I83&gt;=AA$12),"BOTH","UX"),IF(AND($H83&lt;&gt;"",$H83&lt;=EOMONTH(AA$12,0),$I83&gt;=AA$12),"DEV","")))</f>
        <v/>
      </c>
      <c r="AB83" s="173" t="str">
        <f>IF($AI83="","",IF(INDEX('Roadmap Calc (Don’t Touch)'!$AA$2:$AX$151,$AI83,19)&gt;0,IF(AND($H83&lt;&gt;"",$H83&lt;=EOMONTH(AB$12,0),$I83&gt;=AB$12),"BOTH","UX"),IF(AND($H83&lt;&gt;"",$H83&lt;=EOMONTH(AB$12,0),$I83&gt;=AB$12),"DEV","")))</f>
        <v/>
      </c>
      <c r="AC83" s="173" t="str">
        <f>IF($AI83="","",IF(INDEX('Roadmap Calc (Don’t Touch)'!$AA$2:$AX$151,$AI83,20)&gt;0,IF(AND($H83&lt;&gt;"",$H83&lt;=EOMONTH(AC$12,0),$I83&gt;=AC$12),"BOTH","UX"),IF(AND($H83&lt;&gt;"",$H83&lt;=EOMONTH(AC$12,0),$I83&gt;=AC$12),"DEV","")))</f>
        <v/>
      </c>
      <c r="AD83" s="173" t="str">
        <f>IF($AI83="","",IF(INDEX('Roadmap Calc (Don’t Touch)'!$AA$2:$AX$151,$AI83,21)&gt;0,IF(AND($H83&lt;&gt;"",$H83&lt;=EOMONTH(AD$12,0),$I83&gt;=AD$12),"BOTH","UX"),IF(AND($H83&lt;&gt;"",$H83&lt;=EOMONTH(AD$12,0),$I83&gt;=AD$12),"DEV","")))</f>
        <v/>
      </c>
      <c r="AE83" s="173" t="str">
        <f>IF($AI83="","",IF(INDEX('Roadmap Calc (Don’t Touch)'!$AA$2:$AX$151,$AI83,22)&gt;0,IF(AND($H83&lt;&gt;"",$H83&lt;=EOMONTH(AE$12,0),$I83&gt;=AE$12),"BOTH","UX"),IF(AND($H83&lt;&gt;"",$H83&lt;=EOMONTH(AE$12,0),$I83&gt;=AE$12),"DEV","")))</f>
        <v/>
      </c>
      <c r="AF83" s="173" t="str">
        <f>IF($AI83="","",IF(INDEX('Roadmap Calc (Don’t Touch)'!$AA$2:$AX$151,$AI83,23)&gt;0,IF(AND($H83&lt;&gt;"",$H83&lt;=EOMONTH(AF$12,0),$I83&gt;=AF$12),"BOTH","UX"),IF(AND($H83&lt;&gt;"",$H83&lt;=EOMONTH(AF$12,0),$I83&gt;=AF$12),"DEV","")))</f>
        <v/>
      </c>
      <c r="AG83" s="173" t="str">
        <f>IF($AI83="","",IF(INDEX('Roadmap Calc (Don’t Touch)'!$AA$2:$AX$151,$AI83,24)&gt;0,IF(AND($H83&lt;&gt;"",$H83&lt;=EOMONTH(AG$12,0),$I83&gt;=AG$12),"BOTH","UX"),IF(AND($H83&lt;&gt;"",$H83&lt;=EOMONTH(AG$12,0),$I83&gt;=AG$12),"DEV","")))</f>
        <v/>
      </c>
      <c r="AH83" s="160" t="str">
        <f>IF($AI83="","",INDEX('Roadmap Calc (Don’t Touch)'!$D$2:$D$151,$AI83))</f>
        <v/>
      </c>
      <c r="AI83" s="160" t="str">
        <f>IFERROR(MATCH(68,'Roadmap Calc (Don’t Touch)'!$O$2:$O$151,0),"")</f>
        <v/>
      </c>
      <c r="AJ83" s="160"/>
      <c r="AK83" s="160"/>
      <c r="AL83" s="160"/>
      <c r="AM83" s="160"/>
    </row>
    <row r="84" spans="1:39" ht="17" customHeight="1" x14ac:dyDescent="0.25">
      <c r="A84" s="167" t="str">
        <f>IF($AI84="","",IF($AH84=$AH83,"",IF(INDEX('Roadmap Calc (Don’t Touch)'!$U$2:$U$151,$AI84)=0,$AH84,HYPERLINK("#'Control (Don’t Touch)'!E"&amp;INDEX('Roadmap Calc (Don’t Touch)'!$U$2:$U$151,$AI84),$AH84))))</f>
        <v/>
      </c>
      <c r="B84" s="168" t="str">
        <f>IF($AI84="","",IF(INDEX('Roadmap Calc (Don’t Touch)'!$K$2:$K$151,$AI84)="",INDEX('Roadmap Calc (Don’t Touch)'!$B$2:$B$151,$AI84),HYPERLINK("https://jira.bnh.com/browse/"&amp;INDEX('Roadmap Calc (Don’t Touch)'!$K$2:$K$151,$AI84),INDEX('Roadmap Calc (Don’t Touch)'!$B$2:$B$151,$AI84))))</f>
        <v/>
      </c>
      <c r="C84" s="168" t="str">
        <f>IF($AI84="","",IF(INDEX('Roadmap Calc (Don’t Touch)'!$E$2:$E$151,$AI84)="","",HYPERLINK("https://jira.bnh.com/browse/"&amp;INDEX('Roadmap Calc (Don’t Touch)'!$E$2:$E$151,$AI84),INDEX('Roadmap Calc (Don’t Touch)'!$E$2:$E$151,$AI84))))</f>
        <v/>
      </c>
      <c r="D84" s="169" t="str">
        <f>IF($AI84="","",INDEX('Roadmap Calc (Don’t Touch)'!$F$2:$F$151,$AI84))</f>
        <v/>
      </c>
      <c r="E84" s="170" t="str">
        <f>IF($AI84="","",IF(ISNUMBER(INDEX('Roadmap Calc (Don’t Touch)'!$G$2:$G$151,$AI84)),INDEX('Roadmap Calc (Don’t Touch)'!$G$2:$G$151,$AI84),""))</f>
        <v/>
      </c>
      <c r="F84" s="170" t="str">
        <f>IF($AI84="","",IF(ISNUMBER(INDEX('Roadmap Calc (Don’t Touch)'!$H$2:$H$151,$AI84)),INDEX('Roadmap Calc (Don’t Touch)'!$H$2:$H$151,$AI84),""))</f>
        <v/>
      </c>
      <c r="G84" s="171" t="str">
        <f>IF($AI84="","",INDEX('Roadmap Calc (Don’t Touch)'!$T$2:$T$151,$AI84))</f>
        <v/>
      </c>
      <c r="H84" s="172" t="str">
        <f>IF($AI84="","",IF(ISNUMBER(INDEX('Roadmap Calc (Don’t Touch)'!$I$2:$I$151,$AI84)),INDEX('Roadmap Calc (Don’t Touch)'!$I$2:$I$151,$AI84),""))</f>
        <v/>
      </c>
      <c r="I84" s="172" t="str">
        <f>IF($AI84="","",IF(ISNUMBER(INDEX('Roadmap Calc (Don’t Touch)'!$J$2:$J$151,$AI84)),INDEX('Roadmap Calc (Don’t Touch)'!$J$2:$J$151,$AI84),""))</f>
        <v/>
      </c>
      <c r="J84" s="173" t="str">
        <f>IF($AI84="","",IF(INDEX('Roadmap Calc (Don’t Touch)'!$AA$2:$AX$151,$AI84,1)&gt;0,IF(AND($H84&lt;&gt;"",$H84&lt;=EOMONTH(J$12,0),$I84&gt;=J$12),"BOTH","UX"),IF(AND($H84&lt;&gt;"",$H84&lt;=EOMONTH(J$12,0),$I84&gt;=J$12),"DEV","")))</f>
        <v/>
      </c>
      <c r="K84" s="173" t="str">
        <f>IF($AI84="","",IF(INDEX('Roadmap Calc (Don’t Touch)'!$AA$2:$AX$151,$AI84,2)&gt;0,IF(AND($H84&lt;&gt;"",$H84&lt;=EOMONTH(K$12,0),$I84&gt;=K$12),"BOTH","UX"),IF(AND($H84&lt;&gt;"",$H84&lt;=EOMONTH(K$12,0),$I84&gt;=K$12),"DEV","")))</f>
        <v/>
      </c>
      <c r="L84" s="173" t="str">
        <f>IF($AI84="","",IF(INDEX('Roadmap Calc (Don’t Touch)'!$AA$2:$AX$151,$AI84,3)&gt;0,IF(AND($H84&lt;&gt;"",$H84&lt;=EOMONTH(L$12,0),$I84&gt;=L$12),"BOTH","UX"),IF(AND($H84&lt;&gt;"",$H84&lt;=EOMONTH(L$12,0),$I84&gt;=L$12),"DEV","")))</f>
        <v/>
      </c>
      <c r="M84" s="173" t="str">
        <f>IF($AI84="","",IF(INDEX('Roadmap Calc (Don’t Touch)'!$AA$2:$AX$151,$AI84,4)&gt;0,IF(AND($H84&lt;&gt;"",$H84&lt;=EOMONTH(M$12,0),$I84&gt;=M$12),"BOTH","UX"),IF(AND($H84&lt;&gt;"",$H84&lt;=EOMONTH(M$12,0),$I84&gt;=M$12),"DEV","")))</f>
        <v/>
      </c>
      <c r="N84" s="173" t="str">
        <f>IF($AI84="","",IF(INDEX('Roadmap Calc (Don’t Touch)'!$AA$2:$AX$151,$AI84,5)&gt;0,IF(AND($H84&lt;&gt;"",$H84&lt;=EOMONTH(N$12,0),$I84&gt;=N$12),"BOTH","UX"),IF(AND($H84&lt;&gt;"",$H84&lt;=EOMONTH(N$12,0),$I84&gt;=N$12),"DEV","")))</f>
        <v/>
      </c>
      <c r="O84" s="173" t="str">
        <f>IF($AI84="","",IF(INDEX('Roadmap Calc (Don’t Touch)'!$AA$2:$AX$151,$AI84,6)&gt;0,IF(AND($H84&lt;&gt;"",$H84&lt;=EOMONTH(O$12,0),$I84&gt;=O$12),"BOTH","UX"),IF(AND($H84&lt;&gt;"",$H84&lt;=EOMONTH(O$12,0),$I84&gt;=O$12),"DEV","")))</f>
        <v/>
      </c>
      <c r="P84" s="173" t="str">
        <f>IF($AI84="","",IF(INDEX('Roadmap Calc (Don’t Touch)'!$AA$2:$AX$151,$AI84,7)&gt;0,IF(AND($H84&lt;&gt;"",$H84&lt;=EOMONTH(P$12,0),$I84&gt;=P$12),"BOTH","UX"),IF(AND($H84&lt;&gt;"",$H84&lt;=EOMONTH(P$12,0),$I84&gt;=P$12),"DEV","")))</f>
        <v/>
      </c>
      <c r="Q84" s="173" t="str">
        <f>IF($AI84="","",IF(INDEX('Roadmap Calc (Don’t Touch)'!$AA$2:$AX$151,$AI84,8)&gt;0,IF(AND($H84&lt;&gt;"",$H84&lt;=EOMONTH(Q$12,0),$I84&gt;=Q$12),"BOTH","UX"),IF(AND($H84&lt;&gt;"",$H84&lt;=EOMONTH(Q$12,0),$I84&gt;=Q$12),"DEV","")))</f>
        <v/>
      </c>
      <c r="R84" s="173" t="str">
        <f>IF($AI84="","",IF(INDEX('Roadmap Calc (Don’t Touch)'!$AA$2:$AX$151,$AI84,9)&gt;0,IF(AND($H84&lt;&gt;"",$H84&lt;=EOMONTH(R$12,0),$I84&gt;=R$12),"BOTH","UX"),IF(AND($H84&lt;&gt;"",$H84&lt;=EOMONTH(R$12,0),$I84&gt;=R$12),"DEV","")))</f>
        <v/>
      </c>
      <c r="S84" s="173" t="str">
        <f>IF($AI84="","",IF(INDEX('Roadmap Calc (Don’t Touch)'!$AA$2:$AX$151,$AI84,10)&gt;0,IF(AND($H84&lt;&gt;"",$H84&lt;=EOMONTH(S$12,0),$I84&gt;=S$12),"BOTH","UX"),IF(AND($H84&lt;&gt;"",$H84&lt;=EOMONTH(S$12,0),$I84&gt;=S$12),"DEV","")))</f>
        <v/>
      </c>
      <c r="T84" s="173" t="str">
        <f>IF($AI84="","",IF(INDEX('Roadmap Calc (Don’t Touch)'!$AA$2:$AX$151,$AI84,11)&gt;0,IF(AND($H84&lt;&gt;"",$H84&lt;=EOMONTH(T$12,0),$I84&gt;=T$12),"BOTH","UX"),IF(AND($H84&lt;&gt;"",$H84&lt;=EOMONTH(T$12,0),$I84&gt;=T$12),"DEV","")))</f>
        <v/>
      </c>
      <c r="U84" s="173" t="str">
        <f>IF($AI84="","",IF(INDEX('Roadmap Calc (Don’t Touch)'!$AA$2:$AX$151,$AI84,12)&gt;0,IF(AND($H84&lt;&gt;"",$H84&lt;=EOMONTH(U$12,0),$I84&gt;=U$12),"BOTH","UX"),IF(AND($H84&lt;&gt;"",$H84&lt;=EOMONTH(U$12,0),$I84&gt;=U$12),"DEV","")))</f>
        <v/>
      </c>
      <c r="V84" s="173" t="str">
        <f>IF($AI84="","",IF(INDEX('Roadmap Calc (Don’t Touch)'!$AA$2:$AX$151,$AI84,13)&gt;0,IF(AND($H84&lt;&gt;"",$H84&lt;=EOMONTH(V$12,0),$I84&gt;=V$12),"BOTH","UX"),IF(AND($H84&lt;&gt;"",$H84&lt;=EOMONTH(V$12,0),$I84&gt;=V$12),"DEV","")))</f>
        <v/>
      </c>
      <c r="W84" s="173" t="str">
        <f>IF($AI84="","",IF(INDEX('Roadmap Calc (Don’t Touch)'!$AA$2:$AX$151,$AI84,14)&gt;0,IF(AND($H84&lt;&gt;"",$H84&lt;=EOMONTH(W$12,0),$I84&gt;=W$12),"BOTH","UX"),IF(AND($H84&lt;&gt;"",$H84&lt;=EOMONTH(W$12,0),$I84&gt;=W$12),"DEV","")))</f>
        <v/>
      </c>
      <c r="X84" s="173" t="str">
        <f>IF($AI84="","",IF(INDEX('Roadmap Calc (Don’t Touch)'!$AA$2:$AX$151,$AI84,15)&gt;0,IF(AND($H84&lt;&gt;"",$H84&lt;=EOMONTH(X$12,0),$I84&gt;=X$12),"BOTH","UX"),IF(AND($H84&lt;&gt;"",$H84&lt;=EOMONTH(X$12,0),$I84&gt;=X$12),"DEV","")))</f>
        <v/>
      </c>
      <c r="Y84" s="173" t="str">
        <f>IF($AI84="","",IF(INDEX('Roadmap Calc (Don’t Touch)'!$AA$2:$AX$151,$AI84,16)&gt;0,IF(AND($H84&lt;&gt;"",$H84&lt;=EOMONTH(Y$12,0),$I84&gt;=Y$12),"BOTH","UX"),IF(AND($H84&lt;&gt;"",$H84&lt;=EOMONTH(Y$12,0),$I84&gt;=Y$12),"DEV","")))</f>
        <v/>
      </c>
      <c r="Z84" s="173" t="str">
        <f>IF($AI84="","",IF(INDEX('Roadmap Calc (Don’t Touch)'!$AA$2:$AX$151,$AI84,17)&gt;0,IF(AND($H84&lt;&gt;"",$H84&lt;=EOMONTH(Z$12,0),$I84&gt;=Z$12),"BOTH","UX"),IF(AND($H84&lt;&gt;"",$H84&lt;=EOMONTH(Z$12,0),$I84&gt;=Z$12),"DEV","")))</f>
        <v/>
      </c>
      <c r="AA84" s="173" t="str">
        <f>IF($AI84="","",IF(INDEX('Roadmap Calc (Don’t Touch)'!$AA$2:$AX$151,$AI84,18)&gt;0,IF(AND($H84&lt;&gt;"",$H84&lt;=EOMONTH(AA$12,0),$I84&gt;=AA$12),"BOTH","UX"),IF(AND($H84&lt;&gt;"",$H84&lt;=EOMONTH(AA$12,0),$I84&gt;=AA$12),"DEV","")))</f>
        <v/>
      </c>
      <c r="AB84" s="173" t="str">
        <f>IF($AI84="","",IF(INDEX('Roadmap Calc (Don’t Touch)'!$AA$2:$AX$151,$AI84,19)&gt;0,IF(AND($H84&lt;&gt;"",$H84&lt;=EOMONTH(AB$12,0),$I84&gt;=AB$12),"BOTH","UX"),IF(AND($H84&lt;&gt;"",$H84&lt;=EOMONTH(AB$12,0),$I84&gt;=AB$12),"DEV","")))</f>
        <v/>
      </c>
      <c r="AC84" s="173" t="str">
        <f>IF($AI84="","",IF(INDEX('Roadmap Calc (Don’t Touch)'!$AA$2:$AX$151,$AI84,20)&gt;0,IF(AND($H84&lt;&gt;"",$H84&lt;=EOMONTH(AC$12,0),$I84&gt;=AC$12),"BOTH","UX"),IF(AND($H84&lt;&gt;"",$H84&lt;=EOMONTH(AC$12,0),$I84&gt;=AC$12),"DEV","")))</f>
        <v/>
      </c>
      <c r="AD84" s="173" t="str">
        <f>IF($AI84="","",IF(INDEX('Roadmap Calc (Don’t Touch)'!$AA$2:$AX$151,$AI84,21)&gt;0,IF(AND($H84&lt;&gt;"",$H84&lt;=EOMONTH(AD$12,0),$I84&gt;=AD$12),"BOTH","UX"),IF(AND($H84&lt;&gt;"",$H84&lt;=EOMONTH(AD$12,0),$I84&gt;=AD$12),"DEV","")))</f>
        <v/>
      </c>
      <c r="AE84" s="173" t="str">
        <f>IF($AI84="","",IF(INDEX('Roadmap Calc (Don’t Touch)'!$AA$2:$AX$151,$AI84,22)&gt;0,IF(AND($H84&lt;&gt;"",$H84&lt;=EOMONTH(AE$12,0),$I84&gt;=AE$12),"BOTH","UX"),IF(AND($H84&lt;&gt;"",$H84&lt;=EOMONTH(AE$12,0),$I84&gt;=AE$12),"DEV","")))</f>
        <v/>
      </c>
      <c r="AF84" s="173" t="str">
        <f>IF($AI84="","",IF(INDEX('Roadmap Calc (Don’t Touch)'!$AA$2:$AX$151,$AI84,23)&gt;0,IF(AND($H84&lt;&gt;"",$H84&lt;=EOMONTH(AF$12,0),$I84&gt;=AF$12),"BOTH","UX"),IF(AND($H84&lt;&gt;"",$H84&lt;=EOMONTH(AF$12,0),$I84&gt;=AF$12),"DEV","")))</f>
        <v/>
      </c>
      <c r="AG84" s="173" t="str">
        <f>IF($AI84="","",IF(INDEX('Roadmap Calc (Don’t Touch)'!$AA$2:$AX$151,$AI84,24)&gt;0,IF(AND($H84&lt;&gt;"",$H84&lt;=EOMONTH(AG$12,0),$I84&gt;=AG$12),"BOTH","UX"),IF(AND($H84&lt;&gt;"",$H84&lt;=EOMONTH(AG$12,0),$I84&gt;=AG$12),"DEV","")))</f>
        <v/>
      </c>
      <c r="AH84" s="160" t="str">
        <f>IF($AI84="","",INDEX('Roadmap Calc (Don’t Touch)'!$D$2:$D$151,$AI84))</f>
        <v/>
      </c>
      <c r="AI84" s="160" t="str">
        <f>IFERROR(MATCH(69,'Roadmap Calc (Don’t Touch)'!$O$2:$O$151,0),"")</f>
        <v/>
      </c>
      <c r="AJ84" s="160"/>
      <c r="AK84" s="160"/>
      <c r="AL84" s="160"/>
      <c r="AM84" s="160"/>
    </row>
    <row r="85" spans="1:39" ht="17" customHeight="1" x14ac:dyDescent="0.25">
      <c r="A85" s="167" t="str">
        <f>IF($AI85="","",IF($AH85=$AH84,"",IF(INDEX('Roadmap Calc (Don’t Touch)'!$U$2:$U$151,$AI85)=0,$AH85,HYPERLINK("#'Control (Don’t Touch)'!E"&amp;INDEX('Roadmap Calc (Don’t Touch)'!$U$2:$U$151,$AI85),$AH85))))</f>
        <v/>
      </c>
      <c r="B85" s="168" t="str">
        <f>IF($AI85="","",IF(INDEX('Roadmap Calc (Don’t Touch)'!$K$2:$K$151,$AI85)="",INDEX('Roadmap Calc (Don’t Touch)'!$B$2:$B$151,$AI85),HYPERLINK("https://jira.bnh.com/browse/"&amp;INDEX('Roadmap Calc (Don’t Touch)'!$K$2:$K$151,$AI85),INDEX('Roadmap Calc (Don’t Touch)'!$B$2:$B$151,$AI85))))</f>
        <v/>
      </c>
      <c r="C85" s="168" t="str">
        <f>IF($AI85="","",IF(INDEX('Roadmap Calc (Don’t Touch)'!$E$2:$E$151,$AI85)="","",HYPERLINK("https://jira.bnh.com/browse/"&amp;INDEX('Roadmap Calc (Don’t Touch)'!$E$2:$E$151,$AI85),INDEX('Roadmap Calc (Don’t Touch)'!$E$2:$E$151,$AI85))))</f>
        <v/>
      </c>
      <c r="D85" s="169" t="str">
        <f>IF($AI85="","",INDEX('Roadmap Calc (Don’t Touch)'!$F$2:$F$151,$AI85))</f>
        <v/>
      </c>
      <c r="E85" s="170" t="str">
        <f>IF($AI85="","",IF(ISNUMBER(INDEX('Roadmap Calc (Don’t Touch)'!$G$2:$G$151,$AI85)),INDEX('Roadmap Calc (Don’t Touch)'!$G$2:$G$151,$AI85),""))</f>
        <v/>
      </c>
      <c r="F85" s="170" t="str">
        <f>IF($AI85="","",IF(ISNUMBER(INDEX('Roadmap Calc (Don’t Touch)'!$H$2:$H$151,$AI85)),INDEX('Roadmap Calc (Don’t Touch)'!$H$2:$H$151,$AI85),""))</f>
        <v/>
      </c>
      <c r="G85" s="171" t="str">
        <f>IF($AI85="","",INDEX('Roadmap Calc (Don’t Touch)'!$T$2:$T$151,$AI85))</f>
        <v/>
      </c>
      <c r="H85" s="172" t="str">
        <f>IF($AI85="","",IF(ISNUMBER(INDEX('Roadmap Calc (Don’t Touch)'!$I$2:$I$151,$AI85)),INDEX('Roadmap Calc (Don’t Touch)'!$I$2:$I$151,$AI85),""))</f>
        <v/>
      </c>
      <c r="I85" s="172" t="str">
        <f>IF($AI85="","",IF(ISNUMBER(INDEX('Roadmap Calc (Don’t Touch)'!$J$2:$J$151,$AI85)),INDEX('Roadmap Calc (Don’t Touch)'!$J$2:$J$151,$AI85),""))</f>
        <v/>
      </c>
      <c r="J85" s="173" t="str">
        <f>IF($AI85="","",IF(INDEX('Roadmap Calc (Don’t Touch)'!$AA$2:$AX$151,$AI85,1)&gt;0,IF(AND($H85&lt;&gt;"",$H85&lt;=EOMONTH(J$12,0),$I85&gt;=J$12),"BOTH","UX"),IF(AND($H85&lt;&gt;"",$H85&lt;=EOMONTH(J$12,0),$I85&gt;=J$12),"DEV","")))</f>
        <v/>
      </c>
      <c r="K85" s="173" t="str">
        <f>IF($AI85="","",IF(INDEX('Roadmap Calc (Don’t Touch)'!$AA$2:$AX$151,$AI85,2)&gt;0,IF(AND($H85&lt;&gt;"",$H85&lt;=EOMONTH(K$12,0),$I85&gt;=K$12),"BOTH","UX"),IF(AND($H85&lt;&gt;"",$H85&lt;=EOMONTH(K$12,0),$I85&gt;=K$12),"DEV","")))</f>
        <v/>
      </c>
      <c r="L85" s="173" t="str">
        <f>IF($AI85="","",IF(INDEX('Roadmap Calc (Don’t Touch)'!$AA$2:$AX$151,$AI85,3)&gt;0,IF(AND($H85&lt;&gt;"",$H85&lt;=EOMONTH(L$12,0),$I85&gt;=L$12),"BOTH","UX"),IF(AND($H85&lt;&gt;"",$H85&lt;=EOMONTH(L$12,0),$I85&gt;=L$12),"DEV","")))</f>
        <v/>
      </c>
      <c r="M85" s="173" t="str">
        <f>IF($AI85="","",IF(INDEX('Roadmap Calc (Don’t Touch)'!$AA$2:$AX$151,$AI85,4)&gt;0,IF(AND($H85&lt;&gt;"",$H85&lt;=EOMONTH(M$12,0),$I85&gt;=M$12),"BOTH","UX"),IF(AND($H85&lt;&gt;"",$H85&lt;=EOMONTH(M$12,0),$I85&gt;=M$12),"DEV","")))</f>
        <v/>
      </c>
      <c r="N85" s="173" t="str">
        <f>IF($AI85="","",IF(INDEX('Roadmap Calc (Don’t Touch)'!$AA$2:$AX$151,$AI85,5)&gt;0,IF(AND($H85&lt;&gt;"",$H85&lt;=EOMONTH(N$12,0),$I85&gt;=N$12),"BOTH","UX"),IF(AND($H85&lt;&gt;"",$H85&lt;=EOMONTH(N$12,0),$I85&gt;=N$12),"DEV","")))</f>
        <v/>
      </c>
      <c r="O85" s="173" t="str">
        <f>IF($AI85="","",IF(INDEX('Roadmap Calc (Don’t Touch)'!$AA$2:$AX$151,$AI85,6)&gt;0,IF(AND($H85&lt;&gt;"",$H85&lt;=EOMONTH(O$12,0),$I85&gt;=O$12),"BOTH","UX"),IF(AND($H85&lt;&gt;"",$H85&lt;=EOMONTH(O$12,0),$I85&gt;=O$12),"DEV","")))</f>
        <v/>
      </c>
      <c r="P85" s="173" t="str">
        <f>IF($AI85="","",IF(INDEX('Roadmap Calc (Don’t Touch)'!$AA$2:$AX$151,$AI85,7)&gt;0,IF(AND($H85&lt;&gt;"",$H85&lt;=EOMONTH(P$12,0),$I85&gt;=P$12),"BOTH","UX"),IF(AND($H85&lt;&gt;"",$H85&lt;=EOMONTH(P$12,0),$I85&gt;=P$12),"DEV","")))</f>
        <v/>
      </c>
      <c r="Q85" s="173" t="str">
        <f>IF($AI85="","",IF(INDEX('Roadmap Calc (Don’t Touch)'!$AA$2:$AX$151,$AI85,8)&gt;0,IF(AND($H85&lt;&gt;"",$H85&lt;=EOMONTH(Q$12,0),$I85&gt;=Q$12),"BOTH","UX"),IF(AND($H85&lt;&gt;"",$H85&lt;=EOMONTH(Q$12,0),$I85&gt;=Q$12),"DEV","")))</f>
        <v/>
      </c>
      <c r="R85" s="173" t="str">
        <f>IF($AI85="","",IF(INDEX('Roadmap Calc (Don’t Touch)'!$AA$2:$AX$151,$AI85,9)&gt;0,IF(AND($H85&lt;&gt;"",$H85&lt;=EOMONTH(R$12,0),$I85&gt;=R$12),"BOTH","UX"),IF(AND($H85&lt;&gt;"",$H85&lt;=EOMONTH(R$12,0),$I85&gt;=R$12),"DEV","")))</f>
        <v/>
      </c>
      <c r="S85" s="173" t="str">
        <f>IF($AI85="","",IF(INDEX('Roadmap Calc (Don’t Touch)'!$AA$2:$AX$151,$AI85,10)&gt;0,IF(AND($H85&lt;&gt;"",$H85&lt;=EOMONTH(S$12,0),$I85&gt;=S$12),"BOTH","UX"),IF(AND($H85&lt;&gt;"",$H85&lt;=EOMONTH(S$12,0),$I85&gt;=S$12),"DEV","")))</f>
        <v/>
      </c>
      <c r="T85" s="173" t="str">
        <f>IF($AI85="","",IF(INDEX('Roadmap Calc (Don’t Touch)'!$AA$2:$AX$151,$AI85,11)&gt;0,IF(AND($H85&lt;&gt;"",$H85&lt;=EOMONTH(T$12,0),$I85&gt;=T$12),"BOTH","UX"),IF(AND($H85&lt;&gt;"",$H85&lt;=EOMONTH(T$12,0),$I85&gt;=T$12),"DEV","")))</f>
        <v/>
      </c>
      <c r="U85" s="173" t="str">
        <f>IF($AI85="","",IF(INDEX('Roadmap Calc (Don’t Touch)'!$AA$2:$AX$151,$AI85,12)&gt;0,IF(AND($H85&lt;&gt;"",$H85&lt;=EOMONTH(U$12,0),$I85&gt;=U$12),"BOTH","UX"),IF(AND($H85&lt;&gt;"",$H85&lt;=EOMONTH(U$12,0),$I85&gt;=U$12),"DEV","")))</f>
        <v/>
      </c>
      <c r="V85" s="173" t="str">
        <f>IF($AI85="","",IF(INDEX('Roadmap Calc (Don’t Touch)'!$AA$2:$AX$151,$AI85,13)&gt;0,IF(AND($H85&lt;&gt;"",$H85&lt;=EOMONTH(V$12,0),$I85&gt;=V$12),"BOTH","UX"),IF(AND($H85&lt;&gt;"",$H85&lt;=EOMONTH(V$12,0),$I85&gt;=V$12),"DEV","")))</f>
        <v/>
      </c>
      <c r="W85" s="173" t="str">
        <f>IF($AI85="","",IF(INDEX('Roadmap Calc (Don’t Touch)'!$AA$2:$AX$151,$AI85,14)&gt;0,IF(AND($H85&lt;&gt;"",$H85&lt;=EOMONTH(W$12,0),$I85&gt;=W$12),"BOTH","UX"),IF(AND($H85&lt;&gt;"",$H85&lt;=EOMONTH(W$12,0),$I85&gt;=W$12),"DEV","")))</f>
        <v/>
      </c>
      <c r="X85" s="173" t="str">
        <f>IF($AI85="","",IF(INDEX('Roadmap Calc (Don’t Touch)'!$AA$2:$AX$151,$AI85,15)&gt;0,IF(AND($H85&lt;&gt;"",$H85&lt;=EOMONTH(X$12,0),$I85&gt;=X$12),"BOTH","UX"),IF(AND($H85&lt;&gt;"",$H85&lt;=EOMONTH(X$12,0),$I85&gt;=X$12),"DEV","")))</f>
        <v/>
      </c>
      <c r="Y85" s="173" t="str">
        <f>IF($AI85="","",IF(INDEX('Roadmap Calc (Don’t Touch)'!$AA$2:$AX$151,$AI85,16)&gt;0,IF(AND($H85&lt;&gt;"",$H85&lt;=EOMONTH(Y$12,0),$I85&gt;=Y$12),"BOTH","UX"),IF(AND($H85&lt;&gt;"",$H85&lt;=EOMONTH(Y$12,0),$I85&gt;=Y$12),"DEV","")))</f>
        <v/>
      </c>
      <c r="Z85" s="173" t="str">
        <f>IF($AI85="","",IF(INDEX('Roadmap Calc (Don’t Touch)'!$AA$2:$AX$151,$AI85,17)&gt;0,IF(AND($H85&lt;&gt;"",$H85&lt;=EOMONTH(Z$12,0),$I85&gt;=Z$12),"BOTH","UX"),IF(AND($H85&lt;&gt;"",$H85&lt;=EOMONTH(Z$12,0),$I85&gt;=Z$12),"DEV","")))</f>
        <v/>
      </c>
      <c r="AA85" s="173" t="str">
        <f>IF($AI85="","",IF(INDEX('Roadmap Calc (Don’t Touch)'!$AA$2:$AX$151,$AI85,18)&gt;0,IF(AND($H85&lt;&gt;"",$H85&lt;=EOMONTH(AA$12,0),$I85&gt;=AA$12),"BOTH","UX"),IF(AND($H85&lt;&gt;"",$H85&lt;=EOMONTH(AA$12,0),$I85&gt;=AA$12),"DEV","")))</f>
        <v/>
      </c>
      <c r="AB85" s="173" t="str">
        <f>IF($AI85="","",IF(INDEX('Roadmap Calc (Don’t Touch)'!$AA$2:$AX$151,$AI85,19)&gt;0,IF(AND($H85&lt;&gt;"",$H85&lt;=EOMONTH(AB$12,0),$I85&gt;=AB$12),"BOTH","UX"),IF(AND($H85&lt;&gt;"",$H85&lt;=EOMONTH(AB$12,0),$I85&gt;=AB$12),"DEV","")))</f>
        <v/>
      </c>
      <c r="AC85" s="173" t="str">
        <f>IF($AI85="","",IF(INDEX('Roadmap Calc (Don’t Touch)'!$AA$2:$AX$151,$AI85,20)&gt;0,IF(AND($H85&lt;&gt;"",$H85&lt;=EOMONTH(AC$12,0),$I85&gt;=AC$12),"BOTH","UX"),IF(AND($H85&lt;&gt;"",$H85&lt;=EOMONTH(AC$12,0),$I85&gt;=AC$12),"DEV","")))</f>
        <v/>
      </c>
      <c r="AD85" s="173" t="str">
        <f>IF($AI85="","",IF(INDEX('Roadmap Calc (Don’t Touch)'!$AA$2:$AX$151,$AI85,21)&gt;0,IF(AND($H85&lt;&gt;"",$H85&lt;=EOMONTH(AD$12,0),$I85&gt;=AD$12),"BOTH","UX"),IF(AND($H85&lt;&gt;"",$H85&lt;=EOMONTH(AD$12,0),$I85&gt;=AD$12),"DEV","")))</f>
        <v/>
      </c>
      <c r="AE85" s="173" t="str">
        <f>IF($AI85="","",IF(INDEX('Roadmap Calc (Don’t Touch)'!$AA$2:$AX$151,$AI85,22)&gt;0,IF(AND($H85&lt;&gt;"",$H85&lt;=EOMONTH(AE$12,0),$I85&gt;=AE$12),"BOTH","UX"),IF(AND($H85&lt;&gt;"",$H85&lt;=EOMONTH(AE$12,0),$I85&gt;=AE$12),"DEV","")))</f>
        <v/>
      </c>
      <c r="AF85" s="173" t="str">
        <f>IF($AI85="","",IF(INDEX('Roadmap Calc (Don’t Touch)'!$AA$2:$AX$151,$AI85,23)&gt;0,IF(AND($H85&lt;&gt;"",$H85&lt;=EOMONTH(AF$12,0),$I85&gt;=AF$12),"BOTH","UX"),IF(AND($H85&lt;&gt;"",$H85&lt;=EOMONTH(AF$12,0),$I85&gt;=AF$12),"DEV","")))</f>
        <v/>
      </c>
      <c r="AG85" s="173" t="str">
        <f>IF($AI85="","",IF(INDEX('Roadmap Calc (Don’t Touch)'!$AA$2:$AX$151,$AI85,24)&gt;0,IF(AND($H85&lt;&gt;"",$H85&lt;=EOMONTH(AG$12,0),$I85&gt;=AG$12),"BOTH","UX"),IF(AND($H85&lt;&gt;"",$H85&lt;=EOMONTH(AG$12,0),$I85&gt;=AG$12),"DEV","")))</f>
        <v/>
      </c>
      <c r="AH85" s="160" t="str">
        <f>IF($AI85="","",INDEX('Roadmap Calc (Don’t Touch)'!$D$2:$D$151,$AI85))</f>
        <v/>
      </c>
      <c r="AI85" s="160" t="str">
        <f>IFERROR(MATCH(70,'Roadmap Calc (Don’t Touch)'!$O$2:$O$151,0),"")</f>
        <v/>
      </c>
      <c r="AJ85" s="160"/>
      <c r="AK85" s="160"/>
      <c r="AL85" s="160"/>
      <c r="AM85" s="160"/>
    </row>
    <row r="86" spans="1:39" ht="17" customHeight="1" x14ac:dyDescent="0.25">
      <c r="A86" s="167" t="str">
        <f>IF($AI86="","",IF($AH86=$AH85,"",IF(INDEX('Roadmap Calc (Don’t Touch)'!$U$2:$U$151,$AI86)=0,$AH86,HYPERLINK("#'Control (Don’t Touch)'!E"&amp;INDEX('Roadmap Calc (Don’t Touch)'!$U$2:$U$151,$AI86),$AH86))))</f>
        <v/>
      </c>
      <c r="B86" s="168" t="str">
        <f>IF($AI86="","",IF(INDEX('Roadmap Calc (Don’t Touch)'!$K$2:$K$151,$AI86)="",INDEX('Roadmap Calc (Don’t Touch)'!$B$2:$B$151,$AI86),HYPERLINK("https://jira.bnh.com/browse/"&amp;INDEX('Roadmap Calc (Don’t Touch)'!$K$2:$K$151,$AI86),INDEX('Roadmap Calc (Don’t Touch)'!$B$2:$B$151,$AI86))))</f>
        <v/>
      </c>
      <c r="C86" s="168" t="str">
        <f>IF($AI86="","",IF(INDEX('Roadmap Calc (Don’t Touch)'!$E$2:$E$151,$AI86)="","",HYPERLINK("https://jira.bnh.com/browse/"&amp;INDEX('Roadmap Calc (Don’t Touch)'!$E$2:$E$151,$AI86),INDEX('Roadmap Calc (Don’t Touch)'!$E$2:$E$151,$AI86))))</f>
        <v/>
      </c>
      <c r="D86" s="169" t="str">
        <f>IF($AI86="","",INDEX('Roadmap Calc (Don’t Touch)'!$F$2:$F$151,$AI86))</f>
        <v/>
      </c>
      <c r="E86" s="170" t="str">
        <f>IF($AI86="","",IF(ISNUMBER(INDEX('Roadmap Calc (Don’t Touch)'!$G$2:$G$151,$AI86)),INDEX('Roadmap Calc (Don’t Touch)'!$G$2:$G$151,$AI86),""))</f>
        <v/>
      </c>
      <c r="F86" s="170" t="str">
        <f>IF($AI86="","",IF(ISNUMBER(INDEX('Roadmap Calc (Don’t Touch)'!$H$2:$H$151,$AI86)),INDEX('Roadmap Calc (Don’t Touch)'!$H$2:$H$151,$AI86),""))</f>
        <v/>
      </c>
      <c r="G86" s="171" t="str">
        <f>IF($AI86="","",INDEX('Roadmap Calc (Don’t Touch)'!$T$2:$T$151,$AI86))</f>
        <v/>
      </c>
      <c r="H86" s="172" t="str">
        <f>IF($AI86="","",IF(ISNUMBER(INDEX('Roadmap Calc (Don’t Touch)'!$I$2:$I$151,$AI86)),INDEX('Roadmap Calc (Don’t Touch)'!$I$2:$I$151,$AI86),""))</f>
        <v/>
      </c>
      <c r="I86" s="172" t="str">
        <f>IF($AI86="","",IF(ISNUMBER(INDEX('Roadmap Calc (Don’t Touch)'!$J$2:$J$151,$AI86)),INDEX('Roadmap Calc (Don’t Touch)'!$J$2:$J$151,$AI86),""))</f>
        <v/>
      </c>
      <c r="J86" s="173" t="str">
        <f>IF($AI86="","",IF(INDEX('Roadmap Calc (Don’t Touch)'!$AA$2:$AX$151,$AI86,1)&gt;0,IF(AND($H86&lt;&gt;"",$H86&lt;=EOMONTH(J$12,0),$I86&gt;=J$12),"BOTH","UX"),IF(AND($H86&lt;&gt;"",$H86&lt;=EOMONTH(J$12,0),$I86&gt;=J$12),"DEV","")))</f>
        <v/>
      </c>
      <c r="K86" s="173" t="str">
        <f>IF($AI86="","",IF(INDEX('Roadmap Calc (Don’t Touch)'!$AA$2:$AX$151,$AI86,2)&gt;0,IF(AND($H86&lt;&gt;"",$H86&lt;=EOMONTH(K$12,0),$I86&gt;=K$12),"BOTH","UX"),IF(AND($H86&lt;&gt;"",$H86&lt;=EOMONTH(K$12,0),$I86&gt;=K$12),"DEV","")))</f>
        <v/>
      </c>
      <c r="L86" s="173" t="str">
        <f>IF($AI86="","",IF(INDEX('Roadmap Calc (Don’t Touch)'!$AA$2:$AX$151,$AI86,3)&gt;0,IF(AND($H86&lt;&gt;"",$H86&lt;=EOMONTH(L$12,0),$I86&gt;=L$12),"BOTH","UX"),IF(AND($H86&lt;&gt;"",$H86&lt;=EOMONTH(L$12,0),$I86&gt;=L$12),"DEV","")))</f>
        <v/>
      </c>
      <c r="M86" s="173" t="str">
        <f>IF($AI86="","",IF(INDEX('Roadmap Calc (Don’t Touch)'!$AA$2:$AX$151,$AI86,4)&gt;0,IF(AND($H86&lt;&gt;"",$H86&lt;=EOMONTH(M$12,0),$I86&gt;=M$12),"BOTH","UX"),IF(AND($H86&lt;&gt;"",$H86&lt;=EOMONTH(M$12,0),$I86&gt;=M$12),"DEV","")))</f>
        <v/>
      </c>
      <c r="N86" s="173" t="str">
        <f>IF($AI86="","",IF(INDEX('Roadmap Calc (Don’t Touch)'!$AA$2:$AX$151,$AI86,5)&gt;0,IF(AND($H86&lt;&gt;"",$H86&lt;=EOMONTH(N$12,0),$I86&gt;=N$12),"BOTH","UX"),IF(AND($H86&lt;&gt;"",$H86&lt;=EOMONTH(N$12,0),$I86&gt;=N$12),"DEV","")))</f>
        <v/>
      </c>
      <c r="O86" s="173" t="str">
        <f>IF($AI86="","",IF(INDEX('Roadmap Calc (Don’t Touch)'!$AA$2:$AX$151,$AI86,6)&gt;0,IF(AND($H86&lt;&gt;"",$H86&lt;=EOMONTH(O$12,0),$I86&gt;=O$12),"BOTH","UX"),IF(AND($H86&lt;&gt;"",$H86&lt;=EOMONTH(O$12,0),$I86&gt;=O$12),"DEV","")))</f>
        <v/>
      </c>
      <c r="P86" s="173" t="str">
        <f>IF($AI86="","",IF(INDEX('Roadmap Calc (Don’t Touch)'!$AA$2:$AX$151,$AI86,7)&gt;0,IF(AND($H86&lt;&gt;"",$H86&lt;=EOMONTH(P$12,0),$I86&gt;=P$12),"BOTH","UX"),IF(AND($H86&lt;&gt;"",$H86&lt;=EOMONTH(P$12,0),$I86&gt;=P$12),"DEV","")))</f>
        <v/>
      </c>
      <c r="Q86" s="173" t="str">
        <f>IF($AI86="","",IF(INDEX('Roadmap Calc (Don’t Touch)'!$AA$2:$AX$151,$AI86,8)&gt;0,IF(AND($H86&lt;&gt;"",$H86&lt;=EOMONTH(Q$12,0),$I86&gt;=Q$12),"BOTH","UX"),IF(AND($H86&lt;&gt;"",$H86&lt;=EOMONTH(Q$12,0),$I86&gt;=Q$12),"DEV","")))</f>
        <v/>
      </c>
      <c r="R86" s="173" t="str">
        <f>IF($AI86="","",IF(INDEX('Roadmap Calc (Don’t Touch)'!$AA$2:$AX$151,$AI86,9)&gt;0,IF(AND($H86&lt;&gt;"",$H86&lt;=EOMONTH(R$12,0),$I86&gt;=R$12),"BOTH","UX"),IF(AND($H86&lt;&gt;"",$H86&lt;=EOMONTH(R$12,0),$I86&gt;=R$12),"DEV","")))</f>
        <v/>
      </c>
      <c r="S86" s="173" t="str">
        <f>IF($AI86="","",IF(INDEX('Roadmap Calc (Don’t Touch)'!$AA$2:$AX$151,$AI86,10)&gt;0,IF(AND($H86&lt;&gt;"",$H86&lt;=EOMONTH(S$12,0),$I86&gt;=S$12),"BOTH","UX"),IF(AND($H86&lt;&gt;"",$H86&lt;=EOMONTH(S$12,0),$I86&gt;=S$12),"DEV","")))</f>
        <v/>
      </c>
      <c r="T86" s="173" t="str">
        <f>IF($AI86="","",IF(INDEX('Roadmap Calc (Don’t Touch)'!$AA$2:$AX$151,$AI86,11)&gt;0,IF(AND($H86&lt;&gt;"",$H86&lt;=EOMONTH(T$12,0),$I86&gt;=T$12),"BOTH","UX"),IF(AND($H86&lt;&gt;"",$H86&lt;=EOMONTH(T$12,0),$I86&gt;=T$12),"DEV","")))</f>
        <v/>
      </c>
      <c r="U86" s="173" t="str">
        <f>IF($AI86="","",IF(INDEX('Roadmap Calc (Don’t Touch)'!$AA$2:$AX$151,$AI86,12)&gt;0,IF(AND($H86&lt;&gt;"",$H86&lt;=EOMONTH(U$12,0),$I86&gt;=U$12),"BOTH","UX"),IF(AND($H86&lt;&gt;"",$H86&lt;=EOMONTH(U$12,0),$I86&gt;=U$12),"DEV","")))</f>
        <v/>
      </c>
      <c r="V86" s="173" t="str">
        <f>IF($AI86="","",IF(INDEX('Roadmap Calc (Don’t Touch)'!$AA$2:$AX$151,$AI86,13)&gt;0,IF(AND($H86&lt;&gt;"",$H86&lt;=EOMONTH(V$12,0),$I86&gt;=V$12),"BOTH","UX"),IF(AND($H86&lt;&gt;"",$H86&lt;=EOMONTH(V$12,0),$I86&gt;=V$12),"DEV","")))</f>
        <v/>
      </c>
      <c r="W86" s="173" t="str">
        <f>IF($AI86="","",IF(INDEX('Roadmap Calc (Don’t Touch)'!$AA$2:$AX$151,$AI86,14)&gt;0,IF(AND($H86&lt;&gt;"",$H86&lt;=EOMONTH(W$12,0),$I86&gt;=W$12),"BOTH","UX"),IF(AND($H86&lt;&gt;"",$H86&lt;=EOMONTH(W$12,0),$I86&gt;=W$12),"DEV","")))</f>
        <v/>
      </c>
      <c r="X86" s="173" t="str">
        <f>IF($AI86="","",IF(INDEX('Roadmap Calc (Don’t Touch)'!$AA$2:$AX$151,$AI86,15)&gt;0,IF(AND($H86&lt;&gt;"",$H86&lt;=EOMONTH(X$12,0),$I86&gt;=X$12),"BOTH","UX"),IF(AND($H86&lt;&gt;"",$H86&lt;=EOMONTH(X$12,0),$I86&gt;=X$12),"DEV","")))</f>
        <v/>
      </c>
      <c r="Y86" s="173" t="str">
        <f>IF($AI86="","",IF(INDEX('Roadmap Calc (Don’t Touch)'!$AA$2:$AX$151,$AI86,16)&gt;0,IF(AND($H86&lt;&gt;"",$H86&lt;=EOMONTH(Y$12,0),$I86&gt;=Y$12),"BOTH","UX"),IF(AND($H86&lt;&gt;"",$H86&lt;=EOMONTH(Y$12,0),$I86&gt;=Y$12),"DEV","")))</f>
        <v/>
      </c>
      <c r="Z86" s="173" t="str">
        <f>IF($AI86="","",IF(INDEX('Roadmap Calc (Don’t Touch)'!$AA$2:$AX$151,$AI86,17)&gt;0,IF(AND($H86&lt;&gt;"",$H86&lt;=EOMONTH(Z$12,0),$I86&gt;=Z$12),"BOTH","UX"),IF(AND($H86&lt;&gt;"",$H86&lt;=EOMONTH(Z$12,0),$I86&gt;=Z$12),"DEV","")))</f>
        <v/>
      </c>
      <c r="AA86" s="173" t="str">
        <f>IF($AI86="","",IF(INDEX('Roadmap Calc (Don’t Touch)'!$AA$2:$AX$151,$AI86,18)&gt;0,IF(AND($H86&lt;&gt;"",$H86&lt;=EOMONTH(AA$12,0),$I86&gt;=AA$12),"BOTH","UX"),IF(AND($H86&lt;&gt;"",$H86&lt;=EOMONTH(AA$12,0),$I86&gt;=AA$12),"DEV","")))</f>
        <v/>
      </c>
      <c r="AB86" s="173" t="str">
        <f>IF($AI86="","",IF(INDEX('Roadmap Calc (Don’t Touch)'!$AA$2:$AX$151,$AI86,19)&gt;0,IF(AND($H86&lt;&gt;"",$H86&lt;=EOMONTH(AB$12,0),$I86&gt;=AB$12),"BOTH","UX"),IF(AND($H86&lt;&gt;"",$H86&lt;=EOMONTH(AB$12,0),$I86&gt;=AB$12),"DEV","")))</f>
        <v/>
      </c>
      <c r="AC86" s="173" t="str">
        <f>IF($AI86="","",IF(INDEX('Roadmap Calc (Don’t Touch)'!$AA$2:$AX$151,$AI86,20)&gt;0,IF(AND($H86&lt;&gt;"",$H86&lt;=EOMONTH(AC$12,0),$I86&gt;=AC$12),"BOTH","UX"),IF(AND($H86&lt;&gt;"",$H86&lt;=EOMONTH(AC$12,0),$I86&gt;=AC$12),"DEV","")))</f>
        <v/>
      </c>
      <c r="AD86" s="173" t="str">
        <f>IF($AI86="","",IF(INDEX('Roadmap Calc (Don’t Touch)'!$AA$2:$AX$151,$AI86,21)&gt;0,IF(AND($H86&lt;&gt;"",$H86&lt;=EOMONTH(AD$12,0),$I86&gt;=AD$12),"BOTH","UX"),IF(AND($H86&lt;&gt;"",$H86&lt;=EOMONTH(AD$12,0),$I86&gt;=AD$12),"DEV","")))</f>
        <v/>
      </c>
      <c r="AE86" s="173" t="str">
        <f>IF($AI86="","",IF(INDEX('Roadmap Calc (Don’t Touch)'!$AA$2:$AX$151,$AI86,22)&gt;0,IF(AND($H86&lt;&gt;"",$H86&lt;=EOMONTH(AE$12,0),$I86&gt;=AE$12),"BOTH","UX"),IF(AND($H86&lt;&gt;"",$H86&lt;=EOMONTH(AE$12,0),$I86&gt;=AE$12),"DEV","")))</f>
        <v/>
      </c>
      <c r="AF86" s="173" t="str">
        <f>IF($AI86="","",IF(INDEX('Roadmap Calc (Don’t Touch)'!$AA$2:$AX$151,$AI86,23)&gt;0,IF(AND($H86&lt;&gt;"",$H86&lt;=EOMONTH(AF$12,0),$I86&gt;=AF$12),"BOTH","UX"),IF(AND($H86&lt;&gt;"",$H86&lt;=EOMONTH(AF$12,0),$I86&gt;=AF$12),"DEV","")))</f>
        <v/>
      </c>
      <c r="AG86" s="173" t="str">
        <f>IF($AI86="","",IF(INDEX('Roadmap Calc (Don’t Touch)'!$AA$2:$AX$151,$AI86,24)&gt;0,IF(AND($H86&lt;&gt;"",$H86&lt;=EOMONTH(AG$12,0),$I86&gt;=AG$12),"BOTH","UX"),IF(AND($H86&lt;&gt;"",$H86&lt;=EOMONTH(AG$12,0),$I86&gt;=AG$12),"DEV","")))</f>
        <v/>
      </c>
      <c r="AH86" s="160" t="str">
        <f>IF($AI86="","",INDEX('Roadmap Calc (Don’t Touch)'!$D$2:$D$151,$AI86))</f>
        <v/>
      </c>
      <c r="AI86" s="160" t="str">
        <f>IFERROR(MATCH(71,'Roadmap Calc (Don’t Touch)'!$O$2:$O$151,0),"")</f>
        <v/>
      </c>
      <c r="AJ86" s="160"/>
      <c r="AK86" s="160"/>
      <c r="AL86" s="160"/>
      <c r="AM86" s="160"/>
    </row>
    <row r="87" spans="1:39" ht="17" customHeight="1" x14ac:dyDescent="0.25">
      <c r="A87" s="167" t="str">
        <f>IF($AI87="","",IF($AH87=$AH86,"",IF(INDEX('Roadmap Calc (Don’t Touch)'!$U$2:$U$151,$AI87)=0,$AH87,HYPERLINK("#'Control (Don’t Touch)'!E"&amp;INDEX('Roadmap Calc (Don’t Touch)'!$U$2:$U$151,$AI87),$AH87))))</f>
        <v/>
      </c>
      <c r="B87" s="168" t="str">
        <f>IF($AI87="","",IF(INDEX('Roadmap Calc (Don’t Touch)'!$K$2:$K$151,$AI87)="",INDEX('Roadmap Calc (Don’t Touch)'!$B$2:$B$151,$AI87),HYPERLINK("https://jira.bnh.com/browse/"&amp;INDEX('Roadmap Calc (Don’t Touch)'!$K$2:$K$151,$AI87),INDEX('Roadmap Calc (Don’t Touch)'!$B$2:$B$151,$AI87))))</f>
        <v/>
      </c>
      <c r="C87" s="168" t="str">
        <f>IF($AI87="","",IF(INDEX('Roadmap Calc (Don’t Touch)'!$E$2:$E$151,$AI87)="","",HYPERLINK("https://jira.bnh.com/browse/"&amp;INDEX('Roadmap Calc (Don’t Touch)'!$E$2:$E$151,$AI87),INDEX('Roadmap Calc (Don’t Touch)'!$E$2:$E$151,$AI87))))</f>
        <v/>
      </c>
      <c r="D87" s="169" t="str">
        <f>IF($AI87="","",INDEX('Roadmap Calc (Don’t Touch)'!$F$2:$F$151,$AI87))</f>
        <v/>
      </c>
      <c r="E87" s="170" t="str">
        <f>IF($AI87="","",IF(ISNUMBER(INDEX('Roadmap Calc (Don’t Touch)'!$G$2:$G$151,$AI87)),INDEX('Roadmap Calc (Don’t Touch)'!$G$2:$G$151,$AI87),""))</f>
        <v/>
      </c>
      <c r="F87" s="170" t="str">
        <f>IF($AI87="","",IF(ISNUMBER(INDEX('Roadmap Calc (Don’t Touch)'!$H$2:$H$151,$AI87)),INDEX('Roadmap Calc (Don’t Touch)'!$H$2:$H$151,$AI87),""))</f>
        <v/>
      </c>
      <c r="G87" s="171" t="str">
        <f>IF($AI87="","",INDEX('Roadmap Calc (Don’t Touch)'!$T$2:$T$151,$AI87))</f>
        <v/>
      </c>
      <c r="H87" s="172" t="str">
        <f>IF($AI87="","",IF(ISNUMBER(INDEX('Roadmap Calc (Don’t Touch)'!$I$2:$I$151,$AI87)),INDEX('Roadmap Calc (Don’t Touch)'!$I$2:$I$151,$AI87),""))</f>
        <v/>
      </c>
      <c r="I87" s="172" t="str">
        <f>IF($AI87="","",IF(ISNUMBER(INDEX('Roadmap Calc (Don’t Touch)'!$J$2:$J$151,$AI87)),INDEX('Roadmap Calc (Don’t Touch)'!$J$2:$J$151,$AI87),""))</f>
        <v/>
      </c>
      <c r="J87" s="173" t="str">
        <f>IF($AI87="","",IF(INDEX('Roadmap Calc (Don’t Touch)'!$AA$2:$AX$151,$AI87,1)&gt;0,IF(AND($H87&lt;&gt;"",$H87&lt;=EOMONTH(J$12,0),$I87&gt;=J$12),"BOTH","UX"),IF(AND($H87&lt;&gt;"",$H87&lt;=EOMONTH(J$12,0),$I87&gt;=J$12),"DEV","")))</f>
        <v/>
      </c>
      <c r="K87" s="173" t="str">
        <f>IF($AI87="","",IF(INDEX('Roadmap Calc (Don’t Touch)'!$AA$2:$AX$151,$AI87,2)&gt;0,IF(AND($H87&lt;&gt;"",$H87&lt;=EOMONTH(K$12,0),$I87&gt;=K$12),"BOTH","UX"),IF(AND($H87&lt;&gt;"",$H87&lt;=EOMONTH(K$12,0),$I87&gt;=K$12),"DEV","")))</f>
        <v/>
      </c>
      <c r="L87" s="173" t="str">
        <f>IF($AI87="","",IF(INDEX('Roadmap Calc (Don’t Touch)'!$AA$2:$AX$151,$AI87,3)&gt;0,IF(AND($H87&lt;&gt;"",$H87&lt;=EOMONTH(L$12,0),$I87&gt;=L$12),"BOTH","UX"),IF(AND($H87&lt;&gt;"",$H87&lt;=EOMONTH(L$12,0),$I87&gt;=L$12),"DEV","")))</f>
        <v/>
      </c>
      <c r="M87" s="173" t="str">
        <f>IF($AI87="","",IF(INDEX('Roadmap Calc (Don’t Touch)'!$AA$2:$AX$151,$AI87,4)&gt;0,IF(AND($H87&lt;&gt;"",$H87&lt;=EOMONTH(M$12,0),$I87&gt;=M$12),"BOTH","UX"),IF(AND($H87&lt;&gt;"",$H87&lt;=EOMONTH(M$12,0),$I87&gt;=M$12),"DEV","")))</f>
        <v/>
      </c>
      <c r="N87" s="173" t="str">
        <f>IF($AI87="","",IF(INDEX('Roadmap Calc (Don’t Touch)'!$AA$2:$AX$151,$AI87,5)&gt;0,IF(AND($H87&lt;&gt;"",$H87&lt;=EOMONTH(N$12,0),$I87&gt;=N$12),"BOTH","UX"),IF(AND($H87&lt;&gt;"",$H87&lt;=EOMONTH(N$12,0),$I87&gt;=N$12),"DEV","")))</f>
        <v/>
      </c>
      <c r="O87" s="173" t="str">
        <f>IF($AI87="","",IF(INDEX('Roadmap Calc (Don’t Touch)'!$AA$2:$AX$151,$AI87,6)&gt;0,IF(AND($H87&lt;&gt;"",$H87&lt;=EOMONTH(O$12,0),$I87&gt;=O$12),"BOTH","UX"),IF(AND($H87&lt;&gt;"",$H87&lt;=EOMONTH(O$12,0),$I87&gt;=O$12),"DEV","")))</f>
        <v/>
      </c>
      <c r="P87" s="173" t="str">
        <f>IF($AI87="","",IF(INDEX('Roadmap Calc (Don’t Touch)'!$AA$2:$AX$151,$AI87,7)&gt;0,IF(AND($H87&lt;&gt;"",$H87&lt;=EOMONTH(P$12,0),$I87&gt;=P$12),"BOTH","UX"),IF(AND($H87&lt;&gt;"",$H87&lt;=EOMONTH(P$12,0),$I87&gt;=P$12),"DEV","")))</f>
        <v/>
      </c>
      <c r="Q87" s="173" t="str">
        <f>IF($AI87="","",IF(INDEX('Roadmap Calc (Don’t Touch)'!$AA$2:$AX$151,$AI87,8)&gt;0,IF(AND($H87&lt;&gt;"",$H87&lt;=EOMONTH(Q$12,0),$I87&gt;=Q$12),"BOTH","UX"),IF(AND($H87&lt;&gt;"",$H87&lt;=EOMONTH(Q$12,0),$I87&gt;=Q$12),"DEV","")))</f>
        <v/>
      </c>
      <c r="R87" s="173" t="str">
        <f>IF($AI87="","",IF(INDEX('Roadmap Calc (Don’t Touch)'!$AA$2:$AX$151,$AI87,9)&gt;0,IF(AND($H87&lt;&gt;"",$H87&lt;=EOMONTH(R$12,0),$I87&gt;=R$12),"BOTH","UX"),IF(AND($H87&lt;&gt;"",$H87&lt;=EOMONTH(R$12,0),$I87&gt;=R$12),"DEV","")))</f>
        <v/>
      </c>
      <c r="S87" s="173" t="str">
        <f>IF($AI87="","",IF(INDEX('Roadmap Calc (Don’t Touch)'!$AA$2:$AX$151,$AI87,10)&gt;0,IF(AND($H87&lt;&gt;"",$H87&lt;=EOMONTH(S$12,0),$I87&gt;=S$12),"BOTH","UX"),IF(AND($H87&lt;&gt;"",$H87&lt;=EOMONTH(S$12,0),$I87&gt;=S$12),"DEV","")))</f>
        <v/>
      </c>
      <c r="T87" s="173" t="str">
        <f>IF($AI87="","",IF(INDEX('Roadmap Calc (Don’t Touch)'!$AA$2:$AX$151,$AI87,11)&gt;0,IF(AND($H87&lt;&gt;"",$H87&lt;=EOMONTH(T$12,0),$I87&gt;=T$12),"BOTH","UX"),IF(AND($H87&lt;&gt;"",$H87&lt;=EOMONTH(T$12,0),$I87&gt;=T$12),"DEV","")))</f>
        <v/>
      </c>
      <c r="U87" s="173" t="str">
        <f>IF($AI87="","",IF(INDEX('Roadmap Calc (Don’t Touch)'!$AA$2:$AX$151,$AI87,12)&gt;0,IF(AND($H87&lt;&gt;"",$H87&lt;=EOMONTH(U$12,0),$I87&gt;=U$12),"BOTH","UX"),IF(AND($H87&lt;&gt;"",$H87&lt;=EOMONTH(U$12,0),$I87&gt;=U$12),"DEV","")))</f>
        <v/>
      </c>
      <c r="V87" s="173" t="str">
        <f>IF($AI87="","",IF(INDEX('Roadmap Calc (Don’t Touch)'!$AA$2:$AX$151,$AI87,13)&gt;0,IF(AND($H87&lt;&gt;"",$H87&lt;=EOMONTH(V$12,0),$I87&gt;=V$12),"BOTH","UX"),IF(AND($H87&lt;&gt;"",$H87&lt;=EOMONTH(V$12,0),$I87&gt;=V$12),"DEV","")))</f>
        <v/>
      </c>
      <c r="W87" s="173" t="str">
        <f>IF($AI87="","",IF(INDEX('Roadmap Calc (Don’t Touch)'!$AA$2:$AX$151,$AI87,14)&gt;0,IF(AND($H87&lt;&gt;"",$H87&lt;=EOMONTH(W$12,0),$I87&gt;=W$12),"BOTH","UX"),IF(AND($H87&lt;&gt;"",$H87&lt;=EOMONTH(W$12,0),$I87&gt;=W$12),"DEV","")))</f>
        <v/>
      </c>
      <c r="X87" s="173" t="str">
        <f>IF($AI87="","",IF(INDEX('Roadmap Calc (Don’t Touch)'!$AA$2:$AX$151,$AI87,15)&gt;0,IF(AND($H87&lt;&gt;"",$H87&lt;=EOMONTH(X$12,0),$I87&gt;=X$12),"BOTH","UX"),IF(AND($H87&lt;&gt;"",$H87&lt;=EOMONTH(X$12,0),$I87&gt;=X$12),"DEV","")))</f>
        <v/>
      </c>
      <c r="Y87" s="173" t="str">
        <f>IF($AI87="","",IF(INDEX('Roadmap Calc (Don’t Touch)'!$AA$2:$AX$151,$AI87,16)&gt;0,IF(AND($H87&lt;&gt;"",$H87&lt;=EOMONTH(Y$12,0),$I87&gt;=Y$12),"BOTH","UX"),IF(AND($H87&lt;&gt;"",$H87&lt;=EOMONTH(Y$12,0),$I87&gt;=Y$12),"DEV","")))</f>
        <v/>
      </c>
      <c r="Z87" s="173" t="str">
        <f>IF($AI87="","",IF(INDEX('Roadmap Calc (Don’t Touch)'!$AA$2:$AX$151,$AI87,17)&gt;0,IF(AND($H87&lt;&gt;"",$H87&lt;=EOMONTH(Z$12,0),$I87&gt;=Z$12),"BOTH","UX"),IF(AND($H87&lt;&gt;"",$H87&lt;=EOMONTH(Z$12,0),$I87&gt;=Z$12),"DEV","")))</f>
        <v/>
      </c>
      <c r="AA87" s="173" t="str">
        <f>IF($AI87="","",IF(INDEX('Roadmap Calc (Don’t Touch)'!$AA$2:$AX$151,$AI87,18)&gt;0,IF(AND($H87&lt;&gt;"",$H87&lt;=EOMONTH(AA$12,0),$I87&gt;=AA$12),"BOTH","UX"),IF(AND($H87&lt;&gt;"",$H87&lt;=EOMONTH(AA$12,0),$I87&gt;=AA$12),"DEV","")))</f>
        <v/>
      </c>
      <c r="AB87" s="173" t="str">
        <f>IF($AI87="","",IF(INDEX('Roadmap Calc (Don’t Touch)'!$AA$2:$AX$151,$AI87,19)&gt;0,IF(AND($H87&lt;&gt;"",$H87&lt;=EOMONTH(AB$12,0),$I87&gt;=AB$12),"BOTH","UX"),IF(AND($H87&lt;&gt;"",$H87&lt;=EOMONTH(AB$12,0),$I87&gt;=AB$12),"DEV","")))</f>
        <v/>
      </c>
      <c r="AC87" s="173" t="str">
        <f>IF($AI87="","",IF(INDEX('Roadmap Calc (Don’t Touch)'!$AA$2:$AX$151,$AI87,20)&gt;0,IF(AND($H87&lt;&gt;"",$H87&lt;=EOMONTH(AC$12,0),$I87&gt;=AC$12),"BOTH","UX"),IF(AND($H87&lt;&gt;"",$H87&lt;=EOMONTH(AC$12,0),$I87&gt;=AC$12),"DEV","")))</f>
        <v/>
      </c>
      <c r="AD87" s="173" t="str">
        <f>IF($AI87="","",IF(INDEX('Roadmap Calc (Don’t Touch)'!$AA$2:$AX$151,$AI87,21)&gt;0,IF(AND($H87&lt;&gt;"",$H87&lt;=EOMONTH(AD$12,0),$I87&gt;=AD$12),"BOTH","UX"),IF(AND($H87&lt;&gt;"",$H87&lt;=EOMONTH(AD$12,0),$I87&gt;=AD$12),"DEV","")))</f>
        <v/>
      </c>
      <c r="AE87" s="173" t="str">
        <f>IF($AI87="","",IF(INDEX('Roadmap Calc (Don’t Touch)'!$AA$2:$AX$151,$AI87,22)&gt;0,IF(AND($H87&lt;&gt;"",$H87&lt;=EOMONTH(AE$12,0),$I87&gt;=AE$12),"BOTH","UX"),IF(AND($H87&lt;&gt;"",$H87&lt;=EOMONTH(AE$12,0),$I87&gt;=AE$12),"DEV","")))</f>
        <v/>
      </c>
      <c r="AF87" s="173" t="str">
        <f>IF($AI87="","",IF(INDEX('Roadmap Calc (Don’t Touch)'!$AA$2:$AX$151,$AI87,23)&gt;0,IF(AND($H87&lt;&gt;"",$H87&lt;=EOMONTH(AF$12,0),$I87&gt;=AF$12),"BOTH","UX"),IF(AND($H87&lt;&gt;"",$H87&lt;=EOMONTH(AF$12,0),$I87&gt;=AF$12),"DEV","")))</f>
        <v/>
      </c>
      <c r="AG87" s="173" t="str">
        <f>IF($AI87="","",IF(INDEX('Roadmap Calc (Don’t Touch)'!$AA$2:$AX$151,$AI87,24)&gt;0,IF(AND($H87&lt;&gt;"",$H87&lt;=EOMONTH(AG$12,0),$I87&gt;=AG$12),"BOTH","UX"),IF(AND($H87&lt;&gt;"",$H87&lt;=EOMONTH(AG$12,0),$I87&gt;=AG$12),"DEV","")))</f>
        <v/>
      </c>
      <c r="AH87" s="160" t="str">
        <f>IF($AI87="","",INDEX('Roadmap Calc (Don’t Touch)'!$D$2:$D$151,$AI87))</f>
        <v/>
      </c>
      <c r="AI87" s="160" t="str">
        <f>IFERROR(MATCH(72,'Roadmap Calc (Don’t Touch)'!$O$2:$O$151,0),"")</f>
        <v/>
      </c>
      <c r="AJ87" s="160"/>
      <c r="AK87" s="160"/>
      <c r="AL87" s="160"/>
      <c r="AM87" s="160"/>
    </row>
    <row r="88" spans="1:39" ht="17" customHeight="1" x14ac:dyDescent="0.25">
      <c r="A88" s="167" t="str">
        <f>IF($AI88="","",IF($AH88=$AH87,"",IF(INDEX('Roadmap Calc (Don’t Touch)'!$U$2:$U$151,$AI88)=0,$AH88,HYPERLINK("#'Control (Don’t Touch)'!E"&amp;INDEX('Roadmap Calc (Don’t Touch)'!$U$2:$U$151,$AI88),$AH88))))</f>
        <v/>
      </c>
      <c r="B88" s="168" t="str">
        <f>IF($AI88="","",IF(INDEX('Roadmap Calc (Don’t Touch)'!$K$2:$K$151,$AI88)="",INDEX('Roadmap Calc (Don’t Touch)'!$B$2:$B$151,$AI88),HYPERLINK("https://jira.bnh.com/browse/"&amp;INDEX('Roadmap Calc (Don’t Touch)'!$K$2:$K$151,$AI88),INDEX('Roadmap Calc (Don’t Touch)'!$B$2:$B$151,$AI88))))</f>
        <v/>
      </c>
      <c r="C88" s="168" t="str">
        <f>IF($AI88="","",IF(INDEX('Roadmap Calc (Don’t Touch)'!$E$2:$E$151,$AI88)="","",HYPERLINK("https://jira.bnh.com/browse/"&amp;INDEX('Roadmap Calc (Don’t Touch)'!$E$2:$E$151,$AI88),INDEX('Roadmap Calc (Don’t Touch)'!$E$2:$E$151,$AI88))))</f>
        <v/>
      </c>
      <c r="D88" s="169" t="str">
        <f>IF($AI88="","",INDEX('Roadmap Calc (Don’t Touch)'!$F$2:$F$151,$AI88))</f>
        <v/>
      </c>
      <c r="E88" s="170" t="str">
        <f>IF($AI88="","",IF(ISNUMBER(INDEX('Roadmap Calc (Don’t Touch)'!$G$2:$G$151,$AI88)),INDEX('Roadmap Calc (Don’t Touch)'!$G$2:$G$151,$AI88),""))</f>
        <v/>
      </c>
      <c r="F88" s="170" t="str">
        <f>IF($AI88="","",IF(ISNUMBER(INDEX('Roadmap Calc (Don’t Touch)'!$H$2:$H$151,$AI88)),INDEX('Roadmap Calc (Don’t Touch)'!$H$2:$H$151,$AI88),""))</f>
        <v/>
      </c>
      <c r="G88" s="171" t="str">
        <f>IF($AI88="","",INDEX('Roadmap Calc (Don’t Touch)'!$T$2:$T$151,$AI88))</f>
        <v/>
      </c>
      <c r="H88" s="172" t="str">
        <f>IF($AI88="","",IF(ISNUMBER(INDEX('Roadmap Calc (Don’t Touch)'!$I$2:$I$151,$AI88)),INDEX('Roadmap Calc (Don’t Touch)'!$I$2:$I$151,$AI88),""))</f>
        <v/>
      </c>
      <c r="I88" s="172" t="str">
        <f>IF($AI88="","",IF(ISNUMBER(INDEX('Roadmap Calc (Don’t Touch)'!$J$2:$J$151,$AI88)),INDEX('Roadmap Calc (Don’t Touch)'!$J$2:$J$151,$AI88),""))</f>
        <v/>
      </c>
      <c r="J88" s="173" t="str">
        <f>IF($AI88="","",IF(INDEX('Roadmap Calc (Don’t Touch)'!$AA$2:$AX$151,$AI88,1)&gt;0,IF(AND($H88&lt;&gt;"",$H88&lt;=EOMONTH(J$12,0),$I88&gt;=J$12),"BOTH","UX"),IF(AND($H88&lt;&gt;"",$H88&lt;=EOMONTH(J$12,0),$I88&gt;=J$12),"DEV","")))</f>
        <v/>
      </c>
      <c r="K88" s="173" t="str">
        <f>IF($AI88="","",IF(INDEX('Roadmap Calc (Don’t Touch)'!$AA$2:$AX$151,$AI88,2)&gt;0,IF(AND($H88&lt;&gt;"",$H88&lt;=EOMONTH(K$12,0),$I88&gt;=K$12),"BOTH","UX"),IF(AND($H88&lt;&gt;"",$H88&lt;=EOMONTH(K$12,0),$I88&gt;=K$12),"DEV","")))</f>
        <v/>
      </c>
      <c r="L88" s="173" t="str">
        <f>IF($AI88="","",IF(INDEX('Roadmap Calc (Don’t Touch)'!$AA$2:$AX$151,$AI88,3)&gt;0,IF(AND($H88&lt;&gt;"",$H88&lt;=EOMONTH(L$12,0),$I88&gt;=L$12),"BOTH","UX"),IF(AND($H88&lt;&gt;"",$H88&lt;=EOMONTH(L$12,0),$I88&gt;=L$12),"DEV","")))</f>
        <v/>
      </c>
      <c r="M88" s="173" t="str">
        <f>IF($AI88="","",IF(INDEX('Roadmap Calc (Don’t Touch)'!$AA$2:$AX$151,$AI88,4)&gt;0,IF(AND($H88&lt;&gt;"",$H88&lt;=EOMONTH(M$12,0),$I88&gt;=M$12),"BOTH","UX"),IF(AND($H88&lt;&gt;"",$H88&lt;=EOMONTH(M$12,0),$I88&gt;=M$12),"DEV","")))</f>
        <v/>
      </c>
      <c r="N88" s="173" t="str">
        <f>IF($AI88="","",IF(INDEX('Roadmap Calc (Don’t Touch)'!$AA$2:$AX$151,$AI88,5)&gt;0,IF(AND($H88&lt;&gt;"",$H88&lt;=EOMONTH(N$12,0),$I88&gt;=N$12),"BOTH","UX"),IF(AND($H88&lt;&gt;"",$H88&lt;=EOMONTH(N$12,0),$I88&gt;=N$12),"DEV","")))</f>
        <v/>
      </c>
      <c r="O88" s="173" t="str">
        <f>IF($AI88="","",IF(INDEX('Roadmap Calc (Don’t Touch)'!$AA$2:$AX$151,$AI88,6)&gt;0,IF(AND($H88&lt;&gt;"",$H88&lt;=EOMONTH(O$12,0),$I88&gt;=O$12),"BOTH","UX"),IF(AND($H88&lt;&gt;"",$H88&lt;=EOMONTH(O$12,0),$I88&gt;=O$12),"DEV","")))</f>
        <v/>
      </c>
      <c r="P88" s="173" t="str">
        <f>IF($AI88="","",IF(INDEX('Roadmap Calc (Don’t Touch)'!$AA$2:$AX$151,$AI88,7)&gt;0,IF(AND($H88&lt;&gt;"",$H88&lt;=EOMONTH(P$12,0),$I88&gt;=P$12),"BOTH","UX"),IF(AND($H88&lt;&gt;"",$H88&lt;=EOMONTH(P$12,0),$I88&gt;=P$12),"DEV","")))</f>
        <v/>
      </c>
      <c r="Q88" s="173" t="str">
        <f>IF($AI88="","",IF(INDEX('Roadmap Calc (Don’t Touch)'!$AA$2:$AX$151,$AI88,8)&gt;0,IF(AND($H88&lt;&gt;"",$H88&lt;=EOMONTH(Q$12,0),$I88&gt;=Q$12),"BOTH","UX"),IF(AND($H88&lt;&gt;"",$H88&lt;=EOMONTH(Q$12,0),$I88&gt;=Q$12),"DEV","")))</f>
        <v/>
      </c>
      <c r="R88" s="173" t="str">
        <f>IF($AI88="","",IF(INDEX('Roadmap Calc (Don’t Touch)'!$AA$2:$AX$151,$AI88,9)&gt;0,IF(AND($H88&lt;&gt;"",$H88&lt;=EOMONTH(R$12,0),$I88&gt;=R$12),"BOTH","UX"),IF(AND($H88&lt;&gt;"",$H88&lt;=EOMONTH(R$12,0),$I88&gt;=R$12),"DEV","")))</f>
        <v/>
      </c>
      <c r="S88" s="173" t="str">
        <f>IF($AI88="","",IF(INDEX('Roadmap Calc (Don’t Touch)'!$AA$2:$AX$151,$AI88,10)&gt;0,IF(AND($H88&lt;&gt;"",$H88&lt;=EOMONTH(S$12,0),$I88&gt;=S$12),"BOTH","UX"),IF(AND($H88&lt;&gt;"",$H88&lt;=EOMONTH(S$12,0),$I88&gt;=S$12),"DEV","")))</f>
        <v/>
      </c>
      <c r="T88" s="173" t="str">
        <f>IF($AI88="","",IF(INDEX('Roadmap Calc (Don’t Touch)'!$AA$2:$AX$151,$AI88,11)&gt;0,IF(AND($H88&lt;&gt;"",$H88&lt;=EOMONTH(T$12,0),$I88&gt;=T$12),"BOTH","UX"),IF(AND($H88&lt;&gt;"",$H88&lt;=EOMONTH(T$12,0),$I88&gt;=T$12),"DEV","")))</f>
        <v/>
      </c>
      <c r="U88" s="173" t="str">
        <f>IF($AI88="","",IF(INDEX('Roadmap Calc (Don’t Touch)'!$AA$2:$AX$151,$AI88,12)&gt;0,IF(AND($H88&lt;&gt;"",$H88&lt;=EOMONTH(U$12,0),$I88&gt;=U$12),"BOTH","UX"),IF(AND($H88&lt;&gt;"",$H88&lt;=EOMONTH(U$12,0),$I88&gt;=U$12),"DEV","")))</f>
        <v/>
      </c>
      <c r="V88" s="173" t="str">
        <f>IF($AI88="","",IF(INDEX('Roadmap Calc (Don’t Touch)'!$AA$2:$AX$151,$AI88,13)&gt;0,IF(AND($H88&lt;&gt;"",$H88&lt;=EOMONTH(V$12,0),$I88&gt;=V$12),"BOTH","UX"),IF(AND($H88&lt;&gt;"",$H88&lt;=EOMONTH(V$12,0),$I88&gt;=V$12),"DEV","")))</f>
        <v/>
      </c>
      <c r="W88" s="173" t="str">
        <f>IF($AI88="","",IF(INDEX('Roadmap Calc (Don’t Touch)'!$AA$2:$AX$151,$AI88,14)&gt;0,IF(AND($H88&lt;&gt;"",$H88&lt;=EOMONTH(W$12,0),$I88&gt;=W$12),"BOTH","UX"),IF(AND($H88&lt;&gt;"",$H88&lt;=EOMONTH(W$12,0),$I88&gt;=W$12),"DEV","")))</f>
        <v/>
      </c>
      <c r="X88" s="173" t="str">
        <f>IF($AI88="","",IF(INDEX('Roadmap Calc (Don’t Touch)'!$AA$2:$AX$151,$AI88,15)&gt;0,IF(AND($H88&lt;&gt;"",$H88&lt;=EOMONTH(X$12,0),$I88&gt;=X$12),"BOTH","UX"),IF(AND($H88&lt;&gt;"",$H88&lt;=EOMONTH(X$12,0),$I88&gt;=X$12),"DEV","")))</f>
        <v/>
      </c>
      <c r="Y88" s="173" t="str">
        <f>IF($AI88="","",IF(INDEX('Roadmap Calc (Don’t Touch)'!$AA$2:$AX$151,$AI88,16)&gt;0,IF(AND($H88&lt;&gt;"",$H88&lt;=EOMONTH(Y$12,0),$I88&gt;=Y$12),"BOTH","UX"),IF(AND($H88&lt;&gt;"",$H88&lt;=EOMONTH(Y$12,0),$I88&gt;=Y$12),"DEV","")))</f>
        <v/>
      </c>
      <c r="Z88" s="173" t="str">
        <f>IF($AI88="","",IF(INDEX('Roadmap Calc (Don’t Touch)'!$AA$2:$AX$151,$AI88,17)&gt;0,IF(AND($H88&lt;&gt;"",$H88&lt;=EOMONTH(Z$12,0),$I88&gt;=Z$12),"BOTH","UX"),IF(AND($H88&lt;&gt;"",$H88&lt;=EOMONTH(Z$12,0),$I88&gt;=Z$12),"DEV","")))</f>
        <v/>
      </c>
      <c r="AA88" s="173" t="str">
        <f>IF($AI88="","",IF(INDEX('Roadmap Calc (Don’t Touch)'!$AA$2:$AX$151,$AI88,18)&gt;0,IF(AND($H88&lt;&gt;"",$H88&lt;=EOMONTH(AA$12,0),$I88&gt;=AA$12),"BOTH","UX"),IF(AND($H88&lt;&gt;"",$H88&lt;=EOMONTH(AA$12,0),$I88&gt;=AA$12),"DEV","")))</f>
        <v/>
      </c>
      <c r="AB88" s="173" t="str">
        <f>IF($AI88="","",IF(INDEX('Roadmap Calc (Don’t Touch)'!$AA$2:$AX$151,$AI88,19)&gt;0,IF(AND($H88&lt;&gt;"",$H88&lt;=EOMONTH(AB$12,0),$I88&gt;=AB$12),"BOTH","UX"),IF(AND($H88&lt;&gt;"",$H88&lt;=EOMONTH(AB$12,0),$I88&gt;=AB$12),"DEV","")))</f>
        <v/>
      </c>
      <c r="AC88" s="173" t="str">
        <f>IF($AI88="","",IF(INDEX('Roadmap Calc (Don’t Touch)'!$AA$2:$AX$151,$AI88,20)&gt;0,IF(AND($H88&lt;&gt;"",$H88&lt;=EOMONTH(AC$12,0),$I88&gt;=AC$12),"BOTH","UX"),IF(AND($H88&lt;&gt;"",$H88&lt;=EOMONTH(AC$12,0),$I88&gt;=AC$12),"DEV","")))</f>
        <v/>
      </c>
      <c r="AD88" s="173" t="str">
        <f>IF($AI88="","",IF(INDEX('Roadmap Calc (Don’t Touch)'!$AA$2:$AX$151,$AI88,21)&gt;0,IF(AND($H88&lt;&gt;"",$H88&lt;=EOMONTH(AD$12,0),$I88&gt;=AD$12),"BOTH","UX"),IF(AND($H88&lt;&gt;"",$H88&lt;=EOMONTH(AD$12,0),$I88&gt;=AD$12),"DEV","")))</f>
        <v/>
      </c>
      <c r="AE88" s="173" t="str">
        <f>IF($AI88="","",IF(INDEX('Roadmap Calc (Don’t Touch)'!$AA$2:$AX$151,$AI88,22)&gt;0,IF(AND($H88&lt;&gt;"",$H88&lt;=EOMONTH(AE$12,0),$I88&gt;=AE$12),"BOTH","UX"),IF(AND($H88&lt;&gt;"",$H88&lt;=EOMONTH(AE$12,0),$I88&gt;=AE$12),"DEV","")))</f>
        <v/>
      </c>
      <c r="AF88" s="173" t="str">
        <f>IF($AI88="","",IF(INDEX('Roadmap Calc (Don’t Touch)'!$AA$2:$AX$151,$AI88,23)&gt;0,IF(AND($H88&lt;&gt;"",$H88&lt;=EOMONTH(AF$12,0),$I88&gt;=AF$12),"BOTH","UX"),IF(AND($H88&lt;&gt;"",$H88&lt;=EOMONTH(AF$12,0),$I88&gt;=AF$12),"DEV","")))</f>
        <v/>
      </c>
      <c r="AG88" s="173" t="str">
        <f>IF($AI88="","",IF(INDEX('Roadmap Calc (Don’t Touch)'!$AA$2:$AX$151,$AI88,24)&gt;0,IF(AND($H88&lt;&gt;"",$H88&lt;=EOMONTH(AG$12,0),$I88&gt;=AG$12),"BOTH","UX"),IF(AND($H88&lt;&gt;"",$H88&lt;=EOMONTH(AG$12,0),$I88&gt;=AG$12),"DEV","")))</f>
        <v/>
      </c>
      <c r="AH88" s="160" t="str">
        <f>IF($AI88="","",INDEX('Roadmap Calc (Don’t Touch)'!$D$2:$D$151,$AI88))</f>
        <v/>
      </c>
      <c r="AI88" s="160" t="str">
        <f>IFERROR(MATCH(73,'Roadmap Calc (Don’t Touch)'!$O$2:$O$151,0),"")</f>
        <v/>
      </c>
      <c r="AJ88" s="160"/>
      <c r="AK88" s="160"/>
      <c r="AL88" s="160"/>
      <c r="AM88" s="160"/>
    </row>
    <row r="89" spans="1:39" ht="17" customHeight="1" x14ac:dyDescent="0.25">
      <c r="A89" s="167" t="str">
        <f>IF($AI89="","",IF($AH89=$AH88,"",IF(INDEX('Roadmap Calc (Don’t Touch)'!$U$2:$U$151,$AI89)=0,$AH89,HYPERLINK("#'Control (Don’t Touch)'!E"&amp;INDEX('Roadmap Calc (Don’t Touch)'!$U$2:$U$151,$AI89),$AH89))))</f>
        <v/>
      </c>
      <c r="B89" s="168" t="str">
        <f>IF($AI89="","",IF(INDEX('Roadmap Calc (Don’t Touch)'!$K$2:$K$151,$AI89)="",INDEX('Roadmap Calc (Don’t Touch)'!$B$2:$B$151,$AI89),HYPERLINK("https://jira.bnh.com/browse/"&amp;INDEX('Roadmap Calc (Don’t Touch)'!$K$2:$K$151,$AI89),INDEX('Roadmap Calc (Don’t Touch)'!$B$2:$B$151,$AI89))))</f>
        <v/>
      </c>
      <c r="C89" s="168" t="str">
        <f>IF($AI89="","",IF(INDEX('Roadmap Calc (Don’t Touch)'!$E$2:$E$151,$AI89)="","",HYPERLINK("https://jira.bnh.com/browse/"&amp;INDEX('Roadmap Calc (Don’t Touch)'!$E$2:$E$151,$AI89),INDEX('Roadmap Calc (Don’t Touch)'!$E$2:$E$151,$AI89))))</f>
        <v/>
      </c>
      <c r="D89" s="169" t="str">
        <f>IF($AI89="","",INDEX('Roadmap Calc (Don’t Touch)'!$F$2:$F$151,$AI89))</f>
        <v/>
      </c>
      <c r="E89" s="170" t="str">
        <f>IF($AI89="","",IF(ISNUMBER(INDEX('Roadmap Calc (Don’t Touch)'!$G$2:$G$151,$AI89)),INDEX('Roadmap Calc (Don’t Touch)'!$G$2:$G$151,$AI89),""))</f>
        <v/>
      </c>
      <c r="F89" s="170" t="str">
        <f>IF($AI89="","",IF(ISNUMBER(INDEX('Roadmap Calc (Don’t Touch)'!$H$2:$H$151,$AI89)),INDEX('Roadmap Calc (Don’t Touch)'!$H$2:$H$151,$AI89),""))</f>
        <v/>
      </c>
      <c r="G89" s="171" t="str">
        <f>IF($AI89="","",INDEX('Roadmap Calc (Don’t Touch)'!$T$2:$T$151,$AI89))</f>
        <v/>
      </c>
      <c r="H89" s="172" t="str">
        <f>IF($AI89="","",IF(ISNUMBER(INDEX('Roadmap Calc (Don’t Touch)'!$I$2:$I$151,$AI89)),INDEX('Roadmap Calc (Don’t Touch)'!$I$2:$I$151,$AI89),""))</f>
        <v/>
      </c>
      <c r="I89" s="172" t="str">
        <f>IF($AI89="","",IF(ISNUMBER(INDEX('Roadmap Calc (Don’t Touch)'!$J$2:$J$151,$AI89)),INDEX('Roadmap Calc (Don’t Touch)'!$J$2:$J$151,$AI89),""))</f>
        <v/>
      </c>
      <c r="J89" s="173" t="str">
        <f>IF($AI89="","",IF(INDEX('Roadmap Calc (Don’t Touch)'!$AA$2:$AX$151,$AI89,1)&gt;0,IF(AND($H89&lt;&gt;"",$H89&lt;=EOMONTH(J$12,0),$I89&gt;=J$12),"BOTH","UX"),IF(AND($H89&lt;&gt;"",$H89&lt;=EOMONTH(J$12,0),$I89&gt;=J$12),"DEV","")))</f>
        <v/>
      </c>
      <c r="K89" s="173" t="str">
        <f>IF($AI89="","",IF(INDEX('Roadmap Calc (Don’t Touch)'!$AA$2:$AX$151,$AI89,2)&gt;0,IF(AND($H89&lt;&gt;"",$H89&lt;=EOMONTH(K$12,0),$I89&gt;=K$12),"BOTH","UX"),IF(AND($H89&lt;&gt;"",$H89&lt;=EOMONTH(K$12,0),$I89&gt;=K$12),"DEV","")))</f>
        <v/>
      </c>
      <c r="L89" s="173" t="str">
        <f>IF($AI89="","",IF(INDEX('Roadmap Calc (Don’t Touch)'!$AA$2:$AX$151,$AI89,3)&gt;0,IF(AND($H89&lt;&gt;"",$H89&lt;=EOMONTH(L$12,0),$I89&gt;=L$12),"BOTH","UX"),IF(AND($H89&lt;&gt;"",$H89&lt;=EOMONTH(L$12,0),$I89&gt;=L$12),"DEV","")))</f>
        <v/>
      </c>
      <c r="M89" s="173" t="str">
        <f>IF($AI89="","",IF(INDEX('Roadmap Calc (Don’t Touch)'!$AA$2:$AX$151,$AI89,4)&gt;0,IF(AND($H89&lt;&gt;"",$H89&lt;=EOMONTH(M$12,0),$I89&gt;=M$12),"BOTH","UX"),IF(AND($H89&lt;&gt;"",$H89&lt;=EOMONTH(M$12,0),$I89&gt;=M$12),"DEV","")))</f>
        <v/>
      </c>
      <c r="N89" s="173" t="str">
        <f>IF($AI89="","",IF(INDEX('Roadmap Calc (Don’t Touch)'!$AA$2:$AX$151,$AI89,5)&gt;0,IF(AND($H89&lt;&gt;"",$H89&lt;=EOMONTH(N$12,0),$I89&gt;=N$12),"BOTH","UX"),IF(AND($H89&lt;&gt;"",$H89&lt;=EOMONTH(N$12,0),$I89&gt;=N$12),"DEV","")))</f>
        <v/>
      </c>
      <c r="O89" s="173" t="str">
        <f>IF($AI89="","",IF(INDEX('Roadmap Calc (Don’t Touch)'!$AA$2:$AX$151,$AI89,6)&gt;0,IF(AND($H89&lt;&gt;"",$H89&lt;=EOMONTH(O$12,0),$I89&gt;=O$12),"BOTH","UX"),IF(AND($H89&lt;&gt;"",$H89&lt;=EOMONTH(O$12,0),$I89&gt;=O$12),"DEV","")))</f>
        <v/>
      </c>
      <c r="P89" s="173" t="str">
        <f>IF($AI89="","",IF(INDEX('Roadmap Calc (Don’t Touch)'!$AA$2:$AX$151,$AI89,7)&gt;0,IF(AND($H89&lt;&gt;"",$H89&lt;=EOMONTH(P$12,0),$I89&gt;=P$12),"BOTH","UX"),IF(AND($H89&lt;&gt;"",$H89&lt;=EOMONTH(P$12,0),$I89&gt;=P$12),"DEV","")))</f>
        <v/>
      </c>
      <c r="Q89" s="173" t="str">
        <f>IF($AI89="","",IF(INDEX('Roadmap Calc (Don’t Touch)'!$AA$2:$AX$151,$AI89,8)&gt;0,IF(AND($H89&lt;&gt;"",$H89&lt;=EOMONTH(Q$12,0),$I89&gt;=Q$12),"BOTH","UX"),IF(AND($H89&lt;&gt;"",$H89&lt;=EOMONTH(Q$12,0),$I89&gt;=Q$12),"DEV","")))</f>
        <v/>
      </c>
      <c r="R89" s="173" t="str">
        <f>IF($AI89="","",IF(INDEX('Roadmap Calc (Don’t Touch)'!$AA$2:$AX$151,$AI89,9)&gt;0,IF(AND($H89&lt;&gt;"",$H89&lt;=EOMONTH(R$12,0),$I89&gt;=R$12),"BOTH","UX"),IF(AND($H89&lt;&gt;"",$H89&lt;=EOMONTH(R$12,0),$I89&gt;=R$12),"DEV","")))</f>
        <v/>
      </c>
      <c r="S89" s="173" t="str">
        <f>IF($AI89="","",IF(INDEX('Roadmap Calc (Don’t Touch)'!$AA$2:$AX$151,$AI89,10)&gt;0,IF(AND($H89&lt;&gt;"",$H89&lt;=EOMONTH(S$12,0),$I89&gt;=S$12),"BOTH","UX"),IF(AND($H89&lt;&gt;"",$H89&lt;=EOMONTH(S$12,0),$I89&gt;=S$12),"DEV","")))</f>
        <v/>
      </c>
      <c r="T89" s="173" t="str">
        <f>IF($AI89="","",IF(INDEX('Roadmap Calc (Don’t Touch)'!$AA$2:$AX$151,$AI89,11)&gt;0,IF(AND($H89&lt;&gt;"",$H89&lt;=EOMONTH(T$12,0),$I89&gt;=T$12),"BOTH","UX"),IF(AND($H89&lt;&gt;"",$H89&lt;=EOMONTH(T$12,0),$I89&gt;=T$12),"DEV","")))</f>
        <v/>
      </c>
      <c r="U89" s="173" t="str">
        <f>IF($AI89="","",IF(INDEX('Roadmap Calc (Don’t Touch)'!$AA$2:$AX$151,$AI89,12)&gt;0,IF(AND($H89&lt;&gt;"",$H89&lt;=EOMONTH(U$12,0),$I89&gt;=U$12),"BOTH","UX"),IF(AND($H89&lt;&gt;"",$H89&lt;=EOMONTH(U$12,0),$I89&gt;=U$12),"DEV","")))</f>
        <v/>
      </c>
      <c r="V89" s="173" t="str">
        <f>IF($AI89="","",IF(INDEX('Roadmap Calc (Don’t Touch)'!$AA$2:$AX$151,$AI89,13)&gt;0,IF(AND($H89&lt;&gt;"",$H89&lt;=EOMONTH(V$12,0),$I89&gt;=V$12),"BOTH","UX"),IF(AND($H89&lt;&gt;"",$H89&lt;=EOMONTH(V$12,0),$I89&gt;=V$12),"DEV","")))</f>
        <v/>
      </c>
      <c r="W89" s="173" t="str">
        <f>IF($AI89="","",IF(INDEX('Roadmap Calc (Don’t Touch)'!$AA$2:$AX$151,$AI89,14)&gt;0,IF(AND($H89&lt;&gt;"",$H89&lt;=EOMONTH(W$12,0),$I89&gt;=W$12),"BOTH","UX"),IF(AND($H89&lt;&gt;"",$H89&lt;=EOMONTH(W$12,0),$I89&gt;=W$12),"DEV","")))</f>
        <v/>
      </c>
      <c r="X89" s="173" t="str">
        <f>IF($AI89="","",IF(INDEX('Roadmap Calc (Don’t Touch)'!$AA$2:$AX$151,$AI89,15)&gt;0,IF(AND($H89&lt;&gt;"",$H89&lt;=EOMONTH(X$12,0),$I89&gt;=X$12),"BOTH","UX"),IF(AND($H89&lt;&gt;"",$H89&lt;=EOMONTH(X$12,0),$I89&gt;=X$12),"DEV","")))</f>
        <v/>
      </c>
      <c r="Y89" s="173" t="str">
        <f>IF($AI89="","",IF(INDEX('Roadmap Calc (Don’t Touch)'!$AA$2:$AX$151,$AI89,16)&gt;0,IF(AND($H89&lt;&gt;"",$H89&lt;=EOMONTH(Y$12,0),$I89&gt;=Y$12),"BOTH","UX"),IF(AND($H89&lt;&gt;"",$H89&lt;=EOMONTH(Y$12,0),$I89&gt;=Y$12),"DEV","")))</f>
        <v/>
      </c>
      <c r="Z89" s="173" t="str">
        <f>IF($AI89="","",IF(INDEX('Roadmap Calc (Don’t Touch)'!$AA$2:$AX$151,$AI89,17)&gt;0,IF(AND($H89&lt;&gt;"",$H89&lt;=EOMONTH(Z$12,0),$I89&gt;=Z$12),"BOTH","UX"),IF(AND($H89&lt;&gt;"",$H89&lt;=EOMONTH(Z$12,0),$I89&gt;=Z$12),"DEV","")))</f>
        <v/>
      </c>
      <c r="AA89" s="173" t="str">
        <f>IF($AI89="","",IF(INDEX('Roadmap Calc (Don’t Touch)'!$AA$2:$AX$151,$AI89,18)&gt;0,IF(AND($H89&lt;&gt;"",$H89&lt;=EOMONTH(AA$12,0),$I89&gt;=AA$12),"BOTH","UX"),IF(AND($H89&lt;&gt;"",$H89&lt;=EOMONTH(AA$12,0),$I89&gt;=AA$12),"DEV","")))</f>
        <v/>
      </c>
      <c r="AB89" s="173" t="str">
        <f>IF($AI89="","",IF(INDEX('Roadmap Calc (Don’t Touch)'!$AA$2:$AX$151,$AI89,19)&gt;0,IF(AND($H89&lt;&gt;"",$H89&lt;=EOMONTH(AB$12,0),$I89&gt;=AB$12),"BOTH","UX"),IF(AND($H89&lt;&gt;"",$H89&lt;=EOMONTH(AB$12,0),$I89&gt;=AB$12),"DEV","")))</f>
        <v/>
      </c>
      <c r="AC89" s="173" t="str">
        <f>IF($AI89="","",IF(INDEX('Roadmap Calc (Don’t Touch)'!$AA$2:$AX$151,$AI89,20)&gt;0,IF(AND($H89&lt;&gt;"",$H89&lt;=EOMONTH(AC$12,0),$I89&gt;=AC$12),"BOTH","UX"),IF(AND($H89&lt;&gt;"",$H89&lt;=EOMONTH(AC$12,0),$I89&gt;=AC$12),"DEV","")))</f>
        <v/>
      </c>
      <c r="AD89" s="173" t="str">
        <f>IF($AI89="","",IF(INDEX('Roadmap Calc (Don’t Touch)'!$AA$2:$AX$151,$AI89,21)&gt;0,IF(AND($H89&lt;&gt;"",$H89&lt;=EOMONTH(AD$12,0),$I89&gt;=AD$12),"BOTH","UX"),IF(AND($H89&lt;&gt;"",$H89&lt;=EOMONTH(AD$12,0),$I89&gt;=AD$12),"DEV","")))</f>
        <v/>
      </c>
      <c r="AE89" s="173" t="str">
        <f>IF($AI89="","",IF(INDEX('Roadmap Calc (Don’t Touch)'!$AA$2:$AX$151,$AI89,22)&gt;0,IF(AND($H89&lt;&gt;"",$H89&lt;=EOMONTH(AE$12,0),$I89&gt;=AE$12),"BOTH","UX"),IF(AND($H89&lt;&gt;"",$H89&lt;=EOMONTH(AE$12,0),$I89&gt;=AE$12),"DEV","")))</f>
        <v/>
      </c>
      <c r="AF89" s="173" t="str">
        <f>IF($AI89="","",IF(INDEX('Roadmap Calc (Don’t Touch)'!$AA$2:$AX$151,$AI89,23)&gt;0,IF(AND($H89&lt;&gt;"",$H89&lt;=EOMONTH(AF$12,0),$I89&gt;=AF$12),"BOTH","UX"),IF(AND($H89&lt;&gt;"",$H89&lt;=EOMONTH(AF$12,0),$I89&gt;=AF$12),"DEV","")))</f>
        <v/>
      </c>
      <c r="AG89" s="173" t="str">
        <f>IF($AI89="","",IF(INDEX('Roadmap Calc (Don’t Touch)'!$AA$2:$AX$151,$AI89,24)&gt;0,IF(AND($H89&lt;&gt;"",$H89&lt;=EOMONTH(AG$12,0),$I89&gt;=AG$12),"BOTH","UX"),IF(AND($H89&lt;&gt;"",$H89&lt;=EOMONTH(AG$12,0),$I89&gt;=AG$12),"DEV","")))</f>
        <v/>
      </c>
      <c r="AH89" s="160" t="str">
        <f>IF($AI89="","",INDEX('Roadmap Calc (Don’t Touch)'!$D$2:$D$151,$AI89))</f>
        <v/>
      </c>
      <c r="AI89" s="160" t="str">
        <f>IFERROR(MATCH(74,'Roadmap Calc (Don’t Touch)'!$O$2:$O$151,0),"")</f>
        <v/>
      </c>
      <c r="AJ89" s="160"/>
      <c r="AK89" s="160"/>
      <c r="AL89" s="160"/>
      <c r="AM89" s="160"/>
    </row>
    <row r="91" spans="1:39" ht="14" customHeight="1" x14ac:dyDescent="0.2">
      <c r="A91" s="144" t="s">
        <v>47</v>
      </c>
    </row>
    <row r="92" spans="1:39" ht="14" customHeight="1" x14ac:dyDescent="0.2">
      <c r="A92" s="145" t="s">
        <v>48</v>
      </c>
    </row>
    <row r="93" spans="1:39" ht="14" customHeight="1" x14ac:dyDescent="0.2">
      <c r="A93" s="145" t="s">
        <v>49</v>
      </c>
    </row>
    <row r="94" spans="1:39" ht="14" customHeight="1" x14ac:dyDescent="0.2">
      <c r="A94" s="145" t="s">
        <v>50</v>
      </c>
    </row>
    <row r="95" spans="1:39" ht="14" customHeight="1" x14ac:dyDescent="0.2">
      <c r="A95" s="145" t="s">
        <v>51</v>
      </c>
    </row>
    <row r="96" spans="1:39" ht="14" customHeight="1" x14ac:dyDescent="0.2">
      <c r="A96" s="145" t="s">
        <v>52</v>
      </c>
    </row>
    <row r="97" spans="1:33" ht="14" customHeight="1" x14ac:dyDescent="0.2">
      <c r="A97" s="145" t="s">
        <v>53</v>
      </c>
    </row>
    <row r="98" spans="1:33" ht="14" customHeight="1" x14ac:dyDescent="0.2">
      <c r="A98" s="145" t="s">
        <v>54</v>
      </c>
    </row>
    <row r="99" spans="1:33" ht="14" customHeight="1" x14ac:dyDescent="0.2">
      <c r="A99" s="145" t="s">
        <v>55</v>
      </c>
    </row>
    <row r="100" spans="1:33" ht="14" customHeight="1" x14ac:dyDescent="0.2">
      <c r="A100" s="145" t="s">
        <v>56</v>
      </c>
    </row>
    <row r="101" spans="1:33" ht="14" customHeight="1" x14ac:dyDescent="0.2">
      <c r="A101" s="145" t="s">
        <v>57</v>
      </c>
    </row>
    <row r="102" spans="1:33" ht="14" customHeight="1" x14ac:dyDescent="0.2">
      <c r="A102" s="145" t="s">
        <v>58</v>
      </c>
    </row>
    <row r="103" spans="1:33" ht="14" customHeight="1" x14ac:dyDescent="0.2">
      <c r="A103" s="145" t="s">
        <v>59</v>
      </c>
    </row>
    <row r="104" spans="1:33" ht="14" customHeight="1" x14ac:dyDescent="0.2">
      <c r="A104" s="145" t="s">
        <v>60</v>
      </c>
    </row>
    <row r="106" spans="1:33" x14ac:dyDescent="0.2">
      <c r="A106" s="146" t="s">
        <v>61</v>
      </c>
    </row>
    <row r="107" spans="1:33" ht="16" customHeight="1" x14ac:dyDescent="0.2">
      <c r="A107" s="147" t="s">
        <v>62</v>
      </c>
      <c r="B107" s="224" t="s">
        <v>9</v>
      </c>
      <c r="C107" s="221"/>
      <c r="D107" s="221"/>
      <c r="E107" s="221"/>
      <c r="F107" s="221"/>
      <c r="G107" s="224" t="s">
        <v>11</v>
      </c>
      <c r="H107" s="221"/>
      <c r="I107" s="221"/>
      <c r="J107" s="221"/>
      <c r="K107" s="221"/>
      <c r="L107" s="221"/>
      <c r="M107" s="221"/>
      <c r="N107" s="221"/>
      <c r="O107" s="221"/>
      <c r="P107" s="221"/>
      <c r="Q107" s="224" t="s">
        <v>13</v>
      </c>
      <c r="R107" s="221"/>
      <c r="S107" s="221"/>
      <c r="T107" s="221"/>
      <c r="U107" s="221"/>
      <c r="V107" s="221"/>
      <c r="W107" s="221"/>
      <c r="X107" s="221"/>
      <c r="Y107" s="221"/>
      <c r="Z107" s="221"/>
      <c r="AA107" s="221"/>
      <c r="AB107" s="221"/>
      <c r="AC107" s="221"/>
      <c r="AD107" s="221"/>
      <c r="AE107" s="221"/>
      <c r="AF107" s="221"/>
      <c r="AG107" s="221"/>
    </row>
    <row r="108" spans="1:33" ht="38" customHeight="1" x14ac:dyDescent="0.2">
      <c r="A108" s="148" t="str">
        <f>IF(COUNTA(Control!E4)=0,"",IF(COUNTA(Control!E4)=0,"",Control!E4))</f>
        <v>Improve Discovery</v>
      </c>
      <c r="B108" s="220" t="str">
        <f>IF(COUNTA(Control!E4)=0,"",IF(COUNTA(Control!F4)=0,"—",Control!F4))</f>
        <v>OG Find initaitives that Jerel still owns</v>
      </c>
      <c r="C108" s="221"/>
      <c r="D108" s="221"/>
      <c r="E108" s="221"/>
      <c r="F108" s="221"/>
      <c r="G108" s="220" t="str">
        <f>IF(COUNTA(Control!E4)=0,"",IF(COUNTA(Control!G4)=0,"—",Control!G4))</f>
        <v>Refinement usage rate, Search-to-listing CTR, Mega menu / nav click through rate, Sessions using two or more filters</v>
      </c>
      <c r="H108" s="221"/>
      <c r="I108" s="221"/>
      <c r="J108" s="221"/>
      <c r="K108" s="221"/>
      <c r="L108" s="221"/>
      <c r="M108" s="221"/>
      <c r="N108" s="221"/>
      <c r="O108" s="221"/>
      <c r="P108" s="221"/>
      <c r="Q108" s="220" t="str">
        <f>IF(COUNTA(Control!E4)=0,"",IF(COUNTA(Control!H4)=0,"—",Control!H4))</f>
        <v>Listing-to-PDP rate, Zero-result search rate, Search-attributed conversion rate, Time to first PDP view</v>
      </c>
      <c r="R108" s="221"/>
      <c r="S108" s="221"/>
      <c r="T108" s="221"/>
      <c r="U108" s="221"/>
      <c r="V108" s="221"/>
      <c r="W108" s="221"/>
      <c r="X108" s="221"/>
      <c r="Y108" s="221"/>
      <c r="Z108" s="221"/>
      <c r="AA108" s="221"/>
      <c r="AB108" s="221"/>
      <c r="AC108" s="221"/>
      <c r="AD108" s="221"/>
      <c r="AE108" s="221"/>
      <c r="AF108" s="221"/>
      <c r="AG108" s="221"/>
    </row>
    <row r="109" spans="1:33" ht="38" customHeight="1" x14ac:dyDescent="0.2">
      <c r="A109" s="148" t="str">
        <f>IF(COUNTA(Control!E5)=0,"",IF(COUNTA(Control!E5)=0,"",Control!E5))</f>
        <v>Increase Trade In Awareness</v>
      </c>
      <c r="B109" s="220" t="str">
        <f>IF(COUNTA(Control!E5)=0,"",IF(COUNTA(Control!F5)=0,"—",Control!F5))</f>
        <v>Surface trade-in as a clear, relevant option at high-intent moments, Order History, PDPs, post-purchase, so customers who own eligible gear know they can trade it in.</v>
      </c>
      <c r="C109" s="221"/>
      <c r="D109" s="221"/>
      <c r="E109" s="221"/>
      <c r="F109" s="221"/>
      <c r="G109" s="220" t="str">
        <f>IF(COUNTA(Control!E5)=0,"",IF(COUNTA(Control!G5)=0,"—",Control!G5))</f>
        <v>Trade-in CTA Impressions (Order History/PDP), CTA Click through rate, % of eligible sessions exposed to CTA</v>
      </c>
      <c r="H109" s="221"/>
      <c r="I109" s="221"/>
      <c r="J109" s="221"/>
      <c r="K109" s="221"/>
      <c r="L109" s="221"/>
      <c r="M109" s="221"/>
      <c r="N109" s="221"/>
      <c r="O109" s="221"/>
      <c r="P109" s="221"/>
      <c r="Q109" s="220" t="str">
        <f>IF(COUNTA(Control!E5)=0,"",IF(COUNTA(Control!H5)=0,"—",Control!H5))</f>
        <v>New to trade in quote starts, Quote start rate among CTA exposed users, Assisted trade-in revenue (CTA attributed)</v>
      </c>
      <c r="R109" s="221"/>
      <c r="S109" s="221"/>
      <c r="T109" s="221"/>
      <c r="U109" s="221"/>
      <c r="V109" s="221"/>
      <c r="W109" s="221"/>
      <c r="X109" s="221"/>
      <c r="Y109" s="221"/>
      <c r="Z109" s="221"/>
      <c r="AA109" s="221"/>
      <c r="AB109" s="221"/>
      <c r="AC109" s="221"/>
      <c r="AD109" s="221"/>
      <c r="AE109" s="221"/>
      <c r="AF109" s="221"/>
      <c r="AG109" s="221"/>
    </row>
    <row r="110" spans="1:33" ht="38" customHeight="1" x14ac:dyDescent="0.2">
      <c r="A110" s="148" t="str">
        <f>IF(COUNTA(Control!E6)=0,"",IF(COUNTA(Control!E6)=0,"",Control!E6))</f>
        <v>Improve Trade In User Flow</v>
      </c>
      <c r="B110" s="220" t="str">
        <f>IF(COUNTA(Control!E6)=0,"",IF(COUNTA(Control!F6)=0,"—",Control!F6))</f>
        <v>Reduce friction in the sell/trade-in submission flow: search, quote, shipping/drop-off, to raise completion and quote-to-conversion rates.</v>
      </c>
      <c r="C110" s="221"/>
      <c r="D110" s="221"/>
      <c r="E110" s="221"/>
      <c r="F110" s="221"/>
      <c r="G110" s="220" t="str">
        <f>IF(COUNTA(Control!E6)=0,"",IF(COUNTA(Control!G6)=0,"—",Control!G6))</f>
        <v>% started quotes completed, Time to quote (median), Post-acceptance ststus engagement rate</v>
      </c>
      <c r="H110" s="221"/>
      <c r="I110" s="221"/>
      <c r="J110" s="221"/>
      <c r="K110" s="221"/>
      <c r="L110" s="221"/>
      <c r="M110" s="221"/>
      <c r="N110" s="221"/>
      <c r="O110" s="221"/>
      <c r="P110" s="221"/>
      <c r="Q110" s="220" t="str">
        <f>IF(COUNTA(Control!E6)=0,"",IF(COUNTA(Control!H6)=0,"—",Control!H6))</f>
        <v>Quote-to-accepted-offer rate, Drop-off rate by flow step, sell-flow CSAT (isolated), Support contact rate per quote, Payout cycle time (accepted&gt;paid)</v>
      </c>
      <c r="R110" s="221"/>
      <c r="S110" s="221"/>
      <c r="T110" s="221"/>
      <c r="U110" s="221"/>
      <c r="V110" s="221"/>
      <c r="W110" s="221"/>
      <c r="X110" s="221"/>
      <c r="Y110" s="221"/>
      <c r="Z110" s="221"/>
      <c r="AA110" s="221"/>
      <c r="AB110" s="221"/>
      <c r="AC110" s="221"/>
      <c r="AD110" s="221"/>
      <c r="AE110" s="221"/>
      <c r="AF110" s="221"/>
      <c r="AG110" s="221"/>
    </row>
    <row r="111" spans="1:33" ht="38" customHeight="1" x14ac:dyDescent="0.2">
      <c r="A111" s="148" t="str">
        <f>IF(COUNTA(Control!E7)=0,"",IF(COUNTA(Control!E7)=0,"",Control!E7))</f>
        <v>Increase Trade In Reactivation</v>
      </c>
      <c r="B111" s="220" t="str">
        <f>IF(COUNTA(Control!E7)=0,"",IF(COUNTA(Control!F7)=0,"—",Control!F7))</f>
        <v>Re-engage past customers with unused eligible gear via triggered emails tied to purchase timing and inventory demand signals.</v>
      </c>
      <c r="C111" s="221"/>
      <c r="D111" s="221"/>
      <c r="E111" s="221"/>
      <c r="F111" s="221"/>
      <c r="G111" s="220" t="str">
        <f>IF(COUNTA(Control!E7)=0,"",IF(COUNTA(Control!G7)=0,"—",Control!G7))</f>
        <v>Reactivation email open rate, reactivation email CTR, quote starts attributed to email</v>
      </c>
      <c r="H111" s="221"/>
      <c r="I111" s="221"/>
      <c r="J111" s="221"/>
      <c r="K111" s="221"/>
      <c r="L111" s="221"/>
      <c r="M111" s="221"/>
      <c r="N111" s="221"/>
      <c r="O111" s="221"/>
      <c r="P111" s="221"/>
      <c r="Q111" s="220" t="str">
        <f>IF(COUNTA(Control!E7)=0,"",IF(COUNTA(Control!H7)=0,"—",Control!H7))</f>
        <v>Reactivated quote to completion rate, revenue from reactivated sellers, days since last purchase &gt; trade in (trend)</v>
      </c>
      <c r="R111" s="221"/>
      <c r="S111" s="221"/>
      <c r="T111" s="221"/>
      <c r="U111" s="221"/>
      <c r="V111" s="221"/>
      <c r="W111" s="221"/>
      <c r="X111" s="221"/>
      <c r="Y111" s="221"/>
      <c r="Z111" s="221"/>
      <c r="AA111" s="221"/>
      <c r="AB111" s="221"/>
      <c r="AC111" s="221"/>
      <c r="AD111" s="221"/>
      <c r="AE111" s="221"/>
      <c r="AF111" s="221"/>
      <c r="AG111" s="221"/>
    </row>
    <row r="112" spans="1:33" ht="38" customHeight="1" x14ac:dyDescent="0.2">
      <c r="A112" s="148" t="str">
        <f>IF(COUNTA(Control!E8)=0,"",IF(COUNTA(Control!E8)=0,"",Control!E8))</f>
        <v>Increase Buy Used Awareness</v>
      </c>
      <c r="B112" s="220" t="str">
        <f>IF(COUNTA(Control!E8)=0,"",IF(COUNTA(Control!F8)=0,"—",Control!F8))</f>
        <v>Grow discovery of the Used Hub and used inventory through SEO, brand listing pages, and internal linking so more shoppers know B&amp;H sells used gear.</v>
      </c>
      <c r="C112" s="221"/>
      <c r="D112" s="221"/>
      <c r="E112" s="221"/>
      <c r="F112" s="221"/>
      <c r="G112" s="220" t="str">
        <f>IF(COUNTA(Control!E8)=0,"",IF(COUNTA(Control!G8)=0,"—",Control!G8))</f>
        <v>Organic sessions to Used Hub/brand pages, Search impressions &amp; CTR (used pages), Internal link CTR (New&gt;used cross links), Cross-sell CTA impressions (used alt. on New PDP)</v>
      </c>
      <c r="H112" s="221"/>
      <c r="I112" s="221"/>
      <c r="J112" s="221"/>
      <c r="K112" s="221"/>
      <c r="L112" s="221"/>
      <c r="M112" s="221"/>
      <c r="N112" s="221"/>
      <c r="O112" s="221"/>
      <c r="P112" s="221"/>
      <c r="Q112" s="220" t="str">
        <f>IF(COUNTA(Control!E8)=0,"",IF(COUNTA(Control!H8)=0,"—",Control!H8))</f>
        <v>New-to-used buyer sessions, Used PDP views per session, Used share to total category traffic, cross sell attributed used PDP views/purchases</v>
      </c>
      <c r="R112" s="221"/>
      <c r="S112" s="221"/>
      <c r="T112" s="221"/>
      <c r="U112" s="221"/>
      <c r="V112" s="221"/>
      <c r="W112" s="221"/>
      <c r="X112" s="221"/>
      <c r="Y112" s="221"/>
      <c r="Z112" s="221"/>
      <c r="AA112" s="221"/>
      <c r="AB112" s="221"/>
      <c r="AC112" s="221"/>
      <c r="AD112" s="221"/>
      <c r="AE112" s="221"/>
      <c r="AF112" s="221"/>
      <c r="AG112" s="221"/>
    </row>
    <row r="113" spans="1:33" ht="38" customHeight="1" x14ac:dyDescent="0.2">
      <c r="A113" s="148" t="str">
        <f>IF(COUNTA(Control!E9)=0,"",IF(COUNTA(Control!E9)=0,"",Control!E9))</f>
        <v>Improve Buy Used Customer Experience</v>
      </c>
      <c r="B113" s="220" t="str">
        <f>IF(COUNTA(Control!E9)=0,"",IF(COUNTA(Control!F9)=0,"—",Control!F9))</f>
        <v>Make used PDPs and listing pages easier to evaluate, increase condition clarity, provide product photos, and filtering, so shoppers can confidently purchase used gear</v>
      </c>
      <c r="C113" s="221"/>
      <c r="D113" s="221"/>
      <c r="E113" s="221"/>
      <c r="F113" s="221"/>
      <c r="G113" s="220" t="str">
        <f>IF(COUNTA(Control!E9)=0,"",IF(COUNTA(Control!G9)=0,"—",Control!G9))</f>
        <v>PLP filter usage rate, used pdp engagement rate (photo/spec expansion), order status page engagement rate</v>
      </c>
      <c r="H113" s="221"/>
      <c r="I113" s="221"/>
      <c r="J113" s="221"/>
      <c r="K113" s="221"/>
      <c r="L113" s="221"/>
      <c r="M113" s="221"/>
      <c r="N113" s="221"/>
      <c r="O113" s="221"/>
      <c r="P113" s="221"/>
      <c r="Q113" s="220" t="str">
        <f>IF(COUNTA(Control!E9)=0,"",IF(COUNTA(Control!H9)=0,"—",Control!H9))</f>
        <v>Used PDP-to-cart rate, Used cart-to-purchase rate, Post-Purchase CSAT (isolated)</v>
      </c>
      <c r="R113" s="221"/>
      <c r="S113" s="221"/>
      <c r="T113" s="221"/>
      <c r="U113" s="221"/>
      <c r="V113" s="221"/>
      <c r="W113" s="221"/>
      <c r="X113" s="221"/>
      <c r="Y113" s="221"/>
      <c r="Z113" s="221"/>
      <c r="AA113" s="221"/>
      <c r="AB113" s="221"/>
      <c r="AC113" s="221"/>
      <c r="AD113" s="221"/>
      <c r="AE113" s="221"/>
      <c r="AF113" s="221"/>
      <c r="AG113" s="221"/>
    </row>
    <row r="114" spans="1:33" ht="38" customHeight="1" x14ac:dyDescent="0.2">
      <c r="A114" s="148" t="str">
        <f>IF(COUNTA(Control!E10)=0,"",IF(COUNTA(Control!E10)=0,"",Control!E10))</f>
        <v>Increase Buy Used Reactivation</v>
      </c>
      <c r="B114" s="220" t="str">
        <f>IF(COUNTA(Control!E10)=0,"",IF(COUNTA(Control!F10)=0,"—",Control!F10))</f>
        <v>Win back past buyers with relevant used-inventory alerts and win-back offers matched to their purchase history</v>
      </c>
      <c r="C114" s="221"/>
      <c r="D114" s="221"/>
      <c r="E114" s="221"/>
      <c r="F114" s="221"/>
      <c r="G114" s="220" t="str">
        <f>IF(COUNTA(Control!E10)=0,"",IF(COUNTA(Control!G10)=0,"—",Control!G10))</f>
        <v>Win Back email open rate, win-back email CTR, Browse to used PDP rate from email</v>
      </c>
      <c r="H114" s="221"/>
      <c r="I114" s="221"/>
      <c r="J114" s="221"/>
      <c r="K114" s="221"/>
      <c r="L114" s="221"/>
      <c r="M114" s="221"/>
      <c r="N114" s="221"/>
      <c r="O114" s="221"/>
      <c r="P114" s="221"/>
      <c r="Q114" s="220" t="str">
        <f>IF(COUNTA(Control!E10)=0,"",IF(COUNTA(Control!H10)=0,"—",Control!H10))</f>
        <v>Repeat used-purchase rate, Revenue from reactivated buyers, Time-since-last-purchase &gt; repurchase (trend)</v>
      </c>
      <c r="R114" s="221"/>
      <c r="S114" s="221"/>
      <c r="T114" s="221"/>
      <c r="U114" s="221"/>
      <c r="V114" s="221"/>
      <c r="W114" s="221"/>
      <c r="X114" s="221"/>
      <c r="Y114" s="221"/>
      <c r="Z114" s="221"/>
      <c r="AA114" s="221"/>
      <c r="AB114" s="221"/>
      <c r="AC114" s="221"/>
      <c r="AD114" s="221"/>
      <c r="AE114" s="221"/>
      <c r="AF114" s="221"/>
      <c r="AG114" s="221"/>
    </row>
    <row r="115" spans="1:33" ht="38" customHeight="1" x14ac:dyDescent="0.2">
      <c r="A115" s="148" t="str">
        <f>IF(COUNTA(Control!E11)=0,"",IF(COUNTA(Control!E11)=0,"",Control!E11))</f>
        <v>Increase B2B Acquisition</v>
      </c>
      <c r="B115" s="220" t="str">
        <f>IF(COUNTA(Control!E11)=0,"",IF(COUNTA(Control!F11)=0,"—",Control!F11))</f>
        <v>Grow the pipeline of registered B2B accounts by making the B2B Hub, EDU and vertical landing pages easier to find and sign up from, so qualifying organisations self-serve rather than routing through sales.</v>
      </c>
      <c r="C115" s="221"/>
      <c r="D115" s="221"/>
      <c r="E115" s="221"/>
      <c r="F115" s="221"/>
      <c r="G115" s="220" t="str">
        <f>IF(COUNTA(Control!E11)=0,"",IF(COUNTA(Control!G11)=0,"—",Control!G11))</f>
        <v>Sessions to B2B Hub / EDU / vertical landing pages, Sign-up form starts, Sign-up CTA click through rate, % of B2B sessions reaching a landing page</v>
      </c>
      <c r="H115" s="221"/>
      <c r="I115" s="221"/>
      <c r="J115" s="221"/>
      <c r="K115" s="221"/>
      <c r="L115" s="221"/>
      <c r="M115" s="221"/>
      <c r="N115" s="221"/>
      <c r="O115" s="221"/>
      <c r="P115" s="221"/>
      <c r="Q115" s="220" t="str">
        <f>IF(COUNTA(Control!E11)=0,"",IF(COUNTA(Control!H11)=0,"—",Control!H11))</f>
        <v>Completed B2B registrations, Registration-to-first-order rate, New B2B accounts per month, Revenue from newly registered accounts</v>
      </c>
      <c r="R115" s="221"/>
      <c r="S115" s="221"/>
      <c r="T115" s="221"/>
      <c r="U115" s="221"/>
      <c r="V115" s="221"/>
      <c r="W115" s="221"/>
      <c r="X115" s="221"/>
      <c r="Y115" s="221"/>
      <c r="Z115" s="221"/>
      <c r="AA115" s="221"/>
      <c r="AB115" s="221"/>
      <c r="AC115" s="221"/>
      <c r="AD115" s="221"/>
      <c r="AE115" s="221"/>
      <c r="AF115" s="221"/>
      <c r="AG115" s="221"/>
    </row>
    <row r="116" spans="1:33" ht="38" customHeight="1" x14ac:dyDescent="0.2">
      <c r="A116" s="148" t="str">
        <f>IF(COUNTA(Control!E12)=0,"",IF(COUNTA(Control!E12)=0,"",Control!E12))</f>
        <v>Increase The Studio B&amp;H Awareness</v>
      </c>
      <c r="B116" s="220" t="str">
        <f>IF(COUNTA(Control!E12)=0,"",IF(COUNTA(Control!F12)=0,"—",Control!F12))</f>
        <v>Build awareness that The Studio is a B&amp;H offering by surfacing B&amp;H branding and cross-links on high-ticket products and Studio entry points, so customers connect the two.</v>
      </c>
      <c r="C116" s="221"/>
      <c r="D116" s="221"/>
      <c r="E116" s="221"/>
      <c r="F116" s="221"/>
      <c r="G116" s="220" t="str">
        <f>IF(COUNTA(Control!E12)=0,"",IF(COUNTA(Control!G12)=0,"—",Control!G12))</f>
        <v>Sessions to Studio landing and category pages, B&amp;H awareness module impressions on high-ticket PDPs, Cross-link click through rate, Organic impressions for Studio terms</v>
      </c>
      <c r="H116" s="221"/>
      <c r="I116" s="221"/>
      <c r="J116" s="221"/>
      <c r="K116" s="221"/>
      <c r="L116" s="221"/>
      <c r="M116" s="221"/>
      <c r="N116" s="221"/>
      <c r="O116" s="221"/>
      <c r="P116" s="221"/>
      <c r="Q116" s="220" t="str">
        <f>IF(COUNTA(Control!E12)=0,"",IF(COUNTA(Control!H12)=0,"—",Control!H12))</f>
        <v>New-to-Studio sessions, Studio PDP views per session, Studio share of high-ticket category traffic, Assisted Studio revenue</v>
      </c>
      <c r="R116" s="221"/>
      <c r="S116" s="221"/>
      <c r="T116" s="221"/>
      <c r="U116" s="221"/>
      <c r="V116" s="221"/>
      <c r="W116" s="221"/>
      <c r="X116" s="221"/>
      <c r="Y116" s="221"/>
      <c r="Z116" s="221"/>
      <c r="AA116" s="221"/>
      <c r="AB116" s="221"/>
      <c r="AC116" s="221"/>
      <c r="AD116" s="221"/>
      <c r="AE116" s="221"/>
      <c r="AF116" s="221"/>
      <c r="AG116" s="221"/>
    </row>
    <row r="117" spans="1:33" ht="38" customHeight="1" x14ac:dyDescent="0.2">
      <c r="A117" s="148" t="str">
        <f>IF(COUNTA(Control!E13)=0,"",IF(COUNTA(Control!E13)=0,"",Control!E13))</f>
        <v>Improve The Studio B&amp;H Customer Experience</v>
      </c>
      <c r="B117" s="220" t="str">
        <f>IF(COUNTA(Control!E13)=0,"",IF(COUNTA(Control!F13)=0,"—",Control!F13))</f>
        <v>Make Studio category, landing and hybrid pages easier to evaluate and navigate, so customers can compare and specify Studio products without leaving for a sales conversation.</v>
      </c>
      <c r="C117" s="221"/>
      <c r="D117" s="221"/>
      <c r="E117" s="221"/>
      <c r="F117" s="221"/>
      <c r="G117" s="220" t="str">
        <f>IF(COUNTA(Control!E13)=0,"",IF(COUNTA(Control!G13)=0,"—",Control!G13))</f>
        <v>Studio category page engagement rate, Hybrid page filter usage, Spec / detail expansion rate, Quote or enquiry form starts</v>
      </c>
      <c r="H117" s="221"/>
      <c r="I117" s="221"/>
      <c r="J117" s="221"/>
      <c r="K117" s="221"/>
      <c r="L117" s="221"/>
      <c r="M117" s="221"/>
      <c r="N117" s="221"/>
      <c r="O117" s="221"/>
      <c r="P117" s="221"/>
      <c r="Q117" s="220" t="str">
        <f>IF(COUNTA(Control!E13)=0,"",IF(COUNTA(Control!H13)=0,"—",Control!H13))</f>
        <v>Studio PDP-to-cart rate, Enquiry-to-quote rate, Studio CSAT (isolated), Support contact rate per Studio session</v>
      </c>
      <c r="R117" s="221"/>
      <c r="S117" s="221"/>
      <c r="T117" s="221"/>
      <c r="U117" s="221"/>
      <c r="V117" s="221"/>
      <c r="W117" s="221"/>
      <c r="X117" s="221"/>
      <c r="Y117" s="221"/>
      <c r="Z117" s="221"/>
      <c r="AA117" s="221"/>
      <c r="AB117" s="221"/>
      <c r="AC117" s="221"/>
      <c r="AD117" s="221"/>
      <c r="AE117" s="221"/>
      <c r="AF117" s="221"/>
      <c r="AG117" s="221"/>
    </row>
    <row r="118" spans="1:33" ht="38" customHeight="1" x14ac:dyDescent="0.2">
      <c r="A118" s="148" t="str">
        <f>IF(COUNTA(Control!E14)=0,"",IF(COUNTA(Control!E14)=0,"",Control!E14))</f>
        <v>Increase Trust &amp; Condition Transparency</v>
      </c>
      <c r="B118" s="220" t="str">
        <f>IF(COUNTA(Control!E14)=0,"",IF(COUNTA(Control!F14)=0,"—",Control!F14))</f>
        <v>Cross-cutting theme covering whether customers believe the grading/condition information is accurate and complete, ties directly to condition rating scale and PDP condition grouping work, and carries COO-level visibility</v>
      </c>
      <c r="C118" s="221"/>
      <c r="D118" s="221"/>
      <c r="E118" s="221"/>
      <c r="F118" s="221"/>
      <c r="G118" s="220" t="str">
        <f>IF(COUNTA(Control!E14)=0,"",IF(COUNTA(Control!G14)=0,"—",Control!G14))</f>
        <v>Condition information expansion rate on used PDPs, Actual-image gallery engagement rate, Condition rating scale page views, Filter usage by condition</v>
      </c>
      <c r="H118" s="221"/>
      <c r="I118" s="221"/>
      <c r="J118" s="221"/>
      <c r="K118" s="221"/>
      <c r="L118" s="221"/>
      <c r="M118" s="221"/>
      <c r="N118" s="221"/>
      <c r="O118" s="221"/>
      <c r="P118" s="221"/>
      <c r="Q118" s="220" t="str">
        <f>IF(COUNTA(Control!E14)=0,"",IF(COUNTA(Control!H14)=0,"—",Control!H14))</f>
        <v>Used PDP-to-cart rate by condition, Condition-related return rate, Condition-related support contacts per order, Post-purchase CSAT on condition accuracy</v>
      </c>
      <c r="R118" s="221"/>
      <c r="S118" s="221"/>
      <c r="T118" s="221"/>
      <c r="U118" s="221"/>
      <c r="V118" s="221"/>
      <c r="W118" s="221"/>
      <c r="X118" s="221"/>
      <c r="Y118" s="221"/>
      <c r="Z118" s="221"/>
      <c r="AA118" s="221"/>
      <c r="AB118" s="221"/>
      <c r="AC118" s="221"/>
      <c r="AD118" s="221"/>
      <c r="AE118" s="221"/>
      <c r="AF118" s="221"/>
      <c r="AG118" s="221"/>
    </row>
    <row r="119" spans="1:33" ht="38" customHeight="1" x14ac:dyDescent="0.2">
      <c r="A119" s="148" t="str">
        <f>IF(COUNTA(Control!E15)=0,"",IF(COUNTA(Control!E15)=0,"",Control!E15))</f>
        <v>Improve Search &amp; Findability</v>
      </c>
      <c r="B119" s="220" t="str">
        <f>IF(COUNTA(Control!E15)=0,"",IF(COUNTA(Control!F15)=0,"—",Control!F15))</f>
        <v>Cross-cutting theme spanning sell-side item search (finding what you own to quote it) and buy-side discovery (finding used inventory to purchase). Flagged as the single highest-priority friction point across VoC research on both sides.</v>
      </c>
      <c r="C119" s="221"/>
      <c r="D119" s="221"/>
      <c r="E119" s="221"/>
      <c r="F119" s="221"/>
      <c r="G119" s="220" t="str">
        <f>IF(COUNTA(Control!E15)=0,"",IF(COUNTA(Control!G15)=0,"—",Control!G15))</f>
        <v>Search usage rate (sell and buy side), Refinement usage per search, Typeahead selection rate, Searches per session</v>
      </c>
      <c r="H119" s="221"/>
      <c r="I119" s="221"/>
      <c r="J119" s="221"/>
      <c r="K119" s="221"/>
      <c r="L119" s="221"/>
      <c r="M119" s="221"/>
      <c r="N119" s="221"/>
      <c r="O119" s="221"/>
      <c r="P119" s="221"/>
      <c r="Q119" s="220" t="str">
        <f>IF(COUNTA(Control!E15)=0,"",IF(COUNTA(Control!H15)=0,"—",Control!H15))</f>
        <v>Zero-result search rate, Search-to-PDP rate, Search-attributed quote starts (sell side), Search-attributed used purchases (buy side)</v>
      </c>
      <c r="R119" s="221"/>
      <c r="S119" s="221"/>
      <c r="T119" s="221"/>
      <c r="U119" s="221"/>
      <c r="V119" s="221"/>
      <c r="W119" s="221"/>
      <c r="X119" s="221"/>
      <c r="Y119" s="221"/>
      <c r="Z119" s="221"/>
      <c r="AA119" s="221"/>
      <c r="AB119" s="221"/>
      <c r="AC119" s="221"/>
      <c r="AD119" s="221"/>
      <c r="AE119" s="221"/>
      <c r="AF119" s="221"/>
      <c r="AG119" s="221"/>
    </row>
    <row r="120" spans="1:33" ht="38" customHeight="1" x14ac:dyDescent="0.2">
      <c r="A120" s="148" t="str">
        <f>IF(COUNTA(Control!E16)=0,"",IF(COUNTA(Control!E16)=0,"",Control!E16))</f>
        <v/>
      </c>
      <c r="B120" s="220" t="str">
        <f>IF(COUNTA(Control!E16)=0,"",IF(COUNTA(Control!F16)=0,"—",Control!F16))</f>
        <v/>
      </c>
      <c r="C120" s="221"/>
      <c r="D120" s="221"/>
      <c r="E120" s="221"/>
      <c r="F120" s="221"/>
      <c r="G120" s="220" t="str">
        <f>IF(COUNTA(Control!E16)=0,"",IF(COUNTA(Control!G16)=0,"—",Control!G16))</f>
        <v/>
      </c>
      <c r="H120" s="221"/>
      <c r="I120" s="221"/>
      <c r="J120" s="221"/>
      <c r="K120" s="221"/>
      <c r="L120" s="221"/>
      <c r="M120" s="221"/>
      <c r="N120" s="221"/>
      <c r="O120" s="221"/>
      <c r="P120" s="221"/>
      <c r="Q120" s="220" t="str">
        <f>IF(COUNTA(Control!E16)=0,"",IF(COUNTA(Control!H16)=0,"—",Control!H16))</f>
        <v/>
      </c>
      <c r="R120" s="221"/>
      <c r="S120" s="221"/>
      <c r="T120" s="221"/>
      <c r="U120" s="221"/>
      <c r="V120" s="221"/>
      <c r="W120" s="221"/>
      <c r="X120" s="221"/>
      <c r="Y120" s="221"/>
      <c r="Z120" s="221"/>
      <c r="AA120" s="221"/>
      <c r="AB120" s="221"/>
      <c r="AC120" s="221"/>
      <c r="AD120" s="221"/>
      <c r="AE120" s="221"/>
      <c r="AF120" s="221"/>
      <c r="AG120" s="221"/>
    </row>
    <row r="121" spans="1:33" ht="38" customHeight="1" x14ac:dyDescent="0.2">
      <c r="A121" s="148" t="str">
        <f>IF(COUNTA(Control!E17)=0,"",IF(COUNTA(Control!E17)=0,"",Control!E17))</f>
        <v/>
      </c>
      <c r="B121" s="220" t="str">
        <f>IF(COUNTA(Control!E17)=0,"",IF(COUNTA(Control!F17)=0,"—",Control!F17))</f>
        <v/>
      </c>
      <c r="C121" s="221"/>
      <c r="D121" s="221"/>
      <c r="E121" s="221"/>
      <c r="F121" s="221"/>
      <c r="G121" s="220" t="str">
        <f>IF(COUNTA(Control!E17)=0,"",IF(COUNTA(Control!G17)=0,"—",Control!G17))</f>
        <v/>
      </c>
      <c r="H121" s="221"/>
      <c r="I121" s="221"/>
      <c r="J121" s="221"/>
      <c r="K121" s="221"/>
      <c r="L121" s="221"/>
      <c r="M121" s="221"/>
      <c r="N121" s="221"/>
      <c r="O121" s="221"/>
      <c r="P121" s="221"/>
      <c r="Q121" s="220" t="str">
        <f>IF(COUNTA(Control!E17)=0,"",IF(COUNTA(Control!H17)=0,"—",Control!H17))</f>
        <v/>
      </c>
      <c r="R121" s="221"/>
      <c r="S121" s="221"/>
      <c r="T121" s="221"/>
      <c r="U121" s="221"/>
      <c r="V121" s="221"/>
      <c r="W121" s="221"/>
      <c r="X121" s="221"/>
      <c r="Y121" s="221"/>
      <c r="Z121" s="221"/>
      <c r="AA121" s="221"/>
      <c r="AB121" s="221"/>
      <c r="AC121" s="221"/>
      <c r="AD121" s="221"/>
      <c r="AE121" s="221"/>
      <c r="AF121" s="221"/>
      <c r="AG121" s="221"/>
    </row>
    <row r="122" spans="1:33" ht="38" customHeight="1" x14ac:dyDescent="0.2">
      <c r="A122" s="148" t="str">
        <f>IF(COUNTA(Control!E18)=0,"",IF(COUNTA(Control!E18)=0,"",Control!E18))</f>
        <v/>
      </c>
      <c r="B122" s="220" t="str">
        <f>IF(COUNTA(Control!E18)=0,"",IF(COUNTA(Control!F18)=0,"—",Control!F18))</f>
        <v/>
      </c>
      <c r="C122" s="221"/>
      <c r="D122" s="221"/>
      <c r="E122" s="221"/>
      <c r="F122" s="221"/>
      <c r="G122" s="220" t="str">
        <f>IF(COUNTA(Control!E18)=0,"",IF(COUNTA(Control!G18)=0,"—",Control!G18))</f>
        <v/>
      </c>
      <c r="H122" s="221"/>
      <c r="I122" s="221"/>
      <c r="J122" s="221"/>
      <c r="K122" s="221"/>
      <c r="L122" s="221"/>
      <c r="M122" s="221"/>
      <c r="N122" s="221"/>
      <c r="O122" s="221"/>
      <c r="P122" s="221"/>
      <c r="Q122" s="220" t="str">
        <f>IF(COUNTA(Control!E18)=0,"",IF(COUNTA(Control!H18)=0,"—",Control!H18))</f>
        <v/>
      </c>
      <c r="R122" s="221"/>
      <c r="S122" s="221"/>
      <c r="T122" s="221"/>
      <c r="U122" s="221"/>
      <c r="V122" s="221"/>
      <c r="W122" s="221"/>
      <c r="X122" s="221"/>
      <c r="Y122" s="221"/>
      <c r="Z122" s="221"/>
      <c r="AA122" s="221"/>
      <c r="AB122" s="221"/>
      <c r="AC122" s="221"/>
      <c r="AD122" s="221"/>
      <c r="AE122" s="221"/>
      <c r="AF122" s="221"/>
      <c r="AG122" s="221"/>
    </row>
    <row r="123" spans="1:33" ht="38" customHeight="1" x14ac:dyDescent="0.2">
      <c r="A123" s="148" t="str">
        <f>IF(COUNTA(Control!E19)=0,"",IF(COUNTA(Control!E19)=0,"",Control!E19))</f>
        <v/>
      </c>
      <c r="B123" s="220" t="str">
        <f>IF(COUNTA(Control!E19)=0,"",IF(COUNTA(Control!F19)=0,"—",Control!F19))</f>
        <v/>
      </c>
      <c r="C123" s="221"/>
      <c r="D123" s="221"/>
      <c r="E123" s="221"/>
      <c r="F123" s="221"/>
      <c r="G123" s="220" t="str">
        <f>IF(COUNTA(Control!E19)=0,"",IF(COUNTA(Control!G19)=0,"—",Control!G19))</f>
        <v/>
      </c>
      <c r="H123" s="221"/>
      <c r="I123" s="221"/>
      <c r="J123" s="221"/>
      <c r="K123" s="221"/>
      <c r="L123" s="221"/>
      <c r="M123" s="221"/>
      <c r="N123" s="221"/>
      <c r="O123" s="221"/>
      <c r="P123" s="221"/>
      <c r="Q123" s="220" t="str">
        <f>IF(COUNTA(Control!E19)=0,"",IF(COUNTA(Control!H19)=0,"—",Control!H19))</f>
        <v/>
      </c>
      <c r="R123" s="221"/>
      <c r="S123" s="221"/>
      <c r="T123" s="221"/>
      <c r="U123" s="221"/>
      <c r="V123" s="221"/>
      <c r="W123" s="221"/>
      <c r="X123" s="221"/>
      <c r="Y123" s="221"/>
      <c r="Z123" s="221"/>
      <c r="AA123" s="221"/>
      <c r="AB123" s="221"/>
      <c r="AC123" s="221"/>
      <c r="AD123" s="221"/>
      <c r="AE123" s="221"/>
      <c r="AF123" s="221"/>
      <c r="AG123" s="221"/>
    </row>
  </sheetData>
  <mergeCells count="66">
    <mergeCell ref="A11:A14"/>
    <mergeCell ref="G122:P122"/>
    <mergeCell ref="B118:F118"/>
    <mergeCell ref="Q123:AG123"/>
    <mergeCell ref="G112:P112"/>
    <mergeCell ref="B114:F114"/>
    <mergeCell ref="J13:U13"/>
    <mergeCell ref="Q111:AG111"/>
    <mergeCell ref="Q114:AG114"/>
    <mergeCell ref="B122:F122"/>
    <mergeCell ref="G116:P116"/>
    <mergeCell ref="G121:P121"/>
    <mergeCell ref="B123:F123"/>
    <mergeCell ref="B120:F120"/>
    <mergeCell ref="B116:F116"/>
    <mergeCell ref="Q117:AG117"/>
    <mergeCell ref="B7:D7"/>
    <mergeCell ref="B8:D8"/>
    <mergeCell ref="B9:D9"/>
    <mergeCell ref="Q109:AG109"/>
    <mergeCell ref="Q112:AG112"/>
    <mergeCell ref="B108:F108"/>
    <mergeCell ref="J14:L14"/>
    <mergeCell ref="P14:R14"/>
    <mergeCell ref="AB11:AG11"/>
    <mergeCell ref="AB14:AD14"/>
    <mergeCell ref="B107:F107"/>
    <mergeCell ref="G111:P111"/>
    <mergeCell ref="S14:U14"/>
    <mergeCell ref="B109:F109"/>
    <mergeCell ref="G110:P110"/>
    <mergeCell ref="G109:P109"/>
    <mergeCell ref="G123:P123"/>
    <mergeCell ref="B121:F121"/>
    <mergeCell ref="B115:F115"/>
    <mergeCell ref="G115:P115"/>
    <mergeCell ref="Q121:AG121"/>
    <mergeCell ref="Q115:AG115"/>
    <mergeCell ref="B111:F111"/>
    <mergeCell ref="Q122:AG122"/>
    <mergeCell ref="G119:P119"/>
    <mergeCell ref="Q107:AG107"/>
    <mergeCell ref="Q120:AG120"/>
    <mergeCell ref="Q119:AG119"/>
    <mergeCell ref="Q116:AG116"/>
    <mergeCell ref="G117:P117"/>
    <mergeCell ref="B113:F113"/>
    <mergeCell ref="B117:F117"/>
    <mergeCell ref="B110:F110"/>
    <mergeCell ref="Q118:AG118"/>
    <mergeCell ref="Q113:AG113"/>
    <mergeCell ref="B112:F112"/>
    <mergeCell ref="B119:F119"/>
    <mergeCell ref="V13:AG13"/>
    <mergeCell ref="Q110:AG110"/>
    <mergeCell ref="G113:P113"/>
    <mergeCell ref="AE14:AG14"/>
    <mergeCell ref="G120:P120"/>
    <mergeCell ref="G107:P107"/>
    <mergeCell ref="Y14:AA14"/>
    <mergeCell ref="G114:P114"/>
    <mergeCell ref="G118:P118"/>
    <mergeCell ref="V14:X14"/>
    <mergeCell ref="G108:P108"/>
    <mergeCell ref="Q108:AG108"/>
    <mergeCell ref="M14:O14"/>
  </mergeCells>
  <conditionalFormatting sqref="A16:AG89">
    <cfRule type="expression" dxfId="22" priority="6">
      <formula>AND($AH16&lt;&gt;"",$AH16&lt;&gt;$AH15)</formula>
    </cfRule>
    <cfRule type="expression" dxfId="21" priority="7">
      <formula>$B16&lt;&gt;""</formula>
    </cfRule>
  </conditionalFormatting>
  <conditionalFormatting sqref="D16:D89">
    <cfRule type="expression" dxfId="20" priority="8">
      <formula>OR(LEFT($D16,2)="13",LEFT($D16,2)="7.")</formula>
    </cfRule>
    <cfRule type="expression" dxfId="19" priority="9">
      <formula>OR(LEFT($D16,2)="09",LEFT($D16,2)="10",LEFT($D16,2)="11",LEFT($D16,2)="12",LEFT($D16,2)="4.",LEFT($D16,2)="5.")</formula>
    </cfRule>
    <cfRule type="expression" dxfId="18" priority="10">
      <formula>OR(LEFT($D16,2)="00",LEFT($D16,2)="99")</formula>
    </cfRule>
    <cfRule type="expression" dxfId="17" priority="11">
      <formula>$D16&lt;&gt;""</formula>
    </cfRule>
  </conditionalFormatting>
  <conditionalFormatting sqref="J15:AG15">
    <cfRule type="expression" dxfId="16" priority="18">
      <formula>AND(J$12&lt;=TODAY(),EOMONTH(J$12,0)&gt;=TODAY())</formula>
    </cfRule>
  </conditionalFormatting>
  <conditionalFormatting sqref="J16:AG89">
    <cfRule type="expression" dxfId="15" priority="2">
      <formula>J16="UX"</formula>
    </cfRule>
    <cfRule type="expression" dxfId="14" priority="3" stopIfTrue="1">
      <formula>J16="DEV"</formula>
    </cfRule>
    <cfRule type="expression" dxfId="13" priority="4">
      <formula>J16="BOTH"</formula>
    </cfRule>
    <cfRule type="expression" dxfId="12" priority="5">
      <formula>AND($B16&lt;&gt;"",J$12&lt;=TODAY(),EOMONTH(J$12,0)&gt;=TODAY())</formula>
    </cfRule>
  </conditionalFormatting>
  <dataValidations count="4">
    <dataValidation type="list" allowBlank="1" showInputMessage="1" showErrorMessage="1" sqref="A3" xr:uid="{00000000-0002-0000-0000-000000000000}">
      <formula1>$AJ$1:$AJ$11</formula1>
    </dataValidation>
    <dataValidation type="list" allowBlank="1" showInputMessage="1" showErrorMessage="1" sqref="B3" xr:uid="{00000000-0002-0000-0000-000001000000}">
      <formula1>$AK$1:$AK$20</formula1>
    </dataValidation>
    <dataValidation type="list" allowBlank="1" showInputMessage="1" showErrorMessage="1" sqref="D5:D6 C3" xr:uid="{00000000-0002-0000-0000-000002000000}">
      <formula1>$AL$1:$AL$24</formula1>
    </dataValidation>
    <dataValidation type="list" allowBlank="1" showInputMessage="1" showErrorMessage="1" sqref="F5:G6 D3" xr:uid="{00000000-0002-0000-0000-000003000000}">
      <formula1>$AM$1:$AM$8</formula1>
    </dataValidation>
  </dataValidation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4D6-800B-284A-B57B-AB06E3920E32}">
  <dimension ref="A1:M27"/>
  <sheetViews>
    <sheetView zoomScale="129" zoomScaleNormal="129" workbookViewId="0">
      <selection activeCell="P16" sqref="P16"/>
    </sheetView>
  </sheetViews>
  <sheetFormatPr baseColWidth="10" defaultColWidth="11" defaultRowHeight="16" x14ac:dyDescent="0.2"/>
  <cols>
    <col min="1" max="1" width="57" bestFit="1" customWidth="1"/>
    <col min="2" max="2" width="21.1640625" bestFit="1" customWidth="1"/>
    <col min="3" max="3" width="16.83203125" bestFit="1" customWidth="1"/>
  </cols>
  <sheetData>
    <row r="1" spans="1:13" ht="27" thickBot="1" x14ac:dyDescent="0.35">
      <c r="A1" s="1" t="s">
        <v>63</v>
      </c>
      <c r="B1" s="2"/>
      <c r="C1" s="2"/>
      <c r="D1" s="2"/>
      <c r="E1" s="2"/>
      <c r="F1" s="2"/>
    </row>
    <row r="2" spans="1:13" ht="17" thickBot="1" x14ac:dyDescent="0.25">
      <c r="A2" s="8"/>
      <c r="B2" s="56" t="s">
        <v>64</v>
      </c>
      <c r="C2" s="56" t="s">
        <v>65</v>
      </c>
      <c r="D2" s="56" t="s">
        <v>66</v>
      </c>
      <c r="E2" s="56" t="s">
        <v>67</v>
      </c>
      <c r="F2" s="110" t="s">
        <v>68</v>
      </c>
      <c r="G2" s="111" t="s">
        <v>69</v>
      </c>
      <c r="H2" s="111" t="s">
        <v>70</v>
      </c>
      <c r="I2" s="112" t="s">
        <v>71</v>
      </c>
      <c r="J2" s="110" t="s">
        <v>72</v>
      </c>
      <c r="K2" s="111" t="s">
        <v>73</v>
      </c>
      <c r="L2" s="111" t="s">
        <v>74</v>
      </c>
      <c r="M2" s="112" t="s">
        <v>75</v>
      </c>
    </row>
    <row r="3" spans="1:13" ht="19" x14ac:dyDescent="0.2">
      <c r="A3" s="8" t="s">
        <v>76</v>
      </c>
      <c r="B3" s="9"/>
      <c r="C3" s="9"/>
      <c r="D3" s="9"/>
      <c r="E3" s="234" t="s">
        <v>77</v>
      </c>
      <c r="F3" s="99"/>
      <c r="I3" s="100"/>
      <c r="J3" s="106"/>
      <c r="M3" s="100"/>
    </row>
    <row r="4" spans="1:13" ht="19" x14ac:dyDescent="0.2">
      <c r="A4" s="10" t="s">
        <v>78</v>
      </c>
      <c r="B4" s="2"/>
      <c r="C4" s="2"/>
      <c r="D4" s="2"/>
      <c r="E4" s="235"/>
      <c r="F4" s="99"/>
      <c r="H4" s="2"/>
      <c r="I4" s="101"/>
      <c r="J4" s="107"/>
      <c r="K4" s="2"/>
      <c r="L4" s="2"/>
      <c r="M4" s="100"/>
    </row>
    <row r="5" spans="1:13" ht="19" x14ac:dyDescent="0.2">
      <c r="A5" s="11" t="s">
        <v>79</v>
      </c>
      <c r="B5" s="6" t="s">
        <v>80</v>
      </c>
      <c r="C5" s="50" t="s">
        <v>81</v>
      </c>
      <c r="D5" s="51" t="s">
        <v>82</v>
      </c>
      <c r="E5" s="235"/>
      <c r="F5" s="99"/>
      <c r="H5" s="2"/>
      <c r="I5" s="100"/>
      <c r="J5" s="106"/>
      <c r="M5" s="100"/>
    </row>
    <row r="6" spans="1:13" ht="19" x14ac:dyDescent="0.2">
      <c r="A6" s="11" t="s">
        <v>83</v>
      </c>
      <c r="B6" s="6" t="s">
        <v>80</v>
      </c>
      <c r="C6" s="50" t="s">
        <v>81</v>
      </c>
      <c r="D6" s="51" t="s">
        <v>82</v>
      </c>
      <c r="E6" s="235"/>
      <c r="F6" s="99"/>
      <c r="I6" s="100"/>
      <c r="J6" s="106"/>
      <c r="M6" s="100"/>
    </row>
    <row r="7" spans="1:13" ht="19" x14ac:dyDescent="0.2">
      <c r="A7" s="11" t="s">
        <v>84</v>
      </c>
      <c r="B7" s="6" t="s">
        <v>85</v>
      </c>
      <c r="C7" s="50" t="s">
        <v>81</v>
      </c>
      <c r="D7" s="51" t="s">
        <v>82</v>
      </c>
      <c r="E7" s="235"/>
      <c r="F7" s="99"/>
      <c r="H7" s="97"/>
      <c r="I7" s="102"/>
      <c r="J7" s="108"/>
      <c r="M7" s="100"/>
    </row>
    <row r="8" spans="1:13" ht="19" x14ac:dyDescent="0.2">
      <c r="A8" s="19" t="s">
        <v>86</v>
      </c>
      <c r="B8" s="2"/>
      <c r="D8" s="52" t="s">
        <v>87</v>
      </c>
      <c r="E8" s="235"/>
      <c r="F8" s="99"/>
      <c r="I8" s="100"/>
      <c r="J8" s="106"/>
      <c r="M8" s="100"/>
    </row>
    <row r="9" spans="1:13" ht="19" x14ac:dyDescent="0.2">
      <c r="A9" s="10" t="s">
        <v>88</v>
      </c>
      <c r="B9" s="2"/>
      <c r="C9" s="2"/>
      <c r="D9" s="2"/>
      <c r="E9" s="235"/>
      <c r="F9" s="99"/>
      <c r="H9" s="21"/>
      <c r="I9" s="100"/>
      <c r="J9" s="106"/>
      <c r="M9" s="100"/>
    </row>
    <row r="10" spans="1:13" ht="19" x14ac:dyDescent="0.2">
      <c r="A10" s="11" t="s">
        <v>89</v>
      </c>
      <c r="B10" s="6" t="s">
        <v>85</v>
      </c>
      <c r="C10" s="51" t="s">
        <v>90</v>
      </c>
      <c r="D10" s="51" t="s">
        <v>82</v>
      </c>
      <c r="E10" s="235"/>
      <c r="F10" s="99"/>
      <c r="H10" s="98"/>
      <c r="I10" s="100"/>
      <c r="J10" s="106"/>
      <c r="M10" s="100"/>
    </row>
    <row r="11" spans="1:13" ht="19" x14ac:dyDescent="0.2">
      <c r="A11" s="11" t="s">
        <v>91</v>
      </c>
      <c r="B11" s="6" t="s">
        <v>85</v>
      </c>
      <c r="C11" s="50" t="s">
        <v>81</v>
      </c>
      <c r="D11" s="51" t="s">
        <v>82</v>
      </c>
      <c r="E11" s="235"/>
      <c r="F11" s="99"/>
      <c r="I11" s="100"/>
      <c r="J11" s="106"/>
      <c r="M11" s="100"/>
    </row>
    <row r="12" spans="1:13" ht="19" x14ac:dyDescent="0.2">
      <c r="A12" s="11" t="s">
        <v>92</v>
      </c>
      <c r="B12" s="6" t="s">
        <v>85</v>
      </c>
      <c r="C12" s="2"/>
      <c r="D12" s="2"/>
      <c r="E12" s="235"/>
      <c r="F12" s="99"/>
      <c r="I12" s="100"/>
      <c r="J12" s="106"/>
      <c r="M12" s="100"/>
    </row>
    <row r="13" spans="1:13" ht="19" x14ac:dyDescent="0.2">
      <c r="A13" s="12" t="s">
        <v>93</v>
      </c>
      <c r="B13" s="53"/>
      <c r="C13" s="53"/>
      <c r="D13" s="53"/>
      <c r="E13" s="235"/>
      <c r="F13" s="99"/>
      <c r="I13" s="100"/>
      <c r="J13" s="106"/>
      <c r="M13" s="100"/>
    </row>
    <row r="14" spans="1:13" ht="19" x14ac:dyDescent="0.2">
      <c r="A14" s="13" t="s">
        <v>94</v>
      </c>
      <c r="B14" s="2"/>
      <c r="C14" s="2"/>
      <c r="D14" s="2"/>
      <c r="E14" s="235"/>
      <c r="F14" s="99"/>
      <c r="I14" s="100"/>
      <c r="J14" s="106"/>
      <c r="M14" s="100"/>
    </row>
    <row r="15" spans="1:13" ht="19" x14ac:dyDescent="0.2">
      <c r="A15" s="11" t="s">
        <v>95</v>
      </c>
      <c r="B15" s="6" t="s">
        <v>85</v>
      </c>
      <c r="C15" s="50" t="s">
        <v>81</v>
      </c>
      <c r="D15" s="51" t="s">
        <v>96</v>
      </c>
      <c r="E15" s="235"/>
      <c r="F15" s="99"/>
      <c r="I15" s="100"/>
      <c r="J15" s="106"/>
      <c r="M15" s="100"/>
    </row>
    <row r="16" spans="1:13" ht="19" x14ac:dyDescent="0.2">
      <c r="A16" s="11" t="s">
        <v>97</v>
      </c>
      <c r="B16" s="6" t="s">
        <v>85</v>
      </c>
      <c r="C16" s="50" t="s">
        <v>81</v>
      </c>
      <c r="D16" s="51" t="s">
        <v>96</v>
      </c>
      <c r="E16" s="235"/>
      <c r="F16" s="99"/>
      <c r="I16" s="100"/>
      <c r="J16" s="106"/>
      <c r="M16" s="100"/>
    </row>
    <row r="17" spans="1:13" ht="19" x14ac:dyDescent="0.2">
      <c r="A17" s="14" t="s">
        <v>98</v>
      </c>
      <c r="B17" s="6" t="s">
        <v>80</v>
      </c>
      <c r="D17" s="51" t="s">
        <v>99</v>
      </c>
      <c r="E17" s="235"/>
      <c r="F17" s="99"/>
      <c r="I17" s="100"/>
      <c r="J17" s="106"/>
      <c r="M17" s="100"/>
    </row>
    <row r="18" spans="1:13" ht="19" x14ac:dyDescent="0.2">
      <c r="A18" s="11" t="s">
        <v>100</v>
      </c>
      <c r="B18" s="2"/>
      <c r="C18" s="6" t="s">
        <v>85</v>
      </c>
      <c r="D18" s="51" t="s">
        <v>99</v>
      </c>
      <c r="E18" s="235"/>
      <c r="F18" s="99"/>
      <c r="I18" s="100"/>
      <c r="J18" s="106"/>
      <c r="M18" s="100"/>
    </row>
    <row r="19" spans="1:13" ht="19" x14ac:dyDescent="0.2">
      <c r="A19" s="13" t="s">
        <v>101</v>
      </c>
      <c r="B19" s="2"/>
      <c r="C19" s="2"/>
      <c r="D19" s="2"/>
      <c r="E19" s="235"/>
      <c r="F19" s="99"/>
      <c r="I19" s="100"/>
      <c r="J19" s="106"/>
      <c r="M19" s="100"/>
    </row>
    <row r="20" spans="1:13" ht="19" x14ac:dyDescent="0.2">
      <c r="A20" s="11" t="s">
        <v>102</v>
      </c>
      <c r="B20" s="6" t="s">
        <v>80</v>
      </c>
      <c r="C20" s="3" t="s">
        <v>103</v>
      </c>
      <c r="D20" s="51" t="s">
        <v>82</v>
      </c>
      <c r="E20" s="235"/>
      <c r="F20" s="99"/>
      <c r="I20" s="100"/>
      <c r="J20" s="106"/>
      <c r="M20" s="100"/>
    </row>
    <row r="21" spans="1:13" ht="19" x14ac:dyDescent="0.2">
      <c r="A21" s="11" t="s">
        <v>104</v>
      </c>
      <c r="B21" s="6" t="s">
        <v>80</v>
      </c>
      <c r="C21" s="3" t="s">
        <v>103</v>
      </c>
      <c r="D21" s="51" t="s">
        <v>82</v>
      </c>
      <c r="E21" s="235"/>
      <c r="F21" s="99"/>
      <c r="I21" s="100"/>
      <c r="J21" s="106"/>
      <c r="M21" s="100"/>
    </row>
    <row r="22" spans="1:13" ht="19" x14ac:dyDescent="0.2">
      <c r="A22" s="11" t="s">
        <v>105</v>
      </c>
      <c r="B22" s="2"/>
      <c r="C22" s="2"/>
      <c r="D22" s="2"/>
      <c r="E22" s="235"/>
      <c r="F22" s="99"/>
      <c r="I22" s="100"/>
      <c r="J22" s="106"/>
      <c r="M22" s="100"/>
    </row>
    <row r="23" spans="1:13" ht="19" x14ac:dyDescent="0.2">
      <c r="A23" s="13" t="s">
        <v>106</v>
      </c>
      <c r="B23" s="4" t="s">
        <v>107</v>
      </c>
      <c r="C23" s="7" t="s">
        <v>108</v>
      </c>
      <c r="D23" s="51" t="s">
        <v>96</v>
      </c>
      <c r="E23" s="235"/>
      <c r="F23" s="99"/>
      <c r="I23" s="100"/>
      <c r="J23" s="106"/>
      <c r="M23" s="100"/>
    </row>
    <row r="24" spans="1:13" ht="19" x14ac:dyDescent="0.2">
      <c r="A24" s="12" t="s">
        <v>109</v>
      </c>
      <c r="B24" s="53"/>
      <c r="C24" s="53"/>
      <c r="D24" s="53"/>
      <c r="E24" s="235"/>
      <c r="F24" s="99"/>
      <c r="I24" s="100"/>
      <c r="J24" s="106"/>
      <c r="M24" s="100"/>
    </row>
    <row r="25" spans="1:13" ht="19" x14ac:dyDescent="0.2">
      <c r="A25" s="20" t="s">
        <v>110</v>
      </c>
      <c r="B25" s="6" t="s">
        <v>85</v>
      </c>
      <c r="C25" s="50" t="s">
        <v>81</v>
      </c>
      <c r="D25" s="51" t="s">
        <v>96</v>
      </c>
      <c r="E25" s="235"/>
      <c r="F25" s="99"/>
      <c r="I25" s="100"/>
      <c r="J25" s="106"/>
      <c r="M25" s="100"/>
    </row>
    <row r="26" spans="1:13" ht="19" x14ac:dyDescent="0.2">
      <c r="A26" s="18" t="s">
        <v>111</v>
      </c>
      <c r="B26" s="54" t="s">
        <v>112</v>
      </c>
      <c r="C26" s="2"/>
      <c r="D26" s="2"/>
      <c r="E26" s="235"/>
      <c r="F26" s="99"/>
      <c r="I26" s="100"/>
      <c r="J26" s="106"/>
      <c r="M26" s="100"/>
    </row>
    <row r="27" spans="1:13" ht="20" thickBot="1" x14ac:dyDescent="0.25">
      <c r="A27" s="15" t="s">
        <v>113</v>
      </c>
      <c r="B27" s="16" t="s">
        <v>114</v>
      </c>
      <c r="C27" s="55" t="s">
        <v>103</v>
      </c>
      <c r="D27" s="17" t="s">
        <v>82</v>
      </c>
      <c r="E27" s="236"/>
      <c r="F27" s="103"/>
      <c r="G27" s="104"/>
      <c r="H27" s="104"/>
      <c r="I27" s="105"/>
      <c r="J27" s="109"/>
      <c r="K27" s="104"/>
      <c r="L27" s="104"/>
      <c r="M27" s="105"/>
    </row>
  </sheetData>
  <mergeCells count="1">
    <mergeCell ref="E3:E27"/>
  </mergeCells>
  <phoneticPr fontId="20" type="noConversion"/>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63EE0-91B6-2C48-AE8D-76E6CB4B934E}">
  <dimension ref="A1:Y28"/>
  <sheetViews>
    <sheetView zoomScale="123" zoomScaleNormal="123" workbookViewId="0">
      <selection activeCell="Q14" sqref="Q14"/>
    </sheetView>
  </sheetViews>
  <sheetFormatPr baseColWidth="10" defaultColWidth="11" defaultRowHeight="16" x14ac:dyDescent="0.2"/>
  <cols>
    <col min="1" max="1" width="28.83203125" customWidth="1"/>
    <col min="4" max="4" width="17.1640625" bestFit="1" customWidth="1"/>
    <col min="5" max="5" width="14.33203125" bestFit="1" customWidth="1"/>
  </cols>
  <sheetData>
    <row r="1" spans="1:25" ht="17" thickBot="1" x14ac:dyDescent="0.25"/>
    <row r="2" spans="1:25" ht="17" thickBot="1" x14ac:dyDescent="0.25">
      <c r="A2" s="30" t="s">
        <v>115</v>
      </c>
      <c r="B2" s="259" t="s">
        <v>20</v>
      </c>
      <c r="C2" s="260"/>
      <c r="D2" s="261"/>
      <c r="E2" s="259" t="s">
        <v>21</v>
      </c>
      <c r="F2" s="260"/>
      <c r="G2" s="261"/>
      <c r="H2" s="259" t="s">
        <v>22</v>
      </c>
      <c r="I2" s="260"/>
      <c r="J2" s="261"/>
      <c r="K2" s="259" t="s">
        <v>23</v>
      </c>
      <c r="L2" s="260"/>
      <c r="M2" s="261"/>
      <c r="N2" s="259" t="s">
        <v>20</v>
      </c>
      <c r="O2" s="260"/>
      <c r="P2" s="261"/>
      <c r="Q2" s="259" t="s">
        <v>21</v>
      </c>
      <c r="R2" s="260"/>
      <c r="S2" s="261"/>
      <c r="T2" s="259" t="s">
        <v>22</v>
      </c>
      <c r="U2" s="260"/>
      <c r="V2" s="261"/>
      <c r="W2" s="259" t="s">
        <v>23</v>
      </c>
      <c r="X2" s="260"/>
      <c r="Y2" s="261"/>
    </row>
    <row r="3" spans="1:25" ht="21" thickBot="1" x14ac:dyDescent="0.3">
      <c r="A3" s="117" t="s">
        <v>116</v>
      </c>
      <c r="B3" s="118" t="s">
        <v>117</v>
      </c>
      <c r="C3" s="119" t="s">
        <v>118</v>
      </c>
      <c r="D3" s="120" t="s">
        <v>119</v>
      </c>
      <c r="E3" s="118" t="s">
        <v>120</v>
      </c>
      <c r="F3" s="119" t="s">
        <v>37</v>
      </c>
      <c r="G3" s="120" t="s">
        <v>121</v>
      </c>
      <c r="H3" s="118" t="s">
        <v>122</v>
      </c>
      <c r="I3" s="119" t="s">
        <v>123</v>
      </c>
      <c r="J3" s="120" t="s">
        <v>124</v>
      </c>
      <c r="K3" s="118" t="s">
        <v>125</v>
      </c>
      <c r="L3" s="119" t="s">
        <v>126</v>
      </c>
      <c r="M3" s="120" t="s">
        <v>127</v>
      </c>
      <c r="N3" s="118" t="s">
        <v>117</v>
      </c>
      <c r="O3" s="119" t="s">
        <v>118</v>
      </c>
      <c r="P3" s="120" t="s">
        <v>119</v>
      </c>
      <c r="Q3" s="118" t="s">
        <v>120</v>
      </c>
      <c r="R3" s="119" t="s">
        <v>37</v>
      </c>
      <c r="S3" s="120" t="s">
        <v>121</v>
      </c>
      <c r="T3" s="118" t="s">
        <v>122</v>
      </c>
      <c r="U3" s="119" t="s">
        <v>123</v>
      </c>
      <c r="V3" s="120" t="s">
        <v>124</v>
      </c>
      <c r="W3" s="118" t="s">
        <v>125</v>
      </c>
      <c r="X3" s="119" t="s">
        <v>126</v>
      </c>
      <c r="Y3" s="120" t="s">
        <v>127</v>
      </c>
    </row>
    <row r="4" spans="1:25" x14ac:dyDescent="0.2">
      <c r="A4" s="22" t="s">
        <v>76</v>
      </c>
      <c r="B4" s="40"/>
      <c r="C4" s="40"/>
      <c r="D4" s="40"/>
      <c r="E4" s="40"/>
      <c r="F4" s="40"/>
      <c r="G4" s="40"/>
      <c r="H4" s="40"/>
      <c r="I4" s="40"/>
      <c r="J4" s="40"/>
      <c r="K4" s="40"/>
      <c r="L4" s="238" t="s">
        <v>77</v>
      </c>
      <c r="M4" s="239"/>
      <c r="N4" s="106"/>
      <c r="Y4" s="100"/>
    </row>
    <row r="5" spans="1:25" x14ac:dyDescent="0.2">
      <c r="A5" s="23" t="s">
        <v>78</v>
      </c>
      <c r="B5" s="40"/>
      <c r="C5" s="40"/>
      <c r="D5" s="40"/>
      <c r="E5" s="40"/>
      <c r="F5" s="40"/>
      <c r="G5" s="40"/>
      <c r="H5" s="40"/>
      <c r="I5" s="40"/>
      <c r="J5" s="40"/>
      <c r="K5" s="40"/>
      <c r="L5" s="238"/>
      <c r="M5" s="239"/>
      <c r="N5" s="106"/>
      <c r="Y5" s="100"/>
    </row>
    <row r="6" spans="1:25" x14ac:dyDescent="0.2">
      <c r="A6" s="24" t="s">
        <v>128</v>
      </c>
      <c r="B6" s="40"/>
      <c r="C6" s="40"/>
      <c r="D6" s="6" t="s">
        <v>85</v>
      </c>
      <c r="E6" s="242" t="s">
        <v>103</v>
      </c>
      <c r="F6" s="243"/>
      <c r="G6" s="248" t="s">
        <v>107</v>
      </c>
      <c r="H6" s="249"/>
      <c r="I6" s="254" t="s">
        <v>96</v>
      </c>
      <c r="J6" s="40"/>
      <c r="K6" s="40"/>
      <c r="L6" s="238"/>
      <c r="M6" s="239"/>
      <c r="N6" s="106"/>
      <c r="Y6" s="100"/>
    </row>
    <row r="7" spans="1:25" x14ac:dyDescent="0.2">
      <c r="A7" s="24" t="s">
        <v>83</v>
      </c>
      <c r="B7" s="40"/>
      <c r="C7" s="40"/>
      <c r="D7" s="6" t="s">
        <v>85</v>
      </c>
      <c r="E7" s="244"/>
      <c r="F7" s="245"/>
      <c r="G7" s="250"/>
      <c r="H7" s="251"/>
      <c r="I7" s="255"/>
      <c r="J7" s="40"/>
      <c r="K7" s="40"/>
      <c r="L7" s="238"/>
      <c r="M7" s="239"/>
      <c r="N7" s="106"/>
      <c r="Y7" s="100"/>
    </row>
    <row r="8" spans="1:25" x14ac:dyDescent="0.2">
      <c r="A8" s="24" t="s">
        <v>84</v>
      </c>
      <c r="B8" s="40"/>
      <c r="C8" s="40"/>
      <c r="D8" s="6" t="s">
        <v>85</v>
      </c>
      <c r="E8" s="246"/>
      <c r="F8" s="247"/>
      <c r="G8" s="252"/>
      <c r="H8" s="253"/>
      <c r="I8" s="256"/>
      <c r="J8" s="40"/>
      <c r="K8" s="40"/>
      <c r="L8" s="238"/>
      <c r="M8" s="239"/>
      <c r="N8" s="106"/>
      <c r="Y8" s="100"/>
    </row>
    <row r="9" spans="1:25" x14ac:dyDescent="0.2">
      <c r="A9" s="25" t="s">
        <v>86</v>
      </c>
      <c r="B9" s="40"/>
      <c r="C9" s="40"/>
      <c r="D9" s="40"/>
      <c r="E9" s="6" t="s">
        <v>80</v>
      </c>
      <c r="F9" s="5" t="s">
        <v>129</v>
      </c>
      <c r="G9" s="4" t="s">
        <v>107</v>
      </c>
      <c r="H9" s="41" t="s">
        <v>96</v>
      </c>
      <c r="I9" s="40"/>
      <c r="J9" s="40"/>
      <c r="K9" s="40"/>
      <c r="L9" s="238"/>
      <c r="M9" s="239"/>
      <c r="N9" s="106"/>
      <c r="Y9" s="100"/>
    </row>
    <row r="10" spans="1:25" x14ac:dyDescent="0.2">
      <c r="A10" s="23" t="s">
        <v>88</v>
      </c>
      <c r="B10" s="40"/>
      <c r="C10" s="40"/>
      <c r="D10" s="40"/>
      <c r="E10" s="40"/>
      <c r="F10" s="40"/>
      <c r="G10" s="40"/>
      <c r="H10" s="40"/>
      <c r="I10" s="40"/>
      <c r="J10" s="40"/>
      <c r="K10" s="40"/>
      <c r="L10" s="238"/>
      <c r="M10" s="239"/>
      <c r="N10" s="106"/>
      <c r="Y10" s="100"/>
    </row>
    <row r="11" spans="1:25" x14ac:dyDescent="0.2">
      <c r="A11" s="24" t="s">
        <v>89</v>
      </c>
      <c r="B11" s="40"/>
      <c r="C11" s="40"/>
      <c r="D11" s="6" t="s">
        <v>85</v>
      </c>
      <c r="E11" s="3" t="s">
        <v>103</v>
      </c>
      <c r="F11" s="4" t="s">
        <v>107</v>
      </c>
      <c r="G11" s="40"/>
      <c r="H11" s="40"/>
      <c r="I11" s="40"/>
      <c r="J11" s="40"/>
      <c r="K11" s="40"/>
      <c r="L11" s="238"/>
      <c r="M11" s="239"/>
      <c r="N11" s="106"/>
      <c r="Y11" s="100"/>
    </row>
    <row r="12" spans="1:25" x14ac:dyDescent="0.2">
      <c r="A12" s="24" t="s">
        <v>91</v>
      </c>
      <c r="B12" s="40"/>
      <c r="C12" s="40"/>
      <c r="D12" s="6" t="s">
        <v>80</v>
      </c>
      <c r="E12" s="6" t="s">
        <v>129</v>
      </c>
      <c r="F12" s="3" t="s">
        <v>103</v>
      </c>
      <c r="G12" s="4" t="s">
        <v>107</v>
      </c>
      <c r="H12" s="40"/>
      <c r="I12" s="40"/>
      <c r="J12" s="40"/>
      <c r="K12" s="40"/>
      <c r="L12" s="238"/>
      <c r="M12" s="239"/>
      <c r="N12" s="106"/>
      <c r="Y12" s="100"/>
    </row>
    <row r="13" spans="1:25" x14ac:dyDescent="0.2">
      <c r="A13" s="24" t="s">
        <v>92</v>
      </c>
      <c r="B13" s="40"/>
      <c r="C13" s="40"/>
      <c r="D13" s="40"/>
      <c r="E13" s="40"/>
      <c r="F13" s="40"/>
      <c r="G13" s="3" t="s">
        <v>103</v>
      </c>
      <c r="H13" s="4" t="s">
        <v>107</v>
      </c>
      <c r="I13" s="4" t="s">
        <v>107</v>
      </c>
      <c r="J13" s="41" t="s">
        <v>96</v>
      </c>
      <c r="K13" s="40"/>
      <c r="L13" s="238"/>
      <c r="M13" s="239"/>
      <c r="N13" s="106"/>
      <c r="Y13" s="100"/>
    </row>
    <row r="14" spans="1:25" x14ac:dyDescent="0.2">
      <c r="A14" s="28" t="s">
        <v>130</v>
      </c>
      <c r="B14" s="237" t="s">
        <v>103</v>
      </c>
      <c r="C14" s="237"/>
      <c r="D14" s="40"/>
      <c r="E14" s="40"/>
      <c r="F14" s="4" t="s">
        <v>107</v>
      </c>
      <c r="G14" s="41" t="s">
        <v>96</v>
      </c>
      <c r="H14" s="2"/>
      <c r="I14" s="2"/>
      <c r="J14" s="2"/>
      <c r="K14" s="40"/>
      <c r="L14" s="238"/>
      <c r="M14" s="239"/>
      <c r="N14" s="106"/>
      <c r="Y14" s="100"/>
    </row>
    <row r="15" spans="1:25" x14ac:dyDescent="0.2">
      <c r="A15" s="22" t="s">
        <v>93</v>
      </c>
      <c r="B15" s="40"/>
      <c r="C15" s="40"/>
      <c r="D15" s="40"/>
      <c r="E15" s="40"/>
      <c r="F15" s="40"/>
      <c r="G15" s="40"/>
      <c r="H15" s="40"/>
      <c r="I15" s="40"/>
      <c r="J15" s="40"/>
      <c r="K15" s="40"/>
      <c r="L15" s="238"/>
      <c r="M15" s="239"/>
      <c r="N15" s="106"/>
      <c r="Y15" s="100"/>
    </row>
    <row r="16" spans="1:25" x14ac:dyDescent="0.2">
      <c r="A16" s="26" t="s">
        <v>94</v>
      </c>
      <c r="B16" s="40"/>
      <c r="C16" s="40"/>
      <c r="D16" s="40"/>
      <c r="E16" s="40"/>
      <c r="F16" s="40"/>
      <c r="G16" s="40"/>
      <c r="H16" s="40"/>
      <c r="I16" s="40"/>
      <c r="J16" s="40"/>
      <c r="K16" s="40"/>
      <c r="L16" s="238"/>
      <c r="M16" s="239"/>
      <c r="N16" s="106"/>
      <c r="Y16" s="100"/>
    </row>
    <row r="17" spans="1:25" x14ac:dyDescent="0.2">
      <c r="A17" s="24" t="s">
        <v>95</v>
      </c>
      <c r="B17" s="40"/>
      <c r="C17" s="40"/>
      <c r="D17" s="6" t="s">
        <v>85</v>
      </c>
      <c r="E17" s="3" t="s">
        <v>103</v>
      </c>
      <c r="F17" s="3" t="s">
        <v>103</v>
      </c>
      <c r="G17" s="4" t="s">
        <v>107</v>
      </c>
      <c r="H17" s="4" t="s">
        <v>107</v>
      </c>
      <c r="I17" s="41" t="s">
        <v>96</v>
      </c>
      <c r="J17" s="40"/>
      <c r="K17" s="40"/>
      <c r="L17" s="238"/>
      <c r="M17" s="239"/>
      <c r="N17" s="106"/>
      <c r="Y17" s="100"/>
    </row>
    <row r="18" spans="1:25" x14ac:dyDescent="0.2">
      <c r="A18" s="24" t="s">
        <v>97</v>
      </c>
      <c r="B18" s="40"/>
      <c r="C18" s="40"/>
      <c r="D18" s="6" t="s">
        <v>85</v>
      </c>
      <c r="E18" s="40"/>
      <c r="F18" s="3" t="s">
        <v>103</v>
      </c>
      <c r="G18" s="4" t="s">
        <v>107</v>
      </c>
      <c r="H18" s="41" t="s">
        <v>99</v>
      </c>
      <c r="I18" s="40"/>
      <c r="J18" s="40"/>
      <c r="K18" s="40"/>
      <c r="L18" s="238"/>
      <c r="M18" s="239"/>
      <c r="N18" s="106"/>
      <c r="Y18" s="100"/>
    </row>
    <row r="19" spans="1:25" x14ac:dyDescent="0.2">
      <c r="A19" s="27" t="s">
        <v>98</v>
      </c>
      <c r="B19" s="40"/>
      <c r="C19" s="40"/>
      <c r="D19" s="6" t="s">
        <v>80</v>
      </c>
      <c r="E19" s="3" t="s">
        <v>103</v>
      </c>
      <c r="F19" s="4" t="s">
        <v>107</v>
      </c>
      <c r="G19" s="41" t="s">
        <v>96</v>
      </c>
      <c r="H19" s="40"/>
      <c r="I19" s="40"/>
      <c r="J19" s="40"/>
      <c r="K19" s="40"/>
      <c r="L19" s="238"/>
      <c r="M19" s="239"/>
      <c r="N19" s="106"/>
      <c r="Y19" s="100"/>
    </row>
    <row r="20" spans="1:25" x14ac:dyDescent="0.2">
      <c r="A20" s="24" t="s">
        <v>100</v>
      </c>
      <c r="B20" s="40"/>
      <c r="C20" s="40"/>
      <c r="D20" s="40"/>
      <c r="E20" s="40"/>
      <c r="F20" s="6" t="s">
        <v>85</v>
      </c>
      <c r="G20" s="4" t="s">
        <v>107</v>
      </c>
      <c r="H20" s="41" t="s">
        <v>96</v>
      </c>
      <c r="I20" s="40"/>
      <c r="J20" s="40"/>
      <c r="K20" s="40"/>
      <c r="L20" s="238"/>
      <c r="M20" s="239"/>
      <c r="N20" s="106"/>
      <c r="Y20" s="100"/>
    </row>
    <row r="21" spans="1:25" x14ac:dyDescent="0.2">
      <c r="A21" s="26" t="s">
        <v>101</v>
      </c>
      <c r="B21" s="40"/>
      <c r="C21" s="40"/>
      <c r="D21" s="40"/>
      <c r="E21" s="40"/>
      <c r="F21" s="40"/>
      <c r="G21" s="40"/>
      <c r="H21" s="40"/>
      <c r="I21" s="40"/>
      <c r="J21" s="40"/>
      <c r="K21" s="40"/>
      <c r="L21" s="238"/>
      <c r="M21" s="239"/>
      <c r="N21" s="106"/>
      <c r="Y21" s="100"/>
    </row>
    <row r="22" spans="1:25" x14ac:dyDescent="0.2">
      <c r="A22" s="24" t="s">
        <v>102</v>
      </c>
      <c r="B22" s="6" t="s">
        <v>80</v>
      </c>
      <c r="C22" s="6" t="s">
        <v>129</v>
      </c>
      <c r="D22" s="6" t="s">
        <v>131</v>
      </c>
      <c r="E22" s="6" t="s">
        <v>131</v>
      </c>
      <c r="F22" s="4" t="s">
        <v>107</v>
      </c>
      <c r="G22" s="41" t="s">
        <v>96</v>
      </c>
      <c r="H22" s="40"/>
      <c r="I22" s="40"/>
      <c r="J22" s="40"/>
      <c r="K22" s="40"/>
      <c r="L22" s="238"/>
      <c r="M22" s="239"/>
      <c r="N22" s="106"/>
      <c r="Y22" s="100"/>
    </row>
    <row r="23" spans="1:25" x14ac:dyDescent="0.2">
      <c r="A23" s="24" t="s">
        <v>104</v>
      </c>
      <c r="B23" s="40"/>
      <c r="C23" s="40"/>
      <c r="D23" s="40"/>
      <c r="E23" s="3" t="s">
        <v>103</v>
      </c>
      <c r="F23" s="41" t="s">
        <v>99</v>
      </c>
      <c r="G23" s="40"/>
      <c r="H23" s="40"/>
      <c r="I23" s="40"/>
      <c r="J23" s="40"/>
      <c r="K23" s="40"/>
      <c r="L23" s="238"/>
      <c r="M23" s="239"/>
      <c r="N23" s="106"/>
      <c r="Y23" s="100"/>
    </row>
    <row r="24" spans="1:25" x14ac:dyDescent="0.2">
      <c r="A24" s="24" t="s">
        <v>105</v>
      </c>
      <c r="B24" s="40"/>
      <c r="C24" s="40"/>
      <c r="D24" s="40"/>
      <c r="E24" s="40"/>
      <c r="F24" s="40"/>
      <c r="G24" s="40"/>
      <c r="H24" s="6" t="s">
        <v>80</v>
      </c>
      <c r="I24" s="6" t="s">
        <v>129</v>
      </c>
      <c r="J24" s="41" t="s">
        <v>96</v>
      </c>
      <c r="K24" s="40"/>
      <c r="L24" s="238"/>
      <c r="M24" s="239"/>
      <c r="N24" s="106"/>
      <c r="Y24" s="100"/>
    </row>
    <row r="25" spans="1:25" x14ac:dyDescent="0.2">
      <c r="A25" s="26" t="s">
        <v>106</v>
      </c>
      <c r="B25" s="40"/>
      <c r="C25" s="40"/>
      <c r="D25" s="40"/>
      <c r="E25" s="3" t="s">
        <v>103</v>
      </c>
      <c r="F25" s="4" t="s">
        <v>107</v>
      </c>
      <c r="G25" s="42" t="s">
        <v>108</v>
      </c>
      <c r="H25" s="42" t="s">
        <v>108</v>
      </c>
      <c r="I25" s="41" t="s">
        <v>96</v>
      </c>
      <c r="J25" s="40"/>
      <c r="K25" s="40"/>
      <c r="L25" s="238"/>
      <c r="M25" s="239"/>
      <c r="N25" s="106"/>
      <c r="Y25" s="100"/>
    </row>
    <row r="26" spans="1:25" ht="32" x14ac:dyDescent="0.2">
      <c r="A26" s="22" t="s">
        <v>109</v>
      </c>
      <c r="B26" s="40"/>
      <c r="C26" s="40"/>
      <c r="D26" s="40"/>
      <c r="E26" s="40"/>
      <c r="F26" s="40"/>
      <c r="G26" s="40"/>
      <c r="H26" s="40"/>
      <c r="I26" s="40"/>
      <c r="J26" s="40"/>
      <c r="K26" s="40"/>
      <c r="L26" s="238"/>
      <c r="M26" s="239"/>
      <c r="N26" s="106"/>
      <c r="Y26" s="100"/>
    </row>
    <row r="27" spans="1:25" x14ac:dyDescent="0.2">
      <c r="A27" s="28" t="s">
        <v>110</v>
      </c>
      <c r="B27" s="6" t="s">
        <v>80</v>
      </c>
      <c r="C27" s="6" t="s">
        <v>129</v>
      </c>
      <c r="D27" s="257" t="s">
        <v>103</v>
      </c>
      <c r="E27" s="257"/>
      <c r="F27" s="41" t="s">
        <v>99</v>
      </c>
      <c r="G27" s="40"/>
      <c r="H27" s="40"/>
      <c r="I27" s="40"/>
      <c r="J27" s="40"/>
      <c r="K27" s="40"/>
      <c r="L27" s="238"/>
      <c r="M27" s="239"/>
      <c r="N27" s="106"/>
      <c r="Y27" s="100"/>
    </row>
    <row r="28" spans="1:25" ht="17" thickBot="1" x14ac:dyDescent="0.25">
      <c r="A28" s="29" t="s">
        <v>113</v>
      </c>
      <c r="B28" s="43" t="s">
        <v>80</v>
      </c>
      <c r="C28" s="43" t="s">
        <v>129</v>
      </c>
      <c r="D28" s="258" t="s">
        <v>103</v>
      </c>
      <c r="E28" s="258"/>
      <c r="F28" s="44" t="s">
        <v>107</v>
      </c>
      <c r="G28" s="45" t="s">
        <v>96</v>
      </c>
      <c r="H28" s="46"/>
      <c r="I28" s="46"/>
      <c r="J28" s="46"/>
      <c r="K28" s="46"/>
      <c r="L28" s="240"/>
      <c r="M28" s="241"/>
      <c r="N28" s="109"/>
      <c r="O28" s="104"/>
      <c r="P28" s="104"/>
      <c r="Q28" s="104"/>
      <c r="R28" s="104"/>
      <c r="S28" s="104"/>
      <c r="T28" s="104"/>
      <c r="U28" s="104"/>
      <c r="V28" s="104"/>
      <c r="W28" s="104"/>
      <c r="X28" s="104"/>
      <c r="Y28" s="105"/>
    </row>
  </sheetData>
  <mergeCells count="15">
    <mergeCell ref="Q2:S2"/>
    <mergeCell ref="T2:V2"/>
    <mergeCell ref="W2:Y2"/>
    <mergeCell ref="B2:D2"/>
    <mergeCell ref="E2:G2"/>
    <mergeCell ref="H2:J2"/>
    <mergeCell ref="K2:M2"/>
    <mergeCell ref="N2:P2"/>
    <mergeCell ref="B14:C14"/>
    <mergeCell ref="L4:M28"/>
    <mergeCell ref="E6:F8"/>
    <mergeCell ref="G6:H8"/>
    <mergeCell ref="I6:I8"/>
    <mergeCell ref="D27:E27"/>
    <mergeCell ref="D28:E28"/>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A74A-974A-014C-83CF-66AB738EFD73}">
  <sheetPr>
    <tabColor theme="5"/>
    <pageSetUpPr fitToPage="1"/>
  </sheetPr>
  <dimension ref="A1:CT132"/>
  <sheetViews>
    <sheetView topLeftCell="B1" zoomScale="152" zoomScaleNormal="152" workbookViewId="0">
      <pane xSplit="24" ySplit="1" topLeftCell="AA2" activePane="bottomRight" state="frozen"/>
      <selection pane="topRight" activeCell="Y1" sqref="Y1"/>
      <selection pane="bottomLeft" activeCell="B2" sqref="B2"/>
      <selection pane="bottomRight" activeCell="B7" sqref="B7"/>
    </sheetView>
  </sheetViews>
  <sheetFormatPr baseColWidth="10" defaultColWidth="11" defaultRowHeight="16" x14ac:dyDescent="0.2"/>
  <cols>
    <col min="1" max="1" width="10.5" hidden="1" customWidth="1"/>
    <col min="2" max="2" width="10.83203125" bestFit="1" customWidth="1"/>
    <col min="3" max="3" width="33.5" hidden="1" customWidth="1"/>
    <col min="4" max="4" width="10.33203125" hidden="1" customWidth="1"/>
    <col min="5" max="5" width="40.5" customWidth="1"/>
    <col min="6" max="6" width="11.83203125" bestFit="1" customWidth="1"/>
    <col min="7" max="7" width="18.83203125" customWidth="1"/>
    <col min="8" max="22" width="0" hidden="1" customWidth="1"/>
    <col min="23" max="23" width="11" hidden="1" customWidth="1"/>
    <col min="24" max="26" width="0" hidden="1" customWidth="1"/>
  </cols>
  <sheetData>
    <row r="1" spans="1:98" s="21" customFormat="1" ht="17" thickBot="1" x14ac:dyDescent="0.25">
      <c r="A1" s="80" t="s">
        <v>132</v>
      </c>
      <c r="B1" s="127" t="s">
        <v>133</v>
      </c>
      <c r="C1" s="128" t="s">
        <v>134</v>
      </c>
      <c r="D1" s="128" t="s">
        <v>135</v>
      </c>
      <c r="E1" s="128" t="s">
        <v>136</v>
      </c>
      <c r="F1" s="128" t="s">
        <v>26</v>
      </c>
      <c r="G1" s="128" t="s">
        <v>27</v>
      </c>
      <c r="H1" s="129">
        <v>46125</v>
      </c>
      <c r="I1" s="129">
        <v>46132</v>
      </c>
      <c r="J1" s="129">
        <v>46139</v>
      </c>
      <c r="K1" s="129">
        <v>46146</v>
      </c>
      <c r="L1" s="129">
        <v>46153</v>
      </c>
      <c r="M1" s="129">
        <v>46160</v>
      </c>
      <c r="N1" s="129">
        <v>46167</v>
      </c>
      <c r="O1" s="130">
        <v>46174</v>
      </c>
      <c r="P1" s="130">
        <v>46181</v>
      </c>
      <c r="Q1" s="130">
        <v>46188</v>
      </c>
      <c r="R1" s="130">
        <v>46195</v>
      </c>
      <c r="S1" s="130">
        <v>46202</v>
      </c>
      <c r="T1" s="130">
        <v>46209</v>
      </c>
      <c r="U1" s="130">
        <v>46216</v>
      </c>
      <c r="V1" s="131">
        <v>46223</v>
      </c>
      <c r="W1" s="131">
        <v>46230</v>
      </c>
      <c r="X1" s="131">
        <v>46237</v>
      </c>
      <c r="Y1" s="131">
        <v>46244</v>
      </c>
      <c r="Z1" s="131">
        <v>46251</v>
      </c>
      <c r="AA1" s="131">
        <v>46258</v>
      </c>
      <c r="AB1" s="131">
        <v>46265</v>
      </c>
      <c r="AC1" s="131">
        <v>46272</v>
      </c>
      <c r="AD1" s="131">
        <v>46279</v>
      </c>
      <c r="AE1" s="131">
        <v>46286</v>
      </c>
      <c r="AF1" s="131">
        <v>46293</v>
      </c>
      <c r="AG1" s="131">
        <v>46300</v>
      </c>
      <c r="AH1" s="131">
        <v>46307</v>
      </c>
      <c r="AI1" s="131">
        <v>46314</v>
      </c>
      <c r="AJ1" s="131">
        <v>46321</v>
      </c>
      <c r="AK1" s="131">
        <v>46328</v>
      </c>
      <c r="AL1" s="131">
        <v>46335</v>
      </c>
      <c r="AM1" s="131">
        <v>46342</v>
      </c>
      <c r="AN1" s="131">
        <v>46349</v>
      </c>
      <c r="AO1" s="131">
        <v>46356</v>
      </c>
      <c r="AP1" s="131">
        <v>46363</v>
      </c>
      <c r="AQ1" s="131">
        <v>46370</v>
      </c>
      <c r="AR1" s="131">
        <v>46377</v>
      </c>
      <c r="AS1" s="131">
        <v>46384</v>
      </c>
      <c r="AT1" s="131">
        <v>46391</v>
      </c>
      <c r="AU1" s="131">
        <v>46398</v>
      </c>
      <c r="AV1" s="131">
        <v>46405</v>
      </c>
      <c r="AW1" s="131">
        <v>46412</v>
      </c>
      <c r="AX1" s="131">
        <v>46419</v>
      </c>
      <c r="AY1" s="131">
        <v>46426</v>
      </c>
      <c r="AZ1" s="131">
        <v>46433</v>
      </c>
      <c r="BA1" s="131">
        <v>46440</v>
      </c>
      <c r="BB1" s="131">
        <v>46447</v>
      </c>
      <c r="BC1" s="131">
        <v>46454</v>
      </c>
      <c r="BD1" s="131">
        <v>46461</v>
      </c>
      <c r="BE1" s="131">
        <v>46468</v>
      </c>
      <c r="BF1" s="131">
        <v>46475</v>
      </c>
      <c r="BG1" s="131">
        <v>46482</v>
      </c>
      <c r="BH1" s="131">
        <v>46489</v>
      </c>
      <c r="BI1" s="131">
        <v>46496</v>
      </c>
      <c r="BJ1" s="131">
        <v>46503</v>
      </c>
      <c r="BK1" s="131">
        <v>46510</v>
      </c>
      <c r="BL1" s="131">
        <v>46517</v>
      </c>
      <c r="BM1" s="131">
        <v>46524</v>
      </c>
      <c r="BN1" s="131">
        <v>46531</v>
      </c>
      <c r="BO1" s="131">
        <v>46538</v>
      </c>
      <c r="BP1" s="131">
        <v>46545</v>
      </c>
      <c r="BQ1" s="131">
        <v>46552</v>
      </c>
      <c r="BR1" s="131">
        <v>46559</v>
      </c>
      <c r="BS1" s="131">
        <v>46566</v>
      </c>
      <c r="BT1" s="131">
        <v>46573</v>
      </c>
      <c r="BU1" s="131">
        <v>46580</v>
      </c>
      <c r="BV1" s="131">
        <v>46587</v>
      </c>
      <c r="BW1" s="131">
        <v>46594</v>
      </c>
      <c r="BX1" s="131">
        <v>46601</v>
      </c>
      <c r="BY1" s="131">
        <v>46608</v>
      </c>
      <c r="BZ1" s="131">
        <v>46615</v>
      </c>
      <c r="CA1" s="131">
        <v>46622</v>
      </c>
      <c r="CB1" s="131">
        <v>46629</v>
      </c>
      <c r="CC1" s="131">
        <v>46636</v>
      </c>
      <c r="CD1" s="131">
        <v>46643</v>
      </c>
      <c r="CE1" s="131">
        <v>46650</v>
      </c>
      <c r="CF1" s="131">
        <v>46657</v>
      </c>
      <c r="CG1" s="131">
        <v>46664</v>
      </c>
      <c r="CH1" s="131">
        <v>46671</v>
      </c>
      <c r="CI1" s="131">
        <v>46678</v>
      </c>
      <c r="CJ1" s="131">
        <v>46685</v>
      </c>
      <c r="CK1" s="131">
        <v>46692</v>
      </c>
      <c r="CL1" s="131">
        <v>46699</v>
      </c>
      <c r="CM1" s="131">
        <v>46706</v>
      </c>
      <c r="CN1" s="131">
        <v>46713</v>
      </c>
      <c r="CO1" s="131">
        <v>46720</v>
      </c>
      <c r="CP1" s="131">
        <v>46727</v>
      </c>
      <c r="CQ1" s="131">
        <v>46734</v>
      </c>
      <c r="CR1" s="131">
        <v>46741</v>
      </c>
      <c r="CS1" s="131">
        <v>46748</v>
      </c>
      <c r="CT1" s="132">
        <v>46755</v>
      </c>
    </row>
    <row r="2" spans="1:98" x14ac:dyDescent="0.2">
      <c r="A2" s="69" t="s">
        <v>137</v>
      </c>
      <c r="B2" s="70" t="s">
        <v>138</v>
      </c>
      <c r="C2" s="121" t="s">
        <v>139</v>
      </c>
      <c r="D2" s="121" t="s">
        <v>140</v>
      </c>
      <c r="E2" s="121" t="s">
        <v>141</v>
      </c>
      <c r="F2" s="121" t="s">
        <v>142</v>
      </c>
      <c r="G2" s="70" t="s">
        <v>143</v>
      </c>
      <c r="H2" s="122"/>
      <c r="I2" s="122"/>
      <c r="J2" s="122"/>
      <c r="K2" s="123"/>
      <c r="L2" s="123"/>
      <c r="M2" s="123"/>
      <c r="N2" s="123"/>
      <c r="O2" s="124" t="s">
        <v>144</v>
      </c>
      <c r="P2" s="124" t="s">
        <v>144</v>
      </c>
      <c r="Q2" s="124" t="s">
        <v>144</v>
      </c>
      <c r="R2" s="124"/>
      <c r="S2" s="124"/>
      <c r="T2" s="124"/>
      <c r="U2" s="124"/>
      <c r="V2" s="125"/>
      <c r="W2" s="125"/>
      <c r="X2" s="125"/>
      <c r="Y2" s="125"/>
      <c r="Z2" s="125"/>
      <c r="AA2" s="125"/>
      <c r="AB2" s="125"/>
      <c r="AC2" s="125"/>
      <c r="AD2" s="125"/>
      <c r="AE2" s="125"/>
      <c r="AF2" s="125"/>
      <c r="AG2" s="125"/>
      <c r="AH2" s="125"/>
      <c r="AI2" s="126"/>
      <c r="AJ2" s="126"/>
      <c r="AK2" s="126"/>
      <c r="AL2" s="126"/>
      <c r="AM2" s="126"/>
      <c r="AN2" s="126"/>
      <c r="AO2" s="126"/>
      <c r="AP2" s="126"/>
      <c r="AQ2" s="126"/>
      <c r="AR2" s="126"/>
      <c r="AS2" s="126"/>
      <c r="AT2" s="70"/>
      <c r="AU2" s="70"/>
      <c r="AV2" s="70"/>
      <c r="AW2" s="70"/>
      <c r="AX2" s="70"/>
      <c r="AY2" s="70"/>
      <c r="AZ2" s="70"/>
      <c r="BA2" s="70"/>
      <c r="BB2" s="70"/>
      <c r="BC2" s="70"/>
      <c r="BD2" s="70"/>
      <c r="BE2" s="70"/>
      <c r="BF2" s="70"/>
      <c r="BG2" s="70"/>
      <c r="BH2" s="70"/>
      <c r="BI2" s="70"/>
      <c r="BJ2" s="70"/>
      <c r="BK2" s="70"/>
      <c r="BL2" s="70"/>
      <c r="BM2" s="70"/>
      <c r="BN2" s="70"/>
      <c r="BO2" s="70"/>
      <c r="BP2" s="70"/>
      <c r="BQ2" s="70"/>
      <c r="BR2" s="70"/>
      <c r="BS2" s="70"/>
      <c r="BT2" s="70"/>
      <c r="BU2" s="70"/>
      <c r="BV2" s="70"/>
      <c r="BW2" s="70"/>
      <c r="BX2" s="70"/>
      <c r="BY2" s="70"/>
      <c r="BZ2" s="70"/>
      <c r="CA2" s="70"/>
      <c r="CB2" s="70"/>
      <c r="CC2" s="70"/>
      <c r="CD2" s="70"/>
      <c r="CE2" s="70"/>
      <c r="CF2" s="70"/>
      <c r="CG2" s="70"/>
      <c r="CH2" s="70"/>
      <c r="CI2" s="70"/>
      <c r="CJ2" s="70"/>
      <c r="CK2" s="70"/>
      <c r="CL2" s="70"/>
      <c r="CM2" s="70"/>
      <c r="CN2" s="70"/>
      <c r="CO2" s="70"/>
      <c r="CP2" s="70"/>
      <c r="CQ2" s="70"/>
      <c r="CR2" s="70"/>
      <c r="CS2" s="70"/>
      <c r="CT2" s="70"/>
    </row>
    <row r="3" spans="1:98" x14ac:dyDescent="0.2">
      <c r="A3" s="69" t="s">
        <v>137</v>
      </c>
      <c r="B3" s="37" t="s">
        <v>145</v>
      </c>
      <c r="C3" s="39" t="s">
        <v>146</v>
      </c>
      <c r="D3" s="37"/>
      <c r="E3" s="39" t="s">
        <v>147</v>
      </c>
      <c r="F3" s="39" t="s">
        <v>148</v>
      </c>
      <c r="G3" s="37" t="s">
        <v>143</v>
      </c>
      <c r="H3" s="33"/>
      <c r="I3" s="33"/>
      <c r="J3" s="33"/>
      <c r="K3" s="33"/>
      <c r="L3" s="32"/>
      <c r="M3" s="33"/>
      <c r="N3" s="33"/>
      <c r="O3" s="36"/>
      <c r="P3" s="62" t="s">
        <v>149</v>
      </c>
      <c r="Q3" s="62"/>
      <c r="R3" s="36"/>
      <c r="S3" s="36"/>
      <c r="T3" s="36"/>
      <c r="U3" s="36"/>
      <c r="V3" s="34"/>
      <c r="W3" s="34"/>
      <c r="X3" s="34"/>
      <c r="Y3" s="34"/>
      <c r="Z3" s="34"/>
      <c r="AA3" s="34"/>
      <c r="AB3" s="34"/>
      <c r="AC3" s="34"/>
      <c r="AD3" s="34"/>
      <c r="AE3" s="34"/>
      <c r="AF3" s="34"/>
      <c r="AG3" s="68" t="s">
        <v>149</v>
      </c>
      <c r="AH3" s="68" t="s">
        <v>149</v>
      </c>
      <c r="AI3" s="68" t="s">
        <v>149</v>
      </c>
      <c r="AJ3" s="68" t="s">
        <v>149</v>
      </c>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row>
    <row r="4" spans="1:98" x14ac:dyDescent="0.2">
      <c r="A4" s="69" t="s">
        <v>137</v>
      </c>
      <c r="B4" s="37" t="s">
        <v>145</v>
      </c>
      <c r="C4" s="39" t="s">
        <v>150</v>
      </c>
      <c r="D4" s="37"/>
      <c r="E4" s="39" t="s">
        <v>151</v>
      </c>
      <c r="F4" s="216" t="s">
        <v>152</v>
      </c>
      <c r="G4" s="37" t="s">
        <v>153</v>
      </c>
      <c r="H4" s="33"/>
      <c r="I4" s="33" t="s">
        <v>154</v>
      </c>
      <c r="J4" s="33"/>
      <c r="K4" s="33" t="s">
        <v>154</v>
      </c>
      <c r="L4" s="32"/>
      <c r="M4" s="33"/>
      <c r="N4" s="32"/>
      <c r="O4" s="36"/>
      <c r="P4" s="62" t="s">
        <v>154</v>
      </c>
      <c r="Q4" s="36"/>
      <c r="R4" s="36"/>
      <c r="S4" s="36"/>
      <c r="T4" s="36"/>
      <c r="U4" s="36"/>
      <c r="V4" s="34"/>
      <c r="W4" s="34"/>
      <c r="X4" s="34"/>
      <c r="Y4" s="34"/>
      <c r="Z4" s="34"/>
      <c r="AA4" s="34"/>
      <c r="AB4" s="68" t="s">
        <v>154</v>
      </c>
      <c r="AC4" s="68" t="s">
        <v>154</v>
      </c>
      <c r="AD4" s="68" t="s">
        <v>154</v>
      </c>
      <c r="AE4" s="34"/>
      <c r="AF4" s="34"/>
      <c r="AG4" s="34"/>
      <c r="AH4" s="34"/>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row>
    <row r="5" spans="1:98" x14ac:dyDescent="0.2">
      <c r="A5" s="69" t="s">
        <v>137</v>
      </c>
      <c r="B5" s="37" t="s">
        <v>145</v>
      </c>
      <c r="C5" s="39" t="s">
        <v>155</v>
      </c>
      <c r="D5" s="37"/>
      <c r="E5" s="37" t="s">
        <v>156</v>
      </c>
      <c r="F5" s="39"/>
      <c r="G5" s="37" t="s">
        <v>153</v>
      </c>
      <c r="H5" s="37"/>
      <c r="I5" s="37"/>
      <c r="J5" s="37"/>
      <c r="K5" s="37"/>
      <c r="L5" s="37"/>
      <c r="M5" s="37"/>
      <c r="N5" s="37"/>
      <c r="O5" s="37"/>
      <c r="P5" s="37"/>
      <c r="Q5" s="37"/>
      <c r="R5" s="37"/>
      <c r="S5" s="37"/>
      <c r="T5" s="37"/>
      <c r="U5" s="37"/>
      <c r="V5" s="37"/>
      <c r="W5" s="34"/>
      <c r="X5" s="34"/>
      <c r="Y5" s="34"/>
      <c r="Z5" s="37"/>
      <c r="AA5" s="37"/>
      <c r="AB5" s="37"/>
      <c r="AC5" s="68" t="s">
        <v>157</v>
      </c>
      <c r="AD5" s="68" t="s">
        <v>157</v>
      </c>
      <c r="AE5" s="68" t="s">
        <v>157</v>
      </c>
      <c r="AF5" s="34"/>
      <c r="AG5" s="34"/>
      <c r="AH5" s="34"/>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row>
    <row r="6" spans="1:98" x14ac:dyDescent="0.2">
      <c r="A6" s="69" t="s">
        <v>137</v>
      </c>
      <c r="B6" s="37" t="s">
        <v>145</v>
      </c>
      <c r="C6" s="121" t="s">
        <v>146</v>
      </c>
      <c r="D6" s="37"/>
      <c r="E6" s="39" t="s">
        <v>158</v>
      </c>
      <c r="F6" s="39" t="s">
        <v>159</v>
      </c>
      <c r="G6" s="37" t="s">
        <v>153</v>
      </c>
      <c r="H6" s="37"/>
      <c r="I6" s="37"/>
      <c r="J6" s="37"/>
      <c r="K6" s="37"/>
      <c r="L6" s="37"/>
      <c r="M6" s="37"/>
      <c r="N6" s="37"/>
      <c r="O6" s="37"/>
      <c r="P6" s="37"/>
      <c r="Q6" s="37"/>
      <c r="R6" s="37"/>
      <c r="S6" s="37"/>
      <c r="T6" s="37"/>
      <c r="U6" s="37"/>
      <c r="V6" s="37"/>
      <c r="W6" s="34"/>
      <c r="X6" s="34"/>
      <c r="Y6" s="34"/>
      <c r="Z6" s="34"/>
      <c r="AA6" s="34"/>
      <c r="AB6" s="34"/>
      <c r="AC6" s="34"/>
      <c r="AD6" s="34"/>
      <c r="AE6" s="34"/>
      <c r="AF6" s="34"/>
      <c r="AG6" s="34"/>
      <c r="AH6" s="34"/>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row>
    <row r="7" spans="1:98" x14ac:dyDescent="0.2">
      <c r="A7" s="69"/>
      <c r="B7" s="70" t="s">
        <v>138</v>
      </c>
      <c r="C7" s="39" t="s">
        <v>160</v>
      </c>
      <c r="D7" s="37"/>
      <c r="E7" s="39" t="s">
        <v>161</v>
      </c>
      <c r="F7" s="39" t="s">
        <v>162</v>
      </c>
      <c r="G7" s="37" t="s">
        <v>153</v>
      </c>
      <c r="H7" s="37"/>
      <c r="I7" s="37"/>
      <c r="J7" s="37"/>
      <c r="K7" s="37"/>
      <c r="L7" s="37"/>
      <c r="M7" s="3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row>
    <row r="8" spans="1:98" x14ac:dyDescent="0.2">
      <c r="A8" s="69" t="s">
        <v>137</v>
      </c>
      <c r="B8" s="70" t="s">
        <v>138</v>
      </c>
      <c r="C8" s="39" t="s">
        <v>140</v>
      </c>
      <c r="D8" s="39"/>
      <c r="E8" s="39" t="s">
        <v>163</v>
      </c>
      <c r="F8" s="39" t="s">
        <v>164</v>
      </c>
      <c r="G8" s="77" t="s">
        <v>165</v>
      </c>
      <c r="H8" s="37"/>
      <c r="I8" s="37"/>
      <c r="J8" s="37"/>
      <c r="K8" s="37"/>
      <c r="L8" s="37"/>
      <c r="M8" s="37"/>
      <c r="N8" s="37"/>
      <c r="O8" s="37"/>
      <c r="P8" s="37"/>
      <c r="Q8" s="37"/>
      <c r="R8" s="37"/>
      <c r="S8" s="37"/>
      <c r="T8" s="37"/>
      <c r="U8" s="37"/>
      <c r="V8" s="37"/>
      <c r="W8" s="34"/>
      <c r="X8" s="34"/>
      <c r="Y8" s="34"/>
      <c r="Z8" s="34"/>
      <c r="AA8" s="61" t="s">
        <v>166</v>
      </c>
      <c r="AB8" s="61" t="s">
        <v>166</v>
      </c>
      <c r="AC8" s="61" t="s">
        <v>166</v>
      </c>
      <c r="AD8" s="34"/>
      <c r="AE8" s="34"/>
      <c r="AF8" s="34"/>
      <c r="AG8" s="34"/>
      <c r="AH8" s="34"/>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row>
    <row r="9" spans="1:98" x14ac:dyDescent="0.2">
      <c r="A9" s="69" t="s">
        <v>137</v>
      </c>
      <c r="B9" s="70" t="s">
        <v>138</v>
      </c>
      <c r="C9" s="39" t="s">
        <v>160</v>
      </c>
      <c r="D9" s="39"/>
      <c r="E9" s="39" t="s">
        <v>167</v>
      </c>
      <c r="F9" s="39" t="s">
        <v>168</v>
      </c>
      <c r="G9" s="77" t="s">
        <v>165</v>
      </c>
      <c r="H9" s="37"/>
      <c r="I9" s="37"/>
      <c r="J9" s="37"/>
      <c r="K9" s="37"/>
      <c r="L9" s="37"/>
      <c r="M9" s="37"/>
      <c r="N9" s="37"/>
      <c r="O9" s="37"/>
      <c r="P9" s="37"/>
      <c r="Q9" s="37"/>
      <c r="R9" s="37"/>
      <c r="S9" s="37"/>
      <c r="T9" s="37"/>
      <c r="U9" s="37"/>
      <c r="V9" s="37"/>
      <c r="W9" s="34"/>
      <c r="X9" s="34"/>
      <c r="Y9" s="34"/>
      <c r="Z9" s="34"/>
      <c r="AA9" s="34"/>
      <c r="AB9" s="34"/>
      <c r="AC9" s="34"/>
      <c r="AD9" s="61" t="s">
        <v>166</v>
      </c>
      <c r="AE9" s="61" t="s">
        <v>166</v>
      </c>
      <c r="AF9" s="61" t="s">
        <v>166</v>
      </c>
      <c r="AG9" s="34"/>
      <c r="AH9" s="34"/>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row>
    <row r="10" spans="1:98" x14ac:dyDescent="0.2">
      <c r="A10" s="69" t="s">
        <v>137</v>
      </c>
      <c r="B10" s="37" t="s">
        <v>145</v>
      </c>
      <c r="C10" s="39" t="s">
        <v>150</v>
      </c>
      <c r="D10" s="37"/>
      <c r="E10" s="39" t="s">
        <v>169</v>
      </c>
      <c r="F10" s="39" t="s">
        <v>170</v>
      </c>
      <c r="G10" s="77" t="s">
        <v>165</v>
      </c>
      <c r="H10" s="37"/>
      <c r="I10" s="37"/>
      <c r="J10" s="37"/>
      <c r="K10" s="37"/>
      <c r="L10" s="37"/>
      <c r="M10" s="37"/>
      <c r="N10" s="37"/>
      <c r="O10" s="37"/>
      <c r="P10" s="37"/>
      <c r="Q10" s="37"/>
      <c r="R10" s="37"/>
      <c r="S10" s="37"/>
      <c r="T10" s="37"/>
      <c r="U10" s="37"/>
      <c r="V10" s="37"/>
      <c r="W10" s="34"/>
      <c r="X10" s="34"/>
      <c r="Y10" s="34"/>
      <c r="Z10" s="37"/>
      <c r="AA10" s="37"/>
      <c r="AB10" s="37"/>
      <c r="AC10" s="68" t="s">
        <v>157</v>
      </c>
      <c r="AD10" s="68" t="s">
        <v>157</v>
      </c>
      <c r="AE10" s="68" t="s">
        <v>157</v>
      </c>
      <c r="AF10" s="34"/>
      <c r="AG10" s="34"/>
      <c r="AH10" s="34"/>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row>
    <row r="11" spans="1:98" x14ac:dyDescent="0.2">
      <c r="A11" s="69" t="s">
        <v>137</v>
      </c>
      <c r="B11" s="70" t="s">
        <v>138</v>
      </c>
      <c r="C11" s="39" t="s">
        <v>171</v>
      </c>
      <c r="D11" s="39"/>
      <c r="E11" s="39" t="s">
        <v>172</v>
      </c>
      <c r="F11" s="39" t="s">
        <v>173</v>
      </c>
      <c r="G11" s="77" t="s">
        <v>165</v>
      </c>
      <c r="H11" s="37"/>
      <c r="I11" s="37"/>
      <c r="J11" s="37"/>
      <c r="K11" s="37"/>
      <c r="L11" s="37"/>
      <c r="M11" s="37"/>
      <c r="N11" s="37"/>
      <c r="O11" s="37"/>
      <c r="P11" s="37"/>
      <c r="Q11" s="37"/>
      <c r="R11" s="37"/>
      <c r="S11" s="37"/>
      <c r="T11" s="37"/>
      <c r="U11" s="37"/>
      <c r="V11" s="37"/>
      <c r="W11" s="34"/>
      <c r="X11" s="34"/>
      <c r="Y11" s="61" t="s">
        <v>166</v>
      </c>
      <c r="Z11" s="37"/>
      <c r="AA11" s="37"/>
      <c r="AB11" s="34"/>
      <c r="AC11" s="61" t="s">
        <v>166</v>
      </c>
      <c r="AD11" s="61" t="s">
        <v>166</v>
      </c>
      <c r="AE11" s="34"/>
      <c r="AF11" s="34"/>
      <c r="AG11" s="34"/>
      <c r="AH11" s="34"/>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row>
    <row r="12" spans="1:98" x14ac:dyDescent="0.2">
      <c r="A12" s="69" t="s">
        <v>137</v>
      </c>
      <c r="B12" s="37" t="s">
        <v>145</v>
      </c>
      <c r="C12" s="39" t="s">
        <v>155</v>
      </c>
      <c r="D12" s="37"/>
      <c r="E12" s="39" t="s">
        <v>174</v>
      </c>
      <c r="F12" s="39" t="s">
        <v>175</v>
      </c>
      <c r="G12" s="77" t="s">
        <v>165</v>
      </c>
      <c r="H12" s="37"/>
      <c r="I12" s="37"/>
      <c r="J12" s="37"/>
      <c r="K12" s="37"/>
      <c r="L12" s="37"/>
      <c r="M12" s="37"/>
      <c r="N12" s="37"/>
      <c r="O12" s="37"/>
      <c r="P12" s="37"/>
      <c r="Q12" s="37"/>
      <c r="R12" s="37"/>
      <c r="S12" s="37"/>
      <c r="T12" s="37"/>
      <c r="U12" s="37"/>
      <c r="V12" s="37"/>
      <c r="W12" s="37"/>
      <c r="X12" s="37"/>
      <c r="Y12" s="68" t="s">
        <v>157</v>
      </c>
      <c r="Z12" s="34"/>
      <c r="AA12" s="68" t="s">
        <v>157</v>
      </c>
      <c r="AB12" s="68" t="s">
        <v>157</v>
      </c>
      <c r="AC12" s="34"/>
      <c r="AD12" s="34"/>
      <c r="AE12" s="34"/>
      <c r="AF12" s="34"/>
      <c r="AG12" s="34"/>
      <c r="AH12" s="34"/>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row>
    <row r="13" spans="1:98" x14ac:dyDescent="0.2">
      <c r="A13" s="69" t="s">
        <v>137</v>
      </c>
      <c r="B13" s="70" t="s">
        <v>138</v>
      </c>
      <c r="C13" s="39" t="s">
        <v>171</v>
      </c>
      <c r="D13" s="39"/>
      <c r="E13" s="39" t="s">
        <v>176</v>
      </c>
      <c r="F13" s="39" t="s">
        <v>177</v>
      </c>
      <c r="G13" s="77" t="s">
        <v>165</v>
      </c>
      <c r="H13" s="34"/>
      <c r="I13" s="37"/>
      <c r="J13" s="37"/>
      <c r="K13" s="34"/>
      <c r="L13" s="34"/>
      <c r="M13" s="61" t="s">
        <v>178</v>
      </c>
      <c r="N13" s="61" t="s">
        <v>178</v>
      </c>
      <c r="O13" s="37"/>
      <c r="P13" s="37"/>
      <c r="Q13" s="37"/>
      <c r="R13" s="37"/>
      <c r="S13" s="37"/>
      <c r="T13" s="37"/>
      <c r="U13" s="37"/>
      <c r="V13" s="37"/>
      <c r="W13" s="34"/>
      <c r="X13" s="34"/>
      <c r="Y13" s="34"/>
      <c r="Z13" s="34"/>
      <c r="AA13" s="34"/>
      <c r="AB13" s="37"/>
      <c r="AC13" s="37"/>
      <c r="AD13" s="34"/>
      <c r="AE13" s="34"/>
      <c r="AF13" s="34"/>
      <c r="AG13" s="61" t="s">
        <v>178</v>
      </c>
      <c r="AH13" s="61" t="s">
        <v>178</v>
      </c>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row>
    <row r="14" spans="1:98" x14ac:dyDescent="0.2">
      <c r="A14" s="69" t="s">
        <v>137</v>
      </c>
      <c r="B14" s="70" t="s">
        <v>138</v>
      </c>
      <c r="C14" s="39" t="s">
        <v>160</v>
      </c>
      <c r="D14" s="39"/>
      <c r="E14" s="39" t="s">
        <v>179</v>
      </c>
      <c r="F14" s="39" t="s">
        <v>180</v>
      </c>
      <c r="G14" s="77" t="s">
        <v>165</v>
      </c>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row>
    <row r="15" spans="1:98" s="31" customFormat="1" x14ac:dyDescent="0.2">
      <c r="A15" s="69" t="s">
        <v>137</v>
      </c>
      <c r="B15" s="70" t="s">
        <v>138</v>
      </c>
      <c r="C15" s="39" t="s">
        <v>171</v>
      </c>
      <c r="D15" s="39"/>
      <c r="E15" s="39" t="s">
        <v>181</v>
      </c>
      <c r="F15" s="39" t="s">
        <v>182</v>
      </c>
      <c r="G15" s="37" t="s">
        <v>183</v>
      </c>
      <c r="H15" s="37"/>
      <c r="I15" s="37"/>
      <c r="J15" s="37"/>
      <c r="K15" s="37"/>
      <c r="L15" s="37"/>
      <c r="M15" s="37"/>
      <c r="N15" s="37"/>
      <c r="O15" s="37"/>
      <c r="P15" s="37"/>
      <c r="Q15" s="37"/>
      <c r="R15" s="37"/>
      <c r="S15" s="37"/>
      <c r="T15" s="37"/>
      <c r="U15" s="37"/>
      <c r="V15" s="37"/>
      <c r="W15" s="34"/>
      <c r="X15" s="61" t="s">
        <v>144</v>
      </c>
      <c r="Y15" s="61" t="s">
        <v>144</v>
      </c>
      <c r="Z15" s="61" t="s">
        <v>144</v>
      </c>
      <c r="AA15" s="61" t="s">
        <v>144</v>
      </c>
      <c r="AB15" s="34"/>
      <c r="AC15" s="34"/>
      <c r="AD15" s="34"/>
      <c r="AE15" s="34"/>
      <c r="AF15" s="34"/>
      <c r="AG15" s="34"/>
      <c r="AH15" s="34"/>
      <c r="AI15" s="37"/>
      <c r="AJ15" s="37"/>
      <c r="AK15" s="37"/>
      <c r="AL15" s="37"/>
      <c r="AM15" s="37"/>
      <c r="AN15" s="37"/>
      <c r="AO15" s="37"/>
      <c r="AP15" s="37"/>
      <c r="AQ15" s="37"/>
      <c r="AR15" s="37"/>
      <c r="AS15" s="37"/>
      <c r="AT15" s="57"/>
      <c r="AU15" s="57"/>
      <c r="AV15" s="57"/>
      <c r="AW15" s="57"/>
      <c r="AX15" s="57"/>
      <c r="AY15" s="57"/>
      <c r="AZ15" s="57"/>
      <c r="BA15" s="57"/>
      <c r="BB15" s="57"/>
      <c r="BC15" s="57"/>
      <c r="BD15" s="57"/>
      <c r="BE15" s="57"/>
      <c r="BF15" s="57"/>
      <c r="BG15" s="57"/>
      <c r="BH15" s="57"/>
      <c r="BI15" s="57"/>
      <c r="BJ15" s="57"/>
      <c r="BK15" s="57"/>
      <c r="BL15" s="57"/>
      <c r="BM15" s="57"/>
      <c r="BN15" s="57"/>
      <c r="BO15" s="57"/>
      <c r="BP15" s="57"/>
      <c r="BQ15" s="57"/>
      <c r="BR15" s="57"/>
      <c r="BS15" s="57"/>
      <c r="BT15" s="57"/>
      <c r="BU15" s="57"/>
      <c r="BV15" s="57"/>
      <c r="BW15" s="57"/>
      <c r="BX15" s="57"/>
      <c r="BY15" s="57"/>
      <c r="BZ15" s="57"/>
      <c r="CA15" s="57"/>
      <c r="CB15" s="57"/>
      <c r="CC15" s="57"/>
      <c r="CD15" s="57"/>
      <c r="CE15" s="57"/>
      <c r="CF15" s="57"/>
      <c r="CG15" s="57"/>
      <c r="CH15" s="57"/>
      <c r="CI15" s="57"/>
      <c r="CJ15" s="57"/>
      <c r="CK15" s="57"/>
      <c r="CL15" s="57"/>
      <c r="CM15" s="57"/>
      <c r="CN15" s="57"/>
      <c r="CO15" s="57"/>
      <c r="CP15" s="57"/>
      <c r="CQ15" s="57"/>
      <c r="CR15" s="57"/>
      <c r="CS15" s="57"/>
      <c r="CT15" s="57"/>
    </row>
    <row r="16" spans="1:98" s="31" customFormat="1" x14ac:dyDescent="0.2">
      <c r="A16" s="69" t="s">
        <v>137</v>
      </c>
      <c r="B16" s="37" t="s">
        <v>145</v>
      </c>
      <c r="C16" s="39" t="s">
        <v>155</v>
      </c>
      <c r="D16" s="37"/>
      <c r="E16" s="39" t="s">
        <v>184</v>
      </c>
      <c r="F16" s="39" t="s">
        <v>185</v>
      </c>
      <c r="G16" s="37" t="s">
        <v>183</v>
      </c>
      <c r="H16" s="37"/>
      <c r="I16" s="37"/>
      <c r="J16" s="37"/>
      <c r="K16" s="37"/>
      <c r="L16" s="37"/>
      <c r="M16" s="37"/>
      <c r="N16" s="37"/>
      <c r="O16" s="37"/>
      <c r="P16" s="37"/>
      <c r="Q16" s="37"/>
      <c r="R16" s="37"/>
      <c r="S16" s="37"/>
      <c r="T16" s="37"/>
      <c r="U16" s="37"/>
      <c r="V16" s="37"/>
      <c r="W16" s="34"/>
      <c r="X16" s="34"/>
      <c r="Y16" s="34"/>
      <c r="Z16" s="68" t="s">
        <v>144</v>
      </c>
      <c r="AA16" s="68" t="s">
        <v>144</v>
      </c>
      <c r="AB16" s="68" t="s">
        <v>144</v>
      </c>
      <c r="AC16" s="68" t="s">
        <v>144</v>
      </c>
      <c r="AD16" s="34"/>
      <c r="AE16" s="34"/>
      <c r="AF16" s="34"/>
      <c r="AG16" s="34"/>
      <c r="AH16" s="34"/>
      <c r="AI16" s="37"/>
      <c r="AJ16" s="37"/>
      <c r="AK16" s="37"/>
      <c r="AL16" s="37"/>
      <c r="AM16" s="37"/>
      <c r="AN16" s="37"/>
      <c r="AO16" s="37"/>
      <c r="AP16" s="37"/>
      <c r="AQ16" s="37"/>
      <c r="AR16" s="37"/>
      <c r="AS16" s="3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row>
    <row r="17" spans="1:98" x14ac:dyDescent="0.2">
      <c r="A17" s="69" t="s">
        <v>137</v>
      </c>
      <c r="B17" s="70" t="s">
        <v>138</v>
      </c>
      <c r="C17" s="39" t="s">
        <v>171</v>
      </c>
      <c r="D17" s="37" t="s">
        <v>186</v>
      </c>
      <c r="E17" s="39" t="s">
        <v>187</v>
      </c>
      <c r="F17" s="39" t="s">
        <v>188</v>
      </c>
      <c r="G17" s="37" t="s">
        <v>183</v>
      </c>
      <c r="H17" s="37"/>
      <c r="I17" s="37"/>
      <c r="J17" s="37"/>
      <c r="K17" s="37"/>
      <c r="L17" s="37"/>
      <c r="M17" s="37"/>
      <c r="N17" s="37"/>
      <c r="O17" s="37"/>
      <c r="P17" s="37"/>
      <c r="Q17" s="37"/>
      <c r="R17" s="37"/>
      <c r="S17" s="37"/>
      <c r="T17" s="37"/>
      <c r="U17" s="37"/>
      <c r="V17" s="37"/>
      <c r="W17" s="37"/>
      <c r="X17" s="37"/>
      <c r="Y17" s="37"/>
      <c r="Z17" s="37"/>
      <c r="AA17" s="61" t="s">
        <v>157</v>
      </c>
      <c r="AB17" s="61" t="s">
        <v>157</v>
      </c>
      <c r="AC17" s="61" t="s">
        <v>157</v>
      </c>
      <c r="AD17" s="61" t="s">
        <v>157</v>
      </c>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row>
    <row r="18" spans="1:98" x14ac:dyDescent="0.2">
      <c r="A18" s="69" t="s">
        <v>137</v>
      </c>
      <c r="B18" s="37" t="s">
        <v>189</v>
      </c>
      <c r="C18" s="39" t="s">
        <v>186</v>
      </c>
      <c r="D18" s="37"/>
      <c r="E18" s="39" t="s">
        <v>190</v>
      </c>
      <c r="F18" s="39" t="s">
        <v>191</v>
      </c>
      <c r="G18" s="37" t="s">
        <v>192</v>
      </c>
      <c r="H18" s="37"/>
      <c r="I18" s="37"/>
      <c r="J18" s="37"/>
      <c r="K18" s="37"/>
      <c r="L18" s="37"/>
      <c r="M18" s="37"/>
      <c r="N18" s="37"/>
      <c r="O18" s="37"/>
      <c r="P18" s="37"/>
      <c r="Q18" s="37"/>
      <c r="R18" s="37"/>
      <c r="S18" s="37"/>
      <c r="T18" s="37"/>
      <c r="U18" s="37"/>
      <c r="V18" s="37"/>
      <c r="W18" s="34"/>
      <c r="X18" s="34"/>
      <c r="Y18" s="34"/>
      <c r="Z18" s="34"/>
      <c r="AA18" s="79" t="s">
        <v>157</v>
      </c>
      <c r="AB18" s="79" t="s">
        <v>157</v>
      </c>
      <c r="AC18" s="79" t="s">
        <v>157</v>
      </c>
      <c r="AD18" s="79" t="s">
        <v>157</v>
      </c>
      <c r="AE18" s="34"/>
      <c r="AF18" s="34"/>
      <c r="AG18" s="34"/>
      <c r="AH18" s="34"/>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row>
    <row r="19" spans="1:98" x14ac:dyDescent="0.2">
      <c r="A19" s="69" t="s">
        <v>137</v>
      </c>
      <c r="B19" s="70" t="s">
        <v>138</v>
      </c>
      <c r="C19" s="39" t="s">
        <v>140</v>
      </c>
      <c r="D19" s="39"/>
      <c r="E19" s="39" t="s">
        <v>193</v>
      </c>
      <c r="F19" s="39" t="s">
        <v>194</v>
      </c>
      <c r="G19" s="37" t="s">
        <v>192</v>
      </c>
      <c r="H19" s="37"/>
      <c r="I19" s="37"/>
      <c r="J19" s="37"/>
      <c r="K19" s="37"/>
      <c r="L19" s="37"/>
      <c r="M19" s="37"/>
      <c r="N19" s="37"/>
      <c r="O19" s="37"/>
      <c r="P19" s="37"/>
      <c r="Q19" s="37"/>
      <c r="R19" s="37"/>
      <c r="S19" s="37"/>
      <c r="T19" s="37"/>
      <c r="U19" s="36" t="s">
        <v>166</v>
      </c>
      <c r="V19" s="61" t="s">
        <v>166</v>
      </c>
      <c r="W19" s="61" t="s">
        <v>166</v>
      </c>
      <c r="X19" s="61" t="s">
        <v>166</v>
      </c>
      <c r="Y19" s="34"/>
      <c r="Z19" s="34"/>
      <c r="AA19" s="34"/>
      <c r="AB19" s="34"/>
      <c r="AC19" s="34"/>
      <c r="AD19" s="34"/>
      <c r="AE19" s="34"/>
      <c r="AF19" s="34"/>
      <c r="AG19" s="34"/>
      <c r="AH19" s="34"/>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row>
    <row r="20" spans="1:98" x14ac:dyDescent="0.2">
      <c r="A20" s="69" t="s">
        <v>137</v>
      </c>
      <c r="B20" s="70" t="s">
        <v>138</v>
      </c>
      <c r="C20" s="39" t="s">
        <v>140</v>
      </c>
      <c r="D20" s="39"/>
      <c r="E20" s="39" t="s">
        <v>195</v>
      </c>
      <c r="F20" s="39" t="s">
        <v>196</v>
      </c>
      <c r="G20" s="37" t="s">
        <v>192</v>
      </c>
      <c r="H20" s="33"/>
      <c r="I20" s="33" t="s">
        <v>166</v>
      </c>
      <c r="J20" s="33" t="s">
        <v>166</v>
      </c>
      <c r="K20" s="33" t="s">
        <v>166</v>
      </c>
      <c r="L20" s="33" t="s">
        <v>166</v>
      </c>
      <c r="M20" s="33" t="s">
        <v>166</v>
      </c>
      <c r="N20" s="33" t="s">
        <v>166</v>
      </c>
      <c r="O20" s="36" t="s">
        <v>166</v>
      </c>
      <c r="P20" s="36" t="s">
        <v>166</v>
      </c>
      <c r="Q20" s="36" t="s">
        <v>166</v>
      </c>
      <c r="R20" s="36" t="s">
        <v>166</v>
      </c>
      <c r="S20" s="36" t="s">
        <v>166</v>
      </c>
      <c r="T20" s="36" t="s">
        <v>166</v>
      </c>
      <c r="U20" s="36" t="s">
        <v>166</v>
      </c>
      <c r="V20" s="61" t="s">
        <v>166</v>
      </c>
      <c r="W20" s="61" t="s">
        <v>166</v>
      </c>
      <c r="X20" s="61" t="s">
        <v>166</v>
      </c>
      <c r="Y20" s="61" t="s">
        <v>166</v>
      </c>
      <c r="Z20" s="61" t="s">
        <v>166</v>
      </c>
      <c r="AA20" s="61" t="s">
        <v>166</v>
      </c>
      <c r="AB20" s="61" t="s">
        <v>166</v>
      </c>
      <c r="AC20" s="61" t="s">
        <v>166</v>
      </c>
      <c r="AD20" s="61" t="s">
        <v>166</v>
      </c>
      <c r="AE20" s="61" t="s">
        <v>166</v>
      </c>
      <c r="AF20" s="61" t="s">
        <v>166</v>
      </c>
      <c r="AG20" s="34"/>
      <c r="AH20" s="34"/>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row>
    <row r="21" spans="1:98" x14ac:dyDescent="0.2">
      <c r="A21" s="69" t="s">
        <v>137</v>
      </c>
      <c r="B21" s="70" t="s">
        <v>138</v>
      </c>
      <c r="C21" s="39" t="s">
        <v>171</v>
      </c>
      <c r="D21" s="39"/>
      <c r="E21" s="39" t="s">
        <v>197</v>
      </c>
      <c r="F21" s="39" t="s">
        <v>198</v>
      </c>
      <c r="G21" s="37" t="s">
        <v>192</v>
      </c>
      <c r="H21" s="37"/>
      <c r="I21" s="37"/>
      <c r="J21" s="37"/>
      <c r="K21" s="37"/>
      <c r="L21" s="37"/>
      <c r="M21" s="37"/>
      <c r="N21" s="37"/>
      <c r="O21" s="37"/>
      <c r="P21" s="37"/>
      <c r="Q21" s="37"/>
      <c r="R21" s="37"/>
      <c r="S21" s="37"/>
      <c r="T21" s="37"/>
      <c r="U21" s="38"/>
      <c r="V21" s="61" t="s">
        <v>166</v>
      </c>
      <c r="W21" s="61" t="s">
        <v>166</v>
      </c>
      <c r="X21" s="61" t="s">
        <v>166</v>
      </c>
      <c r="Y21" s="61" t="s">
        <v>166</v>
      </c>
      <c r="Z21" s="61" t="s">
        <v>166</v>
      </c>
      <c r="AA21" s="61" t="s">
        <v>166</v>
      </c>
      <c r="AB21" s="34"/>
      <c r="AC21" s="34"/>
      <c r="AD21" s="34"/>
      <c r="AE21" s="34"/>
      <c r="AF21" s="34"/>
      <c r="AG21" s="34"/>
      <c r="AH21" s="34"/>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row>
    <row r="22" spans="1:98" x14ac:dyDescent="0.2">
      <c r="A22" s="69" t="s">
        <v>137</v>
      </c>
      <c r="B22" s="70" t="s">
        <v>138</v>
      </c>
      <c r="C22" s="39" t="s">
        <v>171</v>
      </c>
      <c r="D22" s="39"/>
      <c r="E22" s="94" t="s">
        <v>199</v>
      </c>
      <c r="F22" s="92" t="s">
        <v>200</v>
      </c>
      <c r="G22" s="37" t="s">
        <v>192</v>
      </c>
      <c r="H22" s="64"/>
      <c r="I22" s="37"/>
      <c r="J22" s="37"/>
      <c r="K22" s="37"/>
      <c r="L22" s="37"/>
      <c r="M22" s="37"/>
      <c r="N22" s="37"/>
      <c r="O22" s="37"/>
      <c r="P22" s="37"/>
      <c r="Q22" s="37"/>
      <c r="R22" s="37"/>
      <c r="S22" s="37"/>
      <c r="T22" s="37"/>
      <c r="U22" s="37"/>
      <c r="V22" s="37"/>
      <c r="W22" s="61" t="s">
        <v>157</v>
      </c>
      <c r="X22" s="61" t="s">
        <v>157</v>
      </c>
      <c r="Y22" s="61" t="s">
        <v>157</v>
      </c>
      <c r="Z22" s="61" t="s">
        <v>157</v>
      </c>
      <c r="AA22" s="61" t="s">
        <v>157</v>
      </c>
      <c r="AB22" s="34"/>
      <c r="AC22" s="34"/>
      <c r="AD22" s="34"/>
      <c r="AE22" s="34"/>
      <c r="AF22" s="34"/>
      <c r="AG22" s="34"/>
      <c r="AH22" s="34"/>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row>
    <row r="23" spans="1:98" x14ac:dyDescent="0.2">
      <c r="A23" s="69" t="s">
        <v>137</v>
      </c>
      <c r="B23" s="70" t="s">
        <v>138</v>
      </c>
      <c r="C23" s="39" t="s">
        <v>171</v>
      </c>
      <c r="D23" s="39"/>
      <c r="E23" s="39" t="s">
        <v>201</v>
      </c>
      <c r="F23" s="39" t="s">
        <v>202</v>
      </c>
      <c r="G23" s="37" t="s">
        <v>192</v>
      </c>
      <c r="H23" s="37"/>
      <c r="I23" s="37"/>
      <c r="J23" s="37"/>
      <c r="K23" s="37"/>
      <c r="L23" s="37"/>
      <c r="M23" s="37"/>
      <c r="N23" s="37"/>
      <c r="O23" s="37"/>
      <c r="P23" s="37"/>
      <c r="Q23" s="37"/>
      <c r="R23" s="37"/>
      <c r="S23" s="37"/>
      <c r="T23" s="37"/>
      <c r="U23" s="37"/>
      <c r="V23" s="37"/>
      <c r="W23" s="34"/>
      <c r="X23" s="34"/>
      <c r="Y23" s="61" t="s">
        <v>203</v>
      </c>
      <c r="Z23" s="61" t="s">
        <v>203</v>
      </c>
      <c r="AA23" s="61" t="s">
        <v>203</v>
      </c>
      <c r="AB23" s="34"/>
      <c r="AC23" s="34"/>
      <c r="AD23" s="34"/>
      <c r="AE23" s="34"/>
      <c r="AF23" s="34"/>
      <c r="AG23" s="34"/>
      <c r="AH23" s="34"/>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row>
    <row r="24" spans="1:98" x14ac:dyDescent="0.2">
      <c r="A24" s="69" t="s">
        <v>137</v>
      </c>
      <c r="B24" s="95" t="s">
        <v>204</v>
      </c>
      <c r="C24" s="39" t="s">
        <v>160</v>
      </c>
      <c r="D24" s="37" t="s">
        <v>146</v>
      </c>
      <c r="E24" s="96" t="s">
        <v>205</v>
      </c>
      <c r="F24" s="39" t="s">
        <v>206</v>
      </c>
      <c r="G24" s="37" t="s">
        <v>192</v>
      </c>
      <c r="H24" s="32"/>
      <c r="I24" s="32"/>
      <c r="J24" s="32"/>
      <c r="K24" s="32"/>
      <c r="L24" s="32"/>
      <c r="M24" s="32"/>
      <c r="N24" s="32"/>
      <c r="O24" s="36" t="s">
        <v>157</v>
      </c>
      <c r="P24" s="36" t="s">
        <v>157</v>
      </c>
      <c r="Q24" s="36" t="s">
        <v>157</v>
      </c>
      <c r="R24" s="36" t="s">
        <v>157</v>
      </c>
      <c r="S24" s="36" t="s">
        <v>157</v>
      </c>
      <c r="T24" s="36" t="s">
        <v>157</v>
      </c>
      <c r="U24" s="36" t="s">
        <v>157</v>
      </c>
      <c r="V24" s="59" t="s">
        <v>157</v>
      </c>
      <c r="W24" s="59" t="s">
        <v>157</v>
      </c>
      <c r="X24" s="59" t="s">
        <v>157</v>
      </c>
      <c r="Y24" s="59" t="s">
        <v>157</v>
      </c>
      <c r="Z24" s="79" t="s">
        <v>157</v>
      </c>
      <c r="AA24" s="79" t="s">
        <v>157</v>
      </c>
      <c r="AB24" s="79" t="s">
        <v>157</v>
      </c>
      <c r="AC24" s="79" t="s">
        <v>157</v>
      </c>
      <c r="AD24" s="79" t="s">
        <v>157</v>
      </c>
      <c r="AE24" s="79" t="s">
        <v>157</v>
      </c>
      <c r="AF24" s="79" t="s">
        <v>157</v>
      </c>
      <c r="AG24" s="34"/>
      <c r="AH24" s="34"/>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row>
    <row r="25" spans="1:98" x14ac:dyDescent="0.2">
      <c r="A25" s="69" t="s">
        <v>137</v>
      </c>
      <c r="B25" s="70" t="s">
        <v>138</v>
      </c>
      <c r="C25" s="39" t="s">
        <v>140</v>
      </c>
      <c r="D25" s="39"/>
      <c r="E25" s="39" t="s">
        <v>207</v>
      </c>
      <c r="F25" s="39" t="s">
        <v>208</v>
      </c>
      <c r="G25" s="37" t="s">
        <v>209</v>
      </c>
      <c r="H25" s="38"/>
      <c r="I25" s="38"/>
      <c r="J25" s="38"/>
      <c r="K25" s="38"/>
      <c r="L25" s="38"/>
      <c r="M25" s="38"/>
      <c r="N25" s="38"/>
      <c r="O25" s="38"/>
      <c r="P25" s="38"/>
      <c r="Q25" s="38"/>
      <c r="R25" s="38"/>
      <c r="S25" s="38"/>
      <c r="T25" s="36" t="s">
        <v>210</v>
      </c>
      <c r="U25" s="62" t="s">
        <v>210</v>
      </c>
      <c r="V25" s="63" t="s">
        <v>210</v>
      </c>
      <c r="W25" s="63" t="s">
        <v>210</v>
      </c>
      <c r="X25" s="63" t="s">
        <v>210</v>
      </c>
      <c r="Y25" s="63" t="s">
        <v>210</v>
      </c>
      <c r="Z25" s="63" t="s">
        <v>210</v>
      </c>
      <c r="AA25" s="63" t="s">
        <v>210</v>
      </c>
      <c r="AB25" s="34"/>
      <c r="AC25" s="34"/>
      <c r="AD25" s="34"/>
      <c r="AE25" s="34"/>
      <c r="AF25" s="34"/>
      <c r="AG25" s="34"/>
      <c r="AH25" s="34"/>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row>
    <row r="26" spans="1:98" x14ac:dyDescent="0.2">
      <c r="A26" s="69" t="s">
        <v>137</v>
      </c>
      <c r="B26" s="70" t="s">
        <v>138</v>
      </c>
      <c r="C26" s="39" t="s">
        <v>140</v>
      </c>
      <c r="D26" s="39"/>
      <c r="E26" s="39" t="s">
        <v>211</v>
      </c>
      <c r="F26" s="39" t="s">
        <v>212</v>
      </c>
      <c r="G26" s="37" t="s">
        <v>213</v>
      </c>
      <c r="H26" s="37"/>
      <c r="I26" s="37"/>
      <c r="J26" s="37"/>
      <c r="K26" s="37"/>
      <c r="L26" s="37"/>
      <c r="M26" s="37"/>
      <c r="N26" s="37"/>
      <c r="O26" s="37"/>
      <c r="P26" s="37"/>
      <c r="Q26" s="37"/>
      <c r="R26" s="37"/>
      <c r="S26" s="37"/>
      <c r="T26" s="38"/>
      <c r="U26" s="36" t="s">
        <v>166</v>
      </c>
      <c r="V26" s="37"/>
      <c r="W26" s="34"/>
      <c r="X26" s="34"/>
      <c r="Y26" s="34"/>
      <c r="Z26" s="34"/>
      <c r="AA26" s="34"/>
      <c r="AB26" s="34"/>
      <c r="AC26" s="34"/>
      <c r="AD26" s="34"/>
      <c r="AE26" s="34"/>
      <c r="AF26" s="34"/>
      <c r="AG26" s="34"/>
      <c r="AH26" s="34"/>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row>
    <row r="27" spans="1:98" x14ac:dyDescent="0.2">
      <c r="A27" s="69" t="s">
        <v>137</v>
      </c>
      <c r="B27" s="70" t="s">
        <v>138</v>
      </c>
      <c r="C27" s="39" t="s">
        <v>160</v>
      </c>
      <c r="D27" s="39"/>
      <c r="E27" s="39" t="s">
        <v>214</v>
      </c>
      <c r="F27" s="39" t="s">
        <v>215</v>
      </c>
      <c r="G27" s="37" t="s">
        <v>213</v>
      </c>
      <c r="H27" s="37"/>
      <c r="I27" s="37"/>
      <c r="J27" s="37"/>
      <c r="K27" s="37"/>
      <c r="L27" s="37"/>
      <c r="M27" s="37"/>
      <c r="N27" s="37"/>
      <c r="O27" s="37"/>
      <c r="P27" s="37"/>
      <c r="Q27" s="37"/>
      <c r="R27" s="37"/>
      <c r="S27" s="37"/>
      <c r="T27" s="37"/>
      <c r="U27" s="37"/>
      <c r="V27" s="37"/>
      <c r="W27" s="34"/>
      <c r="X27" s="34"/>
      <c r="Y27" s="34"/>
      <c r="Z27" s="61" t="s">
        <v>216</v>
      </c>
      <c r="AA27" s="34"/>
      <c r="AB27" s="37"/>
      <c r="AC27" s="37"/>
      <c r="AD27" s="34"/>
      <c r="AE27" s="34"/>
      <c r="AF27" s="34"/>
      <c r="AG27" s="34"/>
      <c r="AH27" s="34"/>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row>
    <row r="28" spans="1:98" x14ac:dyDescent="0.2">
      <c r="A28" s="69" t="s">
        <v>137</v>
      </c>
      <c r="B28" s="37" t="s">
        <v>145</v>
      </c>
      <c r="C28" s="39" t="s">
        <v>146</v>
      </c>
      <c r="D28" s="37"/>
      <c r="E28" s="37" t="s">
        <v>217</v>
      </c>
      <c r="F28" s="39" t="s">
        <v>218</v>
      </c>
      <c r="G28" s="37" t="s">
        <v>219</v>
      </c>
      <c r="H28" s="33" t="s">
        <v>149</v>
      </c>
      <c r="I28" s="33" t="s">
        <v>149</v>
      </c>
      <c r="J28" s="33" t="s">
        <v>149</v>
      </c>
      <c r="K28" s="33" t="s">
        <v>149</v>
      </c>
      <c r="L28" s="33" t="s">
        <v>149</v>
      </c>
      <c r="M28" s="33"/>
      <c r="N28" s="32"/>
      <c r="O28" s="36"/>
      <c r="P28" s="36"/>
      <c r="Q28" s="36"/>
      <c r="R28" s="36"/>
      <c r="S28" s="36"/>
      <c r="T28" s="36"/>
      <c r="U28" s="36"/>
      <c r="V28" s="34"/>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row>
    <row r="29" spans="1:98" x14ac:dyDescent="0.2">
      <c r="A29" s="69" t="s">
        <v>137</v>
      </c>
      <c r="B29" s="37" t="s">
        <v>145</v>
      </c>
      <c r="C29" s="39" t="s">
        <v>146</v>
      </c>
      <c r="D29" s="37"/>
      <c r="E29" s="37" t="s">
        <v>220</v>
      </c>
      <c r="F29" s="39" t="s">
        <v>221</v>
      </c>
      <c r="G29" s="37" t="s">
        <v>219</v>
      </c>
      <c r="H29" s="33" t="s">
        <v>149</v>
      </c>
      <c r="I29" s="33" t="s">
        <v>149</v>
      </c>
      <c r="J29" s="33" t="s">
        <v>149</v>
      </c>
      <c r="K29" s="33" t="s">
        <v>149</v>
      </c>
      <c r="L29" s="33" t="s">
        <v>149</v>
      </c>
      <c r="M29" s="66" t="s">
        <v>149</v>
      </c>
      <c r="N29" s="33" t="s">
        <v>149</v>
      </c>
      <c r="O29" s="36"/>
      <c r="P29" s="36"/>
      <c r="Q29" s="36"/>
      <c r="R29" s="36"/>
      <c r="S29" s="36"/>
      <c r="T29" s="36"/>
      <c r="U29" s="36"/>
      <c r="V29" s="34"/>
      <c r="W29" s="34"/>
      <c r="X29" s="34"/>
      <c r="Y29" s="34"/>
      <c r="Z29" s="34"/>
      <c r="AA29" s="34"/>
      <c r="AB29" s="34"/>
      <c r="AC29" s="34"/>
      <c r="AD29" s="34"/>
      <c r="AE29" s="34"/>
      <c r="AF29" s="34"/>
      <c r="AG29" s="34"/>
      <c r="AH29" s="34"/>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row>
    <row r="30" spans="1:98" x14ac:dyDescent="0.2">
      <c r="A30" s="69" t="s">
        <v>137</v>
      </c>
      <c r="B30" s="37" t="s">
        <v>145</v>
      </c>
      <c r="C30" s="39" t="s">
        <v>146</v>
      </c>
      <c r="D30" s="37"/>
      <c r="E30" s="37" t="s">
        <v>222</v>
      </c>
      <c r="F30" s="39" t="s">
        <v>223</v>
      </c>
      <c r="G30" s="37" t="s">
        <v>219</v>
      </c>
      <c r="H30" s="33"/>
      <c r="I30" s="33" t="s">
        <v>149</v>
      </c>
      <c r="J30" s="33" t="s">
        <v>149</v>
      </c>
      <c r="K30" s="33" t="s">
        <v>149</v>
      </c>
      <c r="L30" s="33" t="s">
        <v>149</v>
      </c>
      <c r="M30" s="33"/>
      <c r="N30" s="32"/>
      <c r="O30" s="36"/>
      <c r="P30" s="36"/>
      <c r="Q30" s="36"/>
      <c r="R30" s="36"/>
      <c r="S30" s="36"/>
      <c r="T30" s="36"/>
      <c r="U30" s="36"/>
      <c r="V30" s="34"/>
      <c r="W30" s="34"/>
      <c r="X30" s="34"/>
      <c r="Y30" s="34"/>
      <c r="Z30" s="34"/>
      <c r="AA30" s="34"/>
      <c r="AB30" s="34"/>
      <c r="AC30" s="34"/>
      <c r="AD30" s="34"/>
      <c r="AE30" s="34"/>
      <c r="AF30" s="34"/>
      <c r="AG30" s="34"/>
      <c r="AH30" s="34"/>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row>
    <row r="31" spans="1:98" x14ac:dyDescent="0.2">
      <c r="A31" s="69" t="s">
        <v>137</v>
      </c>
      <c r="B31" s="70" t="s">
        <v>138</v>
      </c>
      <c r="C31" s="39" t="s">
        <v>139</v>
      </c>
      <c r="D31" s="39" t="s">
        <v>140</v>
      </c>
      <c r="E31" s="39" t="s">
        <v>224</v>
      </c>
      <c r="F31" s="39" t="s">
        <v>225</v>
      </c>
      <c r="G31" s="37" t="s">
        <v>219</v>
      </c>
      <c r="H31" s="33"/>
      <c r="I31" s="33"/>
      <c r="J31" s="33"/>
      <c r="K31" s="32"/>
      <c r="L31" s="32"/>
      <c r="M31" s="32"/>
      <c r="N31" s="32"/>
      <c r="O31" s="36"/>
      <c r="P31" s="36"/>
      <c r="Q31" s="36"/>
      <c r="R31" s="36"/>
      <c r="S31" s="36"/>
      <c r="T31" s="36"/>
      <c r="U31" s="36"/>
      <c r="V31" s="35"/>
      <c r="W31" s="35"/>
      <c r="X31" s="35"/>
      <c r="Y31" s="35"/>
      <c r="Z31" s="35"/>
      <c r="AA31" s="35"/>
      <c r="AB31" s="35"/>
      <c r="AC31" s="35"/>
      <c r="AD31" s="35"/>
      <c r="AE31" s="35"/>
      <c r="AF31" s="35"/>
      <c r="AG31" s="35"/>
      <c r="AH31" s="35"/>
      <c r="AI31" s="57"/>
      <c r="AJ31" s="57"/>
      <c r="AK31" s="57"/>
      <c r="AL31" s="57"/>
      <c r="AM31" s="57"/>
      <c r="AN31" s="57"/>
      <c r="AO31" s="57"/>
      <c r="AP31" s="57"/>
      <c r="AQ31" s="57"/>
      <c r="AR31" s="57"/>
      <c r="AS31" s="5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row>
    <row r="32" spans="1:98" x14ac:dyDescent="0.2">
      <c r="A32" s="74" t="s">
        <v>137</v>
      </c>
      <c r="B32" s="37" t="s">
        <v>189</v>
      </c>
      <c r="C32" s="39" t="s">
        <v>186</v>
      </c>
      <c r="D32" s="37"/>
      <c r="E32" s="92" t="s">
        <v>110</v>
      </c>
      <c r="F32" s="39" t="s">
        <v>226</v>
      </c>
      <c r="G32" s="37" t="s">
        <v>227</v>
      </c>
      <c r="H32" s="32"/>
      <c r="I32" s="32"/>
      <c r="J32" s="33" t="s">
        <v>228</v>
      </c>
      <c r="K32" s="67" t="s">
        <v>228</v>
      </c>
      <c r="L32" s="32"/>
      <c r="M32" s="32"/>
      <c r="N32" s="32"/>
      <c r="O32" s="36" t="s">
        <v>157</v>
      </c>
      <c r="P32" s="36"/>
      <c r="Q32" s="36"/>
      <c r="R32" s="36"/>
      <c r="S32" s="36"/>
      <c r="T32" s="36"/>
      <c r="U32" s="36"/>
      <c r="V32" s="34"/>
      <c r="W32" s="34"/>
      <c r="X32" s="34"/>
      <c r="Y32" s="34"/>
      <c r="Z32" s="34"/>
      <c r="AA32" s="34"/>
      <c r="AB32" s="34"/>
      <c r="AC32" s="34"/>
      <c r="AD32" s="34"/>
      <c r="AE32" s="34"/>
      <c r="AF32" s="34"/>
      <c r="AG32" s="34"/>
      <c r="AH32" s="34"/>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row>
    <row r="33" spans="1:98" x14ac:dyDescent="0.2">
      <c r="A33" s="69" t="s">
        <v>137</v>
      </c>
      <c r="B33" s="37" t="s">
        <v>145</v>
      </c>
      <c r="C33" s="121" t="s">
        <v>146</v>
      </c>
      <c r="D33" s="37"/>
      <c r="E33" s="39" t="s">
        <v>229</v>
      </c>
      <c r="F33" s="39" t="s">
        <v>230</v>
      </c>
      <c r="G33" s="37" t="s">
        <v>227</v>
      </c>
      <c r="H33" s="38"/>
      <c r="I33" s="38"/>
      <c r="J33" s="38"/>
      <c r="K33" s="38"/>
      <c r="L33" s="38"/>
      <c r="M33" s="38"/>
      <c r="N33" s="38"/>
      <c r="O33" s="38"/>
      <c r="P33" s="38"/>
      <c r="Q33" s="36" t="s">
        <v>154</v>
      </c>
      <c r="R33" s="36" t="s">
        <v>154</v>
      </c>
      <c r="S33" s="36" t="s">
        <v>154</v>
      </c>
      <c r="T33" s="62" t="s">
        <v>154</v>
      </c>
      <c r="U33" s="62" t="s">
        <v>154</v>
      </c>
      <c r="V33" s="60" t="s">
        <v>154</v>
      </c>
      <c r="W33" s="60" t="s">
        <v>154</v>
      </c>
      <c r="X33" s="60" t="s">
        <v>154</v>
      </c>
      <c r="Y33" s="68" t="s">
        <v>154</v>
      </c>
      <c r="Z33" s="34"/>
      <c r="AA33" s="34"/>
      <c r="AB33" s="34"/>
      <c r="AC33" s="34"/>
      <c r="AD33" s="34"/>
      <c r="AE33" s="34"/>
      <c r="AF33" s="34"/>
      <c r="AG33" s="34"/>
      <c r="AH33" s="34"/>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row>
    <row r="34" spans="1:98" x14ac:dyDescent="0.2">
      <c r="A34" s="69" t="s">
        <v>137</v>
      </c>
      <c r="B34" s="37" t="s">
        <v>189</v>
      </c>
      <c r="C34" s="39" t="s">
        <v>186</v>
      </c>
      <c r="D34" s="37"/>
      <c r="E34" s="39" t="s">
        <v>113</v>
      </c>
      <c r="F34" s="39" t="s">
        <v>231</v>
      </c>
      <c r="G34" s="37" t="s">
        <v>227</v>
      </c>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row>
    <row r="35" spans="1:98" x14ac:dyDescent="0.2">
      <c r="A35" s="69" t="s">
        <v>137</v>
      </c>
      <c r="B35" s="37" t="s">
        <v>189</v>
      </c>
      <c r="C35" s="39" t="s">
        <v>186</v>
      </c>
      <c r="D35" s="37"/>
      <c r="E35" s="39" t="s">
        <v>232</v>
      </c>
      <c r="F35" s="39" t="s">
        <v>233</v>
      </c>
      <c r="G35" s="37" t="s">
        <v>234</v>
      </c>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row>
    <row r="36" spans="1:98" x14ac:dyDescent="0.2">
      <c r="A36" s="69" t="s">
        <v>137</v>
      </c>
      <c r="B36" s="70" t="s">
        <v>138</v>
      </c>
      <c r="C36" s="39" t="s">
        <v>140</v>
      </c>
      <c r="D36" s="39"/>
      <c r="E36" s="37" t="s">
        <v>235</v>
      </c>
      <c r="F36" s="39"/>
      <c r="G36" s="37" t="s">
        <v>234</v>
      </c>
      <c r="H36" s="37"/>
      <c r="I36" s="37"/>
      <c r="J36" s="37"/>
      <c r="K36" s="37"/>
      <c r="L36" s="37"/>
      <c r="M36" s="37"/>
      <c r="N36" s="37"/>
      <c r="O36" s="37"/>
      <c r="P36" s="37"/>
      <c r="Q36" s="37"/>
      <c r="R36" s="37"/>
      <c r="S36" s="37"/>
      <c r="T36" s="37"/>
      <c r="U36" s="36" t="s">
        <v>166</v>
      </c>
      <c r="V36" s="61" t="s">
        <v>166</v>
      </c>
      <c r="W36" s="34"/>
      <c r="X36" s="34"/>
      <c r="Y36" s="34"/>
      <c r="Z36" s="34"/>
      <c r="AA36" s="34"/>
      <c r="AB36" s="34"/>
      <c r="AC36" s="34"/>
      <c r="AD36" s="34"/>
      <c r="AE36" s="34"/>
      <c r="AF36" s="34"/>
      <c r="AG36" s="34"/>
      <c r="AH36" s="34"/>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row>
    <row r="37" spans="1:98" x14ac:dyDescent="0.2">
      <c r="A37" s="74" t="s">
        <v>137</v>
      </c>
      <c r="B37" s="70" t="s">
        <v>138</v>
      </c>
      <c r="C37" s="39" t="s">
        <v>171</v>
      </c>
      <c r="D37" s="39"/>
      <c r="E37" s="92" t="s">
        <v>236</v>
      </c>
      <c r="F37" s="39" t="s">
        <v>237</v>
      </c>
      <c r="G37" s="37" t="s">
        <v>238</v>
      </c>
      <c r="H37" s="33"/>
      <c r="I37" s="33"/>
      <c r="J37" s="33" t="s">
        <v>144</v>
      </c>
      <c r="K37" s="33" t="s">
        <v>144</v>
      </c>
      <c r="L37" s="33"/>
      <c r="M37" s="33"/>
      <c r="N37" s="33"/>
      <c r="O37" s="36"/>
      <c r="P37" s="36"/>
      <c r="Q37" s="36"/>
      <c r="R37" s="36"/>
      <c r="S37" s="36"/>
      <c r="T37" s="36"/>
      <c r="U37" s="36"/>
      <c r="V37" s="35"/>
      <c r="W37" s="35"/>
      <c r="X37" s="35"/>
      <c r="Y37" s="35"/>
      <c r="Z37" s="35"/>
      <c r="AA37" s="35"/>
      <c r="AB37" s="35"/>
      <c r="AC37" s="35"/>
      <c r="AD37" s="35"/>
      <c r="AE37" s="35"/>
      <c r="AF37" s="35"/>
      <c r="AG37" s="35"/>
      <c r="AH37" s="35"/>
      <c r="AI37" s="57"/>
      <c r="AJ37" s="57"/>
      <c r="AK37" s="57"/>
      <c r="AL37" s="57"/>
      <c r="AM37" s="57"/>
      <c r="AN37" s="57"/>
      <c r="AO37" s="57"/>
      <c r="AP37" s="57"/>
      <c r="AQ37" s="57"/>
      <c r="AR37" s="57"/>
      <c r="AS37" s="5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row>
    <row r="38" spans="1:98" x14ac:dyDescent="0.2">
      <c r="A38" s="69"/>
      <c r="B38" s="37" t="s">
        <v>189</v>
      </c>
      <c r="C38" s="39" t="s">
        <v>186</v>
      </c>
      <c r="D38" s="37"/>
      <c r="E38" s="39" t="s">
        <v>239</v>
      </c>
      <c r="F38" s="39" t="s">
        <v>240</v>
      </c>
      <c r="G38" s="37" t="s">
        <v>241</v>
      </c>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row>
    <row r="39" spans="1:98" x14ac:dyDescent="0.2">
      <c r="B39" s="37" t="s">
        <v>189</v>
      </c>
      <c r="C39" s="39" t="s">
        <v>186</v>
      </c>
      <c r="D39" s="37"/>
      <c r="E39" s="93" t="s">
        <v>242</v>
      </c>
      <c r="F39" s="39" t="s">
        <v>243</v>
      </c>
      <c r="G39" s="37" t="s">
        <v>241</v>
      </c>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row>
    <row r="40" spans="1:98" x14ac:dyDescent="0.2">
      <c r="B40" s="37" t="s">
        <v>189</v>
      </c>
      <c r="C40" s="39" t="s">
        <v>186</v>
      </c>
      <c r="D40" s="37"/>
      <c r="E40" s="93" t="s">
        <v>244</v>
      </c>
      <c r="F40" s="39" t="s">
        <v>245</v>
      </c>
      <c r="G40" s="37" t="s">
        <v>241</v>
      </c>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row>
    <row r="41" spans="1:98" x14ac:dyDescent="0.2">
      <c r="B41" s="37" t="s">
        <v>189</v>
      </c>
      <c r="C41" s="39" t="s">
        <v>186</v>
      </c>
      <c r="D41" s="37"/>
      <c r="E41" s="93" t="s">
        <v>246</v>
      </c>
      <c r="F41" s="39" t="s">
        <v>247</v>
      </c>
      <c r="G41" s="37" t="s">
        <v>241</v>
      </c>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row>
    <row r="42" spans="1:98" x14ac:dyDescent="0.2">
      <c r="B42" s="37" t="s">
        <v>189</v>
      </c>
      <c r="C42" s="39" t="s">
        <v>186</v>
      </c>
      <c r="D42" s="37"/>
      <c r="E42" s="93" t="s">
        <v>248</v>
      </c>
      <c r="F42" s="39" t="s">
        <v>249</v>
      </c>
      <c r="G42" s="37" t="s">
        <v>241</v>
      </c>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row>
    <row r="43" spans="1:98" x14ac:dyDescent="0.2">
      <c r="B43" s="37" t="s">
        <v>189</v>
      </c>
      <c r="C43" s="39" t="s">
        <v>186</v>
      </c>
      <c r="D43" s="37"/>
      <c r="E43" s="39" t="s">
        <v>250</v>
      </c>
      <c r="F43" s="39" t="s">
        <v>251</v>
      </c>
      <c r="G43" s="37" t="s">
        <v>241</v>
      </c>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row>
    <row r="44" spans="1:98" x14ac:dyDescent="0.2">
      <c r="A44" t="s">
        <v>137</v>
      </c>
      <c r="B44" s="37" t="s">
        <v>145</v>
      </c>
      <c r="C44" s="39" t="s">
        <v>146</v>
      </c>
      <c r="D44" s="37"/>
      <c r="E44" s="216" t="s">
        <v>252</v>
      </c>
      <c r="F44" s="216" t="s">
        <v>253</v>
      </c>
      <c r="G44" s="37" t="s">
        <v>241</v>
      </c>
      <c r="H44" s="33"/>
      <c r="I44" s="33"/>
      <c r="J44" s="33"/>
      <c r="K44" s="33" t="s">
        <v>154</v>
      </c>
      <c r="L44" s="33"/>
      <c r="M44" s="33"/>
      <c r="N44" s="32"/>
      <c r="O44" s="36"/>
      <c r="P44" s="36"/>
      <c r="Q44" s="36" t="s">
        <v>154</v>
      </c>
      <c r="R44" s="36"/>
      <c r="S44" s="36"/>
      <c r="T44" s="36"/>
      <c r="U44" s="36"/>
      <c r="V44" s="34"/>
      <c r="W44" s="34"/>
      <c r="X44" s="34"/>
      <c r="Y44" s="34"/>
      <c r="Z44" s="34"/>
      <c r="AA44" s="34"/>
      <c r="AB44" s="34"/>
      <c r="AC44" s="34"/>
      <c r="AD44" s="34"/>
      <c r="AE44" s="34"/>
      <c r="AF44" s="34"/>
      <c r="AG44" s="34"/>
      <c r="AH44" s="34"/>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row>
    <row r="45" spans="1:98" x14ac:dyDescent="0.2">
      <c r="B45" s="70" t="s">
        <v>138</v>
      </c>
      <c r="C45" s="121" t="s">
        <v>139</v>
      </c>
      <c r="D45" s="37"/>
      <c r="E45" s="39" t="s">
        <v>254</v>
      </c>
      <c r="F45" s="39" t="s">
        <v>255</v>
      </c>
      <c r="G45" s="37" t="s">
        <v>241</v>
      </c>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row>
    <row r="46" spans="1:98" x14ac:dyDescent="0.2">
      <c r="B46" s="70" t="s">
        <v>138</v>
      </c>
      <c r="C46" s="39" t="s">
        <v>171</v>
      </c>
      <c r="D46" s="39"/>
      <c r="E46" s="93" t="s">
        <v>256</v>
      </c>
      <c r="F46" s="39" t="s">
        <v>257</v>
      </c>
      <c r="G46" s="37" t="s">
        <v>241</v>
      </c>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row>
    <row r="47" spans="1:98" x14ac:dyDescent="0.2">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row>
    <row r="48" spans="1:98" x14ac:dyDescent="0.2">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row>
    <row r="49" spans="2:98" x14ac:dyDescent="0.2">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row>
    <row r="50" spans="2:98" x14ac:dyDescent="0.2">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row>
    <row r="51" spans="2:98" x14ac:dyDescent="0.2">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row>
    <row r="52" spans="2:98"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row>
    <row r="53" spans="2:98" x14ac:dyDescent="0.2">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row>
    <row r="54" spans="2:98" x14ac:dyDescent="0.2">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row>
    <row r="55" spans="2:98" x14ac:dyDescent="0.2">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row>
    <row r="56" spans="2:98" x14ac:dyDescent="0.2">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row>
    <row r="57" spans="2:98" x14ac:dyDescent="0.2">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row>
    <row r="58" spans="2:98" x14ac:dyDescent="0.2">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row>
    <row r="59" spans="2:98" x14ac:dyDescent="0.2">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row>
    <row r="60" spans="2:98" x14ac:dyDescent="0.2">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row>
    <row r="61" spans="2:98"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row>
    <row r="62" spans="2:98" x14ac:dyDescent="0.2">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row>
    <row r="63" spans="2:98" x14ac:dyDescent="0.2">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row>
    <row r="64" spans="2:98" x14ac:dyDescent="0.2">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row>
    <row r="65" spans="2:98" x14ac:dyDescent="0.2">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row>
    <row r="66" spans="2:98" x14ac:dyDescent="0.2">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row>
    <row r="67" spans="2:98" x14ac:dyDescent="0.2">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row>
    <row r="68" spans="2:98" x14ac:dyDescent="0.2">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row>
    <row r="69" spans="2:98" x14ac:dyDescent="0.2">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row>
    <row r="70" spans="2:98" x14ac:dyDescent="0.2">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row>
    <row r="71" spans="2:98" x14ac:dyDescent="0.2">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row>
    <row r="72" spans="2:98" x14ac:dyDescent="0.2">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row>
    <row r="73" spans="2:98" x14ac:dyDescent="0.2">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row>
    <row r="74" spans="2:98" x14ac:dyDescent="0.2">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row>
    <row r="75" spans="2:98" x14ac:dyDescent="0.2">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row>
    <row r="76" spans="2:98" x14ac:dyDescent="0.2">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row>
    <row r="77" spans="2:98" x14ac:dyDescent="0.2">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row>
    <row r="78" spans="2:98" x14ac:dyDescent="0.2">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row>
    <row r="79" spans="2:98" x14ac:dyDescent="0.2">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row>
    <row r="80" spans="2:98" x14ac:dyDescent="0.2">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row>
    <row r="81" spans="2:98" x14ac:dyDescent="0.2">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row>
    <row r="82" spans="2:98" x14ac:dyDescent="0.2">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row>
    <row r="83" spans="2:98" x14ac:dyDescent="0.2">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row>
    <row r="84" spans="2:98" x14ac:dyDescent="0.2">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row>
    <row r="85" spans="2:98" x14ac:dyDescent="0.2">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row>
    <row r="86" spans="2:98" x14ac:dyDescent="0.2">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row>
    <row r="87" spans="2:98" x14ac:dyDescent="0.2">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row>
    <row r="88" spans="2:98" x14ac:dyDescent="0.2">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row>
    <row r="89" spans="2:98" x14ac:dyDescent="0.2">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row>
    <row r="90" spans="2:98" x14ac:dyDescent="0.2">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row>
    <row r="91" spans="2:98" x14ac:dyDescent="0.2">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row>
    <row r="92" spans="2:98" x14ac:dyDescent="0.2">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row>
    <row r="93" spans="2:98" x14ac:dyDescent="0.2">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row>
    <row r="94" spans="2:98" x14ac:dyDescent="0.2">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row>
    <row r="95" spans="2:98" x14ac:dyDescent="0.2">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row>
    <row r="96" spans="2:98" x14ac:dyDescent="0.2">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row>
    <row r="97" spans="2:98" x14ac:dyDescent="0.2">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row>
    <row r="98" spans="2:98" x14ac:dyDescent="0.2">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row>
    <row r="99" spans="2:98" x14ac:dyDescent="0.2">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row>
    <row r="100" spans="2:98" x14ac:dyDescent="0.2">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row>
    <row r="101" spans="2:98" x14ac:dyDescent="0.2">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row>
    <row r="102" spans="2:98" x14ac:dyDescent="0.2">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row>
    <row r="103" spans="2:98" x14ac:dyDescent="0.2">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row>
    <row r="104" spans="2:98" x14ac:dyDescent="0.2">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row>
    <row r="105" spans="2:98" x14ac:dyDescent="0.2">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row>
    <row r="106" spans="2:98" x14ac:dyDescent="0.2">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row>
    <row r="107" spans="2:98" x14ac:dyDescent="0.2">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row>
    <row r="108" spans="2:98" x14ac:dyDescent="0.2">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row>
    <row r="109" spans="2:98" x14ac:dyDescent="0.2">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row>
    <row r="110" spans="2:98" x14ac:dyDescent="0.2">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row>
    <row r="111" spans="2:98" x14ac:dyDescent="0.2">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row>
    <row r="112" spans="2:98" x14ac:dyDescent="0.2">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row>
    <row r="113" spans="2:98" x14ac:dyDescent="0.2">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row>
    <row r="114" spans="2:98" x14ac:dyDescent="0.2">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row>
    <row r="115" spans="2:98" x14ac:dyDescent="0.2">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row>
    <row r="116" spans="2:98" x14ac:dyDescent="0.2">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row>
    <row r="117" spans="2:98" x14ac:dyDescent="0.2">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row>
    <row r="118" spans="2:98" x14ac:dyDescent="0.2">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row>
    <row r="119" spans="2:98" x14ac:dyDescent="0.2">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row>
    <row r="120" spans="2:98" x14ac:dyDescent="0.2">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row>
    <row r="121" spans="2:98"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row>
    <row r="122" spans="2:98"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row>
    <row r="123" spans="2:98"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row>
    <row r="124" spans="2:98"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row>
    <row r="125" spans="2:98"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row>
    <row r="126" spans="2:98"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row>
    <row r="127" spans="2:98"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row>
    <row r="128" spans="2:98"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row>
    <row r="129" spans="2:98"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row>
    <row r="130" spans="2:98"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row>
    <row r="131" spans="2:98"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row>
    <row r="132" spans="2:98"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row>
  </sheetData>
  <autoFilter ref="A1:AS46" xr:uid="{D617A74A-974A-014C-83CF-66AB738EFD73}">
    <sortState xmlns:xlrd2="http://schemas.microsoft.com/office/spreadsheetml/2017/richdata2" ref="A2:AS46">
      <sortCondition ref="B1:B46"/>
    </sortState>
  </autoFilter>
  <conditionalFormatting sqref="B1:B407">
    <cfRule type="cellIs" dxfId="11" priority="5" stopIfTrue="1" operator="equal">
      <formula>"Find"</formula>
    </cfRule>
  </conditionalFormatting>
  <conditionalFormatting sqref="B1:B4097">
    <cfRule type="cellIs" dxfId="10" priority="6" operator="equal">
      <formula>"Used"</formula>
    </cfRule>
    <cfRule type="cellIs" dxfId="9" priority="7" stopIfTrue="1" operator="equal">
      <formula>"B2B"</formula>
    </cfRule>
  </conditionalFormatting>
  <conditionalFormatting sqref="F37">
    <cfRule type="cellIs" dxfId="8" priority="1" stopIfTrue="1" operator="equal">
      <formula>"Find"</formula>
    </cfRule>
    <cfRule type="cellIs" dxfId="7" priority="2" operator="equal">
      <formula>"Used"</formula>
    </cfRule>
    <cfRule type="cellIs" dxfId="6" priority="3" stopIfTrue="1" operator="equal">
      <formula>"B2B"</formula>
    </cfRule>
  </conditionalFormatting>
  <hyperlinks>
    <hyperlink ref="F30" r:id="rId1" display="https://jira.bnh.com/browse/BHUX-32257" xr:uid="{1C354678-9971-9D4A-A8AC-E5BBDDCCE013}"/>
    <hyperlink ref="F29" r:id="rId2" display="https://jira.bnh.com/browse/BHUX-31874" xr:uid="{7A61BEF3-985C-DE49-9810-3B7AA96C37F4}"/>
    <hyperlink ref="F28" r:id="rId3" tooltip="https://jira.bnh.com/browse/bhux-26541" display="https://jira.bnh.com/browse/BHUX-26541" xr:uid="{4F4FA8AC-5B96-824E-96FF-6F0487BD9D79}"/>
    <hyperlink ref="F4" r:id="rId4" display="https://jira.bnh.com/browse/BHUX-33434" xr:uid="{48B8F246-87C7-974B-92DE-04DD88DE8E39}"/>
    <hyperlink ref="F20" r:id="rId5" display="https://jira.bnh.com/browse/BHUX-33009" xr:uid="{1550CF72-27B8-9A4D-B1B3-6ACE965DBE3F}"/>
    <hyperlink ref="F37" r:id="rId6" display="https://jira.bnh.com/browse/BHUX-33519" xr:uid="{274503DF-5655-534C-83F1-397A28F8A4F3}"/>
    <hyperlink ref="F32" r:id="rId7" display="https://jira.bnh.com/browse/BHUX-29580" xr:uid="{AC3EF1E9-C7B5-6441-8A4A-FD0B5401DF03}"/>
    <hyperlink ref="F2" r:id="rId8" display="https://jira.bnh.com/browse/BHUX-33510" xr:uid="{0093F7F4-29CF-EF42-B621-529D5614C679}"/>
    <hyperlink ref="F44" r:id="rId9" display="https://jira.bnh.com/browse/BHUX-25601" xr:uid="{9C0A745D-1AD2-428F-80A5-45D22A760249}"/>
    <hyperlink ref="F3" r:id="rId10" xr:uid="{52EBE770-197D-C64C-9023-D4AECB64343B}"/>
    <hyperlink ref="F24" r:id="rId11" xr:uid="{D47F3920-6283-EC4E-BDF9-396F18F5CFD0}"/>
    <hyperlink ref="F26" r:id="rId12" xr:uid="{F4B206DE-30A4-8848-9A71-872B9DF716DF}"/>
    <hyperlink ref="F19" r:id="rId13" xr:uid="{F67A537A-1441-4463-A878-15E37D9F7A9E}"/>
    <hyperlink ref="F22" r:id="rId14" xr:uid="{29318F78-DC1C-B545-AE41-743063DF9A87}"/>
    <hyperlink ref="F8" r:id="rId15" xr:uid="{1B63E88D-B34C-3342-B97C-6B8679CB5133}"/>
    <hyperlink ref="F9" r:id="rId16" xr:uid="{12EBEDEE-C94C-6D47-B1BB-087369F4D7A0}"/>
    <hyperlink ref="F10" r:id="rId17" xr:uid="{9A954CFA-8612-1042-B812-977E61E32E0D}"/>
    <hyperlink ref="F11" r:id="rId18" xr:uid="{888A79F7-D085-FE4A-9FF7-071CEAD0388B}"/>
    <hyperlink ref="F25" r:id="rId19" xr:uid="{AF84EE80-342A-4446-8F72-9906F7FDC91D}"/>
    <hyperlink ref="F15" r:id="rId20" xr:uid="{A1DCF875-1CF1-9B4C-B7A5-3169E5B54A57}"/>
    <hyperlink ref="F6" r:id="rId21" xr:uid="{3CA236C1-3268-5143-AC97-795D87FAD8A3}"/>
    <hyperlink ref="F23" r:id="rId22" xr:uid="{E7FF6711-78F6-7F4B-8338-D76928FBC43D}"/>
    <hyperlink ref="F13" r:id="rId23" xr:uid="{0C216D9E-C519-AA49-97F8-151B855E066C}"/>
    <hyperlink ref="F12" r:id="rId24" xr:uid="{18CD5813-B83E-4549-92EC-6C3D116ED54E}"/>
    <hyperlink ref="F14" r:id="rId25" xr:uid="{FBB2D68B-E12D-434D-B9C8-A3EEDC568A78}"/>
    <hyperlink ref="F33" r:id="rId26" xr:uid="{FCDA5FFA-8DC3-2547-9D25-5BEC9BD64DE2}"/>
    <hyperlink ref="F17" r:id="rId27" display="https://jira.bnh.com/browse/BHUX-35303" xr:uid="{25815AAD-0620-024D-8599-004E501A4D5A}"/>
    <hyperlink ref="F16" r:id="rId28" display="https://jira.bnh.com/browse/BHUX-35304" xr:uid="{CD2CDBC0-4BF2-C447-BAA3-47C078088A53}"/>
    <hyperlink ref="F18" r:id="rId29" display="https://jira.bnh.com/browse/BHUX-35302" xr:uid="{6937F591-2287-B143-8E47-4AE79AF27F1D}"/>
    <hyperlink ref="F27" r:id="rId30" display="https://jira.bnh.com/browse/BHUX-35309" xr:uid="{81521203-423D-7749-8201-0A37D43F2EBB}"/>
    <hyperlink ref="F31" r:id="rId31" display="https://jira.bnh.com/browse/BHJ-121278" xr:uid="{DB9410EC-0A9A-EB48-B601-8376A62CF053}"/>
    <hyperlink ref="F34" r:id="rId32" display="https://jira.bnh.com/browse/BHUX-32621" xr:uid="{C1BA8E57-AA11-6349-BE5E-3DEBA0D407E0}"/>
    <hyperlink ref="F35" r:id="rId33" display="https://jira.bnh.com/browse/BHUX-32543" xr:uid="{A13D8EC9-CB84-0B49-A7C6-7D32C923FD94}"/>
    <hyperlink ref="E46" r:id="rId34" xr:uid="{90AD36D7-1C9F-AC40-BCED-6F7300E7C21A}"/>
    <hyperlink ref="E39" r:id="rId35" xr:uid="{C94E2A4F-AB50-F043-B86A-1C5C7056BAA9}"/>
    <hyperlink ref="E38" r:id="rId36" xr:uid="{87F19C9A-BFD1-744D-B8FF-4868F93DA700}"/>
    <hyperlink ref="E40" r:id="rId37" xr:uid="{A1A9AFCD-1B41-AA4F-A69D-D4B64098F15B}"/>
    <hyperlink ref="F39" r:id="rId38" display="https://jira.bnh.com/browse/BHUX-23755" xr:uid="{492578A2-7A0C-924D-AF89-3449ECDC29B6}"/>
    <hyperlink ref="F38" r:id="rId39" display="https://jira.bnh.com/browse/BHUX-17615" xr:uid="{CE0EFA80-D40D-0041-AA2C-BBD984F07D1C}"/>
    <hyperlink ref="F46" r:id="rId40" display="https://jira.bnh.com/browse/BHUX-31354" xr:uid="{80265E8C-186C-8542-AAE3-9344D641CFDC}"/>
    <hyperlink ref="F40" r:id="rId41" display="https://jira.bnh.com/browse/BHUX-28124" xr:uid="{04792098-93D2-204C-B987-C74B907FF69B}"/>
    <hyperlink ref="F45" r:id="rId42" display="https://jira.bnh.com/browse/BHP-4563" xr:uid="{0E855850-35CF-7D46-A477-1115A384E455}"/>
    <hyperlink ref="E41" r:id="rId43" display="https://jira.bnh.com/browse/MRCH-2202" xr:uid="{A791D908-EE5C-1149-8D9D-A0BB860BE8DE}"/>
    <hyperlink ref="E42" r:id="rId44" display="https://jira.bnh.com/browse/BHJ-119850" xr:uid="{06F0F574-6B5B-2643-A54F-593DE5927D93}"/>
    <hyperlink ref="F41" r:id="rId45" display="https://jira.bnh.com/browse/BHUX-31245" xr:uid="{37A7D823-39F7-6947-86FC-3AE82E93C053}"/>
    <hyperlink ref="F42" r:id="rId46" display="https://jira.bnh.com/browse/BHUX-32071" xr:uid="{1EF920D6-BBA7-3146-9D78-880CEBF15369}"/>
    <hyperlink ref="E43" r:id="rId47" xr:uid="{24B93257-9A2A-9343-8E2E-E1498C4A3268}"/>
    <hyperlink ref="F43" r:id="rId48" display="https://jira.bnh.com/browse/BHUX-29921" xr:uid="{BB7FDE87-8A8F-A649-B181-0A7979D05778}"/>
    <hyperlink ref="E6" r:id="rId49" xr:uid="{209D0604-8A94-FF46-A5BD-1CC94908AA6F}"/>
    <hyperlink ref="E8" r:id="rId50" xr:uid="{506C25D1-AAD7-8146-87AE-A51FC6D5512F}"/>
    <hyperlink ref="E9" r:id="rId51" xr:uid="{657D79B4-3A8D-464C-ABBB-98667367518C}"/>
    <hyperlink ref="E10" r:id="rId52" xr:uid="{58C4BDA6-70C1-B345-96CC-103BCAE180B6}"/>
    <hyperlink ref="E14" r:id="rId53" xr:uid="{0A720F02-3335-1045-98FF-795D51946938}"/>
    <hyperlink ref="E13" r:id="rId54" xr:uid="{ABC90719-B4F6-6842-8A3C-7D0565C4D6AB}"/>
    <hyperlink ref="E11" r:id="rId55" xr:uid="{3A86AF73-CEF6-C846-8DBC-13017CB83659}"/>
    <hyperlink ref="E12" r:id="rId56" xr:uid="{0D5FEBB6-1DF5-7142-A1C0-4E12324F7489}"/>
    <hyperlink ref="E44" r:id="rId57" xr:uid="{8D1C4B0E-072D-0E4A-9975-DA9803ACCA6B}"/>
    <hyperlink ref="E37" r:id="rId58" xr:uid="{174820D0-E08C-CF4C-A6A1-C3E639F12BAB}"/>
    <hyperlink ref="E16" r:id="rId59" xr:uid="{A349F528-1F4D-C743-8A20-8DAF3DF4352F}"/>
    <hyperlink ref="E2" r:id="rId60" xr:uid="{700E7516-749B-D246-8368-19E784A4BC0C}"/>
    <hyperlink ref="E3" r:id="rId61" xr:uid="{14ED9DE8-816F-5248-B414-215F8C1D719C}"/>
    <hyperlink ref="E4" r:id="rId62" xr:uid="{C0EAA880-A62F-EF43-A384-EBD5DC7860B2}"/>
    <hyperlink ref="E15" r:id="rId63" xr:uid="{72AA99BA-29BC-6B46-92EF-F4068B769490}"/>
    <hyperlink ref="E17" r:id="rId64" xr:uid="{60AFF4C1-5EE5-F045-ADFF-45B8DA777C0E}"/>
    <hyperlink ref="E19" r:id="rId65" xr:uid="{C066D304-E04A-3441-9682-C773A0070737}"/>
    <hyperlink ref="E20" r:id="rId66" xr:uid="{70FB7C7B-5DAF-4543-AE04-E30195EA8DF5}"/>
    <hyperlink ref="E18" r:id="rId67" xr:uid="{073BE6F8-C73B-D94A-89BF-2AFEB0AB100E}"/>
    <hyperlink ref="F21" r:id="rId68" xr:uid="{FB860B6B-E5C4-1E4D-B5AB-E297C457ACDC}"/>
    <hyperlink ref="E21" r:id="rId69" xr:uid="{968919CD-4B50-CD4A-A0A6-19A0BDD27BAB}"/>
    <hyperlink ref="E22" r:id="rId70" xr:uid="{0E5177AB-108F-F441-B68F-D44E1A38E76C}"/>
    <hyperlink ref="E23" r:id="rId71" xr:uid="{64D8C5E2-060F-254D-B389-EFAD78F578A1}"/>
    <hyperlink ref="E24" r:id="rId72" xr:uid="{CAE9F427-AC26-C147-A561-4F905D1FEA4F}"/>
    <hyperlink ref="E25" r:id="rId73" xr:uid="{9DA2335C-398C-EB44-ADD2-9B763DE36B7B}"/>
    <hyperlink ref="E27" r:id="rId74" xr:uid="{3A7FF314-20A4-7E4C-9B0A-D9975AF66A70}"/>
    <hyperlink ref="E31" r:id="rId75" xr:uid="{3D0908E3-39EF-AA41-9BA9-04B477AA2072}"/>
    <hyperlink ref="E32" r:id="rId76" xr:uid="{E2F12535-4BAD-4B4E-9FC2-83FDBAE3AD8E}"/>
    <hyperlink ref="E33" r:id="rId77" xr:uid="{B612000D-0FE8-B344-A4A9-AB55BA868E5B}"/>
    <hyperlink ref="E34" r:id="rId78" xr:uid="{9D64C9B6-AB57-E447-B48B-543C63D74AE6}"/>
    <hyperlink ref="E35" r:id="rId79" xr:uid="{EA200AC6-AEC0-E44C-8347-89B96EAC4887}"/>
    <hyperlink ref="D2" location="Control!R6C5" display="Improve Trade In User Flow" xr:uid="{11C4031B-DBF0-374C-B775-42E42BD644C7}"/>
    <hyperlink ref="D31" location="Control!R6C5" display="Improve Trade In User Flow" xr:uid="{49AE2EB7-BE63-C542-8957-25267F4C7EC5}"/>
    <hyperlink ref="C18" location="'Control (Don’t Touch)'!R4C5" display="Improve Discovery" xr:uid="{16ECDCB1-E106-3D4D-8127-442010B04E01}"/>
    <hyperlink ref="C8" location="Control!R6C5" display="Improve Trade In User Flow" xr:uid="{567E155A-5595-3C47-B137-898AD1547378}"/>
    <hyperlink ref="C3" location="Control!R11C5" display="Increase B2B Acquisition" xr:uid="{A1CE1BC1-2BE7-304E-8E5D-15E0BE805C45}"/>
    <hyperlink ref="C11" location="'Control (Don’t Touch)'!R8C5" display="Increase Buy Used Awareness" xr:uid="{0FA3F8A8-D1BF-CE43-BB9D-BF3DFF5E4C4F}"/>
    <hyperlink ref="C5" location="Control!R12C5" display="Increase The Studio B&amp;H Awareness" xr:uid="{2159CDCF-6B42-694F-B67D-1B6F5DFB5768}"/>
    <hyperlink ref="C9" location="Control!R5C5" display="Increase Trade In Awareness" xr:uid="{68C5DC55-D6F0-534A-9C01-82FC3EFF7A8A}"/>
    <hyperlink ref="C2" location="'Control (Don’t Touch)'!R9C5" display="Improve Buy Used Customer Experience" xr:uid="{A2A6FF3E-1996-BC45-AA95-559B7B4BCCA0}"/>
    <hyperlink ref="C3:C4" location="Control!R9C5" display="Improve Buy Used Customer Experience" xr:uid="{F18C1B0D-493E-2845-8568-B3D6B51110E3}"/>
    <hyperlink ref="C10" location="Control!R13C5" display="Improve The Studio B&amp;H Customer Experience" xr:uid="{A2398013-94EB-754D-9DFF-479A9E76DB53}"/>
    <hyperlink ref="C4" location="Control!R13C5" display="Improve The Studio B&amp;H Customer Experience" xr:uid="{F374E649-6A1E-DF48-8429-ADBDB257F46C}"/>
    <hyperlink ref="E26" r:id="rId80" xr:uid="{3555A129-45FC-5A4D-84C5-4BACE137BDBD}"/>
    <hyperlink ref="E45" r:id="rId81" xr:uid="{9EA2491D-F77D-3548-A4EC-AA15642FC001}"/>
    <hyperlink ref="C14" location="'Control (Don’t Touch)'!R5C5" display="Increase Trade In Awareness" xr:uid="{07C1B625-417D-5245-AD81-99DB0D4088EE}"/>
    <hyperlink ref="C12" location="Control!R12C5" display="Increase The Studio B&amp;H Awareness" xr:uid="{233E8C82-7DE9-A24D-AB09-FB5EA034481B}"/>
    <hyperlink ref="C16" location="Control!R12C5" display="Increase The Studio B&amp;H Awareness" xr:uid="{BD1282E3-8FE5-E941-B3A6-1AE7F0E23B7C}"/>
    <hyperlink ref="C19" location="'Control (Don’t Touch)'!R6C5" display="Improve Trade In User Flow" xr:uid="{00A5341F-1727-624D-88AC-2DBC304D4DFF}"/>
    <hyperlink ref="F7" r:id="rId82" xr:uid="{7FE9E0CB-F8F6-9443-927E-05F5251EF69E}"/>
    <hyperlink ref="E7" r:id="rId83" xr:uid="{334BBC84-91C1-F748-91DB-DA8ABF919820}"/>
    <hyperlink ref="C7" location="Control!R5C5" display="Increase Trade In Awareness" xr:uid="{86CEEC0C-2EB5-164A-977B-BDDB0F527291}"/>
    <hyperlink ref="C31" location="'Control (Don’t Touch)'!R9C5" display="Improve Buy Used Customer Experience" xr:uid="{220751A9-70C2-AF4B-96BF-6A740F925E2E}"/>
    <hyperlink ref="C45" location="'Control (Don’t Touch)'!R9C5" display="Improve Buy Used Customer Experience" xr:uid="{1EC99352-3BA3-674B-A888-F2D6B39D7926}"/>
    <hyperlink ref="C13" location="'Control (Don’t Touch)'!R8C5" display="Increase Buy Used Awareness" xr:uid="{CB890338-7F88-1A41-A04A-151AF4F7E451}"/>
    <hyperlink ref="C15" location="'Control (Don’t Touch)'!R8C5" display="Increase Buy Used Awareness" xr:uid="{2D13AD1C-3E0D-024C-A8DB-C91CC4368339}"/>
    <hyperlink ref="C17" location="'Control (Don’t Touch)'!R8C5" display="Increase Buy Used Awareness" xr:uid="{541FCB83-011C-2145-8B0B-87980F756D0A}"/>
    <hyperlink ref="C21:C23" location="'Control (Don’t Touch)'!R8C5" display="Increase Buy Used Awareness" xr:uid="{4AF20B2B-0CEB-E24C-8F54-5173DE1E1606}"/>
    <hyperlink ref="C37" location="'Control (Don’t Touch)'!R8C5" display="Increase Buy Used Awareness" xr:uid="{F83C8AB9-BF77-3D42-8C55-19F82EC7BD83}"/>
    <hyperlink ref="C46" location="'Control (Don’t Touch)'!R8C5" display="Increase Buy Used Awareness" xr:uid="{8F072F67-9906-9C4E-AAFA-C838E218296E}"/>
    <hyperlink ref="C24" location="'Control (Don’t Touch)'!R5C5" display="Increase Trade In Awareness" xr:uid="{EFEEC31B-78C3-0B42-9EA1-68A8115242BB}"/>
    <hyperlink ref="C27" location="'Control (Don’t Touch)'!R5C5" display="Increase Trade In Awareness" xr:uid="{E5705B32-F98C-A044-9E4B-37B9F3007D8B}"/>
    <hyperlink ref="C20" location="'Control (Don’t Touch)'!R6C5" display="Improve Trade In User Flow" xr:uid="{C37E3413-99CF-6B49-830E-24D203EEE626}"/>
    <hyperlink ref="C25:C26" location="'Control (Don’t Touch)'!R6C5" display="Improve Trade In User Flow" xr:uid="{3BAA5D70-3CBA-6742-9533-0C122DB53874}"/>
    <hyperlink ref="C36" location="'Control (Don’t Touch)'!R6C5" display="Improve Trade In User Flow" xr:uid="{62B96A87-AD5B-5445-8697-DC55C835A01C}"/>
    <hyperlink ref="C32" location="'Control (Don’t Touch)'!R4C5" display="Improve Discovery" xr:uid="{9D296C0E-FE73-7F4E-9961-FA83927045DE}"/>
    <hyperlink ref="C34:C35" location="'Control (Don’t Touch)'!R4C5" display="Improve Discovery" xr:uid="{7974219A-68A2-8941-B260-15FD93368756}"/>
    <hyperlink ref="C38:C43" location="'Control (Don’t Touch)'!R4C5" display="Improve Discovery" xr:uid="{596553D3-6E6B-474F-ABDC-3C4A70F1F0E1}"/>
    <hyperlink ref="C33" location="'Control (Don’t Touch)'!R11C5" display="Increase B2B Acquisition" xr:uid="{B147E840-3D5F-254C-A02E-1709572554DD}"/>
    <hyperlink ref="C30:C32" location="'Control (Don’t Touch)'!R11C5" display="Increase B2B Acquisition" xr:uid="{2F4CB414-5F92-A245-891F-A8C5B08B10AA}"/>
    <hyperlink ref="C44" location="'Control (Don’t Touch)'!R11C5" display="Increase B2B Acquisition" xr:uid="{64CCF75F-DCA0-7B43-B585-5AD4E5FA3E60}"/>
    <hyperlink ref="C6" location="'Control (Don’t Touch)'!R11C5" display="Increase B2B Acquisition" xr:uid="{2B6E1077-5700-3D4D-8DDB-7FA1D8055708}"/>
  </hyperlinks>
  <pageMargins left="0.7" right="0.7" top="0.75" bottom="0.75" header="0.3" footer="0.3"/>
  <pageSetup scale="68" orientation="landscape"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F63EA9B0-69B6-A541-AA0D-DA9373690895}">
          <x14:formula1>
            <xm:f>Control!$B$4:$B$19</xm:f>
          </x14:formula1>
          <xm:sqref>G2:G45</xm:sqref>
        </x14:dataValidation>
        <x14:dataValidation type="list" allowBlank="1" showInputMessage="1" showErrorMessage="1" xr:uid="{647E7BC1-7E87-6E44-9304-E439ED7F69E8}">
          <x14:formula1>
            <xm:f>Control!$E$4:$E$34</xm:f>
          </x14:formula1>
          <xm:sqref>C2:C132</xm:sqref>
        </x14:dataValidation>
        <x14:dataValidation type="list" allowBlank="1" showInputMessage="1" showErrorMessage="1" xr:uid="{0B504D5D-C26E-3843-AA15-1553A77408F7}">
          <x14:formula1>
            <xm:f>Control!$A$4:$A$6</xm:f>
          </x14:formula1>
          <xm:sqref>B2:B23 B25:B46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D9113-BFF1-B540-AE75-735869F650C3}">
  <dimension ref="A1:L73"/>
  <sheetViews>
    <sheetView zoomScaleNormal="100" workbookViewId="0">
      <pane xSplit="4" ySplit="1" topLeftCell="E2" activePane="bottomRight" state="frozen"/>
      <selection pane="topRight" activeCell="A29" sqref="A29"/>
      <selection pane="bottomLeft" activeCell="A29" sqref="A29"/>
      <selection pane="bottomRight" activeCell="I29" sqref="I29"/>
    </sheetView>
  </sheetViews>
  <sheetFormatPr baseColWidth="10" defaultColWidth="11" defaultRowHeight="16" x14ac:dyDescent="0.2"/>
  <cols>
    <col min="2" max="2" width="45" bestFit="1" customWidth="1"/>
    <col min="3" max="3" width="30.6640625" hidden="1" customWidth="1"/>
    <col min="4" max="4" width="64.1640625" customWidth="1"/>
    <col min="5" max="5" width="35" customWidth="1"/>
    <col min="6" max="6" width="21.33203125" bestFit="1" customWidth="1"/>
    <col min="7" max="8" width="30.33203125" customWidth="1"/>
    <col min="9" max="9" width="16" bestFit="1" customWidth="1"/>
    <col min="10" max="10" width="14.6640625" bestFit="1" customWidth="1"/>
    <col min="11" max="11" width="112" bestFit="1" customWidth="1"/>
    <col min="12" max="12" width="16" customWidth="1"/>
  </cols>
  <sheetData>
    <row r="1" spans="1:12" ht="22" x14ac:dyDescent="0.3">
      <c r="A1" s="47" t="str">
        <f>'UX Weekly'!B1</f>
        <v>Portfolio</v>
      </c>
      <c r="B1" s="47" t="str">
        <f>'UX Weekly'!C1</f>
        <v>Theme #1</v>
      </c>
      <c r="C1" s="47" t="str">
        <f>'UX Weekly'!D1</f>
        <v>Theme #2</v>
      </c>
      <c r="D1" s="47" t="s">
        <v>136</v>
      </c>
      <c r="E1" s="47" t="s">
        <v>258</v>
      </c>
      <c r="F1" s="47" t="s">
        <v>27</v>
      </c>
      <c r="G1" s="47" t="s">
        <v>259</v>
      </c>
      <c r="H1" s="47" t="s">
        <v>260</v>
      </c>
      <c r="I1" s="47" t="s">
        <v>261</v>
      </c>
      <c r="J1" s="47" t="s">
        <v>262</v>
      </c>
      <c r="K1" s="47" t="s">
        <v>263</v>
      </c>
      <c r="L1" s="47" t="s">
        <v>264</v>
      </c>
    </row>
    <row r="2" spans="1:12" ht="22" x14ac:dyDescent="0.3">
      <c r="A2" s="48" t="str">
        <f>IF(COUNTA('UX Weekly'!B2)=0,"",'UX Weekly'!B2)</f>
        <v>Used</v>
      </c>
      <c r="B2" s="156" t="str">
        <f>IF(COUNTA('UX Weekly'!C2)=0,"",'UX Weekly'!C2)</f>
        <v>Improve Buy Used Customer Experience</v>
      </c>
      <c r="C2" s="156" t="str">
        <f>IF(COUNTA('UX Weekly'!D2)=0,"",'UX Weekly'!D2)</f>
        <v>Improve Trade In User Flow</v>
      </c>
      <c r="D2" s="156" t="str">
        <f>IF(COUNTA('UX Weekly'!E2)=0,"",'UX Weekly'!E2)</f>
        <v>New Condition Rating Scale</v>
      </c>
      <c r="E2" s="156" t="str">
        <f>IF(COUNTA('UX Weekly'!F2)=0,"",TRIM('UX Weekly'!F2))</f>
        <v>BHUX-33510</v>
      </c>
      <c r="F2" s="48" t="str">
        <f>'UX Weekly'!G2</f>
        <v>00. Parking Lot</v>
      </c>
      <c r="G2" s="48" t="s">
        <v>265</v>
      </c>
      <c r="H2" s="48" t="s">
        <v>266</v>
      </c>
      <c r="I2" s="140" t="s">
        <v>267</v>
      </c>
      <c r="J2" s="140" t="s">
        <v>267</v>
      </c>
      <c r="K2" s="48"/>
      <c r="L2" s="156" t="s">
        <v>268</v>
      </c>
    </row>
    <row r="3" spans="1:12" ht="22" x14ac:dyDescent="0.3">
      <c r="A3" s="48" t="str">
        <f>IF(COUNTA('UX Weekly'!B3)=0,"",'UX Weekly'!B3)</f>
        <v>B2B</v>
      </c>
      <c r="B3" s="156" t="str">
        <f>IF(COUNTA('UX Weekly'!C3)=0,"",'UX Weekly'!C3)</f>
        <v>Increase B2B Acquisition</v>
      </c>
      <c r="C3" s="48" t="str">
        <f>IF(COUNTA('UX Weekly'!D3)=0,"",'UX Weekly'!D3)</f>
        <v/>
      </c>
      <c r="D3" s="156" t="str">
        <f>IF(COUNTA('UX Weekly'!E3)=0,"",'UX Weekly'!E3)</f>
        <v>B2B Hub - Logged In B2B Experience</v>
      </c>
      <c r="E3" s="156" t="str">
        <f>IF(COUNTA('UX Weekly'!F3)=0,"",TRIM('UX Weekly'!F3))</f>
        <v>BHP-6901</v>
      </c>
      <c r="F3" s="48" t="str">
        <f>'UX Weekly'!G3</f>
        <v>00. Parking Lot</v>
      </c>
      <c r="G3" s="48" t="s">
        <v>269</v>
      </c>
      <c r="H3" s="48" t="s">
        <v>266</v>
      </c>
      <c r="I3" s="140" t="s">
        <v>270</v>
      </c>
      <c r="J3" s="140" t="s">
        <v>271</v>
      </c>
      <c r="K3" s="39"/>
      <c r="L3" s="156" t="s">
        <v>148</v>
      </c>
    </row>
    <row r="4" spans="1:12" ht="22" x14ac:dyDescent="0.3">
      <c r="A4" s="48" t="str">
        <f>IF(COUNTA('UX Weekly'!B4)=0,"",'UX Weekly'!B4)</f>
        <v>B2B</v>
      </c>
      <c r="B4" s="156" t="str">
        <f>IF(COUNTA('UX Weekly'!C4)=0,"",'UX Weekly'!C4)</f>
        <v>Improve The Studio B&amp;H Customer Experience</v>
      </c>
      <c r="C4" s="48" t="str">
        <f>IF(COUNTA('UX Weekly'!D4)=0,"",'UX Weekly'!D4)</f>
        <v/>
      </c>
      <c r="D4" s="156" t="str">
        <f>IF(COUNTA('UX Weekly'!E4)=0,"",'UX Weekly'!E4)</f>
        <v>B2B - The Studio Categories</v>
      </c>
      <c r="E4" s="156" t="str">
        <f>IF(COUNTA('UX Weekly'!F4)=0,"",TRIM('UX Weekly'!F4))</f>
        <v>BHUX-33434</v>
      </c>
      <c r="F4" s="48" t="str">
        <f>'UX Weekly'!G4</f>
        <v>01. Prod Discovery</v>
      </c>
      <c r="G4" s="48" t="s">
        <v>130</v>
      </c>
      <c r="H4" s="48" t="s">
        <v>266</v>
      </c>
      <c r="I4" s="140" t="s">
        <v>272</v>
      </c>
      <c r="J4" s="140" t="s">
        <v>267</v>
      </c>
      <c r="K4" s="48"/>
      <c r="L4" s="156" t="s">
        <v>273</v>
      </c>
    </row>
    <row r="5" spans="1:12" ht="22" x14ac:dyDescent="0.3">
      <c r="A5" s="48" t="str">
        <f>IF(COUNTA('UX Weekly'!B5)=0,"",'UX Weekly'!B5)</f>
        <v>B2B</v>
      </c>
      <c r="B5" s="156" t="str">
        <f>IF(COUNTA('UX Weekly'!C5)=0,"",'UX Weekly'!C5)</f>
        <v>Increase The Studio B&amp;H Awareness</v>
      </c>
      <c r="C5" s="48" t="str">
        <f>IF(COUNTA('UX Weekly'!D5)=0,"",'UX Weekly'!D5)</f>
        <v/>
      </c>
      <c r="D5" s="48" t="str">
        <f>IF(COUNTA('UX Weekly'!E5)=0,"",'UX Weekly'!E5)</f>
        <v>The Studio - Stand Alone Website</v>
      </c>
      <c r="E5" s="48" t="str">
        <f>IF(COUNTA('UX Weekly'!F5)=0,"",TRIM('UX Weekly'!F5))</f>
        <v/>
      </c>
      <c r="F5" s="48" t="str">
        <f>'UX Weekly'!G5</f>
        <v>01. Prod Discovery</v>
      </c>
      <c r="G5" s="48" t="s">
        <v>265</v>
      </c>
      <c r="H5" s="48" t="s">
        <v>266</v>
      </c>
      <c r="I5" s="140" t="s">
        <v>267</v>
      </c>
      <c r="J5" s="140" t="s">
        <v>270</v>
      </c>
      <c r="K5" s="48"/>
    </row>
    <row r="6" spans="1:12" ht="22" x14ac:dyDescent="0.3">
      <c r="A6" s="48" t="str">
        <f>IF(COUNTA('UX Weekly'!B6)=0,"",'UX Weekly'!B6)</f>
        <v>B2B</v>
      </c>
      <c r="B6" s="156" t="str">
        <f>IF(COUNTA('UX Weekly'!C6)=0,"",'UX Weekly'!C6)</f>
        <v>Increase B2B Acquisition</v>
      </c>
      <c r="C6" s="48" t="str">
        <f>IF(COUNTA('UX Weekly'!D6)=0,"",'UX Weekly'!D6)</f>
        <v/>
      </c>
      <c r="D6" s="156" t="str">
        <f>IF(COUNTA('UX Weekly'!E6)=0,"",'UX Weekly'!E6)</f>
        <v>Homepage Header: B2B</v>
      </c>
      <c r="E6" s="156" t="str">
        <f>IF(COUNTA('UX Weekly'!F6)=0,"",TRIM('UX Weekly'!F6))</f>
        <v>BHP-7274</v>
      </c>
      <c r="F6" s="48" t="str">
        <f>'UX Weekly'!G6</f>
        <v>01. Prod Discovery</v>
      </c>
      <c r="G6" s="48" t="s">
        <v>265</v>
      </c>
      <c r="H6" s="48" t="s">
        <v>266</v>
      </c>
      <c r="I6" s="140"/>
      <c r="J6" s="140"/>
      <c r="K6" s="49"/>
      <c r="L6" s="156" t="s">
        <v>159</v>
      </c>
    </row>
    <row r="7" spans="1:12" ht="22" x14ac:dyDescent="0.3">
      <c r="A7" s="48" t="str">
        <f>IF(COUNTA('UX Weekly'!B7)=0,"",'UX Weekly'!B7)</f>
        <v>Used</v>
      </c>
      <c r="B7" s="156" t="str">
        <f>IF(COUNTA('UX Weekly'!C7)=0,"",'UX Weekly'!C7)</f>
        <v>Increase Trade In Awareness</v>
      </c>
      <c r="C7" s="48" t="str">
        <f>IF(COUNTA('UX Weekly'!D7)=0,"",'UX Weekly'!D7)</f>
        <v/>
      </c>
      <c r="D7" s="156" t="str">
        <f>IF(COUNTA('UX Weekly'!E7)=0,"",'UX Weekly'!E7)</f>
        <v>Decouple Sell Used from Used Hub</v>
      </c>
      <c r="E7" s="156" t="str">
        <f>IF(COUNTA('UX Weekly'!F7)=0,"",TRIM('UX Weekly'!F7))</f>
        <v>BHP-7431</v>
      </c>
      <c r="F7" s="48" t="str">
        <f>'UX Weekly'!G7</f>
        <v>01. Prod Discovery</v>
      </c>
      <c r="G7" s="48" t="s">
        <v>274</v>
      </c>
      <c r="H7" s="48" t="s">
        <v>275</v>
      </c>
      <c r="I7" s="140"/>
      <c r="J7" s="140"/>
      <c r="K7" s="48"/>
      <c r="L7" s="156" t="s">
        <v>162</v>
      </c>
    </row>
    <row r="8" spans="1:12" ht="22" x14ac:dyDescent="0.3">
      <c r="A8" s="48" t="str">
        <f>IF(COUNTA('UX Weekly'!B8)=0,"",'UX Weekly'!B8)</f>
        <v>Used</v>
      </c>
      <c r="B8" s="156" t="str">
        <f>IF(COUNTA('UX Weekly'!C8)=0,"",'UX Weekly'!C8)</f>
        <v>Improve Trade In User Flow</v>
      </c>
      <c r="C8" s="48" t="str">
        <f>IF(COUNTA('UX Weekly'!D8)=0,"",'UX Weekly'!D8)</f>
        <v/>
      </c>
      <c r="D8" s="156" t="str">
        <f>IF(COUNTA('UX Weekly'!E8)=0,"",'UX Weekly'!E8)</f>
        <v>Sell Used Purchase Look Up</v>
      </c>
      <c r="E8" s="156" t="str">
        <f>IF(COUNTA('UX Weekly'!F8)=0,"",TRIM('UX Weekly'!F8))</f>
        <v>BHP-7236</v>
      </c>
      <c r="F8" s="48" t="str">
        <f>'UX Weekly'!G8</f>
        <v>02. UX Req</v>
      </c>
      <c r="G8" s="58" t="s">
        <v>276</v>
      </c>
      <c r="H8" s="58" t="s">
        <v>277</v>
      </c>
      <c r="I8" s="140" t="s">
        <v>278</v>
      </c>
      <c r="J8" s="140" t="s">
        <v>267</v>
      </c>
      <c r="K8" s="48"/>
      <c r="L8" s="156" t="s">
        <v>164</v>
      </c>
    </row>
    <row r="9" spans="1:12" ht="22" x14ac:dyDescent="0.3">
      <c r="A9" s="48" t="str">
        <f>IF(COUNTA('UX Weekly'!B9)=0,"",'UX Weekly'!B9)</f>
        <v>Used</v>
      </c>
      <c r="B9" s="156" t="str">
        <f>IF(COUNTA('UX Weekly'!C9)=0,"",'UX Weekly'!C9)</f>
        <v>Increase Trade In Awareness</v>
      </c>
      <c r="C9" s="48" t="str">
        <f>IF(COUNTA('UX Weekly'!D9)=0,"",'UX Weekly'!D9)</f>
        <v/>
      </c>
      <c r="D9" s="156" t="str">
        <f>IF(COUNTA('UX Weekly'!E9)=0,"",'UX Weekly'!E9)</f>
        <v>Used Activity Notification</v>
      </c>
      <c r="E9" s="156" t="str">
        <f>IF(COUNTA('UX Weekly'!F9)=0,"",TRIM('UX Weekly'!F9))</f>
        <v>BHP-7237</v>
      </c>
      <c r="F9" s="48" t="str">
        <f>'UX Weekly'!G9</f>
        <v>02. UX Req</v>
      </c>
      <c r="G9" s="48" t="s">
        <v>279</v>
      </c>
      <c r="H9" s="48" t="s">
        <v>280</v>
      </c>
      <c r="I9" s="140" t="s">
        <v>272</v>
      </c>
      <c r="J9" s="140" t="s">
        <v>267</v>
      </c>
      <c r="K9" s="48"/>
      <c r="L9" s="156" t="s">
        <v>168</v>
      </c>
    </row>
    <row r="10" spans="1:12" ht="22" x14ac:dyDescent="0.3">
      <c r="A10" s="48" t="str">
        <f>IF(COUNTA('UX Weekly'!B10)=0,"",'UX Weekly'!B10)</f>
        <v>B2B</v>
      </c>
      <c r="B10" s="156" t="str">
        <f>IF(COUNTA('UX Weekly'!C10)=0,"",'UX Weekly'!C10)</f>
        <v>Improve The Studio B&amp;H Customer Experience</v>
      </c>
      <c r="C10" s="48" t="str">
        <f>IF(COUNTA('UX Weekly'!D10)=0,"",'UX Weekly'!D10)</f>
        <v/>
      </c>
      <c r="D10" s="156" t="str">
        <f>IF(COUNTA('UX Weekly'!E10)=0,"",'UX Weekly'!E10)</f>
        <v>The Studio - Enhanced Landing Page</v>
      </c>
      <c r="E10" s="156" t="str">
        <f>IF(COUNTA('UX Weekly'!F10)=0,"",TRIM('UX Weekly'!F10))</f>
        <v>BHP-6444</v>
      </c>
      <c r="F10" s="48" t="str">
        <f>'UX Weekly'!G10</f>
        <v>02. UX Req</v>
      </c>
      <c r="G10" s="48" t="s">
        <v>281</v>
      </c>
      <c r="H10" s="48" t="s">
        <v>282</v>
      </c>
      <c r="I10" s="140" t="s">
        <v>267</v>
      </c>
      <c r="J10" s="140" t="s">
        <v>267</v>
      </c>
      <c r="K10" s="65"/>
      <c r="L10" s="156" t="s">
        <v>170</v>
      </c>
    </row>
    <row r="11" spans="1:12" ht="22" x14ac:dyDescent="0.3">
      <c r="A11" s="48" t="str">
        <f>IF(COUNTA('UX Weekly'!B11)=0,"",'UX Weekly'!B11)</f>
        <v>Used</v>
      </c>
      <c r="B11" s="156" t="str">
        <f>IF(COUNTA('UX Weekly'!C11)=0,"",'UX Weekly'!C11)</f>
        <v>Increase Buy Used Awareness</v>
      </c>
      <c r="C11" s="48" t="str">
        <f>IF(COUNTA('UX Weekly'!D11)=0,"",'UX Weekly'!D11)</f>
        <v/>
      </c>
      <c r="D11" s="156" t="str">
        <f>IF(COUNTA('UX Weekly'!E11)=0,"",'UX Weekly'!E11)</f>
        <v>Used Hub - Just Added Component</v>
      </c>
      <c r="E11" s="156" t="str">
        <f>IF(COUNTA('UX Weekly'!F11)=0,"",TRIM('UX Weekly'!F11))</f>
        <v>BHP-7229</v>
      </c>
      <c r="F11" s="48" t="str">
        <f>'UX Weekly'!G11</f>
        <v>02. UX Req</v>
      </c>
      <c r="G11" s="48" t="s">
        <v>283</v>
      </c>
      <c r="H11" s="48" t="s">
        <v>284</v>
      </c>
      <c r="I11" s="140" t="s">
        <v>285</v>
      </c>
      <c r="J11" s="140" t="s">
        <v>285</v>
      </c>
      <c r="K11" s="49"/>
      <c r="L11" s="156" t="s">
        <v>173</v>
      </c>
    </row>
    <row r="12" spans="1:12" ht="22" x14ac:dyDescent="0.3">
      <c r="A12" s="48" t="str">
        <f>IF(COUNTA('UX Weekly'!B12)=0,"",'UX Weekly'!B12)</f>
        <v>B2B</v>
      </c>
      <c r="B12" s="156" t="str">
        <f>IF(COUNTA('UX Weekly'!C12)=0,"",'UX Weekly'!C12)</f>
        <v>Increase The Studio B&amp;H Awareness</v>
      </c>
      <c r="C12" s="48" t="str">
        <f>IF(COUNTA('UX Weekly'!D12)=0,"",'UX Weekly'!D12)</f>
        <v/>
      </c>
      <c r="D12" s="156" t="str">
        <f>IF(COUNTA('UX Weekly'!E12)=0,"",'UX Weekly'!E12)</f>
        <v>The Studio - Category Hybrid Page</v>
      </c>
      <c r="E12" s="156" t="str">
        <f>IF(COUNTA('UX Weekly'!F12)=0,"",TRIM('UX Weekly'!F12))</f>
        <v>BHP-7301</v>
      </c>
      <c r="F12" s="48" t="str">
        <f>'UX Weekly'!G12</f>
        <v>02. UX Req</v>
      </c>
      <c r="G12" s="49" t="s">
        <v>286</v>
      </c>
      <c r="H12" s="49" t="s">
        <v>287</v>
      </c>
      <c r="I12" s="140" t="s">
        <v>288</v>
      </c>
      <c r="J12" s="140" t="s">
        <v>288</v>
      </c>
      <c r="K12" s="49"/>
      <c r="L12" s="156" t="s">
        <v>175</v>
      </c>
    </row>
    <row r="13" spans="1:12" ht="22" x14ac:dyDescent="0.3">
      <c r="A13" s="48" t="str">
        <f>IF(COUNTA('UX Weekly'!B13)=0,"",'UX Weekly'!B13)</f>
        <v>Used</v>
      </c>
      <c r="B13" s="156" t="str">
        <f>IF(COUNTA('UX Weekly'!C13)=0,"",'UX Weekly'!C13)</f>
        <v>Increase Buy Used Awareness</v>
      </c>
      <c r="C13" s="48" t="str">
        <f>IF(COUNTA('UX Weekly'!D13)=0,"",'UX Weekly'!D13)</f>
        <v/>
      </c>
      <c r="D13" s="156" t="str">
        <f>IF(COUNTA('UX Weekly'!E13)=0,"",'UX Weekly'!E13)</f>
        <v>Used Just Added Page</v>
      </c>
      <c r="E13" s="156" t="str">
        <f>IF(COUNTA('UX Weekly'!F13)=0,"",TRIM('UX Weekly'!F13))</f>
        <v>BHP-7230</v>
      </c>
      <c r="F13" s="48" t="str">
        <f>'UX Weekly'!G13</f>
        <v>02. UX Req</v>
      </c>
      <c r="G13" s="49" t="s">
        <v>279</v>
      </c>
      <c r="H13" s="49" t="s">
        <v>289</v>
      </c>
      <c r="I13" s="140" t="s">
        <v>285</v>
      </c>
      <c r="J13" s="140" t="s">
        <v>285</v>
      </c>
      <c r="K13" s="49"/>
      <c r="L13" s="156" t="s">
        <v>177</v>
      </c>
    </row>
    <row r="14" spans="1:12" ht="22" x14ac:dyDescent="0.3">
      <c r="A14" s="48" t="str">
        <f>IF(COUNTA('UX Weekly'!B14)=0,"",'UX Weekly'!B14)</f>
        <v>Used</v>
      </c>
      <c r="B14" s="156" t="str">
        <f>IF(COUNTA('UX Weekly'!C14)=0,"",'UX Weekly'!C14)</f>
        <v>Increase Trade In Awareness</v>
      </c>
      <c r="C14" s="48" t="str">
        <f>IF(COUNTA('UX Weekly'!D14)=0,"",'UX Weekly'!D14)</f>
        <v/>
      </c>
      <c r="D14" s="156" t="str">
        <f>IF(COUNTA('UX Weekly'!E14)=0,"",'UX Weekly'!E14)</f>
        <v>Increase Awareness of Trade In Offers - Best Buy Inspiration/Competitive Effort</v>
      </c>
      <c r="E14" s="156" t="str">
        <f>IF(COUNTA('UX Weekly'!F14)=0,"",TRIM('UX Weekly'!F14))</f>
        <v>BHP-6827</v>
      </c>
      <c r="F14" s="48" t="str">
        <f>'UX Weekly'!G14</f>
        <v>02. UX Req</v>
      </c>
      <c r="G14" s="48" t="s">
        <v>276</v>
      </c>
      <c r="H14" s="48" t="s">
        <v>290</v>
      </c>
      <c r="I14" s="140" t="s">
        <v>288</v>
      </c>
      <c r="J14" s="140" t="s">
        <v>288</v>
      </c>
      <c r="K14" s="48"/>
      <c r="L14" s="156" t="s">
        <v>180</v>
      </c>
    </row>
    <row r="15" spans="1:12" ht="22" x14ac:dyDescent="0.3">
      <c r="A15" s="48" t="str">
        <f>IF(COUNTA('UX Weekly'!B15)=0,"",'UX Weekly'!B15)</f>
        <v>Used</v>
      </c>
      <c r="B15" s="156" t="str">
        <f>IF(COUNTA('UX Weekly'!C15)=0,"",'UX Weekly'!C15)</f>
        <v>Increase Buy Used Awareness</v>
      </c>
      <c r="C15" s="48" t="str">
        <f>IF(COUNTA('UX Weekly'!D15)=0,"",'UX Weekly'!D15)</f>
        <v/>
      </c>
      <c r="D15" s="156" t="str">
        <f>IF(COUNTA('UX Weekly'!E15)=0,"",'UX Weekly'!E15)</f>
        <v>Out of stock Alerts for used products</v>
      </c>
      <c r="E15" s="156" t="str">
        <f>IF(COUNTA('UX Weekly'!F15)=0,"",TRIM('UX Weekly'!F15))</f>
        <v>BHUX-35020</v>
      </c>
      <c r="F15" s="48" t="str">
        <f>'UX Weekly'!G15</f>
        <v>03. UX Discovery</v>
      </c>
      <c r="G15" s="48" t="s">
        <v>291</v>
      </c>
      <c r="H15" s="48" t="s">
        <v>290</v>
      </c>
      <c r="I15" s="140" t="s">
        <v>288</v>
      </c>
      <c r="J15" s="140" t="s">
        <v>288</v>
      </c>
      <c r="K15" s="48"/>
      <c r="L15" s="156" t="s">
        <v>292</v>
      </c>
    </row>
    <row r="16" spans="1:12" ht="22" x14ac:dyDescent="0.3">
      <c r="A16" s="48" t="str">
        <f>IF(COUNTA('UX Weekly'!B16)=0,"",'UX Weekly'!B16)</f>
        <v>B2B</v>
      </c>
      <c r="B16" s="156" t="str">
        <f>IF(COUNTA('UX Weekly'!C16)=0,"",'UX Weekly'!C16)</f>
        <v>Increase The Studio B&amp;H Awareness</v>
      </c>
      <c r="C16" s="48" t="str">
        <f>IF(COUNTA('UX Weekly'!D16)=0,"",'UX Weekly'!D16)</f>
        <v/>
      </c>
      <c r="D16" s="156" t="str">
        <f>IF(COUNTA('UX Weekly'!E16)=0,"",'UX Weekly'!E16)</f>
        <v>The Studio - B&amp;H Awareness on High Ticket Items</v>
      </c>
      <c r="E16" s="156" t="str">
        <f>IF(COUNTA('UX Weekly'!F16)=0,"",TRIM('UX Weekly'!F16))</f>
        <v>BHUX-35304</v>
      </c>
      <c r="F16" s="48" t="str">
        <f>'UX Weekly'!G16</f>
        <v>03. UX Discovery</v>
      </c>
      <c r="G16" s="58" t="s">
        <v>274</v>
      </c>
      <c r="H16" s="58" t="s">
        <v>266</v>
      </c>
      <c r="I16" s="140" t="s">
        <v>288</v>
      </c>
      <c r="J16" s="140" t="s">
        <v>288</v>
      </c>
      <c r="K16" s="58"/>
      <c r="L16" s="156" t="s">
        <v>293</v>
      </c>
    </row>
    <row r="17" spans="1:12" ht="22" x14ac:dyDescent="0.3">
      <c r="A17" s="48" t="str">
        <f>IF(COUNTA('UX Weekly'!B17)=0,"",'UX Weekly'!B17)</f>
        <v>Used</v>
      </c>
      <c r="B17" s="156" t="str">
        <f>IF(COUNTA('UX Weekly'!C17)=0,"",'UX Weekly'!C17)</f>
        <v>Increase Buy Used Awareness</v>
      </c>
      <c r="C17" s="156" t="str">
        <f>IF(COUNTA('UX Weekly'!D17)=0,"",'UX Weekly'!D17)</f>
        <v>Improve Discovery</v>
      </c>
      <c r="D17" s="156" t="str">
        <f>IF(COUNTA('UX Weekly'!E17)=0,"",'UX Weekly'!E17)</f>
        <v>Add New | Used tab to all listing pages and search results pages</v>
      </c>
      <c r="E17" s="156" t="str">
        <f>IF(COUNTA('UX Weekly'!F17)=0,"",TRIM('UX Weekly'!F17))</f>
        <v>BHUX-35303</v>
      </c>
      <c r="F17" s="48" t="str">
        <f>'UX Weekly'!G17</f>
        <v>03. UX Discovery</v>
      </c>
      <c r="G17" s="58" t="s">
        <v>294</v>
      </c>
      <c r="H17" s="58" t="s">
        <v>284</v>
      </c>
      <c r="I17" s="140" t="s">
        <v>278</v>
      </c>
      <c r="J17" s="140" t="s">
        <v>278</v>
      </c>
      <c r="K17" s="58"/>
      <c r="L17" s="156" t="s">
        <v>295</v>
      </c>
    </row>
    <row r="18" spans="1:12" ht="22" x14ac:dyDescent="0.3">
      <c r="A18" s="48" t="str">
        <f>IF(COUNTA('UX Weekly'!B18)=0,"",'UX Weekly'!B18)</f>
        <v>Find</v>
      </c>
      <c r="B18" s="156" t="str">
        <f>IF(COUNTA('UX Weekly'!C18)=0,"",'UX Weekly'!C18)</f>
        <v>Improve Discovery</v>
      </c>
      <c r="C18" s="48" t="str">
        <f>IF(COUNTA('UX Weekly'!D18)=0,"",'UX Weekly'!D18)</f>
        <v/>
      </c>
      <c r="D18" s="156" t="str">
        <f>IF(COUNTA('UX Weekly'!E18)=0,"",'UX Weekly'!E18)</f>
        <v>Highlighted Refinements Enhancement</v>
      </c>
      <c r="E18" s="156" t="str">
        <f>IF(COUNTA('UX Weekly'!F18)=0,"",TRIM('UX Weekly'!F18))</f>
        <v>BHUX-35302 </v>
      </c>
      <c r="F18" s="48" t="str">
        <f>'UX Weekly'!G18</f>
        <v>04. UX Design</v>
      </c>
      <c r="G18" s="71" t="s">
        <v>276</v>
      </c>
      <c r="H18" s="71" t="s">
        <v>290</v>
      </c>
      <c r="I18" s="140" t="s">
        <v>288</v>
      </c>
      <c r="J18" s="140" t="s">
        <v>288</v>
      </c>
      <c r="K18" s="71"/>
      <c r="L18" s="156" t="s">
        <v>296</v>
      </c>
    </row>
    <row r="19" spans="1:12" ht="22" x14ac:dyDescent="0.3">
      <c r="A19" s="48" t="str">
        <f>IF(COUNTA('UX Weekly'!B19)=0,"",'UX Weekly'!B19)</f>
        <v>Used</v>
      </c>
      <c r="B19" s="156" t="str">
        <f>IF(COUNTA('UX Weekly'!C19)=0,"",'UX Weekly'!C19)</f>
        <v>Improve Trade In User Flow</v>
      </c>
      <c r="C19" s="48" t="str">
        <f>IF(COUNTA('UX Weekly'!D19)=0,"",'UX Weekly'!D19)</f>
        <v/>
      </c>
      <c r="D19" s="156" t="str">
        <f>IF(COUNTA('UX Weekly'!E19)=0,"",'UX Weekly'!E19)</f>
        <v>Trade In Email - Comprehensive Refresh Discovery</v>
      </c>
      <c r="E19" s="156" t="str">
        <f>IF(COUNTA('UX Weekly'!F19)=0,"",TRIM('UX Weekly'!F19))</f>
        <v>BHUX-34772</v>
      </c>
      <c r="F19" s="48" t="str">
        <f>'UX Weekly'!G19</f>
        <v>04. UX Design</v>
      </c>
      <c r="G19" s="48" t="s">
        <v>88</v>
      </c>
      <c r="H19" s="48" t="s">
        <v>266</v>
      </c>
      <c r="I19" s="140" t="s">
        <v>288</v>
      </c>
      <c r="J19" s="140" t="s">
        <v>288</v>
      </c>
      <c r="K19" s="48"/>
      <c r="L19" s="156" t="s">
        <v>297</v>
      </c>
    </row>
    <row r="20" spans="1:12" ht="22" x14ac:dyDescent="0.3">
      <c r="A20" s="48" t="str">
        <f>IF(COUNTA('UX Weekly'!B20)=0,"",'UX Weekly'!B20)</f>
        <v>Used</v>
      </c>
      <c r="B20" s="156" t="str">
        <f>IF(COUNTA('UX Weekly'!C20)=0,"",'UX Weekly'!C20)</f>
        <v>Improve Trade In User Flow</v>
      </c>
      <c r="C20" s="48" t="str">
        <f>IF(COUNTA('UX Weekly'!D20)=0,"",'UX Weekly'!D20)</f>
        <v/>
      </c>
      <c r="D20" s="156" t="str">
        <f>IF(COUNTA('UX Weekly'!E20)=0,"",'UX Weekly'!E20)</f>
        <v>Used - Sell Used Experience</v>
      </c>
      <c r="E20" s="156" t="str">
        <f>IF(COUNTA('UX Weekly'!F20)=0,"",TRIM('UX Weekly'!F20))</f>
        <v>BHUX-33009</v>
      </c>
      <c r="F20" s="48" t="str">
        <f>'UX Weekly'!G20</f>
        <v>04. UX Design</v>
      </c>
      <c r="G20" s="48" t="s">
        <v>265</v>
      </c>
      <c r="H20" s="48" t="s">
        <v>266</v>
      </c>
      <c r="I20" s="140" t="s">
        <v>267</v>
      </c>
      <c r="J20" s="140" t="s">
        <v>270</v>
      </c>
      <c r="K20" s="48"/>
      <c r="L20" s="156" t="s">
        <v>298</v>
      </c>
    </row>
    <row r="21" spans="1:12" ht="22" x14ac:dyDescent="0.3">
      <c r="A21" s="48" t="str">
        <f>IF(COUNTA('UX Weekly'!B21)=0,"",'UX Weekly'!B21)</f>
        <v>Used</v>
      </c>
      <c r="B21" s="156" t="str">
        <f>IF(COUNTA('UX Weekly'!C21)=0,"",'UX Weekly'!C21)</f>
        <v>Increase Buy Used Awareness</v>
      </c>
      <c r="C21" s="48" t="str">
        <f>IF(COUNTA('UX Weekly'!D21)=0,"",'UX Weekly'!D21)</f>
        <v/>
      </c>
      <c r="D21" s="156" t="str">
        <f>IF(COUNTA('UX Weekly'!E21)=0,"",'UX Weekly'!E21)</f>
        <v>Add 'shop by popular brands' section to Used Homepage</v>
      </c>
      <c r="E21" s="156" t="str">
        <f>IF(COUNTA('UX Weekly'!F21)=0,"",TRIM('UX Weekly'!F21))</f>
        <v>BHUX-34844</v>
      </c>
      <c r="F21" s="48" t="str">
        <f>'UX Weekly'!G21</f>
        <v>04. UX Design</v>
      </c>
      <c r="G21" s="48" t="s">
        <v>276</v>
      </c>
      <c r="H21" s="48" t="s">
        <v>266</v>
      </c>
      <c r="I21" s="140" t="s">
        <v>278</v>
      </c>
      <c r="J21" s="140" t="s">
        <v>278</v>
      </c>
      <c r="K21" s="48"/>
      <c r="L21" s="156" t="s">
        <v>299</v>
      </c>
    </row>
    <row r="22" spans="1:12" ht="22" x14ac:dyDescent="0.3">
      <c r="A22" s="48" t="str">
        <f>IF(COUNTA('UX Weekly'!B22)=0,"",'UX Weekly'!B22)</f>
        <v>Used</v>
      </c>
      <c r="B22" s="156" t="str">
        <f>IF(COUNTA('UX Weekly'!C22)=0,"",'UX Weekly'!C22)</f>
        <v>Increase Buy Used Awareness</v>
      </c>
      <c r="C22" s="48" t="str">
        <f>IF(COUNTA('UX Weekly'!D22)=0,"",'UX Weekly'!D22)</f>
        <v/>
      </c>
      <c r="D22" s="156" t="str">
        <f>IF(COUNTA('UX Weekly'!E22)=0,"",'UX Weekly'!E22)</f>
        <v>Shop By Popular Brand' Listing Pages Discovery</v>
      </c>
      <c r="E22" s="156" t="str">
        <f>IF(COUNTA('UX Weekly'!F22)=0,"",TRIM('UX Weekly'!F22))</f>
        <v>BHUX-34845</v>
      </c>
      <c r="F22" s="48" t="str">
        <f>'UX Weekly'!G22</f>
        <v>04. UX Design</v>
      </c>
      <c r="G22" s="48" t="s">
        <v>300</v>
      </c>
      <c r="H22" s="48" t="s">
        <v>266</v>
      </c>
      <c r="I22" s="140" t="s">
        <v>278</v>
      </c>
      <c r="J22" s="140" t="s">
        <v>278</v>
      </c>
      <c r="K22" s="48"/>
      <c r="L22" s="156" t="s">
        <v>299</v>
      </c>
    </row>
    <row r="23" spans="1:12" ht="22" x14ac:dyDescent="0.3">
      <c r="A23" s="48" t="str">
        <f>IF(COUNTA('UX Weekly'!B23)=0,"",'UX Weekly'!B23)</f>
        <v>Used</v>
      </c>
      <c r="B23" s="156" t="str">
        <f>IF(COUNTA('UX Weekly'!C23)=0,"",'UX Weekly'!C23)</f>
        <v>Increase Buy Used Awareness</v>
      </c>
      <c r="C23" s="48" t="str">
        <f>IF(COUNTA('UX Weekly'!D23)=0,"",'UX Weekly'!D23)</f>
        <v/>
      </c>
      <c r="D23" s="156" t="str">
        <f>IF(COUNTA('UX Weekly'!E23)=0,"",'UX Weekly'!E23)</f>
        <v>My Account &gt; Trade In Awareness</v>
      </c>
      <c r="E23" s="156" t="str">
        <f>IF(COUNTA('UX Weekly'!F23)=0,"",TRIM('UX Weekly'!F23))</f>
        <v>BHUX-35010</v>
      </c>
      <c r="F23" s="48" t="str">
        <f>'UX Weekly'!G23</f>
        <v>04. UX Design</v>
      </c>
      <c r="G23" s="48" t="s">
        <v>279</v>
      </c>
      <c r="H23" s="48" t="s">
        <v>301</v>
      </c>
      <c r="I23" s="140" t="s">
        <v>272</v>
      </c>
      <c r="J23" s="140" t="s">
        <v>272</v>
      </c>
      <c r="K23" s="48"/>
      <c r="L23" s="156" t="s">
        <v>302</v>
      </c>
    </row>
    <row r="24" spans="1:12" ht="22" x14ac:dyDescent="0.3">
      <c r="A24" s="48" t="str">
        <f>IF(COUNTA('UX Weekly'!B24)=0,"",'UX Weekly'!B24)</f>
        <v>B2B/Used</v>
      </c>
      <c r="B24" s="156" t="str">
        <f>IF(COUNTA('UX Weekly'!C24)=0,"",'UX Weekly'!C24)</f>
        <v>Increase Trade In Awareness</v>
      </c>
      <c r="C24" s="156" t="str">
        <f>IF(COUNTA('UX Weekly'!D24)=0,"",'UX Weekly'!D24)</f>
        <v>Increase B2B Acquisition</v>
      </c>
      <c r="D24" s="156" t="str">
        <f>IF(COUNTA('UX Weekly'!E24)=0,"",'UX Weekly'!E24)</f>
        <v>B2B &amp; Used Visibility in the Nav</v>
      </c>
      <c r="E24" s="156" t="str">
        <f>IF(COUNTA('UX Weekly'!F24)=0,"",TRIM('UX Weekly'!F24))</f>
        <v>BHUX-34378</v>
      </c>
      <c r="F24" s="48" t="str">
        <f>'UX Weekly'!G24</f>
        <v>04. UX Design</v>
      </c>
      <c r="G24" s="48" t="s">
        <v>300</v>
      </c>
      <c r="H24" s="48" t="s">
        <v>284</v>
      </c>
      <c r="I24" s="140" t="s">
        <v>285</v>
      </c>
      <c r="J24" s="140" t="s">
        <v>285</v>
      </c>
      <c r="K24" s="48"/>
      <c r="L24" s="156" t="s">
        <v>303</v>
      </c>
    </row>
    <row r="25" spans="1:12" ht="22" x14ac:dyDescent="0.3">
      <c r="A25" s="48" t="str">
        <f>IF(COUNTA('UX Weekly'!B25)=0,"",'UX Weekly'!B25)</f>
        <v>Used</v>
      </c>
      <c r="B25" s="156" t="str">
        <f>IF(COUNTA('UX Weekly'!C25)=0,"",'UX Weekly'!C25)</f>
        <v>Improve Trade In User Flow</v>
      </c>
      <c r="C25" s="48" t="str">
        <f>IF(COUNTA('UX Weekly'!D25)=0,"",'UX Weekly'!D25)</f>
        <v/>
      </c>
      <c r="D25" s="156" t="str">
        <f>IF(COUNTA('UX Weekly'!E25)=0,"",'UX Weekly'!E25)</f>
        <v>Sell Used User Flow Design Validation</v>
      </c>
      <c r="E25" s="156" t="str">
        <f>IF(COUNTA('UX Weekly'!F25)=0,"",TRIM('UX Weekly'!F25))</f>
        <v>BHUR-133</v>
      </c>
      <c r="F25" s="48" t="str">
        <f>'UX Weekly'!G25</f>
        <v>04A. Research - Design Validation</v>
      </c>
      <c r="G25" s="48"/>
      <c r="H25" s="48" t="s">
        <v>266</v>
      </c>
      <c r="I25" s="140"/>
      <c r="J25" s="140"/>
      <c r="K25" s="48"/>
      <c r="L25" s="156" t="s">
        <v>298</v>
      </c>
    </row>
    <row r="26" spans="1:12" ht="22" x14ac:dyDescent="0.3">
      <c r="A26" s="48" t="str">
        <f>IF(COUNTA('UX Weekly'!B26)=0,"",'UX Weekly'!B26)</f>
        <v>Used</v>
      </c>
      <c r="B26" s="156" t="str">
        <f>IF(COUNTA('UX Weekly'!C26)=0,"",'UX Weekly'!C26)</f>
        <v>Improve Trade In User Flow</v>
      </c>
      <c r="C26" s="48" t="str">
        <f>IF(COUNTA('UX Weekly'!D26)=0,"",'UX Weekly'!D26)</f>
        <v/>
      </c>
      <c r="D26" s="156" t="str">
        <f>IF(COUNTA('UX Weekly'!E26)=0,"",'UX Weekly'!E26)</f>
        <v>Used Status Email Update</v>
      </c>
      <c r="E26" s="156" t="str">
        <f>IF(COUNTA('UX Weekly'!F26)=0,"",TRIM('UX Weekly'!F26))</f>
        <v>BHUX-34723</v>
      </c>
      <c r="F26" s="48" t="str">
        <f>'UX Weekly'!G26</f>
        <v>06. Architecture</v>
      </c>
      <c r="G26" s="48" t="s">
        <v>304</v>
      </c>
      <c r="H26" s="48" t="s">
        <v>301</v>
      </c>
      <c r="I26" s="140" t="s">
        <v>288</v>
      </c>
      <c r="J26" s="140" t="s">
        <v>288</v>
      </c>
      <c r="K26" s="48"/>
      <c r="L26" s="156" t="s">
        <v>305</v>
      </c>
    </row>
    <row r="27" spans="1:12" ht="22" x14ac:dyDescent="0.3">
      <c r="A27" s="48" t="str">
        <f>IF(COUNTA('UX Weekly'!B27)=0,"",'UX Weekly'!B27)</f>
        <v>Used</v>
      </c>
      <c r="B27" s="156" t="str">
        <f>IF(COUNTA('UX Weekly'!C27)=0,"",'UX Weekly'!C27)</f>
        <v>Increase Trade In Awareness</v>
      </c>
      <c r="C27" s="48" t="str">
        <f>IF(COUNTA('UX Weekly'!D27)=0,"",'UX Weekly'!D27)</f>
        <v/>
      </c>
      <c r="D27" s="156" t="str">
        <f>IF(COUNTA('UX Weekly'!E27)=0,"",'UX Weekly'!E27)</f>
        <v>PDP Purchased in 20XX, Trade In Value is $YYY.YY</v>
      </c>
      <c r="E27" s="156" t="str">
        <f>IF(COUNTA('UX Weekly'!F27)=0,"",TRIM('UX Weekly'!F27))</f>
        <v>BHUX-35309</v>
      </c>
      <c r="F27" s="48" t="str">
        <f>'UX Weekly'!G27</f>
        <v>06. Architecture</v>
      </c>
      <c r="G27" s="48" t="s">
        <v>276</v>
      </c>
      <c r="H27" s="48" t="s">
        <v>266</v>
      </c>
      <c r="I27" s="140" t="s">
        <v>288</v>
      </c>
      <c r="J27" s="140" t="s">
        <v>288</v>
      </c>
      <c r="K27" s="48"/>
      <c r="L27" s="156" t="s">
        <v>306</v>
      </c>
    </row>
    <row r="28" spans="1:12" ht="22" x14ac:dyDescent="0.3">
      <c r="A28" s="48" t="str">
        <f>IF(COUNTA('UX Weekly'!B28)=0,"",'UX Weekly'!B28)</f>
        <v>B2B</v>
      </c>
      <c r="B28" s="156" t="str">
        <f>IF(COUNTA('UX Weekly'!C28)=0,"",'UX Weekly'!C28)</f>
        <v>Increase B2B Acquisition</v>
      </c>
      <c r="C28" s="48" t="str">
        <f>IF(COUNTA('UX Weekly'!D28)=0,"",'UX Weekly'!D28)</f>
        <v/>
      </c>
      <c r="D28" s="48" t="str">
        <f>IF(COUNTA('UX Weekly'!E28)=0,"",'UX Weekly'!E28)</f>
        <v>B2B Hub Landing Page - redesign</v>
      </c>
      <c r="E28" s="156" t="str">
        <f>IF(COUNTA('UX Weekly'!F28)=0,"",TRIM('UX Weekly'!F28))</f>
        <v>BHUX-26541 </v>
      </c>
      <c r="F28" s="48" t="str">
        <f>'UX Weekly'!G28</f>
        <v>07. Grooming</v>
      </c>
      <c r="G28" s="48"/>
      <c r="H28" s="48" t="s">
        <v>266</v>
      </c>
      <c r="I28" s="140" t="s">
        <v>288</v>
      </c>
      <c r="J28" s="140" t="s">
        <v>272</v>
      </c>
      <c r="K28" s="48"/>
    </row>
    <row r="29" spans="1:12" ht="22" x14ac:dyDescent="0.3">
      <c r="A29" s="48" t="str">
        <f>IF(COUNTA('UX Weekly'!B29)=0,"",'UX Weekly'!B29)</f>
        <v>B2B</v>
      </c>
      <c r="B29" s="156" t="str">
        <f>IF(COUNTA('UX Weekly'!C29)=0,"",'UX Weekly'!C29)</f>
        <v>Increase B2B Acquisition</v>
      </c>
      <c r="C29" s="48" t="str">
        <f>IF(COUNTA('UX Weekly'!D29)=0,"",'UX Weekly'!D29)</f>
        <v/>
      </c>
      <c r="D29" s="48" t="str">
        <f>IF(COUNTA('UX Weekly'!E29)=0,"",'UX Weekly'!E29)</f>
        <v>B2B Hub - Revisit Signup Flow</v>
      </c>
      <c r="E29" s="156" t="str">
        <f>IF(COUNTA('UX Weekly'!F29)=0,"",TRIM('UX Weekly'!F29))</f>
        <v>BHUX-31874</v>
      </c>
      <c r="F29" s="48" t="str">
        <f>'UX Weekly'!G29</f>
        <v>07. Grooming</v>
      </c>
      <c r="G29" s="48" t="s">
        <v>276</v>
      </c>
      <c r="H29" s="48" t="s">
        <v>266</v>
      </c>
      <c r="I29" s="140" t="s">
        <v>288</v>
      </c>
      <c r="J29" s="140" t="s">
        <v>272</v>
      </c>
      <c r="K29" s="48"/>
    </row>
    <row r="30" spans="1:12" ht="22" x14ac:dyDescent="0.3">
      <c r="A30" s="48" t="str">
        <f>IF(COUNTA('UX Weekly'!B30)=0,"",'UX Weekly'!B30)</f>
        <v>B2B</v>
      </c>
      <c r="B30" s="156" t="str">
        <f>IF(COUNTA('UX Weekly'!C30)=0,"",'UX Weekly'!C30)</f>
        <v>Increase B2B Acquisition</v>
      </c>
      <c r="C30" s="48" t="str">
        <f>IF(COUNTA('UX Weekly'!D30)=0,"",'UX Weekly'!D30)</f>
        <v/>
      </c>
      <c r="D30" s="48" t="str">
        <f>IF(COUNTA('UX Weekly'!E30)=0,"",'UX Weekly'!E30)</f>
        <v>B2B Hub Redesign - Internal Pages</v>
      </c>
      <c r="E30" s="156" t="str">
        <f>IF(COUNTA('UX Weekly'!F30)=0,"",TRIM('UX Weekly'!F30))</f>
        <v>BHUX-32257</v>
      </c>
      <c r="F30" s="48" t="str">
        <f>'UX Weekly'!G30</f>
        <v>07. Grooming</v>
      </c>
      <c r="I30" s="140" t="s">
        <v>288</v>
      </c>
      <c r="J30" s="140" t="s">
        <v>272</v>
      </c>
    </row>
    <row r="31" spans="1:12" ht="22" x14ac:dyDescent="0.3">
      <c r="A31" s="48" t="str">
        <f>IF(COUNTA('UX Weekly'!B31)=0,"",'UX Weekly'!B31)</f>
        <v>Used</v>
      </c>
      <c r="B31" s="156" t="str">
        <f>IF(COUNTA('UX Weekly'!C31)=0,"",'UX Weekly'!C31)</f>
        <v>Improve Buy Used Customer Experience</v>
      </c>
      <c r="C31" s="156" t="str">
        <f>IF(COUNTA('UX Weekly'!D31)=0,"",'UX Weekly'!D31)</f>
        <v>Improve Trade In User Flow</v>
      </c>
      <c r="D31" s="156" t="str">
        <f>IF(COUNTA('UX Weekly'!E31)=0,"",'UX Weekly'!E31)</f>
        <v>New Condition Rating Scale (Intermediate Step)</v>
      </c>
      <c r="E31" s="156" t="str">
        <f>IF(COUNTA('UX Weekly'!F31)=0,"",TRIM('UX Weekly'!F31))</f>
        <v>BHJ-121278</v>
      </c>
      <c r="F31" s="48" t="str">
        <f>'UX Weekly'!G31</f>
        <v>07. Grooming</v>
      </c>
      <c r="H31" s="201" t="s">
        <v>307</v>
      </c>
      <c r="I31" s="140" t="s">
        <v>288</v>
      </c>
      <c r="J31" s="140" t="s">
        <v>288</v>
      </c>
      <c r="L31" s="156" t="s">
        <v>308</v>
      </c>
    </row>
    <row r="32" spans="1:12" ht="22" x14ac:dyDescent="0.3">
      <c r="A32" s="48" t="str">
        <f>IF(COUNTA('UX Weekly'!B32)=0,"",'UX Weekly'!B32)</f>
        <v>Find</v>
      </c>
      <c r="B32" s="156" t="str">
        <f>IF(COUNTA('UX Weekly'!C32)=0,"",'UX Weekly'!C32)</f>
        <v>Improve Discovery</v>
      </c>
      <c r="C32" s="48" t="str">
        <f>IF(COUNTA('UX Weekly'!D32)=0,"",'UX Weekly'!D32)</f>
        <v/>
      </c>
      <c r="D32" s="156" t="str">
        <f>IF(COUNTA('UX Weekly'!E32)=0,"",'UX Weekly'!E32)</f>
        <v>Mega Menu</v>
      </c>
      <c r="E32" s="156" t="str">
        <f>IF(COUNTA('UX Weekly'!F32)=0,"",TRIM('UX Weekly'!F32))</f>
        <v>BHUX-29580</v>
      </c>
      <c r="F32" s="48" t="str">
        <f>'UX Weekly'!G32</f>
        <v>08. Ready for Dev</v>
      </c>
      <c r="H32" s="201" t="s">
        <v>275</v>
      </c>
      <c r="I32" s="140" t="s">
        <v>309</v>
      </c>
      <c r="J32" s="140" t="s">
        <v>309</v>
      </c>
      <c r="L32" s="156" t="s">
        <v>226</v>
      </c>
    </row>
    <row r="33" spans="1:12" ht="22" x14ac:dyDescent="0.3">
      <c r="A33" s="48" t="str">
        <f>IF(COUNTA('UX Weekly'!B33)=0,"",'UX Weekly'!B33)</f>
        <v>B2B</v>
      </c>
      <c r="B33" s="156" t="str">
        <f>IF(COUNTA('UX Weekly'!C33)=0,"",'UX Weekly'!C33)</f>
        <v>Increase B2B Acquisition</v>
      </c>
      <c r="C33" s="48" t="str">
        <f>IF(COUNTA('UX Weekly'!D33)=0,"",'UX Weekly'!D33)</f>
        <v/>
      </c>
      <c r="D33" s="156" t="str">
        <f>IF(COUNTA('UX Weekly'!E33)=0,"",'UX Weekly'!E33)</f>
        <v>School Safety Landing Page</v>
      </c>
      <c r="E33" s="156" t="str">
        <f>IF(COUNTA('UX Weekly'!F33)=0,"",TRIM('UX Weekly'!F33))</f>
        <v>BHUX-34377</v>
      </c>
      <c r="F33" s="48" t="str">
        <f>'UX Weekly'!G33</f>
        <v>08. Ready for Dev</v>
      </c>
      <c r="H33" t="s">
        <v>266</v>
      </c>
      <c r="I33" s="140" t="s">
        <v>309</v>
      </c>
      <c r="J33" s="140" t="s">
        <v>309</v>
      </c>
      <c r="L33" s="156" t="s">
        <v>310</v>
      </c>
    </row>
    <row r="34" spans="1:12" ht="22" x14ac:dyDescent="0.3">
      <c r="A34" s="48" t="str">
        <f>IF(COUNTA('UX Weekly'!B34)=0,"",'UX Weekly'!B34)</f>
        <v>Find</v>
      </c>
      <c r="B34" s="156" t="str">
        <f>IF(COUNTA('UX Weekly'!C34)=0,"",'UX Weekly'!C34)</f>
        <v>Improve Discovery</v>
      </c>
      <c r="C34" s="48" t="str">
        <f>IF(COUNTA('UX Weekly'!D34)=0,"",'UX Weekly'!D34)</f>
        <v/>
      </c>
      <c r="D34" s="156" t="str">
        <f>IF(COUNTA('UX Weekly'!E34)=0,"",'UX Weekly'!E34)</f>
        <v>Nested Refinements</v>
      </c>
      <c r="E34" s="156" t="str">
        <f>IF(COUNTA('UX Weekly'!F34)=0,"",TRIM('UX Weekly'!F34))</f>
        <v>BHUX-32621</v>
      </c>
      <c r="F34" s="48" t="str">
        <f>'UX Weekly'!G34</f>
        <v>08. Ready for Dev</v>
      </c>
      <c r="I34" s="140" t="s">
        <v>288</v>
      </c>
      <c r="J34" s="140" t="s">
        <v>288</v>
      </c>
      <c r="L34" s="156" t="s">
        <v>311</v>
      </c>
    </row>
    <row r="35" spans="1:12" ht="22" x14ac:dyDescent="0.3">
      <c r="A35" s="48" t="str">
        <f>IF(COUNTA('UX Weekly'!B35)=0,"",'UX Weekly'!B35)</f>
        <v>Find</v>
      </c>
      <c r="B35" s="156" t="str">
        <f>IF(COUNTA('UX Weekly'!C35)=0,"",'UX Weekly'!C35)</f>
        <v>Improve Discovery</v>
      </c>
      <c r="C35" s="48" t="str">
        <f>IF(COUNTA('UX Weekly'!D35)=0,"",'UX Weekly'!D35)</f>
        <v/>
      </c>
      <c r="D35" s="156" t="str">
        <f>IF(COUNTA('UX Weekly'!E35)=0,"",'UX Weekly'!E35)</f>
        <v>Sunset Modals for Drawers</v>
      </c>
      <c r="E35" s="156" t="str">
        <f>IF(COUNTA('UX Weekly'!F35)=0,"",TRIM('UX Weekly'!F35))</f>
        <v>BHUX-32543 </v>
      </c>
      <c r="F35" s="48" t="str">
        <f>'UX Weekly'!G35</f>
        <v>09. In Dev</v>
      </c>
      <c r="I35" s="140" t="s">
        <v>312</v>
      </c>
      <c r="J35" s="140" t="s">
        <v>312</v>
      </c>
      <c r="L35" s="156" t="s">
        <v>313</v>
      </c>
    </row>
    <row r="36" spans="1:12" ht="22" x14ac:dyDescent="0.3">
      <c r="A36" s="48" t="str">
        <f>IF(COUNTA('UX Weekly'!B36)=0,"",'UX Weekly'!B36)</f>
        <v>Used</v>
      </c>
      <c r="B36" s="156" t="str">
        <f>IF(COUNTA('UX Weekly'!C36)=0,"",'UX Weekly'!C36)</f>
        <v>Improve Trade In User Flow</v>
      </c>
      <c r="C36" s="48" t="str">
        <f>IF(COUNTA('UX Weekly'!D36)=0,"",'UX Weekly'!D36)</f>
        <v/>
      </c>
      <c r="D36" s="48" t="str">
        <f>IF(COUNTA('UX Weekly'!E36)=0,"",'UX Weekly'!E36)</f>
        <v>Trade In Discrepancy Email Refresh (Copy Only)</v>
      </c>
      <c r="E36" s="48" t="str">
        <f>IF(COUNTA('UX Weekly'!F36)=0,"",TRIM('UX Weekly'!F36))</f>
        <v/>
      </c>
      <c r="F36" s="48" t="str">
        <f>'UX Weekly'!G36</f>
        <v>09. In Dev</v>
      </c>
      <c r="I36" s="140" t="s">
        <v>314</v>
      </c>
      <c r="J36" s="140" t="s">
        <v>314</v>
      </c>
    </row>
    <row r="37" spans="1:12" ht="22" x14ac:dyDescent="0.3">
      <c r="A37" s="48" t="str">
        <f>IF(COUNTA('UX Weekly'!B37)=0,"",'UX Weekly'!B37)</f>
        <v>Used</v>
      </c>
      <c r="B37" s="156" t="str">
        <f>IF(COUNTA('UX Weekly'!C37)=0,"",'UX Weekly'!C37)</f>
        <v>Increase Buy Used Awareness</v>
      </c>
      <c r="C37" s="48" t="str">
        <f>IF(COUNTA('UX Weekly'!D37)=0,"",'UX Weekly'!D37)</f>
        <v/>
      </c>
      <c r="D37" s="156" t="str">
        <f>IF(COUNTA('UX Weekly'!E37)=0,"",'UX Weekly'!E37)</f>
        <v>Condition Grouping</v>
      </c>
      <c r="E37" s="156" t="str">
        <f>IF(COUNTA('UX Weekly'!F37)=0,"",TRIM('UX Weekly'!F37))</f>
        <v>BHUX-33519</v>
      </c>
      <c r="F37" s="48" t="str">
        <f>'UX Weekly'!G37</f>
        <v>10. QA</v>
      </c>
      <c r="I37" s="140" t="s">
        <v>312</v>
      </c>
      <c r="J37" s="140" t="s">
        <v>312</v>
      </c>
      <c r="L37" s="156" t="s">
        <v>315</v>
      </c>
    </row>
    <row r="38" spans="1:12" ht="22" x14ac:dyDescent="0.3">
      <c r="A38" s="48" t="str">
        <f>IF(COUNTA('UX Weekly'!B38)=0,"",'UX Weekly'!B38)</f>
        <v>Find</v>
      </c>
      <c r="B38" s="156" t="str">
        <f>IF(COUNTA('UX Weekly'!C38)=0,"",'UX Weekly'!C38)</f>
        <v>Improve Discovery</v>
      </c>
      <c r="C38" s="48" t="str">
        <f>IF(COUNTA('UX Weekly'!D38)=0,"",'UX Weekly'!D38)</f>
        <v/>
      </c>
      <c r="D38" s="156" t="str">
        <f>IF(COUNTA('UX Weekly'!E38)=0,"",'UX Weekly'!E38)</f>
        <v>Sliders</v>
      </c>
      <c r="E38" s="156" t="str">
        <f>IF(COUNTA('UX Weekly'!F38)=0,"",TRIM('UX Weekly'!F38))</f>
        <v>BHUX-17615</v>
      </c>
      <c r="F38" s="48" t="str">
        <f>'UX Weekly'!G38</f>
        <v>13. Live</v>
      </c>
      <c r="I38" s="140"/>
      <c r="J38" s="140"/>
      <c r="L38" s="156" t="s">
        <v>316</v>
      </c>
    </row>
    <row r="39" spans="1:12" ht="22" x14ac:dyDescent="0.3">
      <c r="A39" s="48" t="str">
        <f>IF(COUNTA('UX Weekly'!B39)=0,"",'UX Weekly'!B39)</f>
        <v>Find</v>
      </c>
      <c r="B39" s="156" t="str">
        <f>IF(COUNTA('UX Weekly'!C39)=0,"",'UX Weekly'!C39)</f>
        <v>Improve Discovery</v>
      </c>
      <c r="C39" s="48" t="str">
        <f>IF(COUNTA('UX Weekly'!D39)=0,"",'UX Weekly'!D39)</f>
        <v/>
      </c>
      <c r="D39" s="156" t="str">
        <f>IF(COUNTA('UX Weekly'!E39)=0,"",'UX Weekly'!E39)</f>
        <v>Refinement - Select All/Deselect All</v>
      </c>
      <c r="E39" s="156" t="str">
        <f>IF(COUNTA('UX Weekly'!F39)=0,"",TRIM('UX Weekly'!F39))</f>
        <v>BHUX-23755</v>
      </c>
      <c r="F39" s="48" t="str">
        <f>'UX Weekly'!G39</f>
        <v>13. Live</v>
      </c>
      <c r="I39" s="140"/>
      <c r="J39" s="140"/>
      <c r="L39" s="156" t="s">
        <v>317</v>
      </c>
    </row>
    <row r="40" spans="1:12" ht="22" x14ac:dyDescent="0.3">
      <c r="A40" s="48" t="str">
        <f>IF(COUNTA('UX Weekly'!B40)=0,"",'UX Weekly'!B40)</f>
        <v>Find</v>
      </c>
      <c r="B40" s="156" t="str">
        <f>IF(COUNTA('UX Weekly'!C40)=0,"",'UX Weekly'!C40)</f>
        <v>Improve Discovery</v>
      </c>
      <c r="C40" s="48" t="str">
        <f>IF(COUNTA('UX Weekly'!D40)=0,"",'UX Weekly'!D40)</f>
        <v/>
      </c>
      <c r="D40" s="156" t="str">
        <f>IF(COUNTA('UX Weekly'!E40)=0,"",'UX Weekly'!E40)</f>
        <v>My Gear 2 - Tray</v>
      </c>
      <c r="E40" s="156" t="str">
        <f>IF(COUNTA('UX Weekly'!F40)=0,"",TRIM('UX Weekly'!F40))</f>
        <v>BHUX-28124</v>
      </c>
      <c r="F40" s="48" t="str">
        <f>'UX Weekly'!G40</f>
        <v>13. Live</v>
      </c>
      <c r="I40" s="140"/>
      <c r="J40" s="140"/>
      <c r="L40" s="156" t="s">
        <v>318</v>
      </c>
    </row>
    <row r="41" spans="1:12" ht="22" x14ac:dyDescent="0.3">
      <c r="A41" s="48" t="str">
        <f>IF(COUNTA('UX Weekly'!B41)=0,"",'UX Weekly'!B41)</f>
        <v>Find</v>
      </c>
      <c r="B41" s="156" t="str">
        <f>IF(COUNTA('UX Weekly'!C41)=0,"",'UX Weekly'!C41)</f>
        <v>Improve Discovery</v>
      </c>
      <c r="C41" s="48" t="str">
        <f>IF(COUNTA('UX Weekly'!D41)=0,"",'UX Weekly'!D41)</f>
        <v/>
      </c>
      <c r="D41" s="156" t="str">
        <f>IF(COUNTA('UX Weekly'!E41)=0,"",'UX Weekly'!E41)</f>
        <v>H2 on listing pages</v>
      </c>
      <c r="E41" s="156" t="str">
        <f>IF(COUNTA('UX Weekly'!F41)=0,"",TRIM('UX Weekly'!F41))</f>
        <v>BHUX-31245</v>
      </c>
      <c r="F41" s="48" t="str">
        <f>'UX Weekly'!G41</f>
        <v>13. Live</v>
      </c>
      <c r="I41" s="140"/>
      <c r="J41" s="140"/>
      <c r="L41" s="156" t="s">
        <v>319</v>
      </c>
    </row>
    <row r="42" spans="1:12" ht="22" x14ac:dyDescent="0.3">
      <c r="A42" s="48" t="str">
        <f>IF(COUNTA('UX Weekly'!B42)=0,"",'UX Weekly'!B42)</f>
        <v>Find</v>
      </c>
      <c r="B42" s="156" t="str">
        <f>IF(COUNTA('UX Weekly'!C42)=0,"",'UX Weekly'!C42)</f>
        <v>Improve Discovery</v>
      </c>
      <c r="C42" s="48" t="str">
        <f>IF(COUNTA('UX Weekly'!D42)=0,"",'UX Weekly'!D42)</f>
        <v/>
      </c>
      <c r="D42" s="156" t="str">
        <f>IF(COUNTA('UX Weekly'!E42)=0,"",'UX Weekly'!E42)</f>
        <v>Sunset Dealzone</v>
      </c>
      <c r="E42" s="156" t="str">
        <f>IF(COUNTA('UX Weekly'!F42)=0,"",TRIM('UX Weekly'!F42))</f>
        <v>BHUX-32071</v>
      </c>
      <c r="F42" s="48" t="str">
        <f>'UX Weekly'!G42</f>
        <v>13. Live</v>
      </c>
      <c r="I42" s="140"/>
      <c r="J42" s="140"/>
      <c r="L42" s="156" t="s">
        <v>320</v>
      </c>
    </row>
    <row r="43" spans="1:12" ht="22" x14ac:dyDescent="0.3">
      <c r="A43" s="48" t="str">
        <f>IF(COUNTA('UX Weekly'!B43)=0,"",'UX Weekly'!B43)</f>
        <v>Find</v>
      </c>
      <c r="B43" s="156" t="str">
        <f>IF(COUNTA('UX Weekly'!C43)=0,"",'UX Weekly'!C43)</f>
        <v>Improve Discovery</v>
      </c>
      <c r="C43" s="48" t="str">
        <f>IF(COUNTA('UX Weekly'!D43)=0,"",'UX Weekly'!D43)</f>
        <v/>
      </c>
      <c r="D43" s="156" t="str">
        <f>IF(COUNTA('UX Weekly'!E43)=0,"",'UX Weekly'!E43)</f>
        <v>Highlighted Refinements</v>
      </c>
      <c r="E43" s="156" t="str">
        <f>IF(COUNTA('UX Weekly'!F43)=0,"",TRIM('UX Weekly'!F43))</f>
        <v>BHUX-29921</v>
      </c>
      <c r="F43" s="48" t="str">
        <f>'UX Weekly'!G43</f>
        <v>13. Live</v>
      </c>
      <c r="I43" s="140"/>
      <c r="J43" s="140"/>
      <c r="L43" s="156" t="s">
        <v>321</v>
      </c>
    </row>
    <row r="44" spans="1:12" ht="22" x14ac:dyDescent="0.3">
      <c r="A44" s="48" t="str">
        <f>IF(COUNTA('UX Weekly'!B44)=0,"",'UX Weekly'!B44)</f>
        <v>B2B</v>
      </c>
      <c r="B44" s="156" t="str">
        <f>IF(COUNTA('UX Weekly'!C44)=0,"",'UX Weekly'!C44)</f>
        <v>Increase B2B Acquisition</v>
      </c>
      <c r="C44" s="48" t="str">
        <f>IF(COUNTA('UX Weekly'!D44)=0,"",'UX Weekly'!D44)</f>
        <v/>
      </c>
      <c r="D44" s="156" t="str">
        <f>IF(COUNTA('UX Weekly'!E44)=0,"",'UX Weekly'!E44)</f>
        <v>EDU Homepage</v>
      </c>
      <c r="E44" s="156" t="str">
        <f>IF(COUNTA('UX Weekly'!F44)=0,"",TRIM('UX Weekly'!F44))</f>
        <v>BHUX-25601</v>
      </c>
      <c r="F44" s="48" t="str">
        <f>'UX Weekly'!G44</f>
        <v>13. Live</v>
      </c>
      <c r="I44" s="140" t="s">
        <v>312</v>
      </c>
      <c r="J44" s="140" t="s">
        <v>312</v>
      </c>
      <c r="L44" s="156" t="s">
        <v>322</v>
      </c>
    </row>
    <row r="45" spans="1:12" ht="22" x14ac:dyDescent="0.3">
      <c r="A45" s="48" t="str">
        <f>IF(COUNTA('UX Weekly'!B45)=0,"",'UX Weekly'!B45)</f>
        <v>Used</v>
      </c>
      <c r="B45" s="156" t="str">
        <f>IF(COUNTA('UX Weekly'!C45)=0,"",'UX Weekly'!C45)</f>
        <v>Improve Buy Used Customer Experience</v>
      </c>
      <c r="C45" s="48" t="str">
        <f>IF(COUNTA('UX Weekly'!D45)=0,"",'UX Weekly'!D45)</f>
        <v/>
      </c>
      <c r="D45" s="156" t="str">
        <f>IF(COUNTA('UX Weekly'!E45)=0,"",'UX Weekly'!E45)</f>
        <v>Actual Used Images</v>
      </c>
      <c r="E45" s="156" t="str">
        <f>IF(COUNTA('UX Weekly'!F45)=0,"",TRIM('UX Weekly'!F45))</f>
        <v>BHP-4563</v>
      </c>
      <c r="F45" s="48" t="str">
        <f>'UX Weekly'!G45</f>
        <v>13. Live</v>
      </c>
      <c r="I45" s="140"/>
      <c r="J45" s="140"/>
      <c r="L45" s="156" t="s">
        <v>255</v>
      </c>
    </row>
    <row r="46" spans="1:12" ht="22" x14ac:dyDescent="0.3">
      <c r="A46" s="48" t="str">
        <f>IF(COUNTA('UX Weekly'!B46)=0,"",'UX Weekly'!B46)</f>
        <v>Used</v>
      </c>
      <c r="B46" s="156" t="str">
        <f>IF(COUNTA('UX Weekly'!C46)=0,"",'UX Weekly'!C46)</f>
        <v>Increase Buy Used Awareness</v>
      </c>
      <c r="C46" s="48" t="str">
        <f>IF(COUNTA('UX Weekly'!D46)=0,"",'UX Weekly'!D46)</f>
        <v/>
      </c>
      <c r="D46" s="156" t="str">
        <f>IF(COUNTA('UX Weekly'!E46)=0,"",'UX Weekly'!E46)</f>
        <v>Used Hub Enhancements</v>
      </c>
      <c r="E46" s="156" t="str">
        <f>IF(COUNTA('UX Weekly'!F46)=0,"",TRIM('UX Weekly'!F46))</f>
        <v>BHUX-31354 </v>
      </c>
      <c r="F46" s="48" t="str">
        <f>'UX Weekly'!G46</f>
        <v>13. Live</v>
      </c>
      <c r="I46" s="140"/>
      <c r="J46" s="140"/>
      <c r="L46" s="156" t="s">
        <v>323</v>
      </c>
    </row>
    <row r="47" spans="1:12" ht="22" x14ac:dyDescent="0.3">
      <c r="D47" s="48" t="str">
        <f>IF(COUNTA('UX Weekly'!E47)=0,"",'UX Weekly'!E47)</f>
        <v/>
      </c>
      <c r="E47" s="48" t="str">
        <f>IF(COUNTA('UX Weekly'!F47)=0,"",TRIM('UX Weekly'!F47))</f>
        <v/>
      </c>
      <c r="F47" s="48">
        <f>'UX Weekly'!G47</f>
        <v>0</v>
      </c>
    </row>
    <row r="48" spans="1:12" ht="22" x14ac:dyDescent="0.3">
      <c r="D48" s="48" t="str">
        <f>IF(COUNTA('UX Weekly'!E48)=0,"",'UX Weekly'!E48)</f>
        <v/>
      </c>
      <c r="E48" s="48" t="str">
        <f>IF(COUNTA('UX Weekly'!F48)=0,"",TRIM('UX Weekly'!F48))</f>
        <v/>
      </c>
      <c r="F48" s="48">
        <f>'UX Weekly'!G48</f>
        <v>0</v>
      </c>
    </row>
    <row r="49" spans="4:6" ht="22" x14ac:dyDescent="0.3">
      <c r="D49" s="48" t="str">
        <f>IF(COUNTA('UX Weekly'!E49)=0,"",'UX Weekly'!E49)</f>
        <v/>
      </c>
      <c r="E49" s="48" t="str">
        <f>IF(COUNTA('UX Weekly'!F49)=0,"",TRIM('UX Weekly'!F49))</f>
        <v/>
      </c>
      <c r="F49" s="48">
        <f>'UX Weekly'!G49</f>
        <v>0</v>
      </c>
    </row>
    <row r="50" spans="4:6" ht="22" x14ac:dyDescent="0.3">
      <c r="D50" s="48"/>
    </row>
    <row r="51" spans="4:6" ht="22" x14ac:dyDescent="0.3">
      <c r="D51" s="48"/>
    </row>
    <row r="52" spans="4:6" ht="22" x14ac:dyDescent="0.3">
      <c r="D52" s="48"/>
    </row>
    <row r="53" spans="4:6" ht="22" x14ac:dyDescent="0.3">
      <c r="D53" s="48"/>
    </row>
    <row r="54" spans="4:6" ht="22" x14ac:dyDescent="0.3">
      <c r="D54" s="48"/>
    </row>
    <row r="55" spans="4:6" ht="22" x14ac:dyDescent="0.3">
      <c r="D55" s="48"/>
    </row>
    <row r="56" spans="4:6" ht="22" x14ac:dyDescent="0.3">
      <c r="D56" s="48"/>
    </row>
    <row r="57" spans="4:6" ht="22" x14ac:dyDescent="0.3">
      <c r="D57" s="48"/>
    </row>
    <row r="58" spans="4:6" ht="22" x14ac:dyDescent="0.3">
      <c r="D58" s="48"/>
    </row>
    <row r="59" spans="4:6" ht="22" x14ac:dyDescent="0.3">
      <c r="D59" s="48"/>
    </row>
    <row r="60" spans="4:6" ht="22" x14ac:dyDescent="0.3">
      <c r="D60" s="48"/>
    </row>
    <row r="61" spans="4:6" ht="22" x14ac:dyDescent="0.3">
      <c r="D61" s="48"/>
    </row>
    <row r="62" spans="4:6" ht="22" x14ac:dyDescent="0.3">
      <c r="D62" s="48"/>
    </row>
    <row r="63" spans="4:6" ht="22" x14ac:dyDescent="0.3">
      <c r="D63" s="48"/>
    </row>
    <row r="64" spans="4:6" ht="22" x14ac:dyDescent="0.3">
      <c r="D64" s="48"/>
    </row>
    <row r="65" spans="4:4" ht="22" x14ac:dyDescent="0.3">
      <c r="D65" s="48"/>
    </row>
    <row r="66" spans="4:4" ht="22" x14ac:dyDescent="0.3">
      <c r="D66" s="48"/>
    </row>
    <row r="67" spans="4:4" ht="22" x14ac:dyDescent="0.3">
      <c r="D67" s="48"/>
    </row>
    <row r="68" spans="4:4" ht="22" x14ac:dyDescent="0.3">
      <c r="D68" s="48"/>
    </row>
    <row r="69" spans="4:4" ht="22" x14ac:dyDescent="0.3">
      <c r="D69" s="48"/>
    </row>
    <row r="70" spans="4:4" ht="22" x14ac:dyDescent="0.3">
      <c r="D70" s="48"/>
    </row>
    <row r="71" spans="4:4" ht="22" x14ac:dyDescent="0.3">
      <c r="D71" s="48"/>
    </row>
    <row r="72" spans="4:4" ht="22" x14ac:dyDescent="0.3">
      <c r="D72" s="48"/>
    </row>
    <row r="73" spans="4:4" ht="22" x14ac:dyDescent="0.3">
      <c r="D73" s="48"/>
    </row>
  </sheetData>
  <autoFilter ref="A1:K1" xr:uid="{A58D9113-BFF1-B540-AE75-735869F650C3}"/>
  <phoneticPr fontId="20" type="noConversion"/>
  <conditionalFormatting sqref="A2:A200">
    <cfRule type="cellIs" dxfId="5" priority="1" operator="equal">
      <formula>"B2B"</formula>
    </cfRule>
    <cfRule type="cellIs" dxfId="4" priority="2" operator="equal">
      <formula>"Used"</formula>
    </cfRule>
    <cfRule type="cellIs" dxfId="3" priority="3" operator="equal">
      <formula>"Find"</formula>
    </cfRule>
  </conditionalFormatting>
  <hyperlinks>
    <hyperlink ref="B2" location="'Control (Don’t Touch)'!E9" display="'Control (Don’t Touch)'!E9" xr:uid="{00000000-0004-0000-0400-000000000000}"/>
    <hyperlink ref="C2" location="'Control (Don’t Touch)'!E6" display="'Control (Don’t Touch)'!E6" xr:uid="{00000000-0004-0000-0400-000001000000}"/>
    <hyperlink ref="D2" r:id="rId1" display="https://jira.bnh.com/browse/BHP-4771" xr:uid="{00000000-0004-0000-0400-000002000000}"/>
    <hyperlink ref="E2" r:id="rId2" display="https://jira.bnh.com/browse/BHUX-33510" xr:uid="{00000000-0004-0000-0400-000003000000}"/>
    <hyperlink ref="B3" location="'Control (Don’t Touch)'!E11" display="'Control (Don’t Touch)'!E11" xr:uid="{00000000-0004-0000-0400-000004000000}"/>
    <hyperlink ref="D3" r:id="rId3" display="https://jira.bnh.com/browse/BHP-6901" xr:uid="{00000000-0004-0000-0400-000005000000}"/>
    <hyperlink ref="E3" r:id="rId4" display="https://jira.bnh.com/browse/BHP-6901" xr:uid="{00000000-0004-0000-0400-000006000000}"/>
    <hyperlink ref="B4" location="'Control (Don’t Touch)'!E13" display="'Control (Don’t Touch)'!E13" xr:uid="{00000000-0004-0000-0400-000007000000}"/>
    <hyperlink ref="D4" r:id="rId5" display="https://jira.bnh.com/browse/BHP-6446" xr:uid="{00000000-0004-0000-0400-000008000000}"/>
    <hyperlink ref="E4" r:id="rId6" display="https://jira.bnh.com/browse/BHUX-33434" xr:uid="{00000000-0004-0000-0400-000009000000}"/>
    <hyperlink ref="B5" location="'Control (Don’t Touch)'!E12" display="'Control (Don’t Touch)'!E12" xr:uid="{00000000-0004-0000-0400-00000A000000}"/>
    <hyperlink ref="B6" location="'Control (Don’t Touch)'!E11" display="'Control (Don’t Touch)'!E11" xr:uid="{00000000-0004-0000-0400-00000B000000}"/>
    <hyperlink ref="D6" r:id="rId7" display="https://jira.bnh.com/browse/BHP-7274" xr:uid="{00000000-0004-0000-0400-00000C000000}"/>
    <hyperlink ref="E6" r:id="rId8" display="https://jira.bnh.com/browse/BHP-7274" xr:uid="{00000000-0004-0000-0400-00000D000000}"/>
    <hyperlink ref="B7" location="'Control (Don’t Touch)'!E5" display="'Control (Don’t Touch)'!E5" xr:uid="{00000000-0004-0000-0400-00000E000000}"/>
    <hyperlink ref="D7" r:id="rId9" display="https://jira.bnh.com/browse/BHP-7431" xr:uid="{00000000-0004-0000-0400-00000F000000}"/>
    <hyperlink ref="E7" r:id="rId10" display="https://jira.bnh.com/browse/BHP-7431" xr:uid="{00000000-0004-0000-0400-000010000000}"/>
    <hyperlink ref="B8" location="'Control (Don’t Touch)'!E6" display="'Control (Don’t Touch)'!E6" xr:uid="{00000000-0004-0000-0400-000011000000}"/>
    <hyperlink ref="D8" r:id="rId11" display="https://jira.bnh.com/browse/BHP-7236" xr:uid="{00000000-0004-0000-0400-000012000000}"/>
    <hyperlink ref="E8" r:id="rId12" display="https://jira.bnh.com/browse/BHP-7236" xr:uid="{00000000-0004-0000-0400-000013000000}"/>
    <hyperlink ref="B9" location="'Control (Don’t Touch)'!E5" display="'Control (Don’t Touch)'!E5" xr:uid="{00000000-0004-0000-0400-000014000000}"/>
    <hyperlink ref="D9" r:id="rId13" display="https://jira.bnh.com/browse/BHP-7237" xr:uid="{00000000-0004-0000-0400-000015000000}"/>
    <hyperlink ref="E9" r:id="rId14" display="https://jira.bnh.com/browse/BHP-7237" xr:uid="{00000000-0004-0000-0400-000016000000}"/>
    <hyperlink ref="B10" location="'Control (Don’t Touch)'!E13" display="'Control (Don’t Touch)'!E13" xr:uid="{00000000-0004-0000-0400-000017000000}"/>
    <hyperlink ref="D10" r:id="rId15" display="https://jira.bnh.com/browse/BHP-6444" xr:uid="{00000000-0004-0000-0400-000018000000}"/>
    <hyperlink ref="E10" r:id="rId16" display="https://jira.bnh.com/browse/BHP-6444" xr:uid="{00000000-0004-0000-0400-000019000000}"/>
    <hyperlink ref="B11" location="'Control (Don’t Touch)'!E8" display="'Control (Don’t Touch)'!E8" xr:uid="{00000000-0004-0000-0400-00001A000000}"/>
    <hyperlink ref="D11" r:id="rId17" display="https://jira.bnh.com/browse/BHP-7229" xr:uid="{00000000-0004-0000-0400-00001B000000}"/>
    <hyperlink ref="E11" r:id="rId18" display="https://jira.bnh.com/browse/BHP-7229" xr:uid="{00000000-0004-0000-0400-00001C000000}"/>
    <hyperlink ref="B12" location="'Control (Don’t Touch)'!E12" display="'Control (Don’t Touch)'!E12" xr:uid="{00000000-0004-0000-0400-00001D000000}"/>
    <hyperlink ref="D12" r:id="rId19" display="https://jira.bnh.com/browse/BHP-7301" xr:uid="{00000000-0004-0000-0400-00001E000000}"/>
    <hyperlink ref="E12" r:id="rId20" display="https://jira.bnh.com/browse/BHP-7301" xr:uid="{00000000-0004-0000-0400-00001F000000}"/>
    <hyperlink ref="B13" location="'Control (Don’t Touch)'!E8" display="'Control (Don’t Touch)'!E8" xr:uid="{00000000-0004-0000-0400-000020000000}"/>
    <hyperlink ref="D13" r:id="rId21" display="https://jira.bnh.com/browse/BHP-7230" xr:uid="{00000000-0004-0000-0400-000021000000}"/>
    <hyperlink ref="E13" r:id="rId22" display="https://jira.bnh.com/browse/BHP-7230" xr:uid="{00000000-0004-0000-0400-000022000000}"/>
    <hyperlink ref="B14" location="'Control (Don’t Touch)'!E5" display="'Control (Don’t Touch)'!E5" xr:uid="{00000000-0004-0000-0400-000023000000}"/>
    <hyperlink ref="D14" r:id="rId23" display="https://jira.bnh.com/browse/BHP-6827" xr:uid="{00000000-0004-0000-0400-000024000000}"/>
    <hyperlink ref="E14" r:id="rId24" display="https://jira.bnh.com/browse/BHP-6827" xr:uid="{00000000-0004-0000-0400-000025000000}"/>
    <hyperlink ref="B15" location="'Control (Don’t Touch)'!E8" display="'Control (Don’t Touch)'!E8" xr:uid="{00000000-0004-0000-0400-000026000000}"/>
    <hyperlink ref="D15" r:id="rId25" display="https://jira.bnh.com/browse/BHP-4792" xr:uid="{00000000-0004-0000-0400-000027000000}"/>
    <hyperlink ref="E15" r:id="rId26" display="https://jira.bnh.com/browse/BHUX-35020" xr:uid="{00000000-0004-0000-0400-000028000000}"/>
    <hyperlink ref="B16" location="'Control (Don’t Touch)'!E12" display="'Control (Don’t Touch)'!E12" xr:uid="{00000000-0004-0000-0400-000029000000}"/>
    <hyperlink ref="D16" r:id="rId27" display="https://jira.bnh.com/browse/BHP-7239" xr:uid="{00000000-0004-0000-0400-00002A000000}"/>
    <hyperlink ref="E16" r:id="rId28" display="https://jira.bnh.com/browse/BHUX-35304" xr:uid="{00000000-0004-0000-0400-00002B000000}"/>
    <hyperlink ref="B17" location="'Control (Don’t Touch)'!E8" display="'Control (Don’t Touch)'!E8" xr:uid="{00000000-0004-0000-0400-00002C000000}"/>
    <hyperlink ref="C17" location="'Control (Don’t Touch)'!E4" display="'Control (Don’t Touch)'!E4" xr:uid="{00000000-0004-0000-0400-00002D000000}"/>
    <hyperlink ref="D17" r:id="rId29" display="https://jira.bnh.com/browse/BHP-5726" xr:uid="{00000000-0004-0000-0400-00002E000000}"/>
    <hyperlink ref="E17" r:id="rId30" display="https://jira.bnh.com/browse/BHUX-35303" xr:uid="{00000000-0004-0000-0400-00002F000000}"/>
    <hyperlink ref="B18" location="'Control (Don’t Touch)'!E4" display="'Control (Don’t Touch)'!E4" xr:uid="{00000000-0004-0000-0400-000030000000}"/>
    <hyperlink ref="D18" r:id="rId31" display="https://jira.bnh.com/browse/BHP-7266" xr:uid="{00000000-0004-0000-0400-000031000000}"/>
    <hyperlink ref="E18" r:id="rId32" display="https://jira.bnh.com/browse/BHUX-35302" xr:uid="{00000000-0004-0000-0400-000032000000}"/>
    <hyperlink ref="B19" location="'Control (Don’t Touch)'!E6" display="'Control (Don’t Touch)'!E6" xr:uid="{00000000-0004-0000-0400-000033000000}"/>
    <hyperlink ref="D19" r:id="rId33" display="https://jira.bnh.com/browse/BHP-6391" xr:uid="{00000000-0004-0000-0400-000034000000}"/>
    <hyperlink ref="E19" r:id="rId34" display="https://jira.bnh.com/browse/BHUX-34772" xr:uid="{00000000-0004-0000-0400-000035000000}"/>
    <hyperlink ref="B20" location="'Control (Don’t Touch)'!E6" display="'Control (Don’t Touch)'!E6" xr:uid="{00000000-0004-0000-0400-000036000000}"/>
    <hyperlink ref="D20" r:id="rId35" display="https://jira.bnh.com/browse/BHP-6434" xr:uid="{00000000-0004-0000-0400-000037000000}"/>
    <hyperlink ref="E20" r:id="rId36" display="https://jira.bnh.com/browse/BHUX-33009" xr:uid="{00000000-0004-0000-0400-000038000000}"/>
    <hyperlink ref="B21" location="'Control (Don’t Touch)'!E8" display="'Control (Don’t Touch)'!E8" xr:uid="{00000000-0004-0000-0400-000039000000}"/>
    <hyperlink ref="D21" r:id="rId37" display="https://jira.bnh.com/browse/BHP-6735" xr:uid="{00000000-0004-0000-0400-00003A000000}"/>
    <hyperlink ref="E21" r:id="rId38" display="https://jira.bnh.com/browse/BHUX-34844" xr:uid="{00000000-0004-0000-0400-00003B000000}"/>
    <hyperlink ref="B22" location="'Control (Don’t Touch)'!E8" display="'Control (Don’t Touch)'!E8" xr:uid="{00000000-0004-0000-0400-00003C000000}"/>
    <hyperlink ref="D22" r:id="rId39" display="https://jira.bnh.com/browse/BHP-6735" xr:uid="{00000000-0004-0000-0400-00003D000000}"/>
    <hyperlink ref="E22" r:id="rId40" display="https://jira.bnh.com/browse/BHUX-34845" xr:uid="{00000000-0004-0000-0400-00003E000000}"/>
    <hyperlink ref="B23" location="'Control (Don’t Touch)'!E8" display="'Control (Don’t Touch)'!E8" xr:uid="{00000000-0004-0000-0400-00003F000000}"/>
    <hyperlink ref="D23" r:id="rId41" display="https://jira.bnh.com/browse/BHP-7196" xr:uid="{00000000-0004-0000-0400-000040000000}"/>
    <hyperlink ref="E23" r:id="rId42" display="https://jira.bnh.com/browse/BHUX-35010" xr:uid="{00000000-0004-0000-0400-000041000000}"/>
    <hyperlink ref="B24" location="'Control (Don’t Touch)'!E5" display="'Control (Don’t Touch)'!E5" xr:uid="{00000000-0004-0000-0400-000042000000}"/>
    <hyperlink ref="C24" location="'Control (Don’t Touch)'!E11" display="'Control (Don’t Touch)'!E11" xr:uid="{00000000-0004-0000-0400-000043000000}"/>
    <hyperlink ref="D24" r:id="rId43" display="https://jira.bnh.com/browse/BHP-6900" xr:uid="{00000000-0004-0000-0400-000044000000}"/>
    <hyperlink ref="E24" r:id="rId44" display="https://jira.bnh.com/browse/BHUX-34378" xr:uid="{00000000-0004-0000-0400-000045000000}"/>
    <hyperlink ref="B25" location="'Control (Don’t Touch)'!E6" display="'Control (Don’t Touch)'!E6" xr:uid="{00000000-0004-0000-0400-000046000000}"/>
    <hyperlink ref="D25" r:id="rId45" display="https://jira.bnh.com/browse/BHP-6434" xr:uid="{00000000-0004-0000-0400-000047000000}"/>
    <hyperlink ref="E25" r:id="rId46" display="https://jira.bnh.com/browse/BHUR-133" xr:uid="{00000000-0004-0000-0400-000048000000}"/>
    <hyperlink ref="B26" location="'Control (Don’t Touch)'!E6" display="'Control (Don’t Touch)'!E6" xr:uid="{00000000-0004-0000-0400-000049000000}"/>
    <hyperlink ref="D26" r:id="rId47" display="https://jira.bnh.com/browse/BHP-7145" xr:uid="{00000000-0004-0000-0400-00004A000000}"/>
    <hyperlink ref="E26" r:id="rId48" display="https://jira.bnh.com/browse/BHUX-34723" xr:uid="{00000000-0004-0000-0400-00004B000000}"/>
    <hyperlink ref="B27" location="'Control (Don’t Touch)'!E5" display="'Control (Don’t Touch)'!E5" xr:uid="{00000000-0004-0000-0400-00004C000000}"/>
    <hyperlink ref="D27" r:id="rId49" display="https://jira.bnh.com/browse/BHP-7228" xr:uid="{00000000-0004-0000-0400-00004D000000}"/>
    <hyperlink ref="E27" r:id="rId50" display="https://jira.bnh.com/browse/BHUX-35309" xr:uid="{00000000-0004-0000-0400-00004E000000}"/>
    <hyperlink ref="B28" location="'Control (Don’t Touch)'!E11" display="'Control (Don’t Touch)'!E11" xr:uid="{00000000-0004-0000-0400-00004F000000}"/>
    <hyperlink ref="E28" r:id="rId51" display="https://jira.bnh.com/browse/BHUX-26541" xr:uid="{00000000-0004-0000-0400-000050000000}"/>
    <hyperlink ref="B29" location="'Control (Don’t Touch)'!E11" display="'Control (Don’t Touch)'!E11" xr:uid="{00000000-0004-0000-0400-000051000000}"/>
    <hyperlink ref="E29" r:id="rId52" display="https://jira.bnh.com/browse/BHUX-31874" xr:uid="{00000000-0004-0000-0400-000052000000}"/>
    <hyperlink ref="B30" location="'Control (Don’t Touch)'!E11" display="'Control (Don’t Touch)'!E11" xr:uid="{00000000-0004-0000-0400-000053000000}"/>
    <hyperlink ref="E30" r:id="rId53" display="https://jira.bnh.com/browse/BHUX-32257" xr:uid="{00000000-0004-0000-0400-000054000000}"/>
    <hyperlink ref="B31" location="'Control (Don’t Touch)'!E9" display="'Control (Don’t Touch)'!E9" xr:uid="{00000000-0004-0000-0400-000055000000}"/>
    <hyperlink ref="C31" location="'Control (Don’t Touch)'!E6" display="'Control (Don’t Touch)'!E6" xr:uid="{00000000-0004-0000-0400-000056000000}"/>
    <hyperlink ref="D31" r:id="rId54" display="https://jira.bnh.com/browse/BHP-7238" xr:uid="{00000000-0004-0000-0400-000057000000}"/>
    <hyperlink ref="E31" r:id="rId55" display="https://jira.bnh.com/browse/BHJ-121278" xr:uid="{00000000-0004-0000-0400-000058000000}"/>
    <hyperlink ref="B32" location="'Control (Don’t Touch)'!E4" display="'Control (Don’t Touch)'!E4" xr:uid="{00000000-0004-0000-0400-000059000000}"/>
    <hyperlink ref="D32" r:id="rId56" display="https://jira.bnh.com/browse/BHUX-29580" xr:uid="{00000000-0004-0000-0400-00005A000000}"/>
    <hyperlink ref="E32" r:id="rId57" display="https://jira.bnh.com/browse/BHUX-29580" xr:uid="{00000000-0004-0000-0400-00005B000000}"/>
    <hyperlink ref="B33" location="'Control (Don’t Touch)'!E11" display="'Control (Don’t Touch)'!E11" xr:uid="{00000000-0004-0000-0400-00005C000000}"/>
    <hyperlink ref="D33" r:id="rId58" display="https://jira.bnh.com/browse/BHP-5830" xr:uid="{00000000-0004-0000-0400-00005D000000}"/>
    <hyperlink ref="E33" r:id="rId59" display="https://jira.bnh.com/browse/BHUX-34377" xr:uid="{00000000-0004-0000-0400-00005E000000}"/>
    <hyperlink ref="B34" location="'Control (Don’t Touch)'!E4" display="'Control (Don’t Touch)'!E4" xr:uid="{00000000-0004-0000-0400-00005F000000}"/>
    <hyperlink ref="D34" r:id="rId60" display="https://jira.bnh.com/browse/BHP-2802" xr:uid="{00000000-0004-0000-0400-000060000000}"/>
    <hyperlink ref="E34" r:id="rId61" display="https://jira.bnh.com/browse/BHUX-32621" xr:uid="{00000000-0004-0000-0400-000061000000}"/>
    <hyperlink ref="B35" location="'Control (Don’t Touch)'!E4" display="'Control (Don’t Touch)'!E4" xr:uid="{00000000-0004-0000-0400-000062000000}"/>
    <hyperlink ref="D35" r:id="rId62" display="https://jira.bnh.com/browse/BHP-6228" xr:uid="{00000000-0004-0000-0400-000063000000}"/>
    <hyperlink ref="E35" r:id="rId63" display="https://jira.bnh.com/browse/BHUX-32543" xr:uid="{00000000-0004-0000-0400-000064000000}"/>
    <hyperlink ref="B36" location="'Control (Don’t Touch)'!E6" display="'Control (Don’t Touch)'!E6" xr:uid="{00000000-0004-0000-0400-000065000000}"/>
    <hyperlink ref="B37" location="'Control (Don’t Touch)'!E8" display="'Control (Don’t Touch)'!E8" xr:uid="{00000000-0004-0000-0400-000066000000}"/>
    <hyperlink ref="D37" r:id="rId64" display="https://jira.bnh.com/browse/BHP-4518" xr:uid="{00000000-0004-0000-0400-000067000000}"/>
    <hyperlink ref="E37" r:id="rId65" display="https://jira.bnh.com/browse/BHUX-33519" xr:uid="{00000000-0004-0000-0400-000068000000}"/>
    <hyperlink ref="B38" location="'Control (Don’t Touch)'!E4" display="'Control (Don’t Touch)'!E4" xr:uid="{00000000-0004-0000-0400-000069000000}"/>
    <hyperlink ref="D38" r:id="rId66" display="https://jira.bnh.com/browse/BHP-3757" xr:uid="{00000000-0004-0000-0400-00006A000000}"/>
    <hyperlink ref="E38" r:id="rId67" display="https://jira.bnh.com/browse/BHUX-17615" xr:uid="{00000000-0004-0000-0400-00006B000000}"/>
    <hyperlink ref="B39" location="'Control (Don’t Touch)'!E4" display="'Control (Don’t Touch)'!E4" xr:uid="{00000000-0004-0000-0400-00006C000000}"/>
    <hyperlink ref="D39" r:id="rId68" display="https://jira.bnh.com/browse/BHP-2638" xr:uid="{00000000-0004-0000-0400-00006D000000}"/>
    <hyperlink ref="E39" r:id="rId69" display="https://jira.bnh.com/browse/BHUX-23755" xr:uid="{00000000-0004-0000-0400-00006E000000}"/>
    <hyperlink ref="B40" location="'Control (Don’t Touch)'!E4" display="'Control (Don’t Touch)'!E4" xr:uid="{00000000-0004-0000-0400-00006F000000}"/>
    <hyperlink ref="D40" r:id="rId70" display="https://jira.bnh.com/browse/BHP-5060" xr:uid="{00000000-0004-0000-0400-000070000000}"/>
    <hyperlink ref="E40" r:id="rId71" display="https://jira.bnh.com/browse/BHUX-28124" xr:uid="{00000000-0004-0000-0400-000071000000}"/>
    <hyperlink ref="B41" location="'Control (Don’t Touch)'!E4" display="'Control (Don’t Touch)'!E4" xr:uid="{00000000-0004-0000-0400-000072000000}"/>
    <hyperlink ref="D41" r:id="rId72" display="https://jira.bnh.com/browse/MRCH-2202" xr:uid="{00000000-0004-0000-0400-000073000000}"/>
    <hyperlink ref="E41" r:id="rId73" display="https://jira.bnh.com/browse/BHUX-31245" xr:uid="{00000000-0004-0000-0400-000074000000}"/>
    <hyperlink ref="B42" location="'Control (Don’t Touch)'!E4" display="'Control (Don’t Touch)'!E4" xr:uid="{00000000-0004-0000-0400-000075000000}"/>
    <hyperlink ref="D42" r:id="rId74" display="https://jira.bnh.com/browse/BHJ-119850" xr:uid="{00000000-0004-0000-0400-000076000000}"/>
    <hyperlink ref="E42" r:id="rId75" display="https://jira.bnh.com/browse/BHUX-32071" xr:uid="{00000000-0004-0000-0400-000077000000}"/>
    <hyperlink ref="B43" location="'Control (Don’t Touch)'!E4" display="'Control (Don’t Touch)'!E4" xr:uid="{00000000-0004-0000-0400-000078000000}"/>
    <hyperlink ref="D43" r:id="rId76" display="https://jira.bnh.com/browse/BHP-5132" xr:uid="{00000000-0004-0000-0400-000079000000}"/>
    <hyperlink ref="E43" r:id="rId77" display="https://jira.bnh.com/browse/BHUX-29921" xr:uid="{00000000-0004-0000-0400-00007A000000}"/>
    <hyperlink ref="B44" location="'Control (Don’t Touch)'!E11" display="'Control (Don’t Touch)'!E11" xr:uid="{00000000-0004-0000-0400-00007B000000}"/>
    <hyperlink ref="D44" r:id="rId78" display="https://jira.bnh.com/browse/BHP-3583" xr:uid="{00000000-0004-0000-0400-00007C000000}"/>
    <hyperlink ref="E44" r:id="rId79" display="https://jira.bnh.com/browse/BHUX-25601" xr:uid="{00000000-0004-0000-0400-00007D000000}"/>
    <hyperlink ref="B45" location="'Control (Don’t Touch)'!E9" display="'Control (Don’t Touch)'!E9" xr:uid="{00000000-0004-0000-0400-00007E000000}"/>
    <hyperlink ref="D45" r:id="rId80" display="https://jira.bnh.com/browse/BHP-4563" xr:uid="{00000000-0004-0000-0400-00007F000000}"/>
    <hyperlink ref="E45" r:id="rId81" display="https://jira.bnh.com/browse/BHP-4563" xr:uid="{00000000-0004-0000-0400-000080000000}"/>
    <hyperlink ref="B46" location="'Control (Don’t Touch)'!E8" display="'Control (Don’t Touch)'!E8" xr:uid="{00000000-0004-0000-0400-000081000000}"/>
    <hyperlink ref="D46" r:id="rId82" display="https://jira.bnh.com/browse/BHP-5817" xr:uid="{00000000-0004-0000-0400-000082000000}"/>
    <hyperlink ref="E46" r:id="rId83" display="https://jira.bnh.com/browse/BHUX-31354" xr:uid="{00000000-0004-0000-0400-000083000000}"/>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E2472F0-C683-C14C-9376-238114CEF74F}">
          <x14:formula1>
            <xm:f>Control!$N$5:$N$28</xm:f>
          </x14:formula1>
          <xm:sqref>I2:J46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0C237-3161-8B48-8A76-B4B9CD85A021}">
  <dimension ref="B3:R42"/>
  <sheetViews>
    <sheetView workbookViewId="0">
      <selection activeCell="A29" sqref="A29"/>
    </sheetView>
  </sheetViews>
  <sheetFormatPr baseColWidth="10" defaultColWidth="11" defaultRowHeight="16" x14ac:dyDescent="0.2"/>
  <cols>
    <col min="2" max="2" width="95.1640625" customWidth="1"/>
    <col min="3" max="3" width="69.33203125" customWidth="1"/>
  </cols>
  <sheetData>
    <row r="3" spans="2:18" ht="46" customHeight="1" x14ac:dyDescent="0.3">
      <c r="B3" s="262" t="s">
        <v>324</v>
      </c>
      <c r="C3" s="262"/>
      <c r="D3" s="88"/>
      <c r="E3" s="88"/>
      <c r="F3" s="88"/>
      <c r="G3" s="88"/>
      <c r="H3" s="88"/>
      <c r="I3" s="88"/>
      <c r="J3" s="88"/>
      <c r="K3" s="88"/>
      <c r="L3" s="88"/>
      <c r="M3" s="88"/>
      <c r="N3" s="88"/>
      <c r="O3" s="88"/>
      <c r="P3" s="88"/>
      <c r="Q3" s="88"/>
      <c r="R3" s="88"/>
    </row>
    <row r="4" spans="2:18" ht="22" x14ac:dyDescent="0.3">
      <c r="B4" s="139" t="s">
        <v>325</v>
      </c>
      <c r="D4" s="88"/>
      <c r="E4" s="88"/>
      <c r="F4" s="88"/>
      <c r="G4" s="88"/>
      <c r="H4" s="88"/>
      <c r="I4" s="88"/>
      <c r="J4" s="88"/>
      <c r="K4" s="88"/>
      <c r="L4" s="88"/>
      <c r="M4" s="88"/>
      <c r="N4" s="88"/>
      <c r="O4" s="88"/>
      <c r="P4" s="88"/>
      <c r="Q4" s="88"/>
      <c r="R4" s="88"/>
    </row>
    <row r="5" spans="2:18" ht="22" x14ac:dyDescent="0.3">
      <c r="B5" s="139" t="s">
        <v>326</v>
      </c>
      <c r="D5" s="88"/>
      <c r="E5" s="88"/>
      <c r="F5" s="88"/>
      <c r="G5" s="88"/>
      <c r="H5" s="88"/>
      <c r="I5" s="88"/>
      <c r="J5" s="88"/>
      <c r="K5" s="88"/>
      <c r="L5" s="88"/>
      <c r="M5" s="88"/>
      <c r="N5" s="88"/>
      <c r="O5" s="88"/>
      <c r="P5" s="88"/>
      <c r="Q5" s="88"/>
      <c r="R5" s="88"/>
    </row>
    <row r="6" spans="2:18" ht="22" x14ac:dyDescent="0.3">
      <c r="B6" s="139" t="s">
        <v>327</v>
      </c>
    </row>
    <row r="7" spans="2:18" ht="22" x14ac:dyDescent="0.3">
      <c r="B7" s="139" t="s">
        <v>328</v>
      </c>
    </row>
    <row r="8" spans="2:18" ht="22" x14ac:dyDescent="0.3">
      <c r="B8" s="139" t="s">
        <v>329</v>
      </c>
    </row>
    <row r="37" spans="2:3" ht="22" x14ac:dyDescent="0.3">
      <c r="B37" s="87" t="s">
        <v>330</v>
      </c>
      <c r="C37" s="88" t="s">
        <v>331</v>
      </c>
    </row>
    <row r="38" spans="2:3" ht="46" x14ac:dyDescent="0.3">
      <c r="B38" s="87" t="s">
        <v>62</v>
      </c>
      <c r="C38" s="89" t="s">
        <v>332</v>
      </c>
    </row>
    <row r="39" spans="2:3" ht="23" x14ac:dyDescent="0.3">
      <c r="B39" s="87" t="s">
        <v>62</v>
      </c>
      <c r="C39" s="89" t="s">
        <v>333</v>
      </c>
    </row>
    <row r="40" spans="2:3" ht="22" x14ac:dyDescent="0.3">
      <c r="B40" s="87" t="s">
        <v>334</v>
      </c>
      <c r="C40" s="88" t="s">
        <v>335</v>
      </c>
    </row>
    <row r="41" spans="2:3" ht="22" x14ac:dyDescent="0.3">
      <c r="B41" s="87" t="s">
        <v>336</v>
      </c>
      <c r="C41" s="88" t="s">
        <v>337</v>
      </c>
    </row>
    <row r="42" spans="2:3" ht="22" x14ac:dyDescent="0.3">
      <c r="B42" s="87" t="s">
        <v>338</v>
      </c>
      <c r="C42" s="88" t="s">
        <v>339</v>
      </c>
    </row>
  </sheetData>
  <mergeCells count="1">
    <mergeCell ref="B3:C3"/>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EF1C9-7E05-4346-A958-24362E06B0FE}">
  <dimension ref="A3:AG9"/>
  <sheetViews>
    <sheetView workbookViewId="0">
      <selection activeCell="D11" sqref="D11"/>
    </sheetView>
  </sheetViews>
  <sheetFormatPr baseColWidth="10" defaultColWidth="11" defaultRowHeight="16" x14ac:dyDescent="0.2"/>
  <cols>
    <col min="1" max="1" width="13.6640625" bestFit="1" customWidth="1"/>
  </cols>
  <sheetData>
    <row r="3" spans="1:33" ht="17" thickBot="1" x14ac:dyDescent="0.25">
      <c r="A3" s="77" t="s">
        <v>132</v>
      </c>
      <c r="B3" s="77" t="s">
        <v>133</v>
      </c>
      <c r="C3" s="78" t="s">
        <v>62</v>
      </c>
      <c r="D3" s="77" t="s">
        <v>136</v>
      </c>
      <c r="E3" s="77" t="s">
        <v>26</v>
      </c>
      <c r="F3" s="80" t="s">
        <v>27</v>
      </c>
    </row>
    <row r="4" spans="1:33" ht="18" thickTop="1" thickBot="1" x14ac:dyDescent="0.25">
      <c r="A4" s="69" t="s">
        <v>340</v>
      </c>
      <c r="B4" s="76"/>
      <c r="C4" s="76"/>
      <c r="D4" s="73" t="s">
        <v>341</v>
      </c>
      <c r="E4" s="39" t="s">
        <v>342</v>
      </c>
      <c r="F4" t="s">
        <v>343</v>
      </c>
      <c r="G4" s="81"/>
      <c r="H4" s="81"/>
      <c r="I4" s="75"/>
      <c r="J4" s="81"/>
      <c r="K4" s="81"/>
      <c r="L4" s="81"/>
      <c r="M4" s="81"/>
      <c r="N4" s="82"/>
      <c r="O4" s="82"/>
      <c r="P4" s="82"/>
      <c r="Q4" s="82"/>
      <c r="R4" s="82"/>
      <c r="S4" s="83"/>
      <c r="T4" s="82"/>
      <c r="U4" s="83"/>
      <c r="V4" s="83"/>
      <c r="W4" s="83"/>
      <c r="X4" s="83"/>
      <c r="Y4" s="83"/>
      <c r="Z4" s="83"/>
      <c r="AA4" s="83"/>
      <c r="AB4" s="83"/>
      <c r="AC4" s="83"/>
      <c r="AD4" s="83"/>
      <c r="AE4" s="83"/>
      <c r="AF4" s="83"/>
      <c r="AG4" s="83"/>
    </row>
    <row r="5" spans="1:33" ht="17" thickTop="1" x14ac:dyDescent="0.2">
      <c r="A5" s="37" t="s">
        <v>340</v>
      </c>
      <c r="B5" s="70" t="s">
        <v>145</v>
      </c>
      <c r="C5" s="70"/>
      <c r="D5" s="72" t="s">
        <v>344</v>
      </c>
      <c r="E5" s="217" t="s">
        <v>345</v>
      </c>
      <c r="F5" t="s">
        <v>346</v>
      </c>
      <c r="G5" s="75"/>
      <c r="H5" s="75"/>
      <c r="I5" s="75"/>
      <c r="J5" s="75"/>
      <c r="K5" s="75"/>
      <c r="L5" s="75"/>
      <c r="M5" s="81"/>
      <c r="N5" s="82"/>
      <c r="O5" s="82"/>
      <c r="P5" s="82"/>
      <c r="Q5" s="82"/>
      <c r="R5" s="82"/>
      <c r="S5" s="83"/>
      <c r="T5" s="82"/>
      <c r="U5" s="83"/>
      <c r="V5" s="83"/>
      <c r="W5" s="83"/>
      <c r="X5" s="83"/>
      <c r="Y5" s="83"/>
      <c r="Z5" s="83"/>
      <c r="AA5" s="83"/>
      <c r="AB5" s="83"/>
      <c r="AC5" s="83"/>
      <c r="AD5" s="83"/>
      <c r="AE5" s="83"/>
      <c r="AF5" s="83"/>
      <c r="AG5" s="83"/>
    </row>
    <row r="6" spans="1:33" ht="34" x14ac:dyDescent="0.2">
      <c r="A6" s="37" t="s">
        <v>340</v>
      </c>
      <c r="B6" s="37" t="s">
        <v>347</v>
      </c>
      <c r="C6" s="37"/>
      <c r="D6" s="37" t="s">
        <v>348</v>
      </c>
      <c r="E6" s="64" t="s">
        <v>349</v>
      </c>
      <c r="F6" t="s">
        <v>346</v>
      </c>
      <c r="G6" s="75"/>
      <c r="H6" s="75"/>
      <c r="I6" s="75"/>
      <c r="J6" s="75"/>
      <c r="K6" s="81"/>
      <c r="L6" s="75"/>
      <c r="M6" s="75"/>
      <c r="N6" s="84"/>
      <c r="O6" s="84"/>
      <c r="P6" s="82"/>
      <c r="Q6" s="82"/>
      <c r="R6" s="82"/>
      <c r="S6" s="83"/>
      <c r="T6" s="82"/>
      <c r="U6" s="83"/>
      <c r="V6" s="83"/>
      <c r="W6" s="83"/>
      <c r="X6" s="83"/>
      <c r="Y6" s="83"/>
      <c r="Z6" s="83"/>
      <c r="AA6" s="83"/>
      <c r="AB6" s="83"/>
      <c r="AC6" s="83"/>
      <c r="AD6" s="83"/>
      <c r="AE6" s="83"/>
      <c r="AF6" s="83"/>
      <c r="AG6" s="83"/>
    </row>
    <row r="7" spans="1:33" x14ac:dyDescent="0.2">
      <c r="A7" s="37" t="s">
        <v>340</v>
      </c>
      <c r="B7" s="37" t="s">
        <v>350</v>
      </c>
      <c r="C7" s="37"/>
      <c r="D7" s="37" t="s">
        <v>351</v>
      </c>
      <c r="E7" s="39" t="s">
        <v>352</v>
      </c>
      <c r="F7" t="s">
        <v>346</v>
      </c>
      <c r="G7" s="75"/>
      <c r="H7" s="75"/>
      <c r="I7" s="75"/>
      <c r="J7" s="75"/>
      <c r="K7" s="81"/>
      <c r="L7" s="75"/>
      <c r="M7" s="81"/>
      <c r="N7" s="84"/>
      <c r="O7" s="82"/>
      <c r="P7" s="84"/>
      <c r="Q7" s="82"/>
      <c r="R7" s="82"/>
      <c r="S7" s="83"/>
      <c r="T7" s="82"/>
      <c r="U7" s="83"/>
      <c r="V7" s="83"/>
      <c r="W7" s="83"/>
      <c r="X7" s="83"/>
      <c r="Y7" s="83"/>
      <c r="Z7" s="83"/>
      <c r="AA7" s="83"/>
      <c r="AB7" s="83"/>
      <c r="AC7" s="83"/>
      <c r="AD7" s="83"/>
      <c r="AE7" s="83"/>
      <c r="AF7" s="83"/>
      <c r="AG7" s="83"/>
    </row>
    <row r="8" spans="1:33" ht="34" x14ac:dyDescent="0.2">
      <c r="A8" s="37" t="s">
        <v>340</v>
      </c>
      <c r="B8" s="37" t="s">
        <v>145</v>
      </c>
      <c r="C8" s="37"/>
      <c r="D8" s="37" t="s">
        <v>353</v>
      </c>
      <c r="E8" s="64" t="s">
        <v>354</v>
      </c>
      <c r="F8" t="s">
        <v>346</v>
      </c>
      <c r="G8" s="75"/>
      <c r="H8" s="75"/>
      <c r="I8" s="75"/>
      <c r="J8" s="75"/>
      <c r="K8" s="75"/>
      <c r="L8" s="75"/>
      <c r="M8" s="75"/>
      <c r="N8" s="84"/>
      <c r="O8" s="82"/>
      <c r="P8" s="82"/>
      <c r="Q8" s="82"/>
      <c r="R8" s="82"/>
      <c r="S8" s="83"/>
      <c r="T8" s="82"/>
      <c r="U8" s="83"/>
      <c r="V8" s="83"/>
      <c r="W8" s="83"/>
      <c r="X8" s="83"/>
      <c r="Y8" s="83"/>
      <c r="Z8" s="83"/>
      <c r="AA8" s="83"/>
      <c r="AB8" s="83"/>
      <c r="AC8" s="83"/>
      <c r="AD8" s="83"/>
      <c r="AE8" s="83"/>
      <c r="AF8" s="83"/>
      <c r="AG8" s="83"/>
    </row>
    <row r="9" spans="1:33" x14ac:dyDescent="0.2">
      <c r="A9" s="37" t="s">
        <v>340</v>
      </c>
      <c r="B9" s="37" t="s">
        <v>145</v>
      </c>
      <c r="C9" s="37"/>
      <c r="D9" s="37" t="s">
        <v>355</v>
      </c>
      <c r="E9" s="39" t="s">
        <v>356</v>
      </c>
      <c r="F9" t="s">
        <v>357</v>
      </c>
      <c r="G9" s="81"/>
      <c r="H9" s="81"/>
      <c r="I9" s="81"/>
      <c r="J9" s="81"/>
      <c r="K9" s="85"/>
      <c r="L9" s="86"/>
      <c r="M9" s="75"/>
      <c r="N9" s="82"/>
      <c r="O9" s="82"/>
      <c r="P9" s="82"/>
      <c r="Q9" s="82"/>
      <c r="R9" s="82"/>
      <c r="S9" s="83"/>
      <c r="T9" s="82"/>
      <c r="U9" s="83"/>
      <c r="V9" s="83"/>
      <c r="W9" s="83"/>
      <c r="X9" s="83"/>
      <c r="Y9" s="83"/>
      <c r="Z9" s="83"/>
      <c r="AA9" s="83"/>
      <c r="AB9" s="83"/>
      <c r="AC9" s="83"/>
      <c r="AD9" s="83"/>
      <c r="AE9" s="83"/>
      <c r="AF9" s="83"/>
      <c r="AG9" s="83"/>
    </row>
  </sheetData>
  <conditionalFormatting sqref="B3:B9">
    <cfRule type="cellIs" dxfId="2" priority="1" stopIfTrue="1" operator="equal">
      <formula>"Find"</formula>
    </cfRule>
    <cfRule type="cellIs" dxfId="1" priority="2" operator="equal">
      <formula>"Used"</formula>
    </cfRule>
    <cfRule type="cellIs" dxfId="0" priority="3" stopIfTrue="1" operator="equal">
      <formula>"B2B"</formula>
    </cfRule>
  </conditionalFormatting>
  <hyperlinks>
    <hyperlink ref="E5" r:id="rId1" display="https://jira.bnh.com/browse/BHUX-33186" xr:uid="{074C5F84-8EF1-E045-B283-08C54B5C01CF}"/>
    <hyperlink ref="E7" r:id="rId2" tooltip="https://jira.bnh.com/browse/bhux-33409" display="https://jira.bnh.com/browse/BHUX-33409" xr:uid="{00DF9B98-BF11-AE41-AFE0-88BF4AF6C360}"/>
    <hyperlink ref="E4" r:id="rId3" display="https://jira.bnh.com/browse/BHUX-33524" xr:uid="{55D4151B-8B54-4054-8569-1F33DAA4EE99}"/>
    <hyperlink ref="E9" r:id="rId4" xr:uid="{2A7F7C1C-FA9B-4845-BC7B-DFAA0430B083}"/>
    <hyperlink ref="E8" r:id="rId5" xr:uid="{702B82B1-994C-4B69-9082-A4B41DCCB7EE}"/>
    <hyperlink ref="E6" r:id="rId6" xr:uid="{0F8E3B74-CDDF-4F84-B5FB-B1871B98445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82EB7-3761-CD40-9A90-764016143F0F}">
  <sheetPr>
    <tabColor theme="0" tint="-0.14999847407452621"/>
  </sheetPr>
  <dimension ref="A3:O28"/>
  <sheetViews>
    <sheetView topLeftCell="E1" workbookViewId="0">
      <selection activeCell="R8" sqref="R8"/>
    </sheetView>
  </sheetViews>
  <sheetFormatPr baseColWidth="10" defaultColWidth="11" defaultRowHeight="22" x14ac:dyDescent="0.3"/>
  <cols>
    <col min="1" max="1" width="0" hidden="1" customWidth="1"/>
    <col min="2" max="2" width="38" hidden="1" customWidth="1"/>
    <col min="3" max="4" width="0" hidden="1" customWidth="1"/>
    <col min="5" max="5" width="51.5" bestFit="1" customWidth="1"/>
    <col min="6" max="6" width="48.33203125" customWidth="1"/>
    <col min="7" max="7" width="38.1640625" customWidth="1"/>
    <col min="8" max="8" width="37.5" customWidth="1"/>
    <col min="9" max="9" width="0" hidden="1" customWidth="1"/>
    <col min="10" max="10" width="33.6640625" hidden="1" customWidth="1"/>
    <col min="11" max="11" width="33.33203125" hidden="1" customWidth="1"/>
    <col min="12" max="13" width="0" hidden="1" customWidth="1"/>
    <col min="14" max="14" width="0" style="88" hidden="1" customWidth="1"/>
  </cols>
  <sheetData>
    <row r="3" spans="1:15" x14ac:dyDescent="0.3">
      <c r="A3" s="87" t="s">
        <v>133</v>
      </c>
      <c r="B3" s="87" t="s">
        <v>27</v>
      </c>
      <c r="C3" s="87"/>
      <c r="D3" s="87"/>
      <c r="E3" s="47" t="s">
        <v>62</v>
      </c>
      <c r="F3" s="47" t="s">
        <v>9</v>
      </c>
      <c r="G3" s="47" t="s">
        <v>358</v>
      </c>
      <c r="H3" s="47" t="s">
        <v>359</v>
      </c>
      <c r="J3" s="87"/>
      <c r="K3" s="87" t="s">
        <v>360</v>
      </c>
      <c r="N3" s="87" t="s">
        <v>361</v>
      </c>
    </row>
    <row r="4" spans="1:15" ht="92" x14ac:dyDescent="0.3">
      <c r="A4" s="88" t="s">
        <v>145</v>
      </c>
      <c r="B4" s="88" t="s">
        <v>143</v>
      </c>
      <c r="E4" s="49" t="s">
        <v>186</v>
      </c>
      <c r="F4" s="88" t="s">
        <v>362</v>
      </c>
      <c r="G4" s="157" t="s">
        <v>363</v>
      </c>
      <c r="H4" s="157" t="s">
        <v>364</v>
      </c>
      <c r="K4" s="134"/>
    </row>
    <row r="5" spans="1:15" ht="92" x14ac:dyDescent="0.3">
      <c r="A5" s="88" t="s">
        <v>138</v>
      </c>
      <c r="B5" s="88" t="s">
        <v>365</v>
      </c>
      <c r="E5" s="49" t="s">
        <v>160</v>
      </c>
      <c r="F5" s="90" t="s">
        <v>366</v>
      </c>
      <c r="G5" s="90" t="s">
        <v>367</v>
      </c>
      <c r="H5" s="90" t="s">
        <v>368</v>
      </c>
      <c r="K5" s="133" t="s">
        <v>369</v>
      </c>
      <c r="N5" s="142" t="s">
        <v>370</v>
      </c>
      <c r="O5" s="141"/>
    </row>
    <row r="6" spans="1:15" ht="115" x14ac:dyDescent="0.3">
      <c r="A6" s="88" t="s">
        <v>189</v>
      </c>
      <c r="B6" s="88" t="s">
        <v>153</v>
      </c>
      <c r="E6" s="49" t="s">
        <v>140</v>
      </c>
      <c r="F6" s="90" t="s">
        <v>371</v>
      </c>
      <c r="G6" s="90" t="s">
        <v>372</v>
      </c>
      <c r="H6" s="91" t="s">
        <v>373</v>
      </c>
      <c r="K6" s="138" t="s">
        <v>374</v>
      </c>
      <c r="N6" s="142" t="s">
        <v>375</v>
      </c>
      <c r="O6" s="141"/>
    </row>
    <row r="7" spans="1:15" ht="92" x14ac:dyDescent="0.3">
      <c r="A7" s="88"/>
      <c r="B7" s="88" t="s">
        <v>165</v>
      </c>
      <c r="E7" s="49" t="s">
        <v>376</v>
      </c>
      <c r="F7" s="90" t="s">
        <v>377</v>
      </c>
      <c r="G7" s="90" t="s">
        <v>378</v>
      </c>
      <c r="H7" s="90" t="s">
        <v>379</v>
      </c>
      <c r="K7" s="138" t="s">
        <v>380</v>
      </c>
      <c r="N7" s="142" t="s">
        <v>381</v>
      </c>
      <c r="O7" s="141"/>
    </row>
    <row r="8" spans="1:15" ht="161" x14ac:dyDescent="0.3">
      <c r="A8" s="88"/>
      <c r="B8" s="88" t="s">
        <v>183</v>
      </c>
      <c r="E8" s="49" t="s">
        <v>171</v>
      </c>
      <c r="F8" s="90" t="s">
        <v>382</v>
      </c>
      <c r="G8" s="90" t="s">
        <v>383</v>
      </c>
      <c r="H8" s="90" t="s">
        <v>384</v>
      </c>
      <c r="K8" s="138" t="s">
        <v>385</v>
      </c>
      <c r="N8" s="142" t="s">
        <v>386</v>
      </c>
      <c r="O8" s="141"/>
    </row>
    <row r="9" spans="1:15" ht="115" x14ac:dyDescent="0.3">
      <c r="A9" s="88"/>
      <c r="B9" s="88" t="s">
        <v>192</v>
      </c>
      <c r="E9" s="49" t="s">
        <v>139</v>
      </c>
      <c r="F9" s="90" t="s">
        <v>387</v>
      </c>
      <c r="G9" s="90" t="s">
        <v>388</v>
      </c>
      <c r="H9" s="90" t="s">
        <v>389</v>
      </c>
      <c r="K9" s="138" t="s">
        <v>390</v>
      </c>
      <c r="N9" s="142" t="s">
        <v>391</v>
      </c>
      <c r="O9" s="141"/>
    </row>
    <row r="10" spans="1:15" ht="92" x14ac:dyDescent="0.3">
      <c r="A10" s="88"/>
      <c r="B10" s="88" t="s">
        <v>209</v>
      </c>
      <c r="E10" s="49" t="s">
        <v>392</v>
      </c>
      <c r="F10" s="90" t="s">
        <v>393</v>
      </c>
      <c r="G10" s="90" t="s">
        <v>394</v>
      </c>
      <c r="H10" s="90" t="s">
        <v>395</v>
      </c>
      <c r="K10" s="138" t="s">
        <v>396</v>
      </c>
      <c r="N10" s="142" t="s">
        <v>397</v>
      </c>
      <c r="O10" s="141"/>
    </row>
    <row r="11" spans="1:15" ht="138" x14ac:dyDescent="0.3">
      <c r="A11" s="88"/>
      <c r="B11" s="88" t="s">
        <v>346</v>
      </c>
      <c r="E11" s="49" t="s">
        <v>146</v>
      </c>
      <c r="F11" s="157" t="s">
        <v>398</v>
      </c>
      <c r="G11" s="157" t="s">
        <v>399</v>
      </c>
      <c r="H11" s="157" t="s">
        <v>400</v>
      </c>
      <c r="K11" s="138" t="s">
        <v>401</v>
      </c>
      <c r="N11" s="142" t="s">
        <v>314</v>
      </c>
      <c r="O11" s="141"/>
    </row>
    <row r="12" spans="1:15" ht="138" x14ac:dyDescent="0.3">
      <c r="A12" s="88"/>
      <c r="B12" s="88" t="s">
        <v>213</v>
      </c>
      <c r="E12" s="49" t="s">
        <v>155</v>
      </c>
      <c r="F12" s="157" t="s">
        <v>402</v>
      </c>
      <c r="G12" s="157" t="s">
        <v>403</v>
      </c>
      <c r="H12" s="157" t="s">
        <v>404</v>
      </c>
      <c r="K12" s="138" t="s">
        <v>405</v>
      </c>
      <c r="N12" s="142" t="s">
        <v>312</v>
      </c>
      <c r="O12" s="141"/>
    </row>
    <row r="13" spans="1:15" ht="115" x14ac:dyDescent="0.3">
      <c r="A13" s="88"/>
      <c r="B13" s="88" t="s">
        <v>219</v>
      </c>
      <c r="E13" s="49" t="s">
        <v>150</v>
      </c>
      <c r="F13" s="157" t="s">
        <v>406</v>
      </c>
      <c r="G13" s="157" t="s">
        <v>407</v>
      </c>
      <c r="H13" s="157" t="s">
        <v>408</v>
      </c>
      <c r="K13" s="138" t="s">
        <v>409</v>
      </c>
      <c r="N13" s="142" t="s">
        <v>309</v>
      </c>
      <c r="O13" s="141"/>
    </row>
    <row r="14" spans="1:15" ht="138" x14ac:dyDescent="0.3">
      <c r="A14" s="88"/>
      <c r="B14" s="88" t="s">
        <v>227</v>
      </c>
      <c r="E14" s="49" t="s">
        <v>410</v>
      </c>
      <c r="F14" s="90" t="s">
        <v>411</v>
      </c>
      <c r="G14" s="157" t="s">
        <v>412</v>
      </c>
      <c r="H14" s="157" t="s">
        <v>413</v>
      </c>
      <c r="K14" s="138" t="s">
        <v>414</v>
      </c>
      <c r="N14" s="142" t="s">
        <v>288</v>
      </c>
      <c r="O14" s="141"/>
    </row>
    <row r="15" spans="1:15" ht="138" x14ac:dyDescent="0.3">
      <c r="A15" s="88"/>
      <c r="B15" s="88" t="s">
        <v>234</v>
      </c>
      <c r="E15" s="71" t="s">
        <v>415</v>
      </c>
      <c r="F15" s="197" t="s">
        <v>416</v>
      </c>
      <c r="G15" s="198" t="s">
        <v>417</v>
      </c>
      <c r="H15" s="198" t="s">
        <v>418</v>
      </c>
      <c r="K15" s="138" t="s">
        <v>419</v>
      </c>
      <c r="N15" s="142" t="s">
        <v>278</v>
      </c>
      <c r="O15" s="141"/>
    </row>
    <row r="16" spans="1:15" x14ac:dyDescent="0.3">
      <c r="A16" s="88"/>
      <c r="B16" s="88" t="s">
        <v>238</v>
      </c>
      <c r="E16" s="199"/>
      <c r="F16" s="200"/>
      <c r="G16" s="200"/>
      <c r="H16" s="200"/>
      <c r="K16" s="138" t="s">
        <v>420</v>
      </c>
      <c r="N16" s="142" t="s">
        <v>272</v>
      </c>
      <c r="O16" s="141"/>
    </row>
    <row r="17" spans="1:15" x14ac:dyDescent="0.3">
      <c r="A17" s="88"/>
      <c r="B17" s="88" t="s">
        <v>421</v>
      </c>
      <c r="E17" s="158"/>
      <c r="F17" s="158"/>
      <c r="G17" s="158"/>
      <c r="H17" s="158"/>
      <c r="K17" s="138" t="s">
        <v>422</v>
      </c>
      <c r="N17" s="142" t="s">
        <v>267</v>
      </c>
      <c r="O17" s="141"/>
    </row>
    <row r="18" spans="1:15" x14ac:dyDescent="0.3">
      <c r="A18" s="88"/>
      <c r="B18" s="88" t="s">
        <v>423</v>
      </c>
      <c r="E18" s="158"/>
      <c r="F18" s="158"/>
      <c r="G18" s="158"/>
      <c r="H18" s="158"/>
      <c r="K18" s="138" t="s">
        <v>424</v>
      </c>
      <c r="N18" s="142" t="s">
        <v>285</v>
      </c>
      <c r="O18" s="141"/>
    </row>
    <row r="19" spans="1:15" x14ac:dyDescent="0.3">
      <c r="A19" s="88"/>
      <c r="B19" s="88" t="s">
        <v>241</v>
      </c>
      <c r="E19" s="158"/>
      <c r="F19" s="158"/>
      <c r="G19" s="158"/>
      <c r="H19" s="158"/>
      <c r="K19" s="138" t="s">
        <v>425</v>
      </c>
      <c r="N19" s="142" t="s">
        <v>270</v>
      </c>
    </row>
    <row r="20" spans="1:15" x14ac:dyDescent="0.3">
      <c r="K20" s="138" t="s">
        <v>426</v>
      </c>
      <c r="N20" s="142" t="s">
        <v>427</v>
      </c>
    </row>
    <row r="21" spans="1:15" x14ac:dyDescent="0.3">
      <c r="K21" s="138" t="s">
        <v>428</v>
      </c>
      <c r="N21" s="142" t="s">
        <v>271</v>
      </c>
    </row>
    <row r="22" spans="1:15" x14ac:dyDescent="0.3">
      <c r="K22" s="138" t="s">
        <v>429</v>
      </c>
      <c r="N22" s="142" t="s">
        <v>430</v>
      </c>
    </row>
    <row r="23" spans="1:15" x14ac:dyDescent="0.3">
      <c r="K23" s="138" t="s">
        <v>431</v>
      </c>
      <c r="N23" s="142" t="s">
        <v>432</v>
      </c>
    </row>
    <row r="24" spans="1:15" x14ac:dyDescent="0.3">
      <c r="K24" s="138" t="s">
        <v>433</v>
      </c>
      <c r="N24" s="142" t="s">
        <v>434</v>
      </c>
    </row>
    <row r="25" spans="1:15" x14ac:dyDescent="0.3">
      <c r="K25" s="138" t="s">
        <v>435</v>
      </c>
      <c r="N25" s="142" t="s">
        <v>436</v>
      </c>
    </row>
    <row r="26" spans="1:15" x14ac:dyDescent="0.3">
      <c r="K26" s="138" t="s">
        <v>437</v>
      </c>
      <c r="N26" s="142" t="s">
        <v>438</v>
      </c>
    </row>
    <row r="27" spans="1:15" x14ac:dyDescent="0.3">
      <c r="K27" s="113"/>
      <c r="N27" s="142" t="s">
        <v>439</v>
      </c>
    </row>
    <row r="28" spans="1:15" x14ac:dyDescent="0.3">
      <c r="N28" s="142" t="s">
        <v>440</v>
      </c>
    </row>
  </sheetData>
  <phoneticPr fontId="2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11510-08D4-994D-AE3B-74BB50A6D518}">
  <sheetPr>
    <tabColor theme="0" tint="-0.14999847407452621"/>
  </sheetPr>
  <dimension ref="A2:K55"/>
  <sheetViews>
    <sheetView zoomScale="115" zoomScaleNormal="115" workbookViewId="0">
      <pane xSplit="4" ySplit="2" topLeftCell="E3" activePane="bottomRight" state="frozen"/>
      <selection pane="topRight" activeCell="E1" sqref="E1"/>
      <selection pane="bottomLeft" activeCell="A3" sqref="A3"/>
      <selection pane="bottomRight" activeCell="A3" sqref="A3"/>
    </sheetView>
  </sheetViews>
  <sheetFormatPr baseColWidth="10" defaultColWidth="11" defaultRowHeight="16" x14ac:dyDescent="0.2"/>
  <cols>
    <col min="2" max="2" width="45" bestFit="1" customWidth="1"/>
    <col min="3" max="3" width="56.5" bestFit="1" customWidth="1"/>
    <col min="4" max="5" width="56.5" customWidth="1"/>
    <col min="6" max="6" width="56.6640625" bestFit="1" customWidth="1"/>
    <col min="8" max="8" width="30.6640625" bestFit="1" customWidth="1"/>
    <col min="9" max="10" width="26.83203125" style="136" customWidth="1"/>
  </cols>
  <sheetData>
    <row r="2" spans="1:11" ht="22" customHeight="1" x14ac:dyDescent="0.3">
      <c r="A2" s="47" t="s">
        <v>133</v>
      </c>
      <c r="B2" s="47" t="s">
        <v>62</v>
      </c>
      <c r="C2" s="47" t="s">
        <v>441</v>
      </c>
      <c r="D2" s="47" t="s">
        <v>9</v>
      </c>
      <c r="E2" s="47" t="s">
        <v>442</v>
      </c>
      <c r="F2" s="47" t="s">
        <v>443</v>
      </c>
      <c r="G2" s="47" t="s">
        <v>444</v>
      </c>
      <c r="H2" s="47" t="s">
        <v>445</v>
      </c>
      <c r="I2" s="135" t="s">
        <v>336</v>
      </c>
      <c r="J2" s="135"/>
      <c r="K2" s="47" t="s">
        <v>446</v>
      </c>
    </row>
    <row r="3" spans="1:11" ht="69" x14ac:dyDescent="0.3">
      <c r="A3" s="48" t="s">
        <v>138</v>
      </c>
      <c r="B3" s="114" t="s">
        <v>160</v>
      </c>
      <c r="C3" s="115" t="s">
        <v>447</v>
      </c>
      <c r="D3" s="115" t="s">
        <v>448</v>
      </c>
      <c r="E3" s="115" t="s">
        <v>449</v>
      </c>
      <c r="F3" s="115" t="s">
        <v>450</v>
      </c>
      <c r="G3" s="48" t="s">
        <v>451</v>
      </c>
      <c r="H3" s="48" t="s">
        <v>338</v>
      </c>
      <c r="I3" s="65" t="s">
        <v>452</v>
      </c>
      <c r="J3" s="65"/>
      <c r="K3" s="48"/>
    </row>
    <row r="4" spans="1:11" ht="69" x14ac:dyDescent="0.3">
      <c r="A4" s="48" t="s">
        <v>138</v>
      </c>
      <c r="B4" s="114" t="s">
        <v>160</v>
      </c>
      <c r="C4" s="48" t="s">
        <v>453</v>
      </c>
      <c r="D4" s="65" t="s">
        <v>454</v>
      </c>
      <c r="E4" s="65" t="s">
        <v>455</v>
      </c>
      <c r="F4" s="65" t="s">
        <v>456</v>
      </c>
      <c r="G4" s="48" t="s">
        <v>451</v>
      </c>
      <c r="H4" s="48" t="s">
        <v>338</v>
      </c>
      <c r="I4" s="65" t="s">
        <v>452</v>
      </c>
      <c r="J4" s="65"/>
      <c r="K4" s="48"/>
    </row>
    <row r="5" spans="1:11" ht="69" x14ac:dyDescent="0.3">
      <c r="A5" s="48" t="s">
        <v>138</v>
      </c>
      <c r="B5" s="114" t="s">
        <v>160</v>
      </c>
      <c r="C5" s="48" t="s">
        <v>457</v>
      </c>
      <c r="D5" s="65" t="s">
        <v>458</v>
      </c>
      <c r="E5" s="65" t="s">
        <v>459</v>
      </c>
      <c r="F5" s="65" t="s">
        <v>460</v>
      </c>
      <c r="G5" s="48" t="s">
        <v>451</v>
      </c>
      <c r="H5" s="48" t="s">
        <v>338</v>
      </c>
      <c r="I5" s="65" t="s">
        <v>452</v>
      </c>
      <c r="J5" s="65"/>
      <c r="K5" s="48"/>
    </row>
    <row r="6" spans="1:11" ht="69" x14ac:dyDescent="0.3">
      <c r="A6" s="48" t="s">
        <v>138</v>
      </c>
      <c r="B6" s="114" t="s">
        <v>160</v>
      </c>
      <c r="C6" s="116" t="s">
        <v>461</v>
      </c>
      <c r="D6" s="116" t="s">
        <v>462</v>
      </c>
      <c r="E6" s="116" t="s">
        <v>463</v>
      </c>
      <c r="F6" s="116" t="s">
        <v>464</v>
      </c>
      <c r="G6" s="48" t="s">
        <v>465</v>
      </c>
      <c r="H6" s="48" t="s">
        <v>466</v>
      </c>
      <c r="I6" s="65" t="s">
        <v>467</v>
      </c>
      <c r="J6" s="65"/>
      <c r="K6" s="48"/>
    </row>
    <row r="7" spans="1:11" ht="69" x14ac:dyDescent="0.3">
      <c r="A7" s="48" t="s">
        <v>138</v>
      </c>
      <c r="B7" s="114" t="s">
        <v>160</v>
      </c>
      <c r="C7" s="48" t="s">
        <v>468</v>
      </c>
      <c r="D7" s="65" t="s">
        <v>469</v>
      </c>
      <c r="E7" s="65" t="s">
        <v>470</v>
      </c>
      <c r="F7" s="65" t="s">
        <v>471</v>
      </c>
      <c r="G7" s="48" t="s">
        <v>465</v>
      </c>
      <c r="H7" s="48" t="s">
        <v>472</v>
      </c>
      <c r="I7" s="65"/>
      <c r="J7" s="65"/>
      <c r="K7" s="48"/>
    </row>
    <row r="8" spans="1:11" ht="69" x14ac:dyDescent="0.3">
      <c r="A8" s="48" t="s">
        <v>138</v>
      </c>
      <c r="B8" s="114" t="s">
        <v>160</v>
      </c>
      <c r="C8" s="48" t="s">
        <v>473</v>
      </c>
      <c r="D8" s="65" t="s">
        <v>474</v>
      </c>
      <c r="E8" s="65" t="s">
        <v>475</v>
      </c>
      <c r="F8" s="65" t="s">
        <v>476</v>
      </c>
      <c r="G8" s="48" t="s">
        <v>465</v>
      </c>
      <c r="H8" s="48" t="s">
        <v>477</v>
      </c>
      <c r="I8" s="65" t="s">
        <v>452</v>
      </c>
      <c r="J8" s="65"/>
      <c r="K8" s="48"/>
    </row>
    <row r="9" spans="1:11" ht="69" x14ac:dyDescent="0.3">
      <c r="A9" s="48" t="s">
        <v>138</v>
      </c>
      <c r="B9" s="48" t="s">
        <v>160</v>
      </c>
      <c r="C9" s="48" t="s">
        <v>478</v>
      </c>
      <c r="D9" s="65" t="s">
        <v>479</v>
      </c>
      <c r="E9" s="65" t="s">
        <v>480</v>
      </c>
      <c r="F9" s="65" t="s">
        <v>481</v>
      </c>
      <c r="G9" s="48" t="s">
        <v>451</v>
      </c>
      <c r="H9" s="48" t="s">
        <v>338</v>
      </c>
      <c r="I9" s="65" t="s">
        <v>482</v>
      </c>
      <c r="J9" s="65"/>
      <c r="K9" s="48"/>
    </row>
    <row r="10" spans="1:11" ht="69" x14ac:dyDescent="0.3">
      <c r="A10" s="48" t="s">
        <v>138</v>
      </c>
      <c r="B10" s="48" t="s">
        <v>160</v>
      </c>
      <c r="C10" s="48" t="s">
        <v>483</v>
      </c>
      <c r="D10" s="65" t="s">
        <v>484</v>
      </c>
      <c r="E10" s="65" t="s">
        <v>485</v>
      </c>
      <c r="F10" s="65" t="s">
        <v>486</v>
      </c>
      <c r="G10" s="48" t="s">
        <v>465</v>
      </c>
      <c r="H10" s="48" t="s">
        <v>472</v>
      </c>
      <c r="I10" s="65" t="s">
        <v>482</v>
      </c>
      <c r="J10" s="65"/>
      <c r="K10" s="48"/>
    </row>
    <row r="11" spans="1:11" ht="69" x14ac:dyDescent="0.3">
      <c r="A11" s="48" t="s">
        <v>138</v>
      </c>
      <c r="B11" s="48" t="s">
        <v>140</v>
      </c>
      <c r="C11" s="116" t="s">
        <v>487</v>
      </c>
      <c r="D11" s="116" t="s">
        <v>488</v>
      </c>
      <c r="E11" s="116" t="s">
        <v>489</v>
      </c>
      <c r="F11" s="116" t="s">
        <v>490</v>
      </c>
      <c r="G11" s="48" t="s">
        <v>451</v>
      </c>
      <c r="H11" s="48" t="s">
        <v>466</v>
      </c>
      <c r="I11" s="65"/>
      <c r="J11" s="65"/>
      <c r="K11" s="48"/>
    </row>
    <row r="12" spans="1:11" ht="69" x14ac:dyDescent="0.3">
      <c r="A12" s="48" t="s">
        <v>138</v>
      </c>
      <c r="B12" s="48" t="s">
        <v>140</v>
      </c>
      <c r="C12" s="48" t="s">
        <v>491</v>
      </c>
      <c r="D12" s="65" t="s">
        <v>492</v>
      </c>
      <c r="E12" s="65" t="s">
        <v>493</v>
      </c>
      <c r="F12" s="65" t="s">
        <v>494</v>
      </c>
      <c r="G12" s="48" t="s">
        <v>451</v>
      </c>
      <c r="H12" s="48" t="s">
        <v>466</v>
      </c>
      <c r="I12" s="65"/>
      <c r="J12" s="65"/>
      <c r="K12" s="48"/>
    </row>
    <row r="13" spans="1:11" ht="69" x14ac:dyDescent="0.3">
      <c r="A13" s="48" t="s">
        <v>138</v>
      </c>
      <c r="B13" s="48" t="s">
        <v>140</v>
      </c>
      <c r="C13" s="48" t="s">
        <v>495</v>
      </c>
      <c r="D13" s="65" t="s">
        <v>496</v>
      </c>
      <c r="E13" s="65" t="s">
        <v>497</v>
      </c>
      <c r="F13" s="65" t="s">
        <v>498</v>
      </c>
      <c r="G13" s="48" t="s">
        <v>451</v>
      </c>
      <c r="H13" s="48" t="s">
        <v>499</v>
      </c>
      <c r="I13" s="65" t="s">
        <v>500</v>
      </c>
      <c r="J13" s="65"/>
      <c r="K13" s="48"/>
    </row>
    <row r="14" spans="1:11" ht="69" x14ac:dyDescent="0.3">
      <c r="A14" s="48" t="s">
        <v>138</v>
      </c>
      <c r="B14" s="48" t="s">
        <v>140</v>
      </c>
      <c r="C14" s="65" t="s">
        <v>501</v>
      </c>
      <c r="D14" s="65" t="s">
        <v>502</v>
      </c>
      <c r="E14" s="65" t="s">
        <v>503</v>
      </c>
      <c r="F14" s="65" t="s">
        <v>504</v>
      </c>
      <c r="G14" s="48" t="s">
        <v>465</v>
      </c>
      <c r="H14" s="48" t="s">
        <v>466</v>
      </c>
      <c r="I14" s="65" t="s">
        <v>505</v>
      </c>
      <c r="J14" s="65"/>
      <c r="K14" s="48"/>
    </row>
    <row r="15" spans="1:11" ht="115" x14ac:dyDescent="0.3">
      <c r="A15" s="48" t="s">
        <v>138</v>
      </c>
      <c r="B15" s="48" t="s">
        <v>140</v>
      </c>
      <c r="C15" s="65" t="s">
        <v>506</v>
      </c>
      <c r="D15" s="65" t="s">
        <v>507</v>
      </c>
      <c r="E15" s="65" t="s">
        <v>508</v>
      </c>
      <c r="F15" s="65" t="s">
        <v>509</v>
      </c>
      <c r="G15" s="48" t="s">
        <v>465</v>
      </c>
      <c r="H15" s="48" t="s">
        <v>338</v>
      </c>
      <c r="I15" s="65" t="s">
        <v>510</v>
      </c>
      <c r="J15" s="65"/>
      <c r="K15" s="48"/>
    </row>
    <row r="16" spans="1:11" ht="69" x14ac:dyDescent="0.3">
      <c r="A16" s="48" t="s">
        <v>138</v>
      </c>
      <c r="B16" s="48" t="s">
        <v>140</v>
      </c>
      <c r="C16" s="48" t="s">
        <v>511</v>
      </c>
      <c r="D16" s="65" t="s">
        <v>512</v>
      </c>
      <c r="E16" s="65" t="s">
        <v>513</v>
      </c>
      <c r="F16" s="65" t="s">
        <v>514</v>
      </c>
      <c r="G16" s="48" t="s">
        <v>465</v>
      </c>
      <c r="H16" s="48" t="s">
        <v>515</v>
      </c>
      <c r="I16" s="65"/>
      <c r="J16" s="65"/>
      <c r="K16" s="48"/>
    </row>
    <row r="17" spans="1:11" ht="69" x14ac:dyDescent="0.3">
      <c r="A17" s="48" t="s">
        <v>138</v>
      </c>
      <c r="B17" s="48" t="s">
        <v>140</v>
      </c>
      <c r="C17" s="48" t="s">
        <v>516</v>
      </c>
      <c r="D17" s="65" t="s">
        <v>517</v>
      </c>
      <c r="E17" s="65" t="s">
        <v>518</v>
      </c>
      <c r="F17" s="65" t="s">
        <v>519</v>
      </c>
      <c r="G17" s="48" t="s">
        <v>465</v>
      </c>
      <c r="H17" s="48" t="s">
        <v>520</v>
      </c>
      <c r="I17" s="65"/>
      <c r="J17" s="65"/>
      <c r="K17" s="48"/>
    </row>
    <row r="18" spans="1:11" ht="46" x14ac:dyDescent="0.3">
      <c r="A18" s="48" t="s">
        <v>138</v>
      </c>
      <c r="B18" s="48" t="s">
        <v>140</v>
      </c>
      <c r="C18" s="48" t="s">
        <v>521</v>
      </c>
      <c r="D18" s="65" t="s">
        <v>522</v>
      </c>
      <c r="E18" s="65" t="s">
        <v>523</v>
      </c>
      <c r="F18" s="65" t="s">
        <v>524</v>
      </c>
      <c r="G18" s="48" t="s">
        <v>465</v>
      </c>
      <c r="H18" s="48" t="s">
        <v>525</v>
      </c>
      <c r="I18" s="65"/>
      <c r="J18" s="65"/>
      <c r="K18" s="48"/>
    </row>
    <row r="19" spans="1:11" ht="46" x14ac:dyDescent="0.3">
      <c r="A19" s="48" t="s">
        <v>138</v>
      </c>
      <c r="B19" s="48" t="s">
        <v>376</v>
      </c>
      <c r="C19" s="116" t="s">
        <v>526</v>
      </c>
      <c r="D19" s="116" t="s">
        <v>527</v>
      </c>
      <c r="E19" s="116" t="s">
        <v>528</v>
      </c>
      <c r="F19" s="116" t="s">
        <v>529</v>
      </c>
      <c r="G19" s="48" t="s">
        <v>451</v>
      </c>
      <c r="H19" s="48" t="s">
        <v>530</v>
      </c>
      <c r="I19" s="65" t="s">
        <v>531</v>
      </c>
      <c r="J19" s="65"/>
      <c r="K19" s="48"/>
    </row>
    <row r="20" spans="1:11" ht="46" x14ac:dyDescent="0.3">
      <c r="A20" s="48" t="s">
        <v>138</v>
      </c>
      <c r="B20" s="48" t="s">
        <v>376</v>
      </c>
      <c r="C20" s="48" t="s">
        <v>532</v>
      </c>
      <c r="D20" s="65" t="s">
        <v>533</v>
      </c>
      <c r="E20" s="65" t="s">
        <v>534</v>
      </c>
      <c r="F20" s="65" t="s">
        <v>535</v>
      </c>
      <c r="G20" s="48" t="s">
        <v>451</v>
      </c>
      <c r="H20" s="48" t="s">
        <v>530</v>
      </c>
      <c r="I20" s="65" t="s">
        <v>536</v>
      </c>
      <c r="J20" s="65"/>
      <c r="K20" s="48"/>
    </row>
    <row r="21" spans="1:11" ht="69" x14ac:dyDescent="0.3">
      <c r="A21" s="48" t="s">
        <v>138</v>
      </c>
      <c r="B21" s="48" t="s">
        <v>376</v>
      </c>
      <c r="C21" s="48" t="s">
        <v>537</v>
      </c>
      <c r="D21" s="65" t="s">
        <v>538</v>
      </c>
      <c r="E21" s="65" t="s">
        <v>539</v>
      </c>
      <c r="F21" s="65" t="s">
        <v>540</v>
      </c>
      <c r="G21" s="48" t="s">
        <v>451</v>
      </c>
      <c r="H21" s="48" t="s">
        <v>541</v>
      </c>
      <c r="I21" s="65"/>
      <c r="J21" s="65"/>
      <c r="K21" s="48"/>
    </row>
    <row r="22" spans="1:11" ht="69" x14ac:dyDescent="0.3">
      <c r="A22" s="48" t="s">
        <v>138</v>
      </c>
      <c r="B22" s="48" t="s">
        <v>376</v>
      </c>
      <c r="C22" s="116" t="s">
        <v>542</v>
      </c>
      <c r="D22" s="116" t="s">
        <v>543</v>
      </c>
      <c r="E22" s="116" t="s">
        <v>544</v>
      </c>
      <c r="F22" s="116" t="s">
        <v>545</v>
      </c>
      <c r="G22" s="48" t="s">
        <v>465</v>
      </c>
      <c r="H22" s="48" t="s">
        <v>466</v>
      </c>
      <c r="I22" s="65"/>
      <c r="J22" s="65"/>
      <c r="K22" s="48"/>
    </row>
    <row r="23" spans="1:11" ht="46" x14ac:dyDescent="0.3">
      <c r="A23" s="48" t="s">
        <v>138</v>
      </c>
      <c r="B23" s="48" t="s">
        <v>376</v>
      </c>
      <c r="C23" s="48" t="s">
        <v>546</v>
      </c>
      <c r="D23" s="65" t="s">
        <v>547</v>
      </c>
      <c r="E23" s="65" t="s">
        <v>548</v>
      </c>
      <c r="F23" s="65" t="s">
        <v>549</v>
      </c>
      <c r="G23" s="48" t="s">
        <v>465</v>
      </c>
      <c r="H23" s="48" t="s">
        <v>550</v>
      </c>
      <c r="I23" s="65"/>
      <c r="J23" s="65"/>
      <c r="K23" s="48"/>
    </row>
    <row r="24" spans="1:11" ht="69" x14ac:dyDescent="0.3">
      <c r="A24" s="48" t="s">
        <v>138</v>
      </c>
      <c r="B24" s="48" t="s">
        <v>376</v>
      </c>
      <c r="C24" s="48" t="s">
        <v>551</v>
      </c>
      <c r="D24" s="65" t="s">
        <v>552</v>
      </c>
      <c r="E24" s="65" t="s">
        <v>553</v>
      </c>
      <c r="F24" s="65" t="s">
        <v>554</v>
      </c>
      <c r="G24" s="48" t="s">
        <v>465</v>
      </c>
      <c r="H24" s="48" t="s">
        <v>555</v>
      </c>
      <c r="I24" s="65"/>
      <c r="J24" s="65"/>
      <c r="K24" s="48"/>
    </row>
    <row r="25" spans="1:11" ht="69" x14ac:dyDescent="0.3">
      <c r="A25" s="48" t="s">
        <v>138</v>
      </c>
      <c r="B25" s="48" t="s">
        <v>171</v>
      </c>
      <c r="C25" s="116" t="s">
        <v>556</v>
      </c>
      <c r="D25" s="116" t="s">
        <v>557</v>
      </c>
      <c r="E25" s="116" t="s">
        <v>558</v>
      </c>
      <c r="F25" s="116" t="s">
        <v>559</v>
      </c>
      <c r="G25" s="48" t="s">
        <v>451</v>
      </c>
      <c r="H25" s="48" t="s">
        <v>338</v>
      </c>
      <c r="I25" s="65" t="s">
        <v>560</v>
      </c>
      <c r="J25" s="65"/>
      <c r="K25" s="48"/>
    </row>
    <row r="26" spans="1:11" ht="69" x14ac:dyDescent="0.3">
      <c r="A26" s="48" t="s">
        <v>138</v>
      </c>
      <c r="B26" s="48" t="s">
        <v>171</v>
      </c>
      <c r="C26" s="48" t="s">
        <v>561</v>
      </c>
      <c r="D26" s="65" t="s">
        <v>562</v>
      </c>
      <c r="E26" s="65" t="s">
        <v>563</v>
      </c>
      <c r="F26" s="65" t="s">
        <v>564</v>
      </c>
      <c r="G26" s="48" t="s">
        <v>451</v>
      </c>
      <c r="H26" s="48" t="s">
        <v>565</v>
      </c>
      <c r="I26" s="65"/>
      <c r="J26" s="65"/>
      <c r="K26" s="48"/>
    </row>
    <row r="27" spans="1:11" ht="69" x14ac:dyDescent="0.3">
      <c r="A27" s="48" t="s">
        <v>138</v>
      </c>
      <c r="B27" s="48" t="s">
        <v>171</v>
      </c>
      <c r="C27" s="48" t="s">
        <v>566</v>
      </c>
      <c r="D27" s="65" t="s">
        <v>567</v>
      </c>
      <c r="E27" s="65" t="s">
        <v>568</v>
      </c>
      <c r="F27" s="65" t="s">
        <v>569</v>
      </c>
      <c r="G27" s="48" t="s">
        <v>451</v>
      </c>
      <c r="H27" s="48" t="s">
        <v>338</v>
      </c>
      <c r="I27" s="65" t="s">
        <v>570</v>
      </c>
      <c r="J27" s="65"/>
      <c r="K27" s="48"/>
    </row>
    <row r="28" spans="1:11" ht="69" x14ac:dyDescent="0.3">
      <c r="A28" s="48" t="s">
        <v>138</v>
      </c>
      <c r="B28" s="48" t="s">
        <v>171</v>
      </c>
      <c r="C28" s="48" t="s">
        <v>571</v>
      </c>
      <c r="D28" s="65" t="s">
        <v>572</v>
      </c>
      <c r="E28" s="65" t="s">
        <v>573</v>
      </c>
      <c r="F28" s="65" t="s">
        <v>574</v>
      </c>
      <c r="G28" s="48" t="s">
        <v>451</v>
      </c>
      <c r="H28" s="48" t="s">
        <v>338</v>
      </c>
      <c r="I28" s="65"/>
      <c r="J28" s="65"/>
      <c r="K28" s="48"/>
    </row>
    <row r="29" spans="1:11" ht="69" x14ac:dyDescent="0.3">
      <c r="A29" s="48" t="s">
        <v>138</v>
      </c>
      <c r="B29" s="48" t="s">
        <v>171</v>
      </c>
      <c r="C29" s="116" t="s">
        <v>575</v>
      </c>
      <c r="D29" s="116" t="s">
        <v>576</v>
      </c>
      <c r="E29" s="116" t="s">
        <v>577</v>
      </c>
      <c r="F29" s="116" t="s">
        <v>578</v>
      </c>
      <c r="G29" s="48" t="s">
        <v>465</v>
      </c>
      <c r="H29" s="48" t="s">
        <v>338</v>
      </c>
      <c r="I29" s="65"/>
      <c r="J29" s="65"/>
      <c r="K29" s="48"/>
    </row>
    <row r="30" spans="1:11" ht="46" x14ac:dyDescent="0.3">
      <c r="A30" s="48" t="s">
        <v>138</v>
      </c>
      <c r="B30" s="48" t="s">
        <v>171</v>
      </c>
      <c r="C30" s="48" t="s">
        <v>579</v>
      </c>
      <c r="D30" s="65" t="s">
        <v>580</v>
      </c>
      <c r="E30" s="65" t="s">
        <v>581</v>
      </c>
      <c r="F30" s="65" t="s">
        <v>582</v>
      </c>
      <c r="G30" s="48" t="s">
        <v>465</v>
      </c>
      <c r="H30" s="48" t="s">
        <v>338</v>
      </c>
      <c r="I30" s="65"/>
      <c r="J30" s="65"/>
      <c r="K30" s="48"/>
    </row>
    <row r="31" spans="1:11" ht="161" x14ac:dyDescent="0.3">
      <c r="A31" s="48" t="s">
        <v>138</v>
      </c>
      <c r="B31" s="48" t="s">
        <v>171</v>
      </c>
      <c r="C31" s="48" t="s">
        <v>583</v>
      </c>
      <c r="D31" s="65" t="s">
        <v>584</v>
      </c>
      <c r="E31" s="65" t="s">
        <v>585</v>
      </c>
      <c r="F31" s="65" t="s">
        <v>586</v>
      </c>
      <c r="G31" s="48" t="s">
        <v>465</v>
      </c>
      <c r="H31" s="48" t="s">
        <v>338</v>
      </c>
      <c r="I31" s="65" t="s">
        <v>587</v>
      </c>
      <c r="J31" s="65"/>
      <c r="K31" s="48"/>
    </row>
    <row r="32" spans="1:11" ht="69" x14ac:dyDescent="0.3">
      <c r="A32" s="48" t="s">
        <v>138</v>
      </c>
      <c r="B32" s="48" t="s">
        <v>171</v>
      </c>
      <c r="C32" s="48" t="s">
        <v>588</v>
      </c>
      <c r="D32" s="65" t="s">
        <v>589</v>
      </c>
      <c r="E32" s="65" t="s">
        <v>590</v>
      </c>
      <c r="F32" s="65" t="s">
        <v>591</v>
      </c>
      <c r="G32" s="48" t="s">
        <v>465</v>
      </c>
      <c r="H32" s="48" t="s">
        <v>338</v>
      </c>
      <c r="I32" s="65" t="s">
        <v>592</v>
      </c>
      <c r="J32" s="65"/>
      <c r="K32" s="48"/>
    </row>
    <row r="33" spans="1:11" ht="92" x14ac:dyDescent="0.3">
      <c r="A33" s="48" t="s">
        <v>138</v>
      </c>
      <c r="B33" s="48" t="s">
        <v>139</v>
      </c>
      <c r="C33" s="48" t="s">
        <v>593</v>
      </c>
      <c r="D33" s="65" t="s">
        <v>594</v>
      </c>
      <c r="E33" s="65" t="s">
        <v>595</v>
      </c>
      <c r="F33" s="65" t="s">
        <v>596</v>
      </c>
      <c r="G33" s="48" t="s">
        <v>451</v>
      </c>
      <c r="H33" s="48" t="s">
        <v>338</v>
      </c>
      <c r="I33" s="65" t="s">
        <v>597</v>
      </c>
      <c r="J33" s="65"/>
      <c r="K33" s="48"/>
    </row>
    <row r="34" spans="1:11" ht="69" x14ac:dyDescent="0.3">
      <c r="A34" s="48" t="s">
        <v>138</v>
      </c>
      <c r="B34" s="48" t="s">
        <v>139</v>
      </c>
      <c r="C34" s="48" t="s">
        <v>598</v>
      </c>
      <c r="D34" s="65" t="s">
        <v>599</v>
      </c>
      <c r="E34" s="65" t="s">
        <v>600</v>
      </c>
      <c r="F34" s="65" t="s">
        <v>601</v>
      </c>
      <c r="G34" s="48" t="s">
        <v>451</v>
      </c>
      <c r="H34" s="48" t="s">
        <v>338</v>
      </c>
      <c r="I34" s="65"/>
      <c r="J34" s="65"/>
      <c r="K34" s="48"/>
    </row>
    <row r="35" spans="1:11" ht="69" x14ac:dyDescent="0.3">
      <c r="A35" s="48" t="s">
        <v>138</v>
      </c>
      <c r="B35" s="48" t="s">
        <v>139</v>
      </c>
      <c r="C35" s="48" t="s">
        <v>602</v>
      </c>
      <c r="D35" s="65" t="s">
        <v>603</v>
      </c>
      <c r="E35" s="65" t="s">
        <v>604</v>
      </c>
      <c r="F35" s="65" t="s">
        <v>605</v>
      </c>
      <c r="G35" s="48" t="s">
        <v>451</v>
      </c>
      <c r="H35" s="48" t="s">
        <v>338</v>
      </c>
      <c r="I35" s="65" t="s">
        <v>606</v>
      </c>
      <c r="J35" s="65"/>
      <c r="K35" s="48"/>
    </row>
    <row r="36" spans="1:11" ht="69" x14ac:dyDescent="0.3">
      <c r="A36" s="48" t="s">
        <v>138</v>
      </c>
      <c r="B36" s="48" t="s">
        <v>139</v>
      </c>
      <c r="C36" s="116" t="s">
        <v>607</v>
      </c>
      <c r="D36" s="116" t="s">
        <v>608</v>
      </c>
      <c r="E36" s="116" t="s">
        <v>609</v>
      </c>
      <c r="F36" s="116" t="s">
        <v>610</v>
      </c>
      <c r="G36" s="48" t="s">
        <v>465</v>
      </c>
      <c r="H36" s="48" t="s">
        <v>338</v>
      </c>
      <c r="I36" s="65" t="s">
        <v>611</v>
      </c>
      <c r="J36" s="65"/>
      <c r="K36" s="48"/>
    </row>
    <row r="37" spans="1:11" ht="69" x14ac:dyDescent="0.3">
      <c r="A37" s="48" t="s">
        <v>138</v>
      </c>
      <c r="B37" s="48" t="s">
        <v>139</v>
      </c>
      <c r="C37" s="48" t="s">
        <v>612</v>
      </c>
      <c r="D37" s="65" t="s">
        <v>613</v>
      </c>
      <c r="E37" s="65" t="s">
        <v>614</v>
      </c>
      <c r="F37" s="65" t="s">
        <v>615</v>
      </c>
      <c r="G37" s="48" t="s">
        <v>465</v>
      </c>
      <c r="H37" s="48" t="s">
        <v>338</v>
      </c>
      <c r="I37" s="65" t="s">
        <v>616</v>
      </c>
      <c r="J37" s="65"/>
      <c r="K37" s="48"/>
    </row>
    <row r="38" spans="1:11" ht="69" x14ac:dyDescent="0.3">
      <c r="A38" s="48" t="s">
        <v>138</v>
      </c>
      <c r="B38" s="48" t="s">
        <v>139</v>
      </c>
      <c r="C38" s="48" t="s">
        <v>617</v>
      </c>
      <c r="D38" s="65" t="s">
        <v>618</v>
      </c>
      <c r="E38" s="65" t="s">
        <v>619</v>
      </c>
      <c r="F38" s="65" t="s">
        <v>620</v>
      </c>
      <c r="G38" s="48" t="s">
        <v>465</v>
      </c>
      <c r="H38" s="48" t="s">
        <v>515</v>
      </c>
      <c r="I38" s="65" t="s">
        <v>621</v>
      </c>
      <c r="J38" s="65"/>
      <c r="K38" s="48"/>
    </row>
    <row r="39" spans="1:11" ht="46" x14ac:dyDescent="0.3">
      <c r="A39" s="48" t="s">
        <v>138</v>
      </c>
      <c r="B39" s="48" t="s">
        <v>392</v>
      </c>
      <c r="C39" s="116" t="s">
        <v>622</v>
      </c>
      <c r="D39" s="116" t="s">
        <v>623</v>
      </c>
      <c r="E39" s="116" t="s">
        <v>528</v>
      </c>
      <c r="F39" s="116" t="s">
        <v>624</v>
      </c>
      <c r="G39" s="48" t="s">
        <v>451</v>
      </c>
      <c r="H39" s="48" t="s">
        <v>530</v>
      </c>
      <c r="I39" s="65"/>
      <c r="J39" s="65"/>
      <c r="K39" s="48"/>
    </row>
    <row r="40" spans="1:11" ht="46" x14ac:dyDescent="0.3">
      <c r="A40" s="48" t="s">
        <v>138</v>
      </c>
      <c r="B40" s="48" t="s">
        <v>392</v>
      </c>
      <c r="C40" s="48" t="s">
        <v>625</v>
      </c>
      <c r="D40" s="65" t="s">
        <v>626</v>
      </c>
      <c r="E40" s="65" t="s">
        <v>627</v>
      </c>
      <c r="F40" s="65" t="s">
        <v>628</v>
      </c>
      <c r="G40" s="48" t="s">
        <v>451</v>
      </c>
      <c r="H40" s="48" t="s">
        <v>530</v>
      </c>
      <c r="I40" s="65" t="s">
        <v>505</v>
      </c>
      <c r="J40" s="65"/>
      <c r="K40" s="48"/>
    </row>
    <row r="41" spans="1:11" ht="69" x14ac:dyDescent="0.3">
      <c r="A41" s="48" t="s">
        <v>138</v>
      </c>
      <c r="B41" s="48" t="s">
        <v>392</v>
      </c>
      <c r="C41" s="48" t="s">
        <v>629</v>
      </c>
      <c r="D41" s="65" t="s">
        <v>630</v>
      </c>
      <c r="E41" s="65" t="s">
        <v>631</v>
      </c>
      <c r="F41" s="65" t="s">
        <v>632</v>
      </c>
      <c r="G41" s="48" t="s">
        <v>451</v>
      </c>
      <c r="H41" s="48" t="s">
        <v>633</v>
      </c>
      <c r="I41" s="65" t="s">
        <v>634</v>
      </c>
      <c r="J41" s="65"/>
      <c r="K41" s="48"/>
    </row>
    <row r="42" spans="1:11" ht="69" x14ac:dyDescent="0.3">
      <c r="A42" s="48" t="s">
        <v>138</v>
      </c>
      <c r="B42" s="48" t="s">
        <v>392</v>
      </c>
      <c r="C42" s="116" t="s">
        <v>635</v>
      </c>
      <c r="D42" s="65" t="s">
        <v>636</v>
      </c>
      <c r="E42" s="65" t="s">
        <v>637</v>
      </c>
      <c r="F42" s="65" t="s">
        <v>638</v>
      </c>
      <c r="G42" s="48" t="s">
        <v>465</v>
      </c>
      <c r="H42" s="48" t="s">
        <v>639</v>
      </c>
      <c r="I42" s="65"/>
      <c r="J42" s="65"/>
      <c r="K42" s="48"/>
    </row>
    <row r="43" spans="1:11" ht="46" x14ac:dyDescent="0.3">
      <c r="A43" s="48" t="s">
        <v>138</v>
      </c>
      <c r="B43" s="48" t="s">
        <v>392</v>
      </c>
      <c r="C43" s="48" t="s">
        <v>640</v>
      </c>
      <c r="D43" s="65" t="s">
        <v>641</v>
      </c>
      <c r="E43" s="65" t="s">
        <v>642</v>
      </c>
      <c r="F43" s="65" t="s">
        <v>643</v>
      </c>
      <c r="G43" s="48" t="s">
        <v>465</v>
      </c>
      <c r="H43" s="48" t="s">
        <v>644</v>
      </c>
      <c r="I43" s="65"/>
      <c r="J43" s="65"/>
      <c r="K43" s="48"/>
    </row>
    <row r="44" spans="1:11" ht="69" x14ac:dyDescent="0.3">
      <c r="A44" s="48" t="s">
        <v>138</v>
      </c>
      <c r="B44" s="48" t="s">
        <v>392</v>
      </c>
      <c r="C44" s="48" t="s">
        <v>645</v>
      </c>
      <c r="D44" s="65" t="s">
        <v>646</v>
      </c>
      <c r="E44" s="65" t="s">
        <v>647</v>
      </c>
      <c r="F44" s="65" t="s">
        <v>648</v>
      </c>
      <c r="G44" s="48" t="s">
        <v>465</v>
      </c>
      <c r="H44" s="48" t="s">
        <v>555</v>
      </c>
      <c r="I44" s="65"/>
      <c r="J44" s="65"/>
      <c r="K44" s="48"/>
    </row>
    <row r="45" spans="1:11" ht="69" x14ac:dyDescent="0.3">
      <c r="A45" s="48" t="s">
        <v>138</v>
      </c>
      <c r="B45" s="48" t="s">
        <v>649</v>
      </c>
      <c r="C45" s="48" t="s">
        <v>650</v>
      </c>
      <c r="D45" s="65" t="s">
        <v>651</v>
      </c>
      <c r="E45" s="65" t="s">
        <v>652</v>
      </c>
      <c r="F45" s="65" t="s">
        <v>653</v>
      </c>
      <c r="G45" s="48" t="s">
        <v>451</v>
      </c>
      <c r="H45" s="48" t="s">
        <v>654</v>
      </c>
      <c r="I45" s="65" t="s">
        <v>655</v>
      </c>
      <c r="J45" s="65"/>
      <c r="K45" s="48"/>
    </row>
    <row r="46" spans="1:11" ht="69" x14ac:dyDescent="0.3">
      <c r="A46" s="48" t="s">
        <v>138</v>
      </c>
      <c r="B46" s="48" t="s">
        <v>649</v>
      </c>
      <c r="C46" s="48" t="s">
        <v>656</v>
      </c>
      <c r="D46" s="65" t="s">
        <v>657</v>
      </c>
      <c r="E46" s="65" t="s">
        <v>658</v>
      </c>
      <c r="F46" s="65" t="s">
        <v>659</v>
      </c>
      <c r="G46" s="48" t="s">
        <v>451</v>
      </c>
      <c r="H46" s="48" t="s">
        <v>654</v>
      </c>
      <c r="I46" s="65" t="s">
        <v>660</v>
      </c>
      <c r="J46" s="65"/>
      <c r="K46" s="48"/>
    </row>
    <row r="47" spans="1:11" ht="69" x14ac:dyDescent="0.3">
      <c r="A47" s="48" t="s">
        <v>138</v>
      </c>
      <c r="B47" s="48" t="s">
        <v>649</v>
      </c>
      <c r="C47" s="48" t="s">
        <v>661</v>
      </c>
      <c r="D47" s="65" t="s">
        <v>662</v>
      </c>
      <c r="E47" s="65" t="s">
        <v>663</v>
      </c>
      <c r="F47" s="65" t="s">
        <v>664</v>
      </c>
      <c r="G47" s="48" t="s">
        <v>451</v>
      </c>
      <c r="H47" s="48" t="s">
        <v>338</v>
      </c>
      <c r="I47" s="65" t="s">
        <v>665</v>
      </c>
      <c r="J47" s="65"/>
      <c r="K47" s="48"/>
    </row>
    <row r="48" spans="1:11" ht="46" x14ac:dyDescent="0.3">
      <c r="A48" s="48" t="s">
        <v>138</v>
      </c>
      <c r="B48" s="48" t="s">
        <v>649</v>
      </c>
      <c r="C48" s="48" t="s">
        <v>666</v>
      </c>
      <c r="D48" s="65" t="s">
        <v>667</v>
      </c>
      <c r="E48" s="65" t="s">
        <v>668</v>
      </c>
      <c r="F48" s="65" t="s">
        <v>669</v>
      </c>
      <c r="G48" s="48" t="s">
        <v>465</v>
      </c>
      <c r="H48" s="48" t="s">
        <v>670</v>
      </c>
      <c r="I48" s="65" t="s">
        <v>671</v>
      </c>
      <c r="J48" s="65"/>
      <c r="K48" s="48"/>
    </row>
    <row r="49" spans="1:11" ht="69" x14ac:dyDescent="0.3">
      <c r="A49" s="48" t="s">
        <v>138</v>
      </c>
      <c r="B49" s="48" t="s">
        <v>649</v>
      </c>
      <c r="C49" s="48" t="s">
        <v>672</v>
      </c>
      <c r="D49" s="65" t="s">
        <v>673</v>
      </c>
      <c r="E49" s="65" t="s">
        <v>674</v>
      </c>
      <c r="F49" s="65" t="s">
        <v>675</v>
      </c>
      <c r="G49" s="48" t="s">
        <v>465</v>
      </c>
      <c r="H49" s="48" t="s">
        <v>338</v>
      </c>
      <c r="I49" s="65" t="s">
        <v>660</v>
      </c>
      <c r="J49" s="65"/>
      <c r="K49" s="48"/>
    </row>
    <row r="50" spans="1:11" ht="69" x14ac:dyDescent="0.3">
      <c r="A50" s="48" t="s">
        <v>138</v>
      </c>
      <c r="B50" s="48" t="s">
        <v>649</v>
      </c>
      <c r="C50" s="48" t="s">
        <v>676</v>
      </c>
      <c r="D50" s="65" t="s">
        <v>677</v>
      </c>
      <c r="E50" s="65" t="s">
        <v>678</v>
      </c>
      <c r="F50" s="65" t="s">
        <v>679</v>
      </c>
      <c r="G50" s="48" t="s">
        <v>465</v>
      </c>
      <c r="H50" s="48" t="s">
        <v>680</v>
      </c>
      <c r="I50" s="65" t="s">
        <v>681</v>
      </c>
      <c r="J50" s="65"/>
      <c r="K50" s="48"/>
    </row>
    <row r="51" spans="1:11" ht="69" x14ac:dyDescent="0.3">
      <c r="A51" s="48" t="s">
        <v>138</v>
      </c>
      <c r="B51" s="48" t="s">
        <v>682</v>
      </c>
      <c r="C51" s="48" t="s">
        <v>683</v>
      </c>
      <c r="D51" s="65" t="s">
        <v>684</v>
      </c>
      <c r="E51" s="65" t="s">
        <v>685</v>
      </c>
      <c r="F51" s="65" t="s">
        <v>686</v>
      </c>
      <c r="G51" s="48" t="s">
        <v>451</v>
      </c>
      <c r="H51" s="48" t="s">
        <v>338</v>
      </c>
      <c r="I51" s="65" t="s">
        <v>687</v>
      </c>
      <c r="J51" s="65"/>
      <c r="K51" s="48"/>
    </row>
    <row r="52" spans="1:11" ht="115" x14ac:dyDescent="0.3">
      <c r="A52" s="48" t="s">
        <v>138</v>
      </c>
      <c r="B52" s="48" t="s">
        <v>682</v>
      </c>
      <c r="C52" s="48" t="s">
        <v>688</v>
      </c>
      <c r="D52" s="65" t="s">
        <v>689</v>
      </c>
      <c r="E52" s="65" t="s">
        <v>690</v>
      </c>
      <c r="F52" s="65" t="s">
        <v>691</v>
      </c>
      <c r="G52" s="48" t="s">
        <v>451</v>
      </c>
      <c r="H52" s="48" t="s">
        <v>692</v>
      </c>
      <c r="I52" s="65"/>
      <c r="J52" s="65"/>
      <c r="K52" s="48"/>
    </row>
    <row r="53" spans="1:11" ht="69" x14ac:dyDescent="0.3">
      <c r="A53" s="48" t="s">
        <v>138</v>
      </c>
      <c r="B53" s="48" t="s">
        <v>682</v>
      </c>
      <c r="C53" s="48" t="s">
        <v>693</v>
      </c>
      <c r="D53" s="65" t="s">
        <v>694</v>
      </c>
      <c r="E53" s="65" t="s">
        <v>695</v>
      </c>
      <c r="F53" s="65" t="s">
        <v>696</v>
      </c>
      <c r="G53" s="48" t="s">
        <v>465</v>
      </c>
      <c r="H53" s="48" t="s">
        <v>697</v>
      </c>
      <c r="I53" s="65"/>
      <c r="J53" s="65"/>
      <c r="K53" s="48"/>
    </row>
    <row r="54" spans="1:11" ht="92" x14ac:dyDescent="0.3">
      <c r="A54" s="48" t="s">
        <v>138</v>
      </c>
      <c r="B54" s="48" t="s">
        <v>682</v>
      </c>
      <c r="C54" s="48" t="s">
        <v>698</v>
      </c>
      <c r="D54" s="65" t="s">
        <v>699</v>
      </c>
      <c r="E54" s="65" t="s">
        <v>700</v>
      </c>
      <c r="F54" s="65" t="s">
        <v>701</v>
      </c>
      <c r="G54" s="48" t="s">
        <v>465</v>
      </c>
      <c r="H54" s="48" t="s">
        <v>515</v>
      </c>
      <c r="I54" s="65"/>
      <c r="J54" s="65"/>
      <c r="K54" s="48"/>
    </row>
    <row r="55" spans="1:11" ht="69" x14ac:dyDescent="0.3">
      <c r="A55" s="48" t="s">
        <v>138</v>
      </c>
      <c r="B55" s="48" t="s">
        <v>682</v>
      </c>
      <c r="C55" s="48" t="s">
        <v>702</v>
      </c>
      <c r="D55" s="65" t="s">
        <v>703</v>
      </c>
      <c r="E55" s="65" t="s">
        <v>704</v>
      </c>
      <c r="F55" s="65" t="s">
        <v>705</v>
      </c>
      <c r="G55" s="48" t="s">
        <v>465</v>
      </c>
      <c r="H55" s="48" t="s">
        <v>706</v>
      </c>
      <c r="I55" s="65"/>
      <c r="J55" s="65"/>
      <c r="K55" s="4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7A999-5ED7-4747-93B4-C24326F0A523}">
  <sheetPr>
    <tabColor theme="0" tint="-0.14999847407452621"/>
  </sheetPr>
  <dimension ref="B2:U97"/>
  <sheetViews>
    <sheetView zoomScale="97" zoomScaleNormal="97" workbookViewId="0">
      <selection activeCell="C63" sqref="C63"/>
    </sheetView>
  </sheetViews>
  <sheetFormatPr baseColWidth="10" defaultColWidth="11" defaultRowHeight="22" x14ac:dyDescent="0.3"/>
  <cols>
    <col min="2" max="2" width="12" style="113" bestFit="1" customWidth="1"/>
    <col min="3" max="3" width="68.1640625" style="113" bestFit="1" customWidth="1"/>
    <col min="4" max="4" width="50.5" style="113" customWidth="1"/>
    <col min="5" max="5" width="24.6640625" style="113" bestFit="1" customWidth="1"/>
    <col min="6" max="6" width="27.33203125" style="113" customWidth="1"/>
    <col min="7" max="7" width="31.1640625" style="113" customWidth="1"/>
    <col min="8" max="8" width="13.33203125" style="113" bestFit="1" customWidth="1"/>
    <col min="9" max="9" width="10.83203125" style="113"/>
    <col min="10" max="10" width="16.33203125" style="113" bestFit="1" customWidth="1"/>
    <col min="11" max="11" width="38.6640625" style="113" customWidth="1"/>
    <col min="12" max="14" width="10.83203125" style="113"/>
    <col min="15" max="15" width="26.33203125" style="113" bestFit="1" customWidth="1"/>
  </cols>
  <sheetData>
    <row r="2" spans="2:15" x14ac:dyDescent="0.3">
      <c r="B2" s="87" t="s">
        <v>707</v>
      </c>
      <c r="C2" s="87" t="s">
        <v>708</v>
      </c>
      <c r="D2" s="87" t="s">
        <v>709</v>
      </c>
      <c r="E2" s="87" t="s">
        <v>710</v>
      </c>
      <c r="F2" s="87" t="s">
        <v>711</v>
      </c>
      <c r="G2" s="87" t="s">
        <v>712</v>
      </c>
      <c r="H2" s="87" t="s">
        <v>713</v>
      </c>
      <c r="I2" s="87" t="s">
        <v>714</v>
      </c>
      <c r="J2" s="87" t="s">
        <v>715</v>
      </c>
      <c r="K2" s="87" t="s">
        <v>716</v>
      </c>
      <c r="L2" s="87" t="s">
        <v>717</v>
      </c>
    </row>
    <row r="3" spans="2:15" x14ac:dyDescent="0.3">
      <c r="B3" s="113" t="s">
        <v>718</v>
      </c>
      <c r="D3" s="113" t="s">
        <v>719</v>
      </c>
      <c r="E3" s="113" t="s">
        <v>720</v>
      </c>
      <c r="F3" s="113" t="s">
        <v>721</v>
      </c>
      <c r="G3" s="113" t="s">
        <v>721</v>
      </c>
      <c r="H3" s="113" t="s">
        <v>721</v>
      </c>
      <c r="I3" s="113" t="s">
        <v>722</v>
      </c>
      <c r="J3" s="113" t="s">
        <v>723</v>
      </c>
      <c r="K3" s="113" t="s">
        <v>724</v>
      </c>
      <c r="L3" s="113" t="s">
        <v>725</v>
      </c>
    </row>
    <row r="4" spans="2:15" x14ac:dyDescent="0.3">
      <c r="B4" s="113" t="s">
        <v>718</v>
      </c>
      <c r="D4" s="113" t="s">
        <v>719</v>
      </c>
      <c r="E4" s="113" t="s">
        <v>726</v>
      </c>
      <c r="F4" s="113" t="s">
        <v>721</v>
      </c>
      <c r="G4" s="113" t="s">
        <v>721</v>
      </c>
      <c r="H4" s="113" t="s">
        <v>721</v>
      </c>
      <c r="I4" s="113" t="s">
        <v>722</v>
      </c>
      <c r="J4" s="113" t="s">
        <v>723</v>
      </c>
      <c r="K4" s="113" t="s">
        <v>727</v>
      </c>
      <c r="L4" s="113" t="s">
        <v>725</v>
      </c>
      <c r="O4" s="134"/>
    </row>
    <row r="5" spans="2:15" x14ac:dyDescent="0.3">
      <c r="B5" s="113" t="s">
        <v>718</v>
      </c>
      <c r="D5" s="113" t="s">
        <v>719</v>
      </c>
      <c r="E5" s="113" t="s">
        <v>726</v>
      </c>
      <c r="F5" s="113" t="s">
        <v>721</v>
      </c>
      <c r="G5" s="113" t="s">
        <v>721</v>
      </c>
      <c r="H5" s="113" t="s">
        <v>721</v>
      </c>
      <c r="I5" s="113" t="s">
        <v>728</v>
      </c>
      <c r="J5" s="113" t="s">
        <v>728</v>
      </c>
      <c r="K5" s="113" t="s">
        <v>729</v>
      </c>
      <c r="L5" s="113" t="s">
        <v>730</v>
      </c>
      <c r="O5" s="137"/>
    </row>
    <row r="6" spans="2:15" x14ac:dyDescent="0.3">
      <c r="B6" s="113" t="s">
        <v>718</v>
      </c>
      <c r="D6" s="113" t="s">
        <v>719</v>
      </c>
      <c r="E6" s="113" t="s">
        <v>731</v>
      </c>
      <c r="F6" s="113" t="s">
        <v>721</v>
      </c>
      <c r="G6" s="113" t="s">
        <v>721</v>
      </c>
      <c r="H6" s="113" t="s">
        <v>721</v>
      </c>
      <c r="I6" s="113" t="s">
        <v>722</v>
      </c>
      <c r="J6" s="113" t="s">
        <v>723</v>
      </c>
      <c r="K6" s="113" t="s">
        <v>732</v>
      </c>
      <c r="L6" s="113" t="s">
        <v>725</v>
      </c>
    </row>
    <row r="7" spans="2:15" x14ac:dyDescent="0.3">
      <c r="B7" s="113" t="s">
        <v>718</v>
      </c>
      <c r="D7" s="113" t="s">
        <v>719</v>
      </c>
      <c r="E7" s="113" t="s">
        <v>731</v>
      </c>
      <c r="F7" s="113" t="s">
        <v>721</v>
      </c>
      <c r="G7" s="113" t="s">
        <v>721</v>
      </c>
      <c r="H7" s="113" t="s">
        <v>721</v>
      </c>
      <c r="I7" s="113" t="s">
        <v>722</v>
      </c>
      <c r="J7" s="113" t="s">
        <v>723</v>
      </c>
      <c r="K7" s="113" t="s">
        <v>733</v>
      </c>
      <c r="L7" s="113" t="s">
        <v>725</v>
      </c>
    </row>
    <row r="8" spans="2:15" x14ac:dyDescent="0.3">
      <c r="B8" s="113" t="s">
        <v>718</v>
      </c>
      <c r="D8" s="113" t="s">
        <v>719</v>
      </c>
      <c r="E8" s="113" t="s">
        <v>731</v>
      </c>
      <c r="F8" s="113" t="s">
        <v>721</v>
      </c>
      <c r="G8" s="113" t="s">
        <v>721</v>
      </c>
      <c r="H8" s="113" t="s">
        <v>721</v>
      </c>
      <c r="I8" s="113" t="s">
        <v>722</v>
      </c>
      <c r="J8" s="113" t="s">
        <v>723</v>
      </c>
      <c r="K8" s="113" t="s">
        <v>734</v>
      </c>
      <c r="L8" s="113" t="s">
        <v>725</v>
      </c>
      <c r="O8" s="137"/>
    </row>
    <row r="9" spans="2:15" x14ac:dyDescent="0.3">
      <c r="B9" s="113" t="s">
        <v>735</v>
      </c>
      <c r="C9" s="134" t="s">
        <v>736</v>
      </c>
      <c r="D9" s="134" t="s">
        <v>737</v>
      </c>
      <c r="E9" s="113" t="s">
        <v>738</v>
      </c>
      <c r="O9" s="137"/>
    </row>
    <row r="10" spans="2:15" x14ac:dyDescent="0.3">
      <c r="B10" s="113" t="s">
        <v>735</v>
      </c>
      <c r="C10" s="113" t="s">
        <v>739</v>
      </c>
      <c r="D10" s="113" t="s">
        <v>274</v>
      </c>
      <c r="E10" s="113" t="s">
        <v>390</v>
      </c>
      <c r="F10" s="113" t="s">
        <v>739</v>
      </c>
      <c r="G10" s="113" t="s">
        <v>740</v>
      </c>
      <c r="H10" s="113" t="s">
        <v>721</v>
      </c>
      <c r="I10" s="113" t="s">
        <v>722</v>
      </c>
      <c r="J10" s="113" t="s">
        <v>741</v>
      </c>
    </row>
    <row r="11" spans="2:15" x14ac:dyDescent="0.3">
      <c r="B11" s="113" t="s">
        <v>735</v>
      </c>
      <c r="C11" s="113" t="s">
        <v>742</v>
      </c>
      <c r="D11" s="113" t="s">
        <v>743</v>
      </c>
      <c r="E11" s="113" t="s">
        <v>390</v>
      </c>
      <c r="F11" s="113" t="s">
        <v>744</v>
      </c>
      <c r="G11" s="113" t="s">
        <v>745</v>
      </c>
      <c r="H11" s="113" t="s">
        <v>721</v>
      </c>
    </row>
    <row r="12" spans="2:15" x14ac:dyDescent="0.3">
      <c r="B12" s="113" t="s">
        <v>735</v>
      </c>
      <c r="C12" s="113" t="s">
        <v>746</v>
      </c>
      <c r="D12" s="113" t="s">
        <v>747</v>
      </c>
      <c r="E12" s="113" t="s">
        <v>385</v>
      </c>
      <c r="F12" s="113" t="s">
        <v>747</v>
      </c>
      <c r="G12" s="113" t="s">
        <v>748</v>
      </c>
      <c r="I12" s="113" t="s">
        <v>722</v>
      </c>
      <c r="J12" s="113" t="s">
        <v>749</v>
      </c>
    </row>
    <row r="13" spans="2:15" x14ac:dyDescent="0.3">
      <c r="B13" s="113" t="s">
        <v>735</v>
      </c>
      <c r="C13" s="113" t="s">
        <v>750</v>
      </c>
      <c r="D13" s="113" t="s">
        <v>747</v>
      </c>
      <c r="E13" s="113" t="s">
        <v>396</v>
      </c>
      <c r="F13" s="113" t="s">
        <v>751</v>
      </c>
      <c r="G13" s="113" t="s">
        <v>721</v>
      </c>
      <c r="H13" s="113" t="s">
        <v>721</v>
      </c>
      <c r="I13" s="113" t="s">
        <v>721</v>
      </c>
      <c r="J13" s="113" t="s">
        <v>721</v>
      </c>
    </row>
    <row r="14" spans="2:15" x14ac:dyDescent="0.3">
      <c r="B14" s="113" t="s">
        <v>735</v>
      </c>
      <c r="C14" s="113" t="s">
        <v>752</v>
      </c>
      <c r="D14" s="113" t="s">
        <v>753</v>
      </c>
      <c r="I14" s="113" t="s">
        <v>722</v>
      </c>
      <c r="J14" s="113" t="s">
        <v>723</v>
      </c>
    </row>
    <row r="15" spans="2:15" x14ac:dyDescent="0.3">
      <c r="B15" s="113" t="s">
        <v>735</v>
      </c>
      <c r="C15" s="113" t="s">
        <v>754</v>
      </c>
      <c r="D15" s="113" t="s">
        <v>755</v>
      </c>
      <c r="I15" s="113" t="s">
        <v>722</v>
      </c>
      <c r="J15" s="113" t="s">
        <v>723</v>
      </c>
    </row>
    <row r="16" spans="2:15" x14ac:dyDescent="0.3">
      <c r="B16" s="113" t="s">
        <v>718</v>
      </c>
      <c r="C16" s="113" t="s">
        <v>752</v>
      </c>
      <c r="D16" s="113" t="s">
        <v>756</v>
      </c>
      <c r="E16" s="113" t="s">
        <v>369</v>
      </c>
      <c r="F16" s="113" t="s">
        <v>757</v>
      </c>
      <c r="G16" s="113" t="s">
        <v>721</v>
      </c>
      <c r="H16" s="113" t="s">
        <v>721</v>
      </c>
      <c r="I16" s="113" t="s">
        <v>722</v>
      </c>
      <c r="J16" s="113" t="s">
        <v>723</v>
      </c>
      <c r="K16" s="113" t="s">
        <v>758</v>
      </c>
      <c r="L16" s="113" t="s">
        <v>725</v>
      </c>
    </row>
    <row r="17" spans="2:21" x14ac:dyDescent="0.3">
      <c r="B17" s="113" t="s">
        <v>718</v>
      </c>
      <c r="C17" s="113" t="s">
        <v>752</v>
      </c>
      <c r="D17" s="113" t="s">
        <v>756</v>
      </c>
      <c r="E17" s="113" t="s">
        <v>369</v>
      </c>
      <c r="F17" s="113" t="s">
        <v>757</v>
      </c>
      <c r="G17" s="113" t="s">
        <v>721</v>
      </c>
      <c r="H17" s="113" t="s">
        <v>721</v>
      </c>
      <c r="I17" s="113" t="s">
        <v>722</v>
      </c>
      <c r="J17" s="113" t="s">
        <v>723</v>
      </c>
      <c r="K17" s="113" t="s">
        <v>759</v>
      </c>
      <c r="L17" s="113" t="s">
        <v>760</v>
      </c>
    </row>
    <row r="18" spans="2:21" x14ac:dyDescent="0.3">
      <c r="B18" s="113" t="s">
        <v>718</v>
      </c>
      <c r="C18" s="113" t="s">
        <v>752</v>
      </c>
      <c r="D18" s="113" t="s">
        <v>756</v>
      </c>
      <c r="E18" s="113" t="s">
        <v>369</v>
      </c>
      <c r="F18" s="113" t="s">
        <v>761</v>
      </c>
      <c r="G18" s="113" t="s">
        <v>762</v>
      </c>
      <c r="H18" s="113" t="s">
        <v>721</v>
      </c>
      <c r="I18" s="113" t="s">
        <v>722</v>
      </c>
      <c r="J18" s="113" t="s">
        <v>723</v>
      </c>
      <c r="K18" s="113" t="s">
        <v>763</v>
      </c>
      <c r="L18" s="113" t="s">
        <v>725</v>
      </c>
    </row>
    <row r="19" spans="2:21" x14ac:dyDescent="0.3">
      <c r="B19" s="113" t="s">
        <v>718</v>
      </c>
      <c r="C19" s="113" t="s">
        <v>752</v>
      </c>
      <c r="D19" s="113" t="s">
        <v>756</v>
      </c>
      <c r="E19" s="113" t="s">
        <v>369</v>
      </c>
      <c r="F19" s="113" t="s">
        <v>764</v>
      </c>
      <c r="G19" s="113" t="s">
        <v>765</v>
      </c>
      <c r="H19" s="113" t="s">
        <v>721</v>
      </c>
      <c r="I19" s="113" t="s">
        <v>722</v>
      </c>
      <c r="J19" s="113" t="s">
        <v>723</v>
      </c>
      <c r="K19" s="113" t="s">
        <v>766</v>
      </c>
      <c r="L19" s="113" t="s">
        <v>767</v>
      </c>
    </row>
    <row r="20" spans="2:21" x14ac:dyDescent="0.3">
      <c r="B20" s="113" t="s">
        <v>718</v>
      </c>
      <c r="C20" s="113" t="s">
        <v>752</v>
      </c>
      <c r="D20" s="113" t="s">
        <v>756</v>
      </c>
      <c r="E20" s="113" t="s">
        <v>369</v>
      </c>
      <c r="F20" s="113" t="s">
        <v>768</v>
      </c>
      <c r="G20" s="113" t="s">
        <v>769</v>
      </c>
      <c r="H20" s="113" t="s">
        <v>721</v>
      </c>
      <c r="I20" s="113" t="s">
        <v>722</v>
      </c>
      <c r="J20" s="113" t="s">
        <v>723</v>
      </c>
      <c r="K20" s="113" t="s">
        <v>770</v>
      </c>
      <c r="L20" s="113" t="s">
        <v>771</v>
      </c>
      <c r="R20" s="113"/>
      <c r="S20" s="113"/>
      <c r="T20" s="113"/>
      <c r="U20" s="113"/>
    </row>
    <row r="21" spans="2:21" x14ac:dyDescent="0.3">
      <c r="B21" s="113" t="s">
        <v>718</v>
      </c>
      <c r="C21" s="113" t="s">
        <v>752</v>
      </c>
      <c r="D21" s="113" t="s">
        <v>772</v>
      </c>
      <c r="E21" s="113" t="s">
        <v>369</v>
      </c>
      <c r="F21" s="113" t="s">
        <v>773</v>
      </c>
      <c r="G21" s="113" t="s">
        <v>774</v>
      </c>
      <c r="H21" s="113" t="s">
        <v>721</v>
      </c>
      <c r="I21" s="113" t="s">
        <v>722</v>
      </c>
      <c r="J21" s="113" t="s">
        <v>723</v>
      </c>
      <c r="K21" s="113" t="s">
        <v>775</v>
      </c>
      <c r="L21" s="113" t="s">
        <v>776</v>
      </c>
      <c r="R21" s="113"/>
      <c r="S21" s="113"/>
      <c r="T21" s="113"/>
      <c r="U21" s="113"/>
    </row>
    <row r="22" spans="2:21" x14ac:dyDescent="0.3">
      <c r="B22" s="113" t="s">
        <v>718</v>
      </c>
      <c r="C22" s="113" t="s">
        <v>752</v>
      </c>
      <c r="D22" s="113" t="s">
        <v>772</v>
      </c>
      <c r="E22" s="113" t="s">
        <v>369</v>
      </c>
      <c r="F22" s="113" t="s">
        <v>773</v>
      </c>
      <c r="G22" s="113" t="s">
        <v>777</v>
      </c>
      <c r="H22" s="113" t="s">
        <v>721</v>
      </c>
      <c r="I22" s="113" t="s">
        <v>722</v>
      </c>
      <c r="J22" s="113" t="s">
        <v>723</v>
      </c>
      <c r="K22" s="113" t="s">
        <v>778</v>
      </c>
      <c r="L22" s="113" t="s">
        <v>725</v>
      </c>
      <c r="R22" s="113"/>
      <c r="S22" s="113"/>
      <c r="T22" s="113"/>
      <c r="U22" s="113"/>
    </row>
    <row r="23" spans="2:21" x14ac:dyDescent="0.3">
      <c r="B23" s="113" t="s">
        <v>718</v>
      </c>
      <c r="C23" s="113" t="s">
        <v>752</v>
      </c>
      <c r="D23" s="113" t="s">
        <v>772</v>
      </c>
      <c r="E23" s="113" t="s">
        <v>369</v>
      </c>
      <c r="F23" s="113" t="s">
        <v>779</v>
      </c>
      <c r="G23" s="113" t="s">
        <v>780</v>
      </c>
      <c r="H23" s="113" t="s">
        <v>721</v>
      </c>
      <c r="I23" s="113" t="s">
        <v>722</v>
      </c>
      <c r="J23" s="113" t="s">
        <v>723</v>
      </c>
      <c r="K23" s="113" t="s">
        <v>781</v>
      </c>
      <c r="L23" s="113" t="s">
        <v>725</v>
      </c>
      <c r="R23" s="113"/>
      <c r="S23" s="113"/>
      <c r="T23" s="113"/>
      <c r="U23" s="113"/>
    </row>
    <row r="24" spans="2:21" x14ac:dyDescent="0.3">
      <c r="B24" s="113" t="s">
        <v>718</v>
      </c>
      <c r="C24" s="113" t="s">
        <v>752</v>
      </c>
      <c r="D24" s="113" t="s">
        <v>772</v>
      </c>
      <c r="E24" s="113" t="s">
        <v>369</v>
      </c>
      <c r="F24" s="113" t="s">
        <v>782</v>
      </c>
      <c r="G24" s="113" t="s">
        <v>783</v>
      </c>
      <c r="H24" s="113" t="s">
        <v>721</v>
      </c>
      <c r="I24" s="113" t="s">
        <v>722</v>
      </c>
      <c r="J24" s="113" t="s">
        <v>723</v>
      </c>
      <c r="K24" s="113" t="s">
        <v>784</v>
      </c>
      <c r="L24" s="113" t="s">
        <v>725</v>
      </c>
      <c r="R24" s="113"/>
      <c r="S24" s="113"/>
      <c r="T24" s="113"/>
      <c r="U24" s="113"/>
    </row>
    <row r="25" spans="2:21" x14ac:dyDescent="0.3">
      <c r="B25" s="113" t="s">
        <v>735</v>
      </c>
      <c r="D25" s="113" t="s">
        <v>785</v>
      </c>
      <c r="E25" s="113" t="s">
        <v>786</v>
      </c>
      <c r="F25" s="113" t="s">
        <v>787</v>
      </c>
      <c r="G25" s="113" t="s">
        <v>721</v>
      </c>
      <c r="H25" s="113" t="s">
        <v>721</v>
      </c>
      <c r="I25" s="113" t="s">
        <v>722</v>
      </c>
      <c r="J25" s="113" t="s">
        <v>723</v>
      </c>
      <c r="K25" s="113" t="s">
        <v>788</v>
      </c>
      <c r="L25" s="113" t="s">
        <v>725</v>
      </c>
      <c r="R25" s="113"/>
      <c r="S25" s="113"/>
      <c r="T25" s="113"/>
      <c r="U25" s="113"/>
    </row>
    <row r="26" spans="2:21" x14ac:dyDescent="0.3">
      <c r="B26" s="113" t="s">
        <v>735</v>
      </c>
      <c r="C26" s="113" t="s">
        <v>789</v>
      </c>
      <c r="D26" s="113" t="s">
        <v>785</v>
      </c>
      <c r="E26" s="113" t="s">
        <v>369</v>
      </c>
      <c r="F26" s="113" t="s">
        <v>790</v>
      </c>
      <c r="G26" s="113" t="s">
        <v>138</v>
      </c>
      <c r="H26" s="113" t="s">
        <v>791</v>
      </c>
      <c r="I26" s="113" t="s">
        <v>722</v>
      </c>
      <c r="J26" s="113" t="s">
        <v>723</v>
      </c>
      <c r="K26" s="113" t="s">
        <v>792</v>
      </c>
      <c r="L26" s="113" t="s">
        <v>725</v>
      </c>
      <c r="R26" s="113"/>
      <c r="S26" s="113"/>
      <c r="T26" s="113"/>
      <c r="U26" s="113"/>
    </row>
    <row r="27" spans="2:21" x14ac:dyDescent="0.3">
      <c r="B27" s="113" t="s">
        <v>735</v>
      </c>
      <c r="C27" s="113" t="s">
        <v>789</v>
      </c>
      <c r="D27" s="113" t="s">
        <v>785</v>
      </c>
      <c r="E27" s="113" t="s">
        <v>369</v>
      </c>
      <c r="F27" s="113" t="s">
        <v>793</v>
      </c>
      <c r="G27" s="113" t="s">
        <v>721</v>
      </c>
      <c r="H27" s="113" t="s">
        <v>721</v>
      </c>
      <c r="I27" s="113" t="s">
        <v>722</v>
      </c>
      <c r="J27" s="113" t="s">
        <v>723</v>
      </c>
      <c r="K27" s="113" t="s">
        <v>794</v>
      </c>
      <c r="L27" s="113" t="s">
        <v>795</v>
      </c>
      <c r="R27" s="113"/>
      <c r="S27" s="113"/>
      <c r="T27" s="113"/>
      <c r="U27" s="113"/>
    </row>
    <row r="28" spans="2:21" x14ac:dyDescent="0.3">
      <c r="B28" s="113" t="s">
        <v>735</v>
      </c>
      <c r="C28" s="113" t="s">
        <v>789</v>
      </c>
      <c r="D28" s="113" t="s">
        <v>785</v>
      </c>
      <c r="E28" s="113" t="s">
        <v>369</v>
      </c>
      <c r="F28" s="113" t="s">
        <v>796</v>
      </c>
      <c r="G28" s="113" t="s">
        <v>721</v>
      </c>
      <c r="H28" s="113" t="s">
        <v>721</v>
      </c>
      <c r="I28" s="113" t="s">
        <v>722</v>
      </c>
      <c r="J28" s="113" t="s">
        <v>723</v>
      </c>
      <c r="K28" s="113" t="s">
        <v>797</v>
      </c>
      <c r="L28" s="113" t="s">
        <v>795</v>
      </c>
      <c r="R28" s="113"/>
      <c r="S28" s="113"/>
      <c r="T28" s="113"/>
      <c r="U28" s="113"/>
    </row>
    <row r="29" spans="2:21" x14ac:dyDescent="0.3">
      <c r="B29" s="113" t="s">
        <v>735</v>
      </c>
      <c r="D29" s="113" t="s">
        <v>798</v>
      </c>
      <c r="E29" s="113" t="s">
        <v>738</v>
      </c>
      <c r="F29" s="113" t="s">
        <v>721</v>
      </c>
      <c r="G29" s="113" t="s">
        <v>721</v>
      </c>
      <c r="H29" s="113" t="s">
        <v>721</v>
      </c>
      <c r="I29" s="113" t="s">
        <v>722</v>
      </c>
      <c r="J29" s="113" t="s">
        <v>723</v>
      </c>
      <c r="K29" s="113" t="s">
        <v>799</v>
      </c>
      <c r="L29" s="113" t="s">
        <v>725</v>
      </c>
      <c r="R29" s="113"/>
      <c r="S29" s="113"/>
      <c r="T29" s="113"/>
      <c r="U29" s="113"/>
    </row>
    <row r="30" spans="2:21" x14ac:dyDescent="0.3">
      <c r="B30" s="113" t="s">
        <v>735</v>
      </c>
      <c r="D30" s="113" t="s">
        <v>798</v>
      </c>
      <c r="E30" s="113" t="s">
        <v>800</v>
      </c>
      <c r="F30" s="113" t="s">
        <v>801</v>
      </c>
      <c r="G30" s="113" t="s">
        <v>721</v>
      </c>
      <c r="H30" s="113" t="s">
        <v>721</v>
      </c>
      <c r="I30" s="113" t="s">
        <v>722</v>
      </c>
      <c r="J30" s="113" t="s">
        <v>723</v>
      </c>
      <c r="K30" s="113" t="s">
        <v>802</v>
      </c>
      <c r="L30" s="113" t="s">
        <v>725</v>
      </c>
      <c r="R30" s="113"/>
      <c r="S30" s="113"/>
      <c r="T30" s="113"/>
      <c r="U30" s="113"/>
    </row>
    <row r="31" spans="2:21" ht="23" x14ac:dyDescent="0.3">
      <c r="B31" s="113" t="s">
        <v>735</v>
      </c>
      <c r="C31" s="137" t="s">
        <v>803</v>
      </c>
      <c r="D31" s="113" t="s">
        <v>804</v>
      </c>
      <c r="E31" s="113" t="s">
        <v>374</v>
      </c>
      <c r="F31" s="113" t="s">
        <v>805</v>
      </c>
      <c r="G31" s="113" t="s">
        <v>806</v>
      </c>
      <c r="H31" s="113" t="s">
        <v>807</v>
      </c>
      <c r="I31" s="113" t="s">
        <v>722</v>
      </c>
      <c r="J31" s="113" t="s">
        <v>741</v>
      </c>
      <c r="K31" s="113" t="s">
        <v>808</v>
      </c>
      <c r="L31" s="113" t="s">
        <v>809</v>
      </c>
      <c r="R31" s="113"/>
      <c r="S31" s="113"/>
      <c r="T31" s="113"/>
      <c r="U31" s="113"/>
    </row>
    <row r="32" spans="2:21" ht="23" x14ac:dyDescent="0.3">
      <c r="B32" s="113" t="s">
        <v>735</v>
      </c>
      <c r="C32" s="137" t="s">
        <v>803</v>
      </c>
      <c r="D32" s="113" t="s">
        <v>804</v>
      </c>
      <c r="E32" s="113" t="s">
        <v>374</v>
      </c>
      <c r="F32" s="113" t="s">
        <v>805</v>
      </c>
      <c r="G32" s="113" t="s">
        <v>810</v>
      </c>
      <c r="H32" s="113" t="s">
        <v>811</v>
      </c>
      <c r="I32" s="113" t="s">
        <v>722</v>
      </c>
      <c r="J32" s="113" t="s">
        <v>741</v>
      </c>
      <c r="K32" s="113" t="s">
        <v>812</v>
      </c>
      <c r="L32" s="113" t="s">
        <v>809</v>
      </c>
      <c r="R32" s="113"/>
      <c r="S32" s="113"/>
      <c r="T32" s="113"/>
      <c r="U32" s="113"/>
    </row>
    <row r="33" spans="2:21" ht="23" x14ac:dyDescent="0.3">
      <c r="B33" s="113" t="s">
        <v>735</v>
      </c>
      <c r="C33" s="137" t="s">
        <v>803</v>
      </c>
      <c r="D33" s="113" t="s">
        <v>804</v>
      </c>
      <c r="E33" s="113" t="s">
        <v>374</v>
      </c>
      <c r="F33" s="113" t="s">
        <v>805</v>
      </c>
      <c r="G33" s="113" t="s">
        <v>813</v>
      </c>
      <c r="H33" s="113" t="s">
        <v>814</v>
      </c>
      <c r="I33" s="113" t="s">
        <v>722</v>
      </c>
      <c r="J33" s="113" t="s">
        <v>741</v>
      </c>
      <c r="K33" s="113" t="s">
        <v>815</v>
      </c>
      <c r="L33" s="113" t="s">
        <v>816</v>
      </c>
      <c r="R33" s="113"/>
      <c r="S33" s="113"/>
      <c r="T33" s="113"/>
      <c r="U33" s="113"/>
    </row>
    <row r="34" spans="2:21" ht="23" x14ac:dyDescent="0.3">
      <c r="B34" s="113" t="s">
        <v>735</v>
      </c>
      <c r="C34" s="137" t="s">
        <v>803</v>
      </c>
      <c r="D34" s="113" t="s">
        <v>817</v>
      </c>
      <c r="E34" s="113" t="s">
        <v>374</v>
      </c>
      <c r="F34" s="113" t="s">
        <v>818</v>
      </c>
      <c r="G34" s="113" t="s">
        <v>819</v>
      </c>
      <c r="H34" s="113" t="s">
        <v>721</v>
      </c>
      <c r="I34" s="113" t="s">
        <v>722</v>
      </c>
      <c r="J34" s="113" t="s">
        <v>741</v>
      </c>
      <c r="K34" s="113" t="s">
        <v>820</v>
      </c>
      <c r="L34" s="113" t="s">
        <v>725</v>
      </c>
      <c r="R34" s="113"/>
      <c r="S34" s="113"/>
      <c r="T34" s="113"/>
      <c r="U34" s="113"/>
    </row>
    <row r="35" spans="2:21" ht="23" x14ac:dyDescent="0.3">
      <c r="B35" s="113" t="s">
        <v>735</v>
      </c>
      <c r="C35" s="137" t="s">
        <v>803</v>
      </c>
      <c r="D35" s="113" t="s">
        <v>817</v>
      </c>
      <c r="E35" s="113" t="s">
        <v>374</v>
      </c>
      <c r="F35" s="113" t="s">
        <v>821</v>
      </c>
      <c r="G35" s="113" t="s">
        <v>721</v>
      </c>
      <c r="H35" s="113" t="s">
        <v>721</v>
      </c>
      <c r="I35" s="113" t="s">
        <v>722</v>
      </c>
      <c r="J35" s="113" t="s">
        <v>741</v>
      </c>
      <c r="K35" s="113" t="s">
        <v>822</v>
      </c>
      <c r="L35" s="113" t="s">
        <v>823</v>
      </c>
      <c r="R35" s="113"/>
      <c r="S35" s="113"/>
      <c r="T35" s="113"/>
      <c r="U35" s="113"/>
    </row>
    <row r="36" spans="2:21" ht="23" x14ac:dyDescent="0.3">
      <c r="B36" s="113" t="s">
        <v>735</v>
      </c>
      <c r="C36" s="137" t="s">
        <v>803</v>
      </c>
      <c r="D36" s="113" t="s">
        <v>817</v>
      </c>
      <c r="E36" s="113" t="s">
        <v>374</v>
      </c>
      <c r="F36" s="113" t="s">
        <v>824</v>
      </c>
      <c r="G36" s="113" t="s">
        <v>721</v>
      </c>
      <c r="H36" s="113" t="s">
        <v>721</v>
      </c>
      <c r="I36" s="113" t="s">
        <v>722</v>
      </c>
      <c r="J36" s="113" t="s">
        <v>741</v>
      </c>
      <c r="K36" s="113" t="s">
        <v>825</v>
      </c>
      <c r="L36" s="113" t="s">
        <v>823</v>
      </c>
      <c r="R36" s="113"/>
      <c r="S36" s="113"/>
      <c r="T36" s="113"/>
      <c r="U36" s="113"/>
    </row>
    <row r="37" spans="2:21" ht="23" x14ac:dyDescent="0.3">
      <c r="B37" s="113" t="s">
        <v>735</v>
      </c>
      <c r="C37" s="137" t="s">
        <v>803</v>
      </c>
      <c r="D37" s="113" t="s">
        <v>817</v>
      </c>
      <c r="E37" s="113" t="s">
        <v>374</v>
      </c>
      <c r="F37" s="113" t="s">
        <v>826</v>
      </c>
      <c r="G37" s="113" t="s">
        <v>793</v>
      </c>
      <c r="H37" s="113" t="s">
        <v>721</v>
      </c>
      <c r="I37" s="113" t="s">
        <v>722</v>
      </c>
      <c r="J37" s="113" t="s">
        <v>741</v>
      </c>
      <c r="K37" s="113" t="s">
        <v>827</v>
      </c>
      <c r="L37" s="113" t="s">
        <v>725</v>
      </c>
      <c r="R37" s="113"/>
      <c r="S37" s="113"/>
      <c r="T37" s="113"/>
      <c r="U37" s="113"/>
    </row>
    <row r="38" spans="2:21" ht="23" x14ac:dyDescent="0.3">
      <c r="B38" s="113" t="s">
        <v>735</v>
      </c>
      <c r="C38" s="137" t="s">
        <v>803</v>
      </c>
      <c r="D38" s="113" t="s">
        <v>828</v>
      </c>
      <c r="E38" s="113" t="s">
        <v>738</v>
      </c>
      <c r="F38" s="113" t="s">
        <v>721</v>
      </c>
      <c r="G38" s="113" t="s">
        <v>721</v>
      </c>
      <c r="H38" s="113" t="s">
        <v>721</v>
      </c>
      <c r="I38" s="113" t="s">
        <v>722</v>
      </c>
      <c r="J38" s="113" t="s">
        <v>741</v>
      </c>
      <c r="K38" s="113" t="s">
        <v>829</v>
      </c>
      <c r="L38" s="113" t="s">
        <v>725</v>
      </c>
      <c r="R38" s="113"/>
      <c r="S38" s="113"/>
      <c r="T38" s="113"/>
      <c r="U38" s="113"/>
    </row>
    <row r="39" spans="2:21" ht="23" x14ac:dyDescent="0.3">
      <c r="B39" s="113" t="s">
        <v>735</v>
      </c>
      <c r="C39" s="137" t="s">
        <v>803</v>
      </c>
      <c r="D39" s="113" t="s">
        <v>828</v>
      </c>
      <c r="E39" s="113" t="s">
        <v>738</v>
      </c>
      <c r="F39" s="113" t="s">
        <v>721</v>
      </c>
      <c r="G39" s="113" t="s">
        <v>721</v>
      </c>
      <c r="H39" s="113" t="s">
        <v>721</v>
      </c>
      <c r="I39" s="113" t="s">
        <v>722</v>
      </c>
      <c r="J39" s="113" t="s">
        <v>741</v>
      </c>
      <c r="K39" s="113" t="s">
        <v>830</v>
      </c>
      <c r="L39" s="113" t="s">
        <v>725</v>
      </c>
      <c r="R39" s="113"/>
      <c r="S39" s="113"/>
      <c r="T39" s="113"/>
      <c r="U39" s="113"/>
    </row>
    <row r="40" spans="2:21" ht="23" x14ac:dyDescent="0.3">
      <c r="B40" s="113" t="s">
        <v>735</v>
      </c>
      <c r="C40" s="137" t="s">
        <v>803</v>
      </c>
      <c r="D40" s="113" t="s">
        <v>828</v>
      </c>
      <c r="E40" s="113" t="s">
        <v>401</v>
      </c>
      <c r="F40" s="113" t="s">
        <v>831</v>
      </c>
      <c r="G40" s="113" t="s">
        <v>721</v>
      </c>
      <c r="H40" s="113" t="s">
        <v>721</v>
      </c>
      <c r="I40" s="113" t="s">
        <v>722</v>
      </c>
      <c r="J40" s="113" t="s">
        <v>741</v>
      </c>
      <c r="K40" s="113" t="s">
        <v>832</v>
      </c>
      <c r="L40" s="113" t="s">
        <v>833</v>
      </c>
      <c r="R40" s="113"/>
      <c r="S40" s="113"/>
      <c r="T40" s="113"/>
      <c r="U40" s="113"/>
    </row>
    <row r="41" spans="2:21" x14ac:dyDescent="0.3">
      <c r="B41" s="113" t="s">
        <v>718</v>
      </c>
      <c r="C41" s="113" t="s">
        <v>300</v>
      </c>
      <c r="E41" s="113" t="s">
        <v>834</v>
      </c>
      <c r="F41" s="113" t="s">
        <v>721</v>
      </c>
      <c r="G41" s="113" t="s">
        <v>721</v>
      </c>
      <c r="H41" s="113" t="s">
        <v>721</v>
      </c>
      <c r="I41" s="113" t="s">
        <v>722</v>
      </c>
      <c r="J41" s="113" t="s">
        <v>835</v>
      </c>
      <c r="K41" s="113" t="s">
        <v>836</v>
      </c>
      <c r="L41" s="113" t="s">
        <v>837</v>
      </c>
      <c r="R41" s="113"/>
      <c r="S41" s="113"/>
      <c r="T41" s="113"/>
      <c r="U41" s="113"/>
    </row>
    <row r="42" spans="2:21" x14ac:dyDescent="0.3">
      <c r="B42" s="113" t="s">
        <v>718</v>
      </c>
      <c r="C42" s="113" t="s">
        <v>300</v>
      </c>
      <c r="E42" s="113" t="s">
        <v>834</v>
      </c>
      <c r="F42" s="113" t="s">
        <v>721</v>
      </c>
      <c r="G42" s="113" t="s">
        <v>721</v>
      </c>
      <c r="H42" s="113" t="s">
        <v>721</v>
      </c>
      <c r="I42" s="113" t="s">
        <v>728</v>
      </c>
      <c r="J42" s="113" t="s">
        <v>728</v>
      </c>
      <c r="K42" s="113" t="s">
        <v>838</v>
      </c>
      <c r="L42" s="113" t="s">
        <v>839</v>
      </c>
      <c r="R42" s="113"/>
      <c r="S42" s="113"/>
      <c r="T42" s="113"/>
      <c r="U42" s="113"/>
    </row>
    <row r="43" spans="2:21" x14ac:dyDescent="0.3">
      <c r="B43" s="113" t="s">
        <v>718</v>
      </c>
      <c r="C43" s="113" t="s">
        <v>300</v>
      </c>
      <c r="E43" s="113" t="s">
        <v>720</v>
      </c>
      <c r="F43" s="113" t="s">
        <v>721</v>
      </c>
      <c r="G43" s="113" t="s">
        <v>721</v>
      </c>
      <c r="H43" s="113" t="s">
        <v>721</v>
      </c>
      <c r="I43" s="113" t="s">
        <v>722</v>
      </c>
      <c r="J43" s="113" t="s">
        <v>835</v>
      </c>
      <c r="K43" s="113" t="s">
        <v>840</v>
      </c>
      <c r="L43" s="113" t="s">
        <v>839</v>
      </c>
      <c r="R43" s="113"/>
      <c r="S43" s="113"/>
      <c r="T43" s="113"/>
      <c r="U43" s="113"/>
    </row>
    <row r="44" spans="2:21" x14ac:dyDescent="0.3">
      <c r="B44" s="113" t="s">
        <v>718</v>
      </c>
      <c r="C44" s="113" t="s">
        <v>300</v>
      </c>
      <c r="E44" s="113" t="s">
        <v>731</v>
      </c>
      <c r="F44" s="113" t="s">
        <v>721</v>
      </c>
      <c r="G44" s="113" t="s">
        <v>721</v>
      </c>
      <c r="H44" s="113" t="s">
        <v>721</v>
      </c>
      <c r="I44" s="113" t="s">
        <v>722</v>
      </c>
      <c r="J44" s="113" t="s">
        <v>835</v>
      </c>
      <c r="K44" s="113" t="s">
        <v>841</v>
      </c>
      <c r="L44" s="113" t="s">
        <v>725</v>
      </c>
      <c r="R44" s="113"/>
      <c r="S44" s="113"/>
      <c r="T44" s="113"/>
      <c r="U44" s="113"/>
    </row>
    <row r="45" spans="2:21" x14ac:dyDescent="0.3">
      <c r="B45" s="113" t="s">
        <v>138</v>
      </c>
      <c r="C45" s="113" t="s">
        <v>842</v>
      </c>
      <c r="D45" s="113" t="s">
        <v>843</v>
      </c>
      <c r="E45" s="113" t="s">
        <v>380</v>
      </c>
      <c r="F45" s="113" t="s">
        <v>844</v>
      </c>
      <c r="G45" s="113" t="s">
        <v>721</v>
      </c>
      <c r="H45" s="113" t="s">
        <v>721</v>
      </c>
      <c r="I45" s="113" t="s">
        <v>722</v>
      </c>
      <c r="J45" s="113" t="s">
        <v>835</v>
      </c>
      <c r="K45" s="113" t="s">
        <v>845</v>
      </c>
      <c r="L45" s="113" t="s">
        <v>846</v>
      </c>
      <c r="R45" s="113"/>
      <c r="S45" s="113"/>
      <c r="T45" s="113"/>
      <c r="U45" s="113"/>
    </row>
    <row r="46" spans="2:21" x14ac:dyDescent="0.3">
      <c r="B46" s="113" t="s">
        <v>138</v>
      </c>
      <c r="C46" s="113" t="s">
        <v>842</v>
      </c>
      <c r="D46" s="113" t="s">
        <v>843</v>
      </c>
      <c r="E46" s="113" t="s">
        <v>380</v>
      </c>
      <c r="F46" s="113" t="s">
        <v>790</v>
      </c>
      <c r="G46" s="113" t="s">
        <v>735</v>
      </c>
      <c r="H46" s="113" t="s">
        <v>721</v>
      </c>
      <c r="I46" s="113" t="s">
        <v>722</v>
      </c>
      <c r="J46" s="113" t="s">
        <v>835</v>
      </c>
      <c r="K46" s="113" t="s">
        <v>847</v>
      </c>
      <c r="L46" s="113" t="s">
        <v>848</v>
      </c>
      <c r="R46" s="113"/>
      <c r="S46" s="113"/>
      <c r="T46" s="113"/>
      <c r="U46" s="113"/>
    </row>
    <row r="47" spans="2:21" x14ac:dyDescent="0.3">
      <c r="B47" s="113" t="s">
        <v>138</v>
      </c>
      <c r="C47" s="113" t="s">
        <v>842</v>
      </c>
      <c r="D47" s="113" t="s">
        <v>843</v>
      </c>
      <c r="E47" s="113" t="s">
        <v>380</v>
      </c>
      <c r="F47" s="113" t="s">
        <v>849</v>
      </c>
      <c r="G47" s="113" t="s">
        <v>721</v>
      </c>
      <c r="H47" s="113" t="s">
        <v>721</v>
      </c>
      <c r="I47" s="113" t="s">
        <v>722</v>
      </c>
      <c r="J47" s="113" t="s">
        <v>835</v>
      </c>
      <c r="K47" s="113" t="s">
        <v>850</v>
      </c>
      <c r="L47" s="113" t="s">
        <v>725</v>
      </c>
      <c r="R47" s="113"/>
      <c r="S47" s="113"/>
      <c r="T47" s="113"/>
      <c r="U47" s="113"/>
    </row>
    <row r="48" spans="2:21" x14ac:dyDescent="0.3">
      <c r="B48" s="113" t="s">
        <v>138</v>
      </c>
      <c r="C48" s="113" t="s">
        <v>842</v>
      </c>
      <c r="D48" s="113" t="s">
        <v>843</v>
      </c>
      <c r="E48" s="113" t="s">
        <v>800</v>
      </c>
      <c r="F48" s="113" t="s">
        <v>801</v>
      </c>
      <c r="G48" s="113" t="s">
        <v>721</v>
      </c>
      <c r="H48" s="113" t="s">
        <v>721</v>
      </c>
      <c r="I48" s="113" t="s">
        <v>722</v>
      </c>
      <c r="J48" s="113" t="s">
        <v>835</v>
      </c>
      <c r="K48" s="113" t="s">
        <v>851</v>
      </c>
      <c r="L48" s="113" t="s">
        <v>852</v>
      </c>
      <c r="R48" s="113"/>
      <c r="S48" s="113"/>
      <c r="T48" s="113"/>
      <c r="U48" s="113"/>
    </row>
    <row r="49" spans="2:21" x14ac:dyDescent="0.3">
      <c r="B49" s="113" t="s">
        <v>718</v>
      </c>
      <c r="C49" s="113" t="s">
        <v>300</v>
      </c>
      <c r="D49" s="113" t="s">
        <v>853</v>
      </c>
      <c r="E49" s="113" t="s">
        <v>380</v>
      </c>
      <c r="F49" s="113" t="s">
        <v>854</v>
      </c>
      <c r="G49" s="113" t="s">
        <v>721</v>
      </c>
      <c r="H49" s="113" t="s">
        <v>721</v>
      </c>
      <c r="I49" s="113" t="s">
        <v>722</v>
      </c>
      <c r="J49" s="113" t="s">
        <v>835</v>
      </c>
      <c r="K49" s="113" t="s">
        <v>855</v>
      </c>
      <c r="L49" s="113" t="s">
        <v>846</v>
      </c>
      <c r="R49" s="113"/>
      <c r="S49" s="113"/>
      <c r="T49" s="113"/>
      <c r="U49" s="113"/>
    </row>
    <row r="50" spans="2:21" x14ac:dyDescent="0.3">
      <c r="B50" s="113" t="s">
        <v>718</v>
      </c>
      <c r="C50" s="113" t="s">
        <v>300</v>
      </c>
      <c r="D50" s="113" t="s">
        <v>853</v>
      </c>
      <c r="E50" s="113" t="s">
        <v>380</v>
      </c>
      <c r="F50" s="113" t="s">
        <v>796</v>
      </c>
      <c r="G50" s="113" t="s">
        <v>721</v>
      </c>
      <c r="H50" s="113" t="s">
        <v>721</v>
      </c>
      <c r="I50" s="113" t="s">
        <v>722</v>
      </c>
      <c r="J50" s="113" t="s">
        <v>835</v>
      </c>
      <c r="K50" s="113" t="s">
        <v>856</v>
      </c>
      <c r="L50" s="113" t="s">
        <v>725</v>
      </c>
      <c r="R50" s="113"/>
      <c r="S50" s="113"/>
      <c r="T50" s="113"/>
      <c r="U50" s="113"/>
    </row>
    <row r="51" spans="2:21" x14ac:dyDescent="0.3">
      <c r="B51" s="113" t="s">
        <v>718</v>
      </c>
      <c r="C51" s="113" t="s">
        <v>300</v>
      </c>
      <c r="D51" s="113" t="s">
        <v>853</v>
      </c>
      <c r="E51" s="113" t="s">
        <v>380</v>
      </c>
      <c r="F51" s="113" t="s">
        <v>857</v>
      </c>
      <c r="G51" s="113" t="s">
        <v>858</v>
      </c>
      <c r="H51" s="113" t="s">
        <v>721</v>
      </c>
      <c r="I51" s="113" t="s">
        <v>722</v>
      </c>
      <c r="J51" s="113" t="s">
        <v>835</v>
      </c>
      <c r="K51" s="113" t="s">
        <v>859</v>
      </c>
      <c r="L51" s="113" t="s">
        <v>860</v>
      </c>
      <c r="R51" s="113"/>
      <c r="S51" s="113"/>
      <c r="T51" s="113"/>
      <c r="U51" s="113"/>
    </row>
    <row r="52" spans="2:21" x14ac:dyDescent="0.3">
      <c r="B52" s="113" t="s">
        <v>718</v>
      </c>
      <c r="C52" s="113" t="s">
        <v>300</v>
      </c>
      <c r="D52" s="113" t="s">
        <v>853</v>
      </c>
      <c r="E52" s="113" t="s">
        <v>721</v>
      </c>
      <c r="F52" s="113" t="s">
        <v>721</v>
      </c>
      <c r="G52" s="113" t="s">
        <v>721</v>
      </c>
      <c r="H52" s="113" t="s">
        <v>721</v>
      </c>
      <c r="I52" s="113" t="s">
        <v>721</v>
      </c>
      <c r="J52" s="113" t="s">
        <v>721</v>
      </c>
      <c r="K52" s="113" t="s">
        <v>861</v>
      </c>
      <c r="L52" s="113" t="s">
        <v>862</v>
      </c>
      <c r="R52" s="113"/>
      <c r="S52" s="113"/>
      <c r="T52" s="113"/>
      <c r="U52" s="113"/>
    </row>
    <row r="53" spans="2:21" x14ac:dyDescent="0.3">
      <c r="B53" s="113" t="s">
        <v>735</v>
      </c>
      <c r="C53" s="113" t="s">
        <v>863</v>
      </c>
    </row>
    <row r="54" spans="2:21" x14ac:dyDescent="0.3">
      <c r="B54" s="113" t="s">
        <v>718</v>
      </c>
      <c r="C54" s="113" t="s">
        <v>864</v>
      </c>
    </row>
    <row r="55" spans="2:21" x14ac:dyDescent="0.3">
      <c r="B55" s="113" t="s">
        <v>718</v>
      </c>
      <c r="C55" s="113" t="s">
        <v>865</v>
      </c>
    </row>
    <row r="56" spans="2:21" x14ac:dyDescent="0.3">
      <c r="B56" s="113" t="s">
        <v>718</v>
      </c>
      <c r="C56" s="113" t="s">
        <v>866</v>
      </c>
      <c r="E56" s="113" t="s">
        <v>374</v>
      </c>
    </row>
    <row r="57" spans="2:21" x14ac:dyDescent="0.3">
      <c r="B57" s="113" t="s">
        <v>138</v>
      </c>
      <c r="C57" s="113" t="s">
        <v>867</v>
      </c>
      <c r="D57" s="113" t="s">
        <v>868</v>
      </c>
    </row>
    <row r="58" spans="2:21" x14ac:dyDescent="0.3">
      <c r="B58" s="113" t="s">
        <v>138</v>
      </c>
      <c r="C58" s="113" t="s">
        <v>869</v>
      </c>
    </row>
    <row r="59" spans="2:21" x14ac:dyDescent="0.3">
      <c r="B59" s="113" t="s">
        <v>138</v>
      </c>
      <c r="C59" s="113" t="s">
        <v>870</v>
      </c>
    </row>
    <row r="60" spans="2:21" x14ac:dyDescent="0.3">
      <c r="B60" s="113" t="s">
        <v>138</v>
      </c>
      <c r="C60" s="113" t="s">
        <v>871</v>
      </c>
      <c r="D60" s="113" t="s">
        <v>872</v>
      </c>
    </row>
    <row r="61" spans="2:21" x14ac:dyDescent="0.3">
      <c r="B61" s="113" t="s">
        <v>138</v>
      </c>
      <c r="C61" s="113" t="s">
        <v>873</v>
      </c>
      <c r="D61" s="113" t="s">
        <v>872</v>
      </c>
    </row>
    <row r="62" spans="2:21" x14ac:dyDescent="0.3">
      <c r="B62" s="113" t="s">
        <v>138</v>
      </c>
      <c r="C62" s="113" t="s">
        <v>874</v>
      </c>
      <c r="D62" s="113" t="s">
        <v>872</v>
      </c>
    </row>
    <row r="63" spans="2:21" x14ac:dyDescent="0.3">
      <c r="B63" s="113" t="s">
        <v>138</v>
      </c>
      <c r="C63" s="113" t="s">
        <v>875</v>
      </c>
      <c r="D63" s="113" t="s">
        <v>872</v>
      </c>
    </row>
    <row r="64" spans="2:21" x14ac:dyDescent="0.3">
      <c r="B64" s="113" t="s">
        <v>138</v>
      </c>
      <c r="C64" s="113" t="s">
        <v>876</v>
      </c>
      <c r="D64" s="113" t="s">
        <v>877</v>
      </c>
    </row>
    <row r="65" spans="2:4" x14ac:dyDescent="0.3">
      <c r="B65" s="113" t="s">
        <v>138</v>
      </c>
      <c r="C65" s="113" t="s">
        <v>878</v>
      </c>
      <c r="D65" s="113" t="s">
        <v>872</v>
      </c>
    </row>
    <row r="66" spans="2:4" x14ac:dyDescent="0.3">
      <c r="B66" s="113" t="s">
        <v>138</v>
      </c>
      <c r="C66" s="113" t="s">
        <v>879</v>
      </c>
      <c r="D66" s="113" t="s">
        <v>755</v>
      </c>
    </row>
    <row r="67" spans="2:4" x14ac:dyDescent="0.3">
      <c r="B67" s="113" t="s">
        <v>138</v>
      </c>
      <c r="C67" s="113" t="s">
        <v>880</v>
      </c>
      <c r="D67" s="113" t="s">
        <v>881</v>
      </c>
    </row>
    <row r="68" spans="2:4" x14ac:dyDescent="0.3">
      <c r="B68" s="113" t="s">
        <v>138</v>
      </c>
      <c r="C68" s="113" t="s">
        <v>882</v>
      </c>
    </row>
    <row r="69" spans="2:4" x14ac:dyDescent="0.3">
      <c r="B69" s="113" t="s">
        <v>138</v>
      </c>
      <c r="C69" s="113" t="s">
        <v>883</v>
      </c>
    </row>
    <row r="70" spans="2:4" x14ac:dyDescent="0.3">
      <c r="B70" s="113" t="s">
        <v>138</v>
      </c>
      <c r="C70" s="113" t="s">
        <v>884</v>
      </c>
    </row>
    <row r="71" spans="2:4" x14ac:dyDescent="0.3">
      <c r="B71" s="113" t="s">
        <v>138</v>
      </c>
      <c r="C71" s="113" t="s">
        <v>885</v>
      </c>
    </row>
    <row r="72" spans="2:4" x14ac:dyDescent="0.3">
      <c r="B72" s="113" t="s">
        <v>138</v>
      </c>
      <c r="C72" s="113" t="s">
        <v>886</v>
      </c>
    </row>
    <row r="73" spans="2:4" x14ac:dyDescent="0.3">
      <c r="B73" s="113" t="s">
        <v>138</v>
      </c>
      <c r="C73" s="113" t="s">
        <v>887</v>
      </c>
    </row>
    <row r="74" spans="2:4" x14ac:dyDescent="0.3">
      <c r="B74" s="113" t="s">
        <v>138</v>
      </c>
      <c r="C74" s="113" t="s">
        <v>888</v>
      </c>
      <c r="D74" s="113" t="s">
        <v>872</v>
      </c>
    </row>
    <row r="75" spans="2:4" x14ac:dyDescent="0.3">
      <c r="B75" s="113" t="s">
        <v>138</v>
      </c>
      <c r="C75" s="113" t="s">
        <v>889</v>
      </c>
    </row>
    <row r="76" spans="2:4" x14ac:dyDescent="0.3">
      <c r="B76" s="113" t="s">
        <v>138</v>
      </c>
      <c r="C76" s="113" t="s">
        <v>890</v>
      </c>
    </row>
    <row r="77" spans="2:4" x14ac:dyDescent="0.3">
      <c r="B77" s="113" t="s">
        <v>138</v>
      </c>
      <c r="C77" s="113" t="s">
        <v>891</v>
      </c>
      <c r="D77" s="113" t="s">
        <v>892</v>
      </c>
    </row>
    <row r="78" spans="2:4" x14ac:dyDescent="0.3">
      <c r="B78" s="113" t="s">
        <v>138</v>
      </c>
      <c r="C78" s="113" t="s">
        <v>893</v>
      </c>
      <c r="D78" s="113" t="s">
        <v>872</v>
      </c>
    </row>
    <row r="79" spans="2:4" x14ac:dyDescent="0.3">
      <c r="B79" s="113" t="s">
        <v>138</v>
      </c>
      <c r="C79" s="113" t="s">
        <v>894</v>
      </c>
      <c r="D79" s="113" t="s">
        <v>895</v>
      </c>
    </row>
    <row r="80" spans="2:4" x14ac:dyDescent="0.3">
      <c r="B80" s="113" t="s">
        <v>138</v>
      </c>
      <c r="C80" s="113" t="s">
        <v>896</v>
      </c>
      <c r="D80" s="113" t="s">
        <v>897</v>
      </c>
    </row>
    <row r="81" spans="2:4" ht="23" x14ac:dyDescent="0.3">
      <c r="B81" s="113" t="s">
        <v>138</v>
      </c>
      <c r="C81" s="137" t="s">
        <v>898</v>
      </c>
      <c r="D81" s="137" t="s">
        <v>753</v>
      </c>
    </row>
    <row r="82" spans="2:4" x14ac:dyDescent="0.3">
      <c r="B82" s="113" t="s">
        <v>138</v>
      </c>
      <c r="C82" s="113" t="s">
        <v>899</v>
      </c>
      <c r="D82" s="113" t="s">
        <v>753</v>
      </c>
    </row>
    <row r="83" spans="2:4" x14ac:dyDescent="0.3">
      <c r="B83" s="113" t="s">
        <v>138</v>
      </c>
      <c r="C83" s="113" t="s">
        <v>900</v>
      </c>
    </row>
    <row r="84" spans="2:4" x14ac:dyDescent="0.3">
      <c r="B84" s="113" t="s">
        <v>138</v>
      </c>
    </row>
    <row r="85" spans="2:4" x14ac:dyDescent="0.3">
      <c r="B85" s="113" t="s">
        <v>138</v>
      </c>
      <c r="C85" s="113" t="s">
        <v>901</v>
      </c>
      <c r="D85" s="113" t="s">
        <v>902</v>
      </c>
    </row>
    <row r="86" spans="2:4" x14ac:dyDescent="0.3">
      <c r="B86" s="113" t="s">
        <v>138</v>
      </c>
      <c r="C86" s="113" t="s">
        <v>903</v>
      </c>
      <c r="D86" s="113" t="s">
        <v>755</v>
      </c>
    </row>
    <row r="87" spans="2:4" x14ac:dyDescent="0.3">
      <c r="B87" s="113" t="s">
        <v>138</v>
      </c>
      <c r="C87" s="113" t="s">
        <v>842</v>
      </c>
      <c r="D87" s="113" t="s">
        <v>300</v>
      </c>
    </row>
    <row r="88" spans="2:4" x14ac:dyDescent="0.3">
      <c r="B88" s="113" t="s">
        <v>138</v>
      </c>
      <c r="C88" s="113" t="s">
        <v>904</v>
      </c>
      <c r="D88" s="113" t="s">
        <v>753</v>
      </c>
    </row>
    <row r="89" spans="2:4" ht="23" x14ac:dyDescent="0.3">
      <c r="B89" s="113" t="s">
        <v>138</v>
      </c>
      <c r="C89" s="137" t="s">
        <v>905</v>
      </c>
    </row>
    <row r="90" spans="2:4" ht="23" x14ac:dyDescent="0.3">
      <c r="B90" s="113" t="s">
        <v>138</v>
      </c>
      <c r="C90" s="137" t="s">
        <v>906</v>
      </c>
    </row>
    <row r="91" spans="2:4" ht="23" x14ac:dyDescent="0.3">
      <c r="B91" s="113" t="s">
        <v>138</v>
      </c>
      <c r="C91" s="137" t="s">
        <v>907</v>
      </c>
    </row>
    <row r="92" spans="2:4" ht="23" x14ac:dyDescent="0.3">
      <c r="B92" s="113" t="s">
        <v>138</v>
      </c>
      <c r="C92" s="137" t="s">
        <v>908</v>
      </c>
    </row>
    <row r="93" spans="2:4" ht="23" x14ac:dyDescent="0.3">
      <c r="B93" s="113" t="s">
        <v>138</v>
      </c>
      <c r="C93" s="137" t="s">
        <v>909</v>
      </c>
    </row>
    <row r="94" spans="2:4" ht="23" x14ac:dyDescent="0.3">
      <c r="B94" s="113" t="s">
        <v>138</v>
      </c>
      <c r="C94" s="137" t="s">
        <v>910</v>
      </c>
    </row>
    <row r="95" spans="2:4" ht="23" x14ac:dyDescent="0.3">
      <c r="B95" s="113" t="s">
        <v>138</v>
      </c>
      <c r="C95" s="137" t="s">
        <v>898</v>
      </c>
    </row>
    <row r="96" spans="2:4" ht="23" x14ac:dyDescent="0.3">
      <c r="B96" s="113" t="s">
        <v>138</v>
      </c>
      <c r="C96" s="137" t="s">
        <v>899</v>
      </c>
    </row>
    <row r="97" spans="2:3" ht="23" x14ac:dyDescent="0.3">
      <c r="B97" s="113" t="s">
        <v>718</v>
      </c>
      <c r="C97" s="137" t="s">
        <v>911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AA5B1"/>
  </sheetPr>
  <dimension ref="A1:BA151"/>
  <sheetViews>
    <sheetView workbookViewId="0">
      <pane xSplit="1" ySplit="1" topLeftCell="B2" activePane="bottomRight" state="frozen"/>
      <selection pane="topRight"/>
      <selection pane="bottomLeft"/>
      <selection pane="bottomRight"/>
    </sheetView>
  </sheetViews>
  <sheetFormatPr baseColWidth="10" defaultColWidth="8.83203125" defaultRowHeight="16" x14ac:dyDescent="0.2"/>
  <cols>
    <col min="1" max="1" width="9" customWidth="1"/>
    <col min="2" max="2" width="42" customWidth="1"/>
    <col min="3" max="3" width="14" customWidth="1"/>
    <col min="4" max="4" width="34" customWidth="1"/>
    <col min="5" max="5" width="14" customWidth="1"/>
    <col min="6" max="6" width="24" customWidth="1"/>
    <col min="7" max="8" width="12" customWidth="1"/>
    <col min="9" max="10" width="11" customWidth="1"/>
    <col min="11" max="11" width="14" customWidth="1"/>
    <col min="12" max="13" width="7" customWidth="1"/>
    <col min="14" max="14" width="12" customWidth="1"/>
    <col min="15" max="15" width="7" customWidth="1"/>
    <col min="16" max="19" width="11" customWidth="1"/>
    <col min="20" max="21" width="9" customWidth="1"/>
    <col min="22" max="22" width="8" customWidth="1"/>
    <col min="23" max="23" width="9" customWidth="1"/>
    <col min="24" max="24" width="34" customWidth="1"/>
    <col min="25" max="25" width="42" customWidth="1"/>
    <col min="52" max="52" width="34" customWidth="1"/>
    <col min="53" max="53" width="60" customWidth="1"/>
  </cols>
  <sheetData>
    <row r="1" spans="1:53" ht="28" customHeight="1" x14ac:dyDescent="0.2">
      <c r="A1" s="149" t="s">
        <v>912</v>
      </c>
      <c r="B1" s="149" t="s">
        <v>136</v>
      </c>
      <c r="C1" s="149" t="s">
        <v>133</v>
      </c>
      <c r="D1" s="149" t="s">
        <v>62</v>
      </c>
      <c r="E1" s="149" t="s">
        <v>26</v>
      </c>
      <c r="F1" s="149" t="s">
        <v>27</v>
      </c>
      <c r="G1" s="149" t="s">
        <v>28</v>
      </c>
      <c r="H1" s="149" t="s">
        <v>29</v>
      </c>
      <c r="I1" s="149" t="s">
        <v>31</v>
      </c>
      <c r="J1" s="149" t="s">
        <v>32</v>
      </c>
      <c r="K1" s="149" t="s">
        <v>264</v>
      </c>
      <c r="L1" s="149" t="s">
        <v>913</v>
      </c>
      <c r="M1" s="149" t="s">
        <v>914</v>
      </c>
      <c r="N1" s="149" t="s">
        <v>915</v>
      </c>
      <c r="O1" s="149" t="s">
        <v>916</v>
      </c>
      <c r="P1" s="149" t="s">
        <v>917</v>
      </c>
      <c r="Q1" s="149" t="s">
        <v>918</v>
      </c>
      <c r="R1" s="149" t="s">
        <v>919</v>
      </c>
      <c r="S1" s="149" t="s">
        <v>920</v>
      </c>
      <c r="T1" s="149" t="s">
        <v>921</v>
      </c>
      <c r="U1" s="149" t="s">
        <v>922</v>
      </c>
      <c r="V1" s="149" t="s">
        <v>923</v>
      </c>
      <c r="W1" s="149" t="s">
        <v>924</v>
      </c>
      <c r="X1" s="149" t="s">
        <v>135</v>
      </c>
      <c r="Y1" s="149" t="s">
        <v>925</v>
      </c>
      <c r="AA1" s="150">
        <v>46023</v>
      </c>
      <c r="AB1" s="150">
        <v>46054</v>
      </c>
      <c r="AC1" s="150">
        <v>46082</v>
      </c>
      <c r="AD1" s="150">
        <v>46113</v>
      </c>
      <c r="AE1" s="150">
        <v>46143</v>
      </c>
      <c r="AF1" s="150">
        <v>46174</v>
      </c>
      <c r="AG1" s="150">
        <v>46204</v>
      </c>
      <c r="AH1" s="150">
        <v>46235</v>
      </c>
      <c r="AI1" s="150">
        <v>46266</v>
      </c>
      <c r="AJ1" s="150">
        <v>46296</v>
      </c>
      <c r="AK1" s="150">
        <v>46327</v>
      </c>
      <c r="AL1" s="150">
        <v>46357</v>
      </c>
      <c r="AM1" s="150">
        <v>46388</v>
      </c>
      <c r="AN1" s="150">
        <v>46419</v>
      </c>
      <c r="AO1" s="150">
        <v>46447</v>
      </c>
      <c r="AP1" s="150">
        <v>46478</v>
      </c>
      <c r="AQ1" s="150">
        <v>46508</v>
      </c>
      <c r="AR1" s="150">
        <v>46539</v>
      </c>
      <c r="AS1" s="150">
        <v>46569</v>
      </c>
      <c r="AT1" s="150">
        <v>46600</v>
      </c>
      <c r="AU1" s="150">
        <v>46631</v>
      </c>
      <c r="AV1" s="150">
        <v>46661</v>
      </c>
      <c r="AW1" s="150">
        <v>46692</v>
      </c>
      <c r="AX1" s="150">
        <v>46722</v>
      </c>
      <c r="AZ1" s="151" t="s">
        <v>926</v>
      </c>
    </row>
    <row r="2" spans="1:53" x14ac:dyDescent="0.2">
      <c r="A2" s="152">
        <v>2</v>
      </c>
      <c r="B2" s="152" t="str">
        <f>IF(TRIM('UX Weekly'!E2)="","",TRIM('UX Weekly'!E2))</f>
        <v>New Condition Rating Scale</v>
      </c>
      <c r="C2" s="152" t="str">
        <f>IF($B2="","",'UX Weekly'!B2)</f>
        <v>Used</v>
      </c>
      <c r="D2" s="152" t="str">
        <f>IF($B2="","",IF(TRIM('UX Weekly'!C2)="","(No theme assigned)",TRIM('UX Weekly'!C2)))</f>
        <v>Improve Buy Used Customer Experience</v>
      </c>
      <c r="E2" s="152" t="str">
        <f>IF($B2="","",TRIM('UX Weekly'!F2))</f>
        <v>BHUX-33510</v>
      </c>
      <c r="F2" s="152" t="str">
        <f>IF($B2="","",'UX Weekly'!G2)</f>
        <v>00. Parking Lot</v>
      </c>
      <c r="G2" s="153">
        <f t="array" ref="G2">IF($B2="","",IF($T2=0,"",IFERROR(MIN(IF('UX Weekly'!$H2:$CT2&lt;&gt;"",'UX Weekly'!$H$1:$CT$1)),"")))</f>
        <v>46174</v>
      </c>
      <c r="H2" s="153">
        <f t="array" ref="H2">IF($B2="","",IF($T2=0,"",IFERROR(MAX(IF('UX Weekly'!$H2:$CT2&lt;&gt;"",'UX Weekly'!$H$1:$CT$1)),"")))</f>
        <v>46188</v>
      </c>
      <c r="I2" s="154">
        <f t="shared" ref="I2:I33" ca="1" si="0">IF($R2&lt;&gt;"",$R2,IF($S2&lt;&gt;"",$S2,""))</f>
        <v>46388</v>
      </c>
      <c r="J2" s="154">
        <f t="shared" ref="J2:J33" ca="1" si="1">IF($S2&lt;&gt;"",EOMONTH($S2,0),IF($R2&lt;&gt;"",EOMONTH($R2,0),""))</f>
        <v>46418</v>
      </c>
      <c r="K2" s="152" t="str">
        <f>IF($B2="","",IF(COUNTA('Dev Tracker'!L2)=0,"",TRIM('Dev Tracker'!L2)))</f>
        <v>BHP-4771</v>
      </c>
      <c r="L2" s="152">
        <f>IF($B2="","",IFERROR(MATCH($D2,Control!$E$4:$E$30,0),99))</f>
        <v>6</v>
      </c>
      <c r="M2" s="152">
        <f>IF($B2="","",IFERROR(MATCH($F2,Control!$B$4:$B$30,0),99))</f>
        <v>1</v>
      </c>
      <c r="N2" s="152">
        <f>IF($V2&lt;&gt;1,"",IF('Roadmap (Auto)'!$D$3="Status, then Theme",$M2*1000000+$L2*10000+ROW(),IF('Roadmap (Auto)'!$D$3="Dev start (earliest)",IF($I2="",99999999,$I2)*10000+ROW(),IF('Roadmap (Auto)'!$D$3="UX start (earliest)",IF($G2="",99999999,$G2)*10000+ROW(),IF('Roadmap (Auto)'!$D$3="Deliverable A-Z",$W2*10000+ROW(),$L2*1000000+$M2*10000+ROW())))))</f>
        <v>6010002</v>
      </c>
      <c r="O2" s="152">
        <f t="shared" ref="O2:O33" si="2">IF($N2="","",COUNTIF($N$2:$N$151,"&lt;"&amp;$N2)+1)</f>
        <v>21</v>
      </c>
      <c r="P2" s="152" t="str">
        <f>IF($B2="","",IF(COUNTA('Dev Tracker'!I2)=0,"",'Dev Tracker'!I2))</f>
        <v>Jan 2027</v>
      </c>
      <c r="Q2" s="152" t="str">
        <f>IF($B2="","",IF(COUNTA('Dev Tracker'!J2)=0,"",'Dev Tracker'!J2))</f>
        <v>Jan 2027</v>
      </c>
      <c r="R2" s="154">
        <f t="shared" ref="R2:R33" ca="1" si="3">IF($P2="","",IF(ISNUMBER($P2),DATE(YEAR($P2),MONTH($P2),1),IFERROR(DATE(IFERROR(VALUE(RIGHT(TRIM($P2),4)),YEAR(TODAY())),(SEARCH(LEFT(TRIM($P2),3),"JanFebMarAprMayJunJulAugSepOctNovDec")+2)/3,1),"")))</f>
        <v>46388</v>
      </c>
      <c r="S2" s="154">
        <f t="shared" ref="S2:S33" ca="1" si="4">IF($Q2="","",IF(ISNUMBER($Q2),DATE(YEAR($Q2),MONTH($Q2),1),IFERROR(DATE(IFERROR(VALUE(RIGHT(TRIM($Q2),4)),YEAR(TODAY())),(SEARCH(LEFT(TRIM($Q2),3),"JanFebMarAprMayJunJulAugSepOctNovDec")+2)/3,1),"")))</f>
        <v>46388</v>
      </c>
      <c r="T2" s="152">
        <f>IF($B2="","",COUNTA('UX Weekly'!$H2:$CT2))</f>
        <v>3</v>
      </c>
      <c r="U2" s="152">
        <f>IF($B2="","",IFERROR(MATCH($D2,Control!$E$4:$E$30,0)+3,0))</f>
        <v>9</v>
      </c>
      <c r="V2" s="152">
        <f>IF($B2="","",IF(AND(OR('Roadmap (Auto)'!$A$3="",'Roadmap (Auto)'!$A$3="(All)",ISNUMBER(SEARCH('Roadmap (Auto)'!$A$3,$C2&amp;""))),OR('Roadmap (Auto)'!$B$3="",'Roadmap (Auto)'!$B$3="(All)",$D2='Roadmap (Auto)'!$B$3,$X2='Roadmap (Auto)'!$B$3),OR('Roadmap (Auto)'!$C$3="",'Roadmap (Auto)'!$C$3="(All)",$F2='Roadmap (Auto)'!$C$3)),1,0))</f>
        <v>1</v>
      </c>
      <c r="W2" s="152">
        <f t="shared" ref="W2:W33" si="5">IF($B2="","",COUNTIF($Y$2:$Y$151,"&lt;"&amp;$Y2)+1)</f>
        <v>127</v>
      </c>
      <c r="X2" s="152" t="str">
        <f>IF($B2="","",IF(TRIM('UX Weekly'!D2)="","",TRIM('UX Weekly'!D2)))</f>
        <v>Improve Trade In User Flow</v>
      </c>
      <c r="Y2" s="152" t="str">
        <f t="shared" ref="Y2:Y33" si="6">IF($B2="","",SUBSTITUTE(SUBSTITUTE(SUBSTITUTE(SUBSTITUTE(SUBSTITUTE(SUBSTITUTE(SUBSTITUTE(SUBSTITUTE(SUBSTITUTE(SUBSTITUTE(SUBSTITUTE(SUBSTITUTE(SUBSTITUTE(SUBSTITUTE(SUBSTITUTE(SUBSTITUTE(SUBSTITUTE(SUBSTITUTE(SUBSTITUTE(SUBSTITUTE(SUBSTITUTE(SUBSTITUTE(SUBSTITUTE(SUBSTITUTE(SUBSTITUTE(UPPER($B2)," ",""),"-",""),":",""),"/",""),"&amp;",""),"|",""),"'",""),"’",""),"&lt;",""),"&gt;",""),",",""),"$",""),".",""),"(",""),")",""),"*",""),"?",""),"~",""),"_",""),"+",""),"#",""),";",""),"!",""),"%",""),"@",""))</f>
        <v>NEWCONDITIONRATINGSCALE</v>
      </c>
      <c r="AA2">
        <f>IF($B2="",0,COUNTIFS('UX Weekly'!$H$1:$CT$1,"&gt;="&amp;AA$1,'UX Weekly'!$H$1:$CT$1,"&lt;="&amp;EOMONTH(AA$1,0),'UX Weekly'!$H2:$CT2,"&lt;&gt;"))</f>
        <v>0</v>
      </c>
      <c r="AB2">
        <f>IF($B2="",0,COUNTIFS('UX Weekly'!$H$1:$CT$1,"&gt;="&amp;AB$1,'UX Weekly'!$H$1:$CT$1,"&lt;="&amp;EOMONTH(AB$1,0),'UX Weekly'!$H2:$CT2,"&lt;&gt;"))</f>
        <v>0</v>
      </c>
      <c r="AC2">
        <f>IF($B2="",0,COUNTIFS('UX Weekly'!$H$1:$CT$1,"&gt;="&amp;AC$1,'UX Weekly'!$H$1:$CT$1,"&lt;="&amp;EOMONTH(AC$1,0),'UX Weekly'!$H2:$CT2,"&lt;&gt;"))</f>
        <v>0</v>
      </c>
      <c r="AD2">
        <f>IF($B2="",0,COUNTIFS('UX Weekly'!$H$1:$CT$1,"&gt;="&amp;AD$1,'UX Weekly'!$H$1:$CT$1,"&lt;="&amp;EOMONTH(AD$1,0),'UX Weekly'!$H2:$CT2,"&lt;&gt;"))</f>
        <v>0</v>
      </c>
      <c r="AE2">
        <f>IF($B2="",0,COUNTIFS('UX Weekly'!$H$1:$CT$1,"&gt;="&amp;AE$1,'UX Weekly'!$H$1:$CT$1,"&lt;="&amp;EOMONTH(AE$1,0),'UX Weekly'!$H2:$CT2,"&lt;&gt;"))</f>
        <v>0</v>
      </c>
      <c r="AF2">
        <f>IF($B2="",0,COUNTIFS('UX Weekly'!$H$1:$CT$1,"&gt;="&amp;AF$1,'UX Weekly'!$H$1:$CT$1,"&lt;="&amp;EOMONTH(AF$1,0),'UX Weekly'!$H2:$CT2,"&lt;&gt;"))</f>
        <v>3</v>
      </c>
      <c r="AG2">
        <f>IF($B2="",0,COUNTIFS('UX Weekly'!$H$1:$CT$1,"&gt;="&amp;AG$1,'UX Weekly'!$H$1:$CT$1,"&lt;="&amp;EOMONTH(AG$1,0),'UX Weekly'!$H2:$CT2,"&lt;&gt;"))</f>
        <v>0</v>
      </c>
      <c r="AH2">
        <f>IF($B2="",0,COUNTIFS('UX Weekly'!$H$1:$CT$1,"&gt;="&amp;AH$1,'UX Weekly'!$H$1:$CT$1,"&lt;="&amp;EOMONTH(AH$1,0),'UX Weekly'!$H2:$CT2,"&lt;&gt;"))</f>
        <v>0</v>
      </c>
      <c r="AI2">
        <f>IF($B2="",0,COUNTIFS('UX Weekly'!$H$1:$CT$1,"&gt;="&amp;AI$1,'UX Weekly'!$H$1:$CT$1,"&lt;="&amp;EOMONTH(AI$1,0),'UX Weekly'!$H2:$CT2,"&lt;&gt;"))</f>
        <v>0</v>
      </c>
      <c r="AJ2">
        <f>IF($B2="",0,COUNTIFS('UX Weekly'!$H$1:$CT$1,"&gt;="&amp;AJ$1,'UX Weekly'!$H$1:$CT$1,"&lt;="&amp;EOMONTH(AJ$1,0),'UX Weekly'!$H2:$CT2,"&lt;&gt;"))</f>
        <v>0</v>
      </c>
      <c r="AK2">
        <f>IF($B2="",0,COUNTIFS('UX Weekly'!$H$1:$CT$1,"&gt;="&amp;AK$1,'UX Weekly'!$H$1:$CT$1,"&lt;="&amp;EOMONTH(AK$1,0),'UX Weekly'!$H2:$CT2,"&lt;&gt;"))</f>
        <v>0</v>
      </c>
      <c r="AL2">
        <f>IF($B2="",0,COUNTIFS('UX Weekly'!$H$1:$CT$1,"&gt;="&amp;AL$1,'UX Weekly'!$H$1:$CT$1,"&lt;="&amp;EOMONTH(AL$1,0),'UX Weekly'!$H2:$CT2,"&lt;&gt;"))</f>
        <v>0</v>
      </c>
      <c r="AM2">
        <f>IF($B2="",0,COUNTIFS('UX Weekly'!$H$1:$CT$1,"&gt;="&amp;AM$1,'UX Weekly'!$H$1:$CT$1,"&lt;="&amp;EOMONTH(AM$1,0),'UX Weekly'!$H2:$CT2,"&lt;&gt;"))</f>
        <v>0</v>
      </c>
      <c r="AN2">
        <f>IF($B2="",0,COUNTIFS('UX Weekly'!$H$1:$CT$1,"&gt;="&amp;AN$1,'UX Weekly'!$H$1:$CT$1,"&lt;="&amp;EOMONTH(AN$1,0),'UX Weekly'!$H2:$CT2,"&lt;&gt;"))</f>
        <v>0</v>
      </c>
      <c r="AO2">
        <f>IF($B2="",0,COUNTIFS('UX Weekly'!$H$1:$CT$1,"&gt;="&amp;AO$1,'UX Weekly'!$H$1:$CT$1,"&lt;="&amp;EOMONTH(AO$1,0),'UX Weekly'!$H2:$CT2,"&lt;&gt;"))</f>
        <v>0</v>
      </c>
      <c r="AP2">
        <f>IF($B2="",0,COUNTIFS('UX Weekly'!$H$1:$CT$1,"&gt;="&amp;AP$1,'UX Weekly'!$H$1:$CT$1,"&lt;="&amp;EOMONTH(AP$1,0),'UX Weekly'!$H2:$CT2,"&lt;&gt;"))</f>
        <v>0</v>
      </c>
      <c r="AQ2">
        <f>IF($B2="",0,COUNTIFS('UX Weekly'!$H$1:$CT$1,"&gt;="&amp;AQ$1,'UX Weekly'!$H$1:$CT$1,"&lt;="&amp;EOMONTH(AQ$1,0),'UX Weekly'!$H2:$CT2,"&lt;&gt;"))</f>
        <v>0</v>
      </c>
      <c r="AR2">
        <f>IF($B2="",0,COUNTIFS('UX Weekly'!$H$1:$CT$1,"&gt;="&amp;AR$1,'UX Weekly'!$H$1:$CT$1,"&lt;="&amp;EOMONTH(AR$1,0),'UX Weekly'!$H2:$CT2,"&lt;&gt;"))</f>
        <v>0</v>
      </c>
      <c r="AS2">
        <f>IF($B2="",0,COUNTIFS('UX Weekly'!$H$1:$CT$1,"&gt;="&amp;AS$1,'UX Weekly'!$H$1:$CT$1,"&lt;="&amp;EOMONTH(AS$1,0),'UX Weekly'!$H2:$CT2,"&lt;&gt;"))</f>
        <v>0</v>
      </c>
      <c r="AT2">
        <f>IF($B2="",0,COUNTIFS('UX Weekly'!$H$1:$CT$1,"&gt;="&amp;AT$1,'UX Weekly'!$H$1:$CT$1,"&lt;="&amp;EOMONTH(AT$1,0),'UX Weekly'!$H2:$CT2,"&lt;&gt;"))</f>
        <v>0</v>
      </c>
      <c r="AU2">
        <f>IF($B2="",0,COUNTIFS('UX Weekly'!$H$1:$CT$1,"&gt;="&amp;AU$1,'UX Weekly'!$H$1:$CT$1,"&lt;="&amp;EOMONTH(AU$1,0),'UX Weekly'!$H2:$CT2,"&lt;&gt;"))</f>
        <v>0</v>
      </c>
      <c r="AV2">
        <f>IF($B2="",0,COUNTIFS('UX Weekly'!$H$1:$CT$1,"&gt;="&amp;AV$1,'UX Weekly'!$H$1:$CT$1,"&lt;="&amp;EOMONTH(AV$1,0),'UX Weekly'!$H2:$CT2,"&lt;&gt;"))</f>
        <v>0</v>
      </c>
      <c r="AW2">
        <f>IF($B2="",0,COUNTIFS('UX Weekly'!$H$1:$CT$1,"&gt;="&amp;AW$1,'UX Weekly'!$H$1:$CT$1,"&lt;="&amp;EOMONTH(AW$1,0),'UX Weekly'!$H2:$CT2,"&lt;&gt;"))</f>
        <v>0</v>
      </c>
      <c r="AX2">
        <f>IF($B2="",0,COUNTIFS('UX Weekly'!$H$1:$CT$1,"&gt;="&amp;AX$1,'UX Weekly'!$H$1:$CT$1,"&lt;="&amp;EOMONTH(AX$1,0),'UX Weekly'!$H2:$CT2,"&lt;&gt;"))</f>
        <v>0</v>
      </c>
    </row>
    <row r="3" spans="1:53" x14ac:dyDescent="0.2">
      <c r="A3" s="152">
        <v>3</v>
      </c>
      <c r="B3" s="152" t="str">
        <f>IF(TRIM('UX Weekly'!E3)="","",TRIM('UX Weekly'!E3))</f>
        <v>B2B Hub - Logged In B2B Experience</v>
      </c>
      <c r="C3" s="152" t="str">
        <f>IF($B3="","",'UX Weekly'!B3)</f>
        <v>B2B</v>
      </c>
      <c r="D3" s="152" t="str">
        <f>IF($B3="","",IF(TRIM('UX Weekly'!C3)="","(No theme assigned)",TRIM('UX Weekly'!C3)))</f>
        <v>Increase B2B Acquisition</v>
      </c>
      <c r="E3" s="152" t="str">
        <f>IF($B3="","",TRIM('UX Weekly'!F3))</f>
        <v>BHP-6901</v>
      </c>
      <c r="F3" s="152" t="str">
        <f>IF($B3="","",'UX Weekly'!G3)</f>
        <v>00. Parking Lot</v>
      </c>
      <c r="G3" s="153">
        <f t="array" ref="G3">IF($B3="","",IF($T3=0,"",IFERROR(MIN(IF('UX Weekly'!$H3:$CT3&lt;&gt;"",'UX Weekly'!$H$1:$CT$1)),"")))</f>
        <v>46181</v>
      </c>
      <c r="H3" s="153">
        <f t="array" ref="H3">IF($B3="","",IF($T3=0,"",IFERROR(MAX(IF('UX Weekly'!$H3:$CT3&lt;&gt;"",'UX Weekly'!$H$1:$CT$1)),"")))</f>
        <v>46321</v>
      </c>
      <c r="I3" s="154">
        <f t="shared" ca="1" si="0"/>
        <v>46447</v>
      </c>
      <c r="J3" s="154">
        <f t="shared" ca="1" si="1"/>
        <v>46538</v>
      </c>
      <c r="K3" s="152" t="str">
        <f>IF($B3="","",IF(COUNTA('Dev Tracker'!L3)=0,"",TRIM('Dev Tracker'!L3)))</f>
        <v>BHP-6901</v>
      </c>
      <c r="L3" s="152">
        <f>IF($B3="","",IFERROR(MATCH($D3,Control!$E$4:$E$30,0),99))</f>
        <v>8</v>
      </c>
      <c r="M3" s="152">
        <f>IF($B3="","",IFERROR(MATCH($F3,Control!$B$4:$B$30,0),99))</f>
        <v>1</v>
      </c>
      <c r="N3" s="152" t="str">
        <f>IF($V3&lt;&gt;1,"",IF('Roadmap (Auto)'!$D$3="Status, then Theme",$M3*1000000+$L3*10000+ROW(),IF('Roadmap (Auto)'!$D$3="Dev start (earliest)",IF($I3="",99999999,$I3)*10000+ROW(),IF('Roadmap (Auto)'!$D$3="UX start (earliest)",IF($G3="",99999999,$G3)*10000+ROW(),IF('Roadmap (Auto)'!$D$3="Deliverable A-Z",$W3*10000+ROW(),$L3*1000000+$M3*10000+ROW())))))</f>
        <v/>
      </c>
      <c r="O3" s="152" t="str">
        <f t="shared" si="2"/>
        <v/>
      </c>
      <c r="P3" s="152" t="str">
        <f>IF($B3="","",IF(COUNTA('Dev Tracker'!I3)=0,"",'Dev Tracker'!I3))</f>
        <v>Mar 2027</v>
      </c>
      <c r="Q3" s="152" t="str">
        <f>IF($B3="","",IF(COUNTA('Dev Tracker'!J3)=0,"",'Dev Tracker'!J3))</f>
        <v>May 2027</v>
      </c>
      <c r="R3" s="154">
        <f t="shared" ca="1" si="3"/>
        <v>46447</v>
      </c>
      <c r="S3" s="154">
        <f t="shared" ca="1" si="4"/>
        <v>46508</v>
      </c>
      <c r="T3" s="152">
        <f>IF($B3="","",COUNTA('UX Weekly'!$H3:$CT3))</f>
        <v>5</v>
      </c>
      <c r="U3" s="152">
        <f>IF($B3="","",IFERROR(MATCH($D3,Control!$E$4:$E$30,0)+3,0))</f>
        <v>11</v>
      </c>
      <c r="V3" s="152">
        <f>IF($B3="","",IF(AND(OR('Roadmap (Auto)'!$A$3="",'Roadmap (Auto)'!$A$3="(All)",ISNUMBER(SEARCH('Roadmap (Auto)'!$A$3,$C3&amp;""))),OR('Roadmap (Auto)'!$B$3="",'Roadmap (Auto)'!$B$3="(All)",$D3='Roadmap (Auto)'!$B$3,$X3='Roadmap (Auto)'!$B$3),OR('Roadmap (Auto)'!$C$3="",'Roadmap (Auto)'!$C$3="(All)",$F3='Roadmap (Auto)'!$C$3)),1,0))</f>
        <v>0</v>
      </c>
      <c r="W3" s="152">
        <f t="shared" si="5"/>
        <v>110</v>
      </c>
      <c r="X3" s="152" t="str">
        <f>IF($B3="","",IF(TRIM('UX Weekly'!D3)="","",TRIM('UX Weekly'!D3)))</f>
        <v/>
      </c>
      <c r="Y3" s="152" t="str">
        <f t="shared" si="6"/>
        <v>B2BHUBLOGGEDINB2BEXPERIENCE</v>
      </c>
      <c r="AA3">
        <f>IF($B3="",0,COUNTIFS('UX Weekly'!$H$1:$CT$1,"&gt;="&amp;AA$1,'UX Weekly'!$H$1:$CT$1,"&lt;="&amp;EOMONTH(AA$1,0),'UX Weekly'!$H3:$CT3,"&lt;&gt;"))</f>
        <v>0</v>
      </c>
      <c r="AB3">
        <f>IF($B3="",0,COUNTIFS('UX Weekly'!$H$1:$CT$1,"&gt;="&amp;AB$1,'UX Weekly'!$H$1:$CT$1,"&lt;="&amp;EOMONTH(AB$1,0),'UX Weekly'!$H3:$CT3,"&lt;&gt;"))</f>
        <v>0</v>
      </c>
      <c r="AC3">
        <f>IF($B3="",0,COUNTIFS('UX Weekly'!$H$1:$CT$1,"&gt;="&amp;AC$1,'UX Weekly'!$H$1:$CT$1,"&lt;="&amp;EOMONTH(AC$1,0),'UX Weekly'!$H3:$CT3,"&lt;&gt;"))</f>
        <v>0</v>
      </c>
      <c r="AD3">
        <f>IF($B3="",0,COUNTIFS('UX Weekly'!$H$1:$CT$1,"&gt;="&amp;AD$1,'UX Weekly'!$H$1:$CT$1,"&lt;="&amp;EOMONTH(AD$1,0),'UX Weekly'!$H3:$CT3,"&lt;&gt;"))</f>
        <v>0</v>
      </c>
      <c r="AE3">
        <f>IF($B3="",0,COUNTIFS('UX Weekly'!$H$1:$CT$1,"&gt;="&amp;AE$1,'UX Weekly'!$H$1:$CT$1,"&lt;="&amp;EOMONTH(AE$1,0),'UX Weekly'!$H3:$CT3,"&lt;&gt;"))</f>
        <v>0</v>
      </c>
      <c r="AF3">
        <f>IF($B3="",0,COUNTIFS('UX Weekly'!$H$1:$CT$1,"&gt;="&amp;AF$1,'UX Weekly'!$H$1:$CT$1,"&lt;="&amp;EOMONTH(AF$1,0),'UX Weekly'!$H3:$CT3,"&lt;&gt;"))</f>
        <v>1</v>
      </c>
      <c r="AG3">
        <f>IF($B3="",0,COUNTIFS('UX Weekly'!$H$1:$CT$1,"&gt;="&amp;AG$1,'UX Weekly'!$H$1:$CT$1,"&lt;="&amp;EOMONTH(AG$1,0),'UX Weekly'!$H3:$CT3,"&lt;&gt;"))</f>
        <v>0</v>
      </c>
      <c r="AH3">
        <f>IF($B3="",0,COUNTIFS('UX Weekly'!$H$1:$CT$1,"&gt;="&amp;AH$1,'UX Weekly'!$H$1:$CT$1,"&lt;="&amp;EOMONTH(AH$1,0),'UX Weekly'!$H3:$CT3,"&lt;&gt;"))</f>
        <v>0</v>
      </c>
      <c r="AI3">
        <f>IF($B3="",0,COUNTIFS('UX Weekly'!$H$1:$CT$1,"&gt;="&amp;AI$1,'UX Weekly'!$H$1:$CT$1,"&lt;="&amp;EOMONTH(AI$1,0),'UX Weekly'!$H3:$CT3,"&lt;&gt;"))</f>
        <v>0</v>
      </c>
      <c r="AJ3">
        <f>IF($B3="",0,COUNTIFS('UX Weekly'!$H$1:$CT$1,"&gt;="&amp;AJ$1,'UX Weekly'!$H$1:$CT$1,"&lt;="&amp;EOMONTH(AJ$1,0),'UX Weekly'!$H3:$CT3,"&lt;&gt;"))</f>
        <v>4</v>
      </c>
      <c r="AK3">
        <f>IF($B3="",0,COUNTIFS('UX Weekly'!$H$1:$CT$1,"&gt;="&amp;AK$1,'UX Weekly'!$H$1:$CT$1,"&lt;="&amp;EOMONTH(AK$1,0),'UX Weekly'!$H3:$CT3,"&lt;&gt;"))</f>
        <v>0</v>
      </c>
      <c r="AL3">
        <f>IF($B3="",0,COUNTIFS('UX Weekly'!$H$1:$CT$1,"&gt;="&amp;AL$1,'UX Weekly'!$H$1:$CT$1,"&lt;="&amp;EOMONTH(AL$1,0),'UX Weekly'!$H3:$CT3,"&lt;&gt;"))</f>
        <v>0</v>
      </c>
      <c r="AM3">
        <f>IF($B3="",0,COUNTIFS('UX Weekly'!$H$1:$CT$1,"&gt;="&amp;AM$1,'UX Weekly'!$H$1:$CT$1,"&lt;="&amp;EOMONTH(AM$1,0),'UX Weekly'!$H3:$CT3,"&lt;&gt;"))</f>
        <v>0</v>
      </c>
      <c r="AN3">
        <f>IF($B3="",0,COUNTIFS('UX Weekly'!$H$1:$CT$1,"&gt;="&amp;AN$1,'UX Weekly'!$H$1:$CT$1,"&lt;="&amp;EOMONTH(AN$1,0),'UX Weekly'!$H3:$CT3,"&lt;&gt;"))</f>
        <v>0</v>
      </c>
      <c r="AO3">
        <f>IF($B3="",0,COUNTIFS('UX Weekly'!$H$1:$CT$1,"&gt;="&amp;AO$1,'UX Weekly'!$H$1:$CT$1,"&lt;="&amp;EOMONTH(AO$1,0),'UX Weekly'!$H3:$CT3,"&lt;&gt;"))</f>
        <v>0</v>
      </c>
      <c r="AP3">
        <f>IF($B3="",0,COUNTIFS('UX Weekly'!$H$1:$CT$1,"&gt;="&amp;AP$1,'UX Weekly'!$H$1:$CT$1,"&lt;="&amp;EOMONTH(AP$1,0),'UX Weekly'!$H3:$CT3,"&lt;&gt;"))</f>
        <v>0</v>
      </c>
      <c r="AQ3">
        <f>IF($B3="",0,COUNTIFS('UX Weekly'!$H$1:$CT$1,"&gt;="&amp;AQ$1,'UX Weekly'!$H$1:$CT$1,"&lt;="&amp;EOMONTH(AQ$1,0),'UX Weekly'!$H3:$CT3,"&lt;&gt;"))</f>
        <v>0</v>
      </c>
      <c r="AR3">
        <f>IF($B3="",0,COUNTIFS('UX Weekly'!$H$1:$CT$1,"&gt;="&amp;AR$1,'UX Weekly'!$H$1:$CT$1,"&lt;="&amp;EOMONTH(AR$1,0),'UX Weekly'!$H3:$CT3,"&lt;&gt;"))</f>
        <v>0</v>
      </c>
      <c r="AS3">
        <f>IF($B3="",0,COUNTIFS('UX Weekly'!$H$1:$CT$1,"&gt;="&amp;AS$1,'UX Weekly'!$H$1:$CT$1,"&lt;="&amp;EOMONTH(AS$1,0),'UX Weekly'!$H3:$CT3,"&lt;&gt;"))</f>
        <v>0</v>
      </c>
      <c r="AT3">
        <f>IF($B3="",0,COUNTIFS('UX Weekly'!$H$1:$CT$1,"&gt;="&amp;AT$1,'UX Weekly'!$H$1:$CT$1,"&lt;="&amp;EOMONTH(AT$1,0),'UX Weekly'!$H3:$CT3,"&lt;&gt;"))</f>
        <v>0</v>
      </c>
      <c r="AU3">
        <f>IF($B3="",0,COUNTIFS('UX Weekly'!$H$1:$CT$1,"&gt;="&amp;AU$1,'UX Weekly'!$H$1:$CT$1,"&lt;="&amp;EOMONTH(AU$1,0),'UX Weekly'!$H3:$CT3,"&lt;&gt;"))</f>
        <v>0</v>
      </c>
      <c r="AV3">
        <f>IF($B3="",0,COUNTIFS('UX Weekly'!$H$1:$CT$1,"&gt;="&amp;AV$1,'UX Weekly'!$H$1:$CT$1,"&lt;="&amp;EOMONTH(AV$1,0),'UX Weekly'!$H3:$CT3,"&lt;&gt;"))</f>
        <v>0</v>
      </c>
      <c r="AW3">
        <f>IF($B3="",0,COUNTIFS('UX Weekly'!$H$1:$CT$1,"&gt;="&amp;AW$1,'UX Weekly'!$H$1:$CT$1,"&lt;="&amp;EOMONTH(AW$1,0),'UX Weekly'!$H3:$CT3,"&lt;&gt;"))</f>
        <v>0</v>
      </c>
      <c r="AX3">
        <f>IF($B3="",0,COUNTIFS('UX Weekly'!$H$1:$CT$1,"&gt;="&amp;AX$1,'UX Weekly'!$H$1:$CT$1,"&lt;="&amp;EOMONTH(AX$1,0),'UX Weekly'!$H3:$CT3,"&lt;&gt;"))</f>
        <v>0</v>
      </c>
      <c r="AZ3" s="155" t="s">
        <v>927</v>
      </c>
      <c r="BA3" s="143"/>
    </row>
    <row r="4" spans="1:53" x14ac:dyDescent="0.2">
      <c r="A4" s="152">
        <v>4</v>
      </c>
      <c r="B4" s="152" t="str">
        <f>IF(TRIM('UX Weekly'!E4)="","",TRIM('UX Weekly'!E4))</f>
        <v>B2B - The Studio Categories</v>
      </c>
      <c r="C4" s="152" t="str">
        <f>IF($B4="","",'UX Weekly'!B4)</f>
        <v>B2B</v>
      </c>
      <c r="D4" s="152" t="str">
        <f>IF($B4="","",IF(TRIM('UX Weekly'!C4)="","(No theme assigned)",TRIM('UX Weekly'!C4)))</f>
        <v>Improve The Studio B&amp;H Customer Experience</v>
      </c>
      <c r="E4" s="152" t="str">
        <f>IF($B4="","",TRIM('UX Weekly'!F4))</f>
        <v>BHUX-33434</v>
      </c>
      <c r="F4" s="152" t="str">
        <f>IF($B4="","",'UX Weekly'!G4)</f>
        <v>01. Prod Discovery</v>
      </c>
      <c r="G4" s="153">
        <f t="array" ref="G4">IF($B4="","",IF($T4=0,"",IFERROR(MIN(IF('UX Weekly'!$H4:$CT4&lt;&gt;"",'UX Weekly'!$H$1:$CT$1)),"")))</f>
        <v>46132</v>
      </c>
      <c r="H4" s="153">
        <f t="array" ref="H4">IF($B4="","",IF($T4=0,"",IFERROR(MAX(IF('UX Weekly'!$H4:$CT4&lt;&gt;"",'UX Weekly'!$H$1:$CT$1)),"")))</f>
        <v>46279</v>
      </c>
      <c r="I4" s="154">
        <f t="shared" ca="1" si="0"/>
        <v>46357</v>
      </c>
      <c r="J4" s="154">
        <f t="shared" ca="1" si="1"/>
        <v>46418</v>
      </c>
      <c r="K4" s="152" t="str">
        <f>IF($B4="","",IF(COUNTA('Dev Tracker'!L4)=0,"",TRIM('Dev Tracker'!L4)))</f>
        <v>BHP-6446</v>
      </c>
      <c r="L4" s="152">
        <f>IF($B4="","",IFERROR(MATCH($D4,Control!$E$4:$E$30,0),99))</f>
        <v>10</v>
      </c>
      <c r="M4" s="152">
        <f>IF($B4="","",IFERROR(MATCH($F4,Control!$B$4:$B$30,0),99))</f>
        <v>3</v>
      </c>
      <c r="N4" s="152" t="str">
        <f>IF($V4&lt;&gt;1,"",IF('Roadmap (Auto)'!$D$3="Status, then Theme",$M4*1000000+$L4*10000+ROW(),IF('Roadmap (Auto)'!$D$3="Dev start (earliest)",IF($I4="",99999999,$I4)*10000+ROW(),IF('Roadmap (Auto)'!$D$3="UX start (earliest)",IF($G4="",99999999,$G4)*10000+ROW(),IF('Roadmap (Auto)'!$D$3="Deliverable A-Z",$W4*10000+ROW(),$L4*1000000+$M4*10000+ROW())))))</f>
        <v/>
      </c>
      <c r="O4" s="152" t="str">
        <f t="shared" si="2"/>
        <v/>
      </c>
      <c r="P4" s="152" t="str">
        <f>IF($B4="","",IF(COUNTA('Dev Tracker'!I4)=0,"",'Dev Tracker'!I4))</f>
        <v>Dec 2026</v>
      </c>
      <c r="Q4" s="152" t="str">
        <f>IF($B4="","",IF(COUNTA('Dev Tracker'!J4)=0,"",'Dev Tracker'!J4))</f>
        <v>Jan 2027</v>
      </c>
      <c r="R4" s="154">
        <f t="shared" ca="1" si="3"/>
        <v>46357</v>
      </c>
      <c r="S4" s="154">
        <f t="shared" ca="1" si="4"/>
        <v>46388</v>
      </c>
      <c r="T4" s="152">
        <f>IF($B4="","",COUNTA('UX Weekly'!$H4:$CT4))</f>
        <v>6</v>
      </c>
      <c r="U4" s="152">
        <f>IF($B4="","",IFERROR(MATCH($D4,Control!$E$4:$E$30,0)+3,0))</f>
        <v>13</v>
      </c>
      <c r="V4" s="152">
        <f>IF($B4="","",IF(AND(OR('Roadmap (Auto)'!$A$3="",'Roadmap (Auto)'!$A$3="(All)",ISNUMBER(SEARCH('Roadmap (Auto)'!$A$3,$C4&amp;""))),OR('Roadmap (Auto)'!$B$3="",'Roadmap (Auto)'!$B$3="(All)",$D4='Roadmap (Auto)'!$B$3,$X4='Roadmap (Auto)'!$B$3),OR('Roadmap (Auto)'!$C$3="",'Roadmap (Auto)'!$C$3="(All)",$F4='Roadmap (Auto)'!$C$3)),1,0))</f>
        <v>0</v>
      </c>
      <c r="W4" s="152">
        <f t="shared" si="5"/>
        <v>113</v>
      </c>
      <c r="X4" s="152" t="str">
        <f>IF($B4="","",IF(TRIM('UX Weekly'!D4)="","",TRIM('UX Weekly'!D4)))</f>
        <v/>
      </c>
      <c r="Y4" s="152" t="str">
        <f t="shared" si="6"/>
        <v>B2BTHESTUDIOCATEGORIES</v>
      </c>
      <c r="AA4">
        <f>IF($B4="",0,COUNTIFS('UX Weekly'!$H$1:$CT$1,"&gt;="&amp;AA$1,'UX Weekly'!$H$1:$CT$1,"&lt;="&amp;EOMONTH(AA$1,0),'UX Weekly'!$H4:$CT4,"&lt;&gt;"))</f>
        <v>0</v>
      </c>
      <c r="AB4">
        <f>IF($B4="",0,COUNTIFS('UX Weekly'!$H$1:$CT$1,"&gt;="&amp;AB$1,'UX Weekly'!$H$1:$CT$1,"&lt;="&amp;EOMONTH(AB$1,0),'UX Weekly'!$H4:$CT4,"&lt;&gt;"))</f>
        <v>0</v>
      </c>
      <c r="AC4">
        <f>IF($B4="",0,COUNTIFS('UX Weekly'!$H$1:$CT$1,"&gt;="&amp;AC$1,'UX Weekly'!$H$1:$CT$1,"&lt;="&amp;EOMONTH(AC$1,0),'UX Weekly'!$H4:$CT4,"&lt;&gt;"))</f>
        <v>0</v>
      </c>
      <c r="AD4">
        <f>IF($B4="",0,COUNTIFS('UX Weekly'!$H$1:$CT$1,"&gt;="&amp;AD$1,'UX Weekly'!$H$1:$CT$1,"&lt;="&amp;EOMONTH(AD$1,0),'UX Weekly'!$H4:$CT4,"&lt;&gt;"))</f>
        <v>1</v>
      </c>
      <c r="AE4">
        <f>IF($B4="",0,COUNTIFS('UX Weekly'!$H$1:$CT$1,"&gt;="&amp;AE$1,'UX Weekly'!$H$1:$CT$1,"&lt;="&amp;EOMONTH(AE$1,0),'UX Weekly'!$H4:$CT4,"&lt;&gt;"))</f>
        <v>1</v>
      </c>
      <c r="AF4">
        <f>IF($B4="",0,COUNTIFS('UX Weekly'!$H$1:$CT$1,"&gt;="&amp;AF$1,'UX Weekly'!$H$1:$CT$1,"&lt;="&amp;EOMONTH(AF$1,0),'UX Weekly'!$H4:$CT4,"&lt;&gt;"))</f>
        <v>1</v>
      </c>
      <c r="AG4">
        <f>IF($B4="",0,COUNTIFS('UX Weekly'!$H$1:$CT$1,"&gt;="&amp;AG$1,'UX Weekly'!$H$1:$CT$1,"&lt;="&amp;EOMONTH(AG$1,0),'UX Weekly'!$H4:$CT4,"&lt;&gt;"))</f>
        <v>0</v>
      </c>
      <c r="AH4">
        <f>IF($B4="",0,COUNTIFS('UX Weekly'!$H$1:$CT$1,"&gt;="&amp;AH$1,'UX Weekly'!$H$1:$CT$1,"&lt;="&amp;EOMONTH(AH$1,0),'UX Weekly'!$H4:$CT4,"&lt;&gt;"))</f>
        <v>1</v>
      </c>
      <c r="AI4">
        <f>IF($B4="",0,COUNTIFS('UX Weekly'!$H$1:$CT$1,"&gt;="&amp;AI$1,'UX Weekly'!$H$1:$CT$1,"&lt;="&amp;EOMONTH(AI$1,0),'UX Weekly'!$H4:$CT4,"&lt;&gt;"))</f>
        <v>2</v>
      </c>
      <c r="AJ4">
        <f>IF($B4="",0,COUNTIFS('UX Weekly'!$H$1:$CT$1,"&gt;="&amp;AJ$1,'UX Weekly'!$H$1:$CT$1,"&lt;="&amp;EOMONTH(AJ$1,0),'UX Weekly'!$H4:$CT4,"&lt;&gt;"))</f>
        <v>0</v>
      </c>
      <c r="AK4">
        <f>IF($B4="",0,COUNTIFS('UX Weekly'!$H$1:$CT$1,"&gt;="&amp;AK$1,'UX Weekly'!$H$1:$CT$1,"&lt;="&amp;EOMONTH(AK$1,0),'UX Weekly'!$H4:$CT4,"&lt;&gt;"))</f>
        <v>0</v>
      </c>
      <c r="AL4">
        <f>IF($B4="",0,COUNTIFS('UX Weekly'!$H$1:$CT$1,"&gt;="&amp;AL$1,'UX Weekly'!$H$1:$CT$1,"&lt;="&amp;EOMONTH(AL$1,0),'UX Weekly'!$H4:$CT4,"&lt;&gt;"))</f>
        <v>0</v>
      </c>
      <c r="AM4">
        <f>IF($B4="",0,COUNTIFS('UX Weekly'!$H$1:$CT$1,"&gt;="&amp;AM$1,'UX Weekly'!$H$1:$CT$1,"&lt;="&amp;EOMONTH(AM$1,0),'UX Weekly'!$H4:$CT4,"&lt;&gt;"))</f>
        <v>0</v>
      </c>
      <c r="AN4">
        <f>IF($B4="",0,COUNTIFS('UX Weekly'!$H$1:$CT$1,"&gt;="&amp;AN$1,'UX Weekly'!$H$1:$CT$1,"&lt;="&amp;EOMONTH(AN$1,0),'UX Weekly'!$H4:$CT4,"&lt;&gt;"))</f>
        <v>0</v>
      </c>
      <c r="AO4">
        <f>IF($B4="",0,COUNTIFS('UX Weekly'!$H$1:$CT$1,"&gt;="&amp;AO$1,'UX Weekly'!$H$1:$CT$1,"&lt;="&amp;EOMONTH(AO$1,0),'UX Weekly'!$H4:$CT4,"&lt;&gt;"))</f>
        <v>0</v>
      </c>
      <c r="AP4">
        <f>IF($B4="",0,COUNTIFS('UX Weekly'!$H$1:$CT$1,"&gt;="&amp;AP$1,'UX Weekly'!$H$1:$CT$1,"&lt;="&amp;EOMONTH(AP$1,0),'UX Weekly'!$H4:$CT4,"&lt;&gt;"))</f>
        <v>0</v>
      </c>
      <c r="AQ4">
        <f>IF($B4="",0,COUNTIFS('UX Weekly'!$H$1:$CT$1,"&gt;="&amp;AQ$1,'UX Weekly'!$H$1:$CT$1,"&lt;="&amp;EOMONTH(AQ$1,0),'UX Weekly'!$H4:$CT4,"&lt;&gt;"))</f>
        <v>0</v>
      </c>
      <c r="AR4">
        <f>IF($B4="",0,COUNTIFS('UX Weekly'!$H$1:$CT$1,"&gt;="&amp;AR$1,'UX Weekly'!$H$1:$CT$1,"&lt;="&amp;EOMONTH(AR$1,0),'UX Weekly'!$H4:$CT4,"&lt;&gt;"))</f>
        <v>0</v>
      </c>
      <c r="AS4">
        <f>IF($B4="",0,COUNTIFS('UX Weekly'!$H$1:$CT$1,"&gt;="&amp;AS$1,'UX Weekly'!$H$1:$CT$1,"&lt;="&amp;EOMONTH(AS$1,0),'UX Weekly'!$H4:$CT4,"&lt;&gt;"))</f>
        <v>0</v>
      </c>
      <c r="AT4">
        <f>IF($B4="",0,COUNTIFS('UX Weekly'!$H$1:$CT$1,"&gt;="&amp;AT$1,'UX Weekly'!$H$1:$CT$1,"&lt;="&amp;EOMONTH(AT$1,0),'UX Weekly'!$H4:$CT4,"&lt;&gt;"))</f>
        <v>0</v>
      </c>
      <c r="AU4">
        <f>IF($B4="",0,COUNTIFS('UX Weekly'!$H$1:$CT$1,"&gt;="&amp;AU$1,'UX Weekly'!$H$1:$CT$1,"&lt;="&amp;EOMONTH(AU$1,0),'UX Weekly'!$H4:$CT4,"&lt;&gt;"))</f>
        <v>0</v>
      </c>
      <c r="AV4">
        <f>IF($B4="",0,COUNTIFS('UX Weekly'!$H$1:$CT$1,"&gt;="&amp;AV$1,'UX Weekly'!$H$1:$CT$1,"&lt;="&amp;EOMONTH(AV$1,0),'UX Weekly'!$H4:$CT4,"&lt;&gt;"))</f>
        <v>0</v>
      </c>
      <c r="AW4">
        <f>IF($B4="",0,COUNTIFS('UX Weekly'!$H$1:$CT$1,"&gt;="&amp;AW$1,'UX Weekly'!$H$1:$CT$1,"&lt;="&amp;EOMONTH(AW$1,0),'UX Weekly'!$H4:$CT4,"&lt;&gt;"))</f>
        <v>0</v>
      </c>
      <c r="AX4">
        <f>IF($B4="",0,COUNTIFS('UX Weekly'!$H$1:$CT$1,"&gt;="&amp;AX$1,'UX Weekly'!$H$1:$CT$1,"&lt;="&amp;EOMONTH(AX$1,0),'UX Weekly'!$H4:$CT4,"&lt;&gt;"))</f>
        <v>0</v>
      </c>
      <c r="AZ4" s="155" t="s">
        <v>928</v>
      </c>
      <c r="BA4" s="143">
        <f>IFERROR(MATCH('Roadmap (Auto)'!$B$3,Control!$E$4:$E$30,0),0)</f>
        <v>0</v>
      </c>
    </row>
    <row r="5" spans="1:53" x14ac:dyDescent="0.2">
      <c r="A5" s="152">
        <v>5</v>
      </c>
      <c r="B5" s="152" t="str">
        <f>IF(TRIM('UX Weekly'!E5)="","",TRIM('UX Weekly'!E5))</f>
        <v>The Studio - Stand Alone Website</v>
      </c>
      <c r="C5" s="152" t="str">
        <f>IF($B5="","",'UX Weekly'!B5)</f>
        <v>B2B</v>
      </c>
      <c r="D5" s="152" t="str">
        <f>IF($B5="","",IF(TRIM('UX Weekly'!C5)="","(No theme assigned)",TRIM('UX Weekly'!C5)))</f>
        <v>Increase The Studio B&amp;H Awareness</v>
      </c>
      <c r="E5" s="152" t="str">
        <f>IF($B5="","",TRIM('UX Weekly'!F5))</f>
        <v/>
      </c>
      <c r="F5" s="152" t="str">
        <f>IF($B5="","",'UX Weekly'!G5)</f>
        <v>01. Prod Discovery</v>
      </c>
      <c r="G5" s="153">
        <f t="array" ref="G5">IF($B5="","",IF($T5=0,"",IFERROR(MIN(IF('UX Weekly'!$H5:$CT5&lt;&gt;"",'UX Weekly'!$H$1:$CT$1)),"")))</f>
        <v>46272</v>
      </c>
      <c r="H5" s="153">
        <f t="array" ref="H5">IF($B5="","",IF($T5=0,"",IFERROR(MAX(IF('UX Weekly'!$H5:$CT5&lt;&gt;"",'UX Weekly'!$H$1:$CT$1)),"")))</f>
        <v>46286</v>
      </c>
      <c r="I5" s="154">
        <f t="shared" ca="1" si="0"/>
        <v>46388</v>
      </c>
      <c r="J5" s="154">
        <f t="shared" ca="1" si="1"/>
        <v>46477</v>
      </c>
      <c r="K5" s="152" t="str">
        <f>IF($B5="","",IF(COUNTA('Dev Tracker'!L5)=0,"",TRIM('Dev Tracker'!L5)))</f>
        <v/>
      </c>
      <c r="L5" s="152">
        <f>IF($B5="","",IFERROR(MATCH($D5,Control!$E$4:$E$30,0),99))</f>
        <v>9</v>
      </c>
      <c r="M5" s="152">
        <f>IF($B5="","",IFERROR(MATCH($F5,Control!$B$4:$B$30,0),99))</f>
        <v>3</v>
      </c>
      <c r="N5" s="152" t="str">
        <f>IF($V5&lt;&gt;1,"",IF('Roadmap (Auto)'!$D$3="Status, then Theme",$M5*1000000+$L5*10000+ROW(),IF('Roadmap (Auto)'!$D$3="Dev start (earliest)",IF($I5="",99999999,$I5)*10000+ROW(),IF('Roadmap (Auto)'!$D$3="UX start (earliest)",IF($G5="",99999999,$G5)*10000+ROW(),IF('Roadmap (Auto)'!$D$3="Deliverable A-Z",$W5*10000+ROW(),$L5*1000000+$M5*10000+ROW())))))</f>
        <v/>
      </c>
      <c r="O5" s="152" t="str">
        <f t="shared" si="2"/>
        <v/>
      </c>
      <c r="P5" s="152" t="str">
        <f>IF($B5="","",IF(COUNTA('Dev Tracker'!I5)=0,"",'Dev Tracker'!I5))</f>
        <v>Jan 2027</v>
      </c>
      <c r="Q5" s="152" t="str">
        <f>IF($B5="","",IF(COUNTA('Dev Tracker'!J5)=0,"",'Dev Tracker'!J5))</f>
        <v>Mar 2027</v>
      </c>
      <c r="R5" s="154">
        <f t="shared" ca="1" si="3"/>
        <v>46388</v>
      </c>
      <c r="S5" s="154">
        <f t="shared" ca="1" si="4"/>
        <v>46447</v>
      </c>
      <c r="T5" s="152">
        <f>IF($B5="","",COUNTA('UX Weekly'!$H5:$CT5))</f>
        <v>3</v>
      </c>
      <c r="U5" s="152">
        <f>IF($B5="","",IFERROR(MATCH($D5,Control!$E$4:$E$30,0)+3,0))</f>
        <v>12</v>
      </c>
      <c r="V5" s="152">
        <f>IF($B5="","",IF(AND(OR('Roadmap (Auto)'!$A$3="",'Roadmap (Auto)'!$A$3="(All)",ISNUMBER(SEARCH('Roadmap (Auto)'!$A$3,$C5&amp;""))),OR('Roadmap (Auto)'!$B$3="",'Roadmap (Auto)'!$B$3="(All)",$D5='Roadmap (Auto)'!$B$3,$X5='Roadmap (Auto)'!$B$3),OR('Roadmap (Auto)'!$C$3="",'Roadmap (Auto)'!$C$3="(All)",$F5='Roadmap (Auto)'!$C$3)),1,0))</f>
        <v>0</v>
      </c>
      <c r="W5" s="152">
        <f t="shared" si="5"/>
        <v>142</v>
      </c>
      <c r="X5" s="152" t="str">
        <f>IF($B5="","",IF(TRIM('UX Weekly'!D5)="","",TRIM('UX Weekly'!D5)))</f>
        <v/>
      </c>
      <c r="Y5" s="152" t="str">
        <f t="shared" si="6"/>
        <v>THESTUDIOSTANDALONEWEBSITE</v>
      </c>
      <c r="AA5">
        <f>IF($B5="",0,COUNTIFS('UX Weekly'!$H$1:$CT$1,"&gt;="&amp;AA$1,'UX Weekly'!$H$1:$CT$1,"&lt;="&amp;EOMONTH(AA$1,0),'UX Weekly'!$H5:$CT5,"&lt;&gt;"))</f>
        <v>0</v>
      </c>
      <c r="AB5">
        <f>IF($B5="",0,COUNTIFS('UX Weekly'!$H$1:$CT$1,"&gt;="&amp;AB$1,'UX Weekly'!$H$1:$CT$1,"&lt;="&amp;EOMONTH(AB$1,0),'UX Weekly'!$H5:$CT5,"&lt;&gt;"))</f>
        <v>0</v>
      </c>
      <c r="AC5">
        <f>IF($B5="",0,COUNTIFS('UX Weekly'!$H$1:$CT$1,"&gt;="&amp;AC$1,'UX Weekly'!$H$1:$CT$1,"&lt;="&amp;EOMONTH(AC$1,0),'UX Weekly'!$H5:$CT5,"&lt;&gt;"))</f>
        <v>0</v>
      </c>
      <c r="AD5">
        <f>IF($B5="",0,COUNTIFS('UX Weekly'!$H$1:$CT$1,"&gt;="&amp;AD$1,'UX Weekly'!$H$1:$CT$1,"&lt;="&amp;EOMONTH(AD$1,0),'UX Weekly'!$H5:$CT5,"&lt;&gt;"))</f>
        <v>0</v>
      </c>
      <c r="AE5">
        <f>IF($B5="",0,COUNTIFS('UX Weekly'!$H$1:$CT$1,"&gt;="&amp;AE$1,'UX Weekly'!$H$1:$CT$1,"&lt;="&amp;EOMONTH(AE$1,0),'UX Weekly'!$H5:$CT5,"&lt;&gt;"))</f>
        <v>0</v>
      </c>
      <c r="AF5">
        <f>IF($B5="",0,COUNTIFS('UX Weekly'!$H$1:$CT$1,"&gt;="&amp;AF$1,'UX Weekly'!$H$1:$CT$1,"&lt;="&amp;EOMONTH(AF$1,0),'UX Weekly'!$H5:$CT5,"&lt;&gt;"))</f>
        <v>0</v>
      </c>
      <c r="AG5">
        <f>IF($B5="",0,COUNTIFS('UX Weekly'!$H$1:$CT$1,"&gt;="&amp;AG$1,'UX Weekly'!$H$1:$CT$1,"&lt;="&amp;EOMONTH(AG$1,0),'UX Weekly'!$H5:$CT5,"&lt;&gt;"))</f>
        <v>0</v>
      </c>
      <c r="AH5">
        <f>IF($B5="",0,COUNTIFS('UX Weekly'!$H$1:$CT$1,"&gt;="&amp;AH$1,'UX Weekly'!$H$1:$CT$1,"&lt;="&amp;EOMONTH(AH$1,0),'UX Weekly'!$H5:$CT5,"&lt;&gt;"))</f>
        <v>0</v>
      </c>
      <c r="AI5">
        <f>IF($B5="",0,COUNTIFS('UX Weekly'!$H$1:$CT$1,"&gt;="&amp;AI$1,'UX Weekly'!$H$1:$CT$1,"&lt;="&amp;EOMONTH(AI$1,0),'UX Weekly'!$H5:$CT5,"&lt;&gt;"))</f>
        <v>3</v>
      </c>
      <c r="AJ5">
        <f>IF($B5="",0,COUNTIFS('UX Weekly'!$H$1:$CT$1,"&gt;="&amp;AJ$1,'UX Weekly'!$H$1:$CT$1,"&lt;="&amp;EOMONTH(AJ$1,0),'UX Weekly'!$H5:$CT5,"&lt;&gt;"))</f>
        <v>0</v>
      </c>
      <c r="AK5">
        <f>IF($B5="",0,COUNTIFS('UX Weekly'!$H$1:$CT$1,"&gt;="&amp;AK$1,'UX Weekly'!$H$1:$CT$1,"&lt;="&amp;EOMONTH(AK$1,0),'UX Weekly'!$H5:$CT5,"&lt;&gt;"))</f>
        <v>0</v>
      </c>
      <c r="AL5">
        <f>IF($B5="",0,COUNTIFS('UX Weekly'!$H$1:$CT$1,"&gt;="&amp;AL$1,'UX Weekly'!$H$1:$CT$1,"&lt;="&amp;EOMONTH(AL$1,0),'UX Weekly'!$H5:$CT5,"&lt;&gt;"))</f>
        <v>0</v>
      </c>
      <c r="AM5">
        <f>IF($B5="",0,COUNTIFS('UX Weekly'!$H$1:$CT$1,"&gt;="&amp;AM$1,'UX Weekly'!$H$1:$CT$1,"&lt;="&amp;EOMONTH(AM$1,0),'UX Weekly'!$H5:$CT5,"&lt;&gt;"))</f>
        <v>0</v>
      </c>
      <c r="AN5">
        <f>IF($B5="",0,COUNTIFS('UX Weekly'!$H$1:$CT$1,"&gt;="&amp;AN$1,'UX Weekly'!$H$1:$CT$1,"&lt;="&amp;EOMONTH(AN$1,0),'UX Weekly'!$H5:$CT5,"&lt;&gt;"))</f>
        <v>0</v>
      </c>
      <c r="AO5">
        <f>IF($B5="",0,COUNTIFS('UX Weekly'!$H$1:$CT$1,"&gt;="&amp;AO$1,'UX Weekly'!$H$1:$CT$1,"&lt;="&amp;EOMONTH(AO$1,0),'UX Weekly'!$H5:$CT5,"&lt;&gt;"))</f>
        <v>0</v>
      </c>
      <c r="AP5">
        <f>IF($B5="",0,COUNTIFS('UX Weekly'!$H$1:$CT$1,"&gt;="&amp;AP$1,'UX Weekly'!$H$1:$CT$1,"&lt;="&amp;EOMONTH(AP$1,0),'UX Weekly'!$H5:$CT5,"&lt;&gt;"))</f>
        <v>0</v>
      </c>
      <c r="AQ5">
        <f>IF($B5="",0,COUNTIFS('UX Weekly'!$H$1:$CT$1,"&gt;="&amp;AQ$1,'UX Weekly'!$H$1:$CT$1,"&lt;="&amp;EOMONTH(AQ$1,0),'UX Weekly'!$H5:$CT5,"&lt;&gt;"))</f>
        <v>0</v>
      </c>
      <c r="AR5">
        <f>IF($B5="",0,COUNTIFS('UX Weekly'!$H$1:$CT$1,"&gt;="&amp;AR$1,'UX Weekly'!$H$1:$CT$1,"&lt;="&amp;EOMONTH(AR$1,0),'UX Weekly'!$H5:$CT5,"&lt;&gt;"))</f>
        <v>0</v>
      </c>
      <c r="AS5">
        <f>IF($B5="",0,COUNTIFS('UX Weekly'!$H$1:$CT$1,"&gt;="&amp;AS$1,'UX Weekly'!$H$1:$CT$1,"&lt;="&amp;EOMONTH(AS$1,0),'UX Weekly'!$H5:$CT5,"&lt;&gt;"))</f>
        <v>0</v>
      </c>
      <c r="AT5">
        <f>IF($B5="",0,COUNTIFS('UX Weekly'!$H$1:$CT$1,"&gt;="&amp;AT$1,'UX Weekly'!$H$1:$CT$1,"&lt;="&amp;EOMONTH(AT$1,0),'UX Weekly'!$H5:$CT5,"&lt;&gt;"))</f>
        <v>0</v>
      </c>
      <c r="AU5">
        <f>IF($B5="",0,COUNTIFS('UX Weekly'!$H$1:$CT$1,"&gt;="&amp;AU$1,'UX Weekly'!$H$1:$CT$1,"&lt;="&amp;EOMONTH(AU$1,0),'UX Weekly'!$H5:$CT5,"&lt;&gt;"))</f>
        <v>0</v>
      </c>
      <c r="AV5">
        <f>IF($B5="",0,COUNTIFS('UX Weekly'!$H$1:$CT$1,"&gt;="&amp;AV$1,'UX Weekly'!$H$1:$CT$1,"&lt;="&amp;EOMONTH(AV$1,0),'UX Weekly'!$H5:$CT5,"&lt;&gt;"))</f>
        <v>0</v>
      </c>
      <c r="AW5">
        <f>IF($B5="",0,COUNTIFS('UX Weekly'!$H$1:$CT$1,"&gt;="&amp;AW$1,'UX Weekly'!$H$1:$CT$1,"&lt;="&amp;EOMONTH(AW$1,0),'UX Weekly'!$H5:$CT5,"&lt;&gt;"))</f>
        <v>0</v>
      </c>
      <c r="AX5">
        <f>IF($B5="",0,COUNTIFS('UX Weekly'!$H$1:$CT$1,"&gt;="&amp;AX$1,'UX Weekly'!$H$1:$CT$1,"&lt;="&amp;EOMONTH(AX$1,0),'UX Weekly'!$H5:$CT5,"&lt;&gt;"))</f>
        <v>0</v>
      </c>
      <c r="AZ5" s="155" t="s">
        <v>9</v>
      </c>
      <c r="BA5" s="143" t="str">
        <f>IF($BA$4=0,"",IF(COUNTA(INDEX(Control!$F$4:$F$30,$BA$4))=0,"",INDEX(Control!$F$4:$F$30,$BA$4)))</f>
        <v/>
      </c>
    </row>
    <row r="6" spans="1:53" x14ac:dyDescent="0.2">
      <c r="A6" s="152">
        <v>6</v>
      </c>
      <c r="B6" s="152" t="str">
        <f>IF(TRIM('UX Weekly'!E6)="","",TRIM('UX Weekly'!E6))</f>
        <v>Homepage Header: B2B</v>
      </c>
      <c r="C6" s="152" t="str">
        <f>IF($B6="","",'UX Weekly'!B6)</f>
        <v>B2B</v>
      </c>
      <c r="D6" s="152" t="str">
        <f>IF($B6="","",IF(TRIM('UX Weekly'!C6)="","(No theme assigned)",TRIM('UX Weekly'!C6)))</f>
        <v>Increase B2B Acquisition</v>
      </c>
      <c r="E6" s="152" t="str">
        <f>IF($B6="","",TRIM('UX Weekly'!F6))</f>
        <v>BHP-7274</v>
      </c>
      <c r="F6" s="152" t="str">
        <f>IF($B6="","",'UX Weekly'!G6)</f>
        <v>01. Prod Discovery</v>
      </c>
      <c r="G6" s="153" t="str">
        <f t="array" ref="G6">IF($B6="","",IF($T6=0,"",IFERROR(MIN(IF('UX Weekly'!$H6:$CT6&lt;&gt;"",'UX Weekly'!$H$1:$CT$1)),"")))</f>
        <v/>
      </c>
      <c r="H6" s="153" t="str">
        <f t="array" ref="H6">IF($B6="","",IF($T6=0,"",IFERROR(MAX(IF('UX Weekly'!$H6:$CT6&lt;&gt;"",'UX Weekly'!$H$1:$CT$1)),"")))</f>
        <v/>
      </c>
      <c r="I6" s="154" t="str">
        <f t="shared" ca="1" si="0"/>
        <v/>
      </c>
      <c r="J6" s="154" t="str">
        <f t="shared" ca="1" si="1"/>
        <v/>
      </c>
      <c r="K6" s="152" t="str">
        <f>IF($B6="","",IF(COUNTA('Dev Tracker'!L6)=0,"",TRIM('Dev Tracker'!L6)))</f>
        <v>BHP-7274</v>
      </c>
      <c r="L6" s="152">
        <f>IF($B6="","",IFERROR(MATCH($D6,Control!$E$4:$E$30,0),99))</f>
        <v>8</v>
      </c>
      <c r="M6" s="152">
        <f>IF($B6="","",IFERROR(MATCH($F6,Control!$B$4:$B$30,0),99))</f>
        <v>3</v>
      </c>
      <c r="N6" s="152" t="str">
        <f>IF($V6&lt;&gt;1,"",IF('Roadmap (Auto)'!$D$3="Status, then Theme",$M6*1000000+$L6*10000+ROW(),IF('Roadmap (Auto)'!$D$3="Dev start (earliest)",IF($I6="",99999999,$I6)*10000+ROW(),IF('Roadmap (Auto)'!$D$3="UX start (earliest)",IF($G6="",99999999,$G6)*10000+ROW(),IF('Roadmap (Auto)'!$D$3="Deliverable A-Z",$W6*10000+ROW(),$L6*1000000+$M6*10000+ROW())))))</f>
        <v/>
      </c>
      <c r="O6" s="152" t="str">
        <f t="shared" si="2"/>
        <v/>
      </c>
      <c r="P6" s="152" t="str">
        <f>IF($B6="","",IF(COUNTA('Dev Tracker'!I6)=0,"",'Dev Tracker'!I6))</f>
        <v/>
      </c>
      <c r="Q6" s="152" t="str">
        <f>IF($B6="","",IF(COUNTA('Dev Tracker'!J6)=0,"",'Dev Tracker'!J6))</f>
        <v/>
      </c>
      <c r="R6" s="154" t="str">
        <f t="shared" ca="1" si="3"/>
        <v/>
      </c>
      <c r="S6" s="154" t="str">
        <f t="shared" ca="1" si="4"/>
        <v/>
      </c>
      <c r="T6" s="152">
        <f>IF($B6="","",COUNTA('UX Weekly'!$H6:$CT6))</f>
        <v>0</v>
      </c>
      <c r="U6" s="152">
        <f>IF($B6="","",IFERROR(MATCH($D6,Control!$E$4:$E$30,0)+3,0))</f>
        <v>11</v>
      </c>
      <c r="V6" s="152">
        <f>IF($B6="","",IF(AND(OR('Roadmap (Auto)'!$A$3="",'Roadmap (Auto)'!$A$3="(All)",ISNUMBER(SEARCH('Roadmap (Auto)'!$A$3,$C6&amp;""))),OR('Roadmap (Auto)'!$B$3="",'Roadmap (Auto)'!$B$3="(All)",$D6='Roadmap (Auto)'!$B$3,$X6='Roadmap (Auto)'!$B$3),OR('Roadmap (Auto)'!$C$3="",'Roadmap (Auto)'!$C$3="(All)",$F6='Roadmap (Auto)'!$C$3)),1,0))</f>
        <v>0</v>
      </c>
      <c r="W6" s="152">
        <f t="shared" si="5"/>
        <v>121</v>
      </c>
      <c r="X6" s="152" t="str">
        <f>IF($B6="","",IF(TRIM('UX Weekly'!D6)="","",TRIM('UX Weekly'!D6)))</f>
        <v/>
      </c>
      <c r="Y6" s="152" t="str">
        <f t="shared" si="6"/>
        <v>HOMEPAGEHEADERB2B</v>
      </c>
      <c r="AA6">
        <f>IF($B6="",0,COUNTIFS('UX Weekly'!$H$1:$CT$1,"&gt;="&amp;AA$1,'UX Weekly'!$H$1:$CT$1,"&lt;="&amp;EOMONTH(AA$1,0),'UX Weekly'!$H6:$CT6,"&lt;&gt;"))</f>
        <v>0</v>
      </c>
      <c r="AB6">
        <f>IF($B6="",0,COUNTIFS('UX Weekly'!$H$1:$CT$1,"&gt;="&amp;AB$1,'UX Weekly'!$H$1:$CT$1,"&lt;="&amp;EOMONTH(AB$1,0),'UX Weekly'!$H6:$CT6,"&lt;&gt;"))</f>
        <v>0</v>
      </c>
      <c r="AC6">
        <f>IF($B6="",0,COUNTIFS('UX Weekly'!$H$1:$CT$1,"&gt;="&amp;AC$1,'UX Weekly'!$H$1:$CT$1,"&lt;="&amp;EOMONTH(AC$1,0),'UX Weekly'!$H6:$CT6,"&lt;&gt;"))</f>
        <v>0</v>
      </c>
      <c r="AD6">
        <f>IF($B6="",0,COUNTIFS('UX Weekly'!$H$1:$CT$1,"&gt;="&amp;AD$1,'UX Weekly'!$H$1:$CT$1,"&lt;="&amp;EOMONTH(AD$1,0),'UX Weekly'!$H6:$CT6,"&lt;&gt;"))</f>
        <v>0</v>
      </c>
      <c r="AE6">
        <f>IF($B6="",0,COUNTIFS('UX Weekly'!$H$1:$CT$1,"&gt;="&amp;AE$1,'UX Weekly'!$H$1:$CT$1,"&lt;="&amp;EOMONTH(AE$1,0),'UX Weekly'!$H6:$CT6,"&lt;&gt;"))</f>
        <v>0</v>
      </c>
      <c r="AF6">
        <f>IF($B6="",0,COUNTIFS('UX Weekly'!$H$1:$CT$1,"&gt;="&amp;AF$1,'UX Weekly'!$H$1:$CT$1,"&lt;="&amp;EOMONTH(AF$1,0),'UX Weekly'!$H6:$CT6,"&lt;&gt;"))</f>
        <v>0</v>
      </c>
      <c r="AG6">
        <f>IF($B6="",0,COUNTIFS('UX Weekly'!$H$1:$CT$1,"&gt;="&amp;AG$1,'UX Weekly'!$H$1:$CT$1,"&lt;="&amp;EOMONTH(AG$1,0),'UX Weekly'!$H6:$CT6,"&lt;&gt;"))</f>
        <v>0</v>
      </c>
      <c r="AH6">
        <f>IF($B6="",0,COUNTIFS('UX Weekly'!$H$1:$CT$1,"&gt;="&amp;AH$1,'UX Weekly'!$H$1:$CT$1,"&lt;="&amp;EOMONTH(AH$1,0),'UX Weekly'!$H6:$CT6,"&lt;&gt;"))</f>
        <v>0</v>
      </c>
      <c r="AI6">
        <f>IF($B6="",0,COUNTIFS('UX Weekly'!$H$1:$CT$1,"&gt;="&amp;AI$1,'UX Weekly'!$H$1:$CT$1,"&lt;="&amp;EOMONTH(AI$1,0),'UX Weekly'!$H6:$CT6,"&lt;&gt;"))</f>
        <v>0</v>
      </c>
      <c r="AJ6">
        <f>IF($B6="",0,COUNTIFS('UX Weekly'!$H$1:$CT$1,"&gt;="&amp;AJ$1,'UX Weekly'!$H$1:$CT$1,"&lt;="&amp;EOMONTH(AJ$1,0),'UX Weekly'!$H6:$CT6,"&lt;&gt;"))</f>
        <v>0</v>
      </c>
      <c r="AK6">
        <f>IF($B6="",0,COUNTIFS('UX Weekly'!$H$1:$CT$1,"&gt;="&amp;AK$1,'UX Weekly'!$H$1:$CT$1,"&lt;="&amp;EOMONTH(AK$1,0),'UX Weekly'!$H6:$CT6,"&lt;&gt;"))</f>
        <v>0</v>
      </c>
      <c r="AL6">
        <f>IF($B6="",0,COUNTIFS('UX Weekly'!$H$1:$CT$1,"&gt;="&amp;AL$1,'UX Weekly'!$H$1:$CT$1,"&lt;="&amp;EOMONTH(AL$1,0),'UX Weekly'!$H6:$CT6,"&lt;&gt;"))</f>
        <v>0</v>
      </c>
      <c r="AM6">
        <f>IF($B6="",0,COUNTIFS('UX Weekly'!$H$1:$CT$1,"&gt;="&amp;AM$1,'UX Weekly'!$H$1:$CT$1,"&lt;="&amp;EOMONTH(AM$1,0),'UX Weekly'!$H6:$CT6,"&lt;&gt;"))</f>
        <v>0</v>
      </c>
      <c r="AN6">
        <f>IF($B6="",0,COUNTIFS('UX Weekly'!$H$1:$CT$1,"&gt;="&amp;AN$1,'UX Weekly'!$H$1:$CT$1,"&lt;="&amp;EOMONTH(AN$1,0),'UX Weekly'!$H6:$CT6,"&lt;&gt;"))</f>
        <v>0</v>
      </c>
      <c r="AO6">
        <f>IF($B6="",0,COUNTIFS('UX Weekly'!$H$1:$CT$1,"&gt;="&amp;AO$1,'UX Weekly'!$H$1:$CT$1,"&lt;="&amp;EOMONTH(AO$1,0),'UX Weekly'!$H6:$CT6,"&lt;&gt;"))</f>
        <v>0</v>
      </c>
      <c r="AP6">
        <f>IF($B6="",0,COUNTIFS('UX Weekly'!$H$1:$CT$1,"&gt;="&amp;AP$1,'UX Weekly'!$H$1:$CT$1,"&lt;="&amp;EOMONTH(AP$1,0),'UX Weekly'!$H6:$CT6,"&lt;&gt;"))</f>
        <v>0</v>
      </c>
      <c r="AQ6">
        <f>IF($B6="",0,COUNTIFS('UX Weekly'!$H$1:$CT$1,"&gt;="&amp;AQ$1,'UX Weekly'!$H$1:$CT$1,"&lt;="&amp;EOMONTH(AQ$1,0),'UX Weekly'!$H6:$CT6,"&lt;&gt;"))</f>
        <v>0</v>
      </c>
      <c r="AR6">
        <f>IF($B6="",0,COUNTIFS('UX Weekly'!$H$1:$CT$1,"&gt;="&amp;AR$1,'UX Weekly'!$H$1:$CT$1,"&lt;="&amp;EOMONTH(AR$1,0),'UX Weekly'!$H6:$CT6,"&lt;&gt;"))</f>
        <v>0</v>
      </c>
      <c r="AS6">
        <f>IF($B6="",0,COUNTIFS('UX Weekly'!$H$1:$CT$1,"&gt;="&amp;AS$1,'UX Weekly'!$H$1:$CT$1,"&lt;="&amp;EOMONTH(AS$1,0),'UX Weekly'!$H6:$CT6,"&lt;&gt;"))</f>
        <v>0</v>
      </c>
      <c r="AT6">
        <f>IF($B6="",0,COUNTIFS('UX Weekly'!$H$1:$CT$1,"&gt;="&amp;AT$1,'UX Weekly'!$H$1:$CT$1,"&lt;="&amp;EOMONTH(AT$1,0),'UX Weekly'!$H6:$CT6,"&lt;&gt;"))</f>
        <v>0</v>
      </c>
      <c r="AU6">
        <f>IF($B6="",0,COUNTIFS('UX Weekly'!$H$1:$CT$1,"&gt;="&amp;AU$1,'UX Weekly'!$H$1:$CT$1,"&lt;="&amp;EOMONTH(AU$1,0),'UX Weekly'!$H6:$CT6,"&lt;&gt;"))</f>
        <v>0</v>
      </c>
      <c r="AV6">
        <f>IF($B6="",0,COUNTIFS('UX Weekly'!$H$1:$CT$1,"&gt;="&amp;AV$1,'UX Weekly'!$H$1:$CT$1,"&lt;="&amp;EOMONTH(AV$1,0),'UX Weekly'!$H6:$CT6,"&lt;&gt;"))</f>
        <v>0</v>
      </c>
      <c r="AW6">
        <f>IF($B6="",0,COUNTIFS('UX Weekly'!$H$1:$CT$1,"&gt;="&amp;AW$1,'UX Weekly'!$H$1:$CT$1,"&lt;="&amp;EOMONTH(AW$1,0),'UX Weekly'!$H6:$CT6,"&lt;&gt;"))</f>
        <v>0</v>
      </c>
      <c r="AX6">
        <f>IF($B6="",0,COUNTIFS('UX Weekly'!$H$1:$CT$1,"&gt;="&amp;AX$1,'UX Weekly'!$H$1:$CT$1,"&lt;="&amp;EOMONTH(AX$1,0),'UX Weekly'!$H6:$CT6,"&lt;&gt;"))</f>
        <v>0</v>
      </c>
      <c r="AZ6" s="155" t="s">
        <v>11</v>
      </c>
      <c r="BA6" s="143" t="str">
        <f>IF($BA$4=0,"",IF(COUNTA(INDEX(Control!$G$4:$G$30,$BA$4))=0,"",INDEX(Control!$G$4:$G$30,$BA$4)))</f>
        <v/>
      </c>
    </row>
    <row r="7" spans="1:53" x14ac:dyDescent="0.2">
      <c r="A7" s="152">
        <v>7</v>
      </c>
      <c r="B7" s="152" t="str">
        <f>IF(TRIM('UX Weekly'!E7)="","",TRIM('UX Weekly'!E7))</f>
        <v>Decouple Sell Used from Used Hub</v>
      </c>
      <c r="C7" s="152" t="str">
        <f>IF($B7="","",'UX Weekly'!B7)</f>
        <v>Used</v>
      </c>
      <c r="D7" s="152" t="str">
        <f>IF($B7="","",IF(TRIM('UX Weekly'!C7)="","(No theme assigned)",TRIM('UX Weekly'!C7)))</f>
        <v>Increase Trade In Awareness</v>
      </c>
      <c r="E7" s="152" t="str">
        <f>IF($B7="","",TRIM('UX Weekly'!F7))</f>
        <v>BHP-7431</v>
      </c>
      <c r="F7" s="152" t="str">
        <f>IF($B7="","",'UX Weekly'!G7)</f>
        <v>01. Prod Discovery</v>
      </c>
      <c r="G7" s="153" t="str">
        <f t="array" ref="G7">IF($B7="","",IF($T7=0,"",IFERROR(MIN(IF('UX Weekly'!$H7:$CT7&lt;&gt;"",'UX Weekly'!$H$1:$CT$1)),"")))</f>
        <v/>
      </c>
      <c r="H7" s="153" t="str">
        <f t="array" ref="H7">IF($B7="","",IF($T7=0,"",IFERROR(MAX(IF('UX Weekly'!$H7:$CT7&lt;&gt;"",'UX Weekly'!$H$1:$CT$1)),"")))</f>
        <v/>
      </c>
      <c r="I7" s="154" t="str">
        <f t="shared" ca="1" si="0"/>
        <v/>
      </c>
      <c r="J7" s="154" t="str">
        <f t="shared" ca="1" si="1"/>
        <v/>
      </c>
      <c r="K7" s="152" t="str">
        <f>IF($B7="","",IF(COUNTA('Dev Tracker'!L7)=0,"",TRIM('Dev Tracker'!L7)))</f>
        <v>BHP-7431</v>
      </c>
      <c r="L7" s="152">
        <f>IF($B7="","",IFERROR(MATCH($D7,Control!$E$4:$E$30,0),99))</f>
        <v>2</v>
      </c>
      <c r="M7" s="152">
        <f>IF($B7="","",IFERROR(MATCH($F7,Control!$B$4:$B$30,0),99))</f>
        <v>3</v>
      </c>
      <c r="N7" s="152">
        <f>IF($V7&lt;&gt;1,"",IF('Roadmap (Auto)'!$D$3="Status, then Theme",$M7*1000000+$L7*10000+ROW(),IF('Roadmap (Auto)'!$D$3="Dev start (earliest)",IF($I7="",99999999,$I7)*10000+ROW(),IF('Roadmap (Auto)'!$D$3="UX start (earliest)",IF($G7="",99999999,$G7)*10000+ROW(),IF('Roadmap (Auto)'!$D$3="Deliverable A-Z",$W7*10000+ROW(),$L7*1000000+$M7*10000+ROW())))))</f>
        <v>2030007</v>
      </c>
      <c r="O7" s="152">
        <f t="shared" si="2"/>
        <v>1</v>
      </c>
      <c r="P7" s="152" t="str">
        <f>IF($B7="","",IF(COUNTA('Dev Tracker'!I7)=0,"",'Dev Tracker'!I7))</f>
        <v/>
      </c>
      <c r="Q7" s="152" t="str">
        <f>IF($B7="","",IF(COUNTA('Dev Tracker'!J7)=0,"",'Dev Tracker'!J7))</f>
        <v/>
      </c>
      <c r="R7" s="154" t="str">
        <f t="shared" ca="1" si="3"/>
        <v/>
      </c>
      <c r="S7" s="154" t="str">
        <f t="shared" ca="1" si="4"/>
        <v/>
      </c>
      <c r="T7" s="152">
        <f>IF($B7="","",COUNTA('UX Weekly'!$H7:$CT7))</f>
        <v>0</v>
      </c>
      <c r="U7" s="152">
        <f>IF($B7="","",IFERROR(MATCH($D7,Control!$E$4:$E$30,0)+3,0))</f>
        <v>5</v>
      </c>
      <c r="V7" s="152">
        <f>IF($B7="","",IF(AND(OR('Roadmap (Auto)'!$A$3="",'Roadmap (Auto)'!$A$3="(All)",ISNUMBER(SEARCH('Roadmap (Auto)'!$A$3,$C7&amp;""))),OR('Roadmap (Auto)'!$B$3="",'Roadmap (Auto)'!$B$3="(All)",$D7='Roadmap (Auto)'!$B$3,$X7='Roadmap (Auto)'!$B$3),OR('Roadmap (Auto)'!$C$3="",'Roadmap (Auto)'!$C$3="(All)",$F7='Roadmap (Auto)'!$C$3)),1,0))</f>
        <v>1</v>
      </c>
      <c r="W7" s="152">
        <f t="shared" si="5"/>
        <v>116</v>
      </c>
      <c r="X7" s="152" t="str">
        <f>IF($B7="","",IF(TRIM('UX Weekly'!D7)="","",TRIM('UX Weekly'!D7)))</f>
        <v/>
      </c>
      <c r="Y7" s="152" t="str">
        <f t="shared" si="6"/>
        <v>DECOUPLESELLUSEDFROMUSEDHUB</v>
      </c>
      <c r="AA7">
        <f>IF($B7="",0,COUNTIFS('UX Weekly'!$H$1:$CT$1,"&gt;="&amp;AA$1,'UX Weekly'!$H$1:$CT$1,"&lt;="&amp;EOMONTH(AA$1,0),'UX Weekly'!$H7:$CT7,"&lt;&gt;"))</f>
        <v>0</v>
      </c>
      <c r="AB7">
        <f>IF($B7="",0,COUNTIFS('UX Weekly'!$H$1:$CT$1,"&gt;="&amp;AB$1,'UX Weekly'!$H$1:$CT$1,"&lt;="&amp;EOMONTH(AB$1,0),'UX Weekly'!$H7:$CT7,"&lt;&gt;"))</f>
        <v>0</v>
      </c>
      <c r="AC7">
        <f>IF($B7="",0,COUNTIFS('UX Weekly'!$H$1:$CT$1,"&gt;="&amp;AC$1,'UX Weekly'!$H$1:$CT$1,"&lt;="&amp;EOMONTH(AC$1,0),'UX Weekly'!$H7:$CT7,"&lt;&gt;"))</f>
        <v>0</v>
      </c>
      <c r="AD7">
        <f>IF($B7="",0,COUNTIFS('UX Weekly'!$H$1:$CT$1,"&gt;="&amp;AD$1,'UX Weekly'!$H$1:$CT$1,"&lt;="&amp;EOMONTH(AD$1,0),'UX Weekly'!$H7:$CT7,"&lt;&gt;"))</f>
        <v>0</v>
      </c>
      <c r="AE7">
        <f>IF($B7="",0,COUNTIFS('UX Weekly'!$H$1:$CT$1,"&gt;="&amp;AE$1,'UX Weekly'!$H$1:$CT$1,"&lt;="&amp;EOMONTH(AE$1,0),'UX Weekly'!$H7:$CT7,"&lt;&gt;"))</f>
        <v>0</v>
      </c>
      <c r="AF7">
        <f>IF($B7="",0,COUNTIFS('UX Weekly'!$H$1:$CT$1,"&gt;="&amp;AF$1,'UX Weekly'!$H$1:$CT$1,"&lt;="&amp;EOMONTH(AF$1,0),'UX Weekly'!$H7:$CT7,"&lt;&gt;"))</f>
        <v>0</v>
      </c>
      <c r="AG7">
        <f>IF($B7="",0,COUNTIFS('UX Weekly'!$H$1:$CT$1,"&gt;="&amp;AG$1,'UX Weekly'!$H$1:$CT$1,"&lt;="&amp;EOMONTH(AG$1,0),'UX Weekly'!$H7:$CT7,"&lt;&gt;"))</f>
        <v>0</v>
      </c>
      <c r="AH7">
        <f>IF($B7="",0,COUNTIFS('UX Weekly'!$H$1:$CT$1,"&gt;="&amp;AH$1,'UX Weekly'!$H$1:$CT$1,"&lt;="&amp;EOMONTH(AH$1,0),'UX Weekly'!$H7:$CT7,"&lt;&gt;"))</f>
        <v>0</v>
      </c>
      <c r="AI7">
        <f>IF($B7="",0,COUNTIFS('UX Weekly'!$H$1:$CT$1,"&gt;="&amp;AI$1,'UX Weekly'!$H$1:$CT$1,"&lt;="&amp;EOMONTH(AI$1,0),'UX Weekly'!$H7:$CT7,"&lt;&gt;"))</f>
        <v>0</v>
      </c>
      <c r="AJ7">
        <f>IF($B7="",0,COUNTIFS('UX Weekly'!$H$1:$CT$1,"&gt;="&amp;AJ$1,'UX Weekly'!$H$1:$CT$1,"&lt;="&amp;EOMONTH(AJ$1,0),'UX Weekly'!$H7:$CT7,"&lt;&gt;"))</f>
        <v>0</v>
      </c>
      <c r="AK7">
        <f>IF($B7="",0,COUNTIFS('UX Weekly'!$H$1:$CT$1,"&gt;="&amp;AK$1,'UX Weekly'!$H$1:$CT$1,"&lt;="&amp;EOMONTH(AK$1,0),'UX Weekly'!$H7:$CT7,"&lt;&gt;"))</f>
        <v>0</v>
      </c>
      <c r="AL7">
        <f>IF($B7="",0,COUNTIFS('UX Weekly'!$H$1:$CT$1,"&gt;="&amp;AL$1,'UX Weekly'!$H$1:$CT$1,"&lt;="&amp;EOMONTH(AL$1,0),'UX Weekly'!$H7:$CT7,"&lt;&gt;"))</f>
        <v>0</v>
      </c>
      <c r="AM7">
        <f>IF($B7="",0,COUNTIFS('UX Weekly'!$H$1:$CT$1,"&gt;="&amp;AM$1,'UX Weekly'!$H$1:$CT$1,"&lt;="&amp;EOMONTH(AM$1,0),'UX Weekly'!$H7:$CT7,"&lt;&gt;"))</f>
        <v>0</v>
      </c>
      <c r="AN7">
        <f>IF($B7="",0,COUNTIFS('UX Weekly'!$H$1:$CT$1,"&gt;="&amp;AN$1,'UX Weekly'!$H$1:$CT$1,"&lt;="&amp;EOMONTH(AN$1,0),'UX Weekly'!$H7:$CT7,"&lt;&gt;"))</f>
        <v>0</v>
      </c>
      <c r="AO7">
        <f>IF($B7="",0,COUNTIFS('UX Weekly'!$H$1:$CT$1,"&gt;="&amp;AO$1,'UX Weekly'!$H$1:$CT$1,"&lt;="&amp;EOMONTH(AO$1,0),'UX Weekly'!$H7:$CT7,"&lt;&gt;"))</f>
        <v>0</v>
      </c>
      <c r="AP7">
        <f>IF($B7="",0,COUNTIFS('UX Weekly'!$H$1:$CT$1,"&gt;="&amp;AP$1,'UX Weekly'!$H$1:$CT$1,"&lt;="&amp;EOMONTH(AP$1,0),'UX Weekly'!$H7:$CT7,"&lt;&gt;"))</f>
        <v>0</v>
      </c>
      <c r="AQ7">
        <f>IF($B7="",0,COUNTIFS('UX Weekly'!$H$1:$CT$1,"&gt;="&amp;AQ$1,'UX Weekly'!$H$1:$CT$1,"&lt;="&amp;EOMONTH(AQ$1,0),'UX Weekly'!$H7:$CT7,"&lt;&gt;"))</f>
        <v>0</v>
      </c>
      <c r="AR7">
        <f>IF($B7="",0,COUNTIFS('UX Weekly'!$H$1:$CT$1,"&gt;="&amp;AR$1,'UX Weekly'!$H$1:$CT$1,"&lt;="&amp;EOMONTH(AR$1,0),'UX Weekly'!$H7:$CT7,"&lt;&gt;"))</f>
        <v>0</v>
      </c>
      <c r="AS7">
        <f>IF($B7="",0,COUNTIFS('UX Weekly'!$H$1:$CT$1,"&gt;="&amp;AS$1,'UX Weekly'!$H$1:$CT$1,"&lt;="&amp;EOMONTH(AS$1,0),'UX Weekly'!$H7:$CT7,"&lt;&gt;"))</f>
        <v>0</v>
      </c>
      <c r="AT7">
        <f>IF($B7="",0,COUNTIFS('UX Weekly'!$H$1:$CT$1,"&gt;="&amp;AT$1,'UX Weekly'!$H$1:$CT$1,"&lt;="&amp;EOMONTH(AT$1,0),'UX Weekly'!$H7:$CT7,"&lt;&gt;"))</f>
        <v>0</v>
      </c>
      <c r="AU7">
        <f>IF($B7="",0,COUNTIFS('UX Weekly'!$H$1:$CT$1,"&gt;="&amp;AU$1,'UX Weekly'!$H$1:$CT$1,"&lt;="&amp;EOMONTH(AU$1,0),'UX Weekly'!$H7:$CT7,"&lt;&gt;"))</f>
        <v>0</v>
      </c>
      <c r="AV7">
        <f>IF($B7="",0,COUNTIFS('UX Weekly'!$H$1:$CT$1,"&gt;="&amp;AV$1,'UX Weekly'!$H$1:$CT$1,"&lt;="&amp;EOMONTH(AV$1,0),'UX Weekly'!$H7:$CT7,"&lt;&gt;"))</f>
        <v>0</v>
      </c>
      <c r="AW7">
        <f>IF($B7="",0,COUNTIFS('UX Weekly'!$H$1:$CT$1,"&gt;="&amp;AW$1,'UX Weekly'!$H$1:$CT$1,"&lt;="&amp;EOMONTH(AW$1,0),'UX Weekly'!$H7:$CT7,"&lt;&gt;"))</f>
        <v>0</v>
      </c>
      <c r="AX7">
        <f>IF($B7="",0,COUNTIFS('UX Weekly'!$H$1:$CT$1,"&gt;="&amp;AX$1,'UX Weekly'!$H$1:$CT$1,"&lt;="&amp;EOMONTH(AX$1,0),'UX Weekly'!$H7:$CT7,"&lt;&gt;"))</f>
        <v>0</v>
      </c>
      <c r="AZ7" s="155" t="s">
        <v>13</v>
      </c>
      <c r="BA7" s="143" t="str">
        <f>IF($BA$4=0,"",IF(COUNTA(INDEX(Control!$H$4:$H$30,$BA$4))=0,"",INDEX(Control!$H$4:$H$30,$BA$4)))</f>
        <v/>
      </c>
    </row>
    <row r="8" spans="1:53" x14ac:dyDescent="0.2">
      <c r="A8" s="152">
        <v>8</v>
      </c>
      <c r="B8" s="152" t="str">
        <f>IF(TRIM('UX Weekly'!E8)="","",TRIM('UX Weekly'!E8))</f>
        <v>Sell Used Purchase Look Up</v>
      </c>
      <c r="C8" s="152" t="str">
        <f>IF($B8="","",'UX Weekly'!B8)</f>
        <v>Used</v>
      </c>
      <c r="D8" s="152" t="str">
        <f>IF($B8="","",IF(TRIM('UX Weekly'!C8)="","(No theme assigned)",TRIM('UX Weekly'!C8)))</f>
        <v>Improve Trade In User Flow</v>
      </c>
      <c r="E8" s="152" t="str">
        <f>IF($B8="","",TRIM('UX Weekly'!F8))</f>
        <v>BHP-7236</v>
      </c>
      <c r="F8" s="152" t="str">
        <f>IF($B8="","",'UX Weekly'!G8)</f>
        <v>02. UX Req</v>
      </c>
      <c r="G8" s="153">
        <f t="array" ref="G8">IF($B8="","",IF($T8=0,"",IFERROR(MIN(IF('UX Weekly'!$H8:$CT8&lt;&gt;"",'UX Weekly'!$H$1:$CT$1)),"")))</f>
        <v>46258</v>
      </c>
      <c r="H8" s="153">
        <f t="array" ref="H8">IF($B8="","",IF($T8=0,"",IFERROR(MAX(IF('UX Weekly'!$H8:$CT8&lt;&gt;"",'UX Weekly'!$H$1:$CT$1)),"")))</f>
        <v>46272</v>
      </c>
      <c r="I8" s="154">
        <f t="shared" ca="1" si="0"/>
        <v>46327</v>
      </c>
      <c r="J8" s="154">
        <f t="shared" ca="1" si="1"/>
        <v>46418</v>
      </c>
      <c r="K8" s="152" t="str">
        <f>IF($B8="","",IF(COUNTA('Dev Tracker'!L8)=0,"",TRIM('Dev Tracker'!L8)))</f>
        <v>BHP-7236</v>
      </c>
      <c r="L8" s="152">
        <f>IF($B8="","",IFERROR(MATCH($D8,Control!$E$4:$E$30,0),99))</f>
        <v>3</v>
      </c>
      <c r="M8" s="152">
        <f>IF($B8="","",IFERROR(MATCH($F8,Control!$B$4:$B$30,0),99))</f>
        <v>4</v>
      </c>
      <c r="N8" s="152">
        <f>IF($V8&lt;&gt;1,"",IF('Roadmap (Auto)'!$D$3="Status, then Theme",$M8*1000000+$L8*10000+ROW(),IF('Roadmap (Auto)'!$D$3="Dev start (earliest)",IF($I8="",99999999,$I8)*10000+ROW(),IF('Roadmap (Auto)'!$D$3="UX start (earliest)",IF($G8="",99999999,$G8)*10000+ROW(),IF('Roadmap (Auto)'!$D$3="Deliverable A-Z",$W8*10000+ROW(),$L8*1000000+$M8*10000+ROW())))))</f>
        <v>3040008</v>
      </c>
      <c r="O8" s="152">
        <f t="shared" si="2"/>
        <v>6</v>
      </c>
      <c r="P8" s="152" t="str">
        <f>IF($B8="","",IF(COUNTA('Dev Tracker'!I8)=0,"",'Dev Tracker'!I8))</f>
        <v>Nov 2026</v>
      </c>
      <c r="Q8" s="152" t="str">
        <f>IF($B8="","",IF(COUNTA('Dev Tracker'!J8)=0,"",'Dev Tracker'!J8))</f>
        <v>Jan 2027</v>
      </c>
      <c r="R8" s="154">
        <f t="shared" ca="1" si="3"/>
        <v>46327</v>
      </c>
      <c r="S8" s="154">
        <f t="shared" ca="1" si="4"/>
        <v>46388</v>
      </c>
      <c r="T8" s="152">
        <f>IF($B8="","",COUNTA('UX Weekly'!$H8:$CT8))</f>
        <v>3</v>
      </c>
      <c r="U8" s="152">
        <f>IF($B8="","",IFERROR(MATCH($D8,Control!$E$4:$E$30,0)+3,0))</f>
        <v>6</v>
      </c>
      <c r="V8" s="152">
        <f>IF($B8="","",IF(AND(OR('Roadmap (Auto)'!$A$3="",'Roadmap (Auto)'!$A$3="(All)",ISNUMBER(SEARCH('Roadmap (Auto)'!$A$3,$C8&amp;""))),OR('Roadmap (Auto)'!$B$3="",'Roadmap (Auto)'!$B$3="(All)",$D8='Roadmap (Auto)'!$B$3,$X8='Roadmap (Auto)'!$B$3),OR('Roadmap (Auto)'!$C$3="",'Roadmap (Auto)'!$C$3="(All)",$F8='Roadmap (Auto)'!$C$3)),1,0))</f>
        <v>1</v>
      </c>
      <c r="W8" s="152">
        <f t="shared" si="5"/>
        <v>133</v>
      </c>
      <c r="X8" s="152" t="str">
        <f>IF($B8="","",IF(TRIM('UX Weekly'!D8)="","",TRIM('UX Weekly'!D8)))</f>
        <v/>
      </c>
      <c r="Y8" s="152" t="str">
        <f t="shared" si="6"/>
        <v>SELLUSEDPURCHASELOOKUP</v>
      </c>
      <c r="AA8">
        <f>IF($B8="",0,COUNTIFS('UX Weekly'!$H$1:$CT$1,"&gt;="&amp;AA$1,'UX Weekly'!$H$1:$CT$1,"&lt;="&amp;EOMONTH(AA$1,0),'UX Weekly'!$H8:$CT8,"&lt;&gt;"))</f>
        <v>0</v>
      </c>
      <c r="AB8">
        <f>IF($B8="",0,COUNTIFS('UX Weekly'!$H$1:$CT$1,"&gt;="&amp;AB$1,'UX Weekly'!$H$1:$CT$1,"&lt;="&amp;EOMONTH(AB$1,0),'UX Weekly'!$H8:$CT8,"&lt;&gt;"))</f>
        <v>0</v>
      </c>
      <c r="AC8">
        <f>IF($B8="",0,COUNTIFS('UX Weekly'!$H$1:$CT$1,"&gt;="&amp;AC$1,'UX Weekly'!$H$1:$CT$1,"&lt;="&amp;EOMONTH(AC$1,0),'UX Weekly'!$H8:$CT8,"&lt;&gt;"))</f>
        <v>0</v>
      </c>
      <c r="AD8">
        <f>IF($B8="",0,COUNTIFS('UX Weekly'!$H$1:$CT$1,"&gt;="&amp;AD$1,'UX Weekly'!$H$1:$CT$1,"&lt;="&amp;EOMONTH(AD$1,0),'UX Weekly'!$H8:$CT8,"&lt;&gt;"))</f>
        <v>0</v>
      </c>
      <c r="AE8">
        <f>IF($B8="",0,COUNTIFS('UX Weekly'!$H$1:$CT$1,"&gt;="&amp;AE$1,'UX Weekly'!$H$1:$CT$1,"&lt;="&amp;EOMONTH(AE$1,0),'UX Weekly'!$H8:$CT8,"&lt;&gt;"))</f>
        <v>0</v>
      </c>
      <c r="AF8">
        <f>IF($B8="",0,COUNTIFS('UX Weekly'!$H$1:$CT$1,"&gt;="&amp;AF$1,'UX Weekly'!$H$1:$CT$1,"&lt;="&amp;EOMONTH(AF$1,0),'UX Weekly'!$H8:$CT8,"&lt;&gt;"))</f>
        <v>0</v>
      </c>
      <c r="AG8">
        <f>IF($B8="",0,COUNTIFS('UX Weekly'!$H$1:$CT$1,"&gt;="&amp;AG$1,'UX Weekly'!$H$1:$CT$1,"&lt;="&amp;EOMONTH(AG$1,0),'UX Weekly'!$H8:$CT8,"&lt;&gt;"))</f>
        <v>0</v>
      </c>
      <c r="AH8">
        <f>IF($B8="",0,COUNTIFS('UX Weekly'!$H$1:$CT$1,"&gt;="&amp;AH$1,'UX Weekly'!$H$1:$CT$1,"&lt;="&amp;EOMONTH(AH$1,0),'UX Weekly'!$H8:$CT8,"&lt;&gt;"))</f>
        <v>2</v>
      </c>
      <c r="AI8">
        <f>IF($B8="",0,COUNTIFS('UX Weekly'!$H$1:$CT$1,"&gt;="&amp;AI$1,'UX Weekly'!$H$1:$CT$1,"&lt;="&amp;EOMONTH(AI$1,0),'UX Weekly'!$H8:$CT8,"&lt;&gt;"))</f>
        <v>1</v>
      </c>
      <c r="AJ8">
        <f>IF($B8="",0,COUNTIFS('UX Weekly'!$H$1:$CT$1,"&gt;="&amp;AJ$1,'UX Weekly'!$H$1:$CT$1,"&lt;="&amp;EOMONTH(AJ$1,0),'UX Weekly'!$H8:$CT8,"&lt;&gt;"))</f>
        <v>0</v>
      </c>
      <c r="AK8">
        <f>IF($B8="",0,COUNTIFS('UX Weekly'!$H$1:$CT$1,"&gt;="&amp;AK$1,'UX Weekly'!$H$1:$CT$1,"&lt;="&amp;EOMONTH(AK$1,0),'UX Weekly'!$H8:$CT8,"&lt;&gt;"))</f>
        <v>0</v>
      </c>
      <c r="AL8">
        <f>IF($B8="",0,COUNTIFS('UX Weekly'!$H$1:$CT$1,"&gt;="&amp;AL$1,'UX Weekly'!$H$1:$CT$1,"&lt;="&amp;EOMONTH(AL$1,0),'UX Weekly'!$H8:$CT8,"&lt;&gt;"))</f>
        <v>0</v>
      </c>
      <c r="AM8">
        <f>IF($B8="",0,COUNTIFS('UX Weekly'!$H$1:$CT$1,"&gt;="&amp;AM$1,'UX Weekly'!$H$1:$CT$1,"&lt;="&amp;EOMONTH(AM$1,0),'UX Weekly'!$H8:$CT8,"&lt;&gt;"))</f>
        <v>0</v>
      </c>
      <c r="AN8">
        <f>IF($B8="",0,COUNTIFS('UX Weekly'!$H$1:$CT$1,"&gt;="&amp;AN$1,'UX Weekly'!$H$1:$CT$1,"&lt;="&amp;EOMONTH(AN$1,0),'UX Weekly'!$H8:$CT8,"&lt;&gt;"))</f>
        <v>0</v>
      </c>
      <c r="AO8">
        <f>IF($B8="",0,COUNTIFS('UX Weekly'!$H$1:$CT$1,"&gt;="&amp;AO$1,'UX Weekly'!$H$1:$CT$1,"&lt;="&amp;EOMONTH(AO$1,0),'UX Weekly'!$H8:$CT8,"&lt;&gt;"))</f>
        <v>0</v>
      </c>
      <c r="AP8">
        <f>IF($B8="",0,COUNTIFS('UX Weekly'!$H$1:$CT$1,"&gt;="&amp;AP$1,'UX Weekly'!$H$1:$CT$1,"&lt;="&amp;EOMONTH(AP$1,0),'UX Weekly'!$H8:$CT8,"&lt;&gt;"))</f>
        <v>0</v>
      </c>
      <c r="AQ8">
        <f>IF($B8="",0,COUNTIFS('UX Weekly'!$H$1:$CT$1,"&gt;="&amp;AQ$1,'UX Weekly'!$H$1:$CT$1,"&lt;="&amp;EOMONTH(AQ$1,0),'UX Weekly'!$H8:$CT8,"&lt;&gt;"))</f>
        <v>0</v>
      </c>
      <c r="AR8">
        <f>IF($B8="",0,COUNTIFS('UX Weekly'!$H$1:$CT$1,"&gt;="&amp;AR$1,'UX Weekly'!$H$1:$CT$1,"&lt;="&amp;EOMONTH(AR$1,0),'UX Weekly'!$H8:$CT8,"&lt;&gt;"))</f>
        <v>0</v>
      </c>
      <c r="AS8">
        <f>IF($B8="",0,COUNTIFS('UX Weekly'!$H$1:$CT$1,"&gt;="&amp;AS$1,'UX Weekly'!$H$1:$CT$1,"&lt;="&amp;EOMONTH(AS$1,0),'UX Weekly'!$H8:$CT8,"&lt;&gt;"))</f>
        <v>0</v>
      </c>
      <c r="AT8">
        <f>IF($B8="",0,COUNTIFS('UX Weekly'!$H$1:$CT$1,"&gt;="&amp;AT$1,'UX Weekly'!$H$1:$CT$1,"&lt;="&amp;EOMONTH(AT$1,0),'UX Weekly'!$H8:$CT8,"&lt;&gt;"))</f>
        <v>0</v>
      </c>
      <c r="AU8">
        <f>IF($B8="",0,COUNTIFS('UX Weekly'!$H$1:$CT$1,"&gt;="&amp;AU$1,'UX Weekly'!$H$1:$CT$1,"&lt;="&amp;EOMONTH(AU$1,0),'UX Weekly'!$H8:$CT8,"&lt;&gt;"))</f>
        <v>0</v>
      </c>
      <c r="AV8">
        <f>IF($B8="",0,COUNTIFS('UX Weekly'!$H$1:$CT$1,"&gt;="&amp;AV$1,'UX Weekly'!$H$1:$CT$1,"&lt;="&amp;EOMONTH(AV$1,0),'UX Weekly'!$H8:$CT8,"&lt;&gt;"))</f>
        <v>0</v>
      </c>
      <c r="AW8">
        <f>IF($B8="",0,COUNTIFS('UX Weekly'!$H$1:$CT$1,"&gt;="&amp;AW$1,'UX Weekly'!$H$1:$CT$1,"&lt;="&amp;EOMONTH(AW$1,0),'UX Weekly'!$H8:$CT8,"&lt;&gt;"))</f>
        <v>0</v>
      </c>
      <c r="AX8">
        <f>IF($B8="",0,COUNTIFS('UX Weekly'!$H$1:$CT$1,"&gt;="&amp;AX$1,'UX Weekly'!$H$1:$CT$1,"&lt;="&amp;EOMONTH(AX$1,0),'UX Weekly'!$H8:$CT8,"&lt;&gt;"))</f>
        <v>0</v>
      </c>
    </row>
    <row r="9" spans="1:53" x14ac:dyDescent="0.2">
      <c r="A9" s="152">
        <v>9</v>
      </c>
      <c r="B9" s="152" t="str">
        <f>IF(TRIM('UX Weekly'!E9)="","",TRIM('UX Weekly'!E9))</f>
        <v>Used Activity Notification</v>
      </c>
      <c r="C9" s="152" t="str">
        <f>IF($B9="","",'UX Weekly'!B9)</f>
        <v>Used</v>
      </c>
      <c r="D9" s="152" t="str">
        <f>IF($B9="","",IF(TRIM('UX Weekly'!C9)="","(No theme assigned)",TRIM('UX Weekly'!C9)))</f>
        <v>Increase Trade In Awareness</v>
      </c>
      <c r="E9" s="152" t="str">
        <f>IF($B9="","",TRIM('UX Weekly'!F9))</f>
        <v>BHP-7237</v>
      </c>
      <c r="F9" s="152" t="str">
        <f>IF($B9="","",'UX Weekly'!G9)</f>
        <v>02. UX Req</v>
      </c>
      <c r="G9" s="153">
        <f t="array" ref="G9">IF($B9="","",IF($T9=0,"",IFERROR(MIN(IF('UX Weekly'!$H9:$CT9&lt;&gt;"",'UX Weekly'!$H$1:$CT$1)),"")))</f>
        <v>46279</v>
      </c>
      <c r="H9" s="153">
        <f t="array" ref="H9">IF($B9="","",IF($T9=0,"",IFERROR(MAX(IF('UX Weekly'!$H9:$CT9&lt;&gt;"",'UX Weekly'!$H$1:$CT$1)),"")))</f>
        <v>46293</v>
      </c>
      <c r="I9" s="154">
        <f t="shared" ca="1" si="0"/>
        <v>46357</v>
      </c>
      <c r="J9" s="154">
        <f t="shared" ca="1" si="1"/>
        <v>46418</v>
      </c>
      <c r="K9" s="152" t="str">
        <f>IF($B9="","",IF(COUNTA('Dev Tracker'!L9)=0,"",TRIM('Dev Tracker'!L9)))</f>
        <v>BHP-7237</v>
      </c>
      <c r="L9" s="152">
        <f>IF($B9="","",IFERROR(MATCH($D9,Control!$E$4:$E$30,0),99))</f>
        <v>2</v>
      </c>
      <c r="M9" s="152">
        <f>IF($B9="","",IFERROR(MATCH($F9,Control!$B$4:$B$30,0),99))</f>
        <v>4</v>
      </c>
      <c r="N9" s="152">
        <f>IF($V9&lt;&gt;1,"",IF('Roadmap (Auto)'!$D$3="Status, then Theme",$M9*1000000+$L9*10000+ROW(),IF('Roadmap (Auto)'!$D$3="Dev start (earliest)",IF($I9="",99999999,$I9)*10000+ROW(),IF('Roadmap (Auto)'!$D$3="UX start (earliest)",IF($G9="",99999999,$G9)*10000+ROW(),IF('Roadmap (Auto)'!$D$3="Deliverable A-Z",$W9*10000+ROW(),$L9*1000000+$M9*10000+ROW())))))</f>
        <v>2040009</v>
      </c>
      <c r="O9" s="152">
        <f t="shared" si="2"/>
        <v>2</v>
      </c>
      <c r="P9" s="152" t="str">
        <f>IF($B9="","",IF(COUNTA('Dev Tracker'!I9)=0,"",'Dev Tracker'!I9))</f>
        <v>Dec 2026</v>
      </c>
      <c r="Q9" s="152" t="str">
        <f>IF($B9="","",IF(COUNTA('Dev Tracker'!J9)=0,"",'Dev Tracker'!J9))</f>
        <v>Jan 2027</v>
      </c>
      <c r="R9" s="154">
        <f t="shared" ca="1" si="3"/>
        <v>46357</v>
      </c>
      <c r="S9" s="154">
        <f t="shared" ca="1" si="4"/>
        <v>46388</v>
      </c>
      <c r="T9" s="152">
        <f>IF($B9="","",COUNTA('UX Weekly'!$H9:$CT9))</f>
        <v>3</v>
      </c>
      <c r="U9" s="152">
        <f>IF($B9="","",IFERROR(MATCH($D9,Control!$E$4:$E$30,0)+3,0))</f>
        <v>5</v>
      </c>
      <c r="V9" s="152">
        <f>IF($B9="","",IF(AND(OR('Roadmap (Auto)'!$A$3="",'Roadmap (Auto)'!$A$3="(All)",ISNUMBER(SEARCH('Roadmap (Auto)'!$A$3,$C9&amp;""))),OR('Roadmap (Auto)'!$B$3="",'Roadmap (Auto)'!$B$3="(All)",$D9='Roadmap (Auto)'!$B$3,$X9='Roadmap (Auto)'!$B$3),OR('Roadmap (Auto)'!$C$3="",'Roadmap (Auto)'!$C$3="(All)",$F9='Roadmap (Auto)'!$C$3)),1,0))</f>
        <v>1</v>
      </c>
      <c r="W9" s="152">
        <f t="shared" si="5"/>
        <v>145</v>
      </c>
      <c r="X9" s="152" t="str">
        <f>IF($B9="","",IF(TRIM('UX Weekly'!D9)="","",TRIM('UX Weekly'!D9)))</f>
        <v/>
      </c>
      <c r="Y9" s="152" t="str">
        <f t="shared" si="6"/>
        <v>USEDACTIVITYNOTIFICATION</v>
      </c>
      <c r="AA9">
        <f>IF($B9="",0,COUNTIFS('UX Weekly'!$H$1:$CT$1,"&gt;="&amp;AA$1,'UX Weekly'!$H$1:$CT$1,"&lt;="&amp;EOMONTH(AA$1,0),'UX Weekly'!$H9:$CT9,"&lt;&gt;"))</f>
        <v>0</v>
      </c>
      <c r="AB9">
        <f>IF($B9="",0,COUNTIFS('UX Weekly'!$H$1:$CT$1,"&gt;="&amp;AB$1,'UX Weekly'!$H$1:$CT$1,"&lt;="&amp;EOMONTH(AB$1,0),'UX Weekly'!$H9:$CT9,"&lt;&gt;"))</f>
        <v>0</v>
      </c>
      <c r="AC9">
        <f>IF($B9="",0,COUNTIFS('UX Weekly'!$H$1:$CT$1,"&gt;="&amp;AC$1,'UX Weekly'!$H$1:$CT$1,"&lt;="&amp;EOMONTH(AC$1,0),'UX Weekly'!$H9:$CT9,"&lt;&gt;"))</f>
        <v>0</v>
      </c>
      <c r="AD9">
        <f>IF($B9="",0,COUNTIFS('UX Weekly'!$H$1:$CT$1,"&gt;="&amp;AD$1,'UX Weekly'!$H$1:$CT$1,"&lt;="&amp;EOMONTH(AD$1,0),'UX Weekly'!$H9:$CT9,"&lt;&gt;"))</f>
        <v>0</v>
      </c>
      <c r="AE9">
        <f>IF($B9="",0,COUNTIFS('UX Weekly'!$H$1:$CT$1,"&gt;="&amp;AE$1,'UX Weekly'!$H$1:$CT$1,"&lt;="&amp;EOMONTH(AE$1,0),'UX Weekly'!$H9:$CT9,"&lt;&gt;"))</f>
        <v>0</v>
      </c>
      <c r="AF9">
        <f>IF($B9="",0,COUNTIFS('UX Weekly'!$H$1:$CT$1,"&gt;="&amp;AF$1,'UX Weekly'!$H$1:$CT$1,"&lt;="&amp;EOMONTH(AF$1,0),'UX Weekly'!$H9:$CT9,"&lt;&gt;"))</f>
        <v>0</v>
      </c>
      <c r="AG9">
        <f>IF($B9="",0,COUNTIFS('UX Weekly'!$H$1:$CT$1,"&gt;="&amp;AG$1,'UX Weekly'!$H$1:$CT$1,"&lt;="&amp;EOMONTH(AG$1,0),'UX Weekly'!$H9:$CT9,"&lt;&gt;"))</f>
        <v>0</v>
      </c>
      <c r="AH9">
        <f>IF($B9="",0,COUNTIFS('UX Weekly'!$H$1:$CT$1,"&gt;="&amp;AH$1,'UX Weekly'!$H$1:$CT$1,"&lt;="&amp;EOMONTH(AH$1,0),'UX Weekly'!$H9:$CT9,"&lt;&gt;"))</f>
        <v>0</v>
      </c>
      <c r="AI9">
        <f>IF($B9="",0,COUNTIFS('UX Weekly'!$H$1:$CT$1,"&gt;="&amp;AI$1,'UX Weekly'!$H$1:$CT$1,"&lt;="&amp;EOMONTH(AI$1,0),'UX Weekly'!$H9:$CT9,"&lt;&gt;"))</f>
        <v>3</v>
      </c>
      <c r="AJ9">
        <f>IF($B9="",0,COUNTIFS('UX Weekly'!$H$1:$CT$1,"&gt;="&amp;AJ$1,'UX Weekly'!$H$1:$CT$1,"&lt;="&amp;EOMONTH(AJ$1,0),'UX Weekly'!$H9:$CT9,"&lt;&gt;"))</f>
        <v>0</v>
      </c>
      <c r="AK9">
        <f>IF($B9="",0,COUNTIFS('UX Weekly'!$H$1:$CT$1,"&gt;="&amp;AK$1,'UX Weekly'!$H$1:$CT$1,"&lt;="&amp;EOMONTH(AK$1,0),'UX Weekly'!$H9:$CT9,"&lt;&gt;"))</f>
        <v>0</v>
      </c>
      <c r="AL9">
        <f>IF($B9="",0,COUNTIFS('UX Weekly'!$H$1:$CT$1,"&gt;="&amp;AL$1,'UX Weekly'!$H$1:$CT$1,"&lt;="&amp;EOMONTH(AL$1,0),'UX Weekly'!$H9:$CT9,"&lt;&gt;"))</f>
        <v>0</v>
      </c>
      <c r="AM9">
        <f>IF($B9="",0,COUNTIFS('UX Weekly'!$H$1:$CT$1,"&gt;="&amp;AM$1,'UX Weekly'!$H$1:$CT$1,"&lt;="&amp;EOMONTH(AM$1,0),'UX Weekly'!$H9:$CT9,"&lt;&gt;"))</f>
        <v>0</v>
      </c>
      <c r="AN9">
        <f>IF($B9="",0,COUNTIFS('UX Weekly'!$H$1:$CT$1,"&gt;="&amp;AN$1,'UX Weekly'!$H$1:$CT$1,"&lt;="&amp;EOMONTH(AN$1,0),'UX Weekly'!$H9:$CT9,"&lt;&gt;"))</f>
        <v>0</v>
      </c>
      <c r="AO9">
        <f>IF($B9="",0,COUNTIFS('UX Weekly'!$H$1:$CT$1,"&gt;="&amp;AO$1,'UX Weekly'!$H$1:$CT$1,"&lt;="&amp;EOMONTH(AO$1,0),'UX Weekly'!$H9:$CT9,"&lt;&gt;"))</f>
        <v>0</v>
      </c>
      <c r="AP9">
        <f>IF($B9="",0,COUNTIFS('UX Weekly'!$H$1:$CT$1,"&gt;="&amp;AP$1,'UX Weekly'!$H$1:$CT$1,"&lt;="&amp;EOMONTH(AP$1,0),'UX Weekly'!$H9:$CT9,"&lt;&gt;"))</f>
        <v>0</v>
      </c>
      <c r="AQ9">
        <f>IF($B9="",0,COUNTIFS('UX Weekly'!$H$1:$CT$1,"&gt;="&amp;AQ$1,'UX Weekly'!$H$1:$CT$1,"&lt;="&amp;EOMONTH(AQ$1,0),'UX Weekly'!$H9:$CT9,"&lt;&gt;"))</f>
        <v>0</v>
      </c>
      <c r="AR9">
        <f>IF($B9="",0,COUNTIFS('UX Weekly'!$H$1:$CT$1,"&gt;="&amp;AR$1,'UX Weekly'!$H$1:$CT$1,"&lt;="&amp;EOMONTH(AR$1,0),'UX Weekly'!$H9:$CT9,"&lt;&gt;"))</f>
        <v>0</v>
      </c>
      <c r="AS9">
        <f>IF($B9="",0,COUNTIFS('UX Weekly'!$H$1:$CT$1,"&gt;="&amp;AS$1,'UX Weekly'!$H$1:$CT$1,"&lt;="&amp;EOMONTH(AS$1,0),'UX Weekly'!$H9:$CT9,"&lt;&gt;"))</f>
        <v>0</v>
      </c>
      <c r="AT9">
        <f>IF($B9="",0,COUNTIFS('UX Weekly'!$H$1:$CT$1,"&gt;="&amp;AT$1,'UX Weekly'!$H$1:$CT$1,"&lt;="&amp;EOMONTH(AT$1,0),'UX Weekly'!$H9:$CT9,"&lt;&gt;"))</f>
        <v>0</v>
      </c>
      <c r="AU9">
        <f>IF($B9="",0,COUNTIFS('UX Weekly'!$H$1:$CT$1,"&gt;="&amp;AU$1,'UX Weekly'!$H$1:$CT$1,"&lt;="&amp;EOMONTH(AU$1,0),'UX Weekly'!$H9:$CT9,"&lt;&gt;"))</f>
        <v>0</v>
      </c>
      <c r="AV9">
        <f>IF($B9="",0,COUNTIFS('UX Weekly'!$H$1:$CT$1,"&gt;="&amp;AV$1,'UX Weekly'!$H$1:$CT$1,"&lt;="&amp;EOMONTH(AV$1,0),'UX Weekly'!$H9:$CT9,"&lt;&gt;"))</f>
        <v>0</v>
      </c>
      <c r="AW9">
        <f>IF($B9="",0,COUNTIFS('UX Weekly'!$H$1:$CT$1,"&gt;="&amp;AW$1,'UX Weekly'!$H$1:$CT$1,"&lt;="&amp;EOMONTH(AW$1,0),'UX Weekly'!$H9:$CT9,"&lt;&gt;"))</f>
        <v>0</v>
      </c>
      <c r="AX9">
        <f>IF($B9="",0,COUNTIFS('UX Weekly'!$H$1:$CT$1,"&gt;="&amp;AX$1,'UX Weekly'!$H$1:$CT$1,"&lt;="&amp;EOMONTH(AX$1,0),'UX Weekly'!$H9:$CT9,"&lt;&gt;"))</f>
        <v>0</v>
      </c>
    </row>
    <row r="10" spans="1:53" x14ac:dyDescent="0.2">
      <c r="A10" s="152">
        <v>10</v>
      </c>
      <c r="B10" s="152" t="str">
        <f>IF(TRIM('UX Weekly'!E10)="","",TRIM('UX Weekly'!E10))</f>
        <v>The Studio - Enhanced Landing Page</v>
      </c>
      <c r="C10" s="152" t="str">
        <f>IF($B10="","",'UX Weekly'!B10)</f>
        <v>B2B</v>
      </c>
      <c r="D10" s="152" t="str">
        <f>IF($B10="","",IF(TRIM('UX Weekly'!C10)="","(No theme assigned)",TRIM('UX Weekly'!C10)))</f>
        <v>Improve The Studio B&amp;H Customer Experience</v>
      </c>
      <c r="E10" s="152" t="str">
        <f>IF($B10="","",TRIM('UX Weekly'!F10))</f>
        <v>BHP-6444</v>
      </c>
      <c r="F10" s="152" t="str">
        <f>IF($B10="","",'UX Weekly'!G10)</f>
        <v>02. UX Req</v>
      </c>
      <c r="G10" s="153">
        <f t="array" ref="G10">IF($B10="","",IF($T10=0,"",IFERROR(MIN(IF('UX Weekly'!$H10:$CT10&lt;&gt;"",'UX Weekly'!$H$1:$CT$1)),"")))</f>
        <v>46272</v>
      </c>
      <c r="H10" s="153">
        <f t="array" ref="H10">IF($B10="","",IF($T10=0,"",IFERROR(MAX(IF('UX Weekly'!$H10:$CT10&lt;&gt;"",'UX Weekly'!$H$1:$CT$1)),"")))</f>
        <v>46286</v>
      </c>
      <c r="I10" s="154">
        <f t="shared" ca="1" si="0"/>
        <v>46388</v>
      </c>
      <c r="J10" s="154">
        <f t="shared" ca="1" si="1"/>
        <v>46418</v>
      </c>
      <c r="K10" s="152" t="str">
        <f>IF($B10="","",IF(COUNTA('Dev Tracker'!L10)=0,"",TRIM('Dev Tracker'!L10)))</f>
        <v>BHP-6444</v>
      </c>
      <c r="L10" s="152">
        <f>IF($B10="","",IFERROR(MATCH($D10,Control!$E$4:$E$30,0),99))</f>
        <v>10</v>
      </c>
      <c r="M10" s="152">
        <f>IF($B10="","",IFERROR(MATCH($F10,Control!$B$4:$B$30,0),99))</f>
        <v>4</v>
      </c>
      <c r="N10" s="152" t="str">
        <f>IF($V10&lt;&gt;1,"",IF('Roadmap (Auto)'!$D$3="Status, then Theme",$M10*1000000+$L10*10000+ROW(),IF('Roadmap (Auto)'!$D$3="Dev start (earliest)",IF($I10="",99999999,$I10)*10000+ROW(),IF('Roadmap (Auto)'!$D$3="UX start (earliest)",IF($G10="",99999999,$G10)*10000+ROW(),IF('Roadmap (Auto)'!$D$3="Deliverable A-Z",$W10*10000+ROW(),$L10*1000000+$M10*10000+ROW())))))</f>
        <v/>
      </c>
      <c r="O10" s="152" t="str">
        <f t="shared" si="2"/>
        <v/>
      </c>
      <c r="P10" s="152" t="str">
        <f>IF($B10="","",IF(COUNTA('Dev Tracker'!I10)=0,"",'Dev Tracker'!I10))</f>
        <v>Jan 2027</v>
      </c>
      <c r="Q10" s="152" t="str">
        <f>IF($B10="","",IF(COUNTA('Dev Tracker'!J10)=0,"",'Dev Tracker'!J10))</f>
        <v>Jan 2027</v>
      </c>
      <c r="R10" s="154">
        <f t="shared" ca="1" si="3"/>
        <v>46388</v>
      </c>
      <c r="S10" s="154">
        <f t="shared" ca="1" si="4"/>
        <v>46388</v>
      </c>
      <c r="T10" s="152">
        <f>IF($B10="","",COUNTA('UX Weekly'!$H10:$CT10))</f>
        <v>3</v>
      </c>
      <c r="U10" s="152">
        <f>IF($B10="","",IFERROR(MATCH($D10,Control!$E$4:$E$30,0)+3,0))</f>
        <v>13</v>
      </c>
      <c r="V10" s="152">
        <f>IF($B10="","",IF(AND(OR('Roadmap (Auto)'!$A$3="",'Roadmap (Auto)'!$A$3="(All)",ISNUMBER(SEARCH('Roadmap (Auto)'!$A$3,$C10&amp;""))),OR('Roadmap (Auto)'!$B$3="",'Roadmap (Auto)'!$B$3="(All)",$D10='Roadmap (Auto)'!$B$3,$X10='Roadmap (Auto)'!$B$3),OR('Roadmap (Auto)'!$C$3="",'Roadmap (Auto)'!$C$3="(All)",$F10='Roadmap (Auto)'!$C$3)),1,0))</f>
        <v>0</v>
      </c>
      <c r="W10" s="152">
        <f t="shared" si="5"/>
        <v>141</v>
      </c>
      <c r="X10" s="152" t="str">
        <f>IF($B10="","",IF(TRIM('UX Weekly'!D10)="","",TRIM('UX Weekly'!D10)))</f>
        <v/>
      </c>
      <c r="Y10" s="152" t="str">
        <f t="shared" si="6"/>
        <v>THESTUDIOENHANCEDLANDINGPAGE</v>
      </c>
      <c r="AA10">
        <f>IF($B10="",0,COUNTIFS('UX Weekly'!$H$1:$CT$1,"&gt;="&amp;AA$1,'UX Weekly'!$H$1:$CT$1,"&lt;="&amp;EOMONTH(AA$1,0),'UX Weekly'!$H10:$CT10,"&lt;&gt;"))</f>
        <v>0</v>
      </c>
      <c r="AB10">
        <f>IF($B10="",0,COUNTIFS('UX Weekly'!$H$1:$CT$1,"&gt;="&amp;AB$1,'UX Weekly'!$H$1:$CT$1,"&lt;="&amp;EOMONTH(AB$1,0),'UX Weekly'!$H10:$CT10,"&lt;&gt;"))</f>
        <v>0</v>
      </c>
      <c r="AC10">
        <f>IF($B10="",0,COUNTIFS('UX Weekly'!$H$1:$CT$1,"&gt;="&amp;AC$1,'UX Weekly'!$H$1:$CT$1,"&lt;="&amp;EOMONTH(AC$1,0),'UX Weekly'!$H10:$CT10,"&lt;&gt;"))</f>
        <v>0</v>
      </c>
      <c r="AD10">
        <f>IF($B10="",0,COUNTIFS('UX Weekly'!$H$1:$CT$1,"&gt;="&amp;AD$1,'UX Weekly'!$H$1:$CT$1,"&lt;="&amp;EOMONTH(AD$1,0),'UX Weekly'!$H10:$CT10,"&lt;&gt;"))</f>
        <v>0</v>
      </c>
      <c r="AE10">
        <f>IF($B10="",0,COUNTIFS('UX Weekly'!$H$1:$CT$1,"&gt;="&amp;AE$1,'UX Weekly'!$H$1:$CT$1,"&lt;="&amp;EOMONTH(AE$1,0),'UX Weekly'!$H10:$CT10,"&lt;&gt;"))</f>
        <v>0</v>
      </c>
      <c r="AF10">
        <f>IF($B10="",0,COUNTIFS('UX Weekly'!$H$1:$CT$1,"&gt;="&amp;AF$1,'UX Weekly'!$H$1:$CT$1,"&lt;="&amp;EOMONTH(AF$1,0),'UX Weekly'!$H10:$CT10,"&lt;&gt;"))</f>
        <v>0</v>
      </c>
      <c r="AG10">
        <f>IF($B10="",0,COUNTIFS('UX Weekly'!$H$1:$CT$1,"&gt;="&amp;AG$1,'UX Weekly'!$H$1:$CT$1,"&lt;="&amp;EOMONTH(AG$1,0),'UX Weekly'!$H10:$CT10,"&lt;&gt;"))</f>
        <v>0</v>
      </c>
      <c r="AH10">
        <f>IF($B10="",0,COUNTIFS('UX Weekly'!$H$1:$CT$1,"&gt;="&amp;AH$1,'UX Weekly'!$H$1:$CT$1,"&lt;="&amp;EOMONTH(AH$1,0),'UX Weekly'!$H10:$CT10,"&lt;&gt;"))</f>
        <v>0</v>
      </c>
      <c r="AI10">
        <f>IF($B10="",0,COUNTIFS('UX Weekly'!$H$1:$CT$1,"&gt;="&amp;AI$1,'UX Weekly'!$H$1:$CT$1,"&lt;="&amp;EOMONTH(AI$1,0),'UX Weekly'!$H10:$CT10,"&lt;&gt;"))</f>
        <v>3</v>
      </c>
      <c r="AJ10">
        <f>IF($B10="",0,COUNTIFS('UX Weekly'!$H$1:$CT$1,"&gt;="&amp;AJ$1,'UX Weekly'!$H$1:$CT$1,"&lt;="&amp;EOMONTH(AJ$1,0),'UX Weekly'!$H10:$CT10,"&lt;&gt;"))</f>
        <v>0</v>
      </c>
      <c r="AK10">
        <f>IF($B10="",0,COUNTIFS('UX Weekly'!$H$1:$CT$1,"&gt;="&amp;AK$1,'UX Weekly'!$H$1:$CT$1,"&lt;="&amp;EOMONTH(AK$1,0),'UX Weekly'!$H10:$CT10,"&lt;&gt;"))</f>
        <v>0</v>
      </c>
      <c r="AL10">
        <f>IF($B10="",0,COUNTIFS('UX Weekly'!$H$1:$CT$1,"&gt;="&amp;AL$1,'UX Weekly'!$H$1:$CT$1,"&lt;="&amp;EOMONTH(AL$1,0),'UX Weekly'!$H10:$CT10,"&lt;&gt;"))</f>
        <v>0</v>
      </c>
      <c r="AM10">
        <f>IF($B10="",0,COUNTIFS('UX Weekly'!$H$1:$CT$1,"&gt;="&amp;AM$1,'UX Weekly'!$H$1:$CT$1,"&lt;="&amp;EOMONTH(AM$1,0),'UX Weekly'!$H10:$CT10,"&lt;&gt;"))</f>
        <v>0</v>
      </c>
      <c r="AN10">
        <f>IF($B10="",0,COUNTIFS('UX Weekly'!$H$1:$CT$1,"&gt;="&amp;AN$1,'UX Weekly'!$H$1:$CT$1,"&lt;="&amp;EOMONTH(AN$1,0),'UX Weekly'!$H10:$CT10,"&lt;&gt;"))</f>
        <v>0</v>
      </c>
      <c r="AO10">
        <f>IF($B10="",0,COUNTIFS('UX Weekly'!$H$1:$CT$1,"&gt;="&amp;AO$1,'UX Weekly'!$H$1:$CT$1,"&lt;="&amp;EOMONTH(AO$1,0),'UX Weekly'!$H10:$CT10,"&lt;&gt;"))</f>
        <v>0</v>
      </c>
      <c r="AP10">
        <f>IF($B10="",0,COUNTIFS('UX Weekly'!$H$1:$CT$1,"&gt;="&amp;AP$1,'UX Weekly'!$H$1:$CT$1,"&lt;="&amp;EOMONTH(AP$1,0),'UX Weekly'!$H10:$CT10,"&lt;&gt;"))</f>
        <v>0</v>
      </c>
      <c r="AQ10">
        <f>IF($B10="",0,COUNTIFS('UX Weekly'!$H$1:$CT$1,"&gt;="&amp;AQ$1,'UX Weekly'!$H$1:$CT$1,"&lt;="&amp;EOMONTH(AQ$1,0),'UX Weekly'!$H10:$CT10,"&lt;&gt;"))</f>
        <v>0</v>
      </c>
      <c r="AR10">
        <f>IF($B10="",0,COUNTIFS('UX Weekly'!$H$1:$CT$1,"&gt;="&amp;AR$1,'UX Weekly'!$H$1:$CT$1,"&lt;="&amp;EOMONTH(AR$1,0),'UX Weekly'!$H10:$CT10,"&lt;&gt;"))</f>
        <v>0</v>
      </c>
      <c r="AS10">
        <f>IF($B10="",0,COUNTIFS('UX Weekly'!$H$1:$CT$1,"&gt;="&amp;AS$1,'UX Weekly'!$H$1:$CT$1,"&lt;="&amp;EOMONTH(AS$1,0),'UX Weekly'!$H10:$CT10,"&lt;&gt;"))</f>
        <v>0</v>
      </c>
      <c r="AT10">
        <f>IF($B10="",0,COUNTIFS('UX Weekly'!$H$1:$CT$1,"&gt;="&amp;AT$1,'UX Weekly'!$H$1:$CT$1,"&lt;="&amp;EOMONTH(AT$1,0),'UX Weekly'!$H10:$CT10,"&lt;&gt;"))</f>
        <v>0</v>
      </c>
      <c r="AU10">
        <f>IF($B10="",0,COUNTIFS('UX Weekly'!$H$1:$CT$1,"&gt;="&amp;AU$1,'UX Weekly'!$H$1:$CT$1,"&lt;="&amp;EOMONTH(AU$1,0),'UX Weekly'!$H10:$CT10,"&lt;&gt;"))</f>
        <v>0</v>
      </c>
      <c r="AV10">
        <f>IF($B10="",0,COUNTIFS('UX Weekly'!$H$1:$CT$1,"&gt;="&amp;AV$1,'UX Weekly'!$H$1:$CT$1,"&lt;="&amp;EOMONTH(AV$1,0),'UX Weekly'!$H10:$CT10,"&lt;&gt;"))</f>
        <v>0</v>
      </c>
      <c r="AW10">
        <f>IF($B10="",0,COUNTIFS('UX Weekly'!$H$1:$CT$1,"&gt;="&amp;AW$1,'UX Weekly'!$H$1:$CT$1,"&lt;="&amp;EOMONTH(AW$1,0),'UX Weekly'!$H10:$CT10,"&lt;&gt;"))</f>
        <v>0</v>
      </c>
      <c r="AX10">
        <f>IF($B10="",0,COUNTIFS('UX Weekly'!$H$1:$CT$1,"&gt;="&amp;AX$1,'UX Weekly'!$H$1:$CT$1,"&lt;="&amp;EOMONTH(AX$1,0),'UX Weekly'!$H10:$CT10,"&lt;&gt;"))</f>
        <v>0</v>
      </c>
    </row>
    <row r="11" spans="1:53" x14ac:dyDescent="0.2">
      <c r="A11" s="152">
        <v>11</v>
      </c>
      <c r="B11" s="152" t="str">
        <f>IF(TRIM('UX Weekly'!E11)="","",TRIM('UX Weekly'!E11))</f>
        <v>Used Hub - Just Added Component</v>
      </c>
      <c r="C11" s="152" t="str">
        <f>IF($B11="","",'UX Weekly'!B11)</f>
        <v>Used</v>
      </c>
      <c r="D11" s="152" t="str">
        <f>IF($B11="","",IF(TRIM('UX Weekly'!C11)="","(No theme assigned)",TRIM('UX Weekly'!C11)))</f>
        <v>Increase Buy Used Awareness</v>
      </c>
      <c r="E11" s="152" t="str">
        <f>IF($B11="","",TRIM('UX Weekly'!F11))</f>
        <v>BHP-7229</v>
      </c>
      <c r="F11" s="152" t="str">
        <f>IF($B11="","",'UX Weekly'!G11)</f>
        <v>02. UX Req</v>
      </c>
      <c r="G11" s="153">
        <f t="array" ref="G11">IF($B11="","",IF($T11=0,"",IFERROR(MIN(IF('UX Weekly'!$H11:$CT11&lt;&gt;"",'UX Weekly'!$H$1:$CT$1)),"")))</f>
        <v>46244</v>
      </c>
      <c r="H11" s="153">
        <f t="array" ref="H11">IF($B11="","",IF($T11=0,"",IFERROR(MAX(IF('UX Weekly'!$H11:$CT11&lt;&gt;"",'UX Weekly'!$H$1:$CT$1)),"")))</f>
        <v>46279</v>
      </c>
      <c r="I11" s="154">
        <f t="shared" ca="1" si="0"/>
        <v>46419</v>
      </c>
      <c r="J11" s="154">
        <f t="shared" ca="1" si="1"/>
        <v>46446</v>
      </c>
      <c r="K11" s="152" t="str">
        <f>IF($B11="","",IF(COUNTA('Dev Tracker'!L11)=0,"",TRIM('Dev Tracker'!L11)))</f>
        <v>BHP-7229</v>
      </c>
      <c r="L11" s="152">
        <f>IF($B11="","",IFERROR(MATCH($D11,Control!$E$4:$E$30,0),99))</f>
        <v>5</v>
      </c>
      <c r="M11" s="152">
        <f>IF($B11="","",IFERROR(MATCH($F11,Control!$B$4:$B$30,0),99))</f>
        <v>4</v>
      </c>
      <c r="N11" s="152">
        <f>IF($V11&lt;&gt;1,"",IF('Roadmap (Auto)'!$D$3="Status, then Theme",$M11*1000000+$L11*10000+ROW(),IF('Roadmap (Auto)'!$D$3="Dev start (earliest)",IF($I11="",99999999,$I11)*10000+ROW(),IF('Roadmap (Auto)'!$D$3="UX start (earliest)",IF($G11="",99999999,$G11)*10000+ROW(),IF('Roadmap (Auto)'!$D$3="Deliverable A-Z",$W11*10000+ROW(),$L11*1000000+$M11*10000+ROW())))))</f>
        <v>5040011</v>
      </c>
      <c r="O11" s="152">
        <f t="shared" si="2"/>
        <v>12</v>
      </c>
      <c r="P11" s="152" t="str">
        <f>IF($B11="","",IF(COUNTA('Dev Tracker'!I11)=0,"",'Dev Tracker'!I11))</f>
        <v>Feb 2027</v>
      </c>
      <c r="Q11" s="152" t="str">
        <f>IF($B11="","",IF(COUNTA('Dev Tracker'!J11)=0,"",'Dev Tracker'!J11))</f>
        <v>Feb 2027</v>
      </c>
      <c r="R11" s="154">
        <f t="shared" ca="1" si="3"/>
        <v>46419</v>
      </c>
      <c r="S11" s="154">
        <f t="shared" ca="1" si="4"/>
        <v>46419</v>
      </c>
      <c r="T11" s="152">
        <f>IF($B11="","",COUNTA('UX Weekly'!$H11:$CT11))</f>
        <v>3</v>
      </c>
      <c r="U11" s="152">
        <f>IF($B11="","",IFERROR(MATCH($D11,Control!$E$4:$E$30,0)+3,0))</f>
        <v>8</v>
      </c>
      <c r="V11" s="152">
        <f>IF($B11="","",IF(AND(OR('Roadmap (Auto)'!$A$3="",'Roadmap (Auto)'!$A$3="(All)",ISNUMBER(SEARCH('Roadmap (Auto)'!$A$3,$C11&amp;""))),OR('Roadmap (Auto)'!$B$3="",'Roadmap (Auto)'!$B$3="(All)",$D11='Roadmap (Auto)'!$B$3,$X11='Roadmap (Auto)'!$B$3),OR('Roadmap (Auto)'!$C$3="",'Roadmap (Auto)'!$C$3="(All)",$F11='Roadmap (Auto)'!$C$3)),1,0))</f>
        <v>1</v>
      </c>
      <c r="W11" s="152">
        <f t="shared" si="5"/>
        <v>147</v>
      </c>
      <c r="X11" s="152" t="str">
        <f>IF($B11="","",IF(TRIM('UX Weekly'!D11)="","",TRIM('UX Weekly'!D11)))</f>
        <v/>
      </c>
      <c r="Y11" s="152" t="str">
        <f t="shared" si="6"/>
        <v>USEDHUBJUSTADDEDCOMPONENT</v>
      </c>
      <c r="AA11">
        <f>IF($B11="",0,COUNTIFS('UX Weekly'!$H$1:$CT$1,"&gt;="&amp;AA$1,'UX Weekly'!$H$1:$CT$1,"&lt;="&amp;EOMONTH(AA$1,0),'UX Weekly'!$H11:$CT11,"&lt;&gt;"))</f>
        <v>0</v>
      </c>
      <c r="AB11">
        <f>IF($B11="",0,COUNTIFS('UX Weekly'!$H$1:$CT$1,"&gt;="&amp;AB$1,'UX Weekly'!$H$1:$CT$1,"&lt;="&amp;EOMONTH(AB$1,0),'UX Weekly'!$H11:$CT11,"&lt;&gt;"))</f>
        <v>0</v>
      </c>
      <c r="AC11">
        <f>IF($B11="",0,COUNTIFS('UX Weekly'!$H$1:$CT$1,"&gt;="&amp;AC$1,'UX Weekly'!$H$1:$CT$1,"&lt;="&amp;EOMONTH(AC$1,0),'UX Weekly'!$H11:$CT11,"&lt;&gt;"))</f>
        <v>0</v>
      </c>
      <c r="AD11">
        <f>IF($B11="",0,COUNTIFS('UX Weekly'!$H$1:$CT$1,"&gt;="&amp;AD$1,'UX Weekly'!$H$1:$CT$1,"&lt;="&amp;EOMONTH(AD$1,0),'UX Weekly'!$H11:$CT11,"&lt;&gt;"))</f>
        <v>0</v>
      </c>
      <c r="AE11">
        <f>IF($B11="",0,COUNTIFS('UX Weekly'!$H$1:$CT$1,"&gt;="&amp;AE$1,'UX Weekly'!$H$1:$CT$1,"&lt;="&amp;EOMONTH(AE$1,0),'UX Weekly'!$H11:$CT11,"&lt;&gt;"))</f>
        <v>0</v>
      </c>
      <c r="AF11">
        <f>IF($B11="",0,COUNTIFS('UX Weekly'!$H$1:$CT$1,"&gt;="&amp;AF$1,'UX Weekly'!$H$1:$CT$1,"&lt;="&amp;EOMONTH(AF$1,0),'UX Weekly'!$H11:$CT11,"&lt;&gt;"))</f>
        <v>0</v>
      </c>
      <c r="AG11">
        <f>IF($B11="",0,COUNTIFS('UX Weekly'!$H$1:$CT$1,"&gt;="&amp;AG$1,'UX Weekly'!$H$1:$CT$1,"&lt;="&amp;EOMONTH(AG$1,0),'UX Weekly'!$H11:$CT11,"&lt;&gt;"))</f>
        <v>0</v>
      </c>
      <c r="AH11">
        <f>IF($B11="",0,COUNTIFS('UX Weekly'!$H$1:$CT$1,"&gt;="&amp;AH$1,'UX Weekly'!$H$1:$CT$1,"&lt;="&amp;EOMONTH(AH$1,0),'UX Weekly'!$H11:$CT11,"&lt;&gt;"))</f>
        <v>1</v>
      </c>
      <c r="AI11">
        <f>IF($B11="",0,COUNTIFS('UX Weekly'!$H$1:$CT$1,"&gt;="&amp;AI$1,'UX Weekly'!$H$1:$CT$1,"&lt;="&amp;EOMONTH(AI$1,0),'UX Weekly'!$H11:$CT11,"&lt;&gt;"))</f>
        <v>2</v>
      </c>
      <c r="AJ11">
        <f>IF($B11="",0,COUNTIFS('UX Weekly'!$H$1:$CT$1,"&gt;="&amp;AJ$1,'UX Weekly'!$H$1:$CT$1,"&lt;="&amp;EOMONTH(AJ$1,0),'UX Weekly'!$H11:$CT11,"&lt;&gt;"))</f>
        <v>0</v>
      </c>
      <c r="AK11">
        <f>IF($B11="",0,COUNTIFS('UX Weekly'!$H$1:$CT$1,"&gt;="&amp;AK$1,'UX Weekly'!$H$1:$CT$1,"&lt;="&amp;EOMONTH(AK$1,0),'UX Weekly'!$H11:$CT11,"&lt;&gt;"))</f>
        <v>0</v>
      </c>
      <c r="AL11">
        <f>IF($B11="",0,COUNTIFS('UX Weekly'!$H$1:$CT$1,"&gt;="&amp;AL$1,'UX Weekly'!$H$1:$CT$1,"&lt;="&amp;EOMONTH(AL$1,0),'UX Weekly'!$H11:$CT11,"&lt;&gt;"))</f>
        <v>0</v>
      </c>
      <c r="AM11">
        <f>IF($B11="",0,COUNTIFS('UX Weekly'!$H$1:$CT$1,"&gt;="&amp;AM$1,'UX Weekly'!$H$1:$CT$1,"&lt;="&amp;EOMONTH(AM$1,0),'UX Weekly'!$H11:$CT11,"&lt;&gt;"))</f>
        <v>0</v>
      </c>
      <c r="AN11">
        <f>IF($B11="",0,COUNTIFS('UX Weekly'!$H$1:$CT$1,"&gt;="&amp;AN$1,'UX Weekly'!$H$1:$CT$1,"&lt;="&amp;EOMONTH(AN$1,0),'UX Weekly'!$H11:$CT11,"&lt;&gt;"))</f>
        <v>0</v>
      </c>
      <c r="AO11">
        <f>IF($B11="",0,COUNTIFS('UX Weekly'!$H$1:$CT$1,"&gt;="&amp;AO$1,'UX Weekly'!$H$1:$CT$1,"&lt;="&amp;EOMONTH(AO$1,0),'UX Weekly'!$H11:$CT11,"&lt;&gt;"))</f>
        <v>0</v>
      </c>
      <c r="AP11">
        <f>IF($B11="",0,COUNTIFS('UX Weekly'!$H$1:$CT$1,"&gt;="&amp;AP$1,'UX Weekly'!$H$1:$CT$1,"&lt;="&amp;EOMONTH(AP$1,0),'UX Weekly'!$H11:$CT11,"&lt;&gt;"))</f>
        <v>0</v>
      </c>
      <c r="AQ11">
        <f>IF($B11="",0,COUNTIFS('UX Weekly'!$H$1:$CT$1,"&gt;="&amp;AQ$1,'UX Weekly'!$H$1:$CT$1,"&lt;="&amp;EOMONTH(AQ$1,0),'UX Weekly'!$H11:$CT11,"&lt;&gt;"))</f>
        <v>0</v>
      </c>
      <c r="AR11">
        <f>IF($B11="",0,COUNTIFS('UX Weekly'!$H$1:$CT$1,"&gt;="&amp;AR$1,'UX Weekly'!$H$1:$CT$1,"&lt;="&amp;EOMONTH(AR$1,0),'UX Weekly'!$H11:$CT11,"&lt;&gt;"))</f>
        <v>0</v>
      </c>
      <c r="AS11">
        <f>IF($B11="",0,COUNTIFS('UX Weekly'!$H$1:$CT$1,"&gt;="&amp;AS$1,'UX Weekly'!$H$1:$CT$1,"&lt;="&amp;EOMONTH(AS$1,0),'UX Weekly'!$H11:$CT11,"&lt;&gt;"))</f>
        <v>0</v>
      </c>
      <c r="AT11">
        <f>IF($B11="",0,COUNTIFS('UX Weekly'!$H$1:$CT$1,"&gt;="&amp;AT$1,'UX Weekly'!$H$1:$CT$1,"&lt;="&amp;EOMONTH(AT$1,0),'UX Weekly'!$H11:$CT11,"&lt;&gt;"))</f>
        <v>0</v>
      </c>
      <c r="AU11">
        <f>IF($B11="",0,COUNTIFS('UX Weekly'!$H$1:$CT$1,"&gt;="&amp;AU$1,'UX Weekly'!$H$1:$CT$1,"&lt;="&amp;EOMONTH(AU$1,0),'UX Weekly'!$H11:$CT11,"&lt;&gt;"))</f>
        <v>0</v>
      </c>
      <c r="AV11">
        <f>IF($B11="",0,COUNTIFS('UX Weekly'!$H$1:$CT$1,"&gt;="&amp;AV$1,'UX Weekly'!$H$1:$CT$1,"&lt;="&amp;EOMONTH(AV$1,0),'UX Weekly'!$H11:$CT11,"&lt;&gt;"))</f>
        <v>0</v>
      </c>
      <c r="AW11">
        <f>IF($B11="",0,COUNTIFS('UX Weekly'!$H$1:$CT$1,"&gt;="&amp;AW$1,'UX Weekly'!$H$1:$CT$1,"&lt;="&amp;EOMONTH(AW$1,0),'UX Weekly'!$H11:$CT11,"&lt;&gt;"))</f>
        <v>0</v>
      </c>
      <c r="AX11">
        <f>IF($B11="",0,COUNTIFS('UX Weekly'!$H$1:$CT$1,"&gt;="&amp;AX$1,'UX Weekly'!$H$1:$CT$1,"&lt;="&amp;EOMONTH(AX$1,0),'UX Weekly'!$H11:$CT11,"&lt;&gt;"))</f>
        <v>0</v>
      </c>
    </row>
    <row r="12" spans="1:53" x14ac:dyDescent="0.2">
      <c r="A12" s="152">
        <v>12</v>
      </c>
      <c r="B12" s="152" t="str">
        <f>IF(TRIM('UX Weekly'!E12)="","",TRIM('UX Weekly'!E12))</f>
        <v>The Studio - Category Hybrid Page</v>
      </c>
      <c r="C12" s="152" t="str">
        <f>IF($B12="","",'UX Weekly'!B12)</f>
        <v>B2B</v>
      </c>
      <c r="D12" s="152" t="str">
        <f>IF($B12="","",IF(TRIM('UX Weekly'!C12)="","(No theme assigned)",TRIM('UX Weekly'!C12)))</f>
        <v>Increase The Studio B&amp;H Awareness</v>
      </c>
      <c r="E12" s="152" t="str">
        <f>IF($B12="","",TRIM('UX Weekly'!F12))</f>
        <v>BHP-7301</v>
      </c>
      <c r="F12" s="152" t="str">
        <f>IF($B12="","",'UX Weekly'!G12)</f>
        <v>02. UX Req</v>
      </c>
      <c r="G12" s="153">
        <f t="array" ref="G12">IF($B12="","",IF($T12=0,"",IFERROR(MIN(IF('UX Weekly'!$H12:$CT12&lt;&gt;"",'UX Weekly'!$H$1:$CT$1)),"")))</f>
        <v>46244</v>
      </c>
      <c r="H12" s="153">
        <f t="array" ref="H12">IF($B12="","",IF($T12=0,"",IFERROR(MAX(IF('UX Weekly'!$H12:$CT12&lt;&gt;"",'UX Weekly'!$H$1:$CT$1)),"")))</f>
        <v>46265</v>
      </c>
      <c r="I12" s="154">
        <f t="shared" ca="1" si="0"/>
        <v>46296</v>
      </c>
      <c r="J12" s="154">
        <f t="shared" ca="1" si="1"/>
        <v>46326</v>
      </c>
      <c r="K12" s="152" t="str">
        <f>IF($B12="","",IF(COUNTA('Dev Tracker'!L12)=0,"",TRIM('Dev Tracker'!L12)))</f>
        <v>BHP-7301</v>
      </c>
      <c r="L12" s="152">
        <f>IF($B12="","",IFERROR(MATCH($D12,Control!$E$4:$E$30,0),99))</f>
        <v>9</v>
      </c>
      <c r="M12" s="152">
        <f>IF($B12="","",IFERROR(MATCH($F12,Control!$B$4:$B$30,0),99))</f>
        <v>4</v>
      </c>
      <c r="N12" s="152" t="str">
        <f>IF($V12&lt;&gt;1,"",IF('Roadmap (Auto)'!$D$3="Status, then Theme",$M12*1000000+$L12*10000+ROW(),IF('Roadmap (Auto)'!$D$3="Dev start (earliest)",IF($I12="",99999999,$I12)*10000+ROW(),IF('Roadmap (Auto)'!$D$3="UX start (earliest)",IF($G12="",99999999,$G12)*10000+ROW(),IF('Roadmap (Auto)'!$D$3="Deliverable A-Z",$W12*10000+ROW(),$L12*1000000+$M12*10000+ROW())))))</f>
        <v/>
      </c>
      <c r="O12" s="152" t="str">
        <f t="shared" si="2"/>
        <v/>
      </c>
      <c r="P12" s="152" t="str">
        <f>IF($B12="","",IF(COUNTA('Dev Tracker'!I12)=0,"",'Dev Tracker'!I12))</f>
        <v>Oct 2026</v>
      </c>
      <c r="Q12" s="152" t="str">
        <f>IF($B12="","",IF(COUNTA('Dev Tracker'!J12)=0,"",'Dev Tracker'!J12))</f>
        <v>Oct 2026</v>
      </c>
      <c r="R12" s="154">
        <f t="shared" ca="1" si="3"/>
        <v>46296</v>
      </c>
      <c r="S12" s="154">
        <f t="shared" ca="1" si="4"/>
        <v>46296</v>
      </c>
      <c r="T12" s="152">
        <f>IF($B12="","",COUNTA('UX Weekly'!$H12:$CT12))</f>
        <v>3</v>
      </c>
      <c r="U12" s="152">
        <f>IF($B12="","",IFERROR(MATCH($D12,Control!$E$4:$E$30,0)+3,0))</f>
        <v>12</v>
      </c>
      <c r="V12" s="152">
        <f>IF($B12="","",IF(AND(OR('Roadmap (Auto)'!$A$3="",'Roadmap (Auto)'!$A$3="(All)",ISNUMBER(SEARCH('Roadmap (Auto)'!$A$3,$C12&amp;""))),OR('Roadmap (Auto)'!$B$3="",'Roadmap (Auto)'!$B$3="(All)",$D12='Roadmap (Auto)'!$B$3,$X12='Roadmap (Auto)'!$B$3),OR('Roadmap (Auto)'!$C$3="",'Roadmap (Auto)'!$C$3="(All)",$F12='Roadmap (Auto)'!$C$3)),1,0))</f>
        <v>0</v>
      </c>
      <c r="W12" s="152">
        <f t="shared" si="5"/>
        <v>140</v>
      </c>
      <c r="X12" s="152" t="str">
        <f>IF($B12="","",IF(TRIM('UX Weekly'!D12)="","",TRIM('UX Weekly'!D12)))</f>
        <v/>
      </c>
      <c r="Y12" s="152" t="str">
        <f t="shared" si="6"/>
        <v>THESTUDIOCATEGORYHYBRIDPAGE</v>
      </c>
      <c r="AA12">
        <f>IF($B12="",0,COUNTIFS('UX Weekly'!$H$1:$CT$1,"&gt;="&amp;AA$1,'UX Weekly'!$H$1:$CT$1,"&lt;="&amp;EOMONTH(AA$1,0),'UX Weekly'!$H12:$CT12,"&lt;&gt;"))</f>
        <v>0</v>
      </c>
      <c r="AB12">
        <f>IF($B12="",0,COUNTIFS('UX Weekly'!$H$1:$CT$1,"&gt;="&amp;AB$1,'UX Weekly'!$H$1:$CT$1,"&lt;="&amp;EOMONTH(AB$1,0),'UX Weekly'!$H12:$CT12,"&lt;&gt;"))</f>
        <v>0</v>
      </c>
      <c r="AC12">
        <f>IF($B12="",0,COUNTIFS('UX Weekly'!$H$1:$CT$1,"&gt;="&amp;AC$1,'UX Weekly'!$H$1:$CT$1,"&lt;="&amp;EOMONTH(AC$1,0),'UX Weekly'!$H12:$CT12,"&lt;&gt;"))</f>
        <v>0</v>
      </c>
      <c r="AD12">
        <f>IF($B12="",0,COUNTIFS('UX Weekly'!$H$1:$CT$1,"&gt;="&amp;AD$1,'UX Weekly'!$H$1:$CT$1,"&lt;="&amp;EOMONTH(AD$1,0),'UX Weekly'!$H12:$CT12,"&lt;&gt;"))</f>
        <v>0</v>
      </c>
      <c r="AE12">
        <f>IF($B12="",0,COUNTIFS('UX Weekly'!$H$1:$CT$1,"&gt;="&amp;AE$1,'UX Weekly'!$H$1:$CT$1,"&lt;="&amp;EOMONTH(AE$1,0),'UX Weekly'!$H12:$CT12,"&lt;&gt;"))</f>
        <v>0</v>
      </c>
      <c r="AF12">
        <f>IF($B12="",0,COUNTIFS('UX Weekly'!$H$1:$CT$1,"&gt;="&amp;AF$1,'UX Weekly'!$H$1:$CT$1,"&lt;="&amp;EOMONTH(AF$1,0),'UX Weekly'!$H12:$CT12,"&lt;&gt;"))</f>
        <v>0</v>
      </c>
      <c r="AG12">
        <f>IF($B12="",0,COUNTIFS('UX Weekly'!$H$1:$CT$1,"&gt;="&amp;AG$1,'UX Weekly'!$H$1:$CT$1,"&lt;="&amp;EOMONTH(AG$1,0),'UX Weekly'!$H12:$CT12,"&lt;&gt;"))</f>
        <v>0</v>
      </c>
      <c r="AH12">
        <f>IF($B12="",0,COUNTIFS('UX Weekly'!$H$1:$CT$1,"&gt;="&amp;AH$1,'UX Weekly'!$H$1:$CT$1,"&lt;="&amp;EOMONTH(AH$1,0),'UX Weekly'!$H12:$CT12,"&lt;&gt;"))</f>
        <v>3</v>
      </c>
      <c r="AI12">
        <f>IF($B12="",0,COUNTIFS('UX Weekly'!$H$1:$CT$1,"&gt;="&amp;AI$1,'UX Weekly'!$H$1:$CT$1,"&lt;="&amp;EOMONTH(AI$1,0),'UX Weekly'!$H12:$CT12,"&lt;&gt;"))</f>
        <v>0</v>
      </c>
      <c r="AJ12">
        <f>IF($B12="",0,COUNTIFS('UX Weekly'!$H$1:$CT$1,"&gt;="&amp;AJ$1,'UX Weekly'!$H$1:$CT$1,"&lt;="&amp;EOMONTH(AJ$1,0),'UX Weekly'!$H12:$CT12,"&lt;&gt;"))</f>
        <v>0</v>
      </c>
      <c r="AK12">
        <f>IF($B12="",0,COUNTIFS('UX Weekly'!$H$1:$CT$1,"&gt;="&amp;AK$1,'UX Weekly'!$H$1:$CT$1,"&lt;="&amp;EOMONTH(AK$1,0),'UX Weekly'!$H12:$CT12,"&lt;&gt;"))</f>
        <v>0</v>
      </c>
      <c r="AL12">
        <f>IF($B12="",0,COUNTIFS('UX Weekly'!$H$1:$CT$1,"&gt;="&amp;AL$1,'UX Weekly'!$H$1:$CT$1,"&lt;="&amp;EOMONTH(AL$1,0),'UX Weekly'!$H12:$CT12,"&lt;&gt;"))</f>
        <v>0</v>
      </c>
      <c r="AM12">
        <f>IF($B12="",0,COUNTIFS('UX Weekly'!$H$1:$CT$1,"&gt;="&amp;AM$1,'UX Weekly'!$H$1:$CT$1,"&lt;="&amp;EOMONTH(AM$1,0),'UX Weekly'!$H12:$CT12,"&lt;&gt;"))</f>
        <v>0</v>
      </c>
      <c r="AN12">
        <f>IF($B12="",0,COUNTIFS('UX Weekly'!$H$1:$CT$1,"&gt;="&amp;AN$1,'UX Weekly'!$H$1:$CT$1,"&lt;="&amp;EOMONTH(AN$1,0),'UX Weekly'!$H12:$CT12,"&lt;&gt;"))</f>
        <v>0</v>
      </c>
      <c r="AO12">
        <f>IF($B12="",0,COUNTIFS('UX Weekly'!$H$1:$CT$1,"&gt;="&amp;AO$1,'UX Weekly'!$H$1:$CT$1,"&lt;="&amp;EOMONTH(AO$1,0),'UX Weekly'!$H12:$CT12,"&lt;&gt;"))</f>
        <v>0</v>
      </c>
      <c r="AP12">
        <f>IF($B12="",0,COUNTIFS('UX Weekly'!$H$1:$CT$1,"&gt;="&amp;AP$1,'UX Weekly'!$H$1:$CT$1,"&lt;="&amp;EOMONTH(AP$1,0),'UX Weekly'!$H12:$CT12,"&lt;&gt;"))</f>
        <v>0</v>
      </c>
      <c r="AQ12">
        <f>IF($B12="",0,COUNTIFS('UX Weekly'!$H$1:$CT$1,"&gt;="&amp;AQ$1,'UX Weekly'!$H$1:$CT$1,"&lt;="&amp;EOMONTH(AQ$1,0),'UX Weekly'!$H12:$CT12,"&lt;&gt;"))</f>
        <v>0</v>
      </c>
      <c r="AR12">
        <f>IF($B12="",0,COUNTIFS('UX Weekly'!$H$1:$CT$1,"&gt;="&amp;AR$1,'UX Weekly'!$H$1:$CT$1,"&lt;="&amp;EOMONTH(AR$1,0),'UX Weekly'!$H12:$CT12,"&lt;&gt;"))</f>
        <v>0</v>
      </c>
      <c r="AS12">
        <f>IF($B12="",0,COUNTIFS('UX Weekly'!$H$1:$CT$1,"&gt;="&amp;AS$1,'UX Weekly'!$H$1:$CT$1,"&lt;="&amp;EOMONTH(AS$1,0),'UX Weekly'!$H12:$CT12,"&lt;&gt;"))</f>
        <v>0</v>
      </c>
      <c r="AT12">
        <f>IF($B12="",0,COUNTIFS('UX Weekly'!$H$1:$CT$1,"&gt;="&amp;AT$1,'UX Weekly'!$H$1:$CT$1,"&lt;="&amp;EOMONTH(AT$1,0),'UX Weekly'!$H12:$CT12,"&lt;&gt;"))</f>
        <v>0</v>
      </c>
      <c r="AU12">
        <f>IF($B12="",0,COUNTIFS('UX Weekly'!$H$1:$CT$1,"&gt;="&amp;AU$1,'UX Weekly'!$H$1:$CT$1,"&lt;="&amp;EOMONTH(AU$1,0),'UX Weekly'!$H12:$CT12,"&lt;&gt;"))</f>
        <v>0</v>
      </c>
      <c r="AV12">
        <f>IF($B12="",0,COUNTIFS('UX Weekly'!$H$1:$CT$1,"&gt;="&amp;AV$1,'UX Weekly'!$H$1:$CT$1,"&lt;="&amp;EOMONTH(AV$1,0),'UX Weekly'!$H12:$CT12,"&lt;&gt;"))</f>
        <v>0</v>
      </c>
      <c r="AW12">
        <f>IF($B12="",0,COUNTIFS('UX Weekly'!$H$1:$CT$1,"&gt;="&amp;AW$1,'UX Weekly'!$H$1:$CT$1,"&lt;="&amp;EOMONTH(AW$1,0),'UX Weekly'!$H12:$CT12,"&lt;&gt;"))</f>
        <v>0</v>
      </c>
      <c r="AX12">
        <f>IF($B12="",0,COUNTIFS('UX Weekly'!$H$1:$CT$1,"&gt;="&amp;AX$1,'UX Weekly'!$H$1:$CT$1,"&lt;="&amp;EOMONTH(AX$1,0),'UX Weekly'!$H12:$CT12,"&lt;&gt;"))</f>
        <v>0</v>
      </c>
    </row>
    <row r="13" spans="1:53" x14ac:dyDescent="0.2">
      <c r="A13" s="152">
        <v>13</v>
      </c>
      <c r="B13" s="152" t="str">
        <f>IF(TRIM('UX Weekly'!E13)="","",TRIM('UX Weekly'!E13))</f>
        <v>Used Just Added Page</v>
      </c>
      <c r="C13" s="152" t="str">
        <f>IF($B13="","",'UX Weekly'!B13)</f>
        <v>Used</v>
      </c>
      <c r="D13" s="152" t="str">
        <f>IF($B13="","",IF(TRIM('UX Weekly'!C13)="","(No theme assigned)",TRIM('UX Weekly'!C13)))</f>
        <v>Increase Buy Used Awareness</v>
      </c>
      <c r="E13" s="152" t="str">
        <f>IF($B13="","",TRIM('UX Weekly'!F13))</f>
        <v>BHP-7230</v>
      </c>
      <c r="F13" s="152" t="str">
        <f>IF($B13="","",'UX Weekly'!G13)</f>
        <v>02. UX Req</v>
      </c>
      <c r="G13" s="153">
        <f t="array" ref="G13">IF($B13="","",IF($T13=0,"",IFERROR(MIN(IF('UX Weekly'!$H13:$CT13&lt;&gt;"",'UX Weekly'!$H$1:$CT$1)),"")))</f>
        <v>46160</v>
      </c>
      <c r="H13" s="153">
        <f t="array" ref="H13">IF($B13="","",IF($T13=0,"",IFERROR(MAX(IF('UX Weekly'!$H13:$CT13&lt;&gt;"",'UX Weekly'!$H$1:$CT$1)),"")))</f>
        <v>46307</v>
      </c>
      <c r="I13" s="154">
        <f t="shared" ca="1" si="0"/>
        <v>46419</v>
      </c>
      <c r="J13" s="154">
        <f t="shared" ca="1" si="1"/>
        <v>46446</v>
      </c>
      <c r="K13" s="152" t="str">
        <f>IF($B13="","",IF(COUNTA('Dev Tracker'!L13)=0,"",TRIM('Dev Tracker'!L13)))</f>
        <v>BHP-7230</v>
      </c>
      <c r="L13" s="152">
        <f>IF($B13="","",IFERROR(MATCH($D13,Control!$E$4:$E$30,0),99))</f>
        <v>5</v>
      </c>
      <c r="M13" s="152">
        <f>IF($B13="","",IFERROR(MATCH($F13,Control!$B$4:$B$30,0),99))</f>
        <v>4</v>
      </c>
      <c r="N13" s="152">
        <f>IF($V13&lt;&gt;1,"",IF('Roadmap (Auto)'!$D$3="Status, then Theme",$M13*1000000+$L13*10000+ROW(),IF('Roadmap (Auto)'!$D$3="Dev start (earliest)",IF($I13="",99999999,$I13)*10000+ROW(),IF('Roadmap (Auto)'!$D$3="UX start (earliest)",IF($G13="",99999999,$G13)*10000+ROW(),IF('Roadmap (Auto)'!$D$3="Deliverable A-Z",$W13*10000+ROW(),$L13*1000000+$M13*10000+ROW())))))</f>
        <v>5040013</v>
      </c>
      <c r="O13" s="152">
        <f t="shared" si="2"/>
        <v>13</v>
      </c>
      <c r="P13" s="152" t="str">
        <f>IF($B13="","",IF(COUNTA('Dev Tracker'!I13)=0,"",'Dev Tracker'!I13))</f>
        <v>Feb 2027</v>
      </c>
      <c r="Q13" s="152" t="str">
        <f>IF($B13="","",IF(COUNTA('Dev Tracker'!J13)=0,"",'Dev Tracker'!J13))</f>
        <v>Feb 2027</v>
      </c>
      <c r="R13" s="154">
        <f t="shared" ca="1" si="3"/>
        <v>46419</v>
      </c>
      <c r="S13" s="154">
        <f t="shared" ca="1" si="4"/>
        <v>46419</v>
      </c>
      <c r="T13" s="152">
        <f>IF($B13="","",COUNTA('UX Weekly'!$H13:$CT13))</f>
        <v>4</v>
      </c>
      <c r="U13" s="152">
        <f>IF($B13="","",IFERROR(MATCH($D13,Control!$E$4:$E$30,0)+3,0))</f>
        <v>8</v>
      </c>
      <c r="V13" s="152">
        <f>IF($B13="","",IF(AND(OR('Roadmap (Auto)'!$A$3="",'Roadmap (Auto)'!$A$3="(All)",ISNUMBER(SEARCH('Roadmap (Auto)'!$A$3,$C13&amp;""))),OR('Roadmap (Auto)'!$B$3="",'Roadmap (Auto)'!$B$3="(All)",$D13='Roadmap (Auto)'!$B$3,$X13='Roadmap (Auto)'!$B$3),OR('Roadmap (Auto)'!$C$3="",'Roadmap (Auto)'!$C$3="(All)",$F13='Roadmap (Auto)'!$C$3)),1,0))</f>
        <v>1</v>
      </c>
      <c r="W13" s="152">
        <f t="shared" si="5"/>
        <v>148</v>
      </c>
      <c r="X13" s="152" t="str">
        <f>IF($B13="","",IF(TRIM('UX Weekly'!D13)="","",TRIM('UX Weekly'!D13)))</f>
        <v/>
      </c>
      <c r="Y13" s="152" t="str">
        <f t="shared" si="6"/>
        <v>USEDJUSTADDEDPAGE</v>
      </c>
      <c r="AA13">
        <f>IF($B13="",0,COUNTIFS('UX Weekly'!$H$1:$CT$1,"&gt;="&amp;AA$1,'UX Weekly'!$H$1:$CT$1,"&lt;="&amp;EOMONTH(AA$1,0),'UX Weekly'!$H13:$CT13,"&lt;&gt;"))</f>
        <v>0</v>
      </c>
      <c r="AB13">
        <f>IF($B13="",0,COUNTIFS('UX Weekly'!$H$1:$CT$1,"&gt;="&amp;AB$1,'UX Weekly'!$H$1:$CT$1,"&lt;="&amp;EOMONTH(AB$1,0),'UX Weekly'!$H13:$CT13,"&lt;&gt;"))</f>
        <v>0</v>
      </c>
      <c r="AC13">
        <f>IF($B13="",0,COUNTIFS('UX Weekly'!$H$1:$CT$1,"&gt;="&amp;AC$1,'UX Weekly'!$H$1:$CT$1,"&lt;="&amp;EOMONTH(AC$1,0),'UX Weekly'!$H13:$CT13,"&lt;&gt;"))</f>
        <v>0</v>
      </c>
      <c r="AD13">
        <f>IF($B13="",0,COUNTIFS('UX Weekly'!$H$1:$CT$1,"&gt;="&amp;AD$1,'UX Weekly'!$H$1:$CT$1,"&lt;="&amp;EOMONTH(AD$1,0),'UX Weekly'!$H13:$CT13,"&lt;&gt;"))</f>
        <v>0</v>
      </c>
      <c r="AE13">
        <f>IF($B13="",0,COUNTIFS('UX Weekly'!$H$1:$CT$1,"&gt;="&amp;AE$1,'UX Weekly'!$H$1:$CT$1,"&lt;="&amp;EOMONTH(AE$1,0),'UX Weekly'!$H13:$CT13,"&lt;&gt;"))</f>
        <v>2</v>
      </c>
      <c r="AF13">
        <f>IF($B13="",0,COUNTIFS('UX Weekly'!$H$1:$CT$1,"&gt;="&amp;AF$1,'UX Weekly'!$H$1:$CT$1,"&lt;="&amp;EOMONTH(AF$1,0),'UX Weekly'!$H13:$CT13,"&lt;&gt;"))</f>
        <v>0</v>
      </c>
      <c r="AG13">
        <f>IF($B13="",0,COUNTIFS('UX Weekly'!$H$1:$CT$1,"&gt;="&amp;AG$1,'UX Weekly'!$H$1:$CT$1,"&lt;="&amp;EOMONTH(AG$1,0),'UX Weekly'!$H13:$CT13,"&lt;&gt;"))</f>
        <v>0</v>
      </c>
      <c r="AH13">
        <f>IF($B13="",0,COUNTIFS('UX Weekly'!$H$1:$CT$1,"&gt;="&amp;AH$1,'UX Weekly'!$H$1:$CT$1,"&lt;="&amp;EOMONTH(AH$1,0),'UX Weekly'!$H13:$CT13,"&lt;&gt;"))</f>
        <v>0</v>
      </c>
      <c r="AI13">
        <f>IF($B13="",0,COUNTIFS('UX Weekly'!$H$1:$CT$1,"&gt;="&amp;AI$1,'UX Weekly'!$H$1:$CT$1,"&lt;="&amp;EOMONTH(AI$1,0),'UX Weekly'!$H13:$CT13,"&lt;&gt;"))</f>
        <v>0</v>
      </c>
      <c r="AJ13">
        <f>IF($B13="",0,COUNTIFS('UX Weekly'!$H$1:$CT$1,"&gt;="&amp;AJ$1,'UX Weekly'!$H$1:$CT$1,"&lt;="&amp;EOMONTH(AJ$1,0),'UX Weekly'!$H13:$CT13,"&lt;&gt;"))</f>
        <v>2</v>
      </c>
      <c r="AK13">
        <f>IF($B13="",0,COUNTIFS('UX Weekly'!$H$1:$CT$1,"&gt;="&amp;AK$1,'UX Weekly'!$H$1:$CT$1,"&lt;="&amp;EOMONTH(AK$1,0),'UX Weekly'!$H13:$CT13,"&lt;&gt;"))</f>
        <v>0</v>
      </c>
      <c r="AL13">
        <f>IF($B13="",0,COUNTIFS('UX Weekly'!$H$1:$CT$1,"&gt;="&amp;AL$1,'UX Weekly'!$H$1:$CT$1,"&lt;="&amp;EOMONTH(AL$1,0),'UX Weekly'!$H13:$CT13,"&lt;&gt;"))</f>
        <v>0</v>
      </c>
      <c r="AM13">
        <f>IF($B13="",0,COUNTIFS('UX Weekly'!$H$1:$CT$1,"&gt;="&amp;AM$1,'UX Weekly'!$H$1:$CT$1,"&lt;="&amp;EOMONTH(AM$1,0),'UX Weekly'!$H13:$CT13,"&lt;&gt;"))</f>
        <v>0</v>
      </c>
      <c r="AN13">
        <f>IF($B13="",0,COUNTIFS('UX Weekly'!$H$1:$CT$1,"&gt;="&amp;AN$1,'UX Weekly'!$H$1:$CT$1,"&lt;="&amp;EOMONTH(AN$1,0),'UX Weekly'!$H13:$CT13,"&lt;&gt;"))</f>
        <v>0</v>
      </c>
      <c r="AO13">
        <f>IF($B13="",0,COUNTIFS('UX Weekly'!$H$1:$CT$1,"&gt;="&amp;AO$1,'UX Weekly'!$H$1:$CT$1,"&lt;="&amp;EOMONTH(AO$1,0),'UX Weekly'!$H13:$CT13,"&lt;&gt;"))</f>
        <v>0</v>
      </c>
      <c r="AP13">
        <f>IF($B13="",0,COUNTIFS('UX Weekly'!$H$1:$CT$1,"&gt;="&amp;AP$1,'UX Weekly'!$H$1:$CT$1,"&lt;="&amp;EOMONTH(AP$1,0),'UX Weekly'!$H13:$CT13,"&lt;&gt;"))</f>
        <v>0</v>
      </c>
      <c r="AQ13">
        <f>IF($B13="",0,COUNTIFS('UX Weekly'!$H$1:$CT$1,"&gt;="&amp;AQ$1,'UX Weekly'!$H$1:$CT$1,"&lt;="&amp;EOMONTH(AQ$1,0),'UX Weekly'!$H13:$CT13,"&lt;&gt;"))</f>
        <v>0</v>
      </c>
      <c r="AR13">
        <f>IF($B13="",0,COUNTIFS('UX Weekly'!$H$1:$CT$1,"&gt;="&amp;AR$1,'UX Weekly'!$H$1:$CT$1,"&lt;="&amp;EOMONTH(AR$1,0),'UX Weekly'!$H13:$CT13,"&lt;&gt;"))</f>
        <v>0</v>
      </c>
      <c r="AS13">
        <f>IF($B13="",0,COUNTIFS('UX Weekly'!$H$1:$CT$1,"&gt;="&amp;AS$1,'UX Weekly'!$H$1:$CT$1,"&lt;="&amp;EOMONTH(AS$1,0),'UX Weekly'!$H13:$CT13,"&lt;&gt;"))</f>
        <v>0</v>
      </c>
      <c r="AT13">
        <f>IF($B13="",0,COUNTIFS('UX Weekly'!$H$1:$CT$1,"&gt;="&amp;AT$1,'UX Weekly'!$H$1:$CT$1,"&lt;="&amp;EOMONTH(AT$1,0),'UX Weekly'!$H13:$CT13,"&lt;&gt;"))</f>
        <v>0</v>
      </c>
      <c r="AU13">
        <f>IF($B13="",0,COUNTIFS('UX Weekly'!$H$1:$CT$1,"&gt;="&amp;AU$1,'UX Weekly'!$H$1:$CT$1,"&lt;="&amp;EOMONTH(AU$1,0),'UX Weekly'!$H13:$CT13,"&lt;&gt;"))</f>
        <v>0</v>
      </c>
      <c r="AV13">
        <f>IF($B13="",0,COUNTIFS('UX Weekly'!$H$1:$CT$1,"&gt;="&amp;AV$1,'UX Weekly'!$H$1:$CT$1,"&lt;="&amp;EOMONTH(AV$1,0),'UX Weekly'!$H13:$CT13,"&lt;&gt;"))</f>
        <v>0</v>
      </c>
      <c r="AW13">
        <f>IF($B13="",0,COUNTIFS('UX Weekly'!$H$1:$CT$1,"&gt;="&amp;AW$1,'UX Weekly'!$H$1:$CT$1,"&lt;="&amp;EOMONTH(AW$1,0),'UX Weekly'!$H13:$CT13,"&lt;&gt;"))</f>
        <v>0</v>
      </c>
      <c r="AX13">
        <f>IF($B13="",0,COUNTIFS('UX Weekly'!$H$1:$CT$1,"&gt;="&amp;AX$1,'UX Weekly'!$H$1:$CT$1,"&lt;="&amp;EOMONTH(AX$1,0),'UX Weekly'!$H13:$CT13,"&lt;&gt;"))</f>
        <v>0</v>
      </c>
    </row>
    <row r="14" spans="1:53" x14ac:dyDescent="0.2">
      <c r="A14" s="152">
        <v>14</v>
      </c>
      <c r="B14" s="152" t="str">
        <f>IF(TRIM('UX Weekly'!E14)="","",TRIM('UX Weekly'!E14))</f>
        <v>Increase Awareness of Trade In Offers - Best Buy Inspiration/Competitive Effort</v>
      </c>
      <c r="C14" s="152" t="str">
        <f>IF($B14="","",'UX Weekly'!B14)</f>
        <v>Used</v>
      </c>
      <c r="D14" s="152" t="str">
        <f>IF($B14="","",IF(TRIM('UX Weekly'!C14)="","(No theme assigned)",TRIM('UX Weekly'!C14)))</f>
        <v>Increase Trade In Awareness</v>
      </c>
      <c r="E14" s="152" t="str">
        <f>IF($B14="","",TRIM('UX Weekly'!F14))</f>
        <v>BHP-6827</v>
      </c>
      <c r="F14" s="152" t="str">
        <f>IF($B14="","",'UX Weekly'!G14)</f>
        <v>02. UX Req</v>
      </c>
      <c r="G14" s="153" t="str">
        <f t="array" ref="G14">IF($B14="","",IF($T14=0,"",IFERROR(MIN(IF('UX Weekly'!$H14:$CT14&lt;&gt;"",'UX Weekly'!$H$1:$CT$1)),"")))</f>
        <v/>
      </c>
      <c r="H14" s="153" t="str">
        <f t="array" ref="H14">IF($B14="","",IF($T14=0,"",IFERROR(MAX(IF('UX Weekly'!$H14:$CT14&lt;&gt;"",'UX Weekly'!$H$1:$CT$1)),"")))</f>
        <v/>
      </c>
      <c r="I14" s="154">
        <f t="shared" ca="1" si="0"/>
        <v>46296</v>
      </c>
      <c r="J14" s="154">
        <f t="shared" ca="1" si="1"/>
        <v>46326</v>
      </c>
      <c r="K14" s="152" t="str">
        <f>IF($B14="","",IF(COUNTA('Dev Tracker'!L14)=0,"",TRIM('Dev Tracker'!L14)))</f>
        <v>BHP-6827</v>
      </c>
      <c r="L14" s="152">
        <f>IF($B14="","",IFERROR(MATCH($D14,Control!$E$4:$E$30,0),99))</f>
        <v>2</v>
      </c>
      <c r="M14" s="152">
        <f>IF($B14="","",IFERROR(MATCH($F14,Control!$B$4:$B$30,0),99))</f>
        <v>4</v>
      </c>
      <c r="N14" s="152">
        <f>IF($V14&lt;&gt;1,"",IF('Roadmap (Auto)'!$D$3="Status, then Theme",$M14*1000000+$L14*10000+ROW(),IF('Roadmap (Auto)'!$D$3="Dev start (earliest)",IF($I14="",99999999,$I14)*10000+ROW(),IF('Roadmap (Auto)'!$D$3="UX start (earliest)",IF($G14="",99999999,$G14)*10000+ROW(),IF('Roadmap (Auto)'!$D$3="Deliverable A-Z",$W14*10000+ROW(),$L14*1000000+$M14*10000+ROW())))))</f>
        <v>2040014</v>
      </c>
      <c r="O14" s="152">
        <f t="shared" si="2"/>
        <v>3</v>
      </c>
      <c r="P14" s="152" t="str">
        <f>IF($B14="","",IF(COUNTA('Dev Tracker'!I14)=0,"",'Dev Tracker'!I14))</f>
        <v>Oct 2026</v>
      </c>
      <c r="Q14" s="152" t="str">
        <f>IF($B14="","",IF(COUNTA('Dev Tracker'!J14)=0,"",'Dev Tracker'!J14))</f>
        <v>Oct 2026</v>
      </c>
      <c r="R14" s="154">
        <f t="shared" ca="1" si="3"/>
        <v>46296</v>
      </c>
      <c r="S14" s="154">
        <f t="shared" ca="1" si="4"/>
        <v>46296</v>
      </c>
      <c r="T14" s="152">
        <f>IF($B14="","",COUNTA('UX Weekly'!$H14:$CT14))</f>
        <v>0</v>
      </c>
      <c r="U14" s="152">
        <f>IF($B14="","",IFERROR(MATCH($D14,Control!$E$4:$E$30,0)+3,0))</f>
        <v>5</v>
      </c>
      <c r="V14" s="152">
        <f>IF($B14="","",IF(AND(OR('Roadmap (Auto)'!$A$3="",'Roadmap (Auto)'!$A$3="(All)",ISNUMBER(SEARCH('Roadmap (Auto)'!$A$3,$C14&amp;""))),OR('Roadmap (Auto)'!$B$3="",'Roadmap (Auto)'!$B$3="(All)",$D14='Roadmap (Auto)'!$B$3,$X14='Roadmap (Auto)'!$B$3),OR('Roadmap (Auto)'!$C$3="",'Roadmap (Auto)'!$C$3="(All)",$F14='Roadmap (Auto)'!$C$3)),1,0))</f>
        <v>1</v>
      </c>
      <c r="W14" s="152">
        <f t="shared" si="5"/>
        <v>122</v>
      </c>
      <c r="X14" s="152" t="str">
        <f>IF($B14="","",IF(TRIM('UX Weekly'!D14)="","",TRIM('UX Weekly'!D14)))</f>
        <v/>
      </c>
      <c r="Y14" s="152" t="str">
        <f t="shared" si="6"/>
        <v>INCREASEAWARENESSOFTRADEINOFFERSBESTBUYINSPIRATIONCOMPETITIVEEFFORT</v>
      </c>
      <c r="AA14">
        <f>IF($B14="",0,COUNTIFS('UX Weekly'!$H$1:$CT$1,"&gt;="&amp;AA$1,'UX Weekly'!$H$1:$CT$1,"&lt;="&amp;EOMONTH(AA$1,0),'UX Weekly'!$H14:$CT14,"&lt;&gt;"))</f>
        <v>0</v>
      </c>
      <c r="AB14">
        <f>IF($B14="",0,COUNTIFS('UX Weekly'!$H$1:$CT$1,"&gt;="&amp;AB$1,'UX Weekly'!$H$1:$CT$1,"&lt;="&amp;EOMONTH(AB$1,0),'UX Weekly'!$H14:$CT14,"&lt;&gt;"))</f>
        <v>0</v>
      </c>
      <c r="AC14">
        <f>IF($B14="",0,COUNTIFS('UX Weekly'!$H$1:$CT$1,"&gt;="&amp;AC$1,'UX Weekly'!$H$1:$CT$1,"&lt;="&amp;EOMONTH(AC$1,0),'UX Weekly'!$H14:$CT14,"&lt;&gt;"))</f>
        <v>0</v>
      </c>
      <c r="AD14">
        <f>IF($B14="",0,COUNTIFS('UX Weekly'!$H$1:$CT$1,"&gt;="&amp;AD$1,'UX Weekly'!$H$1:$CT$1,"&lt;="&amp;EOMONTH(AD$1,0),'UX Weekly'!$H14:$CT14,"&lt;&gt;"))</f>
        <v>0</v>
      </c>
      <c r="AE14">
        <f>IF($B14="",0,COUNTIFS('UX Weekly'!$H$1:$CT$1,"&gt;="&amp;AE$1,'UX Weekly'!$H$1:$CT$1,"&lt;="&amp;EOMONTH(AE$1,0),'UX Weekly'!$H14:$CT14,"&lt;&gt;"))</f>
        <v>0</v>
      </c>
      <c r="AF14">
        <f>IF($B14="",0,COUNTIFS('UX Weekly'!$H$1:$CT$1,"&gt;="&amp;AF$1,'UX Weekly'!$H$1:$CT$1,"&lt;="&amp;EOMONTH(AF$1,0),'UX Weekly'!$H14:$CT14,"&lt;&gt;"))</f>
        <v>0</v>
      </c>
      <c r="AG14">
        <f>IF($B14="",0,COUNTIFS('UX Weekly'!$H$1:$CT$1,"&gt;="&amp;AG$1,'UX Weekly'!$H$1:$CT$1,"&lt;="&amp;EOMONTH(AG$1,0),'UX Weekly'!$H14:$CT14,"&lt;&gt;"))</f>
        <v>0</v>
      </c>
      <c r="AH14">
        <f>IF($B14="",0,COUNTIFS('UX Weekly'!$H$1:$CT$1,"&gt;="&amp;AH$1,'UX Weekly'!$H$1:$CT$1,"&lt;="&amp;EOMONTH(AH$1,0),'UX Weekly'!$H14:$CT14,"&lt;&gt;"))</f>
        <v>0</v>
      </c>
      <c r="AI14">
        <f>IF($B14="",0,COUNTIFS('UX Weekly'!$H$1:$CT$1,"&gt;="&amp;AI$1,'UX Weekly'!$H$1:$CT$1,"&lt;="&amp;EOMONTH(AI$1,0),'UX Weekly'!$H14:$CT14,"&lt;&gt;"))</f>
        <v>0</v>
      </c>
      <c r="AJ14">
        <f>IF($B14="",0,COUNTIFS('UX Weekly'!$H$1:$CT$1,"&gt;="&amp;AJ$1,'UX Weekly'!$H$1:$CT$1,"&lt;="&amp;EOMONTH(AJ$1,0),'UX Weekly'!$H14:$CT14,"&lt;&gt;"))</f>
        <v>0</v>
      </c>
      <c r="AK14">
        <f>IF($B14="",0,COUNTIFS('UX Weekly'!$H$1:$CT$1,"&gt;="&amp;AK$1,'UX Weekly'!$H$1:$CT$1,"&lt;="&amp;EOMONTH(AK$1,0),'UX Weekly'!$H14:$CT14,"&lt;&gt;"))</f>
        <v>0</v>
      </c>
      <c r="AL14">
        <f>IF($B14="",0,COUNTIFS('UX Weekly'!$H$1:$CT$1,"&gt;="&amp;AL$1,'UX Weekly'!$H$1:$CT$1,"&lt;="&amp;EOMONTH(AL$1,0),'UX Weekly'!$H14:$CT14,"&lt;&gt;"))</f>
        <v>0</v>
      </c>
      <c r="AM14">
        <f>IF($B14="",0,COUNTIFS('UX Weekly'!$H$1:$CT$1,"&gt;="&amp;AM$1,'UX Weekly'!$H$1:$CT$1,"&lt;="&amp;EOMONTH(AM$1,0),'UX Weekly'!$H14:$CT14,"&lt;&gt;"))</f>
        <v>0</v>
      </c>
      <c r="AN14">
        <f>IF($B14="",0,COUNTIFS('UX Weekly'!$H$1:$CT$1,"&gt;="&amp;AN$1,'UX Weekly'!$H$1:$CT$1,"&lt;="&amp;EOMONTH(AN$1,0),'UX Weekly'!$H14:$CT14,"&lt;&gt;"))</f>
        <v>0</v>
      </c>
      <c r="AO14">
        <f>IF($B14="",0,COUNTIFS('UX Weekly'!$H$1:$CT$1,"&gt;="&amp;AO$1,'UX Weekly'!$H$1:$CT$1,"&lt;="&amp;EOMONTH(AO$1,0),'UX Weekly'!$H14:$CT14,"&lt;&gt;"))</f>
        <v>0</v>
      </c>
      <c r="AP14">
        <f>IF($B14="",0,COUNTIFS('UX Weekly'!$H$1:$CT$1,"&gt;="&amp;AP$1,'UX Weekly'!$H$1:$CT$1,"&lt;="&amp;EOMONTH(AP$1,0),'UX Weekly'!$H14:$CT14,"&lt;&gt;"))</f>
        <v>0</v>
      </c>
      <c r="AQ14">
        <f>IF($B14="",0,COUNTIFS('UX Weekly'!$H$1:$CT$1,"&gt;="&amp;AQ$1,'UX Weekly'!$H$1:$CT$1,"&lt;="&amp;EOMONTH(AQ$1,0),'UX Weekly'!$H14:$CT14,"&lt;&gt;"))</f>
        <v>0</v>
      </c>
      <c r="AR14">
        <f>IF($B14="",0,COUNTIFS('UX Weekly'!$H$1:$CT$1,"&gt;="&amp;AR$1,'UX Weekly'!$H$1:$CT$1,"&lt;="&amp;EOMONTH(AR$1,0),'UX Weekly'!$H14:$CT14,"&lt;&gt;"))</f>
        <v>0</v>
      </c>
      <c r="AS14">
        <f>IF($B14="",0,COUNTIFS('UX Weekly'!$H$1:$CT$1,"&gt;="&amp;AS$1,'UX Weekly'!$H$1:$CT$1,"&lt;="&amp;EOMONTH(AS$1,0),'UX Weekly'!$H14:$CT14,"&lt;&gt;"))</f>
        <v>0</v>
      </c>
      <c r="AT14">
        <f>IF($B14="",0,COUNTIFS('UX Weekly'!$H$1:$CT$1,"&gt;="&amp;AT$1,'UX Weekly'!$H$1:$CT$1,"&lt;="&amp;EOMONTH(AT$1,0),'UX Weekly'!$H14:$CT14,"&lt;&gt;"))</f>
        <v>0</v>
      </c>
      <c r="AU14">
        <f>IF($B14="",0,COUNTIFS('UX Weekly'!$H$1:$CT$1,"&gt;="&amp;AU$1,'UX Weekly'!$H$1:$CT$1,"&lt;="&amp;EOMONTH(AU$1,0),'UX Weekly'!$H14:$CT14,"&lt;&gt;"))</f>
        <v>0</v>
      </c>
      <c r="AV14">
        <f>IF($B14="",0,COUNTIFS('UX Weekly'!$H$1:$CT$1,"&gt;="&amp;AV$1,'UX Weekly'!$H$1:$CT$1,"&lt;="&amp;EOMONTH(AV$1,0),'UX Weekly'!$H14:$CT14,"&lt;&gt;"))</f>
        <v>0</v>
      </c>
      <c r="AW14">
        <f>IF($B14="",0,COUNTIFS('UX Weekly'!$H$1:$CT$1,"&gt;="&amp;AW$1,'UX Weekly'!$H$1:$CT$1,"&lt;="&amp;EOMONTH(AW$1,0),'UX Weekly'!$H14:$CT14,"&lt;&gt;"))</f>
        <v>0</v>
      </c>
      <c r="AX14">
        <f>IF($B14="",0,COUNTIFS('UX Weekly'!$H$1:$CT$1,"&gt;="&amp;AX$1,'UX Weekly'!$H$1:$CT$1,"&lt;="&amp;EOMONTH(AX$1,0),'UX Weekly'!$H14:$CT14,"&lt;&gt;"))</f>
        <v>0</v>
      </c>
    </row>
    <row r="15" spans="1:53" x14ac:dyDescent="0.2">
      <c r="A15" s="152">
        <v>15</v>
      </c>
      <c r="B15" s="152" t="str">
        <f>IF(TRIM('UX Weekly'!E15)="","",TRIM('UX Weekly'!E15))</f>
        <v>Out of stock Alerts for used products</v>
      </c>
      <c r="C15" s="152" t="str">
        <f>IF($B15="","",'UX Weekly'!B15)</f>
        <v>Used</v>
      </c>
      <c r="D15" s="152" t="str">
        <f>IF($B15="","",IF(TRIM('UX Weekly'!C15)="","(No theme assigned)",TRIM('UX Weekly'!C15)))</f>
        <v>Increase Buy Used Awareness</v>
      </c>
      <c r="E15" s="152" t="str">
        <f>IF($B15="","",TRIM('UX Weekly'!F15))</f>
        <v>BHUX-35020</v>
      </c>
      <c r="F15" s="152" t="str">
        <f>IF($B15="","",'UX Weekly'!G15)</f>
        <v>03. UX Discovery</v>
      </c>
      <c r="G15" s="153">
        <f t="array" ref="G15">IF($B15="","",IF($T15=0,"",IFERROR(MIN(IF('UX Weekly'!$H15:$CT15&lt;&gt;"",'UX Weekly'!$H$1:$CT$1)),"")))</f>
        <v>46237</v>
      </c>
      <c r="H15" s="153">
        <f t="array" ref="H15">IF($B15="","",IF($T15=0,"",IFERROR(MAX(IF('UX Weekly'!$H15:$CT15&lt;&gt;"",'UX Weekly'!$H$1:$CT$1)),"")))</f>
        <v>46258</v>
      </c>
      <c r="I15" s="154">
        <f t="shared" ca="1" si="0"/>
        <v>46296</v>
      </c>
      <c r="J15" s="154">
        <f t="shared" ca="1" si="1"/>
        <v>46326</v>
      </c>
      <c r="K15" s="152" t="str">
        <f>IF($B15="","",IF(COUNTA('Dev Tracker'!L15)=0,"",TRIM('Dev Tracker'!L15)))</f>
        <v>BHP-4792</v>
      </c>
      <c r="L15" s="152">
        <f>IF($B15="","",IFERROR(MATCH($D15,Control!$E$4:$E$30,0),99))</f>
        <v>5</v>
      </c>
      <c r="M15" s="152">
        <f>IF($B15="","",IFERROR(MATCH($F15,Control!$B$4:$B$30,0),99))</f>
        <v>5</v>
      </c>
      <c r="N15" s="152">
        <f>IF($V15&lt;&gt;1,"",IF('Roadmap (Auto)'!$D$3="Status, then Theme",$M15*1000000+$L15*10000+ROW(),IF('Roadmap (Auto)'!$D$3="Dev start (earliest)",IF($I15="",99999999,$I15)*10000+ROW(),IF('Roadmap (Auto)'!$D$3="UX start (earliest)",IF($G15="",99999999,$G15)*10000+ROW(),IF('Roadmap (Auto)'!$D$3="Deliverable A-Z",$W15*10000+ROW(),$L15*1000000+$M15*10000+ROW())))))</f>
        <v>5050015</v>
      </c>
      <c r="O15" s="152">
        <f t="shared" si="2"/>
        <v>14</v>
      </c>
      <c r="P15" s="152" t="str">
        <f>IF($B15="","",IF(COUNTA('Dev Tracker'!I15)=0,"",'Dev Tracker'!I15))</f>
        <v>Oct 2026</v>
      </c>
      <c r="Q15" s="152" t="str">
        <f>IF($B15="","",IF(COUNTA('Dev Tracker'!J15)=0,"",'Dev Tracker'!J15))</f>
        <v>Oct 2026</v>
      </c>
      <c r="R15" s="154">
        <f t="shared" ca="1" si="3"/>
        <v>46296</v>
      </c>
      <c r="S15" s="154">
        <f t="shared" ca="1" si="4"/>
        <v>46296</v>
      </c>
      <c r="T15" s="152">
        <f>IF($B15="","",COUNTA('UX Weekly'!$H15:$CT15))</f>
        <v>4</v>
      </c>
      <c r="U15" s="152">
        <f>IF($B15="","",IFERROR(MATCH($D15,Control!$E$4:$E$30,0)+3,0))</f>
        <v>8</v>
      </c>
      <c r="V15" s="152">
        <f>IF($B15="","",IF(AND(OR('Roadmap (Auto)'!$A$3="",'Roadmap (Auto)'!$A$3="(All)",ISNUMBER(SEARCH('Roadmap (Auto)'!$A$3,$C15&amp;""))),OR('Roadmap (Auto)'!$B$3="",'Roadmap (Auto)'!$B$3="(All)",$D15='Roadmap (Auto)'!$B$3,$X15='Roadmap (Auto)'!$B$3),OR('Roadmap (Auto)'!$C$3="",'Roadmap (Auto)'!$C$3="(All)",$F15='Roadmap (Auto)'!$C$3)),1,0))</f>
        <v>1</v>
      </c>
      <c r="W15" s="152">
        <f t="shared" si="5"/>
        <v>129</v>
      </c>
      <c r="X15" s="152" t="str">
        <f>IF($B15="","",IF(TRIM('UX Weekly'!D15)="","",TRIM('UX Weekly'!D15)))</f>
        <v/>
      </c>
      <c r="Y15" s="152" t="str">
        <f t="shared" si="6"/>
        <v>OUTOFSTOCKALERTSFORUSEDPRODUCTS</v>
      </c>
      <c r="AA15">
        <f>IF($B15="",0,COUNTIFS('UX Weekly'!$H$1:$CT$1,"&gt;="&amp;AA$1,'UX Weekly'!$H$1:$CT$1,"&lt;="&amp;EOMONTH(AA$1,0),'UX Weekly'!$H15:$CT15,"&lt;&gt;"))</f>
        <v>0</v>
      </c>
      <c r="AB15">
        <f>IF($B15="",0,COUNTIFS('UX Weekly'!$H$1:$CT$1,"&gt;="&amp;AB$1,'UX Weekly'!$H$1:$CT$1,"&lt;="&amp;EOMONTH(AB$1,0),'UX Weekly'!$H15:$CT15,"&lt;&gt;"))</f>
        <v>0</v>
      </c>
      <c r="AC15">
        <f>IF($B15="",0,COUNTIFS('UX Weekly'!$H$1:$CT$1,"&gt;="&amp;AC$1,'UX Weekly'!$H$1:$CT$1,"&lt;="&amp;EOMONTH(AC$1,0),'UX Weekly'!$H15:$CT15,"&lt;&gt;"))</f>
        <v>0</v>
      </c>
      <c r="AD15">
        <f>IF($B15="",0,COUNTIFS('UX Weekly'!$H$1:$CT$1,"&gt;="&amp;AD$1,'UX Weekly'!$H$1:$CT$1,"&lt;="&amp;EOMONTH(AD$1,0),'UX Weekly'!$H15:$CT15,"&lt;&gt;"))</f>
        <v>0</v>
      </c>
      <c r="AE15">
        <f>IF($B15="",0,COUNTIFS('UX Weekly'!$H$1:$CT$1,"&gt;="&amp;AE$1,'UX Weekly'!$H$1:$CT$1,"&lt;="&amp;EOMONTH(AE$1,0),'UX Weekly'!$H15:$CT15,"&lt;&gt;"))</f>
        <v>0</v>
      </c>
      <c r="AF15">
        <f>IF($B15="",0,COUNTIFS('UX Weekly'!$H$1:$CT$1,"&gt;="&amp;AF$1,'UX Weekly'!$H$1:$CT$1,"&lt;="&amp;EOMONTH(AF$1,0),'UX Weekly'!$H15:$CT15,"&lt;&gt;"))</f>
        <v>0</v>
      </c>
      <c r="AG15">
        <f>IF($B15="",0,COUNTIFS('UX Weekly'!$H$1:$CT$1,"&gt;="&amp;AG$1,'UX Weekly'!$H$1:$CT$1,"&lt;="&amp;EOMONTH(AG$1,0),'UX Weekly'!$H15:$CT15,"&lt;&gt;"))</f>
        <v>0</v>
      </c>
      <c r="AH15">
        <f>IF($B15="",0,COUNTIFS('UX Weekly'!$H$1:$CT$1,"&gt;="&amp;AH$1,'UX Weekly'!$H$1:$CT$1,"&lt;="&amp;EOMONTH(AH$1,0),'UX Weekly'!$H15:$CT15,"&lt;&gt;"))</f>
        <v>4</v>
      </c>
      <c r="AI15">
        <f>IF($B15="",0,COUNTIFS('UX Weekly'!$H$1:$CT$1,"&gt;="&amp;AI$1,'UX Weekly'!$H$1:$CT$1,"&lt;="&amp;EOMONTH(AI$1,0),'UX Weekly'!$H15:$CT15,"&lt;&gt;"))</f>
        <v>0</v>
      </c>
      <c r="AJ15">
        <f>IF($B15="",0,COUNTIFS('UX Weekly'!$H$1:$CT$1,"&gt;="&amp;AJ$1,'UX Weekly'!$H$1:$CT$1,"&lt;="&amp;EOMONTH(AJ$1,0),'UX Weekly'!$H15:$CT15,"&lt;&gt;"))</f>
        <v>0</v>
      </c>
      <c r="AK15">
        <f>IF($B15="",0,COUNTIFS('UX Weekly'!$H$1:$CT$1,"&gt;="&amp;AK$1,'UX Weekly'!$H$1:$CT$1,"&lt;="&amp;EOMONTH(AK$1,0),'UX Weekly'!$H15:$CT15,"&lt;&gt;"))</f>
        <v>0</v>
      </c>
      <c r="AL15">
        <f>IF($B15="",0,COUNTIFS('UX Weekly'!$H$1:$CT$1,"&gt;="&amp;AL$1,'UX Weekly'!$H$1:$CT$1,"&lt;="&amp;EOMONTH(AL$1,0),'UX Weekly'!$H15:$CT15,"&lt;&gt;"))</f>
        <v>0</v>
      </c>
      <c r="AM15">
        <f>IF($B15="",0,COUNTIFS('UX Weekly'!$H$1:$CT$1,"&gt;="&amp;AM$1,'UX Weekly'!$H$1:$CT$1,"&lt;="&amp;EOMONTH(AM$1,0),'UX Weekly'!$H15:$CT15,"&lt;&gt;"))</f>
        <v>0</v>
      </c>
      <c r="AN15">
        <f>IF($B15="",0,COUNTIFS('UX Weekly'!$H$1:$CT$1,"&gt;="&amp;AN$1,'UX Weekly'!$H$1:$CT$1,"&lt;="&amp;EOMONTH(AN$1,0),'UX Weekly'!$H15:$CT15,"&lt;&gt;"))</f>
        <v>0</v>
      </c>
      <c r="AO15">
        <f>IF($B15="",0,COUNTIFS('UX Weekly'!$H$1:$CT$1,"&gt;="&amp;AO$1,'UX Weekly'!$H$1:$CT$1,"&lt;="&amp;EOMONTH(AO$1,0),'UX Weekly'!$H15:$CT15,"&lt;&gt;"))</f>
        <v>0</v>
      </c>
      <c r="AP15">
        <f>IF($B15="",0,COUNTIFS('UX Weekly'!$H$1:$CT$1,"&gt;="&amp;AP$1,'UX Weekly'!$H$1:$CT$1,"&lt;="&amp;EOMONTH(AP$1,0),'UX Weekly'!$H15:$CT15,"&lt;&gt;"))</f>
        <v>0</v>
      </c>
      <c r="AQ15">
        <f>IF($B15="",0,COUNTIFS('UX Weekly'!$H$1:$CT$1,"&gt;="&amp;AQ$1,'UX Weekly'!$H$1:$CT$1,"&lt;="&amp;EOMONTH(AQ$1,0),'UX Weekly'!$H15:$CT15,"&lt;&gt;"))</f>
        <v>0</v>
      </c>
      <c r="AR15">
        <f>IF($B15="",0,COUNTIFS('UX Weekly'!$H$1:$CT$1,"&gt;="&amp;AR$1,'UX Weekly'!$H$1:$CT$1,"&lt;="&amp;EOMONTH(AR$1,0),'UX Weekly'!$H15:$CT15,"&lt;&gt;"))</f>
        <v>0</v>
      </c>
      <c r="AS15">
        <f>IF($B15="",0,COUNTIFS('UX Weekly'!$H$1:$CT$1,"&gt;="&amp;AS$1,'UX Weekly'!$H$1:$CT$1,"&lt;="&amp;EOMONTH(AS$1,0),'UX Weekly'!$H15:$CT15,"&lt;&gt;"))</f>
        <v>0</v>
      </c>
      <c r="AT15">
        <f>IF($B15="",0,COUNTIFS('UX Weekly'!$H$1:$CT$1,"&gt;="&amp;AT$1,'UX Weekly'!$H$1:$CT$1,"&lt;="&amp;EOMONTH(AT$1,0),'UX Weekly'!$H15:$CT15,"&lt;&gt;"))</f>
        <v>0</v>
      </c>
      <c r="AU15">
        <f>IF($B15="",0,COUNTIFS('UX Weekly'!$H$1:$CT$1,"&gt;="&amp;AU$1,'UX Weekly'!$H$1:$CT$1,"&lt;="&amp;EOMONTH(AU$1,0),'UX Weekly'!$H15:$CT15,"&lt;&gt;"))</f>
        <v>0</v>
      </c>
      <c r="AV15">
        <f>IF($B15="",0,COUNTIFS('UX Weekly'!$H$1:$CT$1,"&gt;="&amp;AV$1,'UX Weekly'!$H$1:$CT$1,"&lt;="&amp;EOMONTH(AV$1,0),'UX Weekly'!$H15:$CT15,"&lt;&gt;"))</f>
        <v>0</v>
      </c>
      <c r="AW15">
        <f>IF($B15="",0,COUNTIFS('UX Weekly'!$H$1:$CT$1,"&gt;="&amp;AW$1,'UX Weekly'!$H$1:$CT$1,"&lt;="&amp;EOMONTH(AW$1,0),'UX Weekly'!$H15:$CT15,"&lt;&gt;"))</f>
        <v>0</v>
      </c>
      <c r="AX15">
        <f>IF($B15="",0,COUNTIFS('UX Weekly'!$H$1:$CT$1,"&gt;="&amp;AX$1,'UX Weekly'!$H$1:$CT$1,"&lt;="&amp;EOMONTH(AX$1,0),'UX Weekly'!$H15:$CT15,"&lt;&gt;"))</f>
        <v>0</v>
      </c>
    </row>
    <row r="16" spans="1:53" x14ac:dyDescent="0.2">
      <c r="A16" s="152">
        <v>16</v>
      </c>
      <c r="B16" s="152" t="str">
        <f>IF(TRIM('UX Weekly'!E16)="","",TRIM('UX Weekly'!E16))</f>
        <v>The Studio - B&amp;H Awareness on High Ticket Items</v>
      </c>
      <c r="C16" s="152" t="str">
        <f>IF($B16="","",'UX Weekly'!B16)</f>
        <v>B2B</v>
      </c>
      <c r="D16" s="152" t="str">
        <f>IF($B16="","",IF(TRIM('UX Weekly'!C16)="","(No theme assigned)",TRIM('UX Weekly'!C16)))</f>
        <v>Increase The Studio B&amp;H Awareness</v>
      </c>
      <c r="E16" s="152" t="str">
        <f>IF($B16="","",TRIM('UX Weekly'!F16))</f>
        <v>BHUX-35304</v>
      </c>
      <c r="F16" s="152" t="str">
        <f>IF($B16="","",'UX Weekly'!G16)</f>
        <v>03. UX Discovery</v>
      </c>
      <c r="G16" s="153">
        <f t="array" ref="G16">IF($B16="","",IF($T16=0,"",IFERROR(MIN(IF('UX Weekly'!$H16:$CT16&lt;&gt;"",'UX Weekly'!$H$1:$CT$1)),"")))</f>
        <v>46251</v>
      </c>
      <c r="H16" s="153">
        <f t="array" ref="H16">IF($B16="","",IF($T16=0,"",IFERROR(MAX(IF('UX Weekly'!$H16:$CT16&lt;&gt;"",'UX Weekly'!$H$1:$CT$1)),"")))</f>
        <v>46272</v>
      </c>
      <c r="I16" s="154">
        <f t="shared" ca="1" si="0"/>
        <v>46296</v>
      </c>
      <c r="J16" s="154">
        <f t="shared" ca="1" si="1"/>
        <v>46326</v>
      </c>
      <c r="K16" s="152" t="str">
        <f>IF($B16="","",IF(COUNTA('Dev Tracker'!L16)=0,"",TRIM('Dev Tracker'!L16)))</f>
        <v>BHP-7239</v>
      </c>
      <c r="L16" s="152">
        <f>IF($B16="","",IFERROR(MATCH($D16,Control!$E$4:$E$30,0),99))</f>
        <v>9</v>
      </c>
      <c r="M16" s="152">
        <f>IF($B16="","",IFERROR(MATCH($F16,Control!$B$4:$B$30,0),99))</f>
        <v>5</v>
      </c>
      <c r="N16" s="152" t="str">
        <f>IF($V16&lt;&gt;1,"",IF('Roadmap (Auto)'!$D$3="Status, then Theme",$M16*1000000+$L16*10000+ROW(),IF('Roadmap (Auto)'!$D$3="Dev start (earliest)",IF($I16="",99999999,$I16)*10000+ROW(),IF('Roadmap (Auto)'!$D$3="UX start (earliest)",IF($G16="",99999999,$G16)*10000+ROW(),IF('Roadmap (Auto)'!$D$3="Deliverable A-Z",$W16*10000+ROW(),$L16*1000000+$M16*10000+ROW())))))</f>
        <v/>
      </c>
      <c r="O16" s="152" t="str">
        <f t="shared" si="2"/>
        <v/>
      </c>
      <c r="P16" s="152" t="str">
        <f>IF($B16="","",IF(COUNTA('Dev Tracker'!I16)=0,"",'Dev Tracker'!I16))</f>
        <v>Oct 2026</v>
      </c>
      <c r="Q16" s="152" t="str">
        <f>IF($B16="","",IF(COUNTA('Dev Tracker'!J16)=0,"",'Dev Tracker'!J16))</f>
        <v>Oct 2026</v>
      </c>
      <c r="R16" s="154">
        <f t="shared" ca="1" si="3"/>
        <v>46296</v>
      </c>
      <c r="S16" s="154">
        <f t="shared" ca="1" si="4"/>
        <v>46296</v>
      </c>
      <c r="T16" s="152">
        <f>IF($B16="","",COUNTA('UX Weekly'!$H16:$CT16))</f>
        <v>4</v>
      </c>
      <c r="U16" s="152">
        <f>IF($B16="","",IFERROR(MATCH($D16,Control!$E$4:$E$30,0)+3,0))</f>
        <v>12</v>
      </c>
      <c r="V16" s="152">
        <f>IF($B16="","",IF(AND(OR('Roadmap (Auto)'!$A$3="",'Roadmap (Auto)'!$A$3="(All)",ISNUMBER(SEARCH('Roadmap (Auto)'!$A$3,$C16&amp;""))),OR('Roadmap (Auto)'!$B$3="",'Roadmap (Auto)'!$B$3="(All)",$D16='Roadmap (Auto)'!$B$3,$X16='Roadmap (Auto)'!$B$3),OR('Roadmap (Auto)'!$C$3="",'Roadmap (Auto)'!$C$3="(All)",$F16='Roadmap (Auto)'!$C$3)),1,0))</f>
        <v>0</v>
      </c>
      <c r="W16" s="152">
        <f t="shared" si="5"/>
        <v>139</v>
      </c>
      <c r="X16" s="152" t="str">
        <f>IF($B16="","",IF(TRIM('UX Weekly'!D16)="","",TRIM('UX Weekly'!D16)))</f>
        <v/>
      </c>
      <c r="Y16" s="152" t="str">
        <f t="shared" si="6"/>
        <v>THESTUDIOBHAWARENESSONHIGHTICKETITEMS</v>
      </c>
      <c r="AA16">
        <f>IF($B16="",0,COUNTIFS('UX Weekly'!$H$1:$CT$1,"&gt;="&amp;AA$1,'UX Weekly'!$H$1:$CT$1,"&lt;="&amp;EOMONTH(AA$1,0),'UX Weekly'!$H16:$CT16,"&lt;&gt;"))</f>
        <v>0</v>
      </c>
      <c r="AB16">
        <f>IF($B16="",0,COUNTIFS('UX Weekly'!$H$1:$CT$1,"&gt;="&amp;AB$1,'UX Weekly'!$H$1:$CT$1,"&lt;="&amp;EOMONTH(AB$1,0),'UX Weekly'!$H16:$CT16,"&lt;&gt;"))</f>
        <v>0</v>
      </c>
      <c r="AC16">
        <f>IF($B16="",0,COUNTIFS('UX Weekly'!$H$1:$CT$1,"&gt;="&amp;AC$1,'UX Weekly'!$H$1:$CT$1,"&lt;="&amp;EOMONTH(AC$1,0),'UX Weekly'!$H16:$CT16,"&lt;&gt;"))</f>
        <v>0</v>
      </c>
      <c r="AD16">
        <f>IF($B16="",0,COUNTIFS('UX Weekly'!$H$1:$CT$1,"&gt;="&amp;AD$1,'UX Weekly'!$H$1:$CT$1,"&lt;="&amp;EOMONTH(AD$1,0),'UX Weekly'!$H16:$CT16,"&lt;&gt;"))</f>
        <v>0</v>
      </c>
      <c r="AE16">
        <f>IF($B16="",0,COUNTIFS('UX Weekly'!$H$1:$CT$1,"&gt;="&amp;AE$1,'UX Weekly'!$H$1:$CT$1,"&lt;="&amp;EOMONTH(AE$1,0),'UX Weekly'!$H16:$CT16,"&lt;&gt;"))</f>
        <v>0</v>
      </c>
      <c r="AF16">
        <f>IF($B16="",0,COUNTIFS('UX Weekly'!$H$1:$CT$1,"&gt;="&amp;AF$1,'UX Weekly'!$H$1:$CT$1,"&lt;="&amp;EOMONTH(AF$1,0),'UX Weekly'!$H16:$CT16,"&lt;&gt;"))</f>
        <v>0</v>
      </c>
      <c r="AG16">
        <f>IF($B16="",0,COUNTIFS('UX Weekly'!$H$1:$CT$1,"&gt;="&amp;AG$1,'UX Weekly'!$H$1:$CT$1,"&lt;="&amp;EOMONTH(AG$1,0),'UX Weekly'!$H16:$CT16,"&lt;&gt;"))</f>
        <v>0</v>
      </c>
      <c r="AH16">
        <f>IF($B16="",0,COUNTIFS('UX Weekly'!$H$1:$CT$1,"&gt;="&amp;AH$1,'UX Weekly'!$H$1:$CT$1,"&lt;="&amp;EOMONTH(AH$1,0),'UX Weekly'!$H16:$CT16,"&lt;&gt;"))</f>
        <v>3</v>
      </c>
      <c r="AI16">
        <f>IF($B16="",0,COUNTIFS('UX Weekly'!$H$1:$CT$1,"&gt;="&amp;AI$1,'UX Weekly'!$H$1:$CT$1,"&lt;="&amp;EOMONTH(AI$1,0),'UX Weekly'!$H16:$CT16,"&lt;&gt;"))</f>
        <v>1</v>
      </c>
      <c r="AJ16">
        <f>IF($B16="",0,COUNTIFS('UX Weekly'!$H$1:$CT$1,"&gt;="&amp;AJ$1,'UX Weekly'!$H$1:$CT$1,"&lt;="&amp;EOMONTH(AJ$1,0),'UX Weekly'!$H16:$CT16,"&lt;&gt;"))</f>
        <v>0</v>
      </c>
      <c r="AK16">
        <f>IF($B16="",0,COUNTIFS('UX Weekly'!$H$1:$CT$1,"&gt;="&amp;AK$1,'UX Weekly'!$H$1:$CT$1,"&lt;="&amp;EOMONTH(AK$1,0),'UX Weekly'!$H16:$CT16,"&lt;&gt;"))</f>
        <v>0</v>
      </c>
      <c r="AL16">
        <f>IF($B16="",0,COUNTIFS('UX Weekly'!$H$1:$CT$1,"&gt;="&amp;AL$1,'UX Weekly'!$H$1:$CT$1,"&lt;="&amp;EOMONTH(AL$1,0),'UX Weekly'!$H16:$CT16,"&lt;&gt;"))</f>
        <v>0</v>
      </c>
      <c r="AM16">
        <f>IF($B16="",0,COUNTIFS('UX Weekly'!$H$1:$CT$1,"&gt;="&amp;AM$1,'UX Weekly'!$H$1:$CT$1,"&lt;="&amp;EOMONTH(AM$1,0),'UX Weekly'!$H16:$CT16,"&lt;&gt;"))</f>
        <v>0</v>
      </c>
      <c r="AN16">
        <f>IF($B16="",0,COUNTIFS('UX Weekly'!$H$1:$CT$1,"&gt;="&amp;AN$1,'UX Weekly'!$H$1:$CT$1,"&lt;="&amp;EOMONTH(AN$1,0),'UX Weekly'!$H16:$CT16,"&lt;&gt;"))</f>
        <v>0</v>
      </c>
      <c r="AO16">
        <f>IF($B16="",0,COUNTIFS('UX Weekly'!$H$1:$CT$1,"&gt;="&amp;AO$1,'UX Weekly'!$H$1:$CT$1,"&lt;="&amp;EOMONTH(AO$1,0),'UX Weekly'!$H16:$CT16,"&lt;&gt;"))</f>
        <v>0</v>
      </c>
      <c r="AP16">
        <f>IF($B16="",0,COUNTIFS('UX Weekly'!$H$1:$CT$1,"&gt;="&amp;AP$1,'UX Weekly'!$H$1:$CT$1,"&lt;="&amp;EOMONTH(AP$1,0),'UX Weekly'!$H16:$CT16,"&lt;&gt;"))</f>
        <v>0</v>
      </c>
      <c r="AQ16">
        <f>IF($B16="",0,COUNTIFS('UX Weekly'!$H$1:$CT$1,"&gt;="&amp;AQ$1,'UX Weekly'!$H$1:$CT$1,"&lt;="&amp;EOMONTH(AQ$1,0),'UX Weekly'!$H16:$CT16,"&lt;&gt;"))</f>
        <v>0</v>
      </c>
      <c r="AR16">
        <f>IF($B16="",0,COUNTIFS('UX Weekly'!$H$1:$CT$1,"&gt;="&amp;AR$1,'UX Weekly'!$H$1:$CT$1,"&lt;="&amp;EOMONTH(AR$1,0),'UX Weekly'!$H16:$CT16,"&lt;&gt;"))</f>
        <v>0</v>
      </c>
      <c r="AS16">
        <f>IF($B16="",0,COUNTIFS('UX Weekly'!$H$1:$CT$1,"&gt;="&amp;AS$1,'UX Weekly'!$H$1:$CT$1,"&lt;="&amp;EOMONTH(AS$1,0),'UX Weekly'!$H16:$CT16,"&lt;&gt;"))</f>
        <v>0</v>
      </c>
      <c r="AT16">
        <f>IF($B16="",0,COUNTIFS('UX Weekly'!$H$1:$CT$1,"&gt;="&amp;AT$1,'UX Weekly'!$H$1:$CT$1,"&lt;="&amp;EOMONTH(AT$1,0),'UX Weekly'!$H16:$CT16,"&lt;&gt;"))</f>
        <v>0</v>
      </c>
      <c r="AU16">
        <f>IF($B16="",0,COUNTIFS('UX Weekly'!$H$1:$CT$1,"&gt;="&amp;AU$1,'UX Weekly'!$H$1:$CT$1,"&lt;="&amp;EOMONTH(AU$1,0),'UX Weekly'!$H16:$CT16,"&lt;&gt;"))</f>
        <v>0</v>
      </c>
      <c r="AV16">
        <f>IF($B16="",0,COUNTIFS('UX Weekly'!$H$1:$CT$1,"&gt;="&amp;AV$1,'UX Weekly'!$H$1:$CT$1,"&lt;="&amp;EOMONTH(AV$1,0),'UX Weekly'!$H16:$CT16,"&lt;&gt;"))</f>
        <v>0</v>
      </c>
      <c r="AW16">
        <f>IF($B16="",0,COUNTIFS('UX Weekly'!$H$1:$CT$1,"&gt;="&amp;AW$1,'UX Weekly'!$H$1:$CT$1,"&lt;="&amp;EOMONTH(AW$1,0),'UX Weekly'!$H16:$CT16,"&lt;&gt;"))</f>
        <v>0</v>
      </c>
      <c r="AX16">
        <f>IF($B16="",0,COUNTIFS('UX Weekly'!$H$1:$CT$1,"&gt;="&amp;AX$1,'UX Weekly'!$H$1:$CT$1,"&lt;="&amp;EOMONTH(AX$1,0),'UX Weekly'!$H16:$CT16,"&lt;&gt;"))</f>
        <v>0</v>
      </c>
    </row>
    <row r="17" spans="1:50" x14ac:dyDescent="0.2">
      <c r="A17" s="152">
        <v>17</v>
      </c>
      <c r="B17" s="152" t="str">
        <f>IF(TRIM('UX Weekly'!E17)="","",TRIM('UX Weekly'!E17))</f>
        <v>Add New | Used tab to all listing pages and search results pages</v>
      </c>
      <c r="C17" s="152" t="str">
        <f>IF($B17="","",'UX Weekly'!B17)</f>
        <v>Used</v>
      </c>
      <c r="D17" s="152" t="str">
        <f>IF($B17="","",IF(TRIM('UX Weekly'!C17)="","(No theme assigned)",TRIM('UX Weekly'!C17)))</f>
        <v>Increase Buy Used Awareness</v>
      </c>
      <c r="E17" s="152" t="str">
        <f>IF($B17="","",TRIM('UX Weekly'!F17))</f>
        <v>BHUX-35303</v>
      </c>
      <c r="F17" s="152" t="str">
        <f>IF($B17="","",'UX Weekly'!G17)</f>
        <v>03. UX Discovery</v>
      </c>
      <c r="G17" s="153">
        <f t="array" ref="G17">IF($B17="","",IF($T17=0,"",IFERROR(MIN(IF('UX Weekly'!$H17:$CT17&lt;&gt;"",'UX Weekly'!$H$1:$CT$1)),"")))</f>
        <v>46258</v>
      </c>
      <c r="H17" s="153">
        <f t="array" ref="H17">IF($B17="","",IF($T17=0,"",IFERROR(MAX(IF('UX Weekly'!$H17:$CT17&lt;&gt;"",'UX Weekly'!$H$1:$CT$1)),"")))</f>
        <v>46279</v>
      </c>
      <c r="I17" s="154">
        <f t="shared" ca="1" si="0"/>
        <v>46327</v>
      </c>
      <c r="J17" s="154">
        <f t="shared" ca="1" si="1"/>
        <v>46356</v>
      </c>
      <c r="K17" s="152" t="str">
        <f>IF($B17="","",IF(COUNTA('Dev Tracker'!L17)=0,"",TRIM('Dev Tracker'!L17)))</f>
        <v>BHP-5726</v>
      </c>
      <c r="L17" s="152">
        <f>IF($B17="","",IFERROR(MATCH($D17,Control!$E$4:$E$30,0),99))</f>
        <v>5</v>
      </c>
      <c r="M17" s="152">
        <f>IF($B17="","",IFERROR(MATCH($F17,Control!$B$4:$B$30,0),99))</f>
        <v>5</v>
      </c>
      <c r="N17" s="152">
        <f>IF($V17&lt;&gt;1,"",IF('Roadmap (Auto)'!$D$3="Status, then Theme",$M17*1000000+$L17*10000+ROW(),IF('Roadmap (Auto)'!$D$3="Dev start (earliest)",IF($I17="",99999999,$I17)*10000+ROW(),IF('Roadmap (Auto)'!$D$3="UX start (earliest)",IF($G17="",99999999,$G17)*10000+ROW(),IF('Roadmap (Auto)'!$D$3="Deliverable A-Z",$W17*10000+ROW(),$L17*1000000+$M17*10000+ROW())))))</f>
        <v>5050017</v>
      </c>
      <c r="O17" s="152">
        <f t="shared" si="2"/>
        <v>15</v>
      </c>
      <c r="P17" s="152" t="str">
        <f>IF($B17="","",IF(COUNTA('Dev Tracker'!I17)=0,"",'Dev Tracker'!I17))</f>
        <v>Nov 2026</v>
      </c>
      <c r="Q17" s="152" t="str">
        <f>IF($B17="","",IF(COUNTA('Dev Tracker'!J17)=0,"",'Dev Tracker'!J17))</f>
        <v>Nov 2026</v>
      </c>
      <c r="R17" s="154">
        <f t="shared" ca="1" si="3"/>
        <v>46327</v>
      </c>
      <c r="S17" s="154">
        <f t="shared" ca="1" si="4"/>
        <v>46327</v>
      </c>
      <c r="T17" s="152">
        <f>IF($B17="","",COUNTA('UX Weekly'!$H17:$CT17))</f>
        <v>4</v>
      </c>
      <c r="U17" s="152">
        <f>IF($B17="","",IFERROR(MATCH($D17,Control!$E$4:$E$30,0)+3,0))</f>
        <v>8</v>
      </c>
      <c r="V17" s="152">
        <f>IF($B17="","",IF(AND(OR('Roadmap (Auto)'!$A$3="",'Roadmap (Auto)'!$A$3="(All)",ISNUMBER(SEARCH('Roadmap (Auto)'!$A$3,$C17&amp;""))),OR('Roadmap (Auto)'!$B$3="",'Roadmap (Auto)'!$B$3="(All)",$D17='Roadmap (Auto)'!$B$3,$X17='Roadmap (Auto)'!$B$3),OR('Roadmap (Auto)'!$C$3="",'Roadmap (Auto)'!$C$3="(All)",$F17='Roadmap (Auto)'!$C$3)),1,0))</f>
        <v>1</v>
      </c>
      <c r="W17" s="152">
        <f t="shared" si="5"/>
        <v>107</v>
      </c>
      <c r="X17" s="152" t="str">
        <f>IF($B17="","",IF(TRIM('UX Weekly'!D17)="","",TRIM('UX Weekly'!D17)))</f>
        <v>Improve Discovery</v>
      </c>
      <c r="Y17" s="152" t="str">
        <f t="shared" si="6"/>
        <v>ADDNEWUSEDTABTOALLLISTINGPAGESANDSEARCHRESULTSPAGES</v>
      </c>
      <c r="AA17">
        <f>IF($B17="",0,COUNTIFS('UX Weekly'!$H$1:$CT$1,"&gt;="&amp;AA$1,'UX Weekly'!$H$1:$CT$1,"&lt;="&amp;EOMONTH(AA$1,0),'UX Weekly'!$H17:$CT17,"&lt;&gt;"))</f>
        <v>0</v>
      </c>
      <c r="AB17">
        <f>IF($B17="",0,COUNTIFS('UX Weekly'!$H$1:$CT$1,"&gt;="&amp;AB$1,'UX Weekly'!$H$1:$CT$1,"&lt;="&amp;EOMONTH(AB$1,0),'UX Weekly'!$H17:$CT17,"&lt;&gt;"))</f>
        <v>0</v>
      </c>
      <c r="AC17">
        <f>IF($B17="",0,COUNTIFS('UX Weekly'!$H$1:$CT$1,"&gt;="&amp;AC$1,'UX Weekly'!$H$1:$CT$1,"&lt;="&amp;EOMONTH(AC$1,0),'UX Weekly'!$H17:$CT17,"&lt;&gt;"))</f>
        <v>0</v>
      </c>
      <c r="AD17">
        <f>IF($B17="",0,COUNTIFS('UX Weekly'!$H$1:$CT$1,"&gt;="&amp;AD$1,'UX Weekly'!$H$1:$CT$1,"&lt;="&amp;EOMONTH(AD$1,0),'UX Weekly'!$H17:$CT17,"&lt;&gt;"))</f>
        <v>0</v>
      </c>
      <c r="AE17">
        <f>IF($B17="",0,COUNTIFS('UX Weekly'!$H$1:$CT$1,"&gt;="&amp;AE$1,'UX Weekly'!$H$1:$CT$1,"&lt;="&amp;EOMONTH(AE$1,0),'UX Weekly'!$H17:$CT17,"&lt;&gt;"))</f>
        <v>0</v>
      </c>
      <c r="AF17">
        <f>IF($B17="",0,COUNTIFS('UX Weekly'!$H$1:$CT$1,"&gt;="&amp;AF$1,'UX Weekly'!$H$1:$CT$1,"&lt;="&amp;EOMONTH(AF$1,0),'UX Weekly'!$H17:$CT17,"&lt;&gt;"))</f>
        <v>0</v>
      </c>
      <c r="AG17">
        <f>IF($B17="",0,COUNTIFS('UX Weekly'!$H$1:$CT$1,"&gt;="&amp;AG$1,'UX Weekly'!$H$1:$CT$1,"&lt;="&amp;EOMONTH(AG$1,0),'UX Weekly'!$H17:$CT17,"&lt;&gt;"))</f>
        <v>0</v>
      </c>
      <c r="AH17">
        <f>IF($B17="",0,COUNTIFS('UX Weekly'!$H$1:$CT$1,"&gt;="&amp;AH$1,'UX Weekly'!$H$1:$CT$1,"&lt;="&amp;EOMONTH(AH$1,0),'UX Weekly'!$H17:$CT17,"&lt;&gt;"))</f>
        <v>2</v>
      </c>
      <c r="AI17">
        <f>IF($B17="",0,COUNTIFS('UX Weekly'!$H$1:$CT$1,"&gt;="&amp;AI$1,'UX Weekly'!$H$1:$CT$1,"&lt;="&amp;EOMONTH(AI$1,0),'UX Weekly'!$H17:$CT17,"&lt;&gt;"))</f>
        <v>2</v>
      </c>
      <c r="AJ17">
        <f>IF($B17="",0,COUNTIFS('UX Weekly'!$H$1:$CT$1,"&gt;="&amp;AJ$1,'UX Weekly'!$H$1:$CT$1,"&lt;="&amp;EOMONTH(AJ$1,0),'UX Weekly'!$H17:$CT17,"&lt;&gt;"))</f>
        <v>0</v>
      </c>
      <c r="AK17">
        <f>IF($B17="",0,COUNTIFS('UX Weekly'!$H$1:$CT$1,"&gt;="&amp;AK$1,'UX Weekly'!$H$1:$CT$1,"&lt;="&amp;EOMONTH(AK$1,0),'UX Weekly'!$H17:$CT17,"&lt;&gt;"))</f>
        <v>0</v>
      </c>
      <c r="AL17">
        <f>IF($B17="",0,COUNTIFS('UX Weekly'!$H$1:$CT$1,"&gt;="&amp;AL$1,'UX Weekly'!$H$1:$CT$1,"&lt;="&amp;EOMONTH(AL$1,0),'UX Weekly'!$H17:$CT17,"&lt;&gt;"))</f>
        <v>0</v>
      </c>
      <c r="AM17">
        <f>IF($B17="",0,COUNTIFS('UX Weekly'!$H$1:$CT$1,"&gt;="&amp;AM$1,'UX Weekly'!$H$1:$CT$1,"&lt;="&amp;EOMONTH(AM$1,0),'UX Weekly'!$H17:$CT17,"&lt;&gt;"))</f>
        <v>0</v>
      </c>
      <c r="AN17">
        <f>IF($B17="",0,COUNTIFS('UX Weekly'!$H$1:$CT$1,"&gt;="&amp;AN$1,'UX Weekly'!$H$1:$CT$1,"&lt;="&amp;EOMONTH(AN$1,0),'UX Weekly'!$H17:$CT17,"&lt;&gt;"))</f>
        <v>0</v>
      </c>
      <c r="AO17">
        <f>IF($B17="",0,COUNTIFS('UX Weekly'!$H$1:$CT$1,"&gt;="&amp;AO$1,'UX Weekly'!$H$1:$CT$1,"&lt;="&amp;EOMONTH(AO$1,0),'UX Weekly'!$H17:$CT17,"&lt;&gt;"))</f>
        <v>0</v>
      </c>
      <c r="AP17">
        <f>IF($B17="",0,COUNTIFS('UX Weekly'!$H$1:$CT$1,"&gt;="&amp;AP$1,'UX Weekly'!$H$1:$CT$1,"&lt;="&amp;EOMONTH(AP$1,0),'UX Weekly'!$H17:$CT17,"&lt;&gt;"))</f>
        <v>0</v>
      </c>
      <c r="AQ17">
        <f>IF($B17="",0,COUNTIFS('UX Weekly'!$H$1:$CT$1,"&gt;="&amp;AQ$1,'UX Weekly'!$H$1:$CT$1,"&lt;="&amp;EOMONTH(AQ$1,0),'UX Weekly'!$H17:$CT17,"&lt;&gt;"))</f>
        <v>0</v>
      </c>
      <c r="AR17">
        <f>IF($B17="",0,COUNTIFS('UX Weekly'!$H$1:$CT$1,"&gt;="&amp;AR$1,'UX Weekly'!$H$1:$CT$1,"&lt;="&amp;EOMONTH(AR$1,0),'UX Weekly'!$H17:$CT17,"&lt;&gt;"))</f>
        <v>0</v>
      </c>
      <c r="AS17">
        <f>IF($B17="",0,COUNTIFS('UX Weekly'!$H$1:$CT$1,"&gt;="&amp;AS$1,'UX Weekly'!$H$1:$CT$1,"&lt;="&amp;EOMONTH(AS$1,0),'UX Weekly'!$H17:$CT17,"&lt;&gt;"))</f>
        <v>0</v>
      </c>
      <c r="AT17">
        <f>IF($B17="",0,COUNTIFS('UX Weekly'!$H$1:$CT$1,"&gt;="&amp;AT$1,'UX Weekly'!$H$1:$CT$1,"&lt;="&amp;EOMONTH(AT$1,0),'UX Weekly'!$H17:$CT17,"&lt;&gt;"))</f>
        <v>0</v>
      </c>
      <c r="AU17">
        <f>IF($B17="",0,COUNTIFS('UX Weekly'!$H$1:$CT$1,"&gt;="&amp;AU$1,'UX Weekly'!$H$1:$CT$1,"&lt;="&amp;EOMONTH(AU$1,0),'UX Weekly'!$H17:$CT17,"&lt;&gt;"))</f>
        <v>0</v>
      </c>
      <c r="AV17">
        <f>IF($B17="",0,COUNTIFS('UX Weekly'!$H$1:$CT$1,"&gt;="&amp;AV$1,'UX Weekly'!$H$1:$CT$1,"&lt;="&amp;EOMONTH(AV$1,0),'UX Weekly'!$H17:$CT17,"&lt;&gt;"))</f>
        <v>0</v>
      </c>
      <c r="AW17">
        <f>IF($B17="",0,COUNTIFS('UX Weekly'!$H$1:$CT$1,"&gt;="&amp;AW$1,'UX Weekly'!$H$1:$CT$1,"&lt;="&amp;EOMONTH(AW$1,0),'UX Weekly'!$H17:$CT17,"&lt;&gt;"))</f>
        <v>0</v>
      </c>
      <c r="AX17">
        <f>IF($B17="",0,COUNTIFS('UX Weekly'!$H$1:$CT$1,"&gt;="&amp;AX$1,'UX Weekly'!$H$1:$CT$1,"&lt;="&amp;EOMONTH(AX$1,0),'UX Weekly'!$H17:$CT17,"&lt;&gt;"))</f>
        <v>0</v>
      </c>
    </row>
    <row r="18" spans="1:50" x14ac:dyDescent="0.2">
      <c r="A18" s="152">
        <v>18</v>
      </c>
      <c r="B18" s="152" t="str">
        <f>IF(TRIM('UX Weekly'!E18)="","",TRIM('UX Weekly'!E18))</f>
        <v>Highlighted Refinements Enhancement</v>
      </c>
      <c r="C18" s="152" t="str">
        <f>IF($B18="","",'UX Weekly'!B18)</f>
        <v>Find</v>
      </c>
      <c r="D18" s="152" t="str">
        <f>IF($B18="","",IF(TRIM('UX Weekly'!C18)="","(No theme assigned)",TRIM('UX Weekly'!C18)))</f>
        <v>Improve Discovery</v>
      </c>
      <c r="E18" s="152" t="str">
        <f>IF($B18="","",TRIM('UX Weekly'!F18))</f>
        <v>BHUX-35302 </v>
      </c>
      <c r="F18" s="152" t="str">
        <f>IF($B18="","",'UX Weekly'!G18)</f>
        <v>04. UX Design</v>
      </c>
      <c r="G18" s="153">
        <f t="array" ref="G18">IF($B18="","",IF($T18=0,"",IFERROR(MIN(IF('UX Weekly'!$H18:$CT18&lt;&gt;"",'UX Weekly'!$H$1:$CT$1)),"")))</f>
        <v>46258</v>
      </c>
      <c r="H18" s="153">
        <f t="array" ref="H18">IF($B18="","",IF($T18=0,"",IFERROR(MAX(IF('UX Weekly'!$H18:$CT18&lt;&gt;"",'UX Weekly'!$H$1:$CT$1)),"")))</f>
        <v>46279</v>
      </c>
      <c r="I18" s="154">
        <f t="shared" ca="1" si="0"/>
        <v>46296</v>
      </c>
      <c r="J18" s="154">
        <f t="shared" ca="1" si="1"/>
        <v>46326</v>
      </c>
      <c r="K18" s="152" t="str">
        <f>IF($B18="","",IF(COUNTA('Dev Tracker'!L18)=0,"",TRIM('Dev Tracker'!L18)))</f>
        <v>BHP-7266</v>
      </c>
      <c r="L18" s="152">
        <f>IF($B18="","",IFERROR(MATCH($D18,Control!$E$4:$E$30,0),99))</f>
        <v>1</v>
      </c>
      <c r="M18" s="152">
        <f>IF($B18="","",IFERROR(MATCH($F18,Control!$B$4:$B$30,0),99))</f>
        <v>6</v>
      </c>
      <c r="N18" s="152" t="str">
        <f>IF($V18&lt;&gt;1,"",IF('Roadmap (Auto)'!$D$3="Status, then Theme",$M18*1000000+$L18*10000+ROW(),IF('Roadmap (Auto)'!$D$3="Dev start (earliest)",IF($I18="",99999999,$I18)*10000+ROW(),IF('Roadmap (Auto)'!$D$3="UX start (earliest)",IF($G18="",99999999,$G18)*10000+ROW(),IF('Roadmap (Auto)'!$D$3="Deliverable A-Z",$W18*10000+ROW(),$L18*1000000+$M18*10000+ROW())))))</f>
        <v/>
      </c>
      <c r="O18" s="152" t="str">
        <f t="shared" si="2"/>
        <v/>
      </c>
      <c r="P18" s="152" t="str">
        <f>IF($B18="","",IF(COUNTA('Dev Tracker'!I18)=0,"",'Dev Tracker'!I18))</f>
        <v>Oct 2026</v>
      </c>
      <c r="Q18" s="152" t="str">
        <f>IF($B18="","",IF(COUNTA('Dev Tracker'!J18)=0,"",'Dev Tracker'!J18))</f>
        <v>Oct 2026</v>
      </c>
      <c r="R18" s="154">
        <f t="shared" ca="1" si="3"/>
        <v>46296</v>
      </c>
      <c r="S18" s="154">
        <f t="shared" ca="1" si="4"/>
        <v>46296</v>
      </c>
      <c r="T18" s="152">
        <f>IF($B18="","",COUNTA('UX Weekly'!$H18:$CT18))</f>
        <v>4</v>
      </c>
      <c r="U18" s="152">
        <f>IF($B18="","",IFERROR(MATCH($D18,Control!$E$4:$E$30,0)+3,0))</f>
        <v>4</v>
      </c>
      <c r="V18" s="152">
        <f>IF($B18="","",IF(AND(OR('Roadmap (Auto)'!$A$3="",'Roadmap (Auto)'!$A$3="(All)",ISNUMBER(SEARCH('Roadmap (Auto)'!$A$3,$C18&amp;""))),OR('Roadmap (Auto)'!$B$3="",'Roadmap (Auto)'!$B$3="(All)",$D18='Roadmap (Auto)'!$B$3,$X18='Roadmap (Auto)'!$B$3),OR('Roadmap (Auto)'!$C$3="",'Roadmap (Auto)'!$C$3="(All)",$F18='Roadmap (Auto)'!$C$3)),1,0))</f>
        <v>0</v>
      </c>
      <c r="W18" s="152">
        <f t="shared" si="5"/>
        <v>120</v>
      </c>
      <c r="X18" s="152" t="str">
        <f>IF($B18="","",IF(TRIM('UX Weekly'!D18)="","",TRIM('UX Weekly'!D18)))</f>
        <v/>
      </c>
      <c r="Y18" s="152" t="str">
        <f t="shared" si="6"/>
        <v>HIGHLIGHTEDREFINEMENTSENHANCEMENT</v>
      </c>
      <c r="AA18">
        <f>IF($B18="",0,COUNTIFS('UX Weekly'!$H$1:$CT$1,"&gt;="&amp;AA$1,'UX Weekly'!$H$1:$CT$1,"&lt;="&amp;EOMONTH(AA$1,0),'UX Weekly'!$H18:$CT18,"&lt;&gt;"))</f>
        <v>0</v>
      </c>
      <c r="AB18">
        <f>IF($B18="",0,COUNTIFS('UX Weekly'!$H$1:$CT$1,"&gt;="&amp;AB$1,'UX Weekly'!$H$1:$CT$1,"&lt;="&amp;EOMONTH(AB$1,0),'UX Weekly'!$H18:$CT18,"&lt;&gt;"))</f>
        <v>0</v>
      </c>
      <c r="AC18">
        <f>IF($B18="",0,COUNTIFS('UX Weekly'!$H$1:$CT$1,"&gt;="&amp;AC$1,'UX Weekly'!$H$1:$CT$1,"&lt;="&amp;EOMONTH(AC$1,0),'UX Weekly'!$H18:$CT18,"&lt;&gt;"))</f>
        <v>0</v>
      </c>
      <c r="AD18">
        <f>IF($B18="",0,COUNTIFS('UX Weekly'!$H$1:$CT$1,"&gt;="&amp;AD$1,'UX Weekly'!$H$1:$CT$1,"&lt;="&amp;EOMONTH(AD$1,0),'UX Weekly'!$H18:$CT18,"&lt;&gt;"))</f>
        <v>0</v>
      </c>
      <c r="AE18">
        <f>IF($B18="",0,COUNTIFS('UX Weekly'!$H$1:$CT$1,"&gt;="&amp;AE$1,'UX Weekly'!$H$1:$CT$1,"&lt;="&amp;EOMONTH(AE$1,0),'UX Weekly'!$H18:$CT18,"&lt;&gt;"))</f>
        <v>0</v>
      </c>
      <c r="AF18">
        <f>IF($B18="",0,COUNTIFS('UX Weekly'!$H$1:$CT$1,"&gt;="&amp;AF$1,'UX Weekly'!$H$1:$CT$1,"&lt;="&amp;EOMONTH(AF$1,0),'UX Weekly'!$H18:$CT18,"&lt;&gt;"))</f>
        <v>0</v>
      </c>
      <c r="AG18">
        <f>IF($B18="",0,COUNTIFS('UX Weekly'!$H$1:$CT$1,"&gt;="&amp;AG$1,'UX Weekly'!$H$1:$CT$1,"&lt;="&amp;EOMONTH(AG$1,0),'UX Weekly'!$H18:$CT18,"&lt;&gt;"))</f>
        <v>0</v>
      </c>
      <c r="AH18">
        <f>IF($B18="",0,COUNTIFS('UX Weekly'!$H$1:$CT$1,"&gt;="&amp;AH$1,'UX Weekly'!$H$1:$CT$1,"&lt;="&amp;EOMONTH(AH$1,0),'UX Weekly'!$H18:$CT18,"&lt;&gt;"))</f>
        <v>2</v>
      </c>
      <c r="AI18">
        <f>IF($B18="",0,COUNTIFS('UX Weekly'!$H$1:$CT$1,"&gt;="&amp;AI$1,'UX Weekly'!$H$1:$CT$1,"&lt;="&amp;EOMONTH(AI$1,0),'UX Weekly'!$H18:$CT18,"&lt;&gt;"))</f>
        <v>2</v>
      </c>
      <c r="AJ18">
        <f>IF($B18="",0,COUNTIFS('UX Weekly'!$H$1:$CT$1,"&gt;="&amp;AJ$1,'UX Weekly'!$H$1:$CT$1,"&lt;="&amp;EOMONTH(AJ$1,0),'UX Weekly'!$H18:$CT18,"&lt;&gt;"))</f>
        <v>0</v>
      </c>
      <c r="AK18">
        <f>IF($B18="",0,COUNTIFS('UX Weekly'!$H$1:$CT$1,"&gt;="&amp;AK$1,'UX Weekly'!$H$1:$CT$1,"&lt;="&amp;EOMONTH(AK$1,0),'UX Weekly'!$H18:$CT18,"&lt;&gt;"))</f>
        <v>0</v>
      </c>
      <c r="AL18">
        <f>IF($B18="",0,COUNTIFS('UX Weekly'!$H$1:$CT$1,"&gt;="&amp;AL$1,'UX Weekly'!$H$1:$CT$1,"&lt;="&amp;EOMONTH(AL$1,0),'UX Weekly'!$H18:$CT18,"&lt;&gt;"))</f>
        <v>0</v>
      </c>
      <c r="AM18">
        <f>IF($B18="",0,COUNTIFS('UX Weekly'!$H$1:$CT$1,"&gt;="&amp;AM$1,'UX Weekly'!$H$1:$CT$1,"&lt;="&amp;EOMONTH(AM$1,0),'UX Weekly'!$H18:$CT18,"&lt;&gt;"))</f>
        <v>0</v>
      </c>
      <c r="AN18">
        <f>IF($B18="",0,COUNTIFS('UX Weekly'!$H$1:$CT$1,"&gt;="&amp;AN$1,'UX Weekly'!$H$1:$CT$1,"&lt;="&amp;EOMONTH(AN$1,0),'UX Weekly'!$H18:$CT18,"&lt;&gt;"))</f>
        <v>0</v>
      </c>
      <c r="AO18">
        <f>IF($B18="",0,COUNTIFS('UX Weekly'!$H$1:$CT$1,"&gt;="&amp;AO$1,'UX Weekly'!$H$1:$CT$1,"&lt;="&amp;EOMONTH(AO$1,0),'UX Weekly'!$H18:$CT18,"&lt;&gt;"))</f>
        <v>0</v>
      </c>
      <c r="AP18">
        <f>IF($B18="",0,COUNTIFS('UX Weekly'!$H$1:$CT$1,"&gt;="&amp;AP$1,'UX Weekly'!$H$1:$CT$1,"&lt;="&amp;EOMONTH(AP$1,0),'UX Weekly'!$H18:$CT18,"&lt;&gt;"))</f>
        <v>0</v>
      </c>
      <c r="AQ18">
        <f>IF($B18="",0,COUNTIFS('UX Weekly'!$H$1:$CT$1,"&gt;="&amp;AQ$1,'UX Weekly'!$H$1:$CT$1,"&lt;="&amp;EOMONTH(AQ$1,0),'UX Weekly'!$H18:$CT18,"&lt;&gt;"))</f>
        <v>0</v>
      </c>
      <c r="AR18">
        <f>IF($B18="",0,COUNTIFS('UX Weekly'!$H$1:$CT$1,"&gt;="&amp;AR$1,'UX Weekly'!$H$1:$CT$1,"&lt;="&amp;EOMONTH(AR$1,0),'UX Weekly'!$H18:$CT18,"&lt;&gt;"))</f>
        <v>0</v>
      </c>
      <c r="AS18">
        <f>IF($B18="",0,COUNTIFS('UX Weekly'!$H$1:$CT$1,"&gt;="&amp;AS$1,'UX Weekly'!$H$1:$CT$1,"&lt;="&amp;EOMONTH(AS$1,0),'UX Weekly'!$H18:$CT18,"&lt;&gt;"))</f>
        <v>0</v>
      </c>
      <c r="AT18">
        <f>IF($B18="",0,COUNTIFS('UX Weekly'!$H$1:$CT$1,"&gt;="&amp;AT$1,'UX Weekly'!$H$1:$CT$1,"&lt;="&amp;EOMONTH(AT$1,0),'UX Weekly'!$H18:$CT18,"&lt;&gt;"))</f>
        <v>0</v>
      </c>
      <c r="AU18">
        <f>IF($B18="",0,COUNTIFS('UX Weekly'!$H$1:$CT$1,"&gt;="&amp;AU$1,'UX Weekly'!$H$1:$CT$1,"&lt;="&amp;EOMONTH(AU$1,0),'UX Weekly'!$H18:$CT18,"&lt;&gt;"))</f>
        <v>0</v>
      </c>
      <c r="AV18">
        <f>IF($B18="",0,COUNTIFS('UX Weekly'!$H$1:$CT$1,"&gt;="&amp;AV$1,'UX Weekly'!$H$1:$CT$1,"&lt;="&amp;EOMONTH(AV$1,0),'UX Weekly'!$H18:$CT18,"&lt;&gt;"))</f>
        <v>0</v>
      </c>
      <c r="AW18">
        <f>IF($B18="",0,COUNTIFS('UX Weekly'!$H$1:$CT$1,"&gt;="&amp;AW$1,'UX Weekly'!$H$1:$CT$1,"&lt;="&amp;EOMONTH(AW$1,0),'UX Weekly'!$H18:$CT18,"&lt;&gt;"))</f>
        <v>0</v>
      </c>
      <c r="AX18">
        <f>IF($B18="",0,COUNTIFS('UX Weekly'!$H$1:$CT$1,"&gt;="&amp;AX$1,'UX Weekly'!$H$1:$CT$1,"&lt;="&amp;EOMONTH(AX$1,0),'UX Weekly'!$H18:$CT18,"&lt;&gt;"))</f>
        <v>0</v>
      </c>
    </row>
    <row r="19" spans="1:50" x14ac:dyDescent="0.2">
      <c r="A19" s="152">
        <v>19</v>
      </c>
      <c r="B19" s="152" t="str">
        <f>IF(TRIM('UX Weekly'!E19)="","",TRIM('UX Weekly'!E19))</f>
        <v>Trade In Email - Comprehensive Refresh Discovery</v>
      </c>
      <c r="C19" s="152" t="str">
        <f>IF($B19="","",'UX Weekly'!B19)</f>
        <v>Used</v>
      </c>
      <c r="D19" s="152" t="str">
        <f>IF($B19="","",IF(TRIM('UX Weekly'!C19)="","(No theme assigned)",TRIM('UX Weekly'!C19)))</f>
        <v>Improve Trade In User Flow</v>
      </c>
      <c r="E19" s="152" t="str">
        <f>IF($B19="","",TRIM('UX Weekly'!F19))</f>
        <v>BHUX-34772</v>
      </c>
      <c r="F19" s="152" t="str">
        <f>IF($B19="","",'UX Weekly'!G19)</f>
        <v>04. UX Design</v>
      </c>
      <c r="G19" s="153">
        <f t="array" ref="G19">IF($B19="","",IF($T19=0,"",IFERROR(MIN(IF('UX Weekly'!$H19:$CT19&lt;&gt;"",'UX Weekly'!$H$1:$CT$1)),"")))</f>
        <v>46216</v>
      </c>
      <c r="H19" s="153">
        <f t="array" ref="H19">IF($B19="","",IF($T19=0,"",IFERROR(MAX(IF('UX Weekly'!$H19:$CT19&lt;&gt;"",'UX Weekly'!$H$1:$CT$1)),"")))</f>
        <v>46237</v>
      </c>
      <c r="I19" s="154">
        <f t="shared" ca="1" si="0"/>
        <v>46296</v>
      </c>
      <c r="J19" s="154">
        <f t="shared" ca="1" si="1"/>
        <v>46326</v>
      </c>
      <c r="K19" s="152" t="str">
        <f>IF($B19="","",IF(COUNTA('Dev Tracker'!L19)=0,"",TRIM('Dev Tracker'!L19)))</f>
        <v>BHP-6391</v>
      </c>
      <c r="L19" s="152">
        <f>IF($B19="","",IFERROR(MATCH($D19,Control!$E$4:$E$30,0),99))</f>
        <v>3</v>
      </c>
      <c r="M19" s="152">
        <f>IF($B19="","",IFERROR(MATCH($F19,Control!$B$4:$B$30,0),99))</f>
        <v>6</v>
      </c>
      <c r="N19" s="152">
        <f>IF($V19&lt;&gt;1,"",IF('Roadmap (Auto)'!$D$3="Status, then Theme",$M19*1000000+$L19*10000+ROW(),IF('Roadmap (Auto)'!$D$3="Dev start (earliest)",IF($I19="",99999999,$I19)*10000+ROW(),IF('Roadmap (Auto)'!$D$3="UX start (earliest)",IF($G19="",99999999,$G19)*10000+ROW(),IF('Roadmap (Auto)'!$D$3="Deliverable A-Z",$W19*10000+ROW(),$L19*1000000+$M19*10000+ROW())))))</f>
        <v>3060019</v>
      </c>
      <c r="O19" s="152">
        <f t="shared" si="2"/>
        <v>7</v>
      </c>
      <c r="P19" s="152" t="str">
        <f>IF($B19="","",IF(COUNTA('Dev Tracker'!I19)=0,"",'Dev Tracker'!I19))</f>
        <v>Oct 2026</v>
      </c>
      <c r="Q19" s="152" t="str">
        <f>IF($B19="","",IF(COUNTA('Dev Tracker'!J19)=0,"",'Dev Tracker'!J19))</f>
        <v>Oct 2026</v>
      </c>
      <c r="R19" s="154">
        <f t="shared" ca="1" si="3"/>
        <v>46296</v>
      </c>
      <c r="S19" s="154">
        <f t="shared" ca="1" si="4"/>
        <v>46296</v>
      </c>
      <c r="T19" s="152">
        <f>IF($B19="","",COUNTA('UX Weekly'!$H19:$CT19))</f>
        <v>4</v>
      </c>
      <c r="U19" s="152">
        <f>IF($B19="","",IFERROR(MATCH($D19,Control!$E$4:$E$30,0)+3,0))</f>
        <v>6</v>
      </c>
      <c r="V19" s="152">
        <f>IF($B19="","",IF(AND(OR('Roadmap (Auto)'!$A$3="",'Roadmap (Auto)'!$A$3="(All)",ISNUMBER(SEARCH('Roadmap (Auto)'!$A$3,$C19&amp;""))),OR('Roadmap (Auto)'!$B$3="",'Roadmap (Auto)'!$B$3="(All)",$D19='Roadmap (Auto)'!$B$3,$X19='Roadmap (Auto)'!$B$3),OR('Roadmap (Auto)'!$C$3="",'Roadmap (Auto)'!$C$3="(All)",$F19='Roadmap (Auto)'!$C$3)),1,0))</f>
        <v>1</v>
      </c>
      <c r="W19" s="152">
        <f t="shared" si="5"/>
        <v>144</v>
      </c>
      <c r="X19" s="152" t="str">
        <f>IF($B19="","",IF(TRIM('UX Weekly'!D19)="","",TRIM('UX Weekly'!D19)))</f>
        <v/>
      </c>
      <c r="Y19" s="152" t="str">
        <f t="shared" si="6"/>
        <v>TRADEINEMAILCOMPREHENSIVEREFRESHDISCOVERY</v>
      </c>
      <c r="AA19">
        <f>IF($B19="",0,COUNTIFS('UX Weekly'!$H$1:$CT$1,"&gt;="&amp;AA$1,'UX Weekly'!$H$1:$CT$1,"&lt;="&amp;EOMONTH(AA$1,0),'UX Weekly'!$H19:$CT19,"&lt;&gt;"))</f>
        <v>0</v>
      </c>
      <c r="AB19">
        <f>IF($B19="",0,COUNTIFS('UX Weekly'!$H$1:$CT$1,"&gt;="&amp;AB$1,'UX Weekly'!$H$1:$CT$1,"&lt;="&amp;EOMONTH(AB$1,0),'UX Weekly'!$H19:$CT19,"&lt;&gt;"))</f>
        <v>0</v>
      </c>
      <c r="AC19">
        <f>IF($B19="",0,COUNTIFS('UX Weekly'!$H$1:$CT$1,"&gt;="&amp;AC$1,'UX Weekly'!$H$1:$CT$1,"&lt;="&amp;EOMONTH(AC$1,0),'UX Weekly'!$H19:$CT19,"&lt;&gt;"))</f>
        <v>0</v>
      </c>
      <c r="AD19">
        <f>IF($B19="",0,COUNTIFS('UX Weekly'!$H$1:$CT$1,"&gt;="&amp;AD$1,'UX Weekly'!$H$1:$CT$1,"&lt;="&amp;EOMONTH(AD$1,0),'UX Weekly'!$H19:$CT19,"&lt;&gt;"))</f>
        <v>0</v>
      </c>
      <c r="AE19">
        <f>IF($B19="",0,COUNTIFS('UX Weekly'!$H$1:$CT$1,"&gt;="&amp;AE$1,'UX Weekly'!$H$1:$CT$1,"&lt;="&amp;EOMONTH(AE$1,0),'UX Weekly'!$H19:$CT19,"&lt;&gt;"))</f>
        <v>0</v>
      </c>
      <c r="AF19">
        <f>IF($B19="",0,COUNTIFS('UX Weekly'!$H$1:$CT$1,"&gt;="&amp;AF$1,'UX Weekly'!$H$1:$CT$1,"&lt;="&amp;EOMONTH(AF$1,0),'UX Weekly'!$H19:$CT19,"&lt;&gt;"))</f>
        <v>0</v>
      </c>
      <c r="AG19">
        <f>IF($B19="",0,COUNTIFS('UX Weekly'!$H$1:$CT$1,"&gt;="&amp;AG$1,'UX Weekly'!$H$1:$CT$1,"&lt;="&amp;EOMONTH(AG$1,0),'UX Weekly'!$H19:$CT19,"&lt;&gt;"))</f>
        <v>3</v>
      </c>
      <c r="AH19">
        <f>IF($B19="",0,COUNTIFS('UX Weekly'!$H$1:$CT$1,"&gt;="&amp;AH$1,'UX Weekly'!$H$1:$CT$1,"&lt;="&amp;EOMONTH(AH$1,0),'UX Weekly'!$H19:$CT19,"&lt;&gt;"))</f>
        <v>1</v>
      </c>
      <c r="AI19">
        <f>IF($B19="",0,COUNTIFS('UX Weekly'!$H$1:$CT$1,"&gt;="&amp;AI$1,'UX Weekly'!$H$1:$CT$1,"&lt;="&amp;EOMONTH(AI$1,0),'UX Weekly'!$H19:$CT19,"&lt;&gt;"))</f>
        <v>0</v>
      </c>
      <c r="AJ19">
        <f>IF($B19="",0,COUNTIFS('UX Weekly'!$H$1:$CT$1,"&gt;="&amp;AJ$1,'UX Weekly'!$H$1:$CT$1,"&lt;="&amp;EOMONTH(AJ$1,0),'UX Weekly'!$H19:$CT19,"&lt;&gt;"))</f>
        <v>0</v>
      </c>
      <c r="AK19">
        <f>IF($B19="",0,COUNTIFS('UX Weekly'!$H$1:$CT$1,"&gt;="&amp;AK$1,'UX Weekly'!$H$1:$CT$1,"&lt;="&amp;EOMONTH(AK$1,0),'UX Weekly'!$H19:$CT19,"&lt;&gt;"))</f>
        <v>0</v>
      </c>
      <c r="AL19">
        <f>IF($B19="",0,COUNTIFS('UX Weekly'!$H$1:$CT$1,"&gt;="&amp;AL$1,'UX Weekly'!$H$1:$CT$1,"&lt;="&amp;EOMONTH(AL$1,0),'UX Weekly'!$H19:$CT19,"&lt;&gt;"))</f>
        <v>0</v>
      </c>
      <c r="AM19">
        <f>IF($B19="",0,COUNTIFS('UX Weekly'!$H$1:$CT$1,"&gt;="&amp;AM$1,'UX Weekly'!$H$1:$CT$1,"&lt;="&amp;EOMONTH(AM$1,0),'UX Weekly'!$H19:$CT19,"&lt;&gt;"))</f>
        <v>0</v>
      </c>
      <c r="AN19">
        <f>IF($B19="",0,COUNTIFS('UX Weekly'!$H$1:$CT$1,"&gt;="&amp;AN$1,'UX Weekly'!$H$1:$CT$1,"&lt;="&amp;EOMONTH(AN$1,0),'UX Weekly'!$H19:$CT19,"&lt;&gt;"))</f>
        <v>0</v>
      </c>
      <c r="AO19">
        <f>IF($B19="",0,COUNTIFS('UX Weekly'!$H$1:$CT$1,"&gt;="&amp;AO$1,'UX Weekly'!$H$1:$CT$1,"&lt;="&amp;EOMONTH(AO$1,0),'UX Weekly'!$H19:$CT19,"&lt;&gt;"))</f>
        <v>0</v>
      </c>
      <c r="AP19">
        <f>IF($B19="",0,COUNTIFS('UX Weekly'!$H$1:$CT$1,"&gt;="&amp;AP$1,'UX Weekly'!$H$1:$CT$1,"&lt;="&amp;EOMONTH(AP$1,0),'UX Weekly'!$H19:$CT19,"&lt;&gt;"))</f>
        <v>0</v>
      </c>
      <c r="AQ19">
        <f>IF($B19="",0,COUNTIFS('UX Weekly'!$H$1:$CT$1,"&gt;="&amp;AQ$1,'UX Weekly'!$H$1:$CT$1,"&lt;="&amp;EOMONTH(AQ$1,0),'UX Weekly'!$H19:$CT19,"&lt;&gt;"))</f>
        <v>0</v>
      </c>
      <c r="AR19">
        <f>IF($B19="",0,COUNTIFS('UX Weekly'!$H$1:$CT$1,"&gt;="&amp;AR$1,'UX Weekly'!$H$1:$CT$1,"&lt;="&amp;EOMONTH(AR$1,0),'UX Weekly'!$H19:$CT19,"&lt;&gt;"))</f>
        <v>0</v>
      </c>
      <c r="AS19">
        <f>IF($B19="",0,COUNTIFS('UX Weekly'!$H$1:$CT$1,"&gt;="&amp;AS$1,'UX Weekly'!$H$1:$CT$1,"&lt;="&amp;EOMONTH(AS$1,0),'UX Weekly'!$H19:$CT19,"&lt;&gt;"))</f>
        <v>0</v>
      </c>
      <c r="AT19">
        <f>IF($B19="",0,COUNTIFS('UX Weekly'!$H$1:$CT$1,"&gt;="&amp;AT$1,'UX Weekly'!$H$1:$CT$1,"&lt;="&amp;EOMONTH(AT$1,0),'UX Weekly'!$H19:$CT19,"&lt;&gt;"))</f>
        <v>0</v>
      </c>
      <c r="AU19">
        <f>IF($B19="",0,COUNTIFS('UX Weekly'!$H$1:$CT$1,"&gt;="&amp;AU$1,'UX Weekly'!$H$1:$CT$1,"&lt;="&amp;EOMONTH(AU$1,0),'UX Weekly'!$H19:$CT19,"&lt;&gt;"))</f>
        <v>0</v>
      </c>
      <c r="AV19">
        <f>IF($B19="",0,COUNTIFS('UX Weekly'!$H$1:$CT$1,"&gt;="&amp;AV$1,'UX Weekly'!$H$1:$CT$1,"&lt;="&amp;EOMONTH(AV$1,0),'UX Weekly'!$H19:$CT19,"&lt;&gt;"))</f>
        <v>0</v>
      </c>
      <c r="AW19">
        <f>IF($B19="",0,COUNTIFS('UX Weekly'!$H$1:$CT$1,"&gt;="&amp;AW$1,'UX Weekly'!$H$1:$CT$1,"&lt;="&amp;EOMONTH(AW$1,0),'UX Weekly'!$H19:$CT19,"&lt;&gt;"))</f>
        <v>0</v>
      </c>
      <c r="AX19">
        <f>IF($B19="",0,COUNTIFS('UX Weekly'!$H$1:$CT$1,"&gt;="&amp;AX$1,'UX Weekly'!$H$1:$CT$1,"&lt;="&amp;EOMONTH(AX$1,0),'UX Weekly'!$H19:$CT19,"&lt;&gt;"))</f>
        <v>0</v>
      </c>
    </row>
    <row r="20" spans="1:50" x14ac:dyDescent="0.2">
      <c r="A20" s="152">
        <v>20</v>
      </c>
      <c r="B20" s="152" t="str">
        <f>IF(TRIM('UX Weekly'!E20)="","",TRIM('UX Weekly'!E20))</f>
        <v>Used - Sell Used Experience</v>
      </c>
      <c r="C20" s="152" t="str">
        <f>IF($B20="","",'UX Weekly'!B20)</f>
        <v>Used</v>
      </c>
      <c r="D20" s="152" t="str">
        <f>IF($B20="","",IF(TRIM('UX Weekly'!C20)="","(No theme assigned)",TRIM('UX Weekly'!C20)))</f>
        <v>Improve Trade In User Flow</v>
      </c>
      <c r="E20" s="152" t="str">
        <f>IF($B20="","",TRIM('UX Weekly'!F20))</f>
        <v>BHUX-33009</v>
      </c>
      <c r="F20" s="152" t="str">
        <f>IF($B20="","",'UX Weekly'!G20)</f>
        <v>04. UX Design</v>
      </c>
      <c r="G20" s="153">
        <f t="array" ref="G20">IF($B20="","",IF($T20=0,"",IFERROR(MIN(IF('UX Weekly'!$H20:$CT20&lt;&gt;"",'UX Weekly'!$H$1:$CT$1)),"")))</f>
        <v>46132</v>
      </c>
      <c r="H20" s="153">
        <f t="array" ref="H20">IF($B20="","",IF($T20=0,"",IFERROR(MAX(IF('UX Weekly'!$H20:$CT20&lt;&gt;"",'UX Weekly'!$H$1:$CT$1)),"")))</f>
        <v>46293</v>
      </c>
      <c r="I20" s="154">
        <f t="shared" ca="1" si="0"/>
        <v>46388</v>
      </c>
      <c r="J20" s="154">
        <f t="shared" ca="1" si="1"/>
        <v>46477</v>
      </c>
      <c r="K20" s="152" t="str">
        <f>IF($B20="","",IF(COUNTA('Dev Tracker'!L20)=0,"",TRIM('Dev Tracker'!L20)))</f>
        <v>BHP-6434</v>
      </c>
      <c r="L20" s="152">
        <f>IF($B20="","",IFERROR(MATCH($D20,Control!$E$4:$E$30,0),99))</f>
        <v>3</v>
      </c>
      <c r="M20" s="152">
        <f>IF($B20="","",IFERROR(MATCH($F20,Control!$B$4:$B$30,0),99))</f>
        <v>6</v>
      </c>
      <c r="N20" s="152">
        <f>IF($V20&lt;&gt;1,"",IF('Roadmap (Auto)'!$D$3="Status, then Theme",$M20*1000000+$L20*10000+ROW(),IF('Roadmap (Auto)'!$D$3="Dev start (earliest)",IF($I20="",99999999,$I20)*10000+ROW(),IF('Roadmap (Auto)'!$D$3="UX start (earliest)",IF($G20="",99999999,$G20)*10000+ROW(),IF('Roadmap (Auto)'!$D$3="Deliverable A-Z",$W20*10000+ROW(),$L20*1000000+$M20*10000+ROW())))))</f>
        <v>3060020</v>
      </c>
      <c r="O20" s="152">
        <f t="shared" si="2"/>
        <v>8</v>
      </c>
      <c r="P20" s="152" t="str">
        <f>IF($B20="","",IF(COUNTA('Dev Tracker'!I20)=0,"",'Dev Tracker'!I20))</f>
        <v>Jan 2027</v>
      </c>
      <c r="Q20" s="152" t="str">
        <f>IF($B20="","",IF(COUNTA('Dev Tracker'!J20)=0,"",'Dev Tracker'!J20))</f>
        <v>Mar 2027</v>
      </c>
      <c r="R20" s="154">
        <f t="shared" ca="1" si="3"/>
        <v>46388</v>
      </c>
      <c r="S20" s="154">
        <f t="shared" ca="1" si="4"/>
        <v>46447</v>
      </c>
      <c r="T20" s="152">
        <f>IF($B20="","",COUNTA('UX Weekly'!$H20:$CT20))</f>
        <v>24</v>
      </c>
      <c r="U20" s="152">
        <f>IF($B20="","",IFERROR(MATCH($D20,Control!$E$4:$E$30,0)+3,0))</f>
        <v>6</v>
      </c>
      <c r="V20" s="152">
        <f>IF($B20="","",IF(AND(OR('Roadmap (Auto)'!$A$3="",'Roadmap (Auto)'!$A$3="(All)",ISNUMBER(SEARCH('Roadmap (Auto)'!$A$3,$C20&amp;""))),OR('Roadmap (Auto)'!$B$3="",'Roadmap (Auto)'!$B$3="(All)",$D20='Roadmap (Auto)'!$B$3,$X20='Roadmap (Auto)'!$B$3),OR('Roadmap (Auto)'!$C$3="",'Roadmap (Auto)'!$C$3="(All)",$F20='Roadmap (Auto)'!$C$3)),1,0))</f>
        <v>1</v>
      </c>
      <c r="W20" s="152">
        <f t="shared" si="5"/>
        <v>149</v>
      </c>
      <c r="X20" s="152" t="str">
        <f>IF($B20="","",IF(TRIM('UX Weekly'!D20)="","",TRIM('UX Weekly'!D20)))</f>
        <v/>
      </c>
      <c r="Y20" s="152" t="str">
        <f t="shared" si="6"/>
        <v>USEDSELLUSEDEXPERIENCE</v>
      </c>
      <c r="AA20">
        <f>IF($B20="",0,COUNTIFS('UX Weekly'!$H$1:$CT$1,"&gt;="&amp;AA$1,'UX Weekly'!$H$1:$CT$1,"&lt;="&amp;EOMONTH(AA$1,0),'UX Weekly'!$H20:$CT20,"&lt;&gt;"))</f>
        <v>0</v>
      </c>
      <c r="AB20">
        <f>IF($B20="",0,COUNTIFS('UX Weekly'!$H$1:$CT$1,"&gt;="&amp;AB$1,'UX Weekly'!$H$1:$CT$1,"&lt;="&amp;EOMONTH(AB$1,0),'UX Weekly'!$H20:$CT20,"&lt;&gt;"))</f>
        <v>0</v>
      </c>
      <c r="AC20">
        <f>IF($B20="",0,COUNTIFS('UX Weekly'!$H$1:$CT$1,"&gt;="&amp;AC$1,'UX Weekly'!$H$1:$CT$1,"&lt;="&amp;EOMONTH(AC$1,0),'UX Weekly'!$H20:$CT20,"&lt;&gt;"))</f>
        <v>0</v>
      </c>
      <c r="AD20">
        <f>IF($B20="",0,COUNTIFS('UX Weekly'!$H$1:$CT$1,"&gt;="&amp;AD$1,'UX Weekly'!$H$1:$CT$1,"&lt;="&amp;EOMONTH(AD$1,0),'UX Weekly'!$H20:$CT20,"&lt;&gt;"))</f>
        <v>2</v>
      </c>
      <c r="AE20">
        <f>IF($B20="",0,COUNTIFS('UX Weekly'!$H$1:$CT$1,"&gt;="&amp;AE$1,'UX Weekly'!$H$1:$CT$1,"&lt;="&amp;EOMONTH(AE$1,0),'UX Weekly'!$H20:$CT20,"&lt;&gt;"))</f>
        <v>4</v>
      </c>
      <c r="AF20">
        <f>IF($B20="",0,COUNTIFS('UX Weekly'!$H$1:$CT$1,"&gt;="&amp;AF$1,'UX Weekly'!$H$1:$CT$1,"&lt;="&amp;EOMONTH(AF$1,0),'UX Weekly'!$H20:$CT20,"&lt;&gt;"))</f>
        <v>5</v>
      </c>
      <c r="AG20">
        <f>IF($B20="",0,COUNTIFS('UX Weekly'!$H$1:$CT$1,"&gt;="&amp;AG$1,'UX Weekly'!$H$1:$CT$1,"&lt;="&amp;EOMONTH(AG$1,0),'UX Weekly'!$H20:$CT20,"&lt;&gt;"))</f>
        <v>4</v>
      </c>
      <c r="AH20">
        <f>IF($B20="",0,COUNTIFS('UX Weekly'!$H$1:$CT$1,"&gt;="&amp;AH$1,'UX Weekly'!$H$1:$CT$1,"&lt;="&amp;EOMONTH(AH$1,0),'UX Weekly'!$H20:$CT20,"&lt;&gt;"))</f>
        <v>5</v>
      </c>
      <c r="AI20">
        <f>IF($B20="",0,COUNTIFS('UX Weekly'!$H$1:$CT$1,"&gt;="&amp;AI$1,'UX Weekly'!$H$1:$CT$1,"&lt;="&amp;EOMONTH(AI$1,0),'UX Weekly'!$H20:$CT20,"&lt;&gt;"))</f>
        <v>4</v>
      </c>
      <c r="AJ20">
        <f>IF($B20="",0,COUNTIFS('UX Weekly'!$H$1:$CT$1,"&gt;="&amp;AJ$1,'UX Weekly'!$H$1:$CT$1,"&lt;="&amp;EOMONTH(AJ$1,0),'UX Weekly'!$H20:$CT20,"&lt;&gt;"))</f>
        <v>0</v>
      </c>
      <c r="AK20">
        <f>IF($B20="",0,COUNTIFS('UX Weekly'!$H$1:$CT$1,"&gt;="&amp;AK$1,'UX Weekly'!$H$1:$CT$1,"&lt;="&amp;EOMONTH(AK$1,0),'UX Weekly'!$H20:$CT20,"&lt;&gt;"))</f>
        <v>0</v>
      </c>
      <c r="AL20">
        <f>IF($B20="",0,COUNTIFS('UX Weekly'!$H$1:$CT$1,"&gt;="&amp;AL$1,'UX Weekly'!$H$1:$CT$1,"&lt;="&amp;EOMONTH(AL$1,0),'UX Weekly'!$H20:$CT20,"&lt;&gt;"))</f>
        <v>0</v>
      </c>
      <c r="AM20">
        <f>IF($B20="",0,COUNTIFS('UX Weekly'!$H$1:$CT$1,"&gt;="&amp;AM$1,'UX Weekly'!$H$1:$CT$1,"&lt;="&amp;EOMONTH(AM$1,0),'UX Weekly'!$H20:$CT20,"&lt;&gt;"))</f>
        <v>0</v>
      </c>
      <c r="AN20">
        <f>IF($B20="",0,COUNTIFS('UX Weekly'!$H$1:$CT$1,"&gt;="&amp;AN$1,'UX Weekly'!$H$1:$CT$1,"&lt;="&amp;EOMONTH(AN$1,0),'UX Weekly'!$H20:$CT20,"&lt;&gt;"))</f>
        <v>0</v>
      </c>
      <c r="AO20">
        <f>IF($B20="",0,COUNTIFS('UX Weekly'!$H$1:$CT$1,"&gt;="&amp;AO$1,'UX Weekly'!$H$1:$CT$1,"&lt;="&amp;EOMONTH(AO$1,0),'UX Weekly'!$H20:$CT20,"&lt;&gt;"))</f>
        <v>0</v>
      </c>
      <c r="AP20">
        <f>IF($B20="",0,COUNTIFS('UX Weekly'!$H$1:$CT$1,"&gt;="&amp;AP$1,'UX Weekly'!$H$1:$CT$1,"&lt;="&amp;EOMONTH(AP$1,0),'UX Weekly'!$H20:$CT20,"&lt;&gt;"))</f>
        <v>0</v>
      </c>
      <c r="AQ20">
        <f>IF($B20="",0,COUNTIFS('UX Weekly'!$H$1:$CT$1,"&gt;="&amp;AQ$1,'UX Weekly'!$H$1:$CT$1,"&lt;="&amp;EOMONTH(AQ$1,0),'UX Weekly'!$H20:$CT20,"&lt;&gt;"))</f>
        <v>0</v>
      </c>
      <c r="AR20">
        <f>IF($B20="",0,COUNTIFS('UX Weekly'!$H$1:$CT$1,"&gt;="&amp;AR$1,'UX Weekly'!$H$1:$CT$1,"&lt;="&amp;EOMONTH(AR$1,0),'UX Weekly'!$H20:$CT20,"&lt;&gt;"))</f>
        <v>0</v>
      </c>
      <c r="AS20">
        <f>IF($B20="",0,COUNTIFS('UX Weekly'!$H$1:$CT$1,"&gt;="&amp;AS$1,'UX Weekly'!$H$1:$CT$1,"&lt;="&amp;EOMONTH(AS$1,0),'UX Weekly'!$H20:$CT20,"&lt;&gt;"))</f>
        <v>0</v>
      </c>
      <c r="AT20">
        <f>IF($B20="",0,COUNTIFS('UX Weekly'!$H$1:$CT$1,"&gt;="&amp;AT$1,'UX Weekly'!$H$1:$CT$1,"&lt;="&amp;EOMONTH(AT$1,0),'UX Weekly'!$H20:$CT20,"&lt;&gt;"))</f>
        <v>0</v>
      </c>
      <c r="AU20">
        <f>IF($B20="",0,COUNTIFS('UX Weekly'!$H$1:$CT$1,"&gt;="&amp;AU$1,'UX Weekly'!$H$1:$CT$1,"&lt;="&amp;EOMONTH(AU$1,0),'UX Weekly'!$H20:$CT20,"&lt;&gt;"))</f>
        <v>0</v>
      </c>
      <c r="AV20">
        <f>IF($B20="",0,COUNTIFS('UX Weekly'!$H$1:$CT$1,"&gt;="&amp;AV$1,'UX Weekly'!$H$1:$CT$1,"&lt;="&amp;EOMONTH(AV$1,0),'UX Weekly'!$H20:$CT20,"&lt;&gt;"))</f>
        <v>0</v>
      </c>
      <c r="AW20">
        <f>IF($B20="",0,COUNTIFS('UX Weekly'!$H$1:$CT$1,"&gt;="&amp;AW$1,'UX Weekly'!$H$1:$CT$1,"&lt;="&amp;EOMONTH(AW$1,0),'UX Weekly'!$H20:$CT20,"&lt;&gt;"))</f>
        <v>0</v>
      </c>
      <c r="AX20">
        <f>IF($B20="",0,COUNTIFS('UX Weekly'!$H$1:$CT$1,"&gt;="&amp;AX$1,'UX Weekly'!$H$1:$CT$1,"&lt;="&amp;EOMONTH(AX$1,0),'UX Weekly'!$H20:$CT20,"&lt;&gt;"))</f>
        <v>0</v>
      </c>
    </row>
    <row r="21" spans="1:50" x14ac:dyDescent="0.2">
      <c r="A21" s="152">
        <v>21</v>
      </c>
      <c r="B21" s="152" t="str">
        <f>IF(TRIM('UX Weekly'!E21)="","",TRIM('UX Weekly'!E21))</f>
        <v>Add 'shop by popular brands' section to Used Homepage</v>
      </c>
      <c r="C21" s="152" t="str">
        <f>IF($B21="","",'UX Weekly'!B21)</f>
        <v>Used</v>
      </c>
      <c r="D21" s="152" t="str">
        <f>IF($B21="","",IF(TRIM('UX Weekly'!C21)="","(No theme assigned)",TRIM('UX Weekly'!C21)))</f>
        <v>Increase Buy Used Awareness</v>
      </c>
      <c r="E21" s="152" t="str">
        <f>IF($B21="","",TRIM('UX Weekly'!F21))</f>
        <v>BHUX-34844</v>
      </c>
      <c r="F21" s="152" t="str">
        <f>IF($B21="","",'UX Weekly'!G21)</f>
        <v>04. UX Design</v>
      </c>
      <c r="G21" s="153">
        <f t="array" ref="G21">IF($B21="","",IF($T21=0,"",IFERROR(MIN(IF('UX Weekly'!$H21:$CT21&lt;&gt;"",'UX Weekly'!$H$1:$CT$1)),"")))</f>
        <v>46223</v>
      </c>
      <c r="H21" s="153">
        <f t="array" ref="H21">IF($B21="","",IF($T21=0,"",IFERROR(MAX(IF('UX Weekly'!$H21:$CT21&lt;&gt;"",'UX Weekly'!$H$1:$CT$1)),"")))</f>
        <v>46258</v>
      </c>
      <c r="I21" s="154">
        <f t="shared" ca="1" si="0"/>
        <v>46327</v>
      </c>
      <c r="J21" s="154">
        <f t="shared" ca="1" si="1"/>
        <v>46356</v>
      </c>
      <c r="K21" s="152" t="str">
        <f>IF($B21="","",IF(COUNTA('Dev Tracker'!L21)=0,"",TRIM('Dev Tracker'!L21)))</f>
        <v>BHP-6735</v>
      </c>
      <c r="L21" s="152">
        <f>IF($B21="","",IFERROR(MATCH($D21,Control!$E$4:$E$30,0),99))</f>
        <v>5</v>
      </c>
      <c r="M21" s="152">
        <f>IF($B21="","",IFERROR(MATCH($F21,Control!$B$4:$B$30,0),99))</f>
        <v>6</v>
      </c>
      <c r="N21" s="152">
        <f>IF($V21&lt;&gt;1,"",IF('Roadmap (Auto)'!$D$3="Status, then Theme",$M21*1000000+$L21*10000+ROW(),IF('Roadmap (Auto)'!$D$3="Dev start (earliest)",IF($I21="",99999999,$I21)*10000+ROW(),IF('Roadmap (Auto)'!$D$3="UX start (earliest)",IF($G21="",99999999,$G21)*10000+ROW(),IF('Roadmap (Auto)'!$D$3="Deliverable A-Z",$W21*10000+ROW(),$L21*1000000+$M21*10000+ROW())))))</f>
        <v>5060021</v>
      </c>
      <c r="O21" s="152">
        <f t="shared" si="2"/>
        <v>16</v>
      </c>
      <c r="P21" s="152" t="str">
        <f>IF($B21="","",IF(COUNTA('Dev Tracker'!I21)=0,"",'Dev Tracker'!I21))</f>
        <v>Nov 2026</v>
      </c>
      <c r="Q21" s="152" t="str">
        <f>IF($B21="","",IF(COUNTA('Dev Tracker'!J21)=0,"",'Dev Tracker'!J21))</f>
        <v>Nov 2026</v>
      </c>
      <c r="R21" s="154">
        <f t="shared" ca="1" si="3"/>
        <v>46327</v>
      </c>
      <c r="S21" s="154">
        <f t="shared" ca="1" si="4"/>
        <v>46327</v>
      </c>
      <c r="T21" s="152">
        <f>IF($B21="","",COUNTA('UX Weekly'!$H21:$CT21))</f>
        <v>6</v>
      </c>
      <c r="U21" s="152">
        <f>IF($B21="","",IFERROR(MATCH($D21,Control!$E$4:$E$30,0)+3,0))</f>
        <v>8</v>
      </c>
      <c r="V21" s="152">
        <f>IF($B21="","",IF(AND(OR('Roadmap (Auto)'!$A$3="",'Roadmap (Auto)'!$A$3="(All)",ISNUMBER(SEARCH('Roadmap (Auto)'!$A$3,$C21&amp;""))),OR('Roadmap (Auto)'!$B$3="",'Roadmap (Auto)'!$B$3="(All)",$D21='Roadmap (Auto)'!$B$3,$X21='Roadmap (Auto)'!$B$3),OR('Roadmap (Auto)'!$C$3="",'Roadmap (Auto)'!$C$3="(All)",$F21='Roadmap (Auto)'!$C$3)),1,0))</f>
        <v>1</v>
      </c>
      <c r="W21" s="152">
        <f t="shared" si="5"/>
        <v>108</v>
      </c>
      <c r="X21" s="152" t="str">
        <f>IF($B21="","",IF(TRIM('UX Weekly'!D21)="","",TRIM('UX Weekly'!D21)))</f>
        <v/>
      </c>
      <c r="Y21" s="152" t="str">
        <f t="shared" si="6"/>
        <v>ADDSHOPBYPOPULARBRANDSSECTIONTOUSEDHOMEPAGE</v>
      </c>
      <c r="AA21">
        <f>IF($B21="",0,COUNTIFS('UX Weekly'!$H$1:$CT$1,"&gt;="&amp;AA$1,'UX Weekly'!$H$1:$CT$1,"&lt;="&amp;EOMONTH(AA$1,0),'UX Weekly'!$H21:$CT21,"&lt;&gt;"))</f>
        <v>0</v>
      </c>
      <c r="AB21">
        <f>IF($B21="",0,COUNTIFS('UX Weekly'!$H$1:$CT$1,"&gt;="&amp;AB$1,'UX Weekly'!$H$1:$CT$1,"&lt;="&amp;EOMONTH(AB$1,0),'UX Weekly'!$H21:$CT21,"&lt;&gt;"))</f>
        <v>0</v>
      </c>
      <c r="AC21">
        <f>IF($B21="",0,COUNTIFS('UX Weekly'!$H$1:$CT$1,"&gt;="&amp;AC$1,'UX Weekly'!$H$1:$CT$1,"&lt;="&amp;EOMONTH(AC$1,0),'UX Weekly'!$H21:$CT21,"&lt;&gt;"))</f>
        <v>0</v>
      </c>
      <c r="AD21">
        <f>IF($B21="",0,COUNTIFS('UX Weekly'!$H$1:$CT$1,"&gt;="&amp;AD$1,'UX Weekly'!$H$1:$CT$1,"&lt;="&amp;EOMONTH(AD$1,0),'UX Weekly'!$H21:$CT21,"&lt;&gt;"))</f>
        <v>0</v>
      </c>
      <c r="AE21">
        <f>IF($B21="",0,COUNTIFS('UX Weekly'!$H$1:$CT$1,"&gt;="&amp;AE$1,'UX Weekly'!$H$1:$CT$1,"&lt;="&amp;EOMONTH(AE$1,0),'UX Weekly'!$H21:$CT21,"&lt;&gt;"))</f>
        <v>0</v>
      </c>
      <c r="AF21">
        <f>IF($B21="",0,COUNTIFS('UX Weekly'!$H$1:$CT$1,"&gt;="&amp;AF$1,'UX Weekly'!$H$1:$CT$1,"&lt;="&amp;EOMONTH(AF$1,0),'UX Weekly'!$H21:$CT21,"&lt;&gt;"))</f>
        <v>0</v>
      </c>
      <c r="AG21">
        <f>IF($B21="",0,COUNTIFS('UX Weekly'!$H$1:$CT$1,"&gt;="&amp;AG$1,'UX Weekly'!$H$1:$CT$1,"&lt;="&amp;EOMONTH(AG$1,0),'UX Weekly'!$H21:$CT21,"&lt;&gt;"))</f>
        <v>2</v>
      </c>
      <c r="AH21">
        <f>IF($B21="",0,COUNTIFS('UX Weekly'!$H$1:$CT$1,"&gt;="&amp;AH$1,'UX Weekly'!$H$1:$CT$1,"&lt;="&amp;EOMONTH(AH$1,0),'UX Weekly'!$H21:$CT21,"&lt;&gt;"))</f>
        <v>4</v>
      </c>
      <c r="AI21">
        <f>IF($B21="",0,COUNTIFS('UX Weekly'!$H$1:$CT$1,"&gt;="&amp;AI$1,'UX Weekly'!$H$1:$CT$1,"&lt;="&amp;EOMONTH(AI$1,0),'UX Weekly'!$H21:$CT21,"&lt;&gt;"))</f>
        <v>0</v>
      </c>
      <c r="AJ21">
        <f>IF($B21="",0,COUNTIFS('UX Weekly'!$H$1:$CT$1,"&gt;="&amp;AJ$1,'UX Weekly'!$H$1:$CT$1,"&lt;="&amp;EOMONTH(AJ$1,0),'UX Weekly'!$H21:$CT21,"&lt;&gt;"))</f>
        <v>0</v>
      </c>
      <c r="AK21">
        <f>IF($B21="",0,COUNTIFS('UX Weekly'!$H$1:$CT$1,"&gt;="&amp;AK$1,'UX Weekly'!$H$1:$CT$1,"&lt;="&amp;EOMONTH(AK$1,0),'UX Weekly'!$H21:$CT21,"&lt;&gt;"))</f>
        <v>0</v>
      </c>
      <c r="AL21">
        <f>IF($B21="",0,COUNTIFS('UX Weekly'!$H$1:$CT$1,"&gt;="&amp;AL$1,'UX Weekly'!$H$1:$CT$1,"&lt;="&amp;EOMONTH(AL$1,0),'UX Weekly'!$H21:$CT21,"&lt;&gt;"))</f>
        <v>0</v>
      </c>
      <c r="AM21">
        <f>IF($B21="",0,COUNTIFS('UX Weekly'!$H$1:$CT$1,"&gt;="&amp;AM$1,'UX Weekly'!$H$1:$CT$1,"&lt;="&amp;EOMONTH(AM$1,0),'UX Weekly'!$H21:$CT21,"&lt;&gt;"))</f>
        <v>0</v>
      </c>
      <c r="AN21">
        <f>IF($B21="",0,COUNTIFS('UX Weekly'!$H$1:$CT$1,"&gt;="&amp;AN$1,'UX Weekly'!$H$1:$CT$1,"&lt;="&amp;EOMONTH(AN$1,0),'UX Weekly'!$H21:$CT21,"&lt;&gt;"))</f>
        <v>0</v>
      </c>
      <c r="AO21">
        <f>IF($B21="",0,COUNTIFS('UX Weekly'!$H$1:$CT$1,"&gt;="&amp;AO$1,'UX Weekly'!$H$1:$CT$1,"&lt;="&amp;EOMONTH(AO$1,0),'UX Weekly'!$H21:$CT21,"&lt;&gt;"))</f>
        <v>0</v>
      </c>
      <c r="AP21">
        <f>IF($B21="",0,COUNTIFS('UX Weekly'!$H$1:$CT$1,"&gt;="&amp;AP$1,'UX Weekly'!$H$1:$CT$1,"&lt;="&amp;EOMONTH(AP$1,0),'UX Weekly'!$H21:$CT21,"&lt;&gt;"))</f>
        <v>0</v>
      </c>
      <c r="AQ21">
        <f>IF($B21="",0,COUNTIFS('UX Weekly'!$H$1:$CT$1,"&gt;="&amp;AQ$1,'UX Weekly'!$H$1:$CT$1,"&lt;="&amp;EOMONTH(AQ$1,0),'UX Weekly'!$H21:$CT21,"&lt;&gt;"))</f>
        <v>0</v>
      </c>
      <c r="AR21">
        <f>IF($B21="",0,COUNTIFS('UX Weekly'!$H$1:$CT$1,"&gt;="&amp;AR$1,'UX Weekly'!$H$1:$CT$1,"&lt;="&amp;EOMONTH(AR$1,0),'UX Weekly'!$H21:$CT21,"&lt;&gt;"))</f>
        <v>0</v>
      </c>
      <c r="AS21">
        <f>IF($B21="",0,COUNTIFS('UX Weekly'!$H$1:$CT$1,"&gt;="&amp;AS$1,'UX Weekly'!$H$1:$CT$1,"&lt;="&amp;EOMONTH(AS$1,0),'UX Weekly'!$H21:$CT21,"&lt;&gt;"))</f>
        <v>0</v>
      </c>
      <c r="AT21">
        <f>IF($B21="",0,COUNTIFS('UX Weekly'!$H$1:$CT$1,"&gt;="&amp;AT$1,'UX Weekly'!$H$1:$CT$1,"&lt;="&amp;EOMONTH(AT$1,0),'UX Weekly'!$H21:$CT21,"&lt;&gt;"))</f>
        <v>0</v>
      </c>
      <c r="AU21">
        <f>IF($B21="",0,COUNTIFS('UX Weekly'!$H$1:$CT$1,"&gt;="&amp;AU$1,'UX Weekly'!$H$1:$CT$1,"&lt;="&amp;EOMONTH(AU$1,0),'UX Weekly'!$H21:$CT21,"&lt;&gt;"))</f>
        <v>0</v>
      </c>
      <c r="AV21">
        <f>IF($B21="",0,COUNTIFS('UX Weekly'!$H$1:$CT$1,"&gt;="&amp;AV$1,'UX Weekly'!$H$1:$CT$1,"&lt;="&amp;EOMONTH(AV$1,0),'UX Weekly'!$H21:$CT21,"&lt;&gt;"))</f>
        <v>0</v>
      </c>
      <c r="AW21">
        <f>IF($B21="",0,COUNTIFS('UX Weekly'!$H$1:$CT$1,"&gt;="&amp;AW$1,'UX Weekly'!$H$1:$CT$1,"&lt;="&amp;EOMONTH(AW$1,0),'UX Weekly'!$H21:$CT21,"&lt;&gt;"))</f>
        <v>0</v>
      </c>
      <c r="AX21">
        <f>IF($B21="",0,COUNTIFS('UX Weekly'!$H$1:$CT$1,"&gt;="&amp;AX$1,'UX Weekly'!$H$1:$CT$1,"&lt;="&amp;EOMONTH(AX$1,0),'UX Weekly'!$H21:$CT21,"&lt;&gt;"))</f>
        <v>0</v>
      </c>
    </row>
    <row r="22" spans="1:50" x14ac:dyDescent="0.2">
      <c r="A22" s="152">
        <v>22</v>
      </c>
      <c r="B22" s="152" t="str">
        <f>IF(TRIM('UX Weekly'!E22)="","",TRIM('UX Weekly'!E22))</f>
        <v>Shop By Popular Brand' Listing Pages Discovery</v>
      </c>
      <c r="C22" s="152" t="str">
        <f>IF($B22="","",'UX Weekly'!B22)</f>
        <v>Used</v>
      </c>
      <c r="D22" s="152" t="str">
        <f>IF($B22="","",IF(TRIM('UX Weekly'!C22)="","(No theme assigned)",TRIM('UX Weekly'!C22)))</f>
        <v>Increase Buy Used Awareness</v>
      </c>
      <c r="E22" s="152" t="str">
        <f>IF($B22="","",TRIM('UX Weekly'!F22))</f>
        <v>BHUX-34845</v>
      </c>
      <c r="F22" s="152" t="str">
        <f>IF($B22="","",'UX Weekly'!G22)</f>
        <v>04. UX Design</v>
      </c>
      <c r="G22" s="153">
        <f t="array" ref="G22">IF($B22="","",IF($T22=0,"",IFERROR(MIN(IF('UX Weekly'!$H22:$CT22&lt;&gt;"",'UX Weekly'!$H$1:$CT$1)),"")))</f>
        <v>46230</v>
      </c>
      <c r="H22" s="153">
        <f t="array" ref="H22">IF($B22="","",IF($T22=0,"",IFERROR(MAX(IF('UX Weekly'!$H22:$CT22&lt;&gt;"",'UX Weekly'!$H$1:$CT$1)),"")))</f>
        <v>46258</v>
      </c>
      <c r="I22" s="154">
        <f t="shared" ca="1" si="0"/>
        <v>46327</v>
      </c>
      <c r="J22" s="154">
        <f t="shared" ca="1" si="1"/>
        <v>46356</v>
      </c>
      <c r="K22" s="152" t="str">
        <f>IF($B22="","",IF(COUNTA('Dev Tracker'!L22)=0,"",TRIM('Dev Tracker'!L22)))</f>
        <v>BHP-6735</v>
      </c>
      <c r="L22" s="152">
        <f>IF($B22="","",IFERROR(MATCH($D22,Control!$E$4:$E$30,0),99))</f>
        <v>5</v>
      </c>
      <c r="M22" s="152">
        <f>IF($B22="","",IFERROR(MATCH($F22,Control!$B$4:$B$30,0),99))</f>
        <v>6</v>
      </c>
      <c r="N22" s="152">
        <f>IF($V22&lt;&gt;1,"",IF('Roadmap (Auto)'!$D$3="Status, then Theme",$M22*1000000+$L22*10000+ROW(),IF('Roadmap (Auto)'!$D$3="Dev start (earliest)",IF($I22="",99999999,$I22)*10000+ROW(),IF('Roadmap (Auto)'!$D$3="UX start (earliest)",IF($G22="",99999999,$G22)*10000+ROW(),IF('Roadmap (Auto)'!$D$3="Deliverable A-Z",$W22*10000+ROW(),$L22*1000000+$M22*10000+ROW())))))</f>
        <v>5060022</v>
      </c>
      <c r="O22" s="152">
        <f t="shared" si="2"/>
        <v>17</v>
      </c>
      <c r="P22" s="152" t="str">
        <f>IF($B22="","",IF(COUNTA('Dev Tracker'!I22)=0,"",'Dev Tracker'!I22))</f>
        <v>Nov 2026</v>
      </c>
      <c r="Q22" s="152" t="str">
        <f>IF($B22="","",IF(COUNTA('Dev Tracker'!J22)=0,"",'Dev Tracker'!J22))</f>
        <v>Nov 2026</v>
      </c>
      <c r="R22" s="154">
        <f t="shared" ca="1" si="3"/>
        <v>46327</v>
      </c>
      <c r="S22" s="154">
        <f t="shared" ca="1" si="4"/>
        <v>46327</v>
      </c>
      <c r="T22" s="152">
        <f>IF($B22="","",COUNTA('UX Weekly'!$H22:$CT22))</f>
        <v>5</v>
      </c>
      <c r="U22" s="152">
        <f>IF($B22="","",IFERROR(MATCH($D22,Control!$E$4:$E$30,0)+3,0))</f>
        <v>8</v>
      </c>
      <c r="V22" s="152">
        <f>IF($B22="","",IF(AND(OR('Roadmap (Auto)'!$A$3="",'Roadmap (Auto)'!$A$3="(All)",ISNUMBER(SEARCH('Roadmap (Auto)'!$A$3,$C22&amp;""))),OR('Roadmap (Auto)'!$B$3="",'Roadmap (Auto)'!$B$3="(All)",$D22='Roadmap (Auto)'!$B$3,$X22='Roadmap (Auto)'!$B$3),OR('Roadmap (Auto)'!$C$3="",'Roadmap (Auto)'!$C$3="(All)",$F22='Roadmap (Auto)'!$C$3)),1,0))</f>
        <v>1</v>
      </c>
      <c r="W22" s="152">
        <f t="shared" si="5"/>
        <v>135</v>
      </c>
      <c r="X22" s="152" t="str">
        <f>IF($B22="","",IF(TRIM('UX Weekly'!D22)="","",TRIM('UX Weekly'!D22)))</f>
        <v/>
      </c>
      <c r="Y22" s="152" t="str">
        <f t="shared" si="6"/>
        <v>SHOPBYPOPULARBRANDLISTINGPAGESDISCOVERY</v>
      </c>
      <c r="AA22">
        <f>IF($B22="",0,COUNTIFS('UX Weekly'!$H$1:$CT$1,"&gt;="&amp;AA$1,'UX Weekly'!$H$1:$CT$1,"&lt;="&amp;EOMONTH(AA$1,0),'UX Weekly'!$H22:$CT22,"&lt;&gt;"))</f>
        <v>0</v>
      </c>
      <c r="AB22">
        <f>IF($B22="",0,COUNTIFS('UX Weekly'!$H$1:$CT$1,"&gt;="&amp;AB$1,'UX Weekly'!$H$1:$CT$1,"&lt;="&amp;EOMONTH(AB$1,0),'UX Weekly'!$H22:$CT22,"&lt;&gt;"))</f>
        <v>0</v>
      </c>
      <c r="AC22">
        <f>IF($B22="",0,COUNTIFS('UX Weekly'!$H$1:$CT$1,"&gt;="&amp;AC$1,'UX Weekly'!$H$1:$CT$1,"&lt;="&amp;EOMONTH(AC$1,0),'UX Weekly'!$H22:$CT22,"&lt;&gt;"))</f>
        <v>0</v>
      </c>
      <c r="AD22">
        <f>IF($B22="",0,COUNTIFS('UX Weekly'!$H$1:$CT$1,"&gt;="&amp;AD$1,'UX Weekly'!$H$1:$CT$1,"&lt;="&amp;EOMONTH(AD$1,0),'UX Weekly'!$H22:$CT22,"&lt;&gt;"))</f>
        <v>0</v>
      </c>
      <c r="AE22">
        <f>IF($B22="",0,COUNTIFS('UX Weekly'!$H$1:$CT$1,"&gt;="&amp;AE$1,'UX Weekly'!$H$1:$CT$1,"&lt;="&amp;EOMONTH(AE$1,0),'UX Weekly'!$H22:$CT22,"&lt;&gt;"))</f>
        <v>0</v>
      </c>
      <c r="AF22">
        <f>IF($B22="",0,COUNTIFS('UX Weekly'!$H$1:$CT$1,"&gt;="&amp;AF$1,'UX Weekly'!$H$1:$CT$1,"&lt;="&amp;EOMONTH(AF$1,0),'UX Weekly'!$H22:$CT22,"&lt;&gt;"))</f>
        <v>0</v>
      </c>
      <c r="AG22">
        <f>IF($B22="",0,COUNTIFS('UX Weekly'!$H$1:$CT$1,"&gt;="&amp;AG$1,'UX Weekly'!$H$1:$CT$1,"&lt;="&amp;EOMONTH(AG$1,0),'UX Weekly'!$H22:$CT22,"&lt;&gt;"))</f>
        <v>1</v>
      </c>
      <c r="AH22">
        <f>IF($B22="",0,COUNTIFS('UX Weekly'!$H$1:$CT$1,"&gt;="&amp;AH$1,'UX Weekly'!$H$1:$CT$1,"&lt;="&amp;EOMONTH(AH$1,0),'UX Weekly'!$H22:$CT22,"&lt;&gt;"))</f>
        <v>4</v>
      </c>
      <c r="AI22">
        <f>IF($B22="",0,COUNTIFS('UX Weekly'!$H$1:$CT$1,"&gt;="&amp;AI$1,'UX Weekly'!$H$1:$CT$1,"&lt;="&amp;EOMONTH(AI$1,0),'UX Weekly'!$H22:$CT22,"&lt;&gt;"))</f>
        <v>0</v>
      </c>
      <c r="AJ22">
        <f>IF($B22="",0,COUNTIFS('UX Weekly'!$H$1:$CT$1,"&gt;="&amp;AJ$1,'UX Weekly'!$H$1:$CT$1,"&lt;="&amp;EOMONTH(AJ$1,0),'UX Weekly'!$H22:$CT22,"&lt;&gt;"))</f>
        <v>0</v>
      </c>
      <c r="AK22">
        <f>IF($B22="",0,COUNTIFS('UX Weekly'!$H$1:$CT$1,"&gt;="&amp;AK$1,'UX Weekly'!$H$1:$CT$1,"&lt;="&amp;EOMONTH(AK$1,0),'UX Weekly'!$H22:$CT22,"&lt;&gt;"))</f>
        <v>0</v>
      </c>
      <c r="AL22">
        <f>IF($B22="",0,COUNTIFS('UX Weekly'!$H$1:$CT$1,"&gt;="&amp;AL$1,'UX Weekly'!$H$1:$CT$1,"&lt;="&amp;EOMONTH(AL$1,0),'UX Weekly'!$H22:$CT22,"&lt;&gt;"))</f>
        <v>0</v>
      </c>
      <c r="AM22">
        <f>IF($B22="",0,COUNTIFS('UX Weekly'!$H$1:$CT$1,"&gt;="&amp;AM$1,'UX Weekly'!$H$1:$CT$1,"&lt;="&amp;EOMONTH(AM$1,0),'UX Weekly'!$H22:$CT22,"&lt;&gt;"))</f>
        <v>0</v>
      </c>
      <c r="AN22">
        <f>IF($B22="",0,COUNTIFS('UX Weekly'!$H$1:$CT$1,"&gt;="&amp;AN$1,'UX Weekly'!$H$1:$CT$1,"&lt;="&amp;EOMONTH(AN$1,0),'UX Weekly'!$H22:$CT22,"&lt;&gt;"))</f>
        <v>0</v>
      </c>
      <c r="AO22">
        <f>IF($B22="",0,COUNTIFS('UX Weekly'!$H$1:$CT$1,"&gt;="&amp;AO$1,'UX Weekly'!$H$1:$CT$1,"&lt;="&amp;EOMONTH(AO$1,0),'UX Weekly'!$H22:$CT22,"&lt;&gt;"))</f>
        <v>0</v>
      </c>
      <c r="AP22">
        <f>IF($B22="",0,COUNTIFS('UX Weekly'!$H$1:$CT$1,"&gt;="&amp;AP$1,'UX Weekly'!$H$1:$CT$1,"&lt;="&amp;EOMONTH(AP$1,0),'UX Weekly'!$H22:$CT22,"&lt;&gt;"))</f>
        <v>0</v>
      </c>
      <c r="AQ22">
        <f>IF($B22="",0,COUNTIFS('UX Weekly'!$H$1:$CT$1,"&gt;="&amp;AQ$1,'UX Weekly'!$H$1:$CT$1,"&lt;="&amp;EOMONTH(AQ$1,0),'UX Weekly'!$H22:$CT22,"&lt;&gt;"))</f>
        <v>0</v>
      </c>
      <c r="AR22">
        <f>IF($B22="",0,COUNTIFS('UX Weekly'!$H$1:$CT$1,"&gt;="&amp;AR$1,'UX Weekly'!$H$1:$CT$1,"&lt;="&amp;EOMONTH(AR$1,0),'UX Weekly'!$H22:$CT22,"&lt;&gt;"))</f>
        <v>0</v>
      </c>
      <c r="AS22">
        <f>IF($B22="",0,COUNTIFS('UX Weekly'!$H$1:$CT$1,"&gt;="&amp;AS$1,'UX Weekly'!$H$1:$CT$1,"&lt;="&amp;EOMONTH(AS$1,0),'UX Weekly'!$H22:$CT22,"&lt;&gt;"))</f>
        <v>0</v>
      </c>
      <c r="AT22">
        <f>IF($B22="",0,COUNTIFS('UX Weekly'!$H$1:$CT$1,"&gt;="&amp;AT$1,'UX Weekly'!$H$1:$CT$1,"&lt;="&amp;EOMONTH(AT$1,0),'UX Weekly'!$H22:$CT22,"&lt;&gt;"))</f>
        <v>0</v>
      </c>
      <c r="AU22">
        <f>IF($B22="",0,COUNTIFS('UX Weekly'!$H$1:$CT$1,"&gt;="&amp;AU$1,'UX Weekly'!$H$1:$CT$1,"&lt;="&amp;EOMONTH(AU$1,0),'UX Weekly'!$H22:$CT22,"&lt;&gt;"))</f>
        <v>0</v>
      </c>
      <c r="AV22">
        <f>IF($B22="",0,COUNTIFS('UX Weekly'!$H$1:$CT$1,"&gt;="&amp;AV$1,'UX Weekly'!$H$1:$CT$1,"&lt;="&amp;EOMONTH(AV$1,0),'UX Weekly'!$H22:$CT22,"&lt;&gt;"))</f>
        <v>0</v>
      </c>
      <c r="AW22">
        <f>IF($B22="",0,COUNTIFS('UX Weekly'!$H$1:$CT$1,"&gt;="&amp;AW$1,'UX Weekly'!$H$1:$CT$1,"&lt;="&amp;EOMONTH(AW$1,0),'UX Weekly'!$H22:$CT22,"&lt;&gt;"))</f>
        <v>0</v>
      </c>
      <c r="AX22">
        <f>IF($B22="",0,COUNTIFS('UX Weekly'!$H$1:$CT$1,"&gt;="&amp;AX$1,'UX Weekly'!$H$1:$CT$1,"&lt;="&amp;EOMONTH(AX$1,0),'UX Weekly'!$H22:$CT22,"&lt;&gt;"))</f>
        <v>0</v>
      </c>
    </row>
    <row r="23" spans="1:50" x14ac:dyDescent="0.2">
      <c r="A23" s="152">
        <v>23</v>
      </c>
      <c r="B23" s="152" t="str">
        <f>IF(TRIM('UX Weekly'!E23)="","",TRIM('UX Weekly'!E23))</f>
        <v>My Account &gt; Trade In Awareness</v>
      </c>
      <c r="C23" s="152" t="str">
        <f>IF($B23="","",'UX Weekly'!B23)</f>
        <v>Used</v>
      </c>
      <c r="D23" s="152" t="str">
        <f>IF($B23="","",IF(TRIM('UX Weekly'!C23)="","(No theme assigned)",TRIM('UX Weekly'!C23)))</f>
        <v>Increase Buy Used Awareness</v>
      </c>
      <c r="E23" s="152" t="str">
        <f>IF($B23="","",TRIM('UX Weekly'!F23))</f>
        <v>BHUX-35010</v>
      </c>
      <c r="F23" s="152" t="str">
        <f>IF($B23="","",'UX Weekly'!G23)</f>
        <v>04. UX Design</v>
      </c>
      <c r="G23" s="153">
        <f t="array" ref="G23">IF($B23="","",IF($T23=0,"",IFERROR(MIN(IF('UX Weekly'!$H23:$CT23&lt;&gt;"",'UX Weekly'!$H$1:$CT$1)),"")))</f>
        <v>46244</v>
      </c>
      <c r="H23" s="153">
        <f t="array" ref="H23">IF($B23="","",IF($T23=0,"",IFERROR(MAX(IF('UX Weekly'!$H23:$CT23&lt;&gt;"",'UX Weekly'!$H$1:$CT$1)),"")))</f>
        <v>46258</v>
      </c>
      <c r="I23" s="154">
        <f t="shared" ca="1" si="0"/>
        <v>46357</v>
      </c>
      <c r="J23" s="154">
        <f t="shared" ca="1" si="1"/>
        <v>46387</v>
      </c>
      <c r="K23" s="152" t="str">
        <f>IF($B23="","",IF(COUNTA('Dev Tracker'!L23)=0,"",TRIM('Dev Tracker'!L23)))</f>
        <v>BHP-7196</v>
      </c>
      <c r="L23" s="152">
        <f>IF($B23="","",IFERROR(MATCH($D23,Control!$E$4:$E$30,0),99))</f>
        <v>5</v>
      </c>
      <c r="M23" s="152">
        <f>IF($B23="","",IFERROR(MATCH($F23,Control!$B$4:$B$30,0),99))</f>
        <v>6</v>
      </c>
      <c r="N23" s="152">
        <f>IF($V23&lt;&gt;1,"",IF('Roadmap (Auto)'!$D$3="Status, then Theme",$M23*1000000+$L23*10000+ROW(),IF('Roadmap (Auto)'!$D$3="Dev start (earliest)",IF($I23="",99999999,$I23)*10000+ROW(),IF('Roadmap (Auto)'!$D$3="UX start (earliest)",IF($G23="",99999999,$G23)*10000+ROW(),IF('Roadmap (Auto)'!$D$3="Deliverable A-Z",$W23*10000+ROW(),$L23*1000000+$M23*10000+ROW())))))</f>
        <v>5060023</v>
      </c>
      <c r="O23" s="152">
        <f t="shared" si="2"/>
        <v>18</v>
      </c>
      <c r="P23" s="152" t="str">
        <f>IF($B23="","",IF(COUNTA('Dev Tracker'!I23)=0,"",'Dev Tracker'!I23))</f>
        <v>Dec 2026</v>
      </c>
      <c r="Q23" s="152" t="str">
        <f>IF($B23="","",IF(COUNTA('Dev Tracker'!J23)=0,"",'Dev Tracker'!J23))</f>
        <v>Dec 2026</v>
      </c>
      <c r="R23" s="154">
        <f t="shared" ca="1" si="3"/>
        <v>46357</v>
      </c>
      <c r="S23" s="154">
        <f t="shared" ca="1" si="4"/>
        <v>46357</v>
      </c>
      <c r="T23" s="152">
        <f>IF($B23="","",COUNTA('UX Weekly'!$H23:$CT23))</f>
        <v>3</v>
      </c>
      <c r="U23" s="152">
        <f>IF($B23="","",IFERROR(MATCH($D23,Control!$E$4:$E$30,0)+3,0))</f>
        <v>8</v>
      </c>
      <c r="V23" s="152">
        <f>IF($B23="","",IF(AND(OR('Roadmap (Auto)'!$A$3="",'Roadmap (Auto)'!$A$3="(All)",ISNUMBER(SEARCH('Roadmap (Auto)'!$A$3,$C23&amp;""))),OR('Roadmap (Auto)'!$B$3="",'Roadmap (Auto)'!$B$3="(All)",$D23='Roadmap (Auto)'!$B$3,$X23='Roadmap (Auto)'!$B$3),OR('Roadmap (Auto)'!$C$3="",'Roadmap (Auto)'!$C$3="(All)",$F23='Roadmap (Auto)'!$C$3)),1,0))</f>
        <v>1</v>
      </c>
      <c r="W23" s="152">
        <f t="shared" si="5"/>
        <v>124</v>
      </c>
      <c r="X23" s="152" t="str">
        <f>IF($B23="","",IF(TRIM('UX Weekly'!D23)="","",TRIM('UX Weekly'!D23)))</f>
        <v/>
      </c>
      <c r="Y23" s="152" t="str">
        <f t="shared" si="6"/>
        <v>MYACCOUNTTRADEINAWARENESS</v>
      </c>
      <c r="AA23">
        <f>IF($B23="",0,COUNTIFS('UX Weekly'!$H$1:$CT$1,"&gt;="&amp;AA$1,'UX Weekly'!$H$1:$CT$1,"&lt;="&amp;EOMONTH(AA$1,0),'UX Weekly'!$H23:$CT23,"&lt;&gt;"))</f>
        <v>0</v>
      </c>
      <c r="AB23">
        <f>IF($B23="",0,COUNTIFS('UX Weekly'!$H$1:$CT$1,"&gt;="&amp;AB$1,'UX Weekly'!$H$1:$CT$1,"&lt;="&amp;EOMONTH(AB$1,0),'UX Weekly'!$H23:$CT23,"&lt;&gt;"))</f>
        <v>0</v>
      </c>
      <c r="AC23">
        <f>IF($B23="",0,COUNTIFS('UX Weekly'!$H$1:$CT$1,"&gt;="&amp;AC$1,'UX Weekly'!$H$1:$CT$1,"&lt;="&amp;EOMONTH(AC$1,0),'UX Weekly'!$H23:$CT23,"&lt;&gt;"))</f>
        <v>0</v>
      </c>
      <c r="AD23">
        <f>IF($B23="",0,COUNTIFS('UX Weekly'!$H$1:$CT$1,"&gt;="&amp;AD$1,'UX Weekly'!$H$1:$CT$1,"&lt;="&amp;EOMONTH(AD$1,0),'UX Weekly'!$H23:$CT23,"&lt;&gt;"))</f>
        <v>0</v>
      </c>
      <c r="AE23">
        <f>IF($B23="",0,COUNTIFS('UX Weekly'!$H$1:$CT$1,"&gt;="&amp;AE$1,'UX Weekly'!$H$1:$CT$1,"&lt;="&amp;EOMONTH(AE$1,0),'UX Weekly'!$H23:$CT23,"&lt;&gt;"))</f>
        <v>0</v>
      </c>
      <c r="AF23">
        <f>IF($B23="",0,COUNTIFS('UX Weekly'!$H$1:$CT$1,"&gt;="&amp;AF$1,'UX Weekly'!$H$1:$CT$1,"&lt;="&amp;EOMONTH(AF$1,0),'UX Weekly'!$H23:$CT23,"&lt;&gt;"))</f>
        <v>0</v>
      </c>
      <c r="AG23">
        <f>IF($B23="",0,COUNTIFS('UX Weekly'!$H$1:$CT$1,"&gt;="&amp;AG$1,'UX Weekly'!$H$1:$CT$1,"&lt;="&amp;EOMONTH(AG$1,0),'UX Weekly'!$H23:$CT23,"&lt;&gt;"))</f>
        <v>0</v>
      </c>
      <c r="AH23">
        <f>IF($B23="",0,COUNTIFS('UX Weekly'!$H$1:$CT$1,"&gt;="&amp;AH$1,'UX Weekly'!$H$1:$CT$1,"&lt;="&amp;EOMONTH(AH$1,0),'UX Weekly'!$H23:$CT23,"&lt;&gt;"))</f>
        <v>3</v>
      </c>
      <c r="AI23">
        <f>IF($B23="",0,COUNTIFS('UX Weekly'!$H$1:$CT$1,"&gt;="&amp;AI$1,'UX Weekly'!$H$1:$CT$1,"&lt;="&amp;EOMONTH(AI$1,0),'UX Weekly'!$H23:$CT23,"&lt;&gt;"))</f>
        <v>0</v>
      </c>
      <c r="AJ23">
        <f>IF($B23="",0,COUNTIFS('UX Weekly'!$H$1:$CT$1,"&gt;="&amp;AJ$1,'UX Weekly'!$H$1:$CT$1,"&lt;="&amp;EOMONTH(AJ$1,0),'UX Weekly'!$H23:$CT23,"&lt;&gt;"))</f>
        <v>0</v>
      </c>
      <c r="AK23">
        <f>IF($B23="",0,COUNTIFS('UX Weekly'!$H$1:$CT$1,"&gt;="&amp;AK$1,'UX Weekly'!$H$1:$CT$1,"&lt;="&amp;EOMONTH(AK$1,0),'UX Weekly'!$H23:$CT23,"&lt;&gt;"))</f>
        <v>0</v>
      </c>
      <c r="AL23">
        <f>IF($B23="",0,COUNTIFS('UX Weekly'!$H$1:$CT$1,"&gt;="&amp;AL$1,'UX Weekly'!$H$1:$CT$1,"&lt;="&amp;EOMONTH(AL$1,0),'UX Weekly'!$H23:$CT23,"&lt;&gt;"))</f>
        <v>0</v>
      </c>
      <c r="AM23">
        <f>IF($B23="",0,COUNTIFS('UX Weekly'!$H$1:$CT$1,"&gt;="&amp;AM$1,'UX Weekly'!$H$1:$CT$1,"&lt;="&amp;EOMONTH(AM$1,0),'UX Weekly'!$H23:$CT23,"&lt;&gt;"))</f>
        <v>0</v>
      </c>
      <c r="AN23">
        <f>IF($B23="",0,COUNTIFS('UX Weekly'!$H$1:$CT$1,"&gt;="&amp;AN$1,'UX Weekly'!$H$1:$CT$1,"&lt;="&amp;EOMONTH(AN$1,0),'UX Weekly'!$H23:$CT23,"&lt;&gt;"))</f>
        <v>0</v>
      </c>
      <c r="AO23">
        <f>IF($B23="",0,COUNTIFS('UX Weekly'!$H$1:$CT$1,"&gt;="&amp;AO$1,'UX Weekly'!$H$1:$CT$1,"&lt;="&amp;EOMONTH(AO$1,0),'UX Weekly'!$H23:$CT23,"&lt;&gt;"))</f>
        <v>0</v>
      </c>
      <c r="AP23">
        <f>IF($B23="",0,COUNTIFS('UX Weekly'!$H$1:$CT$1,"&gt;="&amp;AP$1,'UX Weekly'!$H$1:$CT$1,"&lt;="&amp;EOMONTH(AP$1,0),'UX Weekly'!$H23:$CT23,"&lt;&gt;"))</f>
        <v>0</v>
      </c>
      <c r="AQ23">
        <f>IF($B23="",0,COUNTIFS('UX Weekly'!$H$1:$CT$1,"&gt;="&amp;AQ$1,'UX Weekly'!$H$1:$CT$1,"&lt;="&amp;EOMONTH(AQ$1,0),'UX Weekly'!$H23:$CT23,"&lt;&gt;"))</f>
        <v>0</v>
      </c>
      <c r="AR23">
        <f>IF($B23="",0,COUNTIFS('UX Weekly'!$H$1:$CT$1,"&gt;="&amp;AR$1,'UX Weekly'!$H$1:$CT$1,"&lt;="&amp;EOMONTH(AR$1,0),'UX Weekly'!$H23:$CT23,"&lt;&gt;"))</f>
        <v>0</v>
      </c>
      <c r="AS23">
        <f>IF($B23="",0,COUNTIFS('UX Weekly'!$H$1:$CT$1,"&gt;="&amp;AS$1,'UX Weekly'!$H$1:$CT$1,"&lt;="&amp;EOMONTH(AS$1,0),'UX Weekly'!$H23:$CT23,"&lt;&gt;"))</f>
        <v>0</v>
      </c>
      <c r="AT23">
        <f>IF($B23="",0,COUNTIFS('UX Weekly'!$H$1:$CT$1,"&gt;="&amp;AT$1,'UX Weekly'!$H$1:$CT$1,"&lt;="&amp;EOMONTH(AT$1,0),'UX Weekly'!$H23:$CT23,"&lt;&gt;"))</f>
        <v>0</v>
      </c>
      <c r="AU23">
        <f>IF($B23="",0,COUNTIFS('UX Weekly'!$H$1:$CT$1,"&gt;="&amp;AU$1,'UX Weekly'!$H$1:$CT$1,"&lt;="&amp;EOMONTH(AU$1,0),'UX Weekly'!$H23:$CT23,"&lt;&gt;"))</f>
        <v>0</v>
      </c>
      <c r="AV23">
        <f>IF($B23="",0,COUNTIFS('UX Weekly'!$H$1:$CT$1,"&gt;="&amp;AV$1,'UX Weekly'!$H$1:$CT$1,"&lt;="&amp;EOMONTH(AV$1,0),'UX Weekly'!$H23:$CT23,"&lt;&gt;"))</f>
        <v>0</v>
      </c>
      <c r="AW23">
        <f>IF($B23="",0,COUNTIFS('UX Weekly'!$H$1:$CT$1,"&gt;="&amp;AW$1,'UX Weekly'!$H$1:$CT$1,"&lt;="&amp;EOMONTH(AW$1,0),'UX Weekly'!$H23:$CT23,"&lt;&gt;"))</f>
        <v>0</v>
      </c>
      <c r="AX23">
        <f>IF($B23="",0,COUNTIFS('UX Weekly'!$H$1:$CT$1,"&gt;="&amp;AX$1,'UX Weekly'!$H$1:$CT$1,"&lt;="&amp;EOMONTH(AX$1,0),'UX Weekly'!$H23:$CT23,"&lt;&gt;"))</f>
        <v>0</v>
      </c>
    </row>
    <row r="24" spans="1:50" x14ac:dyDescent="0.2">
      <c r="A24" s="152">
        <v>24</v>
      </c>
      <c r="B24" s="152" t="str">
        <f>IF(TRIM('UX Weekly'!E24)="","",TRIM('UX Weekly'!E24))</f>
        <v>B2B &amp; Used Visibility in the Nav</v>
      </c>
      <c r="C24" s="152" t="str">
        <f>IF($B24="","",'UX Weekly'!B24)</f>
        <v>B2B/Used</v>
      </c>
      <c r="D24" s="152" t="str">
        <f>IF($B24="","",IF(TRIM('UX Weekly'!C24)="","(No theme assigned)",TRIM('UX Weekly'!C24)))</f>
        <v>Increase Trade In Awareness</v>
      </c>
      <c r="E24" s="152" t="str">
        <f>IF($B24="","",TRIM('UX Weekly'!F24))</f>
        <v>BHUX-34378</v>
      </c>
      <c r="F24" s="152" t="str">
        <f>IF($B24="","",'UX Weekly'!G24)</f>
        <v>04. UX Design</v>
      </c>
      <c r="G24" s="153">
        <f t="array" ref="G24">IF($B24="","",IF($T24=0,"",IFERROR(MIN(IF('UX Weekly'!$H24:$CT24&lt;&gt;"",'UX Weekly'!$H$1:$CT$1)),"")))</f>
        <v>46174</v>
      </c>
      <c r="H24" s="153">
        <f t="array" ref="H24">IF($B24="","",IF($T24=0,"",IFERROR(MAX(IF('UX Weekly'!$H24:$CT24&lt;&gt;"",'UX Weekly'!$H$1:$CT$1)),"")))</f>
        <v>46293</v>
      </c>
      <c r="I24" s="154">
        <f t="shared" ca="1" si="0"/>
        <v>46419</v>
      </c>
      <c r="J24" s="154">
        <f t="shared" ca="1" si="1"/>
        <v>46446</v>
      </c>
      <c r="K24" s="152" t="str">
        <f>IF($B24="","",IF(COUNTA('Dev Tracker'!L24)=0,"",TRIM('Dev Tracker'!L24)))</f>
        <v>BHP-6900</v>
      </c>
      <c r="L24" s="152">
        <f>IF($B24="","",IFERROR(MATCH($D24,Control!$E$4:$E$30,0),99))</f>
        <v>2</v>
      </c>
      <c r="M24" s="152">
        <f>IF($B24="","",IFERROR(MATCH($F24,Control!$B$4:$B$30,0),99))</f>
        <v>6</v>
      </c>
      <c r="N24" s="152">
        <f>IF($V24&lt;&gt;1,"",IF('Roadmap (Auto)'!$D$3="Status, then Theme",$M24*1000000+$L24*10000+ROW(),IF('Roadmap (Auto)'!$D$3="Dev start (earliest)",IF($I24="",99999999,$I24)*10000+ROW(),IF('Roadmap (Auto)'!$D$3="UX start (earliest)",IF($G24="",99999999,$G24)*10000+ROW(),IF('Roadmap (Auto)'!$D$3="Deliverable A-Z",$W24*10000+ROW(),$L24*1000000+$M24*10000+ROW())))))</f>
        <v>2060024</v>
      </c>
      <c r="O24" s="152">
        <f t="shared" si="2"/>
        <v>4</v>
      </c>
      <c r="P24" s="152" t="str">
        <f>IF($B24="","",IF(COUNTA('Dev Tracker'!I24)=0,"",'Dev Tracker'!I24))</f>
        <v>Feb 2027</v>
      </c>
      <c r="Q24" s="152" t="str">
        <f>IF($B24="","",IF(COUNTA('Dev Tracker'!J24)=0,"",'Dev Tracker'!J24))</f>
        <v>Feb 2027</v>
      </c>
      <c r="R24" s="154">
        <f t="shared" ca="1" si="3"/>
        <v>46419</v>
      </c>
      <c r="S24" s="154">
        <f t="shared" ca="1" si="4"/>
        <v>46419</v>
      </c>
      <c r="T24" s="152">
        <f>IF($B24="","",COUNTA('UX Weekly'!$H24:$CT24))</f>
        <v>18</v>
      </c>
      <c r="U24" s="152">
        <f>IF($B24="","",IFERROR(MATCH($D24,Control!$E$4:$E$30,0)+3,0))</f>
        <v>5</v>
      </c>
      <c r="V24" s="152">
        <f>IF($B24="","",IF(AND(OR('Roadmap (Auto)'!$A$3="",'Roadmap (Auto)'!$A$3="(All)",ISNUMBER(SEARCH('Roadmap (Auto)'!$A$3,$C24&amp;""))),OR('Roadmap (Auto)'!$B$3="",'Roadmap (Auto)'!$B$3="(All)",$D24='Roadmap (Auto)'!$B$3,$X24='Roadmap (Auto)'!$B$3),OR('Roadmap (Auto)'!$C$3="",'Roadmap (Auto)'!$C$3="(All)",$F24='Roadmap (Auto)'!$C$3)),1,0))</f>
        <v>1</v>
      </c>
      <c r="W24" s="152">
        <f t="shared" si="5"/>
        <v>114</v>
      </c>
      <c r="X24" s="152" t="str">
        <f>IF($B24="","",IF(TRIM('UX Weekly'!D24)="","",TRIM('UX Weekly'!D24)))</f>
        <v>Increase B2B Acquisition</v>
      </c>
      <c r="Y24" s="152" t="str">
        <f t="shared" si="6"/>
        <v>B2BUSEDVISIBILITYINTHENAV</v>
      </c>
      <c r="AA24">
        <f>IF($B24="",0,COUNTIFS('UX Weekly'!$H$1:$CT$1,"&gt;="&amp;AA$1,'UX Weekly'!$H$1:$CT$1,"&lt;="&amp;EOMONTH(AA$1,0),'UX Weekly'!$H24:$CT24,"&lt;&gt;"))</f>
        <v>0</v>
      </c>
      <c r="AB24">
        <f>IF($B24="",0,COUNTIFS('UX Weekly'!$H$1:$CT$1,"&gt;="&amp;AB$1,'UX Weekly'!$H$1:$CT$1,"&lt;="&amp;EOMONTH(AB$1,0),'UX Weekly'!$H24:$CT24,"&lt;&gt;"))</f>
        <v>0</v>
      </c>
      <c r="AC24">
        <f>IF($B24="",0,COUNTIFS('UX Weekly'!$H$1:$CT$1,"&gt;="&amp;AC$1,'UX Weekly'!$H$1:$CT$1,"&lt;="&amp;EOMONTH(AC$1,0),'UX Weekly'!$H24:$CT24,"&lt;&gt;"))</f>
        <v>0</v>
      </c>
      <c r="AD24">
        <f>IF($B24="",0,COUNTIFS('UX Weekly'!$H$1:$CT$1,"&gt;="&amp;AD$1,'UX Weekly'!$H$1:$CT$1,"&lt;="&amp;EOMONTH(AD$1,0),'UX Weekly'!$H24:$CT24,"&lt;&gt;"))</f>
        <v>0</v>
      </c>
      <c r="AE24">
        <f>IF($B24="",0,COUNTIFS('UX Weekly'!$H$1:$CT$1,"&gt;="&amp;AE$1,'UX Weekly'!$H$1:$CT$1,"&lt;="&amp;EOMONTH(AE$1,0),'UX Weekly'!$H24:$CT24,"&lt;&gt;"))</f>
        <v>0</v>
      </c>
      <c r="AF24">
        <f>IF($B24="",0,COUNTIFS('UX Weekly'!$H$1:$CT$1,"&gt;="&amp;AF$1,'UX Weekly'!$H$1:$CT$1,"&lt;="&amp;EOMONTH(AF$1,0),'UX Weekly'!$H24:$CT24,"&lt;&gt;"))</f>
        <v>5</v>
      </c>
      <c r="AG24">
        <f>IF($B24="",0,COUNTIFS('UX Weekly'!$H$1:$CT$1,"&gt;="&amp;AG$1,'UX Weekly'!$H$1:$CT$1,"&lt;="&amp;EOMONTH(AG$1,0),'UX Weekly'!$H24:$CT24,"&lt;&gt;"))</f>
        <v>4</v>
      </c>
      <c r="AH24">
        <f>IF($B24="",0,COUNTIFS('UX Weekly'!$H$1:$CT$1,"&gt;="&amp;AH$1,'UX Weekly'!$H$1:$CT$1,"&lt;="&amp;EOMONTH(AH$1,0),'UX Weekly'!$H24:$CT24,"&lt;&gt;"))</f>
        <v>5</v>
      </c>
      <c r="AI24">
        <f>IF($B24="",0,COUNTIFS('UX Weekly'!$H$1:$CT$1,"&gt;="&amp;AI$1,'UX Weekly'!$H$1:$CT$1,"&lt;="&amp;EOMONTH(AI$1,0),'UX Weekly'!$H24:$CT24,"&lt;&gt;"))</f>
        <v>4</v>
      </c>
      <c r="AJ24">
        <f>IF($B24="",0,COUNTIFS('UX Weekly'!$H$1:$CT$1,"&gt;="&amp;AJ$1,'UX Weekly'!$H$1:$CT$1,"&lt;="&amp;EOMONTH(AJ$1,0),'UX Weekly'!$H24:$CT24,"&lt;&gt;"))</f>
        <v>0</v>
      </c>
      <c r="AK24">
        <f>IF($B24="",0,COUNTIFS('UX Weekly'!$H$1:$CT$1,"&gt;="&amp;AK$1,'UX Weekly'!$H$1:$CT$1,"&lt;="&amp;EOMONTH(AK$1,0),'UX Weekly'!$H24:$CT24,"&lt;&gt;"))</f>
        <v>0</v>
      </c>
      <c r="AL24">
        <f>IF($B24="",0,COUNTIFS('UX Weekly'!$H$1:$CT$1,"&gt;="&amp;AL$1,'UX Weekly'!$H$1:$CT$1,"&lt;="&amp;EOMONTH(AL$1,0),'UX Weekly'!$H24:$CT24,"&lt;&gt;"))</f>
        <v>0</v>
      </c>
      <c r="AM24">
        <f>IF($B24="",0,COUNTIFS('UX Weekly'!$H$1:$CT$1,"&gt;="&amp;AM$1,'UX Weekly'!$H$1:$CT$1,"&lt;="&amp;EOMONTH(AM$1,0),'UX Weekly'!$H24:$CT24,"&lt;&gt;"))</f>
        <v>0</v>
      </c>
      <c r="AN24">
        <f>IF($B24="",0,COUNTIFS('UX Weekly'!$H$1:$CT$1,"&gt;="&amp;AN$1,'UX Weekly'!$H$1:$CT$1,"&lt;="&amp;EOMONTH(AN$1,0),'UX Weekly'!$H24:$CT24,"&lt;&gt;"))</f>
        <v>0</v>
      </c>
      <c r="AO24">
        <f>IF($B24="",0,COUNTIFS('UX Weekly'!$H$1:$CT$1,"&gt;="&amp;AO$1,'UX Weekly'!$H$1:$CT$1,"&lt;="&amp;EOMONTH(AO$1,0),'UX Weekly'!$H24:$CT24,"&lt;&gt;"))</f>
        <v>0</v>
      </c>
      <c r="AP24">
        <f>IF($B24="",0,COUNTIFS('UX Weekly'!$H$1:$CT$1,"&gt;="&amp;AP$1,'UX Weekly'!$H$1:$CT$1,"&lt;="&amp;EOMONTH(AP$1,0),'UX Weekly'!$H24:$CT24,"&lt;&gt;"))</f>
        <v>0</v>
      </c>
      <c r="AQ24">
        <f>IF($B24="",0,COUNTIFS('UX Weekly'!$H$1:$CT$1,"&gt;="&amp;AQ$1,'UX Weekly'!$H$1:$CT$1,"&lt;="&amp;EOMONTH(AQ$1,0),'UX Weekly'!$H24:$CT24,"&lt;&gt;"))</f>
        <v>0</v>
      </c>
      <c r="AR24">
        <f>IF($B24="",0,COUNTIFS('UX Weekly'!$H$1:$CT$1,"&gt;="&amp;AR$1,'UX Weekly'!$H$1:$CT$1,"&lt;="&amp;EOMONTH(AR$1,0),'UX Weekly'!$H24:$CT24,"&lt;&gt;"))</f>
        <v>0</v>
      </c>
      <c r="AS24">
        <f>IF($B24="",0,COUNTIFS('UX Weekly'!$H$1:$CT$1,"&gt;="&amp;AS$1,'UX Weekly'!$H$1:$CT$1,"&lt;="&amp;EOMONTH(AS$1,0),'UX Weekly'!$H24:$CT24,"&lt;&gt;"))</f>
        <v>0</v>
      </c>
      <c r="AT24">
        <f>IF($B24="",0,COUNTIFS('UX Weekly'!$H$1:$CT$1,"&gt;="&amp;AT$1,'UX Weekly'!$H$1:$CT$1,"&lt;="&amp;EOMONTH(AT$1,0),'UX Weekly'!$H24:$CT24,"&lt;&gt;"))</f>
        <v>0</v>
      </c>
      <c r="AU24">
        <f>IF($B24="",0,COUNTIFS('UX Weekly'!$H$1:$CT$1,"&gt;="&amp;AU$1,'UX Weekly'!$H$1:$CT$1,"&lt;="&amp;EOMONTH(AU$1,0),'UX Weekly'!$H24:$CT24,"&lt;&gt;"))</f>
        <v>0</v>
      </c>
      <c r="AV24">
        <f>IF($B24="",0,COUNTIFS('UX Weekly'!$H$1:$CT$1,"&gt;="&amp;AV$1,'UX Weekly'!$H$1:$CT$1,"&lt;="&amp;EOMONTH(AV$1,0),'UX Weekly'!$H24:$CT24,"&lt;&gt;"))</f>
        <v>0</v>
      </c>
      <c r="AW24">
        <f>IF($B24="",0,COUNTIFS('UX Weekly'!$H$1:$CT$1,"&gt;="&amp;AW$1,'UX Weekly'!$H$1:$CT$1,"&lt;="&amp;EOMONTH(AW$1,0),'UX Weekly'!$H24:$CT24,"&lt;&gt;"))</f>
        <v>0</v>
      </c>
      <c r="AX24">
        <f>IF($B24="",0,COUNTIFS('UX Weekly'!$H$1:$CT$1,"&gt;="&amp;AX$1,'UX Weekly'!$H$1:$CT$1,"&lt;="&amp;EOMONTH(AX$1,0),'UX Weekly'!$H24:$CT24,"&lt;&gt;"))</f>
        <v>0</v>
      </c>
    </row>
    <row r="25" spans="1:50" x14ac:dyDescent="0.2">
      <c r="A25" s="152">
        <v>25</v>
      </c>
      <c r="B25" s="152" t="str">
        <f>IF(TRIM('UX Weekly'!E25)="","",TRIM('UX Weekly'!E25))</f>
        <v>Sell Used User Flow Design Validation</v>
      </c>
      <c r="C25" s="152" t="str">
        <f>IF($B25="","",'UX Weekly'!B25)</f>
        <v>Used</v>
      </c>
      <c r="D25" s="152" t="str">
        <f>IF($B25="","",IF(TRIM('UX Weekly'!C25)="","(No theme assigned)",TRIM('UX Weekly'!C25)))</f>
        <v>Improve Trade In User Flow</v>
      </c>
      <c r="E25" s="152" t="str">
        <f>IF($B25="","",TRIM('UX Weekly'!F25))</f>
        <v>BHUR-133</v>
      </c>
      <c r="F25" s="152" t="str">
        <f>IF($B25="","",'UX Weekly'!G25)</f>
        <v>04A. Research - Design Validation</v>
      </c>
      <c r="G25" s="153">
        <f t="array" ref="G25">IF($B25="","",IF($T25=0,"",IFERROR(MIN(IF('UX Weekly'!$H25:$CT25&lt;&gt;"",'UX Weekly'!$H$1:$CT$1)),"")))</f>
        <v>46209</v>
      </c>
      <c r="H25" s="153">
        <f t="array" ref="H25">IF($B25="","",IF($T25=0,"",IFERROR(MAX(IF('UX Weekly'!$H25:$CT25&lt;&gt;"",'UX Weekly'!$H$1:$CT$1)),"")))</f>
        <v>46258</v>
      </c>
      <c r="I25" s="154" t="str">
        <f t="shared" ca="1" si="0"/>
        <v/>
      </c>
      <c r="J25" s="154" t="str">
        <f t="shared" ca="1" si="1"/>
        <v/>
      </c>
      <c r="K25" s="152" t="str">
        <f>IF($B25="","",IF(COUNTA('Dev Tracker'!L25)=0,"",TRIM('Dev Tracker'!L25)))</f>
        <v>BHP-6434</v>
      </c>
      <c r="L25" s="152">
        <f>IF($B25="","",IFERROR(MATCH($D25,Control!$E$4:$E$30,0),99))</f>
        <v>3</v>
      </c>
      <c r="M25" s="152">
        <f>IF($B25="","",IFERROR(MATCH($F25,Control!$B$4:$B$30,0),99))</f>
        <v>7</v>
      </c>
      <c r="N25" s="152">
        <f>IF($V25&lt;&gt;1,"",IF('Roadmap (Auto)'!$D$3="Status, then Theme",$M25*1000000+$L25*10000+ROW(),IF('Roadmap (Auto)'!$D$3="Dev start (earliest)",IF($I25="",99999999,$I25)*10000+ROW(),IF('Roadmap (Auto)'!$D$3="UX start (earliest)",IF($G25="",99999999,$G25)*10000+ROW(),IF('Roadmap (Auto)'!$D$3="Deliverable A-Z",$W25*10000+ROW(),$L25*1000000+$M25*10000+ROW())))))</f>
        <v>3070025</v>
      </c>
      <c r="O25" s="152">
        <f t="shared" si="2"/>
        <v>9</v>
      </c>
      <c r="P25" s="152" t="str">
        <f>IF($B25="","",IF(COUNTA('Dev Tracker'!I25)=0,"",'Dev Tracker'!I25))</f>
        <v/>
      </c>
      <c r="Q25" s="152" t="str">
        <f>IF($B25="","",IF(COUNTA('Dev Tracker'!J25)=0,"",'Dev Tracker'!J25))</f>
        <v/>
      </c>
      <c r="R25" s="154" t="str">
        <f t="shared" ca="1" si="3"/>
        <v/>
      </c>
      <c r="S25" s="154" t="str">
        <f t="shared" ca="1" si="4"/>
        <v/>
      </c>
      <c r="T25" s="152">
        <f>IF($B25="","",COUNTA('UX Weekly'!$H25:$CT25))</f>
        <v>8</v>
      </c>
      <c r="U25" s="152">
        <f>IF($B25="","",IFERROR(MATCH($D25,Control!$E$4:$E$30,0)+3,0))</f>
        <v>6</v>
      </c>
      <c r="V25" s="152">
        <f>IF($B25="","",IF(AND(OR('Roadmap (Auto)'!$A$3="",'Roadmap (Auto)'!$A$3="(All)",ISNUMBER(SEARCH('Roadmap (Auto)'!$A$3,$C25&amp;""))),OR('Roadmap (Auto)'!$B$3="",'Roadmap (Auto)'!$B$3="(All)",$D25='Roadmap (Auto)'!$B$3,$X25='Roadmap (Auto)'!$B$3),OR('Roadmap (Auto)'!$C$3="",'Roadmap (Auto)'!$C$3="(All)",$F25='Roadmap (Auto)'!$C$3)),1,0))</f>
        <v>1</v>
      </c>
      <c r="W25" s="152">
        <f t="shared" si="5"/>
        <v>134</v>
      </c>
      <c r="X25" s="152" t="str">
        <f>IF($B25="","",IF(TRIM('UX Weekly'!D25)="","",TRIM('UX Weekly'!D25)))</f>
        <v/>
      </c>
      <c r="Y25" s="152" t="str">
        <f t="shared" si="6"/>
        <v>SELLUSEDUSERFLOWDESIGNVALIDATION</v>
      </c>
      <c r="AA25">
        <f>IF($B25="",0,COUNTIFS('UX Weekly'!$H$1:$CT$1,"&gt;="&amp;AA$1,'UX Weekly'!$H$1:$CT$1,"&lt;="&amp;EOMONTH(AA$1,0),'UX Weekly'!$H25:$CT25,"&lt;&gt;"))</f>
        <v>0</v>
      </c>
      <c r="AB25">
        <f>IF($B25="",0,COUNTIFS('UX Weekly'!$H$1:$CT$1,"&gt;="&amp;AB$1,'UX Weekly'!$H$1:$CT$1,"&lt;="&amp;EOMONTH(AB$1,0),'UX Weekly'!$H25:$CT25,"&lt;&gt;"))</f>
        <v>0</v>
      </c>
      <c r="AC25">
        <f>IF($B25="",0,COUNTIFS('UX Weekly'!$H$1:$CT$1,"&gt;="&amp;AC$1,'UX Weekly'!$H$1:$CT$1,"&lt;="&amp;EOMONTH(AC$1,0),'UX Weekly'!$H25:$CT25,"&lt;&gt;"))</f>
        <v>0</v>
      </c>
      <c r="AD25">
        <f>IF($B25="",0,COUNTIFS('UX Weekly'!$H$1:$CT$1,"&gt;="&amp;AD$1,'UX Weekly'!$H$1:$CT$1,"&lt;="&amp;EOMONTH(AD$1,0),'UX Weekly'!$H25:$CT25,"&lt;&gt;"))</f>
        <v>0</v>
      </c>
      <c r="AE25">
        <f>IF($B25="",0,COUNTIFS('UX Weekly'!$H$1:$CT$1,"&gt;="&amp;AE$1,'UX Weekly'!$H$1:$CT$1,"&lt;="&amp;EOMONTH(AE$1,0),'UX Weekly'!$H25:$CT25,"&lt;&gt;"))</f>
        <v>0</v>
      </c>
      <c r="AF25">
        <f>IF($B25="",0,COUNTIFS('UX Weekly'!$H$1:$CT$1,"&gt;="&amp;AF$1,'UX Weekly'!$H$1:$CT$1,"&lt;="&amp;EOMONTH(AF$1,0),'UX Weekly'!$H25:$CT25,"&lt;&gt;"))</f>
        <v>0</v>
      </c>
      <c r="AG25">
        <f>IF($B25="",0,COUNTIFS('UX Weekly'!$H$1:$CT$1,"&gt;="&amp;AG$1,'UX Weekly'!$H$1:$CT$1,"&lt;="&amp;EOMONTH(AG$1,0),'UX Weekly'!$H25:$CT25,"&lt;&gt;"))</f>
        <v>4</v>
      </c>
      <c r="AH25">
        <f>IF($B25="",0,COUNTIFS('UX Weekly'!$H$1:$CT$1,"&gt;="&amp;AH$1,'UX Weekly'!$H$1:$CT$1,"&lt;="&amp;EOMONTH(AH$1,0),'UX Weekly'!$H25:$CT25,"&lt;&gt;"))</f>
        <v>4</v>
      </c>
      <c r="AI25">
        <f>IF($B25="",0,COUNTIFS('UX Weekly'!$H$1:$CT$1,"&gt;="&amp;AI$1,'UX Weekly'!$H$1:$CT$1,"&lt;="&amp;EOMONTH(AI$1,0),'UX Weekly'!$H25:$CT25,"&lt;&gt;"))</f>
        <v>0</v>
      </c>
      <c r="AJ25">
        <f>IF($B25="",0,COUNTIFS('UX Weekly'!$H$1:$CT$1,"&gt;="&amp;AJ$1,'UX Weekly'!$H$1:$CT$1,"&lt;="&amp;EOMONTH(AJ$1,0),'UX Weekly'!$H25:$CT25,"&lt;&gt;"))</f>
        <v>0</v>
      </c>
      <c r="AK25">
        <f>IF($B25="",0,COUNTIFS('UX Weekly'!$H$1:$CT$1,"&gt;="&amp;AK$1,'UX Weekly'!$H$1:$CT$1,"&lt;="&amp;EOMONTH(AK$1,0),'UX Weekly'!$H25:$CT25,"&lt;&gt;"))</f>
        <v>0</v>
      </c>
      <c r="AL25">
        <f>IF($B25="",0,COUNTIFS('UX Weekly'!$H$1:$CT$1,"&gt;="&amp;AL$1,'UX Weekly'!$H$1:$CT$1,"&lt;="&amp;EOMONTH(AL$1,0),'UX Weekly'!$H25:$CT25,"&lt;&gt;"))</f>
        <v>0</v>
      </c>
      <c r="AM25">
        <f>IF($B25="",0,COUNTIFS('UX Weekly'!$H$1:$CT$1,"&gt;="&amp;AM$1,'UX Weekly'!$H$1:$CT$1,"&lt;="&amp;EOMONTH(AM$1,0),'UX Weekly'!$H25:$CT25,"&lt;&gt;"))</f>
        <v>0</v>
      </c>
      <c r="AN25">
        <f>IF($B25="",0,COUNTIFS('UX Weekly'!$H$1:$CT$1,"&gt;="&amp;AN$1,'UX Weekly'!$H$1:$CT$1,"&lt;="&amp;EOMONTH(AN$1,0),'UX Weekly'!$H25:$CT25,"&lt;&gt;"))</f>
        <v>0</v>
      </c>
      <c r="AO25">
        <f>IF($B25="",0,COUNTIFS('UX Weekly'!$H$1:$CT$1,"&gt;="&amp;AO$1,'UX Weekly'!$H$1:$CT$1,"&lt;="&amp;EOMONTH(AO$1,0),'UX Weekly'!$H25:$CT25,"&lt;&gt;"))</f>
        <v>0</v>
      </c>
      <c r="AP25">
        <f>IF($B25="",0,COUNTIFS('UX Weekly'!$H$1:$CT$1,"&gt;="&amp;AP$1,'UX Weekly'!$H$1:$CT$1,"&lt;="&amp;EOMONTH(AP$1,0),'UX Weekly'!$H25:$CT25,"&lt;&gt;"))</f>
        <v>0</v>
      </c>
      <c r="AQ25">
        <f>IF($B25="",0,COUNTIFS('UX Weekly'!$H$1:$CT$1,"&gt;="&amp;AQ$1,'UX Weekly'!$H$1:$CT$1,"&lt;="&amp;EOMONTH(AQ$1,0),'UX Weekly'!$H25:$CT25,"&lt;&gt;"))</f>
        <v>0</v>
      </c>
      <c r="AR25">
        <f>IF($B25="",0,COUNTIFS('UX Weekly'!$H$1:$CT$1,"&gt;="&amp;AR$1,'UX Weekly'!$H$1:$CT$1,"&lt;="&amp;EOMONTH(AR$1,0),'UX Weekly'!$H25:$CT25,"&lt;&gt;"))</f>
        <v>0</v>
      </c>
      <c r="AS25">
        <f>IF($B25="",0,COUNTIFS('UX Weekly'!$H$1:$CT$1,"&gt;="&amp;AS$1,'UX Weekly'!$H$1:$CT$1,"&lt;="&amp;EOMONTH(AS$1,0),'UX Weekly'!$H25:$CT25,"&lt;&gt;"))</f>
        <v>0</v>
      </c>
      <c r="AT25">
        <f>IF($B25="",0,COUNTIFS('UX Weekly'!$H$1:$CT$1,"&gt;="&amp;AT$1,'UX Weekly'!$H$1:$CT$1,"&lt;="&amp;EOMONTH(AT$1,0),'UX Weekly'!$H25:$CT25,"&lt;&gt;"))</f>
        <v>0</v>
      </c>
      <c r="AU25">
        <f>IF($B25="",0,COUNTIFS('UX Weekly'!$H$1:$CT$1,"&gt;="&amp;AU$1,'UX Weekly'!$H$1:$CT$1,"&lt;="&amp;EOMONTH(AU$1,0),'UX Weekly'!$H25:$CT25,"&lt;&gt;"))</f>
        <v>0</v>
      </c>
      <c r="AV25">
        <f>IF($B25="",0,COUNTIFS('UX Weekly'!$H$1:$CT$1,"&gt;="&amp;AV$1,'UX Weekly'!$H$1:$CT$1,"&lt;="&amp;EOMONTH(AV$1,0),'UX Weekly'!$H25:$CT25,"&lt;&gt;"))</f>
        <v>0</v>
      </c>
      <c r="AW25">
        <f>IF($B25="",0,COUNTIFS('UX Weekly'!$H$1:$CT$1,"&gt;="&amp;AW$1,'UX Weekly'!$H$1:$CT$1,"&lt;="&amp;EOMONTH(AW$1,0),'UX Weekly'!$H25:$CT25,"&lt;&gt;"))</f>
        <v>0</v>
      </c>
      <c r="AX25">
        <f>IF($B25="",0,COUNTIFS('UX Weekly'!$H$1:$CT$1,"&gt;="&amp;AX$1,'UX Weekly'!$H$1:$CT$1,"&lt;="&amp;EOMONTH(AX$1,0),'UX Weekly'!$H25:$CT25,"&lt;&gt;"))</f>
        <v>0</v>
      </c>
    </row>
    <row r="26" spans="1:50" x14ac:dyDescent="0.2">
      <c r="A26" s="152">
        <v>26</v>
      </c>
      <c r="B26" s="152" t="str">
        <f>IF(TRIM('UX Weekly'!E26)="","",TRIM('UX Weekly'!E26))</f>
        <v>Used Status Email Update</v>
      </c>
      <c r="C26" s="152" t="str">
        <f>IF($B26="","",'UX Weekly'!B26)</f>
        <v>Used</v>
      </c>
      <c r="D26" s="152" t="str">
        <f>IF($B26="","",IF(TRIM('UX Weekly'!C26)="","(No theme assigned)",TRIM('UX Weekly'!C26)))</f>
        <v>Improve Trade In User Flow</v>
      </c>
      <c r="E26" s="152" t="str">
        <f>IF($B26="","",TRIM('UX Weekly'!F26))</f>
        <v>BHUX-34723</v>
      </c>
      <c r="F26" s="152" t="str">
        <f>IF($B26="","",'UX Weekly'!G26)</f>
        <v>06. Architecture</v>
      </c>
      <c r="G26" s="153">
        <f t="array" ref="G26">IF($B26="","",IF($T26=0,"",IFERROR(MIN(IF('UX Weekly'!$H26:$CT26&lt;&gt;"",'UX Weekly'!$H$1:$CT$1)),"")))</f>
        <v>46216</v>
      </c>
      <c r="H26" s="153">
        <f t="array" ref="H26">IF($B26="","",IF($T26=0,"",IFERROR(MAX(IF('UX Weekly'!$H26:$CT26&lt;&gt;"",'UX Weekly'!$H$1:$CT$1)),"")))</f>
        <v>46216</v>
      </c>
      <c r="I26" s="154">
        <f t="shared" ca="1" si="0"/>
        <v>46296</v>
      </c>
      <c r="J26" s="154">
        <f t="shared" ca="1" si="1"/>
        <v>46326</v>
      </c>
      <c r="K26" s="152" t="str">
        <f>IF($B26="","",IF(COUNTA('Dev Tracker'!L26)=0,"",TRIM('Dev Tracker'!L26)))</f>
        <v>BHP-7145</v>
      </c>
      <c r="L26" s="152">
        <f>IF($B26="","",IFERROR(MATCH($D26,Control!$E$4:$E$30,0),99))</f>
        <v>3</v>
      </c>
      <c r="M26" s="152">
        <f>IF($B26="","",IFERROR(MATCH($F26,Control!$B$4:$B$30,0),99))</f>
        <v>9</v>
      </c>
      <c r="N26" s="152">
        <f>IF($V26&lt;&gt;1,"",IF('Roadmap (Auto)'!$D$3="Status, then Theme",$M26*1000000+$L26*10000+ROW(),IF('Roadmap (Auto)'!$D$3="Dev start (earliest)",IF($I26="",99999999,$I26)*10000+ROW(),IF('Roadmap (Auto)'!$D$3="UX start (earliest)",IF($G26="",99999999,$G26)*10000+ROW(),IF('Roadmap (Auto)'!$D$3="Deliverable A-Z",$W26*10000+ROW(),$L26*1000000+$M26*10000+ROW())))))</f>
        <v>3090026</v>
      </c>
      <c r="O26" s="152">
        <f t="shared" si="2"/>
        <v>10</v>
      </c>
      <c r="P26" s="152" t="str">
        <f>IF($B26="","",IF(COUNTA('Dev Tracker'!I26)=0,"",'Dev Tracker'!I26))</f>
        <v>Oct 2026</v>
      </c>
      <c r="Q26" s="152" t="str">
        <f>IF($B26="","",IF(COUNTA('Dev Tracker'!J26)=0,"",'Dev Tracker'!J26))</f>
        <v>Oct 2026</v>
      </c>
      <c r="R26" s="154">
        <f t="shared" ca="1" si="3"/>
        <v>46296</v>
      </c>
      <c r="S26" s="154">
        <f t="shared" ca="1" si="4"/>
        <v>46296</v>
      </c>
      <c r="T26" s="152">
        <f>IF($B26="","",COUNTA('UX Weekly'!$H26:$CT26))</f>
        <v>1</v>
      </c>
      <c r="U26" s="152">
        <f>IF($B26="","",IFERROR(MATCH($D26,Control!$E$4:$E$30,0)+3,0))</f>
        <v>6</v>
      </c>
      <c r="V26" s="152">
        <f>IF($B26="","",IF(AND(OR('Roadmap (Auto)'!$A$3="",'Roadmap (Auto)'!$A$3="(All)",ISNUMBER(SEARCH('Roadmap (Auto)'!$A$3,$C26&amp;""))),OR('Roadmap (Auto)'!$B$3="",'Roadmap (Auto)'!$B$3="(All)",$D26='Roadmap (Auto)'!$B$3,$X26='Roadmap (Auto)'!$B$3),OR('Roadmap (Auto)'!$C$3="",'Roadmap (Auto)'!$C$3="(All)",$F26='Roadmap (Auto)'!$C$3)),1,0))</f>
        <v>1</v>
      </c>
      <c r="W26" s="152">
        <f t="shared" si="5"/>
        <v>150</v>
      </c>
      <c r="X26" s="152" t="str">
        <f>IF($B26="","",IF(TRIM('UX Weekly'!D26)="","",TRIM('UX Weekly'!D26)))</f>
        <v/>
      </c>
      <c r="Y26" s="152" t="str">
        <f t="shared" si="6"/>
        <v>USEDSTATUSEMAILUPDATE</v>
      </c>
      <c r="AA26">
        <f>IF($B26="",0,COUNTIFS('UX Weekly'!$H$1:$CT$1,"&gt;="&amp;AA$1,'UX Weekly'!$H$1:$CT$1,"&lt;="&amp;EOMONTH(AA$1,0),'UX Weekly'!$H26:$CT26,"&lt;&gt;"))</f>
        <v>0</v>
      </c>
      <c r="AB26">
        <f>IF($B26="",0,COUNTIFS('UX Weekly'!$H$1:$CT$1,"&gt;="&amp;AB$1,'UX Weekly'!$H$1:$CT$1,"&lt;="&amp;EOMONTH(AB$1,0),'UX Weekly'!$H26:$CT26,"&lt;&gt;"))</f>
        <v>0</v>
      </c>
      <c r="AC26">
        <f>IF($B26="",0,COUNTIFS('UX Weekly'!$H$1:$CT$1,"&gt;="&amp;AC$1,'UX Weekly'!$H$1:$CT$1,"&lt;="&amp;EOMONTH(AC$1,0),'UX Weekly'!$H26:$CT26,"&lt;&gt;"))</f>
        <v>0</v>
      </c>
      <c r="AD26">
        <f>IF($B26="",0,COUNTIFS('UX Weekly'!$H$1:$CT$1,"&gt;="&amp;AD$1,'UX Weekly'!$H$1:$CT$1,"&lt;="&amp;EOMONTH(AD$1,0),'UX Weekly'!$H26:$CT26,"&lt;&gt;"))</f>
        <v>0</v>
      </c>
      <c r="AE26">
        <f>IF($B26="",0,COUNTIFS('UX Weekly'!$H$1:$CT$1,"&gt;="&amp;AE$1,'UX Weekly'!$H$1:$CT$1,"&lt;="&amp;EOMONTH(AE$1,0),'UX Weekly'!$H26:$CT26,"&lt;&gt;"))</f>
        <v>0</v>
      </c>
      <c r="AF26">
        <f>IF($B26="",0,COUNTIFS('UX Weekly'!$H$1:$CT$1,"&gt;="&amp;AF$1,'UX Weekly'!$H$1:$CT$1,"&lt;="&amp;EOMONTH(AF$1,0),'UX Weekly'!$H26:$CT26,"&lt;&gt;"))</f>
        <v>0</v>
      </c>
      <c r="AG26">
        <f>IF($B26="",0,COUNTIFS('UX Weekly'!$H$1:$CT$1,"&gt;="&amp;AG$1,'UX Weekly'!$H$1:$CT$1,"&lt;="&amp;EOMONTH(AG$1,0),'UX Weekly'!$H26:$CT26,"&lt;&gt;"))</f>
        <v>1</v>
      </c>
      <c r="AH26">
        <f>IF($B26="",0,COUNTIFS('UX Weekly'!$H$1:$CT$1,"&gt;="&amp;AH$1,'UX Weekly'!$H$1:$CT$1,"&lt;="&amp;EOMONTH(AH$1,0),'UX Weekly'!$H26:$CT26,"&lt;&gt;"))</f>
        <v>0</v>
      </c>
      <c r="AI26">
        <f>IF($B26="",0,COUNTIFS('UX Weekly'!$H$1:$CT$1,"&gt;="&amp;AI$1,'UX Weekly'!$H$1:$CT$1,"&lt;="&amp;EOMONTH(AI$1,0),'UX Weekly'!$H26:$CT26,"&lt;&gt;"))</f>
        <v>0</v>
      </c>
      <c r="AJ26">
        <f>IF($B26="",0,COUNTIFS('UX Weekly'!$H$1:$CT$1,"&gt;="&amp;AJ$1,'UX Weekly'!$H$1:$CT$1,"&lt;="&amp;EOMONTH(AJ$1,0),'UX Weekly'!$H26:$CT26,"&lt;&gt;"))</f>
        <v>0</v>
      </c>
      <c r="AK26">
        <f>IF($B26="",0,COUNTIFS('UX Weekly'!$H$1:$CT$1,"&gt;="&amp;AK$1,'UX Weekly'!$H$1:$CT$1,"&lt;="&amp;EOMONTH(AK$1,0),'UX Weekly'!$H26:$CT26,"&lt;&gt;"))</f>
        <v>0</v>
      </c>
      <c r="AL26">
        <f>IF($B26="",0,COUNTIFS('UX Weekly'!$H$1:$CT$1,"&gt;="&amp;AL$1,'UX Weekly'!$H$1:$CT$1,"&lt;="&amp;EOMONTH(AL$1,0),'UX Weekly'!$H26:$CT26,"&lt;&gt;"))</f>
        <v>0</v>
      </c>
      <c r="AM26">
        <f>IF($B26="",0,COUNTIFS('UX Weekly'!$H$1:$CT$1,"&gt;="&amp;AM$1,'UX Weekly'!$H$1:$CT$1,"&lt;="&amp;EOMONTH(AM$1,0),'UX Weekly'!$H26:$CT26,"&lt;&gt;"))</f>
        <v>0</v>
      </c>
      <c r="AN26">
        <f>IF($B26="",0,COUNTIFS('UX Weekly'!$H$1:$CT$1,"&gt;="&amp;AN$1,'UX Weekly'!$H$1:$CT$1,"&lt;="&amp;EOMONTH(AN$1,0),'UX Weekly'!$H26:$CT26,"&lt;&gt;"))</f>
        <v>0</v>
      </c>
      <c r="AO26">
        <f>IF($B26="",0,COUNTIFS('UX Weekly'!$H$1:$CT$1,"&gt;="&amp;AO$1,'UX Weekly'!$H$1:$CT$1,"&lt;="&amp;EOMONTH(AO$1,0),'UX Weekly'!$H26:$CT26,"&lt;&gt;"))</f>
        <v>0</v>
      </c>
      <c r="AP26">
        <f>IF($B26="",0,COUNTIFS('UX Weekly'!$H$1:$CT$1,"&gt;="&amp;AP$1,'UX Weekly'!$H$1:$CT$1,"&lt;="&amp;EOMONTH(AP$1,0),'UX Weekly'!$H26:$CT26,"&lt;&gt;"))</f>
        <v>0</v>
      </c>
      <c r="AQ26">
        <f>IF($B26="",0,COUNTIFS('UX Weekly'!$H$1:$CT$1,"&gt;="&amp;AQ$1,'UX Weekly'!$H$1:$CT$1,"&lt;="&amp;EOMONTH(AQ$1,0),'UX Weekly'!$H26:$CT26,"&lt;&gt;"))</f>
        <v>0</v>
      </c>
      <c r="AR26">
        <f>IF($B26="",0,COUNTIFS('UX Weekly'!$H$1:$CT$1,"&gt;="&amp;AR$1,'UX Weekly'!$H$1:$CT$1,"&lt;="&amp;EOMONTH(AR$1,0),'UX Weekly'!$H26:$CT26,"&lt;&gt;"))</f>
        <v>0</v>
      </c>
      <c r="AS26">
        <f>IF($B26="",0,COUNTIFS('UX Weekly'!$H$1:$CT$1,"&gt;="&amp;AS$1,'UX Weekly'!$H$1:$CT$1,"&lt;="&amp;EOMONTH(AS$1,0),'UX Weekly'!$H26:$CT26,"&lt;&gt;"))</f>
        <v>0</v>
      </c>
      <c r="AT26">
        <f>IF($B26="",0,COUNTIFS('UX Weekly'!$H$1:$CT$1,"&gt;="&amp;AT$1,'UX Weekly'!$H$1:$CT$1,"&lt;="&amp;EOMONTH(AT$1,0),'UX Weekly'!$H26:$CT26,"&lt;&gt;"))</f>
        <v>0</v>
      </c>
      <c r="AU26">
        <f>IF($B26="",0,COUNTIFS('UX Weekly'!$H$1:$CT$1,"&gt;="&amp;AU$1,'UX Weekly'!$H$1:$CT$1,"&lt;="&amp;EOMONTH(AU$1,0),'UX Weekly'!$H26:$CT26,"&lt;&gt;"))</f>
        <v>0</v>
      </c>
      <c r="AV26">
        <f>IF($B26="",0,COUNTIFS('UX Weekly'!$H$1:$CT$1,"&gt;="&amp;AV$1,'UX Weekly'!$H$1:$CT$1,"&lt;="&amp;EOMONTH(AV$1,0),'UX Weekly'!$H26:$CT26,"&lt;&gt;"))</f>
        <v>0</v>
      </c>
      <c r="AW26">
        <f>IF($B26="",0,COUNTIFS('UX Weekly'!$H$1:$CT$1,"&gt;="&amp;AW$1,'UX Weekly'!$H$1:$CT$1,"&lt;="&amp;EOMONTH(AW$1,0),'UX Weekly'!$H26:$CT26,"&lt;&gt;"))</f>
        <v>0</v>
      </c>
      <c r="AX26">
        <f>IF($B26="",0,COUNTIFS('UX Weekly'!$H$1:$CT$1,"&gt;="&amp;AX$1,'UX Weekly'!$H$1:$CT$1,"&lt;="&amp;EOMONTH(AX$1,0),'UX Weekly'!$H26:$CT26,"&lt;&gt;"))</f>
        <v>0</v>
      </c>
    </row>
    <row r="27" spans="1:50" x14ac:dyDescent="0.2">
      <c r="A27" s="152">
        <v>27</v>
      </c>
      <c r="B27" s="152" t="str">
        <f>IF(TRIM('UX Weekly'!E27)="","",TRIM('UX Weekly'!E27))</f>
        <v>PDP Purchased in 20XX, Trade In Value is $YYY.YY</v>
      </c>
      <c r="C27" s="152" t="str">
        <f>IF($B27="","",'UX Weekly'!B27)</f>
        <v>Used</v>
      </c>
      <c r="D27" s="152" t="str">
        <f>IF($B27="","",IF(TRIM('UX Weekly'!C27)="","(No theme assigned)",TRIM('UX Weekly'!C27)))</f>
        <v>Increase Trade In Awareness</v>
      </c>
      <c r="E27" s="152" t="str">
        <f>IF($B27="","",TRIM('UX Weekly'!F27))</f>
        <v>BHUX-35309</v>
      </c>
      <c r="F27" s="152" t="str">
        <f>IF($B27="","",'UX Weekly'!G27)</f>
        <v>06. Architecture</v>
      </c>
      <c r="G27" s="153">
        <f t="array" ref="G27">IF($B27="","",IF($T27=0,"",IFERROR(MIN(IF('UX Weekly'!$H27:$CT27&lt;&gt;"",'UX Weekly'!$H$1:$CT$1)),"")))</f>
        <v>46251</v>
      </c>
      <c r="H27" s="153">
        <f t="array" ref="H27">IF($B27="","",IF($T27=0,"",IFERROR(MAX(IF('UX Weekly'!$H27:$CT27&lt;&gt;"",'UX Weekly'!$H$1:$CT$1)),"")))</f>
        <v>46251</v>
      </c>
      <c r="I27" s="154">
        <f t="shared" ca="1" si="0"/>
        <v>46296</v>
      </c>
      <c r="J27" s="154">
        <f t="shared" ca="1" si="1"/>
        <v>46326</v>
      </c>
      <c r="K27" s="152" t="str">
        <f>IF($B27="","",IF(COUNTA('Dev Tracker'!L27)=0,"",TRIM('Dev Tracker'!L27)))</f>
        <v>BHP-7228</v>
      </c>
      <c r="L27" s="152">
        <f>IF($B27="","",IFERROR(MATCH($D27,Control!$E$4:$E$30,0),99))</f>
        <v>2</v>
      </c>
      <c r="M27" s="152">
        <f>IF($B27="","",IFERROR(MATCH($F27,Control!$B$4:$B$30,0),99))</f>
        <v>9</v>
      </c>
      <c r="N27" s="152">
        <f>IF($V27&lt;&gt;1,"",IF('Roadmap (Auto)'!$D$3="Status, then Theme",$M27*1000000+$L27*10000+ROW(),IF('Roadmap (Auto)'!$D$3="Dev start (earliest)",IF($I27="",99999999,$I27)*10000+ROW(),IF('Roadmap (Auto)'!$D$3="UX start (earliest)",IF($G27="",99999999,$G27)*10000+ROW(),IF('Roadmap (Auto)'!$D$3="Deliverable A-Z",$W27*10000+ROW(),$L27*1000000+$M27*10000+ROW())))))</f>
        <v>2090027</v>
      </c>
      <c r="O27" s="152">
        <f t="shared" si="2"/>
        <v>5</v>
      </c>
      <c r="P27" s="152" t="str">
        <f>IF($B27="","",IF(COUNTA('Dev Tracker'!I27)=0,"",'Dev Tracker'!I27))</f>
        <v>Oct 2026</v>
      </c>
      <c r="Q27" s="152" t="str">
        <f>IF($B27="","",IF(COUNTA('Dev Tracker'!J27)=0,"",'Dev Tracker'!J27))</f>
        <v>Oct 2026</v>
      </c>
      <c r="R27" s="154">
        <f t="shared" ca="1" si="3"/>
        <v>46296</v>
      </c>
      <c r="S27" s="154">
        <f t="shared" ca="1" si="4"/>
        <v>46296</v>
      </c>
      <c r="T27" s="152">
        <f>IF($B27="","",COUNTA('UX Weekly'!$H27:$CT27))</f>
        <v>1</v>
      </c>
      <c r="U27" s="152">
        <f>IF($B27="","",IFERROR(MATCH($D27,Control!$E$4:$E$30,0)+3,0))</f>
        <v>5</v>
      </c>
      <c r="V27" s="152">
        <f>IF($B27="","",IF(AND(OR('Roadmap (Auto)'!$A$3="",'Roadmap (Auto)'!$A$3="(All)",ISNUMBER(SEARCH('Roadmap (Auto)'!$A$3,$C27&amp;""))),OR('Roadmap (Auto)'!$B$3="",'Roadmap (Auto)'!$B$3="(All)",$D27='Roadmap (Auto)'!$B$3,$X27='Roadmap (Auto)'!$B$3),OR('Roadmap (Auto)'!$C$3="",'Roadmap (Auto)'!$C$3="(All)",$F27='Roadmap (Auto)'!$C$3)),1,0))</f>
        <v>1</v>
      </c>
      <c r="W27" s="152">
        <f t="shared" si="5"/>
        <v>130</v>
      </c>
      <c r="X27" s="152" t="str">
        <f>IF($B27="","",IF(TRIM('UX Weekly'!D27)="","",TRIM('UX Weekly'!D27)))</f>
        <v/>
      </c>
      <c r="Y27" s="152" t="str">
        <f t="shared" si="6"/>
        <v>PDPPURCHASEDIN20XXTRADEINVALUEISYYYYY</v>
      </c>
      <c r="AA27">
        <f>IF($B27="",0,COUNTIFS('UX Weekly'!$H$1:$CT$1,"&gt;="&amp;AA$1,'UX Weekly'!$H$1:$CT$1,"&lt;="&amp;EOMONTH(AA$1,0),'UX Weekly'!$H27:$CT27,"&lt;&gt;"))</f>
        <v>0</v>
      </c>
      <c r="AB27">
        <f>IF($B27="",0,COUNTIFS('UX Weekly'!$H$1:$CT$1,"&gt;="&amp;AB$1,'UX Weekly'!$H$1:$CT$1,"&lt;="&amp;EOMONTH(AB$1,0),'UX Weekly'!$H27:$CT27,"&lt;&gt;"))</f>
        <v>0</v>
      </c>
      <c r="AC27">
        <f>IF($B27="",0,COUNTIFS('UX Weekly'!$H$1:$CT$1,"&gt;="&amp;AC$1,'UX Weekly'!$H$1:$CT$1,"&lt;="&amp;EOMONTH(AC$1,0),'UX Weekly'!$H27:$CT27,"&lt;&gt;"))</f>
        <v>0</v>
      </c>
      <c r="AD27">
        <f>IF($B27="",0,COUNTIFS('UX Weekly'!$H$1:$CT$1,"&gt;="&amp;AD$1,'UX Weekly'!$H$1:$CT$1,"&lt;="&amp;EOMONTH(AD$1,0),'UX Weekly'!$H27:$CT27,"&lt;&gt;"))</f>
        <v>0</v>
      </c>
      <c r="AE27">
        <f>IF($B27="",0,COUNTIFS('UX Weekly'!$H$1:$CT$1,"&gt;="&amp;AE$1,'UX Weekly'!$H$1:$CT$1,"&lt;="&amp;EOMONTH(AE$1,0),'UX Weekly'!$H27:$CT27,"&lt;&gt;"))</f>
        <v>0</v>
      </c>
      <c r="AF27">
        <f>IF($B27="",0,COUNTIFS('UX Weekly'!$H$1:$CT$1,"&gt;="&amp;AF$1,'UX Weekly'!$H$1:$CT$1,"&lt;="&amp;EOMONTH(AF$1,0),'UX Weekly'!$H27:$CT27,"&lt;&gt;"))</f>
        <v>0</v>
      </c>
      <c r="AG27">
        <f>IF($B27="",0,COUNTIFS('UX Weekly'!$H$1:$CT$1,"&gt;="&amp;AG$1,'UX Weekly'!$H$1:$CT$1,"&lt;="&amp;EOMONTH(AG$1,0),'UX Weekly'!$H27:$CT27,"&lt;&gt;"))</f>
        <v>0</v>
      </c>
      <c r="AH27">
        <f>IF($B27="",0,COUNTIFS('UX Weekly'!$H$1:$CT$1,"&gt;="&amp;AH$1,'UX Weekly'!$H$1:$CT$1,"&lt;="&amp;EOMONTH(AH$1,0),'UX Weekly'!$H27:$CT27,"&lt;&gt;"))</f>
        <v>1</v>
      </c>
      <c r="AI27">
        <f>IF($B27="",0,COUNTIFS('UX Weekly'!$H$1:$CT$1,"&gt;="&amp;AI$1,'UX Weekly'!$H$1:$CT$1,"&lt;="&amp;EOMONTH(AI$1,0),'UX Weekly'!$H27:$CT27,"&lt;&gt;"))</f>
        <v>0</v>
      </c>
      <c r="AJ27">
        <f>IF($B27="",0,COUNTIFS('UX Weekly'!$H$1:$CT$1,"&gt;="&amp;AJ$1,'UX Weekly'!$H$1:$CT$1,"&lt;="&amp;EOMONTH(AJ$1,0),'UX Weekly'!$H27:$CT27,"&lt;&gt;"))</f>
        <v>0</v>
      </c>
      <c r="AK27">
        <f>IF($B27="",0,COUNTIFS('UX Weekly'!$H$1:$CT$1,"&gt;="&amp;AK$1,'UX Weekly'!$H$1:$CT$1,"&lt;="&amp;EOMONTH(AK$1,0),'UX Weekly'!$H27:$CT27,"&lt;&gt;"))</f>
        <v>0</v>
      </c>
      <c r="AL27">
        <f>IF($B27="",0,COUNTIFS('UX Weekly'!$H$1:$CT$1,"&gt;="&amp;AL$1,'UX Weekly'!$H$1:$CT$1,"&lt;="&amp;EOMONTH(AL$1,0),'UX Weekly'!$H27:$CT27,"&lt;&gt;"))</f>
        <v>0</v>
      </c>
      <c r="AM27">
        <f>IF($B27="",0,COUNTIFS('UX Weekly'!$H$1:$CT$1,"&gt;="&amp;AM$1,'UX Weekly'!$H$1:$CT$1,"&lt;="&amp;EOMONTH(AM$1,0),'UX Weekly'!$H27:$CT27,"&lt;&gt;"))</f>
        <v>0</v>
      </c>
      <c r="AN27">
        <f>IF($B27="",0,COUNTIFS('UX Weekly'!$H$1:$CT$1,"&gt;="&amp;AN$1,'UX Weekly'!$H$1:$CT$1,"&lt;="&amp;EOMONTH(AN$1,0),'UX Weekly'!$H27:$CT27,"&lt;&gt;"))</f>
        <v>0</v>
      </c>
      <c r="AO27">
        <f>IF($B27="",0,COUNTIFS('UX Weekly'!$H$1:$CT$1,"&gt;="&amp;AO$1,'UX Weekly'!$H$1:$CT$1,"&lt;="&amp;EOMONTH(AO$1,0),'UX Weekly'!$H27:$CT27,"&lt;&gt;"))</f>
        <v>0</v>
      </c>
      <c r="AP27">
        <f>IF($B27="",0,COUNTIFS('UX Weekly'!$H$1:$CT$1,"&gt;="&amp;AP$1,'UX Weekly'!$H$1:$CT$1,"&lt;="&amp;EOMONTH(AP$1,0),'UX Weekly'!$H27:$CT27,"&lt;&gt;"))</f>
        <v>0</v>
      </c>
      <c r="AQ27">
        <f>IF($B27="",0,COUNTIFS('UX Weekly'!$H$1:$CT$1,"&gt;="&amp;AQ$1,'UX Weekly'!$H$1:$CT$1,"&lt;="&amp;EOMONTH(AQ$1,0),'UX Weekly'!$H27:$CT27,"&lt;&gt;"))</f>
        <v>0</v>
      </c>
      <c r="AR27">
        <f>IF($B27="",0,COUNTIFS('UX Weekly'!$H$1:$CT$1,"&gt;="&amp;AR$1,'UX Weekly'!$H$1:$CT$1,"&lt;="&amp;EOMONTH(AR$1,0),'UX Weekly'!$H27:$CT27,"&lt;&gt;"))</f>
        <v>0</v>
      </c>
      <c r="AS27">
        <f>IF($B27="",0,COUNTIFS('UX Weekly'!$H$1:$CT$1,"&gt;="&amp;AS$1,'UX Weekly'!$H$1:$CT$1,"&lt;="&amp;EOMONTH(AS$1,0),'UX Weekly'!$H27:$CT27,"&lt;&gt;"))</f>
        <v>0</v>
      </c>
      <c r="AT27">
        <f>IF($B27="",0,COUNTIFS('UX Weekly'!$H$1:$CT$1,"&gt;="&amp;AT$1,'UX Weekly'!$H$1:$CT$1,"&lt;="&amp;EOMONTH(AT$1,0),'UX Weekly'!$H27:$CT27,"&lt;&gt;"))</f>
        <v>0</v>
      </c>
      <c r="AU27">
        <f>IF($B27="",0,COUNTIFS('UX Weekly'!$H$1:$CT$1,"&gt;="&amp;AU$1,'UX Weekly'!$H$1:$CT$1,"&lt;="&amp;EOMONTH(AU$1,0),'UX Weekly'!$H27:$CT27,"&lt;&gt;"))</f>
        <v>0</v>
      </c>
      <c r="AV27">
        <f>IF($B27="",0,COUNTIFS('UX Weekly'!$H$1:$CT$1,"&gt;="&amp;AV$1,'UX Weekly'!$H$1:$CT$1,"&lt;="&amp;EOMONTH(AV$1,0),'UX Weekly'!$H27:$CT27,"&lt;&gt;"))</f>
        <v>0</v>
      </c>
      <c r="AW27">
        <f>IF($B27="",0,COUNTIFS('UX Weekly'!$H$1:$CT$1,"&gt;="&amp;AW$1,'UX Weekly'!$H$1:$CT$1,"&lt;="&amp;EOMONTH(AW$1,0),'UX Weekly'!$H27:$CT27,"&lt;&gt;"))</f>
        <v>0</v>
      </c>
      <c r="AX27">
        <f>IF($B27="",0,COUNTIFS('UX Weekly'!$H$1:$CT$1,"&gt;="&amp;AX$1,'UX Weekly'!$H$1:$CT$1,"&lt;="&amp;EOMONTH(AX$1,0),'UX Weekly'!$H27:$CT27,"&lt;&gt;"))</f>
        <v>0</v>
      </c>
    </row>
    <row r="28" spans="1:50" x14ac:dyDescent="0.2">
      <c r="A28" s="152">
        <v>28</v>
      </c>
      <c r="B28" s="152" t="str">
        <f>IF(TRIM('UX Weekly'!E28)="","",TRIM('UX Weekly'!E28))</f>
        <v>B2B Hub Landing Page - redesign</v>
      </c>
      <c r="C28" s="152" t="str">
        <f>IF($B28="","",'UX Weekly'!B28)</f>
        <v>B2B</v>
      </c>
      <c r="D28" s="152" t="str">
        <f>IF($B28="","",IF(TRIM('UX Weekly'!C28)="","(No theme assigned)",TRIM('UX Weekly'!C28)))</f>
        <v>Increase B2B Acquisition</v>
      </c>
      <c r="E28" s="152" t="str">
        <f>IF($B28="","",TRIM('UX Weekly'!F28))</f>
        <v>BHUX-26541 </v>
      </c>
      <c r="F28" s="152" t="str">
        <f>IF($B28="","",'UX Weekly'!G28)</f>
        <v>07. Grooming</v>
      </c>
      <c r="G28" s="153">
        <f t="array" ref="G28">IF($B28="","",IF($T28=0,"",IFERROR(MIN(IF('UX Weekly'!$H28:$CT28&lt;&gt;"",'UX Weekly'!$H$1:$CT$1)),"")))</f>
        <v>46125</v>
      </c>
      <c r="H28" s="153">
        <f t="array" ref="H28">IF($B28="","",IF($T28=0,"",IFERROR(MAX(IF('UX Weekly'!$H28:$CT28&lt;&gt;"",'UX Weekly'!$H$1:$CT$1)),"")))</f>
        <v>46153</v>
      </c>
      <c r="I28" s="154">
        <f t="shared" ca="1" si="0"/>
        <v>46296</v>
      </c>
      <c r="J28" s="154">
        <f t="shared" ca="1" si="1"/>
        <v>46387</v>
      </c>
      <c r="K28" s="152" t="str">
        <f>IF($B28="","",IF(COUNTA('Dev Tracker'!L28)=0,"",TRIM('Dev Tracker'!L28)))</f>
        <v/>
      </c>
      <c r="L28" s="152">
        <f>IF($B28="","",IFERROR(MATCH($D28,Control!$E$4:$E$30,0),99))</f>
        <v>8</v>
      </c>
      <c r="M28" s="152">
        <f>IF($B28="","",IFERROR(MATCH($F28,Control!$B$4:$B$30,0),99))</f>
        <v>10</v>
      </c>
      <c r="N28" s="152" t="str">
        <f>IF($V28&lt;&gt;1,"",IF('Roadmap (Auto)'!$D$3="Status, then Theme",$M28*1000000+$L28*10000+ROW(),IF('Roadmap (Auto)'!$D$3="Dev start (earliest)",IF($I28="",99999999,$I28)*10000+ROW(),IF('Roadmap (Auto)'!$D$3="UX start (earliest)",IF($G28="",99999999,$G28)*10000+ROW(),IF('Roadmap (Auto)'!$D$3="Deliverable A-Z",$W28*10000+ROW(),$L28*1000000+$M28*10000+ROW())))))</f>
        <v/>
      </c>
      <c r="O28" s="152" t="str">
        <f t="shared" si="2"/>
        <v/>
      </c>
      <c r="P28" s="152" t="str">
        <f>IF($B28="","",IF(COUNTA('Dev Tracker'!I28)=0,"",'Dev Tracker'!I28))</f>
        <v>Oct 2026</v>
      </c>
      <c r="Q28" s="152" t="str">
        <f>IF($B28="","",IF(COUNTA('Dev Tracker'!J28)=0,"",'Dev Tracker'!J28))</f>
        <v>Dec 2026</v>
      </c>
      <c r="R28" s="154">
        <f t="shared" ca="1" si="3"/>
        <v>46296</v>
      </c>
      <c r="S28" s="154">
        <f t="shared" ca="1" si="4"/>
        <v>46357</v>
      </c>
      <c r="T28" s="152">
        <f>IF($B28="","",COUNTA('UX Weekly'!$H28:$CT28))</f>
        <v>5</v>
      </c>
      <c r="U28" s="152">
        <f>IF($B28="","",IFERROR(MATCH($D28,Control!$E$4:$E$30,0)+3,0))</f>
        <v>11</v>
      </c>
      <c r="V28" s="152">
        <f>IF($B28="","",IF(AND(OR('Roadmap (Auto)'!$A$3="",'Roadmap (Auto)'!$A$3="(All)",ISNUMBER(SEARCH('Roadmap (Auto)'!$A$3,$C28&amp;""))),OR('Roadmap (Auto)'!$B$3="",'Roadmap (Auto)'!$B$3="(All)",$D28='Roadmap (Auto)'!$B$3,$X28='Roadmap (Auto)'!$B$3),OR('Roadmap (Auto)'!$C$3="",'Roadmap (Auto)'!$C$3="(All)",$F28='Roadmap (Auto)'!$C$3)),1,0))</f>
        <v>0</v>
      </c>
      <c r="W28" s="152">
        <f t="shared" si="5"/>
        <v>109</v>
      </c>
      <c r="X28" s="152" t="str">
        <f>IF($B28="","",IF(TRIM('UX Weekly'!D28)="","",TRIM('UX Weekly'!D28)))</f>
        <v/>
      </c>
      <c r="Y28" s="152" t="str">
        <f t="shared" si="6"/>
        <v>B2BHUBLANDINGPAGEREDESIGN</v>
      </c>
      <c r="AA28">
        <f>IF($B28="",0,COUNTIFS('UX Weekly'!$H$1:$CT$1,"&gt;="&amp;AA$1,'UX Weekly'!$H$1:$CT$1,"&lt;="&amp;EOMONTH(AA$1,0),'UX Weekly'!$H28:$CT28,"&lt;&gt;"))</f>
        <v>0</v>
      </c>
      <c r="AB28">
        <f>IF($B28="",0,COUNTIFS('UX Weekly'!$H$1:$CT$1,"&gt;="&amp;AB$1,'UX Weekly'!$H$1:$CT$1,"&lt;="&amp;EOMONTH(AB$1,0),'UX Weekly'!$H28:$CT28,"&lt;&gt;"))</f>
        <v>0</v>
      </c>
      <c r="AC28">
        <f>IF($B28="",0,COUNTIFS('UX Weekly'!$H$1:$CT$1,"&gt;="&amp;AC$1,'UX Weekly'!$H$1:$CT$1,"&lt;="&amp;EOMONTH(AC$1,0),'UX Weekly'!$H28:$CT28,"&lt;&gt;"))</f>
        <v>0</v>
      </c>
      <c r="AD28">
        <f>IF($B28="",0,COUNTIFS('UX Weekly'!$H$1:$CT$1,"&gt;="&amp;AD$1,'UX Weekly'!$H$1:$CT$1,"&lt;="&amp;EOMONTH(AD$1,0),'UX Weekly'!$H28:$CT28,"&lt;&gt;"))</f>
        <v>3</v>
      </c>
      <c r="AE28">
        <f>IF($B28="",0,COUNTIFS('UX Weekly'!$H$1:$CT$1,"&gt;="&amp;AE$1,'UX Weekly'!$H$1:$CT$1,"&lt;="&amp;EOMONTH(AE$1,0),'UX Weekly'!$H28:$CT28,"&lt;&gt;"))</f>
        <v>2</v>
      </c>
      <c r="AF28">
        <f>IF($B28="",0,COUNTIFS('UX Weekly'!$H$1:$CT$1,"&gt;="&amp;AF$1,'UX Weekly'!$H$1:$CT$1,"&lt;="&amp;EOMONTH(AF$1,0),'UX Weekly'!$H28:$CT28,"&lt;&gt;"))</f>
        <v>0</v>
      </c>
      <c r="AG28">
        <f>IF($B28="",0,COUNTIFS('UX Weekly'!$H$1:$CT$1,"&gt;="&amp;AG$1,'UX Weekly'!$H$1:$CT$1,"&lt;="&amp;EOMONTH(AG$1,0),'UX Weekly'!$H28:$CT28,"&lt;&gt;"))</f>
        <v>0</v>
      </c>
      <c r="AH28">
        <f>IF($B28="",0,COUNTIFS('UX Weekly'!$H$1:$CT$1,"&gt;="&amp;AH$1,'UX Weekly'!$H$1:$CT$1,"&lt;="&amp;EOMONTH(AH$1,0),'UX Weekly'!$H28:$CT28,"&lt;&gt;"))</f>
        <v>0</v>
      </c>
      <c r="AI28">
        <f>IF($B28="",0,COUNTIFS('UX Weekly'!$H$1:$CT$1,"&gt;="&amp;AI$1,'UX Weekly'!$H$1:$CT$1,"&lt;="&amp;EOMONTH(AI$1,0),'UX Weekly'!$H28:$CT28,"&lt;&gt;"))</f>
        <v>0</v>
      </c>
      <c r="AJ28">
        <f>IF($B28="",0,COUNTIFS('UX Weekly'!$H$1:$CT$1,"&gt;="&amp;AJ$1,'UX Weekly'!$H$1:$CT$1,"&lt;="&amp;EOMONTH(AJ$1,0),'UX Weekly'!$H28:$CT28,"&lt;&gt;"))</f>
        <v>0</v>
      </c>
      <c r="AK28">
        <f>IF($B28="",0,COUNTIFS('UX Weekly'!$H$1:$CT$1,"&gt;="&amp;AK$1,'UX Weekly'!$H$1:$CT$1,"&lt;="&amp;EOMONTH(AK$1,0),'UX Weekly'!$H28:$CT28,"&lt;&gt;"))</f>
        <v>0</v>
      </c>
      <c r="AL28">
        <f>IF($B28="",0,COUNTIFS('UX Weekly'!$H$1:$CT$1,"&gt;="&amp;AL$1,'UX Weekly'!$H$1:$CT$1,"&lt;="&amp;EOMONTH(AL$1,0),'UX Weekly'!$H28:$CT28,"&lt;&gt;"))</f>
        <v>0</v>
      </c>
      <c r="AM28">
        <f>IF($B28="",0,COUNTIFS('UX Weekly'!$H$1:$CT$1,"&gt;="&amp;AM$1,'UX Weekly'!$H$1:$CT$1,"&lt;="&amp;EOMONTH(AM$1,0),'UX Weekly'!$H28:$CT28,"&lt;&gt;"))</f>
        <v>0</v>
      </c>
      <c r="AN28">
        <f>IF($B28="",0,COUNTIFS('UX Weekly'!$H$1:$CT$1,"&gt;="&amp;AN$1,'UX Weekly'!$H$1:$CT$1,"&lt;="&amp;EOMONTH(AN$1,0),'UX Weekly'!$H28:$CT28,"&lt;&gt;"))</f>
        <v>0</v>
      </c>
      <c r="AO28">
        <f>IF($B28="",0,COUNTIFS('UX Weekly'!$H$1:$CT$1,"&gt;="&amp;AO$1,'UX Weekly'!$H$1:$CT$1,"&lt;="&amp;EOMONTH(AO$1,0),'UX Weekly'!$H28:$CT28,"&lt;&gt;"))</f>
        <v>0</v>
      </c>
      <c r="AP28">
        <f>IF($B28="",0,COUNTIFS('UX Weekly'!$H$1:$CT$1,"&gt;="&amp;AP$1,'UX Weekly'!$H$1:$CT$1,"&lt;="&amp;EOMONTH(AP$1,0),'UX Weekly'!$H28:$CT28,"&lt;&gt;"))</f>
        <v>0</v>
      </c>
      <c r="AQ28">
        <f>IF($B28="",0,COUNTIFS('UX Weekly'!$H$1:$CT$1,"&gt;="&amp;AQ$1,'UX Weekly'!$H$1:$CT$1,"&lt;="&amp;EOMONTH(AQ$1,0),'UX Weekly'!$H28:$CT28,"&lt;&gt;"))</f>
        <v>0</v>
      </c>
      <c r="AR28">
        <f>IF($B28="",0,COUNTIFS('UX Weekly'!$H$1:$CT$1,"&gt;="&amp;AR$1,'UX Weekly'!$H$1:$CT$1,"&lt;="&amp;EOMONTH(AR$1,0),'UX Weekly'!$H28:$CT28,"&lt;&gt;"))</f>
        <v>0</v>
      </c>
      <c r="AS28">
        <f>IF($B28="",0,COUNTIFS('UX Weekly'!$H$1:$CT$1,"&gt;="&amp;AS$1,'UX Weekly'!$H$1:$CT$1,"&lt;="&amp;EOMONTH(AS$1,0),'UX Weekly'!$H28:$CT28,"&lt;&gt;"))</f>
        <v>0</v>
      </c>
      <c r="AT28">
        <f>IF($B28="",0,COUNTIFS('UX Weekly'!$H$1:$CT$1,"&gt;="&amp;AT$1,'UX Weekly'!$H$1:$CT$1,"&lt;="&amp;EOMONTH(AT$1,0),'UX Weekly'!$H28:$CT28,"&lt;&gt;"))</f>
        <v>0</v>
      </c>
      <c r="AU28">
        <f>IF($B28="",0,COUNTIFS('UX Weekly'!$H$1:$CT$1,"&gt;="&amp;AU$1,'UX Weekly'!$H$1:$CT$1,"&lt;="&amp;EOMONTH(AU$1,0),'UX Weekly'!$H28:$CT28,"&lt;&gt;"))</f>
        <v>0</v>
      </c>
      <c r="AV28">
        <f>IF($B28="",0,COUNTIFS('UX Weekly'!$H$1:$CT$1,"&gt;="&amp;AV$1,'UX Weekly'!$H$1:$CT$1,"&lt;="&amp;EOMONTH(AV$1,0),'UX Weekly'!$H28:$CT28,"&lt;&gt;"))</f>
        <v>0</v>
      </c>
      <c r="AW28">
        <f>IF($B28="",0,COUNTIFS('UX Weekly'!$H$1:$CT$1,"&gt;="&amp;AW$1,'UX Weekly'!$H$1:$CT$1,"&lt;="&amp;EOMONTH(AW$1,0),'UX Weekly'!$H28:$CT28,"&lt;&gt;"))</f>
        <v>0</v>
      </c>
      <c r="AX28">
        <f>IF($B28="",0,COUNTIFS('UX Weekly'!$H$1:$CT$1,"&gt;="&amp;AX$1,'UX Weekly'!$H$1:$CT$1,"&lt;="&amp;EOMONTH(AX$1,0),'UX Weekly'!$H28:$CT28,"&lt;&gt;"))</f>
        <v>0</v>
      </c>
    </row>
    <row r="29" spans="1:50" x14ac:dyDescent="0.2">
      <c r="A29" s="152">
        <v>29</v>
      </c>
      <c r="B29" s="152" t="str">
        <f>IF(TRIM('UX Weekly'!E29)="","",TRIM('UX Weekly'!E29))</f>
        <v>B2B Hub - Revisit Signup Flow</v>
      </c>
      <c r="C29" s="152" t="str">
        <f>IF($B29="","",'UX Weekly'!B29)</f>
        <v>B2B</v>
      </c>
      <c r="D29" s="152" t="str">
        <f>IF($B29="","",IF(TRIM('UX Weekly'!C29)="","(No theme assigned)",TRIM('UX Weekly'!C29)))</f>
        <v>Increase B2B Acquisition</v>
      </c>
      <c r="E29" s="152" t="str">
        <f>IF($B29="","",TRIM('UX Weekly'!F29))</f>
        <v>BHUX-31874</v>
      </c>
      <c r="F29" s="152" t="str">
        <f>IF($B29="","",'UX Weekly'!G29)</f>
        <v>07. Grooming</v>
      </c>
      <c r="G29" s="153">
        <f t="array" ref="G29">IF($B29="","",IF($T29=0,"",IFERROR(MIN(IF('UX Weekly'!$H29:$CT29&lt;&gt;"",'UX Weekly'!$H$1:$CT$1)),"")))</f>
        <v>46125</v>
      </c>
      <c r="H29" s="153">
        <f t="array" ref="H29">IF($B29="","",IF($T29=0,"",IFERROR(MAX(IF('UX Weekly'!$H29:$CT29&lt;&gt;"",'UX Weekly'!$H$1:$CT$1)),"")))</f>
        <v>46167</v>
      </c>
      <c r="I29" s="154">
        <f t="shared" ca="1" si="0"/>
        <v>46296</v>
      </c>
      <c r="J29" s="154">
        <f t="shared" ca="1" si="1"/>
        <v>46387</v>
      </c>
      <c r="K29" s="152" t="str">
        <f>IF($B29="","",IF(COUNTA('Dev Tracker'!L29)=0,"",TRIM('Dev Tracker'!L29)))</f>
        <v/>
      </c>
      <c r="L29" s="152">
        <f>IF($B29="","",IFERROR(MATCH($D29,Control!$E$4:$E$30,0),99))</f>
        <v>8</v>
      </c>
      <c r="M29" s="152">
        <f>IF($B29="","",IFERROR(MATCH($F29,Control!$B$4:$B$30,0),99))</f>
        <v>10</v>
      </c>
      <c r="N29" s="152" t="str">
        <f>IF($V29&lt;&gt;1,"",IF('Roadmap (Auto)'!$D$3="Status, then Theme",$M29*1000000+$L29*10000+ROW(),IF('Roadmap (Auto)'!$D$3="Dev start (earliest)",IF($I29="",99999999,$I29)*10000+ROW(),IF('Roadmap (Auto)'!$D$3="UX start (earliest)",IF($G29="",99999999,$G29)*10000+ROW(),IF('Roadmap (Auto)'!$D$3="Deliverable A-Z",$W29*10000+ROW(),$L29*1000000+$M29*10000+ROW())))))</f>
        <v/>
      </c>
      <c r="O29" s="152" t="str">
        <f t="shared" si="2"/>
        <v/>
      </c>
      <c r="P29" s="152" t="str">
        <f>IF($B29="","",IF(COUNTA('Dev Tracker'!I29)=0,"",'Dev Tracker'!I29))</f>
        <v>Oct 2026</v>
      </c>
      <c r="Q29" s="152" t="str">
        <f>IF($B29="","",IF(COUNTA('Dev Tracker'!J29)=0,"",'Dev Tracker'!J29))</f>
        <v>Dec 2026</v>
      </c>
      <c r="R29" s="154">
        <f t="shared" ca="1" si="3"/>
        <v>46296</v>
      </c>
      <c r="S29" s="154">
        <f t="shared" ca="1" si="4"/>
        <v>46357</v>
      </c>
      <c r="T29" s="152">
        <f>IF($B29="","",COUNTA('UX Weekly'!$H29:$CT29))</f>
        <v>7</v>
      </c>
      <c r="U29" s="152">
        <f>IF($B29="","",IFERROR(MATCH($D29,Control!$E$4:$E$30,0)+3,0))</f>
        <v>11</v>
      </c>
      <c r="V29" s="152">
        <f>IF($B29="","",IF(AND(OR('Roadmap (Auto)'!$A$3="",'Roadmap (Auto)'!$A$3="(All)",ISNUMBER(SEARCH('Roadmap (Auto)'!$A$3,$C29&amp;""))),OR('Roadmap (Auto)'!$B$3="",'Roadmap (Auto)'!$B$3="(All)",$D29='Roadmap (Auto)'!$B$3,$X29='Roadmap (Auto)'!$B$3),OR('Roadmap (Auto)'!$C$3="",'Roadmap (Auto)'!$C$3="(All)",$F29='Roadmap (Auto)'!$C$3)),1,0))</f>
        <v>0</v>
      </c>
      <c r="W29" s="152">
        <f t="shared" si="5"/>
        <v>112</v>
      </c>
      <c r="X29" s="152" t="str">
        <f>IF($B29="","",IF(TRIM('UX Weekly'!D29)="","",TRIM('UX Weekly'!D29)))</f>
        <v/>
      </c>
      <c r="Y29" s="152" t="str">
        <f t="shared" si="6"/>
        <v>B2BHUBREVISITSIGNUPFLOW</v>
      </c>
      <c r="AA29">
        <f>IF($B29="",0,COUNTIFS('UX Weekly'!$H$1:$CT$1,"&gt;="&amp;AA$1,'UX Weekly'!$H$1:$CT$1,"&lt;="&amp;EOMONTH(AA$1,0),'UX Weekly'!$H29:$CT29,"&lt;&gt;"))</f>
        <v>0</v>
      </c>
      <c r="AB29">
        <f>IF($B29="",0,COUNTIFS('UX Weekly'!$H$1:$CT$1,"&gt;="&amp;AB$1,'UX Weekly'!$H$1:$CT$1,"&lt;="&amp;EOMONTH(AB$1,0),'UX Weekly'!$H29:$CT29,"&lt;&gt;"))</f>
        <v>0</v>
      </c>
      <c r="AC29">
        <f>IF($B29="",0,COUNTIFS('UX Weekly'!$H$1:$CT$1,"&gt;="&amp;AC$1,'UX Weekly'!$H$1:$CT$1,"&lt;="&amp;EOMONTH(AC$1,0),'UX Weekly'!$H29:$CT29,"&lt;&gt;"))</f>
        <v>0</v>
      </c>
      <c r="AD29">
        <f>IF($B29="",0,COUNTIFS('UX Weekly'!$H$1:$CT$1,"&gt;="&amp;AD$1,'UX Weekly'!$H$1:$CT$1,"&lt;="&amp;EOMONTH(AD$1,0),'UX Weekly'!$H29:$CT29,"&lt;&gt;"))</f>
        <v>3</v>
      </c>
      <c r="AE29">
        <f>IF($B29="",0,COUNTIFS('UX Weekly'!$H$1:$CT$1,"&gt;="&amp;AE$1,'UX Weekly'!$H$1:$CT$1,"&lt;="&amp;EOMONTH(AE$1,0),'UX Weekly'!$H29:$CT29,"&lt;&gt;"))</f>
        <v>4</v>
      </c>
      <c r="AF29">
        <f>IF($B29="",0,COUNTIFS('UX Weekly'!$H$1:$CT$1,"&gt;="&amp;AF$1,'UX Weekly'!$H$1:$CT$1,"&lt;="&amp;EOMONTH(AF$1,0),'UX Weekly'!$H29:$CT29,"&lt;&gt;"))</f>
        <v>0</v>
      </c>
      <c r="AG29">
        <f>IF($B29="",0,COUNTIFS('UX Weekly'!$H$1:$CT$1,"&gt;="&amp;AG$1,'UX Weekly'!$H$1:$CT$1,"&lt;="&amp;EOMONTH(AG$1,0),'UX Weekly'!$H29:$CT29,"&lt;&gt;"))</f>
        <v>0</v>
      </c>
      <c r="AH29">
        <f>IF($B29="",0,COUNTIFS('UX Weekly'!$H$1:$CT$1,"&gt;="&amp;AH$1,'UX Weekly'!$H$1:$CT$1,"&lt;="&amp;EOMONTH(AH$1,0),'UX Weekly'!$H29:$CT29,"&lt;&gt;"))</f>
        <v>0</v>
      </c>
      <c r="AI29">
        <f>IF($B29="",0,COUNTIFS('UX Weekly'!$H$1:$CT$1,"&gt;="&amp;AI$1,'UX Weekly'!$H$1:$CT$1,"&lt;="&amp;EOMONTH(AI$1,0),'UX Weekly'!$H29:$CT29,"&lt;&gt;"))</f>
        <v>0</v>
      </c>
      <c r="AJ29">
        <f>IF($B29="",0,COUNTIFS('UX Weekly'!$H$1:$CT$1,"&gt;="&amp;AJ$1,'UX Weekly'!$H$1:$CT$1,"&lt;="&amp;EOMONTH(AJ$1,0),'UX Weekly'!$H29:$CT29,"&lt;&gt;"))</f>
        <v>0</v>
      </c>
      <c r="AK29">
        <f>IF($B29="",0,COUNTIFS('UX Weekly'!$H$1:$CT$1,"&gt;="&amp;AK$1,'UX Weekly'!$H$1:$CT$1,"&lt;="&amp;EOMONTH(AK$1,0),'UX Weekly'!$H29:$CT29,"&lt;&gt;"))</f>
        <v>0</v>
      </c>
      <c r="AL29">
        <f>IF($B29="",0,COUNTIFS('UX Weekly'!$H$1:$CT$1,"&gt;="&amp;AL$1,'UX Weekly'!$H$1:$CT$1,"&lt;="&amp;EOMONTH(AL$1,0),'UX Weekly'!$H29:$CT29,"&lt;&gt;"))</f>
        <v>0</v>
      </c>
      <c r="AM29">
        <f>IF($B29="",0,COUNTIFS('UX Weekly'!$H$1:$CT$1,"&gt;="&amp;AM$1,'UX Weekly'!$H$1:$CT$1,"&lt;="&amp;EOMONTH(AM$1,0),'UX Weekly'!$H29:$CT29,"&lt;&gt;"))</f>
        <v>0</v>
      </c>
      <c r="AN29">
        <f>IF($B29="",0,COUNTIFS('UX Weekly'!$H$1:$CT$1,"&gt;="&amp;AN$1,'UX Weekly'!$H$1:$CT$1,"&lt;="&amp;EOMONTH(AN$1,0),'UX Weekly'!$H29:$CT29,"&lt;&gt;"))</f>
        <v>0</v>
      </c>
      <c r="AO29">
        <f>IF($B29="",0,COUNTIFS('UX Weekly'!$H$1:$CT$1,"&gt;="&amp;AO$1,'UX Weekly'!$H$1:$CT$1,"&lt;="&amp;EOMONTH(AO$1,0),'UX Weekly'!$H29:$CT29,"&lt;&gt;"))</f>
        <v>0</v>
      </c>
      <c r="AP29">
        <f>IF($B29="",0,COUNTIFS('UX Weekly'!$H$1:$CT$1,"&gt;="&amp;AP$1,'UX Weekly'!$H$1:$CT$1,"&lt;="&amp;EOMONTH(AP$1,0),'UX Weekly'!$H29:$CT29,"&lt;&gt;"))</f>
        <v>0</v>
      </c>
      <c r="AQ29">
        <f>IF($B29="",0,COUNTIFS('UX Weekly'!$H$1:$CT$1,"&gt;="&amp;AQ$1,'UX Weekly'!$H$1:$CT$1,"&lt;="&amp;EOMONTH(AQ$1,0),'UX Weekly'!$H29:$CT29,"&lt;&gt;"))</f>
        <v>0</v>
      </c>
      <c r="AR29">
        <f>IF($B29="",0,COUNTIFS('UX Weekly'!$H$1:$CT$1,"&gt;="&amp;AR$1,'UX Weekly'!$H$1:$CT$1,"&lt;="&amp;EOMONTH(AR$1,0),'UX Weekly'!$H29:$CT29,"&lt;&gt;"))</f>
        <v>0</v>
      </c>
      <c r="AS29">
        <f>IF($B29="",0,COUNTIFS('UX Weekly'!$H$1:$CT$1,"&gt;="&amp;AS$1,'UX Weekly'!$H$1:$CT$1,"&lt;="&amp;EOMONTH(AS$1,0),'UX Weekly'!$H29:$CT29,"&lt;&gt;"))</f>
        <v>0</v>
      </c>
      <c r="AT29">
        <f>IF($B29="",0,COUNTIFS('UX Weekly'!$H$1:$CT$1,"&gt;="&amp;AT$1,'UX Weekly'!$H$1:$CT$1,"&lt;="&amp;EOMONTH(AT$1,0),'UX Weekly'!$H29:$CT29,"&lt;&gt;"))</f>
        <v>0</v>
      </c>
      <c r="AU29">
        <f>IF($B29="",0,COUNTIFS('UX Weekly'!$H$1:$CT$1,"&gt;="&amp;AU$1,'UX Weekly'!$H$1:$CT$1,"&lt;="&amp;EOMONTH(AU$1,0),'UX Weekly'!$H29:$CT29,"&lt;&gt;"))</f>
        <v>0</v>
      </c>
      <c r="AV29">
        <f>IF($B29="",0,COUNTIFS('UX Weekly'!$H$1:$CT$1,"&gt;="&amp;AV$1,'UX Weekly'!$H$1:$CT$1,"&lt;="&amp;EOMONTH(AV$1,0),'UX Weekly'!$H29:$CT29,"&lt;&gt;"))</f>
        <v>0</v>
      </c>
      <c r="AW29">
        <f>IF($B29="",0,COUNTIFS('UX Weekly'!$H$1:$CT$1,"&gt;="&amp;AW$1,'UX Weekly'!$H$1:$CT$1,"&lt;="&amp;EOMONTH(AW$1,0),'UX Weekly'!$H29:$CT29,"&lt;&gt;"))</f>
        <v>0</v>
      </c>
      <c r="AX29">
        <f>IF($B29="",0,COUNTIFS('UX Weekly'!$H$1:$CT$1,"&gt;="&amp;AX$1,'UX Weekly'!$H$1:$CT$1,"&lt;="&amp;EOMONTH(AX$1,0),'UX Weekly'!$H29:$CT29,"&lt;&gt;"))</f>
        <v>0</v>
      </c>
    </row>
    <row r="30" spans="1:50" x14ac:dyDescent="0.2">
      <c r="A30" s="152">
        <v>30</v>
      </c>
      <c r="B30" s="152" t="str">
        <f>IF(TRIM('UX Weekly'!E30)="","",TRIM('UX Weekly'!E30))</f>
        <v>B2B Hub Redesign - Internal Pages</v>
      </c>
      <c r="C30" s="152" t="str">
        <f>IF($B30="","",'UX Weekly'!B30)</f>
        <v>B2B</v>
      </c>
      <c r="D30" s="152" t="str">
        <f>IF($B30="","",IF(TRIM('UX Weekly'!C30)="","(No theme assigned)",TRIM('UX Weekly'!C30)))</f>
        <v>Increase B2B Acquisition</v>
      </c>
      <c r="E30" s="152" t="str">
        <f>IF($B30="","",TRIM('UX Weekly'!F30))</f>
        <v>BHUX-32257</v>
      </c>
      <c r="F30" s="152" t="str">
        <f>IF($B30="","",'UX Weekly'!G30)</f>
        <v>07. Grooming</v>
      </c>
      <c r="G30" s="153">
        <f t="array" ref="G30">IF($B30="","",IF($T30=0,"",IFERROR(MIN(IF('UX Weekly'!$H30:$CT30&lt;&gt;"",'UX Weekly'!$H$1:$CT$1)),"")))</f>
        <v>46132</v>
      </c>
      <c r="H30" s="153">
        <f t="array" ref="H30">IF($B30="","",IF($T30=0,"",IFERROR(MAX(IF('UX Weekly'!$H30:$CT30&lt;&gt;"",'UX Weekly'!$H$1:$CT$1)),"")))</f>
        <v>46153</v>
      </c>
      <c r="I30" s="154">
        <f t="shared" ca="1" si="0"/>
        <v>46296</v>
      </c>
      <c r="J30" s="154">
        <f t="shared" ca="1" si="1"/>
        <v>46387</v>
      </c>
      <c r="K30" s="152" t="str">
        <f>IF($B30="","",IF(COUNTA('Dev Tracker'!L30)=0,"",TRIM('Dev Tracker'!L30)))</f>
        <v/>
      </c>
      <c r="L30" s="152">
        <f>IF($B30="","",IFERROR(MATCH($D30,Control!$E$4:$E$30,0),99))</f>
        <v>8</v>
      </c>
      <c r="M30" s="152">
        <f>IF($B30="","",IFERROR(MATCH($F30,Control!$B$4:$B$30,0),99))</f>
        <v>10</v>
      </c>
      <c r="N30" s="152" t="str">
        <f>IF($V30&lt;&gt;1,"",IF('Roadmap (Auto)'!$D$3="Status, then Theme",$M30*1000000+$L30*10000+ROW(),IF('Roadmap (Auto)'!$D$3="Dev start (earliest)",IF($I30="",99999999,$I30)*10000+ROW(),IF('Roadmap (Auto)'!$D$3="UX start (earliest)",IF($G30="",99999999,$G30)*10000+ROW(),IF('Roadmap (Auto)'!$D$3="Deliverable A-Z",$W30*10000+ROW(),$L30*1000000+$M30*10000+ROW())))))</f>
        <v/>
      </c>
      <c r="O30" s="152" t="str">
        <f t="shared" si="2"/>
        <v/>
      </c>
      <c r="P30" s="152" t="str">
        <f>IF($B30="","",IF(COUNTA('Dev Tracker'!I30)=0,"",'Dev Tracker'!I30))</f>
        <v>Oct 2026</v>
      </c>
      <c r="Q30" s="152" t="str">
        <f>IF($B30="","",IF(COUNTA('Dev Tracker'!J30)=0,"",'Dev Tracker'!J30))</f>
        <v>Dec 2026</v>
      </c>
      <c r="R30" s="154">
        <f t="shared" ca="1" si="3"/>
        <v>46296</v>
      </c>
      <c r="S30" s="154">
        <f t="shared" ca="1" si="4"/>
        <v>46357</v>
      </c>
      <c r="T30" s="152">
        <f>IF($B30="","",COUNTA('UX Weekly'!$H30:$CT30))</f>
        <v>4</v>
      </c>
      <c r="U30" s="152">
        <f>IF($B30="","",IFERROR(MATCH($D30,Control!$E$4:$E$30,0)+3,0))</f>
        <v>11</v>
      </c>
      <c r="V30" s="152">
        <f>IF($B30="","",IF(AND(OR('Roadmap (Auto)'!$A$3="",'Roadmap (Auto)'!$A$3="(All)",ISNUMBER(SEARCH('Roadmap (Auto)'!$A$3,$C30&amp;""))),OR('Roadmap (Auto)'!$B$3="",'Roadmap (Auto)'!$B$3="(All)",$D30='Roadmap (Auto)'!$B$3,$X30='Roadmap (Auto)'!$B$3),OR('Roadmap (Auto)'!$C$3="",'Roadmap (Auto)'!$C$3="(All)",$F30='Roadmap (Auto)'!$C$3)),1,0))</f>
        <v>0</v>
      </c>
      <c r="W30" s="152">
        <f t="shared" si="5"/>
        <v>111</v>
      </c>
      <c r="X30" s="152" t="str">
        <f>IF($B30="","",IF(TRIM('UX Weekly'!D30)="","",TRIM('UX Weekly'!D30)))</f>
        <v/>
      </c>
      <c r="Y30" s="152" t="str">
        <f t="shared" si="6"/>
        <v>B2BHUBREDESIGNINTERNALPAGES</v>
      </c>
      <c r="AA30">
        <f>IF($B30="",0,COUNTIFS('UX Weekly'!$H$1:$CT$1,"&gt;="&amp;AA$1,'UX Weekly'!$H$1:$CT$1,"&lt;="&amp;EOMONTH(AA$1,0),'UX Weekly'!$H30:$CT30,"&lt;&gt;"))</f>
        <v>0</v>
      </c>
      <c r="AB30">
        <f>IF($B30="",0,COUNTIFS('UX Weekly'!$H$1:$CT$1,"&gt;="&amp;AB$1,'UX Weekly'!$H$1:$CT$1,"&lt;="&amp;EOMONTH(AB$1,0),'UX Weekly'!$H30:$CT30,"&lt;&gt;"))</f>
        <v>0</v>
      </c>
      <c r="AC30">
        <f>IF($B30="",0,COUNTIFS('UX Weekly'!$H$1:$CT$1,"&gt;="&amp;AC$1,'UX Weekly'!$H$1:$CT$1,"&lt;="&amp;EOMONTH(AC$1,0),'UX Weekly'!$H30:$CT30,"&lt;&gt;"))</f>
        <v>0</v>
      </c>
      <c r="AD30">
        <f>IF($B30="",0,COUNTIFS('UX Weekly'!$H$1:$CT$1,"&gt;="&amp;AD$1,'UX Weekly'!$H$1:$CT$1,"&lt;="&amp;EOMONTH(AD$1,0),'UX Weekly'!$H30:$CT30,"&lt;&gt;"))</f>
        <v>2</v>
      </c>
      <c r="AE30">
        <f>IF($B30="",0,COUNTIFS('UX Weekly'!$H$1:$CT$1,"&gt;="&amp;AE$1,'UX Weekly'!$H$1:$CT$1,"&lt;="&amp;EOMONTH(AE$1,0),'UX Weekly'!$H30:$CT30,"&lt;&gt;"))</f>
        <v>2</v>
      </c>
      <c r="AF30">
        <f>IF($B30="",0,COUNTIFS('UX Weekly'!$H$1:$CT$1,"&gt;="&amp;AF$1,'UX Weekly'!$H$1:$CT$1,"&lt;="&amp;EOMONTH(AF$1,0),'UX Weekly'!$H30:$CT30,"&lt;&gt;"))</f>
        <v>0</v>
      </c>
      <c r="AG30">
        <f>IF($B30="",0,COUNTIFS('UX Weekly'!$H$1:$CT$1,"&gt;="&amp;AG$1,'UX Weekly'!$H$1:$CT$1,"&lt;="&amp;EOMONTH(AG$1,0),'UX Weekly'!$H30:$CT30,"&lt;&gt;"))</f>
        <v>0</v>
      </c>
      <c r="AH30">
        <f>IF($B30="",0,COUNTIFS('UX Weekly'!$H$1:$CT$1,"&gt;="&amp;AH$1,'UX Weekly'!$H$1:$CT$1,"&lt;="&amp;EOMONTH(AH$1,0),'UX Weekly'!$H30:$CT30,"&lt;&gt;"))</f>
        <v>0</v>
      </c>
      <c r="AI30">
        <f>IF($B30="",0,COUNTIFS('UX Weekly'!$H$1:$CT$1,"&gt;="&amp;AI$1,'UX Weekly'!$H$1:$CT$1,"&lt;="&amp;EOMONTH(AI$1,0),'UX Weekly'!$H30:$CT30,"&lt;&gt;"))</f>
        <v>0</v>
      </c>
      <c r="AJ30">
        <f>IF($B30="",0,COUNTIFS('UX Weekly'!$H$1:$CT$1,"&gt;="&amp;AJ$1,'UX Weekly'!$H$1:$CT$1,"&lt;="&amp;EOMONTH(AJ$1,0),'UX Weekly'!$H30:$CT30,"&lt;&gt;"))</f>
        <v>0</v>
      </c>
      <c r="AK30">
        <f>IF($B30="",0,COUNTIFS('UX Weekly'!$H$1:$CT$1,"&gt;="&amp;AK$1,'UX Weekly'!$H$1:$CT$1,"&lt;="&amp;EOMONTH(AK$1,0),'UX Weekly'!$H30:$CT30,"&lt;&gt;"))</f>
        <v>0</v>
      </c>
      <c r="AL30">
        <f>IF($B30="",0,COUNTIFS('UX Weekly'!$H$1:$CT$1,"&gt;="&amp;AL$1,'UX Weekly'!$H$1:$CT$1,"&lt;="&amp;EOMONTH(AL$1,0),'UX Weekly'!$H30:$CT30,"&lt;&gt;"))</f>
        <v>0</v>
      </c>
      <c r="AM30">
        <f>IF($B30="",0,COUNTIFS('UX Weekly'!$H$1:$CT$1,"&gt;="&amp;AM$1,'UX Weekly'!$H$1:$CT$1,"&lt;="&amp;EOMONTH(AM$1,0),'UX Weekly'!$H30:$CT30,"&lt;&gt;"))</f>
        <v>0</v>
      </c>
      <c r="AN30">
        <f>IF($B30="",0,COUNTIFS('UX Weekly'!$H$1:$CT$1,"&gt;="&amp;AN$1,'UX Weekly'!$H$1:$CT$1,"&lt;="&amp;EOMONTH(AN$1,0),'UX Weekly'!$H30:$CT30,"&lt;&gt;"))</f>
        <v>0</v>
      </c>
      <c r="AO30">
        <f>IF($B30="",0,COUNTIFS('UX Weekly'!$H$1:$CT$1,"&gt;="&amp;AO$1,'UX Weekly'!$H$1:$CT$1,"&lt;="&amp;EOMONTH(AO$1,0),'UX Weekly'!$H30:$CT30,"&lt;&gt;"))</f>
        <v>0</v>
      </c>
      <c r="AP30">
        <f>IF($B30="",0,COUNTIFS('UX Weekly'!$H$1:$CT$1,"&gt;="&amp;AP$1,'UX Weekly'!$H$1:$CT$1,"&lt;="&amp;EOMONTH(AP$1,0),'UX Weekly'!$H30:$CT30,"&lt;&gt;"))</f>
        <v>0</v>
      </c>
      <c r="AQ30">
        <f>IF($B30="",0,COUNTIFS('UX Weekly'!$H$1:$CT$1,"&gt;="&amp;AQ$1,'UX Weekly'!$H$1:$CT$1,"&lt;="&amp;EOMONTH(AQ$1,0),'UX Weekly'!$H30:$CT30,"&lt;&gt;"))</f>
        <v>0</v>
      </c>
      <c r="AR30">
        <f>IF($B30="",0,COUNTIFS('UX Weekly'!$H$1:$CT$1,"&gt;="&amp;AR$1,'UX Weekly'!$H$1:$CT$1,"&lt;="&amp;EOMONTH(AR$1,0),'UX Weekly'!$H30:$CT30,"&lt;&gt;"))</f>
        <v>0</v>
      </c>
      <c r="AS30">
        <f>IF($B30="",0,COUNTIFS('UX Weekly'!$H$1:$CT$1,"&gt;="&amp;AS$1,'UX Weekly'!$H$1:$CT$1,"&lt;="&amp;EOMONTH(AS$1,0),'UX Weekly'!$H30:$CT30,"&lt;&gt;"))</f>
        <v>0</v>
      </c>
      <c r="AT30">
        <f>IF($B30="",0,COUNTIFS('UX Weekly'!$H$1:$CT$1,"&gt;="&amp;AT$1,'UX Weekly'!$H$1:$CT$1,"&lt;="&amp;EOMONTH(AT$1,0),'UX Weekly'!$H30:$CT30,"&lt;&gt;"))</f>
        <v>0</v>
      </c>
      <c r="AU30">
        <f>IF($B30="",0,COUNTIFS('UX Weekly'!$H$1:$CT$1,"&gt;="&amp;AU$1,'UX Weekly'!$H$1:$CT$1,"&lt;="&amp;EOMONTH(AU$1,0),'UX Weekly'!$H30:$CT30,"&lt;&gt;"))</f>
        <v>0</v>
      </c>
      <c r="AV30">
        <f>IF($B30="",0,COUNTIFS('UX Weekly'!$H$1:$CT$1,"&gt;="&amp;AV$1,'UX Weekly'!$H$1:$CT$1,"&lt;="&amp;EOMONTH(AV$1,0),'UX Weekly'!$H30:$CT30,"&lt;&gt;"))</f>
        <v>0</v>
      </c>
      <c r="AW30">
        <f>IF($B30="",0,COUNTIFS('UX Weekly'!$H$1:$CT$1,"&gt;="&amp;AW$1,'UX Weekly'!$H$1:$CT$1,"&lt;="&amp;EOMONTH(AW$1,0),'UX Weekly'!$H30:$CT30,"&lt;&gt;"))</f>
        <v>0</v>
      </c>
      <c r="AX30">
        <f>IF($B30="",0,COUNTIFS('UX Weekly'!$H$1:$CT$1,"&gt;="&amp;AX$1,'UX Weekly'!$H$1:$CT$1,"&lt;="&amp;EOMONTH(AX$1,0),'UX Weekly'!$H30:$CT30,"&lt;&gt;"))</f>
        <v>0</v>
      </c>
    </row>
    <row r="31" spans="1:50" x14ac:dyDescent="0.2">
      <c r="A31" s="152">
        <v>31</v>
      </c>
      <c r="B31" s="152" t="str">
        <f>IF(TRIM('UX Weekly'!E31)="","",TRIM('UX Weekly'!E31))</f>
        <v>New Condition Rating Scale (Intermediate Step)</v>
      </c>
      <c r="C31" s="152" t="str">
        <f>IF($B31="","",'UX Weekly'!B31)</f>
        <v>Used</v>
      </c>
      <c r="D31" s="152" t="str">
        <f>IF($B31="","",IF(TRIM('UX Weekly'!C31)="","(No theme assigned)",TRIM('UX Weekly'!C31)))</f>
        <v>Improve Buy Used Customer Experience</v>
      </c>
      <c r="E31" s="152" t="str">
        <f>IF($B31="","",TRIM('UX Weekly'!F31))</f>
        <v>BHJ-121278</v>
      </c>
      <c r="F31" s="152" t="str">
        <f>IF($B31="","",'UX Weekly'!G31)</f>
        <v>07. Grooming</v>
      </c>
      <c r="G31" s="153" t="str">
        <f t="array" ref="G31">IF($B31="","",IF($T31=0,"",IFERROR(MIN(IF('UX Weekly'!$H31:$CT31&lt;&gt;"",'UX Weekly'!$H$1:$CT$1)),"")))</f>
        <v/>
      </c>
      <c r="H31" s="153" t="str">
        <f t="array" ref="H31">IF($B31="","",IF($T31=0,"",IFERROR(MAX(IF('UX Weekly'!$H31:$CT31&lt;&gt;"",'UX Weekly'!$H$1:$CT$1)),"")))</f>
        <v/>
      </c>
      <c r="I31" s="154">
        <f t="shared" ca="1" si="0"/>
        <v>46296</v>
      </c>
      <c r="J31" s="154">
        <f t="shared" ca="1" si="1"/>
        <v>46326</v>
      </c>
      <c r="K31" s="152" t="str">
        <f>IF($B31="","",IF(COUNTA('Dev Tracker'!L31)=0,"",TRIM('Dev Tracker'!L31)))</f>
        <v>BHP-7238</v>
      </c>
      <c r="L31" s="152">
        <f>IF($B31="","",IFERROR(MATCH($D31,Control!$E$4:$E$30,0),99))</f>
        <v>6</v>
      </c>
      <c r="M31" s="152">
        <f>IF($B31="","",IFERROR(MATCH($F31,Control!$B$4:$B$30,0),99))</f>
        <v>10</v>
      </c>
      <c r="N31" s="152">
        <f>IF($V31&lt;&gt;1,"",IF('Roadmap (Auto)'!$D$3="Status, then Theme",$M31*1000000+$L31*10000+ROW(),IF('Roadmap (Auto)'!$D$3="Dev start (earliest)",IF($I31="",99999999,$I31)*10000+ROW(),IF('Roadmap (Auto)'!$D$3="UX start (earliest)",IF($G31="",99999999,$G31)*10000+ROW(),IF('Roadmap (Auto)'!$D$3="Deliverable A-Z",$W31*10000+ROW(),$L31*1000000+$M31*10000+ROW())))))</f>
        <v>6100031</v>
      </c>
      <c r="O31" s="152">
        <f t="shared" si="2"/>
        <v>22</v>
      </c>
      <c r="P31" s="152" t="str">
        <f>IF($B31="","",IF(COUNTA('Dev Tracker'!I31)=0,"",'Dev Tracker'!I31))</f>
        <v>Oct 2026</v>
      </c>
      <c r="Q31" s="152" t="str">
        <f>IF($B31="","",IF(COUNTA('Dev Tracker'!J31)=0,"",'Dev Tracker'!J31))</f>
        <v>Oct 2026</v>
      </c>
      <c r="R31" s="154">
        <f t="shared" ca="1" si="3"/>
        <v>46296</v>
      </c>
      <c r="S31" s="154">
        <f t="shared" ca="1" si="4"/>
        <v>46296</v>
      </c>
      <c r="T31" s="152">
        <f>IF($B31="","",COUNTA('UX Weekly'!$H31:$CT31))</f>
        <v>0</v>
      </c>
      <c r="U31" s="152">
        <f>IF($B31="","",IFERROR(MATCH($D31,Control!$E$4:$E$30,0)+3,0))</f>
        <v>9</v>
      </c>
      <c r="V31" s="152">
        <f>IF($B31="","",IF(AND(OR('Roadmap (Auto)'!$A$3="",'Roadmap (Auto)'!$A$3="(All)",ISNUMBER(SEARCH('Roadmap (Auto)'!$A$3,$C31&amp;""))),OR('Roadmap (Auto)'!$B$3="",'Roadmap (Auto)'!$B$3="(All)",$D31='Roadmap (Auto)'!$B$3,$X31='Roadmap (Auto)'!$B$3),OR('Roadmap (Auto)'!$C$3="",'Roadmap (Auto)'!$C$3="(All)",$F31='Roadmap (Auto)'!$C$3)),1,0))</f>
        <v>1</v>
      </c>
      <c r="W31" s="152">
        <f t="shared" si="5"/>
        <v>128</v>
      </c>
      <c r="X31" s="152" t="str">
        <f>IF($B31="","",IF(TRIM('UX Weekly'!D31)="","",TRIM('UX Weekly'!D31)))</f>
        <v>Improve Trade In User Flow</v>
      </c>
      <c r="Y31" s="152" t="str">
        <f t="shared" si="6"/>
        <v>NEWCONDITIONRATINGSCALEINTERMEDIATESTEP</v>
      </c>
      <c r="AA31">
        <f>IF($B31="",0,COUNTIFS('UX Weekly'!$H$1:$CT$1,"&gt;="&amp;AA$1,'UX Weekly'!$H$1:$CT$1,"&lt;="&amp;EOMONTH(AA$1,0),'UX Weekly'!$H31:$CT31,"&lt;&gt;"))</f>
        <v>0</v>
      </c>
      <c r="AB31">
        <f>IF($B31="",0,COUNTIFS('UX Weekly'!$H$1:$CT$1,"&gt;="&amp;AB$1,'UX Weekly'!$H$1:$CT$1,"&lt;="&amp;EOMONTH(AB$1,0),'UX Weekly'!$H31:$CT31,"&lt;&gt;"))</f>
        <v>0</v>
      </c>
      <c r="AC31">
        <f>IF($B31="",0,COUNTIFS('UX Weekly'!$H$1:$CT$1,"&gt;="&amp;AC$1,'UX Weekly'!$H$1:$CT$1,"&lt;="&amp;EOMONTH(AC$1,0),'UX Weekly'!$H31:$CT31,"&lt;&gt;"))</f>
        <v>0</v>
      </c>
      <c r="AD31">
        <f>IF($B31="",0,COUNTIFS('UX Weekly'!$H$1:$CT$1,"&gt;="&amp;AD$1,'UX Weekly'!$H$1:$CT$1,"&lt;="&amp;EOMONTH(AD$1,0),'UX Weekly'!$H31:$CT31,"&lt;&gt;"))</f>
        <v>0</v>
      </c>
      <c r="AE31">
        <f>IF($B31="",0,COUNTIFS('UX Weekly'!$H$1:$CT$1,"&gt;="&amp;AE$1,'UX Weekly'!$H$1:$CT$1,"&lt;="&amp;EOMONTH(AE$1,0),'UX Weekly'!$H31:$CT31,"&lt;&gt;"))</f>
        <v>0</v>
      </c>
      <c r="AF31">
        <f>IF($B31="",0,COUNTIFS('UX Weekly'!$H$1:$CT$1,"&gt;="&amp;AF$1,'UX Weekly'!$H$1:$CT$1,"&lt;="&amp;EOMONTH(AF$1,0),'UX Weekly'!$H31:$CT31,"&lt;&gt;"))</f>
        <v>0</v>
      </c>
      <c r="AG31">
        <f>IF($B31="",0,COUNTIFS('UX Weekly'!$H$1:$CT$1,"&gt;="&amp;AG$1,'UX Weekly'!$H$1:$CT$1,"&lt;="&amp;EOMONTH(AG$1,0),'UX Weekly'!$H31:$CT31,"&lt;&gt;"))</f>
        <v>0</v>
      </c>
      <c r="AH31">
        <f>IF($B31="",0,COUNTIFS('UX Weekly'!$H$1:$CT$1,"&gt;="&amp;AH$1,'UX Weekly'!$H$1:$CT$1,"&lt;="&amp;EOMONTH(AH$1,0),'UX Weekly'!$H31:$CT31,"&lt;&gt;"))</f>
        <v>0</v>
      </c>
      <c r="AI31">
        <f>IF($B31="",0,COUNTIFS('UX Weekly'!$H$1:$CT$1,"&gt;="&amp;AI$1,'UX Weekly'!$H$1:$CT$1,"&lt;="&amp;EOMONTH(AI$1,0),'UX Weekly'!$H31:$CT31,"&lt;&gt;"))</f>
        <v>0</v>
      </c>
      <c r="AJ31">
        <f>IF($B31="",0,COUNTIFS('UX Weekly'!$H$1:$CT$1,"&gt;="&amp;AJ$1,'UX Weekly'!$H$1:$CT$1,"&lt;="&amp;EOMONTH(AJ$1,0),'UX Weekly'!$H31:$CT31,"&lt;&gt;"))</f>
        <v>0</v>
      </c>
      <c r="AK31">
        <f>IF($B31="",0,COUNTIFS('UX Weekly'!$H$1:$CT$1,"&gt;="&amp;AK$1,'UX Weekly'!$H$1:$CT$1,"&lt;="&amp;EOMONTH(AK$1,0),'UX Weekly'!$H31:$CT31,"&lt;&gt;"))</f>
        <v>0</v>
      </c>
      <c r="AL31">
        <f>IF($B31="",0,COUNTIFS('UX Weekly'!$H$1:$CT$1,"&gt;="&amp;AL$1,'UX Weekly'!$H$1:$CT$1,"&lt;="&amp;EOMONTH(AL$1,0),'UX Weekly'!$H31:$CT31,"&lt;&gt;"))</f>
        <v>0</v>
      </c>
      <c r="AM31">
        <f>IF($B31="",0,COUNTIFS('UX Weekly'!$H$1:$CT$1,"&gt;="&amp;AM$1,'UX Weekly'!$H$1:$CT$1,"&lt;="&amp;EOMONTH(AM$1,0),'UX Weekly'!$H31:$CT31,"&lt;&gt;"))</f>
        <v>0</v>
      </c>
      <c r="AN31">
        <f>IF($B31="",0,COUNTIFS('UX Weekly'!$H$1:$CT$1,"&gt;="&amp;AN$1,'UX Weekly'!$H$1:$CT$1,"&lt;="&amp;EOMONTH(AN$1,0),'UX Weekly'!$H31:$CT31,"&lt;&gt;"))</f>
        <v>0</v>
      </c>
      <c r="AO31">
        <f>IF($B31="",0,COUNTIFS('UX Weekly'!$H$1:$CT$1,"&gt;="&amp;AO$1,'UX Weekly'!$H$1:$CT$1,"&lt;="&amp;EOMONTH(AO$1,0),'UX Weekly'!$H31:$CT31,"&lt;&gt;"))</f>
        <v>0</v>
      </c>
      <c r="AP31">
        <f>IF($B31="",0,COUNTIFS('UX Weekly'!$H$1:$CT$1,"&gt;="&amp;AP$1,'UX Weekly'!$H$1:$CT$1,"&lt;="&amp;EOMONTH(AP$1,0),'UX Weekly'!$H31:$CT31,"&lt;&gt;"))</f>
        <v>0</v>
      </c>
      <c r="AQ31">
        <f>IF($B31="",0,COUNTIFS('UX Weekly'!$H$1:$CT$1,"&gt;="&amp;AQ$1,'UX Weekly'!$H$1:$CT$1,"&lt;="&amp;EOMONTH(AQ$1,0),'UX Weekly'!$H31:$CT31,"&lt;&gt;"))</f>
        <v>0</v>
      </c>
      <c r="AR31">
        <f>IF($B31="",0,COUNTIFS('UX Weekly'!$H$1:$CT$1,"&gt;="&amp;AR$1,'UX Weekly'!$H$1:$CT$1,"&lt;="&amp;EOMONTH(AR$1,0),'UX Weekly'!$H31:$CT31,"&lt;&gt;"))</f>
        <v>0</v>
      </c>
      <c r="AS31">
        <f>IF($B31="",0,COUNTIFS('UX Weekly'!$H$1:$CT$1,"&gt;="&amp;AS$1,'UX Weekly'!$H$1:$CT$1,"&lt;="&amp;EOMONTH(AS$1,0),'UX Weekly'!$H31:$CT31,"&lt;&gt;"))</f>
        <v>0</v>
      </c>
      <c r="AT31">
        <f>IF($B31="",0,COUNTIFS('UX Weekly'!$H$1:$CT$1,"&gt;="&amp;AT$1,'UX Weekly'!$H$1:$CT$1,"&lt;="&amp;EOMONTH(AT$1,0),'UX Weekly'!$H31:$CT31,"&lt;&gt;"))</f>
        <v>0</v>
      </c>
      <c r="AU31">
        <f>IF($B31="",0,COUNTIFS('UX Weekly'!$H$1:$CT$1,"&gt;="&amp;AU$1,'UX Weekly'!$H$1:$CT$1,"&lt;="&amp;EOMONTH(AU$1,0),'UX Weekly'!$H31:$CT31,"&lt;&gt;"))</f>
        <v>0</v>
      </c>
      <c r="AV31">
        <f>IF($B31="",0,COUNTIFS('UX Weekly'!$H$1:$CT$1,"&gt;="&amp;AV$1,'UX Weekly'!$H$1:$CT$1,"&lt;="&amp;EOMONTH(AV$1,0),'UX Weekly'!$H31:$CT31,"&lt;&gt;"))</f>
        <v>0</v>
      </c>
      <c r="AW31">
        <f>IF($B31="",0,COUNTIFS('UX Weekly'!$H$1:$CT$1,"&gt;="&amp;AW$1,'UX Weekly'!$H$1:$CT$1,"&lt;="&amp;EOMONTH(AW$1,0),'UX Weekly'!$H31:$CT31,"&lt;&gt;"))</f>
        <v>0</v>
      </c>
      <c r="AX31">
        <f>IF($B31="",0,COUNTIFS('UX Weekly'!$H$1:$CT$1,"&gt;="&amp;AX$1,'UX Weekly'!$H$1:$CT$1,"&lt;="&amp;EOMONTH(AX$1,0),'UX Weekly'!$H31:$CT31,"&lt;&gt;"))</f>
        <v>0</v>
      </c>
    </row>
    <row r="32" spans="1:50" x14ac:dyDescent="0.2">
      <c r="A32" s="152">
        <v>32</v>
      </c>
      <c r="B32" s="152" t="str">
        <f>IF(TRIM('UX Weekly'!E32)="","",TRIM('UX Weekly'!E32))</f>
        <v>Mega Menu</v>
      </c>
      <c r="C32" s="152" t="str">
        <f>IF($B32="","",'UX Weekly'!B32)</f>
        <v>Find</v>
      </c>
      <c r="D32" s="152" t="str">
        <f>IF($B32="","",IF(TRIM('UX Weekly'!C32)="","(No theme assigned)",TRIM('UX Weekly'!C32)))</f>
        <v>Improve Discovery</v>
      </c>
      <c r="E32" s="152" t="str">
        <f>IF($B32="","",TRIM('UX Weekly'!F32))</f>
        <v>BHUX-29580</v>
      </c>
      <c r="F32" s="152" t="str">
        <f>IF($B32="","",'UX Weekly'!G32)</f>
        <v>08. Ready for Dev</v>
      </c>
      <c r="G32" s="153">
        <f t="array" ref="G32">IF($B32="","",IF($T32=0,"",IFERROR(MIN(IF('UX Weekly'!$H32:$CT32&lt;&gt;"",'UX Weekly'!$H$1:$CT$1)),"")))</f>
        <v>46139</v>
      </c>
      <c r="H32" s="153">
        <f t="array" ref="H32">IF($B32="","",IF($T32=0,"",IFERROR(MAX(IF('UX Weekly'!$H32:$CT32&lt;&gt;"",'UX Weekly'!$H$1:$CT$1)),"")))</f>
        <v>46174</v>
      </c>
      <c r="I32" s="154">
        <f t="shared" ca="1" si="0"/>
        <v>46266</v>
      </c>
      <c r="J32" s="154">
        <f t="shared" ca="1" si="1"/>
        <v>46295</v>
      </c>
      <c r="K32" s="152" t="str">
        <f>IF($B32="","",IF(COUNTA('Dev Tracker'!L32)=0,"",TRIM('Dev Tracker'!L32)))</f>
        <v>BHUX-29580</v>
      </c>
      <c r="L32" s="152">
        <f>IF($B32="","",IFERROR(MATCH($D32,Control!$E$4:$E$30,0),99))</f>
        <v>1</v>
      </c>
      <c r="M32" s="152">
        <f>IF($B32="","",IFERROR(MATCH($F32,Control!$B$4:$B$30,0),99))</f>
        <v>11</v>
      </c>
      <c r="N32" s="152" t="str">
        <f>IF($V32&lt;&gt;1,"",IF('Roadmap (Auto)'!$D$3="Status, then Theme",$M32*1000000+$L32*10000+ROW(),IF('Roadmap (Auto)'!$D$3="Dev start (earliest)",IF($I32="",99999999,$I32)*10000+ROW(),IF('Roadmap (Auto)'!$D$3="UX start (earliest)",IF($G32="",99999999,$G32)*10000+ROW(),IF('Roadmap (Auto)'!$D$3="Deliverable A-Z",$W32*10000+ROW(),$L32*1000000+$M32*10000+ROW())))))</f>
        <v/>
      </c>
      <c r="O32" s="152" t="str">
        <f t="shared" si="2"/>
        <v/>
      </c>
      <c r="P32" s="152" t="str">
        <f>IF($B32="","",IF(COUNTA('Dev Tracker'!I32)=0,"",'Dev Tracker'!I32))</f>
        <v>Sep 2026</v>
      </c>
      <c r="Q32" s="152" t="str">
        <f>IF($B32="","",IF(COUNTA('Dev Tracker'!J32)=0,"",'Dev Tracker'!J32))</f>
        <v>Sep 2026</v>
      </c>
      <c r="R32" s="154">
        <f t="shared" ca="1" si="3"/>
        <v>46266</v>
      </c>
      <c r="S32" s="154">
        <f t="shared" ca="1" si="4"/>
        <v>46266</v>
      </c>
      <c r="T32" s="152">
        <f>IF($B32="","",COUNTA('UX Weekly'!$H32:$CT32))</f>
        <v>3</v>
      </c>
      <c r="U32" s="152">
        <f>IF($B32="","",IFERROR(MATCH($D32,Control!$E$4:$E$30,0)+3,0))</f>
        <v>4</v>
      </c>
      <c r="V32" s="152">
        <f>IF($B32="","",IF(AND(OR('Roadmap (Auto)'!$A$3="",'Roadmap (Auto)'!$A$3="(All)",ISNUMBER(SEARCH('Roadmap (Auto)'!$A$3,$C32&amp;""))),OR('Roadmap (Auto)'!$B$3="",'Roadmap (Auto)'!$B$3="(All)",$D32='Roadmap (Auto)'!$B$3,$X32='Roadmap (Auto)'!$B$3),OR('Roadmap (Auto)'!$C$3="",'Roadmap (Auto)'!$C$3="(All)",$F32='Roadmap (Auto)'!$C$3)),1,0))</f>
        <v>0</v>
      </c>
      <c r="W32" s="152">
        <f t="shared" si="5"/>
        <v>123</v>
      </c>
      <c r="X32" s="152" t="str">
        <f>IF($B32="","",IF(TRIM('UX Weekly'!D32)="","",TRIM('UX Weekly'!D32)))</f>
        <v/>
      </c>
      <c r="Y32" s="152" t="str">
        <f t="shared" si="6"/>
        <v>MEGAMENU</v>
      </c>
      <c r="AA32">
        <f>IF($B32="",0,COUNTIFS('UX Weekly'!$H$1:$CT$1,"&gt;="&amp;AA$1,'UX Weekly'!$H$1:$CT$1,"&lt;="&amp;EOMONTH(AA$1,0),'UX Weekly'!$H32:$CT32,"&lt;&gt;"))</f>
        <v>0</v>
      </c>
      <c r="AB32">
        <f>IF($B32="",0,COUNTIFS('UX Weekly'!$H$1:$CT$1,"&gt;="&amp;AB$1,'UX Weekly'!$H$1:$CT$1,"&lt;="&amp;EOMONTH(AB$1,0),'UX Weekly'!$H32:$CT32,"&lt;&gt;"))</f>
        <v>0</v>
      </c>
      <c r="AC32">
        <f>IF($B32="",0,COUNTIFS('UX Weekly'!$H$1:$CT$1,"&gt;="&amp;AC$1,'UX Weekly'!$H$1:$CT$1,"&lt;="&amp;EOMONTH(AC$1,0),'UX Weekly'!$H32:$CT32,"&lt;&gt;"))</f>
        <v>0</v>
      </c>
      <c r="AD32">
        <f>IF($B32="",0,COUNTIFS('UX Weekly'!$H$1:$CT$1,"&gt;="&amp;AD$1,'UX Weekly'!$H$1:$CT$1,"&lt;="&amp;EOMONTH(AD$1,0),'UX Weekly'!$H32:$CT32,"&lt;&gt;"))</f>
        <v>1</v>
      </c>
      <c r="AE32">
        <f>IF($B32="",0,COUNTIFS('UX Weekly'!$H$1:$CT$1,"&gt;="&amp;AE$1,'UX Weekly'!$H$1:$CT$1,"&lt;="&amp;EOMONTH(AE$1,0),'UX Weekly'!$H32:$CT32,"&lt;&gt;"))</f>
        <v>1</v>
      </c>
      <c r="AF32">
        <f>IF($B32="",0,COUNTIFS('UX Weekly'!$H$1:$CT$1,"&gt;="&amp;AF$1,'UX Weekly'!$H$1:$CT$1,"&lt;="&amp;EOMONTH(AF$1,0),'UX Weekly'!$H32:$CT32,"&lt;&gt;"))</f>
        <v>1</v>
      </c>
      <c r="AG32">
        <f>IF($B32="",0,COUNTIFS('UX Weekly'!$H$1:$CT$1,"&gt;="&amp;AG$1,'UX Weekly'!$H$1:$CT$1,"&lt;="&amp;EOMONTH(AG$1,0),'UX Weekly'!$H32:$CT32,"&lt;&gt;"))</f>
        <v>0</v>
      </c>
      <c r="AH32">
        <f>IF($B32="",0,COUNTIFS('UX Weekly'!$H$1:$CT$1,"&gt;="&amp;AH$1,'UX Weekly'!$H$1:$CT$1,"&lt;="&amp;EOMONTH(AH$1,0),'UX Weekly'!$H32:$CT32,"&lt;&gt;"))</f>
        <v>0</v>
      </c>
      <c r="AI32">
        <f>IF($B32="",0,COUNTIFS('UX Weekly'!$H$1:$CT$1,"&gt;="&amp;AI$1,'UX Weekly'!$H$1:$CT$1,"&lt;="&amp;EOMONTH(AI$1,0),'UX Weekly'!$H32:$CT32,"&lt;&gt;"))</f>
        <v>0</v>
      </c>
      <c r="AJ32">
        <f>IF($B32="",0,COUNTIFS('UX Weekly'!$H$1:$CT$1,"&gt;="&amp;AJ$1,'UX Weekly'!$H$1:$CT$1,"&lt;="&amp;EOMONTH(AJ$1,0),'UX Weekly'!$H32:$CT32,"&lt;&gt;"))</f>
        <v>0</v>
      </c>
      <c r="AK32">
        <f>IF($B32="",0,COUNTIFS('UX Weekly'!$H$1:$CT$1,"&gt;="&amp;AK$1,'UX Weekly'!$H$1:$CT$1,"&lt;="&amp;EOMONTH(AK$1,0),'UX Weekly'!$H32:$CT32,"&lt;&gt;"))</f>
        <v>0</v>
      </c>
      <c r="AL32">
        <f>IF($B32="",0,COUNTIFS('UX Weekly'!$H$1:$CT$1,"&gt;="&amp;AL$1,'UX Weekly'!$H$1:$CT$1,"&lt;="&amp;EOMONTH(AL$1,0),'UX Weekly'!$H32:$CT32,"&lt;&gt;"))</f>
        <v>0</v>
      </c>
      <c r="AM32">
        <f>IF($B32="",0,COUNTIFS('UX Weekly'!$H$1:$CT$1,"&gt;="&amp;AM$1,'UX Weekly'!$H$1:$CT$1,"&lt;="&amp;EOMONTH(AM$1,0),'UX Weekly'!$H32:$CT32,"&lt;&gt;"))</f>
        <v>0</v>
      </c>
      <c r="AN32">
        <f>IF($B32="",0,COUNTIFS('UX Weekly'!$H$1:$CT$1,"&gt;="&amp;AN$1,'UX Weekly'!$H$1:$CT$1,"&lt;="&amp;EOMONTH(AN$1,0),'UX Weekly'!$H32:$CT32,"&lt;&gt;"))</f>
        <v>0</v>
      </c>
      <c r="AO32">
        <f>IF($B32="",0,COUNTIFS('UX Weekly'!$H$1:$CT$1,"&gt;="&amp;AO$1,'UX Weekly'!$H$1:$CT$1,"&lt;="&amp;EOMONTH(AO$1,0),'UX Weekly'!$H32:$CT32,"&lt;&gt;"))</f>
        <v>0</v>
      </c>
      <c r="AP32">
        <f>IF($B32="",0,COUNTIFS('UX Weekly'!$H$1:$CT$1,"&gt;="&amp;AP$1,'UX Weekly'!$H$1:$CT$1,"&lt;="&amp;EOMONTH(AP$1,0),'UX Weekly'!$H32:$CT32,"&lt;&gt;"))</f>
        <v>0</v>
      </c>
      <c r="AQ32">
        <f>IF($B32="",0,COUNTIFS('UX Weekly'!$H$1:$CT$1,"&gt;="&amp;AQ$1,'UX Weekly'!$H$1:$CT$1,"&lt;="&amp;EOMONTH(AQ$1,0),'UX Weekly'!$H32:$CT32,"&lt;&gt;"))</f>
        <v>0</v>
      </c>
      <c r="AR32">
        <f>IF($B32="",0,COUNTIFS('UX Weekly'!$H$1:$CT$1,"&gt;="&amp;AR$1,'UX Weekly'!$H$1:$CT$1,"&lt;="&amp;EOMONTH(AR$1,0),'UX Weekly'!$H32:$CT32,"&lt;&gt;"))</f>
        <v>0</v>
      </c>
      <c r="AS32">
        <f>IF($B32="",0,COUNTIFS('UX Weekly'!$H$1:$CT$1,"&gt;="&amp;AS$1,'UX Weekly'!$H$1:$CT$1,"&lt;="&amp;EOMONTH(AS$1,0),'UX Weekly'!$H32:$CT32,"&lt;&gt;"))</f>
        <v>0</v>
      </c>
      <c r="AT32">
        <f>IF($B32="",0,COUNTIFS('UX Weekly'!$H$1:$CT$1,"&gt;="&amp;AT$1,'UX Weekly'!$H$1:$CT$1,"&lt;="&amp;EOMONTH(AT$1,0),'UX Weekly'!$H32:$CT32,"&lt;&gt;"))</f>
        <v>0</v>
      </c>
      <c r="AU32">
        <f>IF($B32="",0,COUNTIFS('UX Weekly'!$H$1:$CT$1,"&gt;="&amp;AU$1,'UX Weekly'!$H$1:$CT$1,"&lt;="&amp;EOMONTH(AU$1,0),'UX Weekly'!$H32:$CT32,"&lt;&gt;"))</f>
        <v>0</v>
      </c>
      <c r="AV32">
        <f>IF($B32="",0,COUNTIFS('UX Weekly'!$H$1:$CT$1,"&gt;="&amp;AV$1,'UX Weekly'!$H$1:$CT$1,"&lt;="&amp;EOMONTH(AV$1,0),'UX Weekly'!$H32:$CT32,"&lt;&gt;"))</f>
        <v>0</v>
      </c>
      <c r="AW32">
        <f>IF($B32="",0,COUNTIFS('UX Weekly'!$H$1:$CT$1,"&gt;="&amp;AW$1,'UX Weekly'!$H$1:$CT$1,"&lt;="&amp;EOMONTH(AW$1,0),'UX Weekly'!$H32:$CT32,"&lt;&gt;"))</f>
        <v>0</v>
      </c>
      <c r="AX32">
        <f>IF($B32="",0,COUNTIFS('UX Weekly'!$H$1:$CT$1,"&gt;="&amp;AX$1,'UX Weekly'!$H$1:$CT$1,"&lt;="&amp;EOMONTH(AX$1,0),'UX Weekly'!$H32:$CT32,"&lt;&gt;"))</f>
        <v>0</v>
      </c>
    </row>
    <row r="33" spans="1:50" x14ac:dyDescent="0.2">
      <c r="A33" s="152">
        <v>33</v>
      </c>
      <c r="B33" s="152" t="str">
        <f>IF(TRIM('UX Weekly'!E33)="","",TRIM('UX Weekly'!E33))</f>
        <v>School Safety Landing Page</v>
      </c>
      <c r="C33" s="152" t="str">
        <f>IF($B33="","",'UX Weekly'!B33)</f>
        <v>B2B</v>
      </c>
      <c r="D33" s="152" t="str">
        <f>IF($B33="","",IF(TRIM('UX Weekly'!C33)="","(No theme assigned)",TRIM('UX Weekly'!C33)))</f>
        <v>Increase B2B Acquisition</v>
      </c>
      <c r="E33" s="152" t="str">
        <f>IF($B33="","",TRIM('UX Weekly'!F33))</f>
        <v>BHUX-34377</v>
      </c>
      <c r="F33" s="152" t="str">
        <f>IF($B33="","",'UX Weekly'!G33)</f>
        <v>08. Ready for Dev</v>
      </c>
      <c r="G33" s="153">
        <f t="array" ref="G33">IF($B33="","",IF($T33=0,"",IFERROR(MIN(IF('UX Weekly'!$H33:$CT33&lt;&gt;"",'UX Weekly'!$H$1:$CT$1)),"")))</f>
        <v>46188</v>
      </c>
      <c r="H33" s="153">
        <f t="array" ref="H33">IF($B33="","",IF($T33=0,"",IFERROR(MAX(IF('UX Weekly'!$H33:$CT33&lt;&gt;"",'UX Weekly'!$H$1:$CT$1)),"")))</f>
        <v>46244</v>
      </c>
      <c r="I33" s="154">
        <f t="shared" ca="1" si="0"/>
        <v>46266</v>
      </c>
      <c r="J33" s="154">
        <f t="shared" ca="1" si="1"/>
        <v>46295</v>
      </c>
      <c r="K33" s="152" t="str">
        <f>IF($B33="","",IF(COUNTA('Dev Tracker'!L33)=0,"",TRIM('Dev Tracker'!L33)))</f>
        <v>BHP-5830</v>
      </c>
      <c r="L33" s="152">
        <f>IF($B33="","",IFERROR(MATCH($D33,Control!$E$4:$E$30,0),99))</f>
        <v>8</v>
      </c>
      <c r="M33" s="152">
        <f>IF($B33="","",IFERROR(MATCH($F33,Control!$B$4:$B$30,0),99))</f>
        <v>11</v>
      </c>
      <c r="N33" s="152" t="str">
        <f>IF($V33&lt;&gt;1,"",IF('Roadmap (Auto)'!$D$3="Status, then Theme",$M33*1000000+$L33*10000+ROW(),IF('Roadmap (Auto)'!$D$3="Dev start (earliest)",IF($I33="",99999999,$I33)*10000+ROW(),IF('Roadmap (Auto)'!$D$3="UX start (earliest)",IF($G33="",99999999,$G33)*10000+ROW(),IF('Roadmap (Auto)'!$D$3="Deliverable A-Z",$W33*10000+ROW(),$L33*1000000+$M33*10000+ROW())))))</f>
        <v/>
      </c>
      <c r="O33" s="152" t="str">
        <f t="shared" si="2"/>
        <v/>
      </c>
      <c r="P33" s="152" t="str">
        <f>IF($B33="","",IF(COUNTA('Dev Tracker'!I33)=0,"",'Dev Tracker'!I33))</f>
        <v>Sep 2026</v>
      </c>
      <c r="Q33" s="152" t="str">
        <f>IF($B33="","",IF(COUNTA('Dev Tracker'!J33)=0,"",'Dev Tracker'!J33))</f>
        <v>Sep 2026</v>
      </c>
      <c r="R33" s="154">
        <f t="shared" ca="1" si="3"/>
        <v>46266</v>
      </c>
      <c r="S33" s="154">
        <f t="shared" ca="1" si="4"/>
        <v>46266</v>
      </c>
      <c r="T33" s="152">
        <f>IF($B33="","",COUNTA('UX Weekly'!$H33:$CT33))</f>
        <v>9</v>
      </c>
      <c r="U33" s="152">
        <f>IF($B33="","",IFERROR(MATCH($D33,Control!$E$4:$E$30,0)+3,0))</f>
        <v>11</v>
      </c>
      <c r="V33" s="152">
        <f>IF($B33="","",IF(AND(OR('Roadmap (Auto)'!$A$3="",'Roadmap (Auto)'!$A$3="(All)",ISNUMBER(SEARCH('Roadmap (Auto)'!$A$3,$C33&amp;""))),OR('Roadmap (Auto)'!$B$3="",'Roadmap (Auto)'!$B$3="(All)",$D33='Roadmap (Auto)'!$B$3,$X33='Roadmap (Auto)'!$B$3),OR('Roadmap (Auto)'!$C$3="",'Roadmap (Auto)'!$C$3="(All)",$F33='Roadmap (Auto)'!$C$3)),1,0))</f>
        <v>0</v>
      </c>
      <c r="W33" s="152">
        <f t="shared" si="5"/>
        <v>132</v>
      </c>
      <c r="X33" s="152" t="str">
        <f>IF($B33="","",IF(TRIM('UX Weekly'!D33)="","",TRIM('UX Weekly'!D33)))</f>
        <v/>
      </c>
      <c r="Y33" s="152" t="str">
        <f t="shared" si="6"/>
        <v>SCHOOLSAFETYLANDINGPAGE</v>
      </c>
      <c r="AA33">
        <f>IF($B33="",0,COUNTIFS('UX Weekly'!$H$1:$CT$1,"&gt;="&amp;AA$1,'UX Weekly'!$H$1:$CT$1,"&lt;="&amp;EOMONTH(AA$1,0),'UX Weekly'!$H33:$CT33,"&lt;&gt;"))</f>
        <v>0</v>
      </c>
      <c r="AB33">
        <f>IF($B33="",0,COUNTIFS('UX Weekly'!$H$1:$CT$1,"&gt;="&amp;AB$1,'UX Weekly'!$H$1:$CT$1,"&lt;="&amp;EOMONTH(AB$1,0),'UX Weekly'!$H33:$CT33,"&lt;&gt;"))</f>
        <v>0</v>
      </c>
      <c r="AC33">
        <f>IF($B33="",0,COUNTIFS('UX Weekly'!$H$1:$CT$1,"&gt;="&amp;AC$1,'UX Weekly'!$H$1:$CT$1,"&lt;="&amp;EOMONTH(AC$1,0),'UX Weekly'!$H33:$CT33,"&lt;&gt;"))</f>
        <v>0</v>
      </c>
      <c r="AD33">
        <f>IF($B33="",0,COUNTIFS('UX Weekly'!$H$1:$CT$1,"&gt;="&amp;AD$1,'UX Weekly'!$H$1:$CT$1,"&lt;="&amp;EOMONTH(AD$1,0),'UX Weekly'!$H33:$CT33,"&lt;&gt;"))</f>
        <v>0</v>
      </c>
      <c r="AE33">
        <f>IF($B33="",0,COUNTIFS('UX Weekly'!$H$1:$CT$1,"&gt;="&amp;AE$1,'UX Weekly'!$H$1:$CT$1,"&lt;="&amp;EOMONTH(AE$1,0),'UX Weekly'!$H33:$CT33,"&lt;&gt;"))</f>
        <v>0</v>
      </c>
      <c r="AF33">
        <f>IF($B33="",0,COUNTIFS('UX Weekly'!$H$1:$CT$1,"&gt;="&amp;AF$1,'UX Weekly'!$H$1:$CT$1,"&lt;="&amp;EOMONTH(AF$1,0),'UX Weekly'!$H33:$CT33,"&lt;&gt;"))</f>
        <v>3</v>
      </c>
      <c r="AG33">
        <f>IF($B33="",0,COUNTIFS('UX Weekly'!$H$1:$CT$1,"&gt;="&amp;AG$1,'UX Weekly'!$H$1:$CT$1,"&lt;="&amp;EOMONTH(AG$1,0),'UX Weekly'!$H33:$CT33,"&lt;&gt;"))</f>
        <v>4</v>
      </c>
      <c r="AH33">
        <f>IF($B33="",0,COUNTIFS('UX Weekly'!$H$1:$CT$1,"&gt;="&amp;AH$1,'UX Weekly'!$H$1:$CT$1,"&lt;="&amp;EOMONTH(AH$1,0),'UX Weekly'!$H33:$CT33,"&lt;&gt;"))</f>
        <v>2</v>
      </c>
      <c r="AI33">
        <f>IF($B33="",0,COUNTIFS('UX Weekly'!$H$1:$CT$1,"&gt;="&amp;AI$1,'UX Weekly'!$H$1:$CT$1,"&lt;="&amp;EOMONTH(AI$1,0),'UX Weekly'!$H33:$CT33,"&lt;&gt;"))</f>
        <v>0</v>
      </c>
      <c r="AJ33">
        <f>IF($B33="",0,COUNTIFS('UX Weekly'!$H$1:$CT$1,"&gt;="&amp;AJ$1,'UX Weekly'!$H$1:$CT$1,"&lt;="&amp;EOMONTH(AJ$1,0),'UX Weekly'!$H33:$CT33,"&lt;&gt;"))</f>
        <v>0</v>
      </c>
      <c r="AK33">
        <f>IF($B33="",0,COUNTIFS('UX Weekly'!$H$1:$CT$1,"&gt;="&amp;AK$1,'UX Weekly'!$H$1:$CT$1,"&lt;="&amp;EOMONTH(AK$1,0),'UX Weekly'!$H33:$CT33,"&lt;&gt;"))</f>
        <v>0</v>
      </c>
      <c r="AL33">
        <f>IF($B33="",0,COUNTIFS('UX Weekly'!$H$1:$CT$1,"&gt;="&amp;AL$1,'UX Weekly'!$H$1:$CT$1,"&lt;="&amp;EOMONTH(AL$1,0),'UX Weekly'!$H33:$CT33,"&lt;&gt;"))</f>
        <v>0</v>
      </c>
      <c r="AM33">
        <f>IF($B33="",0,COUNTIFS('UX Weekly'!$H$1:$CT$1,"&gt;="&amp;AM$1,'UX Weekly'!$H$1:$CT$1,"&lt;="&amp;EOMONTH(AM$1,0),'UX Weekly'!$H33:$CT33,"&lt;&gt;"))</f>
        <v>0</v>
      </c>
      <c r="AN33">
        <f>IF($B33="",0,COUNTIFS('UX Weekly'!$H$1:$CT$1,"&gt;="&amp;AN$1,'UX Weekly'!$H$1:$CT$1,"&lt;="&amp;EOMONTH(AN$1,0),'UX Weekly'!$H33:$CT33,"&lt;&gt;"))</f>
        <v>0</v>
      </c>
      <c r="AO33">
        <f>IF($B33="",0,COUNTIFS('UX Weekly'!$H$1:$CT$1,"&gt;="&amp;AO$1,'UX Weekly'!$H$1:$CT$1,"&lt;="&amp;EOMONTH(AO$1,0),'UX Weekly'!$H33:$CT33,"&lt;&gt;"))</f>
        <v>0</v>
      </c>
      <c r="AP33">
        <f>IF($B33="",0,COUNTIFS('UX Weekly'!$H$1:$CT$1,"&gt;="&amp;AP$1,'UX Weekly'!$H$1:$CT$1,"&lt;="&amp;EOMONTH(AP$1,0),'UX Weekly'!$H33:$CT33,"&lt;&gt;"))</f>
        <v>0</v>
      </c>
      <c r="AQ33">
        <f>IF($B33="",0,COUNTIFS('UX Weekly'!$H$1:$CT$1,"&gt;="&amp;AQ$1,'UX Weekly'!$H$1:$CT$1,"&lt;="&amp;EOMONTH(AQ$1,0),'UX Weekly'!$H33:$CT33,"&lt;&gt;"))</f>
        <v>0</v>
      </c>
      <c r="AR33">
        <f>IF($B33="",0,COUNTIFS('UX Weekly'!$H$1:$CT$1,"&gt;="&amp;AR$1,'UX Weekly'!$H$1:$CT$1,"&lt;="&amp;EOMONTH(AR$1,0),'UX Weekly'!$H33:$CT33,"&lt;&gt;"))</f>
        <v>0</v>
      </c>
      <c r="AS33">
        <f>IF($B33="",0,COUNTIFS('UX Weekly'!$H$1:$CT$1,"&gt;="&amp;AS$1,'UX Weekly'!$H$1:$CT$1,"&lt;="&amp;EOMONTH(AS$1,0),'UX Weekly'!$H33:$CT33,"&lt;&gt;"))</f>
        <v>0</v>
      </c>
      <c r="AT33">
        <f>IF($B33="",0,COUNTIFS('UX Weekly'!$H$1:$CT$1,"&gt;="&amp;AT$1,'UX Weekly'!$H$1:$CT$1,"&lt;="&amp;EOMONTH(AT$1,0),'UX Weekly'!$H33:$CT33,"&lt;&gt;"))</f>
        <v>0</v>
      </c>
      <c r="AU33">
        <f>IF($B33="",0,COUNTIFS('UX Weekly'!$H$1:$CT$1,"&gt;="&amp;AU$1,'UX Weekly'!$H$1:$CT$1,"&lt;="&amp;EOMONTH(AU$1,0),'UX Weekly'!$H33:$CT33,"&lt;&gt;"))</f>
        <v>0</v>
      </c>
      <c r="AV33">
        <f>IF($B33="",0,COUNTIFS('UX Weekly'!$H$1:$CT$1,"&gt;="&amp;AV$1,'UX Weekly'!$H$1:$CT$1,"&lt;="&amp;EOMONTH(AV$1,0),'UX Weekly'!$H33:$CT33,"&lt;&gt;"))</f>
        <v>0</v>
      </c>
      <c r="AW33">
        <f>IF($B33="",0,COUNTIFS('UX Weekly'!$H$1:$CT$1,"&gt;="&amp;AW$1,'UX Weekly'!$H$1:$CT$1,"&lt;="&amp;EOMONTH(AW$1,0),'UX Weekly'!$H33:$CT33,"&lt;&gt;"))</f>
        <v>0</v>
      </c>
      <c r="AX33">
        <f>IF($B33="",0,COUNTIFS('UX Weekly'!$H$1:$CT$1,"&gt;="&amp;AX$1,'UX Weekly'!$H$1:$CT$1,"&lt;="&amp;EOMONTH(AX$1,0),'UX Weekly'!$H33:$CT33,"&lt;&gt;"))</f>
        <v>0</v>
      </c>
    </row>
    <row r="34" spans="1:50" x14ac:dyDescent="0.2">
      <c r="A34" s="152">
        <v>34</v>
      </c>
      <c r="B34" s="152" t="str">
        <f>IF(TRIM('UX Weekly'!E34)="","",TRIM('UX Weekly'!E34))</f>
        <v>Nested Refinements</v>
      </c>
      <c r="C34" s="152" t="str">
        <f>IF($B34="","",'UX Weekly'!B34)</f>
        <v>Find</v>
      </c>
      <c r="D34" s="152" t="str">
        <f>IF($B34="","",IF(TRIM('UX Weekly'!C34)="","(No theme assigned)",TRIM('UX Weekly'!C34)))</f>
        <v>Improve Discovery</v>
      </c>
      <c r="E34" s="152" t="str">
        <f>IF($B34="","",TRIM('UX Weekly'!F34))</f>
        <v>BHUX-32621</v>
      </c>
      <c r="F34" s="152" t="str">
        <f>IF($B34="","",'UX Weekly'!G34)</f>
        <v>08. Ready for Dev</v>
      </c>
      <c r="G34" s="153" t="str">
        <f t="array" ref="G34">IF($B34="","",IF($T34=0,"",IFERROR(MIN(IF('UX Weekly'!$H34:$CT34&lt;&gt;"",'UX Weekly'!$H$1:$CT$1)),"")))</f>
        <v/>
      </c>
      <c r="H34" s="153" t="str">
        <f t="array" ref="H34">IF($B34="","",IF($T34=0,"",IFERROR(MAX(IF('UX Weekly'!$H34:$CT34&lt;&gt;"",'UX Weekly'!$H$1:$CT$1)),"")))</f>
        <v/>
      </c>
      <c r="I34" s="154">
        <f t="shared" ref="I34:I65" ca="1" si="7">IF($R34&lt;&gt;"",$R34,IF($S34&lt;&gt;"",$S34,""))</f>
        <v>46296</v>
      </c>
      <c r="J34" s="154">
        <f t="shared" ref="J34:J65" ca="1" si="8">IF($S34&lt;&gt;"",EOMONTH($S34,0),IF($R34&lt;&gt;"",EOMONTH($R34,0),""))</f>
        <v>46326</v>
      </c>
      <c r="K34" s="152" t="str">
        <f>IF($B34="","",IF(COUNTA('Dev Tracker'!L34)=0,"",TRIM('Dev Tracker'!L34)))</f>
        <v>BHP-2802</v>
      </c>
      <c r="L34" s="152">
        <f>IF($B34="","",IFERROR(MATCH($D34,Control!$E$4:$E$30,0),99))</f>
        <v>1</v>
      </c>
      <c r="M34" s="152">
        <f>IF($B34="","",IFERROR(MATCH($F34,Control!$B$4:$B$30,0),99))</f>
        <v>11</v>
      </c>
      <c r="N34" s="152" t="str">
        <f>IF($V34&lt;&gt;1,"",IF('Roadmap (Auto)'!$D$3="Status, then Theme",$M34*1000000+$L34*10000+ROW(),IF('Roadmap (Auto)'!$D$3="Dev start (earliest)",IF($I34="",99999999,$I34)*10000+ROW(),IF('Roadmap (Auto)'!$D$3="UX start (earliest)",IF($G34="",99999999,$G34)*10000+ROW(),IF('Roadmap (Auto)'!$D$3="Deliverable A-Z",$W34*10000+ROW(),$L34*1000000+$M34*10000+ROW())))))</f>
        <v/>
      </c>
      <c r="O34" s="152" t="str">
        <f t="shared" ref="O34:O65" si="9">IF($N34="","",COUNTIF($N$2:$N$151,"&lt;"&amp;$N34)+1)</f>
        <v/>
      </c>
      <c r="P34" s="152" t="str">
        <f>IF($B34="","",IF(COUNTA('Dev Tracker'!I34)=0,"",'Dev Tracker'!I34))</f>
        <v>Oct 2026</v>
      </c>
      <c r="Q34" s="152" t="str">
        <f>IF($B34="","",IF(COUNTA('Dev Tracker'!J34)=0,"",'Dev Tracker'!J34))</f>
        <v>Oct 2026</v>
      </c>
      <c r="R34" s="154">
        <f t="shared" ref="R34:R65" ca="1" si="10">IF($P34="","",IF(ISNUMBER($P34),DATE(YEAR($P34),MONTH($P34),1),IFERROR(DATE(IFERROR(VALUE(RIGHT(TRIM($P34),4)),YEAR(TODAY())),(SEARCH(LEFT(TRIM($P34),3),"JanFebMarAprMayJunJulAugSepOctNovDec")+2)/3,1),"")))</f>
        <v>46296</v>
      </c>
      <c r="S34" s="154">
        <f t="shared" ref="S34:S65" ca="1" si="11">IF($Q34="","",IF(ISNUMBER($Q34),DATE(YEAR($Q34),MONTH($Q34),1),IFERROR(DATE(IFERROR(VALUE(RIGHT(TRIM($Q34),4)),YEAR(TODAY())),(SEARCH(LEFT(TRIM($Q34),3),"JanFebMarAprMayJunJulAugSepOctNovDec")+2)/3,1),"")))</f>
        <v>46296</v>
      </c>
      <c r="T34" s="152">
        <f>IF($B34="","",COUNTA('UX Weekly'!$H34:$CT34))</f>
        <v>0</v>
      </c>
      <c r="U34" s="152">
        <f>IF($B34="","",IFERROR(MATCH($D34,Control!$E$4:$E$30,0)+3,0))</f>
        <v>4</v>
      </c>
      <c r="V34" s="152">
        <f>IF($B34="","",IF(AND(OR('Roadmap (Auto)'!$A$3="",'Roadmap (Auto)'!$A$3="(All)",ISNUMBER(SEARCH('Roadmap (Auto)'!$A$3,$C34&amp;""))),OR('Roadmap (Auto)'!$B$3="",'Roadmap (Auto)'!$B$3="(All)",$D34='Roadmap (Auto)'!$B$3,$X34='Roadmap (Auto)'!$B$3),OR('Roadmap (Auto)'!$C$3="",'Roadmap (Auto)'!$C$3="(All)",$F34='Roadmap (Auto)'!$C$3)),1,0))</f>
        <v>0</v>
      </c>
      <c r="W34" s="152">
        <f t="shared" ref="W34:W65" si="12">IF($B34="","",COUNTIF($Y$2:$Y$151,"&lt;"&amp;$Y34)+1)</f>
        <v>126</v>
      </c>
      <c r="X34" s="152" t="str">
        <f>IF($B34="","",IF(TRIM('UX Weekly'!D34)="","",TRIM('UX Weekly'!D34)))</f>
        <v/>
      </c>
      <c r="Y34" s="152" t="str">
        <f t="shared" ref="Y34:Y65" si="13">IF($B34="","",SUBSTITUTE(SUBSTITUTE(SUBSTITUTE(SUBSTITUTE(SUBSTITUTE(SUBSTITUTE(SUBSTITUTE(SUBSTITUTE(SUBSTITUTE(SUBSTITUTE(SUBSTITUTE(SUBSTITUTE(SUBSTITUTE(SUBSTITUTE(SUBSTITUTE(SUBSTITUTE(SUBSTITUTE(SUBSTITUTE(SUBSTITUTE(SUBSTITUTE(SUBSTITUTE(SUBSTITUTE(SUBSTITUTE(SUBSTITUTE(SUBSTITUTE(UPPER($B34)," ",""),"-",""),":",""),"/",""),"&amp;",""),"|",""),"'",""),"’",""),"&lt;",""),"&gt;",""),",",""),"$",""),".",""),"(",""),")",""),"*",""),"?",""),"~",""),"_",""),"+",""),"#",""),";",""),"!",""),"%",""),"@",""))</f>
        <v>NESTEDREFINEMENTS</v>
      </c>
      <c r="AA34">
        <f>IF($B34="",0,COUNTIFS('UX Weekly'!$H$1:$CT$1,"&gt;="&amp;AA$1,'UX Weekly'!$H$1:$CT$1,"&lt;="&amp;EOMONTH(AA$1,0),'UX Weekly'!$H34:$CT34,"&lt;&gt;"))</f>
        <v>0</v>
      </c>
      <c r="AB34">
        <f>IF($B34="",0,COUNTIFS('UX Weekly'!$H$1:$CT$1,"&gt;="&amp;AB$1,'UX Weekly'!$H$1:$CT$1,"&lt;="&amp;EOMONTH(AB$1,0),'UX Weekly'!$H34:$CT34,"&lt;&gt;"))</f>
        <v>0</v>
      </c>
      <c r="AC34">
        <f>IF($B34="",0,COUNTIFS('UX Weekly'!$H$1:$CT$1,"&gt;="&amp;AC$1,'UX Weekly'!$H$1:$CT$1,"&lt;="&amp;EOMONTH(AC$1,0),'UX Weekly'!$H34:$CT34,"&lt;&gt;"))</f>
        <v>0</v>
      </c>
      <c r="AD34">
        <f>IF($B34="",0,COUNTIFS('UX Weekly'!$H$1:$CT$1,"&gt;="&amp;AD$1,'UX Weekly'!$H$1:$CT$1,"&lt;="&amp;EOMONTH(AD$1,0),'UX Weekly'!$H34:$CT34,"&lt;&gt;"))</f>
        <v>0</v>
      </c>
      <c r="AE34">
        <f>IF($B34="",0,COUNTIFS('UX Weekly'!$H$1:$CT$1,"&gt;="&amp;AE$1,'UX Weekly'!$H$1:$CT$1,"&lt;="&amp;EOMONTH(AE$1,0),'UX Weekly'!$H34:$CT34,"&lt;&gt;"))</f>
        <v>0</v>
      </c>
      <c r="AF34">
        <f>IF($B34="",0,COUNTIFS('UX Weekly'!$H$1:$CT$1,"&gt;="&amp;AF$1,'UX Weekly'!$H$1:$CT$1,"&lt;="&amp;EOMONTH(AF$1,0),'UX Weekly'!$H34:$CT34,"&lt;&gt;"))</f>
        <v>0</v>
      </c>
      <c r="AG34">
        <f>IF($B34="",0,COUNTIFS('UX Weekly'!$H$1:$CT$1,"&gt;="&amp;AG$1,'UX Weekly'!$H$1:$CT$1,"&lt;="&amp;EOMONTH(AG$1,0),'UX Weekly'!$H34:$CT34,"&lt;&gt;"))</f>
        <v>0</v>
      </c>
      <c r="AH34">
        <f>IF($B34="",0,COUNTIFS('UX Weekly'!$H$1:$CT$1,"&gt;="&amp;AH$1,'UX Weekly'!$H$1:$CT$1,"&lt;="&amp;EOMONTH(AH$1,0),'UX Weekly'!$H34:$CT34,"&lt;&gt;"))</f>
        <v>0</v>
      </c>
      <c r="AI34">
        <f>IF($B34="",0,COUNTIFS('UX Weekly'!$H$1:$CT$1,"&gt;="&amp;AI$1,'UX Weekly'!$H$1:$CT$1,"&lt;="&amp;EOMONTH(AI$1,0),'UX Weekly'!$H34:$CT34,"&lt;&gt;"))</f>
        <v>0</v>
      </c>
      <c r="AJ34">
        <f>IF($B34="",0,COUNTIFS('UX Weekly'!$H$1:$CT$1,"&gt;="&amp;AJ$1,'UX Weekly'!$H$1:$CT$1,"&lt;="&amp;EOMONTH(AJ$1,0),'UX Weekly'!$H34:$CT34,"&lt;&gt;"))</f>
        <v>0</v>
      </c>
      <c r="AK34">
        <f>IF($B34="",0,COUNTIFS('UX Weekly'!$H$1:$CT$1,"&gt;="&amp;AK$1,'UX Weekly'!$H$1:$CT$1,"&lt;="&amp;EOMONTH(AK$1,0),'UX Weekly'!$H34:$CT34,"&lt;&gt;"))</f>
        <v>0</v>
      </c>
      <c r="AL34">
        <f>IF($B34="",0,COUNTIFS('UX Weekly'!$H$1:$CT$1,"&gt;="&amp;AL$1,'UX Weekly'!$H$1:$CT$1,"&lt;="&amp;EOMONTH(AL$1,0),'UX Weekly'!$H34:$CT34,"&lt;&gt;"))</f>
        <v>0</v>
      </c>
      <c r="AM34">
        <f>IF($B34="",0,COUNTIFS('UX Weekly'!$H$1:$CT$1,"&gt;="&amp;AM$1,'UX Weekly'!$H$1:$CT$1,"&lt;="&amp;EOMONTH(AM$1,0),'UX Weekly'!$H34:$CT34,"&lt;&gt;"))</f>
        <v>0</v>
      </c>
      <c r="AN34">
        <f>IF($B34="",0,COUNTIFS('UX Weekly'!$H$1:$CT$1,"&gt;="&amp;AN$1,'UX Weekly'!$H$1:$CT$1,"&lt;="&amp;EOMONTH(AN$1,0),'UX Weekly'!$H34:$CT34,"&lt;&gt;"))</f>
        <v>0</v>
      </c>
      <c r="AO34">
        <f>IF($B34="",0,COUNTIFS('UX Weekly'!$H$1:$CT$1,"&gt;="&amp;AO$1,'UX Weekly'!$H$1:$CT$1,"&lt;="&amp;EOMONTH(AO$1,0),'UX Weekly'!$H34:$CT34,"&lt;&gt;"))</f>
        <v>0</v>
      </c>
      <c r="AP34">
        <f>IF($B34="",0,COUNTIFS('UX Weekly'!$H$1:$CT$1,"&gt;="&amp;AP$1,'UX Weekly'!$H$1:$CT$1,"&lt;="&amp;EOMONTH(AP$1,0),'UX Weekly'!$H34:$CT34,"&lt;&gt;"))</f>
        <v>0</v>
      </c>
      <c r="AQ34">
        <f>IF($B34="",0,COUNTIFS('UX Weekly'!$H$1:$CT$1,"&gt;="&amp;AQ$1,'UX Weekly'!$H$1:$CT$1,"&lt;="&amp;EOMONTH(AQ$1,0),'UX Weekly'!$H34:$CT34,"&lt;&gt;"))</f>
        <v>0</v>
      </c>
      <c r="AR34">
        <f>IF($B34="",0,COUNTIFS('UX Weekly'!$H$1:$CT$1,"&gt;="&amp;AR$1,'UX Weekly'!$H$1:$CT$1,"&lt;="&amp;EOMONTH(AR$1,0),'UX Weekly'!$H34:$CT34,"&lt;&gt;"))</f>
        <v>0</v>
      </c>
      <c r="AS34">
        <f>IF($B34="",0,COUNTIFS('UX Weekly'!$H$1:$CT$1,"&gt;="&amp;AS$1,'UX Weekly'!$H$1:$CT$1,"&lt;="&amp;EOMONTH(AS$1,0),'UX Weekly'!$H34:$CT34,"&lt;&gt;"))</f>
        <v>0</v>
      </c>
      <c r="AT34">
        <f>IF($B34="",0,COUNTIFS('UX Weekly'!$H$1:$CT$1,"&gt;="&amp;AT$1,'UX Weekly'!$H$1:$CT$1,"&lt;="&amp;EOMONTH(AT$1,0),'UX Weekly'!$H34:$CT34,"&lt;&gt;"))</f>
        <v>0</v>
      </c>
      <c r="AU34">
        <f>IF($B34="",0,COUNTIFS('UX Weekly'!$H$1:$CT$1,"&gt;="&amp;AU$1,'UX Weekly'!$H$1:$CT$1,"&lt;="&amp;EOMONTH(AU$1,0),'UX Weekly'!$H34:$CT34,"&lt;&gt;"))</f>
        <v>0</v>
      </c>
      <c r="AV34">
        <f>IF($B34="",0,COUNTIFS('UX Weekly'!$H$1:$CT$1,"&gt;="&amp;AV$1,'UX Weekly'!$H$1:$CT$1,"&lt;="&amp;EOMONTH(AV$1,0),'UX Weekly'!$H34:$CT34,"&lt;&gt;"))</f>
        <v>0</v>
      </c>
      <c r="AW34">
        <f>IF($B34="",0,COUNTIFS('UX Weekly'!$H$1:$CT$1,"&gt;="&amp;AW$1,'UX Weekly'!$H$1:$CT$1,"&lt;="&amp;EOMONTH(AW$1,0),'UX Weekly'!$H34:$CT34,"&lt;&gt;"))</f>
        <v>0</v>
      </c>
      <c r="AX34">
        <f>IF($B34="",0,COUNTIFS('UX Weekly'!$H$1:$CT$1,"&gt;="&amp;AX$1,'UX Weekly'!$H$1:$CT$1,"&lt;="&amp;EOMONTH(AX$1,0),'UX Weekly'!$H34:$CT34,"&lt;&gt;"))</f>
        <v>0</v>
      </c>
    </row>
    <row r="35" spans="1:50" x14ac:dyDescent="0.2">
      <c r="A35" s="152">
        <v>35</v>
      </c>
      <c r="B35" s="152" t="str">
        <f>IF(TRIM('UX Weekly'!E35)="","",TRIM('UX Weekly'!E35))</f>
        <v>Sunset Modals for Drawers</v>
      </c>
      <c r="C35" s="152" t="str">
        <f>IF($B35="","",'UX Weekly'!B35)</f>
        <v>Find</v>
      </c>
      <c r="D35" s="152" t="str">
        <f>IF($B35="","",IF(TRIM('UX Weekly'!C35)="","(No theme assigned)",TRIM('UX Weekly'!C35)))</f>
        <v>Improve Discovery</v>
      </c>
      <c r="E35" s="152" t="str">
        <f>IF($B35="","",TRIM('UX Weekly'!F35))</f>
        <v>BHUX-32543 </v>
      </c>
      <c r="F35" s="152" t="str">
        <f>IF($B35="","",'UX Weekly'!G35)</f>
        <v>09. In Dev</v>
      </c>
      <c r="G35" s="153" t="str">
        <f t="array" ref="G35">IF($B35="","",IF($T35=0,"",IFERROR(MIN(IF('UX Weekly'!$H35:$CT35&lt;&gt;"",'UX Weekly'!$H$1:$CT$1)),"")))</f>
        <v/>
      </c>
      <c r="H35" s="153" t="str">
        <f t="array" ref="H35">IF($B35="","",IF($T35=0,"",IFERROR(MAX(IF('UX Weekly'!$H35:$CT35&lt;&gt;"",'UX Weekly'!$H$1:$CT$1)),"")))</f>
        <v/>
      </c>
      <c r="I35" s="154">
        <f t="shared" ca="1" si="7"/>
        <v>46235</v>
      </c>
      <c r="J35" s="154">
        <f t="shared" ca="1" si="8"/>
        <v>46265</v>
      </c>
      <c r="K35" s="152" t="str">
        <f>IF($B35="","",IF(COUNTA('Dev Tracker'!L35)=0,"",TRIM('Dev Tracker'!L35)))</f>
        <v>BHP-6228</v>
      </c>
      <c r="L35" s="152">
        <f>IF($B35="","",IFERROR(MATCH($D35,Control!$E$4:$E$30,0),99))</f>
        <v>1</v>
      </c>
      <c r="M35" s="152">
        <f>IF($B35="","",IFERROR(MATCH($F35,Control!$B$4:$B$30,0),99))</f>
        <v>12</v>
      </c>
      <c r="N35" s="152" t="str">
        <f>IF($V35&lt;&gt;1,"",IF('Roadmap (Auto)'!$D$3="Status, then Theme",$M35*1000000+$L35*10000+ROW(),IF('Roadmap (Auto)'!$D$3="Dev start (earliest)",IF($I35="",99999999,$I35)*10000+ROW(),IF('Roadmap (Auto)'!$D$3="UX start (earliest)",IF($G35="",99999999,$G35)*10000+ROW(),IF('Roadmap (Auto)'!$D$3="Deliverable A-Z",$W35*10000+ROW(),$L35*1000000+$M35*10000+ROW())))))</f>
        <v/>
      </c>
      <c r="O35" s="152" t="str">
        <f t="shared" si="9"/>
        <v/>
      </c>
      <c r="P35" s="152" t="str">
        <f>IF($B35="","",IF(COUNTA('Dev Tracker'!I35)=0,"",'Dev Tracker'!I35))</f>
        <v>Aug 2026</v>
      </c>
      <c r="Q35" s="152" t="str">
        <f>IF($B35="","",IF(COUNTA('Dev Tracker'!J35)=0,"",'Dev Tracker'!J35))</f>
        <v>Aug 2026</v>
      </c>
      <c r="R35" s="154">
        <f t="shared" ca="1" si="10"/>
        <v>46235</v>
      </c>
      <c r="S35" s="154">
        <f t="shared" ca="1" si="11"/>
        <v>46235</v>
      </c>
      <c r="T35" s="152">
        <f>IF($B35="","",COUNTA('UX Weekly'!$H35:$CT35))</f>
        <v>0</v>
      </c>
      <c r="U35" s="152">
        <f>IF($B35="","",IFERROR(MATCH($D35,Control!$E$4:$E$30,0)+3,0))</f>
        <v>4</v>
      </c>
      <c r="V35" s="152">
        <f>IF($B35="","",IF(AND(OR('Roadmap (Auto)'!$A$3="",'Roadmap (Auto)'!$A$3="(All)",ISNUMBER(SEARCH('Roadmap (Auto)'!$A$3,$C35&amp;""))),OR('Roadmap (Auto)'!$B$3="",'Roadmap (Auto)'!$B$3="(All)",$D35='Roadmap (Auto)'!$B$3,$X35='Roadmap (Auto)'!$B$3),OR('Roadmap (Auto)'!$C$3="",'Roadmap (Auto)'!$C$3="(All)",$F35='Roadmap (Auto)'!$C$3)),1,0))</f>
        <v>0</v>
      </c>
      <c r="W35" s="152">
        <f t="shared" si="12"/>
        <v>138</v>
      </c>
      <c r="X35" s="152" t="str">
        <f>IF($B35="","",IF(TRIM('UX Weekly'!D35)="","",TRIM('UX Weekly'!D35)))</f>
        <v/>
      </c>
      <c r="Y35" s="152" t="str">
        <f t="shared" si="13"/>
        <v>SUNSETMODALSFORDRAWERS</v>
      </c>
      <c r="AA35">
        <f>IF($B35="",0,COUNTIFS('UX Weekly'!$H$1:$CT$1,"&gt;="&amp;AA$1,'UX Weekly'!$H$1:$CT$1,"&lt;="&amp;EOMONTH(AA$1,0),'UX Weekly'!$H35:$CT35,"&lt;&gt;"))</f>
        <v>0</v>
      </c>
      <c r="AB35">
        <f>IF($B35="",0,COUNTIFS('UX Weekly'!$H$1:$CT$1,"&gt;="&amp;AB$1,'UX Weekly'!$H$1:$CT$1,"&lt;="&amp;EOMONTH(AB$1,0),'UX Weekly'!$H35:$CT35,"&lt;&gt;"))</f>
        <v>0</v>
      </c>
      <c r="AC35">
        <f>IF($B35="",0,COUNTIFS('UX Weekly'!$H$1:$CT$1,"&gt;="&amp;AC$1,'UX Weekly'!$H$1:$CT$1,"&lt;="&amp;EOMONTH(AC$1,0),'UX Weekly'!$H35:$CT35,"&lt;&gt;"))</f>
        <v>0</v>
      </c>
      <c r="AD35">
        <f>IF($B35="",0,COUNTIFS('UX Weekly'!$H$1:$CT$1,"&gt;="&amp;AD$1,'UX Weekly'!$H$1:$CT$1,"&lt;="&amp;EOMONTH(AD$1,0),'UX Weekly'!$H35:$CT35,"&lt;&gt;"))</f>
        <v>0</v>
      </c>
      <c r="AE35">
        <f>IF($B35="",0,COUNTIFS('UX Weekly'!$H$1:$CT$1,"&gt;="&amp;AE$1,'UX Weekly'!$H$1:$CT$1,"&lt;="&amp;EOMONTH(AE$1,0),'UX Weekly'!$H35:$CT35,"&lt;&gt;"))</f>
        <v>0</v>
      </c>
      <c r="AF35">
        <f>IF($B35="",0,COUNTIFS('UX Weekly'!$H$1:$CT$1,"&gt;="&amp;AF$1,'UX Weekly'!$H$1:$CT$1,"&lt;="&amp;EOMONTH(AF$1,0),'UX Weekly'!$H35:$CT35,"&lt;&gt;"))</f>
        <v>0</v>
      </c>
      <c r="AG35">
        <f>IF($B35="",0,COUNTIFS('UX Weekly'!$H$1:$CT$1,"&gt;="&amp;AG$1,'UX Weekly'!$H$1:$CT$1,"&lt;="&amp;EOMONTH(AG$1,0),'UX Weekly'!$H35:$CT35,"&lt;&gt;"))</f>
        <v>0</v>
      </c>
      <c r="AH35">
        <f>IF($B35="",0,COUNTIFS('UX Weekly'!$H$1:$CT$1,"&gt;="&amp;AH$1,'UX Weekly'!$H$1:$CT$1,"&lt;="&amp;EOMONTH(AH$1,0),'UX Weekly'!$H35:$CT35,"&lt;&gt;"))</f>
        <v>0</v>
      </c>
      <c r="AI35">
        <f>IF($B35="",0,COUNTIFS('UX Weekly'!$H$1:$CT$1,"&gt;="&amp;AI$1,'UX Weekly'!$H$1:$CT$1,"&lt;="&amp;EOMONTH(AI$1,0),'UX Weekly'!$H35:$CT35,"&lt;&gt;"))</f>
        <v>0</v>
      </c>
      <c r="AJ35">
        <f>IF($B35="",0,COUNTIFS('UX Weekly'!$H$1:$CT$1,"&gt;="&amp;AJ$1,'UX Weekly'!$H$1:$CT$1,"&lt;="&amp;EOMONTH(AJ$1,0),'UX Weekly'!$H35:$CT35,"&lt;&gt;"))</f>
        <v>0</v>
      </c>
      <c r="AK35">
        <f>IF($B35="",0,COUNTIFS('UX Weekly'!$H$1:$CT$1,"&gt;="&amp;AK$1,'UX Weekly'!$H$1:$CT$1,"&lt;="&amp;EOMONTH(AK$1,0),'UX Weekly'!$H35:$CT35,"&lt;&gt;"))</f>
        <v>0</v>
      </c>
      <c r="AL35">
        <f>IF($B35="",0,COUNTIFS('UX Weekly'!$H$1:$CT$1,"&gt;="&amp;AL$1,'UX Weekly'!$H$1:$CT$1,"&lt;="&amp;EOMONTH(AL$1,0),'UX Weekly'!$H35:$CT35,"&lt;&gt;"))</f>
        <v>0</v>
      </c>
      <c r="AM35">
        <f>IF($B35="",0,COUNTIFS('UX Weekly'!$H$1:$CT$1,"&gt;="&amp;AM$1,'UX Weekly'!$H$1:$CT$1,"&lt;="&amp;EOMONTH(AM$1,0),'UX Weekly'!$H35:$CT35,"&lt;&gt;"))</f>
        <v>0</v>
      </c>
      <c r="AN35">
        <f>IF($B35="",0,COUNTIFS('UX Weekly'!$H$1:$CT$1,"&gt;="&amp;AN$1,'UX Weekly'!$H$1:$CT$1,"&lt;="&amp;EOMONTH(AN$1,0),'UX Weekly'!$H35:$CT35,"&lt;&gt;"))</f>
        <v>0</v>
      </c>
      <c r="AO35">
        <f>IF($B35="",0,COUNTIFS('UX Weekly'!$H$1:$CT$1,"&gt;="&amp;AO$1,'UX Weekly'!$H$1:$CT$1,"&lt;="&amp;EOMONTH(AO$1,0),'UX Weekly'!$H35:$CT35,"&lt;&gt;"))</f>
        <v>0</v>
      </c>
      <c r="AP35">
        <f>IF($B35="",0,COUNTIFS('UX Weekly'!$H$1:$CT$1,"&gt;="&amp;AP$1,'UX Weekly'!$H$1:$CT$1,"&lt;="&amp;EOMONTH(AP$1,0),'UX Weekly'!$H35:$CT35,"&lt;&gt;"))</f>
        <v>0</v>
      </c>
      <c r="AQ35">
        <f>IF($B35="",0,COUNTIFS('UX Weekly'!$H$1:$CT$1,"&gt;="&amp;AQ$1,'UX Weekly'!$H$1:$CT$1,"&lt;="&amp;EOMONTH(AQ$1,0),'UX Weekly'!$H35:$CT35,"&lt;&gt;"))</f>
        <v>0</v>
      </c>
      <c r="AR35">
        <f>IF($B35="",0,COUNTIFS('UX Weekly'!$H$1:$CT$1,"&gt;="&amp;AR$1,'UX Weekly'!$H$1:$CT$1,"&lt;="&amp;EOMONTH(AR$1,0),'UX Weekly'!$H35:$CT35,"&lt;&gt;"))</f>
        <v>0</v>
      </c>
      <c r="AS35">
        <f>IF($B35="",0,COUNTIFS('UX Weekly'!$H$1:$CT$1,"&gt;="&amp;AS$1,'UX Weekly'!$H$1:$CT$1,"&lt;="&amp;EOMONTH(AS$1,0),'UX Weekly'!$H35:$CT35,"&lt;&gt;"))</f>
        <v>0</v>
      </c>
      <c r="AT35">
        <f>IF($B35="",0,COUNTIFS('UX Weekly'!$H$1:$CT$1,"&gt;="&amp;AT$1,'UX Weekly'!$H$1:$CT$1,"&lt;="&amp;EOMONTH(AT$1,0),'UX Weekly'!$H35:$CT35,"&lt;&gt;"))</f>
        <v>0</v>
      </c>
      <c r="AU35">
        <f>IF($B35="",0,COUNTIFS('UX Weekly'!$H$1:$CT$1,"&gt;="&amp;AU$1,'UX Weekly'!$H$1:$CT$1,"&lt;="&amp;EOMONTH(AU$1,0),'UX Weekly'!$H35:$CT35,"&lt;&gt;"))</f>
        <v>0</v>
      </c>
      <c r="AV35">
        <f>IF($B35="",0,COUNTIFS('UX Weekly'!$H$1:$CT$1,"&gt;="&amp;AV$1,'UX Weekly'!$H$1:$CT$1,"&lt;="&amp;EOMONTH(AV$1,0),'UX Weekly'!$H35:$CT35,"&lt;&gt;"))</f>
        <v>0</v>
      </c>
      <c r="AW35">
        <f>IF($B35="",0,COUNTIFS('UX Weekly'!$H$1:$CT$1,"&gt;="&amp;AW$1,'UX Weekly'!$H$1:$CT$1,"&lt;="&amp;EOMONTH(AW$1,0),'UX Weekly'!$H35:$CT35,"&lt;&gt;"))</f>
        <v>0</v>
      </c>
      <c r="AX35">
        <f>IF($B35="",0,COUNTIFS('UX Weekly'!$H$1:$CT$1,"&gt;="&amp;AX$1,'UX Weekly'!$H$1:$CT$1,"&lt;="&amp;EOMONTH(AX$1,0),'UX Weekly'!$H35:$CT35,"&lt;&gt;"))</f>
        <v>0</v>
      </c>
    </row>
    <row r="36" spans="1:50" x14ac:dyDescent="0.2">
      <c r="A36" s="152">
        <v>36</v>
      </c>
      <c r="B36" s="152" t="str">
        <f>IF(TRIM('UX Weekly'!E36)="","",TRIM('UX Weekly'!E36))</f>
        <v>Trade In Discrepancy Email Refresh (Copy Only)</v>
      </c>
      <c r="C36" s="152" t="str">
        <f>IF($B36="","",'UX Weekly'!B36)</f>
        <v>Used</v>
      </c>
      <c r="D36" s="152" t="str">
        <f>IF($B36="","",IF(TRIM('UX Weekly'!C36)="","(No theme assigned)",TRIM('UX Weekly'!C36)))</f>
        <v>Improve Trade In User Flow</v>
      </c>
      <c r="E36" s="152" t="str">
        <f>IF($B36="","",TRIM('UX Weekly'!F36))</f>
        <v/>
      </c>
      <c r="F36" s="152" t="str">
        <f>IF($B36="","",'UX Weekly'!G36)</f>
        <v>09. In Dev</v>
      </c>
      <c r="G36" s="153">
        <f t="array" ref="G36">IF($B36="","",IF($T36=0,"",IFERROR(MIN(IF('UX Weekly'!$H36:$CT36&lt;&gt;"",'UX Weekly'!$H$1:$CT$1)),"")))</f>
        <v>46216</v>
      </c>
      <c r="H36" s="153">
        <f t="array" ref="H36">IF($B36="","",IF($T36=0,"",IFERROR(MAX(IF('UX Weekly'!$H36:$CT36&lt;&gt;"",'UX Weekly'!$H$1:$CT$1)),"")))</f>
        <v>46223</v>
      </c>
      <c r="I36" s="154">
        <f t="shared" ca="1" si="7"/>
        <v>46204</v>
      </c>
      <c r="J36" s="154">
        <f t="shared" ca="1" si="8"/>
        <v>46234</v>
      </c>
      <c r="K36" s="152" t="str">
        <f>IF($B36="","",IF(COUNTA('Dev Tracker'!L36)=0,"",TRIM('Dev Tracker'!L36)))</f>
        <v/>
      </c>
      <c r="L36" s="152">
        <f>IF($B36="","",IFERROR(MATCH($D36,Control!$E$4:$E$30,0),99))</f>
        <v>3</v>
      </c>
      <c r="M36" s="152">
        <f>IF($B36="","",IFERROR(MATCH($F36,Control!$B$4:$B$30,0),99))</f>
        <v>12</v>
      </c>
      <c r="N36" s="152">
        <f>IF($V36&lt;&gt;1,"",IF('Roadmap (Auto)'!$D$3="Status, then Theme",$M36*1000000+$L36*10000+ROW(),IF('Roadmap (Auto)'!$D$3="Dev start (earliest)",IF($I36="",99999999,$I36)*10000+ROW(),IF('Roadmap (Auto)'!$D$3="UX start (earliest)",IF($G36="",99999999,$G36)*10000+ROW(),IF('Roadmap (Auto)'!$D$3="Deliverable A-Z",$W36*10000+ROW(),$L36*1000000+$M36*10000+ROW())))))</f>
        <v>3120036</v>
      </c>
      <c r="O36" s="152">
        <f t="shared" si="9"/>
        <v>11</v>
      </c>
      <c r="P36" s="152" t="str">
        <f>IF($B36="","",IF(COUNTA('Dev Tracker'!I36)=0,"",'Dev Tracker'!I36))</f>
        <v>Jul 2026</v>
      </c>
      <c r="Q36" s="152" t="str">
        <f>IF($B36="","",IF(COUNTA('Dev Tracker'!J36)=0,"",'Dev Tracker'!J36))</f>
        <v>Jul 2026</v>
      </c>
      <c r="R36" s="154">
        <f t="shared" ca="1" si="10"/>
        <v>46204</v>
      </c>
      <c r="S36" s="154">
        <f t="shared" ca="1" si="11"/>
        <v>46204</v>
      </c>
      <c r="T36" s="152">
        <f>IF($B36="","",COUNTA('UX Weekly'!$H36:$CT36))</f>
        <v>2</v>
      </c>
      <c r="U36" s="152">
        <f>IF($B36="","",IFERROR(MATCH($D36,Control!$E$4:$E$30,0)+3,0))</f>
        <v>6</v>
      </c>
      <c r="V36" s="152">
        <f>IF($B36="","",IF(AND(OR('Roadmap (Auto)'!$A$3="",'Roadmap (Auto)'!$A$3="(All)",ISNUMBER(SEARCH('Roadmap (Auto)'!$A$3,$C36&amp;""))),OR('Roadmap (Auto)'!$B$3="",'Roadmap (Auto)'!$B$3="(All)",$D36='Roadmap (Auto)'!$B$3,$X36='Roadmap (Auto)'!$B$3),OR('Roadmap (Auto)'!$C$3="",'Roadmap (Auto)'!$C$3="(All)",$F36='Roadmap (Auto)'!$C$3)),1,0))</f>
        <v>1</v>
      </c>
      <c r="W36" s="152">
        <f t="shared" si="12"/>
        <v>143</v>
      </c>
      <c r="X36" s="152" t="str">
        <f>IF($B36="","",IF(TRIM('UX Weekly'!D36)="","",TRIM('UX Weekly'!D36)))</f>
        <v/>
      </c>
      <c r="Y36" s="152" t="str">
        <f t="shared" si="13"/>
        <v>TRADEINDISCREPANCYEMAILREFRESHCOPYONLY</v>
      </c>
      <c r="AA36">
        <f>IF($B36="",0,COUNTIFS('UX Weekly'!$H$1:$CT$1,"&gt;="&amp;AA$1,'UX Weekly'!$H$1:$CT$1,"&lt;="&amp;EOMONTH(AA$1,0),'UX Weekly'!$H36:$CT36,"&lt;&gt;"))</f>
        <v>0</v>
      </c>
      <c r="AB36">
        <f>IF($B36="",0,COUNTIFS('UX Weekly'!$H$1:$CT$1,"&gt;="&amp;AB$1,'UX Weekly'!$H$1:$CT$1,"&lt;="&amp;EOMONTH(AB$1,0),'UX Weekly'!$H36:$CT36,"&lt;&gt;"))</f>
        <v>0</v>
      </c>
      <c r="AC36">
        <f>IF($B36="",0,COUNTIFS('UX Weekly'!$H$1:$CT$1,"&gt;="&amp;AC$1,'UX Weekly'!$H$1:$CT$1,"&lt;="&amp;EOMONTH(AC$1,0),'UX Weekly'!$H36:$CT36,"&lt;&gt;"))</f>
        <v>0</v>
      </c>
      <c r="AD36">
        <f>IF($B36="",0,COUNTIFS('UX Weekly'!$H$1:$CT$1,"&gt;="&amp;AD$1,'UX Weekly'!$H$1:$CT$1,"&lt;="&amp;EOMONTH(AD$1,0),'UX Weekly'!$H36:$CT36,"&lt;&gt;"))</f>
        <v>0</v>
      </c>
      <c r="AE36">
        <f>IF($B36="",0,COUNTIFS('UX Weekly'!$H$1:$CT$1,"&gt;="&amp;AE$1,'UX Weekly'!$H$1:$CT$1,"&lt;="&amp;EOMONTH(AE$1,0),'UX Weekly'!$H36:$CT36,"&lt;&gt;"))</f>
        <v>0</v>
      </c>
      <c r="AF36">
        <f>IF($B36="",0,COUNTIFS('UX Weekly'!$H$1:$CT$1,"&gt;="&amp;AF$1,'UX Weekly'!$H$1:$CT$1,"&lt;="&amp;EOMONTH(AF$1,0),'UX Weekly'!$H36:$CT36,"&lt;&gt;"))</f>
        <v>0</v>
      </c>
      <c r="AG36">
        <f>IF($B36="",0,COUNTIFS('UX Weekly'!$H$1:$CT$1,"&gt;="&amp;AG$1,'UX Weekly'!$H$1:$CT$1,"&lt;="&amp;EOMONTH(AG$1,0),'UX Weekly'!$H36:$CT36,"&lt;&gt;"))</f>
        <v>2</v>
      </c>
      <c r="AH36">
        <f>IF($B36="",0,COUNTIFS('UX Weekly'!$H$1:$CT$1,"&gt;="&amp;AH$1,'UX Weekly'!$H$1:$CT$1,"&lt;="&amp;EOMONTH(AH$1,0),'UX Weekly'!$H36:$CT36,"&lt;&gt;"))</f>
        <v>0</v>
      </c>
      <c r="AI36">
        <f>IF($B36="",0,COUNTIFS('UX Weekly'!$H$1:$CT$1,"&gt;="&amp;AI$1,'UX Weekly'!$H$1:$CT$1,"&lt;="&amp;EOMONTH(AI$1,0),'UX Weekly'!$H36:$CT36,"&lt;&gt;"))</f>
        <v>0</v>
      </c>
      <c r="AJ36">
        <f>IF($B36="",0,COUNTIFS('UX Weekly'!$H$1:$CT$1,"&gt;="&amp;AJ$1,'UX Weekly'!$H$1:$CT$1,"&lt;="&amp;EOMONTH(AJ$1,0),'UX Weekly'!$H36:$CT36,"&lt;&gt;"))</f>
        <v>0</v>
      </c>
      <c r="AK36">
        <f>IF($B36="",0,COUNTIFS('UX Weekly'!$H$1:$CT$1,"&gt;="&amp;AK$1,'UX Weekly'!$H$1:$CT$1,"&lt;="&amp;EOMONTH(AK$1,0),'UX Weekly'!$H36:$CT36,"&lt;&gt;"))</f>
        <v>0</v>
      </c>
      <c r="AL36">
        <f>IF($B36="",0,COUNTIFS('UX Weekly'!$H$1:$CT$1,"&gt;="&amp;AL$1,'UX Weekly'!$H$1:$CT$1,"&lt;="&amp;EOMONTH(AL$1,0),'UX Weekly'!$H36:$CT36,"&lt;&gt;"))</f>
        <v>0</v>
      </c>
      <c r="AM36">
        <f>IF($B36="",0,COUNTIFS('UX Weekly'!$H$1:$CT$1,"&gt;="&amp;AM$1,'UX Weekly'!$H$1:$CT$1,"&lt;="&amp;EOMONTH(AM$1,0),'UX Weekly'!$H36:$CT36,"&lt;&gt;"))</f>
        <v>0</v>
      </c>
      <c r="AN36">
        <f>IF($B36="",0,COUNTIFS('UX Weekly'!$H$1:$CT$1,"&gt;="&amp;AN$1,'UX Weekly'!$H$1:$CT$1,"&lt;="&amp;EOMONTH(AN$1,0),'UX Weekly'!$H36:$CT36,"&lt;&gt;"))</f>
        <v>0</v>
      </c>
      <c r="AO36">
        <f>IF($B36="",0,COUNTIFS('UX Weekly'!$H$1:$CT$1,"&gt;="&amp;AO$1,'UX Weekly'!$H$1:$CT$1,"&lt;="&amp;EOMONTH(AO$1,0),'UX Weekly'!$H36:$CT36,"&lt;&gt;"))</f>
        <v>0</v>
      </c>
      <c r="AP36">
        <f>IF($B36="",0,COUNTIFS('UX Weekly'!$H$1:$CT$1,"&gt;="&amp;AP$1,'UX Weekly'!$H$1:$CT$1,"&lt;="&amp;EOMONTH(AP$1,0),'UX Weekly'!$H36:$CT36,"&lt;&gt;"))</f>
        <v>0</v>
      </c>
      <c r="AQ36">
        <f>IF($B36="",0,COUNTIFS('UX Weekly'!$H$1:$CT$1,"&gt;="&amp;AQ$1,'UX Weekly'!$H$1:$CT$1,"&lt;="&amp;EOMONTH(AQ$1,0),'UX Weekly'!$H36:$CT36,"&lt;&gt;"))</f>
        <v>0</v>
      </c>
      <c r="AR36">
        <f>IF($B36="",0,COUNTIFS('UX Weekly'!$H$1:$CT$1,"&gt;="&amp;AR$1,'UX Weekly'!$H$1:$CT$1,"&lt;="&amp;EOMONTH(AR$1,0),'UX Weekly'!$H36:$CT36,"&lt;&gt;"))</f>
        <v>0</v>
      </c>
      <c r="AS36">
        <f>IF($B36="",0,COUNTIFS('UX Weekly'!$H$1:$CT$1,"&gt;="&amp;AS$1,'UX Weekly'!$H$1:$CT$1,"&lt;="&amp;EOMONTH(AS$1,0),'UX Weekly'!$H36:$CT36,"&lt;&gt;"))</f>
        <v>0</v>
      </c>
      <c r="AT36">
        <f>IF($B36="",0,COUNTIFS('UX Weekly'!$H$1:$CT$1,"&gt;="&amp;AT$1,'UX Weekly'!$H$1:$CT$1,"&lt;="&amp;EOMONTH(AT$1,0),'UX Weekly'!$H36:$CT36,"&lt;&gt;"))</f>
        <v>0</v>
      </c>
      <c r="AU36">
        <f>IF($B36="",0,COUNTIFS('UX Weekly'!$H$1:$CT$1,"&gt;="&amp;AU$1,'UX Weekly'!$H$1:$CT$1,"&lt;="&amp;EOMONTH(AU$1,0),'UX Weekly'!$H36:$CT36,"&lt;&gt;"))</f>
        <v>0</v>
      </c>
      <c r="AV36">
        <f>IF($B36="",0,COUNTIFS('UX Weekly'!$H$1:$CT$1,"&gt;="&amp;AV$1,'UX Weekly'!$H$1:$CT$1,"&lt;="&amp;EOMONTH(AV$1,0),'UX Weekly'!$H36:$CT36,"&lt;&gt;"))</f>
        <v>0</v>
      </c>
      <c r="AW36">
        <f>IF($B36="",0,COUNTIFS('UX Weekly'!$H$1:$CT$1,"&gt;="&amp;AW$1,'UX Weekly'!$H$1:$CT$1,"&lt;="&amp;EOMONTH(AW$1,0),'UX Weekly'!$H36:$CT36,"&lt;&gt;"))</f>
        <v>0</v>
      </c>
      <c r="AX36">
        <f>IF($B36="",0,COUNTIFS('UX Weekly'!$H$1:$CT$1,"&gt;="&amp;AX$1,'UX Weekly'!$H$1:$CT$1,"&lt;="&amp;EOMONTH(AX$1,0),'UX Weekly'!$H36:$CT36,"&lt;&gt;"))</f>
        <v>0</v>
      </c>
    </row>
    <row r="37" spans="1:50" x14ac:dyDescent="0.2">
      <c r="A37" s="152">
        <v>37</v>
      </c>
      <c r="B37" s="152" t="str">
        <f>IF(TRIM('UX Weekly'!E37)="","",TRIM('UX Weekly'!E37))</f>
        <v>Condition Grouping</v>
      </c>
      <c r="C37" s="152" t="str">
        <f>IF($B37="","",'UX Weekly'!B37)</f>
        <v>Used</v>
      </c>
      <c r="D37" s="152" t="str">
        <f>IF($B37="","",IF(TRIM('UX Weekly'!C37)="","(No theme assigned)",TRIM('UX Weekly'!C37)))</f>
        <v>Increase Buy Used Awareness</v>
      </c>
      <c r="E37" s="152" t="str">
        <f>IF($B37="","",TRIM('UX Weekly'!F37))</f>
        <v>BHUX-33519</v>
      </c>
      <c r="F37" s="152" t="str">
        <f>IF($B37="","",'UX Weekly'!G37)</f>
        <v>10. QA</v>
      </c>
      <c r="G37" s="153">
        <f t="array" ref="G37">IF($B37="","",IF($T37=0,"",IFERROR(MIN(IF('UX Weekly'!$H37:$CT37&lt;&gt;"",'UX Weekly'!$H$1:$CT$1)),"")))</f>
        <v>46139</v>
      </c>
      <c r="H37" s="153">
        <f t="array" ref="H37">IF($B37="","",IF($T37=0,"",IFERROR(MAX(IF('UX Weekly'!$H37:$CT37&lt;&gt;"",'UX Weekly'!$H$1:$CT$1)),"")))</f>
        <v>46146</v>
      </c>
      <c r="I37" s="154">
        <f t="shared" ca="1" si="7"/>
        <v>46235</v>
      </c>
      <c r="J37" s="154">
        <f t="shared" ca="1" si="8"/>
        <v>46265</v>
      </c>
      <c r="K37" s="152" t="str">
        <f>IF($B37="","",IF(COUNTA('Dev Tracker'!L37)=0,"",TRIM('Dev Tracker'!L37)))</f>
        <v>BHP-4518</v>
      </c>
      <c r="L37" s="152">
        <f>IF($B37="","",IFERROR(MATCH($D37,Control!$E$4:$E$30,0),99))</f>
        <v>5</v>
      </c>
      <c r="M37" s="152">
        <f>IF($B37="","",IFERROR(MATCH($F37,Control!$B$4:$B$30,0),99))</f>
        <v>13</v>
      </c>
      <c r="N37" s="152">
        <f>IF($V37&lt;&gt;1,"",IF('Roadmap (Auto)'!$D$3="Status, then Theme",$M37*1000000+$L37*10000+ROW(),IF('Roadmap (Auto)'!$D$3="Dev start (earliest)",IF($I37="",99999999,$I37)*10000+ROW(),IF('Roadmap (Auto)'!$D$3="UX start (earliest)",IF($G37="",99999999,$G37)*10000+ROW(),IF('Roadmap (Auto)'!$D$3="Deliverable A-Z",$W37*10000+ROW(),$L37*1000000+$M37*10000+ROW())))))</f>
        <v>5130037</v>
      </c>
      <c r="O37" s="152">
        <f t="shared" si="9"/>
        <v>19</v>
      </c>
      <c r="P37" s="152" t="str">
        <f>IF($B37="","",IF(COUNTA('Dev Tracker'!I37)=0,"",'Dev Tracker'!I37))</f>
        <v>Aug 2026</v>
      </c>
      <c r="Q37" s="152" t="str">
        <f>IF($B37="","",IF(COUNTA('Dev Tracker'!J37)=0,"",'Dev Tracker'!J37))</f>
        <v>Aug 2026</v>
      </c>
      <c r="R37" s="154">
        <f t="shared" ca="1" si="10"/>
        <v>46235</v>
      </c>
      <c r="S37" s="154">
        <f t="shared" ca="1" si="11"/>
        <v>46235</v>
      </c>
      <c r="T37" s="152">
        <f>IF($B37="","",COUNTA('UX Weekly'!$H37:$CT37))</f>
        <v>2</v>
      </c>
      <c r="U37" s="152">
        <f>IF($B37="","",IFERROR(MATCH($D37,Control!$E$4:$E$30,0)+3,0))</f>
        <v>8</v>
      </c>
      <c r="V37" s="152">
        <f>IF($B37="","",IF(AND(OR('Roadmap (Auto)'!$A$3="",'Roadmap (Auto)'!$A$3="(All)",ISNUMBER(SEARCH('Roadmap (Auto)'!$A$3,$C37&amp;""))),OR('Roadmap (Auto)'!$B$3="",'Roadmap (Auto)'!$B$3="(All)",$D37='Roadmap (Auto)'!$B$3,$X37='Roadmap (Auto)'!$B$3),OR('Roadmap (Auto)'!$C$3="",'Roadmap (Auto)'!$C$3="(All)",$F37='Roadmap (Auto)'!$C$3)),1,0))</f>
        <v>1</v>
      </c>
      <c r="W37" s="152">
        <f t="shared" si="12"/>
        <v>115</v>
      </c>
      <c r="X37" s="152" t="str">
        <f>IF($B37="","",IF(TRIM('UX Weekly'!D37)="","",TRIM('UX Weekly'!D37)))</f>
        <v/>
      </c>
      <c r="Y37" s="152" t="str">
        <f t="shared" si="13"/>
        <v>CONDITIONGROUPING</v>
      </c>
      <c r="AA37">
        <f>IF($B37="",0,COUNTIFS('UX Weekly'!$H$1:$CT$1,"&gt;="&amp;AA$1,'UX Weekly'!$H$1:$CT$1,"&lt;="&amp;EOMONTH(AA$1,0),'UX Weekly'!$H37:$CT37,"&lt;&gt;"))</f>
        <v>0</v>
      </c>
      <c r="AB37">
        <f>IF($B37="",0,COUNTIFS('UX Weekly'!$H$1:$CT$1,"&gt;="&amp;AB$1,'UX Weekly'!$H$1:$CT$1,"&lt;="&amp;EOMONTH(AB$1,0),'UX Weekly'!$H37:$CT37,"&lt;&gt;"))</f>
        <v>0</v>
      </c>
      <c r="AC37">
        <f>IF($B37="",0,COUNTIFS('UX Weekly'!$H$1:$CT$1,"&gt;="&amp;AC$1,'UX Weekly'!$H$1:$CT$1,"&lt;="&amp;EOMONTH(AC$1,0),'UX Weekly'!$H37:$CT37,"&lt;&gt;"))</f>
        <v>0</v>
      </c>
      <c r="AD37">
        <f>IF($B37="",0,COUNTIFS('UX Weekly'!$H$1:$CT$1,"&gt;="&amp;AD$1,'UX Weekly'!$H$1:$CT$1,"&lt;="&amp;EOMONTH(AD$1,0),'UX Weekly'!$H37:$CT37,"&lt;&gt;"))</f>
        <v>1</v>
      </c>
      <c r="AE37">
        <f>IF($B37="",0,COUNTIFS('UX Weekly'!$H$1:$CT$1,"&gt;="&amp;AE$1,'UX Weekly'!$H$1:$CT$1,"&lt;="&amp;EOMONTH(AE$1,0),'UX Weekly'!$H37:$CT37,"&lt;&gt;"))</f>
        <v>1</v>
      </c>
      <c r="AF37">
        <f>IF($B37="",0,COUNTIFS('UX Weekly'!$H$1:$CT$1,"&gt;="&amp;AF$1,'UX Weekly'!$H$1:$CT$1,"&lt;="&amp;EOMONTH(AF$1,0),'UX Weekly'!$H37:$CT37,"&lt;&gt;"))</f>
        <v>0</v>
      </c>
      <c r="AG37">
        <f>IF($B37="",0,COUNTIFS('UX Weekly'!$H$1:$CT$1,"&gt;="&amp;AG$1,'UX Weekly'!$H$1:$CT$1,"&lt;="&amp;EOMONTH(AG$1,0),'UX Weekly'!$H37:$CT37,"&lt;&gt;"))</f>
        <v>0</v>
      </c>
      <c r="AH37">
        <f>IF($B37="",0,COUNTIFS('UX Weekly'!$H$1:$CT$1,"&gt;="&amp;AH$1,'UX Weekly'!$H$1:$CT$1,"&lt;="&amp;EOMONTH(AH$1,0),'UX Weekly'!$H37:$CT37,"&lt;&gt;"))</f>
        <v>0</v>
      </c>
      <c r="AI37">
        <f>IF($B37="",0,COUNTIFS('UX Weekly'!$H$1:$CT$1,"&gt;="&amp;AI$1,'UX Weekly'!$H$1:$CT$1,"&lt;="&amp;EOMONTH(AI$1,0),'UX Weekly'!$H37:$CT37,"&lt;&gt;"))</f>
        <v>0</v>
      </c>
      <c r="AJ37">
        <f>IF($B37="",0,COUNTIFS('UX Weekly'!$H$1:$CT$1,"&gt;="&amp;AJ$1,'UX Weekly'!$H$1:$CT$1,"&lt;="&amp;EOMONTH(AJ$1,0),'UX Weekly'!$H37:$CT37,"&lt;&gt;"))</f>
        <v>0</v>
      </c>
      <c r="AK37">
        <f>IF($B37="",0,COUNTIFS('UX Weekly'!$H$1:$CT$1,"&gt;="&amp;AK$1,'UX Weekly'!$H$1:$CT$1,"&lt;="&amp;EOMONTH(AK$1,0),'UX Weekly'!$H37:$CT37,"&lt;&gt;"))</f>
        <v>0</v>
      </c>
      <c r="AL37">
        <f>IF($B37="",0,COUNTIFS('UX Weekly'!$H$1:$CT$1,"&gt;="&amp;AL$1,'UX Weekly'!$H$1:$CT$1,"&lt;="&amp;EOMONTH(AL$1,0),'UX Weekly'!$H37:$CT37,"&lt;&gt;"))</f>
        <v>0</v>
      </c>
      <c r="AM37">
        <f>IF($B37="",0,COUNTIFS('UX Weekly'!$H$1:$CT$1,"&gt;="&amp;AM$1,'UX Weekly'!$H$1:$CT$1,"&lt;="&amp;EOMONTH(AM$1,0),'UX Weekly'!$H37:$CT37,"&lt;&gt;"))</f>
        <v>0</v>
      </c>
      <c r="AN37">
        <f>IF($B37="",0,COUNTIFS('UX Weekly'!$H$1:$CT$1,"&gt;="&amp;AN$1,'UX Weekly'!$H$1:$CT$1,"&lt;="&amp;EOMONTH(AN$1,0),'UX Weekly'!$H37:$CT37,"&lt;&gt;"))</f>
        <v>0</v>
      </c>
      <c r="AO37">
        <f>IF($B37="",0,COUNTIFS('UX Weekly'!$H$1:$CT$1,"&gt;="&amp;AO$1,'UX Weekly'!$H$1:$CT$1,"&lt;="&amp;EOMONTH(AO$1,0),'UX Weekly'!$H37:$CT37,"&lt;&gt;"))</f>
        <v>0</v>
      </c>
      <c r="AP37">
        <f>IF($B37="",0,COUNTIFS('UX Weekly'!$H$1:$CT$1,"&gt;="&amp;AP$1,'UX Weekly'!$H$1:$CT$1,"&lt;="&amp;EOMONTH(AP$1,0),'UX Weekly'!$H37:$CT37,"&lt;&gt;"))</f>
        <v>0</v>
      </c>
      <c r="AQ37">
        <f>IF($B37="",0,COUNTIFS('UX Weekly'!$H$1:$CT$1,"&gt;="&amp;AQ$1,'UX Weekly'!$H$1:$CT$1,"&lt;="&amp;EOMONTH(AQ$1,0),'UX Weekly'!$H37:$CT37,"&lt;&gt;"))</f>
        <v>0</v>
      </c>
      <c r="AR37">
        <f>IF($B37="",0,COUNTIFS('UX Weekly'!$H$1:$CT$1,"&gt;="&amp;AR$1,'UX Weekly'!$H$1:$CT$1,"&lt;="&amp;EOMONTH(AR$1,0),'UX Weekly'!$H37:$CT37,"&lt;&gt;"))</f>
        <v>0</v>
      </c>
      <c r="AS37">
        <f>IF($B37="",0,COUNTIFS('UX Weekly'!$H$1:$CT$1,"&gt;="&amp;AS$1,'UX Weekly'!$H$1:$CT$1,"&lt;="&amp;EOMONTH(AS$1,0),'UX Weekly'!$H37:$CT37,"&lt;&gt;"))</f>
        <v>0</v>
      </c>
      <c r="AT37">
        <f>IF($B37="",0,COUNTIFS('UX Weekly'!$H$1:$CT$1,"&gt;="&amp;AT$1,'UX Weekly'!$H$1:$CT$1,"&lt;="&amp;EOMONTH(AT$1,0),'UX Weekly'!$H37:$CT37,"&lt;&gt;"))</f>
        <v>0</v>
      </c>
      <c r="AU37">
        <f>IF($B37="",0,COUNTIFS('UX Weekly'!$H$1:$CT$1,"&gt;="&amp;AU$1,'UX Weekly'!$H$1:$CT$1,"&lt;="&amp;EOMONTH(AU$1,0),'UX Weekly'!$H37:$CT37,"&lt;&gt;"))</f>
        <v>0</v>
      </c>
      <c r="AV37">
        <f>IF($B37="",0,COUNTIFS('UX Weekly'!$H$1:$CT$1,"&gt;="&amp;AV$1,'UX Weekly'!$H$1:$CT$1,"&lt;="&amp;EOMONTH(AV$1,0),'UX Weekly'!$H37:$CT37,"&lt;&gt;"))</f>
        <v>0</v>
      </c>
      <c r="AW37">
        <f>IF($B37="",0,COUNTIFS('UX Weekly'!$H$1:$CT$1,"&gt;="&amp;AW$1,'UX Weekly'!$H$1:$CT$1,"&lt;="&amp;EOMONTH(AW$1,0),'UX Weekly'!$H37:$CT37,"&lt;&gt;"))</f>
        <v>0</v>
      </c>
      <c r="AX37">
        <f>IF($B37="",0,COUNTIFS('UX Weekly'!$H$1:$CT$1,"&gt;="&amp;AX$1,'UX Weekly'!$H$1:$CT$1,"&lt;="&amp;EOMONTH(AX$1,0),'UX Weekly'!$H37:$CT37,"&lt;&gt;"))</f>
        <v>0</v>
      </c>
    </row>
    <row r="38" spans="1:50" x14ac:dyDescent="0.2">
      <c r="A38" s="152">
        <v>38</v>
      </c>
      <c r="B38" s="152" t="str">
        <f>IF(TRIM('UX Weekly'!E38)="","",TRIM('UX Weekly'!E38))</f>
        <v>Sliders</v>
      </c>
      <c r="C38" s="152" t="str">
        <f>IF($B38="","",'UX Weekly'!B38)</f>
        <v>Find</v>
      </c>
      <c r="D38" s="152" t="str">
        <f>IF($B38="","",IF(TRIM('UX Weekly'!C38)="","(No theme assigned)",TRIM('UX Weekly'!C38)))</f>
        <v>Improve Discovery</v>
      </c>
      <c r="E38" s="152" t="str">
        <f>IF($B38="","",TRIM('UX Weekly'!F38))</f>
        <v>BHUX-17615</v>
      </c>
      <c r="F38" s="152" t="str">
        <f>IF($B38="","",'UX Weekly'!G38)</f>
        <v>13. Live</v>
      </c>
      <c r="G38" s="153" t="str">
        <f t="array" ref="G38">IF($B38="","",IF($T38=0,"",IFERROR(MIN(IF('UX Weekly'!$H38:$CT38&lt;&gt;"",'UX Weekly'!$H$1:$CT$1)),"")))</f>
        <v/>
      </c>
      <c r="H38" s="153" t="str">
        <f t="array" ref="H38">IF($B38="","",IF($T38=0,"",IFERROR(MAX(IF('UX Weekly'!$H38:$CT38&lt;&gt;"",'UX Weekly'!$H$1:$CT$1)),"")))</f>
        <v/>
      </c>
      <c r="I38" s="154" t="str">
        <f t="shared" ca="1" si="7"/>
        <v/>
      </c>
      <c r="J38" s="154" t="str">
        <f t="shared" ca="1" si="8"/>
        <v/>
      </c>
      <c r="K38" s="152" t="str">
        <f>IF($B38="","",IF(COUNTA('Dev Tracker'!L38)=0,"",TRIM('Dev Tracker'!L38)))</f>
        <v>BHP-3757</v>
      </c>
      <c r="L38" s="152">
        <f>IF($B38="","",IFERROR(MATCH($D38,Control!$E$4:$E$30,0),99))</f>
        <v>1</v>
      </c>
      <c r="M38" s="152">
        <f>IF($B38="","",IFERROR(MATCH($F38,Control!$B$4:$B$30,0),99))</f>
        <v>16</v>
      </c>
      <c r="N38" s="152" t="str">
        <f>IF($V38&lt;&gt;1,"",IF('Roadmap (Auto)'!$D$3="Status, then Theme",$M38*1000000+$L38*10000+ROW(),IF('Roadmap (Auto)'!$D$3="Dev start (earliest)",IF($I38="",99999999,$I38)*10000+ROW(),IF('Roadmap (Auto)'!$D$3="UX start (earliest)",IF($G38="",99999999,$G38)*10000+ROW(),IF('Roadmap (Auto)'!$D$3="Deliverable A-Z",$W38*10000+ROW(),$L38*1000000+$M38*10000+ROW())))))</f>
        <v/>
      </c>
      <c r="O38" s="152" t="str">
        <f t="shared" si="9"/>
        <v/>
      </c>
      <c r="P38" s="152" t="str">
        <f>IF($B38="","",IF(COUNTA('Dev Tracker'!I38)=0,"",'Dev Tracker'!I38))</f>
        <v/>
      </c>
      <c r="Q38" s="152" t="str">
        <f>IF($B38="","",IF(COUNTA('Dev Tracker'!J38)=0,"",'Dev Tracker'!J38))</f>
        <v/>
      </c>
      <c r="R38" s="154" t="str">
        <f t="shared" ca="1" si="10"/>
        <v/>
      </c>
      <c r="S38" s="154" t="str">
        <f t="shared" ca="1" si="11"/>
        <v/>
      </c>
      <c r="T38" s="152">
        <f>IF($B38="","",COUNTA('UX Weekly'!$H38:$CT38))</f>
        <v>0</v>
      </c>
      <c r="U38" s="152">
        <f>IF($B38="","",IFERROR(MATCH($D38,Control!$E$4:$E$30,0)+3,0))</f>
        <v>4</v>
      </c>
      <c r="V38" s="152">
        <f>IF($B38="","",IF(AND(OR('Roadmap (Auto)'!$A$3="",'Roadmap (Auto)'!$A$3="(All)",ISNUMBER(SEARCH('Roadmap (Auto)'!$A$3,$C38&amp;""))),OR('Roadmap (Auto)'!$B$3="",'Roadmap (Auto)'!$B$3="(All)",$D38='Roadmap (Auto)'!$B$3,$X38='Roadmap (Auto)'!$B$3),OR('Roadmap (Auto)'!$C$3="",'Roadmap (Auto)'!$C$3="(All)",$F38='Roadmap (Auto)'!$C$3)),1,0))</f>
        <v>0</v>
      </c>
      <c r="W38" s="152">
        <f t="shared" si="12"/>
        <v>136</v>
      </c>
      <c r="X38" s="152" t="str">
        <f>IF($B38="","",IF(TRIM('UX Weekly'!D38)="","",TRIM('UX Weekly'!D38)))</f>
        <v/>
      </c>
      <c r="Y38" s="152" t="str">
        <f t="shared" si="13"/>
        <v>SLIDERS</v>
      </c>
      <c r="AA38">
        <f>IF($B38="",0,COUNTIFS('UX Weekly'!$H$1:$CT$1,"&gt;="&amp;AA$1,'UX Weekly'!$H$1:$CT$1,"&lt;="&amp;EOMONTH(AA$1,0),'UX Weekly'!$H38:$CT38,"&lt;&gt;"))</f>
        <v>0</v>
      </c>
      <c r="AB38">
        <f>IF($B38="",0,COUNTIFS('UX Weekly'!$H$1:$CT$1,"&gt;="&amp;AB$1,'UX Weekly'!$H$1:$CT$1,"&lt;="&amp;EOMONTH(AB$1,0),'UX Weekly'!$H38:$CT38,"&lt;&gt;"))</f>
        <v>0</v>
      </c>
      <c r="AC38">
        <f>IF($B38="",0,COUNTIFS('UX Weekly'!$H$1:$CT$1,"&gt;="&amp;AC$1,'UX Weekly'!$H$1:$CT$1,"&lt;="&amp;EOMONTH(AC$1,0),'UX Weekly'!$H38:$CT38,"&lt;&gt;"))</f>
        <v>0</v>
      </c>
      <c r="AD38">
        <f>IF($B38="",0,COUNTIFS('UX Weekly'!$H$1:$CT$1,"&gt;="&amp;AD$1,'UX Weekly'!$H$1:$CT$1,"&lt;="&amp;EOMONTH(AD$1,0),'UX Weekly'!$H38:$CT38,"&lt;&gt;"))</f>
        <v>0</v>
      </c>
      <c r="AE38">
        <f>IF($B38="",0,COUNTIFS('UX Weekly'!$H$1:$CT$1,"&gt;="&amp;AE$1,'UX Weekly'!$H$1:$CT$1,"&lt;="&amp;EOMONTH(AE$1,0),'UX Weekly'!$H38:$CT38,"&lt;&gt;"))</f>
        <v>0</v>
      </c>
      <c r="AF38">
        <f>IF($B38="",0,COUNTIFS('UX Weekly'!$H$1:$CT$1,"&gt;="&amp;AF$1,'UX Weekly'!$H$1:$CT$1,"&lt;="&amp;EOMONTH(AF$1,0),'UX Weekly'!$H38:$CT38,"&lt;&gt;"))</f>
        <v>0</v>
      </c>
      <c r="AG38">
        <f>IF($B38="",0,COUNTIFS('UX Weekly'!$H$1:$CT$1,"&gt;="&amp;AG$1,'UX Weekly'!$H$1:$CT$1,"&lt;="&amp;EOMONTH(AG$1,0),'UX Weekly'!$H38:$CT38,"&lt;&gt;"))</f>
        <v>0</v>
      </c>
      <c r="AH38">
        <f>IF($B38="",0,COUNTIFS('UX Weekly'!$H$1:$CT$1,"&gt;="&amp;AH$1,'UX Weekly'!$H$1:$CT$1,"&lt;="&amp;EOMONTH(AH$1,0),'UX Weekly'!$H38:$CT38,"&lt;&gt;"))</f>
        <v>0</v>
      </c>
      <c r="AI38">
        <f>IF($B38="",0,COUNTIFS('UX Weekly'!$H$1:$CT$1,"&gt;="&amp;AI$1,'UX Weekly'!$H$1:$CT$1,"&lt;="&amp;EOMONTH(AI$1,0),'UX Weekly'!$H38:$CT38,"&lt;&gt;"))</f>
        <v>0</v>
      </c>
      <c r="AJ38">
        <f>IF($B38="",0,COUNTIFS('UX Weekly'!$H$1:$CT$1,"&gt;="&amp;AJ$1,'UX Weekly'!$H$1:$CT$1,"&lt;="&amp;EOMONTH(AJ$1,0),'UX Weekly'!$H38:$CT38,"&lt;&gt;"))</f>
        <v>0</v>
      </c>
      <c r="AK38">
        <f>IF($B38="",0,COUNTIFS('UX Weekly'!$H$1:$CT$1,"&gt;="&amp;AK$1,'UX Weekly'!$H$1:$CT$1,"&lt;="&amp;EOMONTH(AK$1,0),'UX Weekly'!$H38:$CT38,"&lt;&gt;"))</f>
        <v>0</v>
      </c>
      <c r="AL38">
        <f>IF($B38="",0,COUNTIFS('UX Weekly'!$H$1:$CT$1,"&gt;="&amp;AL$1,'UX Weekly'!$H$1:$CT$1,"&lt;="&amp;EOMONTH(AL$1,0),'UX Weekly'!$H38:$CT38,"&lt;&gt;"))</f>
        <v>0</v>
      </c>
      <c r="AM38">
        <f>IF($B38="",0,COUNTIFS('UX Weekly'!$H$1:$CT$1,"&gt;="&amp;AM$1,'UX Weekly'!$H$1:$CT$1,"&lt;="&amp;EOMONTH(AM$1,0),'UX Weekly'!$H38:$CT38,"&lt;&gt;"))</f>
        <v>0</v>
      </c>
      <c r="AN38">
        <f>IF($B38="",0,COUNTIFS('UX Weekly'!$H$1:$CT$1,"&gt;="&amp;AN$1,'UX Weekly'!$H$1:$CT$1,"&lt;="&amp;EOMONTH(AN$1,0),'UX Weekly'!$H38:$CT38,"&lt;&gt;"))</f>
        <v>0</v>
      </c>
      <c r="AO38">
        <f>IF($B38="",0,COUNTIFS('UX Weekly'!$H$1:$CT$1,"&gt;="&amp;AO$1,'UX Weekly'!$H$1:$CT$1,"&lt;="&amp;EOMONTH(AO$1,0),'UX Weekly'!$H38:$CT38,"&lt;&gt;"))</f>
        <v>0</v>
      </c>
      <c r="AP38">
        <f>IF($B38="",0,COUNTIFS('UX Weekly'!$H$1:$CT$1,"&gt;="&amp;AP$1,'UX Weekly'!$H$1:$CT$1,"&lt;="&amp;EOMONTH(AP$1,0),'UX Weekly'!$H38:$CT38,"&lt;&gt;"))</f>
        <v>0</v>
      </c>
      <c r="AQ38">
        <f>IF($B38="",0,COUNTIFS('UX Weekly'!$H$1:$CT$1,"&gt;="&amp;AQ$1,'UX Weekly'!$H$1:$CT$1,"&lt;="&amp;EOMONTH(AQ$1,0),'UX Weekly'!$H38:$CT38,"&lt;&gt;"))</f>
        <v>0</v>
      </c>
      <c r="AR38">
        <f>IF($B38="",0,COUNTIFS('UX Weekly'!$H$1:$CT$1,"&gt;="&amp;AR$1,'UX Weekly'!$H$1:$CT$1,"&lt;="&amp;EOMONTH(AR$1,0),'UX Weekly'!$H38:$CT38,"&lt;&gt;"))</f>
        <v>0</v>
      </c>
      <c r="AS38">
        <f>IF($B38="",0,COUNTIFS('UX Weekly'!$H$1:$CT$1,"&gt;="&amp;AS$1,'UX Weekly'!$H$1:$CT$1,"&lt;="&amp;EOMONTH(AS$1,0),'UX Weekly'!$H38:$CT38,"&lt;&gt;"))</f>
        <v>0</v>
      </c>
      <c r="AT38">
        <f>IF($B38="",0,COUNTIFS('UX Weekly'!$H$1:$CT$1,"&gt;="&amp;AT$1,'UX Weekly'!$H$1:$CT$1,"&lt;="&amp;EOMONTH(AT$1,0),'UX Weekly'!$H38:$CT38,"&lt;&gt;"))</f>
        <v>0</v>
      </c>
      <c r="AU38">
        <f>IF($B38="",0,COUNTIFS('UX Weekly'!$H$1:$CT$1,"&gt;="&amp;AU$1,'UX Weekly'!$H$1:$CT$1,"&lt;="&amp;EOMONTH(AU$1,0),'UX Weekly'!$H38:$CT38,"&lt;&gt;"))</f>
        <v>0</v>
      </c>
      <c r="AV38">
        <f>IF($B38="",0,COUNTIFS('UX Weekly'!$H$1:$CT$1,"&gt;="&amp;AV$1,'UX Weekly'!$H$1:$CT$1,"&lt;="&amp;EOMONTH(AV$1,0),'UX Weekly'!$H38:$CT38,"&lt;&gt;"))</f>
        <v>0</v>
      </c>
      <c r="AW38">
        <f>IF($B38="",0,COUNTIFS('UX Weekly'!$H$1:$CT$1,"&gt;="&amp;AW$1,'UX Weekly'!$H$1:$CT$1,"&lt;="&amp;EOMONTH(AW$1,0),'UX Weekly'!$H38:$CT38,"&lt;&gt;"))</f>
        <v>0</v>
      </c>
      <c r="AX38">
        <f>IF($B38="",0,COUNTIFS('UX Weekly'!$H$1:$CT$1,"&gt;="&amp;AX$1,'UX Weekly'!$H$1:$CT$1,"&lt;="&amp;EOMONTH(AX$1,0),'UX Weekly'!$H38:$CT38,"&lt;&gt;"))</f>
        <v>0</v>
      </c>
    </row>
    <row r="39" spans="1:50" x14ac:dyDescent="0.2">
      <c r="A39" s="152">
        <v>39</v>
      </c>
      <c r="B39" s="152" t="str">
        <f>IF(TRIM('UX Weekly'!E39)="","",TRIM('UX Weekly'!E39))</f>
        <v>Refinement - Select All/Deselect All</v>
      </c>
      <c r="C39" s="152" t="str">
        <f>IF($B39="","",'UX Weekly'!B39)</f>
        <v>Find</v>
      </c>
      <c r="D39" s="152" t="str">
        <f>IF($B39="","",IF(TRIM('UX Weekly'!C39)="","(No theme assigned)",TRIM('UX Weekly'!C39)))</f>
        <v>Improve Discovery</v>
      </c>
      <c r="E39" s="152" t="str">
        <f>IF($B39="","",TRIM('UX Weekly'!F39))</f>
        <v>BHUX-23755</v>
      </c>
      <c r="F39" s="152" t="str">
        <f>IF($B39="","",'UX Weekly'!G39)</f>
        <v>13. Live</v>
      </c>
      <c r="G39" s="153" t="str">
        <f t="array" ref="G39">IF($B39="","",IF($T39=0,"",IFERROR(MIN(IF('UX Weekly'!$H39:$CT39&lt;&gt;"",'UX Weekly'!$H$1:$CT$1)),"")))</f>
        <v/>
      </c>
      <c r="H39" s="153" t="str">
        <f t="array" ref="H39">IF($B39="","",IF($T39=0,"",IFERROR(MAX(IF('UX Weekly'!$H39:$CT39&lt;&gt;"",'UX Weekly'!$H$1:$CT$1)),"")))</f>
        <v/>
      </c>
      <c r="I39" s="154" t="str">
        <f t="shared" ca="1" si="7"/>
        <v/>
      </c>
      <c r="J39" s="154" t="str">
        <f t="shared" ca="1" si="8"/>
        <v/>
      </c>
      <c r="K39" s="152" t="str">
        <f>IF($B39="","",IF(COUNTA('Dev Tracker'!L39)=0,"",TRIM('Dev Tracker'!L39)))</f>
        <v>BHP-2638</v>
      </c>
      <c r="L39" s="152">
        <f>IF($B39="","",IFERROR(MATCH($D39,Control!$E$4:$E$30,0),99))</f>
        <v>1</v>
      </c>
      <c r="M39" s="152">
        <f>IF($B39="","",IFERROR(MATCH($F39,Control!$B$4:$B$30,0),99))</f>
        <v>16</v>
      </c>
      <c r="N39" s="152" t="str">
        <f>IF($V39&lt;&gt;1,"",IF('Roadmap (Auto)'!$D$3="Status, then Theme",$M39*1000000+$L39*10000+ROW(),IF('Roadmap (Auto)'!$D$3="Dev start (earliest)",IF($I39="",99999999,$I39)*10000+ROW(),IF('Roadmap (Auto)'!$D$3="UX start (earliest)",IF($G39="",99999999,$G39)*10000+ROW(),IF('Roadmap (Auto)'!$D$3="Deliverable A-Z",$W39*10000+ROW(),$L39*1000000+$M39*10000+ROW())))))</f>
        <v/>
      </c>
      <c r="O39" s="152" t="str">
        <f t="shared" si="9"/>
        <v/>
      </c>
      <c r="P39" s="152" t="str">
        <f>IF($B39="","",IF(COUNTA('Dev Tracker'!I39)=0,"",'Dev Tracker'!I39))</f>
        <v/>
      </c>
      <c r="Q39" s="152" t="str">
        <f>IF($B39="","",IF(COUNTA('Dev Tracker'!J39)=0,"",'Dev Tracker'!J39))</f>
        <v/>
      </c>
      <c r="R39" s="154" t="str">
        <f t="shared" ca="1" si="10"/>
        <v/>
      </c>
      <c r="S39" s="154" t="str">
        <f t="shared" ca="1" si="11"/>
        <v/>
      </c>
      <c r="T39" s="152">
        <f>IF($B39="","",COUNTA('UX Weekly'!$H39:$CT39))</f>
        <v>0</v>
      </c>
      <c r="U39" s="152">
        <f>IF($B39="","",IFERROR(MATCH($D39,Control!$E$4:$E$30,0)+3,0))</f>
        <v>4</v>
      </c>
      <c r="V39" s="152">
        <f>IF($B39="","",IF(AND(OR('Roadmap (Auto)'!$A$3="",'Roadmap (Auto)'!$A$3="(All)",ISNUMBER(SEARCH('Roadmap (Auto)'!$A$3,$C39&amp;""))),OR('Roadmap (Auto)'!$B$3="",'Roadmap (Auto)'!$B$3="(All)",$D39='Roadmap (Auto)'!$B$3,$X39='Roadmap (Auto)'!$B$3),OR('Roadmap (Auto)'!$C$3="",'Roadmap (Auto)'!$C$3="(All)",$F39='Roadmap (Auto)'!$C$3)),1,0))</f>
        <v>0</v>
      </c>
      <c r="W39" s="152">
        <f t="shared" si="12"/>
        <v>131</v>
      </c>
      <c r="X39" s="152" t="str">
        <f>IF($B39="","",IF(TRIM('UX Weekly'!D39)="","",TRIM('UX Weekly'!D39)))</f>
        <v/>
      </c>
      <c r="Y39" s="152" t="str">
        <f t="shared" si="13"/>
        <v>REFINEMENTSELECTALLDESELECTALL</v>
      </c>
      <c r="AA39">
        <f>IF($B39="",0,COUNTIFS('UX Weekly'!$H$1:$CT$1,"&gt;="&amp;AA$1,'UX Weekly'!$H$1:$CT$1,"&lt;="&amp;EOMONTH(AA$1,0),'UX Weekly'!$H39:$CT39,"&lt;&gt;"))</f>
        <v>0</v>
      </c>
      <c r="AB39">
        <f>IF($B39="",0,COUNTIFS('UX Weekly'!$H$1:$CT$1,"&gt;="&amp;AB$1,'UX Weekly'!$H$1:$CT$1,"&lt;="&amp;EOMONTH(AB$1,0),'UX Weekly'!$H39:$CT39,"&lt;&gt;"))</f>
        <v>0</v>
      </c>
      <c r="AC39">
        <f>IF($B39="",0,COUNTIFS('UX Weekly'!$H$1:$CT$1,"&gt;="&amp;AC$1,'UX Weekly'!$H$1:$CT$1,"&lt;="&amp;EOMONTH(AC$1,0),'UX Weekly'!$H39:$CT39,"&lt;&gt;"))</f>
        <v>0</v>
      </c>
      <c r="AD39">
        <f>IF($B39="",0,COUNTIFS('UX Weekly'!$H$1:$CT$1,"&gt;="&amp;AD$1,'UX Weekly'!$H$1:$CT$1,"&lt;="&amp;EOMONTH(AD$1,0),'UX Weekly'!$H39:$CT39,"&lt;&gt;"))</f>
        <v>0</v>
      </c>
      <c r="AE39">
        <f>IF($B39="",0,COUNTIFS('UX Weekly'!$H$1:$CT$1,"&gt;="&amp;AE$1,'UX Weekly'!$H$1:$CT$1,"&lt;="&amp;EOMONTH(AE$1,0),'UX Weekly'!$H39:$CT39,"&lt;&gt;"))</f>
        <v>0</v>
      </c>
      <c r="AF39">
        <f>IF($B39="",0,COUNTIFS('UX Weekly'!$H$1:$CT$1,"&gt;="&amp;AF$1,'UX Weekly'!$H$1:$CT$1,"&lt;="&amp;EOMONTH(AF$1,0),'UX Weekly'!$H39:$CT39,"&lt;&gt;"))</f>
        <v>0</v>
      </c>
      <c r="AG39">
        <f>IF($B39="",0,COUNTIFS('UX Weekly'!$H$1:$CT$1,"&gt;="&amp;AG$1,'UX Weekly'!$H$1:$CT$1,"&lt;="&amp;EOMONTH(AG$1,0),'UX Weekly'!$H39:$CT39,"&lt;&gt;"))</f>
        <v>0</v>
      </c>
      <c r="AH39">
        <f>IF($B39="",0,COUNTIFS('UX Weekly'!$H$1:$CT$1,"&gt;="&amp;AH$1,'UX Weekly'!$H$1:$CT$1,"&lt;="&amp;EOMONTH(AH$1,0),'UX Weekly'!$H39:$CT39,"&lt;&gt;"))</f>
        <v>0</v>
      </c>
      <c r="AI39">
        <f>IF($B39="",0,COUNTIFS('UX Weekly'!$H$1:$CT$1,"&gt;="&amp;AI$1,'UX Weekly'!$H$1:$CT$1,"&lt;="&amp;EOMONTH(AI$1,0),'UX Weekly'!$H39:$CT39,"&lt;&gt;"))</f>
        <v>0</v>
      </c>
      <c r="AJ39">
        <f>IF($B39="",0,COUNTIFS('UX Weekly'!$H$1:$CT$1,"&gt;="&amp;AJ$1,'UX Weekly'!$H$1:$CT$1,"&lt;="&amp;EOMONTH(AJ$1,0),'UX Weekly'!$H39:$CT39,"&lt;&gt;"))</f>
        <v>0</v>
      </c>
      <c r="AK39">
        <f>IF($B39="",0,COUNTIFS('UX Weekly'!$H$1:$CT$1,"&gt;="&amp;AK$1,'UX Weekly'!$H$1:$CT$1,"&lt;="&amp;EOMONTH(AK$1,0),'UX Weekly'!$H39:$CT39,"&lt;&gt;"))</f>
        <v>0</v>
      </c>
      <c r="AL39">
        <f>IF($B39="",0,COUNTIFS('UX Weekly'!$H$1:$CT$1,"&gt;="&amp;AL$1,'UX Weekly'!$H$1:$CT$1,"&lt;="&amp;EOMONTH(AL$1,0),'UX Weekly'!$H39:$CT39,"&lt;&gt;"))</f>
        <v>0</v>
      </c>
      <c r="AM39">
        <f>IF($B39="",0,COUNTIFS('UX Weekly'!$H$1:$CT$1,"&gt;="&amp;AM$1,'UX Weekly'!$H$1:$CT$1,"&lt;="&amp;EOMONTH(AM$1,0),'UX Weekly'!$H39:$CT39,"&lt;&gt;"))</f>
        <v>0</v>
      </c>
      <c r="AN39">
        <f>IF($B39="",0,COUNTIFS('UX Weekly'!$H$1:$CT$1,"&gt;="&amp;AN$1,'UX Weekly'!$H$1:$CT$1,"&lt;="&amp;EOMONTH(AN$1,0),'UX Weekly'!$H39:$CT39,"&lt;&gt;"))</f>
        <v>0</v>
      </c>
      <c r="AO39">
        <f>IF($B39="",0,COUNTIFS('UX Weekly'!$H$1:$CT$1,"&gt;="&amp;AO$1,'UX Weekly'!$H$1:$CT$1,"&lt;="&amp;EOMONTH(AO$1,0),'UX Weekly'!$H39:$CT39,"&lt;&gt;"))</f>
        <v>0</v>
      </c>
      <c r="AP39">
        <f>IF($B39="",0,COUNTIFS('UX Weekly'!$H$1:$CT$1,"&gt;="&amp;AP$1,'UX Weekly'!$H$1:$CT$1,"&lt;="&amp;EOMONTH(AP$1,0),'UX Weekly'!$H39:$CT39,"&lt;&gt;"))</f>
        <v>0</v>
      </c>
      <c r="AQ39">
        <f>IF($B39="",0,COUNTIFS('UX Weekly'!$H$1:$CT$1,"&gt;="&amp;AQ$1,'UX Weekly'!$H$1:$CT$1,"&lt;="&amp;EOMONTH(AQ$1,0),'UX Weekly'!$H39:$CT39,"&lt;&gt;"))</f>
        <v>0</v>
      </c>
      <c r="AR39">
        <f>IF($B39="",0,COUNTIFS('UX Weekly'!$H$1:$CT$1,"&gt;="&amp;AR$1,'UX Weekly'!$H$1:$CT$1,"&lt;="&amp;EOMONTH(AR$1,0),'UX Weekly'!$H39:$CT39,"&lt;&gt;"))</f>
        <v>0</v>
      </c>
      <c r="AS39">
        <f>IF($B39="",0,COUNTIFS('UX Weekly'!$H$1:$CT$1,"&gt;="&amp;AS$1,'UX Weekly'!$H$1:$CT$1,"&lt;="&amp;EOMONTH(AS$1,0),'UX Weekly'!$H39:$CT39,"&lt;&gt;"))</f>
        <v>0</v>
      </c>
      <c r="AT39">
        <f>IF($B39="",0,COUNTIFS('UX Weekly'!$H$1:$CT$1,"&gt;="&amp;AT$1,'UX Weekly'!$H$1:$CT$1,"&lt;="&amp;EOMONTH(AT$1,0),'UX Weekly'!$H39:$CT39,"&lt;&gt;"))</f>
        <v>0</v>
      </c>
      <c r="AU39">
        <f>IF($B39="",0,COUNTIFS('UX Weekly'!$H$1:$CT$1,"&gt;="&amp;AU$1,'UX Weekly'!$H$1:$CT$1,"&lt;="&amp;EOMONTH(AU$1,0),'UX Weekly'!$H39:$CT39,"&lt;&gt;"))</f>
        <v>0</v>
      </c>
      <c r="AV39">
        <f>IF($B39="",0,COUNTIFS('UX Weekly'!$H$1:$CT$1,"&gt;="&amp;AV$1,'UX Weekly'!$H$1:$CT$1,"&lt;="&amp;EOMONTH(AV$1,0),'UX Weekly'!$H39:$CT39,"&lt;&gt;"))</f>
        <v>0</v>
      </c>
      <c r="AW39">
        <f>IF($B39="",0,COUNTIFS('UX Weekly'!$H$1:$CT$1,"&gt;="&amp;AW$1,'UX Weekly'!$H$1:$CT$1,"&lt;="&amp;EOMONTH(AW$1,0),'UX Weekly'!$H39:$CT39,"&lt;&gt;"))</f>
        <v>0</v>
      </c>
      <c r="AX39">
        <f>IF($B39="",0,COUNTIFS('UX Weekly'!$H$1:$CT$1,"&gt;="&amp;AX$1,'UX Weekly'!$H$1:$CT$1,"&lt;="&amp;EOMONTH(AX$1,0),'UX Weekly'!$H39:$CT39,"&lt;&gt;"))</f>
        <v>0</v>
      </c>
    </row>
    <row r="40" spans="1:50" x14ac:dyDescent="0.2">
      <c r="A40" s="152">
        <v>40</v>
      </c>
      <c r="B40" s="152" t="str">
        <f>IF(TRIM('UX Weekly'!E40)="","",TRIM('UX Weekly'!E40))</f>
        <v>My Gear 2 - Tray</v>
      </c>
      <c r="C40" s="152" t="str">
        <f>IF($B40="","",'UX Weekly'!B40)</f>
        <v>Find</v>
      </c>
      <c r="D40" s="152" t="str">
        <f>IF($B40="","",IF(TRIM('UX Weekly'!C40)="","(No theme assigned)",TRIM('UX Weekly'!C40)))</f>
        <v>Improve Discovery</v>
      </c>
      <c r="E40" s="152" t="str">
        <f>IF($B40="","",TRIM('UX Weekly'!F40))</f>
        <v>BHUX-28124</v>
      </c>
      <c r="F40" s="152" t="str">
        <f>IF($B40="","",'UX Weekly'!G40)</f>
        <v>13. Live</v>
      </c>
      <c r="G40" s="153" t="str">
        <f t="array" ref="G40">IF($B40="","",IF($T40=0,"",IFERROR(MIN(IF('UX Weekly'!$H40:$CT40&lt;&gt;"",'UX Weekly'!$H$1:$CT$1)),"")))</f>
        <v/>
      </c>
      <c r="H40" s="153" t="str">
        <f t="array" ref="H40">IF($B40="","",IF($T40=0,"",IFERROR(MAX(IF('UX Weekly'!$H40:$CT40&lt;&gt;"",'UX Weekly'!$H$1:$CT$1)),"")))</f>
        <v/>
      </c>
      <c r="I40" s="154" t="str">
        <f t="shared" ca="1" si="7"/>
        <v/>
      </c>
      <c r="J40" s="154" t="str">
        <f t="shared" ca="1" si="8"/>
        <v/>
      </c>
      <c r="K40" s="152" t="str">
        <f>IF($B40="","",IF(COUNTA('Dev Tracker'!L40)=0,"",TRIM('Dev Tracker'!L40)))</f>
        <v>BHP-5060</v>
      </c>
      <c r="L40" s="152">
        <f>IF($B40="","",IFERROR(MATCH($D40,Control!$E$4:$E$30,0),99))</f>
        <v>1</v>
      </c>
      <c r="M40" s="152">
        <f>IF($B40="","",IFERROR(MATCH($F40,Control!$B$4:$B$30,0),99))</f>
        <v>16</v>
      </c>
      <c r="N40" s="152" t="str">
        <f>IF($V40&lt;&gt;1,"",IF('Roadmap (Auto)'!$D$3="Status, then Theme",$M40*1000000+$L40*10000+ROW(),IF('Roadmap (Auto)'!$D$3="Dev start (earliest)",IF($I40="",99999999,$I40)*10000+ROW(),IF('Roadmap (Auto)'!$D$3="UX start (earliest)",IF($G40="",99999999,$G40)*10000+ROW(),IF('Roadmap (Auto)'!$D$3="Deliverable A-Z",$W40*10000+ROW(),$L40*1000000+$M40*10000+ROW())))))</f>
        <v/>
      </c>
      <c r="O40" s="152" t="str">
        <f t="shared" si="9"/>
        <v/>
      </c>
      <c r="P40" s="152" t="str">
        <f>IF($B40="","",IF(COUNTA('Dev Tracker'!I40)=0,"",'Dev Tracker'!I40))</f>
        <v/>
      </c>
      <c r="Q40" s="152" t="str">
        <f>IF($B40="","",IF(COUNTA('Dev Tracker'!J40)=0,"",'Dev Tracker'!J40))</f>
        <v/>
      </c>
      <c r="R40" s="154" t="str">
        <f t="shared" ca="1" si="10"/>
        <v/>
      </c>
      <c r="S40" s="154" t="str">
        <f t="shared" ca="1" si="11"/>
        <v/>
      </c>
      <c r="T40" s="152">
        <f>IF($B40="","",COUNTA('UX Weekly'!$H40:$CT40))</f>
        <v>0</v>
      </c>
      <c r="U40" s="152">
        <f>IF($B40="","",IFERROR(MATCH($D40,Control!$E$4:$E$30,0)+3,0))</f>
        <v>4</v>
      </c>
      <c r="V40" s="152">
        <f>IF($B40="","",IF(AND(OR('Roadmap (Auto)'!$A$3="",'Roadmap (Auto)'!$A$3="(All)",ISNUMBER(SEARCH('Roadmap (Auto)'!$A$3,$C40&amp;""))),OR('Roadmap (Auto)'!$B$3="",'Roadmap (Auto)'!$B$3="(All)",$D40='Roadmap (Auto)'!$B$3,$X40='Roadmap (Auto)'!$B$3),OR('Roadmap (Auto)'!$C$3="",'Roadmap (Auto)'!$C$3="(All)",$F40='Roadmap (Auto)'!$C$3)),1,0))</f>
        <v>0</v>
      </c>
      <c r="W40" s="152">
        <f t="shared" si="12"/>
        <v>125</v>
      </c>
      <c r="X40" s="152" t="str">
        <f>IF($B40="","",IF(TRIM('UX Weekly'!D40)="","",TRIM('UX Weekly'!D40)))</f>
        <v/>
      </c>
      <c r="Y40" s="152" t="str">
        <f t="shared" si="13"/>
        <v>MYGEAR2TRAY</v>
      </c>
      <c r="AA40">
        <f>IF($B40="",0,COUNTIFS('UX Weekly'!$H$1:$CT$1,"&gt;="&amp;AA$1,'UX Weekly'!$H$1:$CT$1,"&lt;="&amp;EOMONTH(AA$1,0),'UX Weekly'!$H40:$CT40,"&lt;&gt;"))</f>
        <v>0</v>
      </c>
      <c r="AB40">
        <f>IF($B40="",0,COUNTIFS('UX Weekly'!$H$1:$CT$1,"&gt;="&amp;AB$1,'UX Weekly'!$H$1:$CT$1,"&lt;="&amp;EOMONTH(AB$1,0),'UX Weekly'!$H40:$CT40,"&lt;&gt;"))</f>
        <v>0</v>
      </c>
      <c r="AC40">
        <f>IF($B40="",0,COUNTIFS('UX Weekly'!$H$1:$CT$1,"&gt;="&amp;AC$1,'UX Weekly'!$H$1:$CT$1,"&lt;="&amp;EOMONTH(AC$1,0),'UX Weekly'!$H40:$CT40,"&lt;&gt;"))</f>
        <v>0</v>
      </c>
      <c r="AD40">
        <f>IF($B40="",0,COUNTIFS('UX Weekly'!$H$1:$CT$1,"&gt;="&amp;AD$1,'UX Weekly'!$H$1:$CT$1,"&lt;="&amp;EOMONTH(AD$1,0),'UX Weekly'!$H40:$CT40,"&lt;&gt;"))</f>
        <v>0</v>
      </c>
      <c r="AE40">
        <f>IF($B40="",0,COUNTIFS('UX Weekly'!$H$1:$CT$1,"&gt;="&amp;AE$1,'UX Weekly'!$H$1:$CT$1,"&lt;="&amp;EOMONTH(AE$1,0),'UX Weekly'!$H40:$CT40,"&lt;&gt;"))</f>
        <v>0</v>
      </c>
      <c r="AF40">
        <f>IF($B40="",0,COUNTIFS('UX Weekly'!$H$1:$CT$1,"&gt;="&amp;AF$1,'UX Weekly'!$H$1:$CT$1,"&lt;="&amp;EOMONTH(AF$1,0),'UX Weekly'!$H40:$CT40,"&lt;&gt;"))</f>
        <v>0</v>
      </c>
      <c r="AG40">
        <f>IF($B40="",0,COUNTIFS('UX Weekly'!$H$1:$CT$1,"&gt;="&amp;AG$1,'UX Weekly'!$H$1:$CT$1,"&lt;="&amp;EOMONTH(AG$1,0),'UX Weekly'!$H40:$CT40,"&lt;&gt;"))</f>
        <v>0</v>
      </c>
      <c r="AH40">
        <f>IF($B40="",0,COUNTIFS('UX Weekly'!$H$1:$CT$1,"&gt;="&amp;AH$1,'UX Weekly'!$H$1:$CT$1,"&lt;="&amp;EOMONTH(AH$1,0),'UX Weekly'!$H40:$CT40,"&lt;&gt;"))</f>
        <v>0</v>
      </c>
      <c r="AI40">
        <f>IF($B40="",0,COUNTIFS('UX Weekly'!$H$1:$CT$1,"&gt;="&amp;AI$1,'UX Weekly'!$H$1:$CT$1,"&lt;="&amp;EOMONTH(AI$1,0),'UX Weekly'!$H40:$CT40,"&lt;&gt;"))</f>
        <v>0</v>
      </c>
      <c r="AJ40">
        <f>IF($B40="",0,COUNTIFS('UX Weekly'!$H$1:$CT$1,"&gt;="&amp;AJ$1,'UX Weekly'!$H$1:$CT$1,"&lt;="&amp;EOMONTH(AJ$1,0),'UX Weekly'!$H40:$CT40,"&lt;&gt;"))</f>
        <v>0</v>
      </c>
      <c r="AK40">
        <f>IF($B40="",0,COUNTIFS('UX Weekly'!$H$1:$CT$1,"&gt;="&amp;AK$1,'UX Weekly'!$H$1:$CT$1,"&lt;="&amp;EOMONTH(AK$1,0),'UX Weekly'!$H40:$CT40,"&lt;&gt;"))</f>
        <v>0</v>
      </c>
      <c r="AL40">
        <f>IF($B40="",0,COUNTIFS('UX Weekly'!$H$1:$CT$1,"&gt;="&amp;AL$1,'UX Weekly'!$H$1:$CT$1,"&lt;="&amp;EOMONTH(AL$1,0),'UX Weekly'!$H40:$CT40,"&lt;&gt;"))</f>
        <v>0</v>
      </c>
      <c r="AM40">
        <f>IF($B40="",0,COUNTIFS('UX Weekly'!$H$1:$CT$1,"&gt;="&amp;AM$1,'UX Weekly'!$H$1:$CT$1,"&lt;="&amp;EOMONTH(AM$1,0),'UX Weekly'!$H40:$CT40,"&lt;&gt;"))</f>
        <v>0</v>
      </c>
      <c r="AN40">
        <f>IF($B40="",0,COUNTIFS('UX Weekly'!$H$1:$CT$1,"&gt;="&amp;AN$1,'UX Weekly'!$H$1:$CT$1,"&lt;="&amp;EOMONTH(AN$1,0),'UX Weekly'!$H40:$CT40,"&lt;&gt;"))</f>
        <v>0</v>
      </c>
      <c r="AO40">
        <f>IF($B40="",0,COUNTIFS('UX Weekly'!$H$1:$CT$1,"&gt;="&amp;AO$1,'UX Weekly'!$H$1:$CT$1,"&lt;="&amp;EOMONTH(AO$1,0),'UX Weekly'!$H40:$CT40,"&lt;&gt;"))</f>
        <v>0</v>
      </c>
      <c r="AP40">
        <f>IF($B40="",0,COUNTIFS('UX Weekly'!$H$1:$CT$1,"&gt;="&amp;AP$1,'UX Weekly'!$H$1:$CT$1,"&lt;="&amp;EOMONTH(AP$1,0),'UX Weekly'!$H40:$CT40,"&lt;&gt;"))</f>
        <v>0</v>
      </c>
      <c r="AQ40">
        <f>IF($B40="",0,COUNTIFS('UX Weekly'!$H$1:$CT$1,"&gt;="&amp;AQ$1,'UX Weekly'!$H$1:$CT$1,"&lt;="&amp;EOMONTH(AQ$1,0),'UX Weekly'!$H40:$CT40,"&lt;&gt;"))</f>
        <v>0</v>
      </c>
      <c r="AR40">
        <f>IF($B40="",0,COUNTIFS('UX Weekly'!$H$1:$CT$1,"&gt;="&amp;AR$1,'UX Weekly'!$H$1:$CT$1,"&lt;="&amp;EOMONTH(AR$1,0),'UX Weekly'!$H40:$CT40,"&lt;&gt;"))</f>
        <v>0</v>
      </c>
      <c r="AS40">
        <f>IF($B40="",0,COUNTIFS('UX Weekly'!$H$1:$CT$1,"&gt;="&amp;AS$1,'UX Weekly'!$H$1:$CT$1,"&lt;="&amp;EOMONTH(AS$1,0),'UX Weekly'!$H40:$CT40,"&lt;&gt;"))</f>
        <v>0</v>
      </c>
      <c r="AT40">
        <f>IF($B40="",0,COUNTIFS('UX Weekly'!$H$1:$CT$1,"&gt;="&amp;AT$1,'UX Weekly'!$H$1:$CT$1,"&lt;="&amp;EOMONTH(AT$1,0),'UX Weekly'!$H40:$CT40,"&lt;&gt;"))</f>
        <v>0</v>
      </c>
      <c r="AU40">
        <f>IF($B40="",0,COUNTIFS('UX Weekly'!$H$1:$CT$1,"&gt;="&amp;AU$1,'UX Weekly'!$H$1:$CT$1,"&lt;="&amp;EOMONTH(AU$1,0),'UX Weekly'!$H40:$CT40,"&lt;&gt;"))</f>
        <v>0</v>
      </c>
      <c r="AV40">
        <f>IF($B40="",0,COUNTIFS('UX Weekly'!$H$1:$CT$1,"&gt;="&amp;AV$1,'UX Weekly'!$H$1:$CT$1,"&lt;="&amp;EOMONTH(AV$1,0),'UX Weekly'!$H40:$CT40,"&lt;&gt;"))</f>
        <v>0</v>
      </c>
      <c r="AW40">
        <f>IF($B40="",0,COUNTIFS('UX Weekly'!$H$1:$CT$1,"&gt;="&amp;AW$1,'UX Weekly'!$H$1:$CT$1,"&lt;="&amp;EOMONTH(AW$1,0),'UX Weekly'!$H40:$CT40,"&lt;&gt;"))</f>
        <v>0</v>
      </c>
      <c r="AX40">
        <f>IF($B40="",0,COUNTIFS('UX Weekly'!$H$1:$CT$1,"&gt;="&amp;AX$1,'UX Weekly'!$H$1:$CT$1,"&lt;="&amp;EOMONTH(AX$1,0),'UX Weekly'!$H40:$CT40,"&lt;&gt;"))</f>
        <v>0</v>
      </c>
    </row>
    <row r="41" spans="1:50" x14ac:dyDescent="0.2">
      <c r="A41" s="152">
        <v>41</v>
      </c>
      <c r="B41" s="152" t="str">
        <f>IF(TRIM('UX Weekly'!E41)="","",TRIM('UX Weekly'!E41))</f>
        <v>H2 on listing pages</v>
      </c>
      <c r="C41" s="152" t="str">
        <f>IF($B41="","",'UX Weekly'!B41)</f>
        <v>Find</v>
      </c>
      <c r="D41" s="152" t="str">
        <f>IF($B41="","",IF(TRIM('UX Weekly'!C41)="","(No theme assigned)",TRIM('UX Weekly'!C41)))</f>
        <v>Improve Discovery</v>
      </c>
      <c r="E41" s="152" t="str">
        <f>IF($B41="","",TRIM('UX Weekly'!F41))</f>
        <v>BHUX-31245</v>
      </c>
      <c r="F41" s="152" t="str">
        <f>IF($B41="","",'UX Weekly'!G41)</f>
        <v>13. Live</v>
      </c>
      <c r="G41" s="153" t="str">
        <f t="array" ref="G41">IF($B41="","",IF($T41=0,"",IFERROR(MIN(IF('UX Weekly'!$H41:$CT41&lt;&gt;"",'UX Weekly'!$H$1:$CT$1)),"")))</f>
        <v/>
      </c>
      <c r="H41" s="153" t="str">
        <f t="array" ref="H41">IF($B41="","",IF($T41=0,"",IFERROR(MAX(IF('UX Weekly'!$H41:$CT41&lt;&gt;"",'UX Weekly'!$H$1:$CT$1)),"")))</f>
        <v/>
      </c>
      <c r="I41" s="154" t="str">
        <f t="shared" ca="1" si="7"/>
        <v/>
      </c>
      <c r="J41" s="154" t="str">
        <f t="shared" ca="1" si="8"/>
        <v/>
      </c>
      <c r="K41" s="152" t="str">
        <f>IF($B41="","",IF(COUNTA('Dev Tracker'!L41)=0,"",TRIM('Dev Tracker'!L41)))</f>
        <v>MRCH-2202</v>
      </c>
      <c r="L41" s="152">
        <f>IF($B41="","",IFERROR(MATCH($D41,Control!$E$4:$E$30,0),99))</f>
        <v>1</v>
      </c>
      <c r="M41" s="152">
        <f>IF($B41="","",IFERROR(MATCH($F41,Control!$B$4:$B$30,0),99))</f>
        <v>16</v>
      </c>
      <c r="N41" s="152" t="str">
        <f>IF($V41&lt;&gt;1,"",IF('Roadmap (Auto)'!$D$3="Status, then Theme",$M41*1000000+$L41*10000+ROW(),IF('Roadmap (Auto)'!$D$3="Dev start (earliest)",IF($I41="",99999999,$I41)*10000+ROW(),IF('Roadmap (Auto)'!$D$3="UX start (earliest)",IF($G41="",99999999,$G41)*10000+ROW(),IF('Roadmap (Auto)'!$D$3="Deliverable A-Z",$W41*10000+ROW(),$L41*1000000+$M41*10000+ROW())))))</f>
        <v/>
      </c>
      <c r="O41" s="152" t="str">
        <f t="shared" si="9"/>
        <v/>
      </c>
      <c r="P41" s="152" t="str">
        <f>IF($B41="","",IF(COUNTA('Dev Tracker'!I41)=0,"",'Dev Tracker'!I41))</f>
        <v/>
      </c>
      <c r="Q41" s="152" t="str">
        <f>IF($B41="","",IF(COUNTA('Dev Tracker'!J41)=0,"",'Dev Tracker'!J41))</f>
        <v/>
      </c>
      <c r="R41" s="154" t="str">
        <f t="shared" ca="1" si="10"/>
        <v/>
      </c>
      <c r="S41" s="154" t="str">
        <f t="shared" ca="1" si="11"/>
        <v/>
      </c>
      <c r="T41" s="152">
        <f>IF($B41="","",COUNTA('UX Weekly'!$H41:$CT41))</f>
        <v>0</v>
      </c>
      <c r="U41" s="152">
        <f>IF($B41="","",IFERROR(MATCH($D41,Control!$E$4:$E$30,0)+3,0))</f>
        <v>4</v>
      </c>
      <c r="V41" s="152">
        <f>IF($B41="","",IF(AND(OR('Roadmap (Auto)'!$A$3="",'Roadmap (Auto)'!$A$3="(All)",ISNUMBER(SEARCH('Roadmap (Auto)'!$A$3,$C41&amp;""))),OR('Roadmap (Auto)'!$B$3="",'Roadmap (Auto)'!$B$3="(All)",$D41='Roadmap (Auto)'!$B$3,$X41='Roadmap (Auto)'!$B$3),OR('Roadmap (Auto)'!$C$3="",'Roadmap (Auto)'!$C$3="(All)",$F41='Roadmap (Auto)'!$C$3)),1,0))</f>
        <v>0</v>
      </c>
      <c r="W41" s="152">
        <f t="shared" si="12"/>
        <v>118</v>
      </c>
      <c r="X41" s="152" t="str">
        <f>IF($B41="","",IF(TRIM('UX Weekly'!D41)="","",TRIM('UX Weekly'!D41)))</f>
        <v/>
      </c>
      <c r="Y41" s="152" t="str">
        <f t="shared" si="13"/>
        <v>H2ONLISTINGPAGES</v>
      </c>
      <c r="AA41">
        <f>IF($B41="",0,COUNTIFS('UX Weekly'!$H$1:$CT$1,"&gt;="&amp;AA$1,'UX Weekly'!$H$1:$CT$1,"&lt;="&amp;EOMONTH(AA$1,0),'UX Weekly'!$H41:$CT41,"&lt;&gt;"))</f>
        <v>0</v>
      </c>
      <c r="AB41">
        <f>IF($B41="",0,COUNTIFS('UX Weekly'!$H$1:$CT$1,"&gt;="&amp;AB$1,'UX Weekly'!$H$1:$CT$1,"&lt;="&amp;EOMONTH(AB$1,0),'UX Weekly'!$H41:$CT41,"&lt;&gt;"))</f>
        <v>0</v>
      </c>
      <c r="AC41">
        <f>IF($B41="",0,COUNTIFS('UX Weekly'!$H$1:$CT$1,"&gt;="&amp;AC$1,'UX Weekly'!$H$1:$CT$1,"&lt;="&amp;EOMONTH(AC$1,0),'UX Weekly'!$H41:$CT41,"&lt;&gt;"))</f>
        <v>0</v>
      </c>
      <c r="AD41">
        <f>IF($B41="",0,COUNTIFS('UX Weekly'!$H$1:$CT$1,"&gt;="&amp;AD$1,'UX Weekly'!$H$1:$CT$1,"&lt;="&amp;EOMONTH(AD$1,0),'UX Weekly'!$H41:$CT41,"&lt;&gt;"))</f>
        <v>0</v>
      </c>
      <c r="AE41">
        <f>IF($B41="",0,COUNTIFS('UX Weekly'!$H$1:$CT$1,"&gt;="&amp;AE$1,'UX Weekly'!$H$1:$CT$1,"&lt;="&amp;EOMONTH(AE$1,0),'UX Weekly'!$H41:$CT41,"&lt;&gt;"))</f>
        <v>0</v>
      </c>
      <c r="AF41">
        <f>IF($B41="",0,COUNTIFS('UX Weekly'!$H$1:$CT$1,"&gt;="&amp;AF$1,'UX Weekly'!$H$1:$CT$1,"&lt;="&amp;EOMONTH(AF$1,0),'UX Weekly'!$H41:$CT41,"&lt;&gt;"))</f>
        <v>0</v>
      </c>
      <c r="AG41">
        <f>IF($B41="",0,COUNTIFS('UX Weekly'!$H$1:$CT$1,"&gt;="&amp;AG$1,'UX Weekly'!$H$1:$CT$1,"&lt;="&amp;EOMONTH(AG$1,0),'UX Weekly'!$H41:$CT41,"&lt;&gt;"))</f>
        <v>0</v>
      </c>
      <c r="AH41">
        <f>IF($B41="",0,COUNTIFS('UX Weekly'!$H$1:$CT$1,"&gt;="&amp;AH$1,'UX Weekly'!$H$1:$CT$1,"&lt;="&amp;EOMONTH(AH$1,0),'UX Weekly'!$H41:$CT41,"&lt;&gt;"))</f>
        <v>0</v>
      </c>
      <c r="AI41">
        <f>IF($B41="",0,COUNTIFS('UX Weekly'!$H$1:$CT$1,"&gt;="&amp;AI$1,'UX Weekly'!$H$1:$CT$1,"&lt;="&amp;EOMONTH(AI$1,0),'UX Weekly'!$H41:$CT41,"&lt;&gt;"))</f>
        <v>0</v>
      </c>
      <c r="AJ41">
        <f>IF($B41="",0,COUNTIFS('UX Weekly'!$H$1:$CT$1,"&gt;="&amp;AJ$1,'UX Weekly'!$H$1:$CT$1,"&lt;="&amp;EOMONTH(AJ$1,0),'UX Weekly'!$H41:$CT41,"&lt;&gt;"))</f>
        <v>0</v>
      </c>
      <c r="AK41">
        <f>IF($B41="",0,COUNTIFS('UX Weekly'!$H$1:$CT$1,"&gt;="&amp;AK$1,'UX Weekly'!$H$1:$CT$1,"&lt;="&amp;EOMONTH(AK$1,0),'UX Weekly'!$H41:$CT41,"&lt;&gt;"))</f>
        <v>0</v>
      </c>
      <c r="AL41">
        <f>IF($B41="",0,COUNTIFS('UX Weekly'!$H$1:$CT$1,"&gt;="&amp;AL$1,'UX Weekly'!$H$1:$CT$1,"&lt;="&amp;EOMONTH(AL$1,0),'UX Weekly'!$H41:$CT41,"&lt;&gt;"))</f>
        <v>0</v>
      </c>
      <c r="AM41">
        <f>IF($B41="",0,COUNTIFS('UX Weekly'!$H$1:$CT$1,"&gt;="&amp;AM$1,'UX Weekly'!$H$1:$CT$1,"&lt;="&amp;EOMONTH(AM$1,0),'UX Weekly'!$H41:$CT41,"&lt;&gt;"))</f>
        <v>0</v>
      </c>
      <c r="AN41">
        <f>IF($B41="",0,COUNTIFS('UX Weekly'!$H$1:$CT$1,"&gt;="&amp;AN$1,'UX Weekly'!$H$1:$CT$1,"&lt;="&amp;EOMONTH(AN$1,0),'UX Weekly'!$H41:$CT41,"&lt;&gt;"))</f>
        <v>0</v>
      </c>
      <c r="AO41">
        <f>IF($B41="",0,COUNTIFS('UX Weekly'!$H$1:$CT$1,"&gt;="&amp;AO$1,'UX Weekly'!$H$1:$CT$1,"&lt;="&amp;EOMONTH(AO$1,0),'UX Weekly'!$H41:$CT41,"&lt;&gt;"))</f>
        <v>0</v>
      </c>
      <c r="AP41">
        <f>IF($B41="",0,COUNTIFS('UX Weekly'!$H$1:$CT$1,"&gt;="&amp;AP$1,'UX Weekly'!$H$1:$CT$1,"&lt;="&amp;EOMONTH(AP$1,0),'UX Weekly'!$H41:$CT41,"&lt;&gt;"))</f>
        <v>0</v>
      </c>
      <c r="AQ41">
        <f>IF($B41="",0,COUNTIFS('UX Weekly'!$H$1:$CT$1,"&gt;="&amp;AQ$1,'UX Weekly'!$H$1:$CT$1,"&lt;="&amp;EOMONTH(AQ$1,0),'UX Weekly'!$H41:$CT41,"&lt;&gt;"))</f>
        <v>0</v>
      </c>
      <c r="AR41">
        <f>IF($B41="",0,COUNTIFS('UX Weekly'!$H$1:$CT$1,"&gt;="&amp;AR$1,'UX Weekly'!$H$1:$CT$1,"&lt;="&amp;EOMONTH(AR$1,0),'UX Weekly'!$H41:$CT41,"&lt;&gt;"))</f>
        <v>0</v>
      </c>
      <c r="AS41">
        <f>IF($B41="",0,COUNTIFS('UX Weekly'!$H$1:$CT$1,"&gt;="&amp;AS$1,'UX Weekly'!$H$1:$CT$1,"&lt;="&amp;EOMONTH(AS$1,0),'UX Weekly'!$H41:$CT41,"&lt;&gt;"))</f>
        <v>0</v>
      </c>
      <c r="AT41">
        <f>IF($B41="",0,COUNTIFS('UX Weekly'!$H$1:$CT$1,"&gt;="&amp;AT$1,'UX Weekly'!$H$1:$CT$1,"&lt;="&amp;EOMONTH(AT$1,0),'UX Weekly'!$H41:$CT41,"&lt;&gt;"))</f>
        <v>0</v>
      </c>
      <c r="AU41">
        <f>IF($B41="",0,COUNTIFS('UX Weekly'!$H$1:$CT$1,"&gt;="&amp;AU$1,'UX Weekly'!$H$1:$CT$1,"&lt;="&amp;EOMONTH(AU$1,0),'UX Weekly'!$H41:$CT41,"&lt;&gt;"))</f>
        <v>0</v>
      </c>
      <c r="AV41">
        <f>IF($B41="",0,COUNTIFS('UX Weekly'!$H$1:$CT$1,"&gt;="&amp;AV$1,'UX Weekly'!$H$1:$CT$1,"&lt;="&amp;EOMONTH(AV$1,0),'UX Weekly'!$H41:$CT41,"&lt;&gt;"))</f>
        <v>0</v>
      </c>
      <c r="AW41">
        <f>IF($B41="",0,COUNTIFS('UX Weekly'!$H$1:$CT$1,"&gt;="&amp;AW$1,'UX Weekly'!$H$1:$CT$1,"&lt;="&amp;EOMONTH(AW$1,0),'UX Weekly'!$H41:$CT41,"&lt;&gt;"))</f>
        <v>0</v>
      </c>
      <c r="AX41">
        <f>IF($B41="",0,COUNTIFS('UX Weekly'!$H$1:$CT$1,"&gt;="&amp;AX$1,'UX Weekly'!$H$1:$CT$1,"&lt;="&amp;EOMONTH(AX$1,0),'UX Weekly'!$H41:$CT41,"&lt;&gt;"))</f>
        <v>0</v>
      </c>
    </row>
    <row r="42" spans="1:50" x14ac:dyDescent="0.2">
      <c r="A42" s="152">
        <v>42</v>
      </c>
      <c r="B42" s="152" t="str">
        <f>IF(TRIM('UX Weekly'!E42)="","",TRIM('UX Weekly'!E42))</f>
        <v>Sunset Dealzone</v>
      </c>
      <c r="C42" s="152" t="str">
        <f>IF($B42="","",'UX Weekly'!B42)</f>
        <v>Find</v>
      </c>
      <c r="D42" s="152" t="str">
        <f>IF($B42="","",IF(TRIM('UX Weekly'!C42)="","(No theme assigned)",TRIM('UX Weekly'!C42)))</f>
        <v>Improve Discovery</v>
      </c>
      <c r="E42" s="152" t="str">
        <f>IF($B42="","",TRIM('UX Weekly'!F42))</f>
        <v>BHUX-32071</v>
      </c>
      <c r="F42" s="152" t="str">
        <f>IF($B42="","",'UX Weekly'!G42)</f>
        <v>13. Live</v>
      </c>
      <c r="G42" s="153" t="str">
        <f t="array" ref="G42">IF($B42="","",IF($T42=0,"",IFERROR(MIN(IF('UX Weekly'!$H42:$CT42&lt;&gt;"",'UX Weekly'!$H$1:$CT$1)),"")))</f>
        <v/>
      </c>
      <c r="H42" s="153" t="str">
        <f t="array" ref="H42">IF($B42="","",IF($T42=0,"",IFERROR(MAX(IF('UX Weekly'!$H42:$CT42&lt;&gt;"",'UX Weekly'!$H$1:$CT$1)),"")))</f>
        <v/>
      </c>
      <c r="I42" s="154" t="str">
        <f t="shared" ca="1" si="7"/>
        <v/>
      </c>
      <c r="J42" s="154" t="str">
        <f t="shared" ca="1" si="8"/>
        <v/>
      </c>
      <c r="K42" s="152" t="str">
        <f>IF($B42="","",IF(COUNTA('Dev Tracker'!L42)=0,"",TRIM('Dev Tracker'!L42)))</f>
        <v>BHJ-119850</v>
      </c>
      <c r="L42" s="152">
        <f>IF($B42="","",IFERROR(MATCH($D42,Control!$E$4:$E$30,0),99))</f>
        <v>1</v>
      </c>
      <c r="M42" s="152">
        <f>IF($B42="","",IFERROR(MATCH($F42,Control!$B$4:$B$30,0),99))</f>
        <v>16</v>
      </c>
      <c r="N42" s="152" t="str">
        <f>IF($V42&lt;&gt;1,"",IF('Roadmap (Auto)'!$D$3="Status, then Theme",$M42*1000000+$L42*10000+ROW(),IF('Roadmap (Auto)'!$D$3="Dev start (earliest)",IF($I42="",99999999,$I42)*10000+ROW(),IF('Roadmap (Auto)'!$D$3="UX start (earliest)",IF($G42="",99999999,$G42)*10000+ROW(),IF('Roadmap (Auto)'!$D$3="Deliverable A-Z",$W42*10000+ROW(),$L42*1000000+$M42*10000+ROW())))))</f>
        <v/>
      </c>
      <c r="O42" s="152" t="str">
        <f t="shared" si="9"/>
        <v/>
      </c>
      <c r="P42" s="152" t="str">
        <f>IF($B42="","",IF(COUNTA('Dev Tracker'!I42)=0,"",'Dev Tracker'!I42))</f>
        <v/>
      </c>
      <c r="Q42" s="152" t="str">
        <f>IF($B42="","",IF(COUNTA('Dev Tracker'!J42)=0,"",'Dev Tracker'!J42))</f>
        <v/>
      </c>
      <c r="R42" s="154" t="str">
        <f t="shared" ca="1" si="10"/>
        <v/>
      </c>
      <c r="S42" s="154" t="str">
        <f t="shared" ca="1" si="11"/>
        <v/>
      </c>
      <c r="T42" s="152">
        <f>IF($B42="","",COUNTA('UX Weekly'!$H42:$CT42))</f>
        <v>0</v>
      </c>
      <c r="U42" s="152">
        <f>IF($B42="","",IFERROR(MATCH($D42,Control!$E$4:$E$30,0)+3,0))</f>
        <v>4</v>
      </c>
      <c r="V42" s="152">
        <f>IF($B42="","",IF(AND(OR('Roadmap (Auto)'!$A$3="",'Roadmap (Auto)'!$A$3="(All)",ISNUMBER(SEARCH('Roadmap (Auto)'!$A$3,$C42&amp;""))),OR('Roadmap (Auto)'!$B$3="",'Roadmap (Auto)'!$B$3="(All)",$D42='Roadmap (Auto)'!$B$3,$X42='Roadmap (Auto)'!$B$3),OR('Roadmap (Auto)'!$C$3="",'Roadmap (Auto)'!$C$3="(All)",$F42='Roadmap (Auto)'!$C$3)),1,0))</f>
        <v>0</v>
      </c>
      <c r="W42" s="152">
        <f t="shared" si="12"/>
        <v>137</v>
      </c>
      <c r="X42" s="152" t="str">
        <f>IF($B42="","",IF(TRIM('UX Weekly'!D42)="","",TRIM('UX Weekly'!D42)))</f>
        <v/>
      </c>
      <c r="Y42" s="152" t="str">
        <f t="shared" si="13"/>
        <v>SUNSETDEALZONE</v>
      </c>
      <c r="AA42">
        <f>IF($B42="",0,COUNTIFS('UX Weekly'!$H$1:$CT$1,"&gt;="&amp;AA$1,'UX Weekly'!$H$1:$CT$1,"&lt;="&amp;EOMONTH(AA$1,0),'UX Weekly'!$H42:$CT42,"&lt;&gt;"))</f>
        <v>0</v>
      </c>
      <c r="AB42">
        <f>IF($B42="",0,COUNTIFS('UX Weekly'!$H$1:$CT$1,"&gt;="&amp;AB$1,'UX Weekly'!$H$1:$CT$1,"&lt;="&amp;EOMONTH(AB$1,0),'UX Weekly'!$H42:$CT42,"&lt;&gt;"))</f>
        <v>0</v>
      </c>
      <c r="AC42">
        <f>IF($B42="",0,COUNTIFS('UX Weekly'!$H$1:$CT$1,"&gt;="&amp;AC$1,'UX Weekly'!$H$1:$CT$1,"&lt;="&amp;EOMONTH(AC$1,0),'UX Weekly'!$H42:$CT42,"&lt;&gt;"))</f>
        <v>0</v>
      </c>
      <c r="AD42">
        <f>IF($B42="",0,COUNTIFS('UX Weekly'!$H$1:$CT$1,"&gt;="&amp;AD$1,'UX Weekly'!$H$1:$CT$1,"&lt;="&amp;EOMONTH(AD$1,0),'UX Weekly'!$H42:$CT42,"&lt;&gt;"))</f>
        <v>0</v>
      </c>
      <c r="AE42">
        <f>IF($B42="",0,COUNTIFS('UX Weekly'!$H$1:$CT$1,"&gt;="&amp;AE$1,'UX Weekly'!$H$1:$CT$1,"&lt;="&amp;EOMONTH(AE$1,0),'UX Weekly'!$H42:$CT42,"&lt;&gt;"))</f>
        <v>0</v>
      </c>
      <c r="AF42">
        <f>IF($B42="",0,COUNTIFS('UX Weekly'!$H$1:$CT$1,"&gt;="&amp;AF$1,'UX Weekly'!$H$1:$CT$1,"&lt;="&amp;EOMONTH(AF$1,0),'UX Weekly'!$H42:$CT42,"&lt;&gt;"))</f>
        <v>0</v>
      </c>
      <c r="AG42">
        <f>IF($B42="",0,COUNTIFS('UX Weekly'!$H$1:$CT$1,"&gt;="&amp;AG$1,'UX Weekly'!$H$1:$CT$1,"&lt;="&amp;EOMONTH(AG$1,0),'UX Weekly'!$H42:$CT42,"&lt;&gt;"))</f>
        <v>0</v>
      </c>
      <c r="AH42">
        <f>IF($B42="",0,COUNTIFS('UX Weekly'!$H$1:$CT$1,"&gt;="&amp;AH$1,'UX Weekly'!$H$1:$CT$1,"&lt;="&amp;EOMONTH(AH$1,0),'UX Weekly'!$H42:$CT42,"&lt;&gt;"))</f>
        <v>0</v>
      </c>
      <c r="AI42">
        <f>IF($B42="",0,COUNTIFS('UX Weekly'!$H$1:$CT$1,"&gt;="&amp;AI$1,'UX Weekly'!$H$1:$CT$1,"&lt;="&amp;EOMONTH(AI$1,0),'UX Weekly'!$H42:$CT42,"&lt;&gt;"))</f>
        <v>0</v>
      </c>
      <c r="AJ42">
        <f>IF($B42="",0,COUNTIFS('UX Weekly'!$H$1:$CT$1,"&gt;="&amp;AJ$1,'UX Weekly'!$H$1:$CT$1,"&lt;="&amp;EOMONTH(AJ$1,0),'UX Weekly'!$H42:$CT42,"&lt;&gt;"))</f>
        <v>0</v>
      </c>
      <c r="AK42">
        <f>IF($B42="",0,COUNTIFS('UX Weekly'!$H$1:$CT$1,"&gt;="&amp;AK$1,'UX Weekly'!$H$1:$CT$1,"&lt;="&amp;EOMONTH(AK$1,0),'UX Weekly'!$H42:$CT42,"&lt;&gt;"))</f>
        <v>0</v>
      </c>
      <c r="AL42">
        <f>IF($B42="",0,COUNTIFS('UX Weekly'!$H$1:$CT$1,"&gt;="&amp;AL$1,'UX Weekly'!$H$1:$CT$1,"&lt;="&amp;EOMONTH(AL$1,0),'UX Weekly'!$H42:$CT42,"&lt;&gt;"))</f>
        <v>0</v>
      </c>
      <c r="AM42">
        <f>IF($B42="",0,COUNTIFS('UX Weekly'!$H$1:$CT$1,"&gt;="&amp;AM$1,'UX Weekly'!$H$1:$CT$1,"&lt;="&amp;EOMONTH(AM$1,0),'UX Weekly'!$H42:$CT42,"&lt;&gt;"))</f>
        <v>0</v>
      </c>
      <c r="AN42">
        <f>IF($B42="",0,COUNTIFS('UX Weekly'!$H$1:$CT$1,"&gt;="&amp;AN$1,'UX Weekly'!$H$1:$CT$1,"&lt;="&amp;EOMONTH(AN$1,0),'UX Weekly'!$H42:$CT42,"&lt;&gt;"))</f>
        <v>0</v>
      </c>
      <c r="AO42">
        <f>IF($B42="",0,COUNTIFS('UX Weekly'!$H$1:$CT$1,"&gt;="&amp;AO$1,'UX Weekly'!$H$1:$CT$1,"&lt;="&amp;EOMONTH(AO$1,0),'UX Weekly'!$H42:$CT42,"&lt;&gt;"))</f>
        <v>0</v>
      </c>
      <c r="AP42">
        <f>IF($B42="",0,COUNTIFS('UX Weekly'!$H$1:$CT$1,"&gt;="&amp;AP$1,'UX Weekly'!$H$1:$CT$1,"&lt;="&amp;EOMONTH(AP$1,0),'UX Weekly'!$H42:$CT42,"&lt;&gt;"))</f>
        <v>0</v>
      </c>
      <c r="AQ42">
        <f>IF($B42="",0,COUNTIFS('UX Weekly'!$H$1:$CT$1,"&gt;="&amp;AQ$1,'UX Weekly'!$H$1:$CT$1,"&lt;="&amp;EOMONTH(AQ$1,0),'UX Weekly'!$H42:$CT42,"&lt;&gt;"))</f>
        <v>0</v>
      </c>
      <c r="AR42">
        <f>IF($B42="",0,COUNTIFS('UX Weekly'!$H$1:$CT$1,"&gt;="&amp;AR$1,'UX Weekly'!$H$1:$CT$1,"&lt;="&amp;EOMONTH(AR$1,0),'UX Weekly'!$H42:$CT42,"&lt;&gt;"))</f>
        <v>0</v>
      </c>
      <c r="AS42">
        <f>IF($B42="",0,COUNTIFS('UX Weekly'!$H$1:$CT$1,"&gt;="&amp;AS$1,'UX Weekly'!$H$1:$CT$1,"&lt;="&amp;EOMONTH(AS$1,0),'UX Weekly'!$H42:$CT42,"&lt;&gt;"))</f>
        <v>0</v>
      </c>
      <c r="AT42">
        <f>IF($B42="",0,COUNTIFS('UX Weekly'!$H$1:$CT$1,"&gt;="&amp;AT$1,'UX Weekly'!$H$1:$CT$1,"&lt;="&amp;EOMONTH(AT$1,0),'UX Weekly'!$H42:$CT42,"&lt;&gt;"))</f>
        <v>0</v>
      </c>
      <c r="AU42">
        <f>IF($B42="",0,COUNTIFS('UX Weekly'!$H$1:$CT$1,"&gt;="&amp;AU$1,'UX Weekly'!$H$1:$CT$1,"&lt;="&amp;EOMONTH(AU$1,0),'UX Weekly'!$H42:$CT42,"&lt;&gt;"))</f>
        <v>0</v>
      </c>
      <c r="AV42">
        <f>IF($B42="",0,COUNTIFS('UX Weekly'!$H$1:$CT$1,"&gt;="&amp;AV$1,'UX Weekly'!$H$1:$CT$1,"&lt;="&amp;EOMONTH(AV$1,0),'UX Weekly'!$H42:$CT42,"&lt;&gt;"))</f>
        <v>0</v>
      </c>
      <c r="AW42">
        <f>IF($B42="",0,COUNTIFS('UX Weekly'!$H$1:$CT$1,"&gt;="&amp;AW$1,'UX Weekly'!$H$1:$CT$1,"&lt;="&amp;EOMONTH(AW$1,0),'UX Weekly'!$H42:$CT42,"&lt;&gt;"))</f>
        <v>0</v>
      </c>
      <c r="AX42">
        <f>IF($B42="",0,COUNTIFS('UX Weekly'!$H$1:$CT$1,"&gt;="&amp;AX$1,'UX Weekly'!$H$1:$CT$1,"&lt;="&amp;EOMONTH(AX$1,0),'UX Weekly'!$H42:$CT42,"&lt;&gt;"))</f>
        <v>0</v>
      </c>
    </row>
    <row r="43" spans="1:50" x14ac:dyDescent="0.2">
      <c r="A43" s="152">
        <v>43</v>
      </c>
      <c r="B43" s="152" t="str">
        <f>IF(TRIM('UX Weekly'!E43)="","",TRIM('UX Weekly'!E43))</f>
        <v>Highlighted Refinements</v>
      </c>
      <c r="C43" s="152" t="str">
        <f>IF($B43="","",'UX Weekly'!B43)</f>
        <v>Find</v>
      </c>
      <c r="D43" s="152" t="str">
        <f>IF($B43="","",IF(TRIM('UX Weekly'!C43)="","(No theme assigned)",TRIM('UX Weekly'!C43)))</f>
        <v>Improve Discovery</v>
      </c>
      <c r="E43" s="152" t="str">
        <f>IF($B43="","",TRIM('UX Weekly'!F43))</f>
        <v>BHUX-29921</v>
      </c>
      <c r="F43" s="152" t="str">
        <f>IF($B43="","",'UX Weekly'!G43)</f>
        <v>13. Live</v>
      </c>
      <c r="G43" s="153" t="str">
        <f t="array" ref="G43">IF($B43="","",IF($T43=0,"",IFERROR(MIN(IF('UX Weekly'!$H43:$CT43&lt;&gt;"",'UX Weekly'!$H$1:$CT$1)),"")))</f>
        <v/>
      </c>
      <c r="H43" s="153" t="str">
        <f t="array" ref="H43">IF($B43="","",IF($T43=0,"",IFERROR(MAX(IF('UX Weekly'!$H43:$CT43&lt;&gt;"",'UX Weekly'!$H$1:$CT$1)),"")))</f>
        <v/>
      </c>
      <c r="I43" s="154" t="str">
        <f t="shared" ca="1" si="7"/>
        <v/>
      </c>
      <c r="J43" s="154" t="str">
        <f t="shared" ca="1" si="8"/>
        <v/>
      </c>
      <c r="K43" s="152" t="str">
        <f>IF($B43="","",IF(COUNTA('Dev Tracker'!L43)=0,"",TRIM('Dev Tracker'!L43)))</f>
        <v>BHP-5132</v>
      </c>
      <c r="L43" s="152">
        <f>IF($B43="","",IFERROR(MATCH($D43,Control!$E$4:$E$30,0),99))</f>
        <v>1</v>
      </c>
      <c r="M43" s="152">
        <f>IF($B43="","",IFERROR(MATCH($F43,Control!$B$4:$B$30,0),99))</f>
        <v>16</v>
      </c>
      <c r="N43" s="152" t="str">
        <f>IF($V43&lt;&gt;1,"",IF('Roadmap (Auto)'!$D$3="Status, then Theme",$M43*1000000+$L43*10000+ROW(),IF('Roadmap (Auto)'!$D$3="Dev start (earliest)",IF($I43="",99999999,$I43)*10000+ROW(),IF('Roadmap (Auto)'!$D$3="UX start (earliest)",IF($G43="",99999999,$G43)*10000+ROW(),IF('Roadmap (Auto)'!$D$3="Deliverable A-Z",$W43*10000+ROW(),$L43*1000000+$M43*10000+ROW())))))</f>
        <v/>
      </c>
      <c r="O43" s="152" t="str">
        <f t="shared" si="9"/>
        <v/>
      </c>
      <c r="P43" s="152" t="str">
        <f>IF($B43="","",IF(COUNTA('Dev Tracker'!I43)=0,"",'Dev Tracker'!I43))</f>
        <v/>
      </c>
      <c r="Q43" s="152" t="str">
        <f>IF($B43="","",IF(COUNTA('Dev Tracker'!J43)=0,"",'Dev Tracker'!J43))</f>
        <v/>
      </c>
      <c r="R43" s="154" t="str">
        <f t="shared" ca="1" si="10"/>
        <v/>
      </c>
      <c r="S43" s="154" t="str">
        <f t="shared" ca="1" si="11"/>
        <v/>
      </c>
      <c r="T43" s="152">
        <f>IF($B43="","",COUNTA('UX Weekly'!$H43:$CT43))</f>
        <v>0</v>
      </c>
      <c r="U43" s="152">
        <f>IF($B43="","",IFERROR(MATCH($D43,Control!$E$4:$E$30,0)+3,0))</f>
        <v>4</v>
      </c>
      <c r="V43" s="152">
        <f>IF($B43="","",IF(AND(OR('Roadmap (Auto)'!$A$3="",'Roadmap (Auto)'!$A$3="(All)",ISNUMBER(SEARCH('Roadmap (Auto)'!$A$3,$C43&amp;""))),OR('Roadmap (Auto)'!$B$3="",'Roadmap (Auto)'!$B$3="(All)",$D43='Roadmap (Auto)'!$B$3,$X43='Roadmap (Auto)'!$B$3),OR('Roadmap (Auto)'!$C$3="",'Roadmap (Auto)'!$C$3="(All)",$F43='Roadmap (Auto)'!$C$3)),1,0))</f>
        <v>0</v>
      </c>
      <c r="W43" s="152">
        <f t="shared" si="12"/>
        <v>119</v>
      </c>
      <c r="X43" s="152" t="str">
        <f>IF($B43="","",IF(TRIM('UX Weekly'!D43)="","",TRIM('UX Weekly'!D43)))</f>
        <v/>
      </c>
      <c r="Y43" s="152" t="str">
        <f t="shared" si="13"/>
        <v>HIGHLIGHTEDREFINEMENTS</v>
      </c>
      <c r="AA43">
        <f>IF($B43="",0,COUNTIFS('UX Weekly'!$H$1:$CT$1,"&gt;="&amp;AA$1,'UX Weekly'!$H$1:$CT$1,"&lt;="&amp;EOMONTH(AA$1,0),'UX Weekly'!$H43:$CT43,"&lt;&gt;"))</f>
        <v>0</v>
      </c>
      <c r="AB43">
        <f>IF($B43="",0,COUNTIFS('UX Weekly'!$H$1:$CT$1,"&gt;="&amp;AB$1,'UX Weekly'!$H$1:$CT$1,"&lt;="&amp;EOMONTH(AB$1,0),'UX Weekly'!$H43:$CT43,"&lt;&gt;"))</f>
        <v>0</v>
      </c>
      <c r="AC43">
        <f>IF($B43="",0,COUNTIFS('UX Weekly'!$H$1:$CT$1,"&gt;="&amp;AC$1,'UX Weekly'!$H$1:$CT$1,"&lt;="&amp;EOMONTH(AC$1,0),'UX Weekly'!$H43:$CT43,"&lt;&gt;"))</f>
        <v>0</v>
      </c>
      <c r="AD43">
        <f>IF($B43="",0,COUNTIFS('UX Weekly'!$H$1:$CT$1,"&gt;="&amp;AD$1,'UX Weekly'!$H$1:$CT$1,"&lt;="&amp;EOMONTH(AD$1,0),'UX Weekly'!$H43:$CT43,"&lt;&gt;"))</f>
        <v>0</v>
      </c>
      <c r="AE43">
        <f>IF($B43="",0,COUNTIFS('UX Weekly'!$H$1:$CT$1,"&gt;="&amp;AE$1,'UX Weekly'!$H$1:$CT$1,"&lt;="&amp;EOMONTH(AE$1,0),'UX Weekly'!$H43:$CT43,"&lt;&gt;"))</f>
        <v>0</v>
      </c>
      <c r="AF43">
        <f>IF($B43="",0,COUNTIFS('UX Weekly'!$H$1:$CT$1,"&gt;="&amp;AF$1,'UX Weekly'!$H$1:$CT$1,"&lt;="&amp;EOMONTH(AF$1,0),'UX Weekly'!$H43:$CT43,"&lt;&gt;"))</f>
        <v>0</v>
      </c>
      <c r="AG43">
        <f>IF($B43="",0,COUNTIFS('UX Weekly'!$H$1:$CT$1,"&gt;="&amp;AG$1,'UX Weekly'!$H$1:$CT$1,"&lt;="&amp;EOMONTH(AG$1,0),'UX Weekly'!$H43:$CT43,"&lt;&gt;"))</f>
        <v>0</v>
      </c>
      <c r="AH43">
        <f>IF($B43="",0,COUNTIFS('UX Weekly'!$H$1:$CT$1,"&gt;="&amp;AH$1,'UX Weekly'!$H$1:$CT$1,"&lt;="&amp;EOMONTH(AH$1,0),'UX Weekly'!$H43:$CT43,"&lt;&gt;"))</f>
        <v>0</v>
      </c>
      <c r="AI43">
        <f>IF($B43="",0,COUNTIFS('UX Weekly'!$H$1:$CT$1,"&gt;="&amp;AI$1,'UX Weekly'!$H$1:$CT$1,"&lt;="&amp;EOMONTH(AI$1,0),'UX Weekly'!$H43:$CT43,"&lt;&gt;"))</f>
        <v>0</v>
      </c>
      <c r="AJ43">
        <f>IF($B43="",0,COUNTIFS('UX Weekly'!$H$1:$CT$1,"&gt;="&amp;AJ$1,'UX Weekly'!$H$1:$CT$1,"&lt;="&amp;EOMONTH(AJ$1,0),'UX Weekly'!$H43:$CT43,"&lt;&gt;"))</f>
        <v>0</v>
      </c>
      <c r="AK43">
        <f>IF($B43="",0,COUNTIFS('UX Weekly'!$H$1:$CT$1,"&gt;="&amp;AK$1,'UX Weekly'!$H$1:$CT$1,"&lt;="&amp;EOMONTH(AK$1,0),'UX Weekly'!$H43:$CT43,"&lt;&gt;"))</f>
        <v>0</v>
      </c>
      <c r="AL43">
        <f>IF($B43="",0,COUNTIFS('UX Weekly'!$H$1:$CT$1,"&gt;="&amp;AL$1,'UX Weekly'!$H$1:$CT$1,"&lt;="&amp;EOMONTH(AL$1,0),'UX Weekly'!$H43:$CT43,"&lt;&gt;"))</f>
        <v>0</v>
      </c>
      <c r="AM43">
        <f>IF($B43="",0,COUNTIFS('UX Weekly'!$H$1:$CT$1,"&gt;="&amp;AM$1,'UX Weekly'!$H$1:$CT$1,"&lt;="&amp;EOMONTH(AM$1,0),'UX Weekly'!$H43:$CT43,"&lt;&gt;"))</f>
        <v>0</v>
      </c>
      <c r="AN43">
        <f>IF($B43="",0,COUNTIFS('UX Weekly'!$H$1:$CT$1,"&gt;="&amp;AN$1,'UX Weekly'!$H$1:$CT$1,"&lt;="&amp;EOMONTH(AN$1,0),'UX Weekly'!$H43:$CT43,"&lt;&gt;"))</f>
        <v>0</v>
      </c>
      <c r="AO43">
        <f>IF($B43="",0,COUNTIFS('UX Weekly'!$H$1:$CT$1,"&gt;="&amp;AO$1,'UX Weekly'!$H$1:$CT$1,"&lt;="&amp;EOMONTH(AO$1,0),'UX Weekly'!$H43:$CT43,"&lt;&gt;"))</f>
        <v>0</v>
      </c>
      <c r="AP43">
        <f>IF($B43="",0,COUNTIFS('UX Weekly'!$H$1:$CT$1,"&gt;="&amp;AP$1,'UX Weekly'!$H$1:$CT$1,"&lt;="&amp;EOMONTH(AP$1,0),'UX Weekly'!$H43:$CT43,"&lt;&gt;"))</f>
        <v>0</v>
      </c>
      <c r="AQ43">
        <f>IF($B43="",0,COUNTIFS('UX Weekly'!$H$1:$CT$1,"&gt;="&amp;AQ$1,'UX Weekly'!$H$1:$CT$1,"&lt;="&amp;EOMONTH(AQ$1,0),'UX Weekly'!$H43:$CT43,"&lt;&gt;"))</f>
        <v>0</v>
      </c>
      <c r="AR43">
        <f>IF($B43="",0,COUNTIFS('UX Weekly'!$H$1:$CT$1,"&gt;="&amp;AR$1,'UX Weekly'!$H$1:$CT$1,"&lt;="&amp;EOMONTH(AR$1,0),'UX Weekly'!$H43:$CT43,"&lt;&gt;"))</f>
        <v>0</v>
      </c>
      <c r="AS43">
        <f>IF($B43="",0,COUNTIFS('UX Weekly'!$H$1:$CT$1,"&gt;="&amp;AS$1,'UX Weekly'!$H$1:$CT$1,"&lt;="&amp;EOMONTH(AS$1,0),'UX Weekly'!$H43:$CT43,"&lt;&gt;"))</f>
        <v>0</v>
      </c>
      <c r="AT43">
        <f>IF($B43="",0,COUNTIFS('UX Weekly'!$H$1:$CT$1,"&gt;="&amp;AT$1,'UX Weekly'!$H$1:$CT$1,"&lt;="&amp;EOMONTH(AT$1,0),'UX Weekly'!$H43:$CT43,"&lt;&gt;"))</f>
        <v>0</v>
      </c>
      <c r="AU43">
        <f>IF($B43="",0,COUNTIFS('UX Weekly'!$H$1:$CT$1,"&gt;="&amp;AU$1,'UX Weekly'!$H$1:$CT$1,"&lt;="&amp;EOMONTH(AU$1,0),'UX Weekly'!$H43:$CT43,"&lt;&gt;"))</f>
        <v>0</v>
      </c>
      <c r="AV43">
        <f>IF($B43="",0,COUNTIFS('UX Weekly'!$H$1:$CT$1,"&gt;="&amp;AV$1,'UX Weekly'!$H$1:$CT$1,"&lt;="&amp;EOMONTH(AV$1,0),'UX Weekly'!$H43:$CT43,"&lt;&gt;"))</f>
        <v>0</v>
      </c>
      <c r="AW43">
        <f>IF($B43="",0,COUNTIFS('UX Weekly'!$H$1:$CT$1,"&gt;="&amp;AW$1,'UX Weekly'!$H$1:$CT$1,"&lt;="&amp;EOMONTH(AW$1,0),'UX Weekly'!$H43:$CT43,"&lt;&gt;"))</f>
        <v>0</v>
      </c>
      <c r="AX43">
        <f>IF($B43="",0,COUNTIFS('UX Weekly'!$H$1:$CT$1,"&gt;="&amp;AX$1,'UX Weekly'!$H$1:$CT$1,"&lt;="&amp;EOMONTH(AX$1,0),'UX Weekly'!$H43:$CT43,"&lt;&gt;"))</f>
        <v>0</v>
      </c>
    </row>
    <row r="44" spans="1:50" x14ac:dyDescent="0.2">
      <c r="A44" s="152">
        <v>44</v>
      </c>
      <c r="B44" s="152" t="str">
        <f>IF(TRIM('UX Weekly'!E44)="","",TRIM('UX Weekly'!E44))</f>
        <v>EDU Homepage</v>
      </c>
      <c r="C44" s="152" t="str">
        <f>IF($B44="","",'UX Weekly'!B44)</f>
        <v>B2B</v>
      </c>
      <c r="D44" s="152" t="str">
        <f>IF($B44="","",IF(TRIM('UX Weekly'!C44)="","(No theme assigned)",TRIM('UX Weekly'!C44)))</f>
        <v>Increase B2B Acquisition</v>
      </c>
      <c r="E44" s="152" t="str">
        <f>IF($B44="","",TRIM('UX Weekly'!F44))</f>
        <v>BHUX-25601</v>
      </c>
      <c r="F44" s="152" t="str">
        <f>IF($B44="","",'UX Weekly'!G44)</f>
        <v>13. Live</v>
      </c>
      <c r="G44" s="153">
        <f t="array" ref="G44">IF($B44="","",IF($T44=0,"",IFERROR(MIN(IF('UX Weekly'!$H44:$CT44&lt;&gt;"",'UX Weekly'!$H$1:$CT$1)),"")))</f>
        <v>46146</v>
      </c>
      <c r="H44" s="153">
        <f t="array" ref="H44">IF($B44="","",IF($T44=0,"",IFERROR(MAX(IF('UX Weekly'!$H44:$CT44&lt;&gt;"",'UX Weekly'!$H$1:$CT$1)),"")))</f>
        <v>46188</v>
      </c>
      <c r="I44" s="154">
        <f t="shared" ca="1" si="7"/>
        <v>46235</v>
      </c>
      <c r="J44" s="154">
        <f t="shared" ca="1" si="8"/>
        <v>46265</v>
      </c>
      <c r="K44" s="152" t="str">
        <f>IF($B44="","",IF(COUNTA('Dev Tracker'!L44)=0,"",TRIM('Dev Tracker'!L44)))</f>
        <v>BHP-3583</v>
      </c>
      <c r="L44" s="152">
        <f>IF($B44="","",IFERROR(MATCH($D44,Control!$E$4:$E$30,0),99))</f>
        <v>8</v>
      </c>
      <c r="M44" s="152">
        <f>IF($B44="","",IFERROR(MATCH($F44,Control!$B$4:$B$30,0),99))</f>
        <v>16</v>
      </c>
      <c r="N44" s="152" t="str">
        <f>IF($V44&lt;&gt;1,"",IF('Roadmap (Auto)'!$D$3="Status, then Theme",$M44*1000000+$L44*10000+ROW(),IF('Roadmap (Auto)'!$D$3="Dev start (earliest)",IF($I44="",99999999,$I44)*10000+ROW(),IF('Roadmap (Auto)'!$D$3="UX start (earliest)",IF($G44="",99999999,$G44)*10000+ROW(),IF('Roadmap (Auto)'!$D$3="Deliverable A-Z",$W44*10000+ROW(),$L44*1000000+$M44*10000+ROW())))))</f>
        <v/>
      </c>
      <c r="O44" s="152" t="str">
        <f t="shared" si="9"/>
        <v/>
      </c>
      <c r="P44" s="152" t="str">
        <f>IF($B44="","",IF(COUNTA('Dev Tracker'!I44)=0,"",'Dev Tracker'!I44))</f>
        <v>Aug 2026</v>
      </c>
      <c r="Q44" s="152" t="str">
        <f>IF($B44="","",IF(COUNTA('Dev Tracker'!J44)=0,"",'Dev Tracker'!J44))</f>
        <v>Aug 2026</v>
      </c>
      <c r="R44" s="154">
        <f t="shared" ca="1" si="10"/>
        <v>46235</v>
      </c>
      <c r="S44" s="154">
        <f t="shared" ca="1" si="11"/>
        <v>46235</v>
      </c>
      <c r="T44" s="152">
        <f>IF($B44="","",COUNTA('UX Weekly'!$H44:$CT44))</f>
        <v>2</v>
      </c>
      <c r="U44" s="152">
        <f>IF($B44="","",IFERROR(MATCH($D44,Control!$E$4:$E$30,0)+3,0))</f>
        <v>11</v>
      </c>
      <c r="V44" s="152">
        <f>IF($B44="","",IF(AND(OR('Roadmap (Auto)'!$A$3="",'Roadmap (Auto)'!$A$3="(All)",ISNUMBER(SEARCH('Roadmap (Auto)'!$A$3,$C44&amp;""))),OR('Roadmap (Auto)'!$B$3="",'Roadmap (Auto)'!$B$3="(All)",$D44='Roadmap (Auto)'!$B$3,$X44='Roadmap (Auto)'!$B$3),OR('Roadmap (Auto)'!$C$3="",'Roadmap (Auto)'!$C$3="(All)",$F44='Roadmap (Auto)'!$C$3)),1,0))</f>
        <v>0</v>
      </c>
      <c r="W44" s="152">
        <f t="shared" si="12"/>
        <v>117</v>
      </c>
      <c r="X44" s="152" t="str">
        <f>IF($B44="","",IF(TRIM('UX Weekly'!D44)="","",TRIM('UX Weekly'!D44)))</f>
        <v/>
      </c>
      <c r="Y44" s="152" t="str">
        <f t="shared" si="13"/>
        <v>EDUHOMEPAGE</v>
      </c>
      <c r="AA44">
        <f>IF($B44="",0,COUNTIFS('UX Weekly'!$H$1:$CT$1,"&gt;="&amp;AA$1,'UX Weekly'!$H$1:$CT$1,"&lt;="&amp;EOMONTH(AA$1,0),'UX Weekly'!$H44:$CT44,"&lt;&gt;"))</f>
        <v>0</v>
      </c>
      <c r="AB44">
        <f>IF($B44="",0,COUNTIFS('UX Weekly'!$H$1:$CT$1,"&gt;="&amp;AB$1,'UX Weekly'!$H$1:$CT$1,"&lt;="&amp;EOMONTH(AB$1,0),'UX Weekly'!$H44:$CT44,"&lt;&gt;"))</f>
        <v>0</v>
      </c>
      <c r="AC44">
        <f>IF($B44="",0,COUNTIFS('UX Weekly'!$H$1:$CT$1,"&gt;="&amp;AC$1,'UX Weekly'!$H$1:$CT$1,"&lt;="&amp;EOMONTH(AC$1,0),'UX Weekly'!$H44:$CT44,"&lt;&gt;"))</f>
        <v>0</v>
      </c>
      <c r="AD44">
        <f>IF($B44="",0,COUNTIFS('UX Weekly'!$H$1:$CT$1,"&gt;="&amp;AD$1,'UX Weekly'!$H$1:$CT$1,"&lt;="&amp;EOMONTH(AD$1,0),'UX Weekly'!$H44:$CT44,"&lt;&gt;"))</f>
        <v>0</v>
      </c>
      <c r="AE44">
        <f>IF($B44="",0,COUNTIFS('UX Weekly'!$H$1:$CT$1,"&gt;="&amp;AE$1,'UX Weekly'!$H$1:$CT$1,"&lt;="&amp;EOMONTH(AE$1,0),'UX Weekly'!$H44:$CT44,"&lt;&gt;"))</f>
        <v>1</v>
      </c>
      <c r="AF44">
        <f>IF($B44="",0,COUNTIFS('UX Weekly'!$H$1:$CT$1,"&gt;="&amp;AF$1,'UX Weekly'!$H$1:$CT$1,"&lt;="&amp;EOMONTH(AF$1,0),'UX Weekly'!$H44:$CT44,"&lt;&gt;"))</f>
        <v>1</v>
      </c>
      <c r="AG44">
        <f>IF($B44="",0,COUNTIFS('UX Weekly'!$H$1:$CT$1,"&gt;="&amp;AG$1,'UX Weekly'!$H$1:$CT$1,"&lt;="&amp;EOMONTH(AG$1,0),'UX Weekly'!$H44:$CT44,"&lt;&gt;"))</f>
        <v>0</v>
      </c>
      <c r="AH44">
        <f>IF($B44="",0,COUNTIFS('UX Weekly'!$H$1:$CT$1,"&gt;="&amp;AH$1,'UX Weekly'!$H$1:$CT$1,"&lt;="&amp;EOMONTH(AH$1,0),'UX Weekly'!$H44:$CT44,"&lt;&gt;"))</f>
        <v>0</v>
      </c>
      <c r="AI44">
        <f>IF($B44="",0,COUNTIFS('UX Weekly'!$H$1:$CT$1,"&gt;="&amp;AI$1,'UX Weekly'!$H$1:$CT$1,"&lt;="&amp;EOMONTH(AI$1,0),'UX Weekly'!$H44:$CT44,"&lt;&gt;"))</f>
        <v>0</v>
      </c>
      <c r="AJ44">
        <f>IF($B44="",0,COUNTIFS('UX Weekly'!$H$1:$CT$1,"&gt;="&amp;AJ$1,'UX Weekly'!$H$1:$CT$1,"&lt;="&amp;EOMONTH(AJ$1,0),'UX Weekly'!$H44:$CT44,"&lt;&gt;"))</f>
        <v>0</v>
      </c>
      <c r="AK44">
        <f>IF($B44="",0,COUNTIFS('UX Weekly'!$H$1:$CT$1,"&gt;="&amp;AK$1,'UX Weekly'!$H$1:$CT$1,"&lt;="&amp;EOMONTH(AK$1,0),'UX Weekly'!$H44:$CT44,"&lt;&gt;"))</f>
        <v>0</v>
      </c>
      <c r="AL44">
        <f>IF($B44="",0,COUNTIFS('UX Weekly'!$H$1:$CT$1,"&gt;="&amp;AL$1,'UX Weekly'!$H$1:$CT$1,"&lt;="&amp;EOMONTH(AL$1,0),'UX Weekly'!$H44:$CT44,"&lt;&gt;"))</f>
        <v>0</v>
      </c>
      <c r="AM44">
        <f>IF($B44="",0,COUNTIFS('UX Weekly'!$H$1:$CT$1,"&gt;="&amp;AM$1,'UX Weekly'!$H$1:$CT$1,"&lt;="&amp;EOMONTH(AM$1,0),'UX Weekly'!$H44:$CT44,"&lt;&gt;"))</f>
        <v>0</v>
      </c>
      <c r="AN44">
        <f>IF($B44="",0,COUNTIFS('UX Weekly'!$H$1:$CT$1,"&gt;="&amp;AN$1,'UX Weekly'!$H$1:$CT$1,"&lt;="&amp;EOMONTH(AN$1,0),'UX Weekly'!$H44:$CT44,"&lt;&gt;"))</f>
        <v>0</v>
      </c>
      <c r="AO44">
        <f>IF($B44="",0,COUNTIFS('UX Weekly'!$H$1:$CT$1,"&gt;="&amp;AO$1,'UX Weekly'!$H$1:$CT$1,"&lt;="&amp;EOMONTH(AO$1,0),'UX Weekly'!$H44:$CT44,"&lt;&gt;"))</f>
        <v>0</v>
      </c>
      <c r="AP44">
        <f>IF($B44="",0,COUNTIFS('UX Weekly'!$H$1:$CT$1,"&gt;="&amp;AP$1,'UX Weekly'!$H$1:$CT$1,"&lt;="&amp;EOMONTH(AP$1,0),'UX Weekly'!$H44:$CT44,"&lt;&gt;"))</f>
        <v>0</v>
      </c>
      <c r="AQ44">
        <f>IF($B44="",0,COUNTIFS('UX Weekly'!$H$1:$CT$1,"&gt;="&amp;AQ$1,'UX Weekly'!$H$1:$CT$1,"&lt;="&amp;EOMONTH(AQ$1,0),'UX Weekly'!$H44:$CT44,"&lt;&gt;"))</f>
        <v>0</v>
      </c>
      <c r="AR44">
        <f>IF($B44="",0,COUNTIFS('UX Weekly'!$H$1:$CT$1,"&gt;="&amp;AR$1,'UX Weekly'!$H$1:$CT$1,"&lt;="&amp;EOMONTH(AR$1,0),'UX Weekly'!$H44:$CT44,"&lt;&gt;"))</f>
        <v>0</v>
      </c>
      <c r="AS44">
        <f>IF($B44="",0,COUNTIFS('UX Weekly'!$H$1:$CT$1,"&gt;="&amp;AS$1,'UX Weekly'!$H$1:$CT$1,"&lt;="&amp;EOMONTH(AS$1,0),'UX Weekly'!$H44:$CT44,"&lt;&gt;"))</f>
        <v>0</v>
      </c>
      <c r="AT44">
        <f>IF($B44="",0,COUNTIFS('UX Weekly'!$H$1:$CT$1,"&gt;="&amp;AT$1,'UX Weekly'!$H$1:$CT$1,"&lt;="&amp;EOMONTH(AT$1,0),'UX Weekly'!$H44:$CT44,"&lt;&gt;"))</f>
        <v>0</v>
      </c>
      <c r="AU44">
        <f>IF($B44="",0,COUNTIFS('UX Weekly'!$H$1:$CT$1,"&gt;="&amp;AU$1,'UX Weekly'!$H$1:$CT$1,"&lt;="&amp;EOMONTH(AU$1,0),'UX Weekly'!$H44:$CT44,"&lt;&gt;"))</f>
        <v>0</v>
      </c>
      <c r="AV44">
        <f>IF($B44="",0,COUNTIFS('UX Weekly'!$H$1:$CT$1,"&gt;="&amp;AV$1,'UX Weekly'!$H$1:$CT$1,"&lt;="&amp;EOMONTH(AV$1,0),'UX Weekly'!$H44:$CT44,"&lt;&gt;"))</f>
        <v>0</v>
      </c>
      <c r="AW44">
        <f>IF($B44="",0,COUNTIFS('UX Weekly'!$H$1:$CT$1,"&gt;="&amp;AW$1,'UX Weekly'!$H$1:$CT$1,"&lt;="&amp;EOMONTH(AW$1,0),'UX Weekly'!$H44:$CT44,"&lt;&gt;"))</f>
        <v>0</v>
      </c>
      <c r="AX44">
        <f>IF($B44="",0,COUNTIFS('UX Weekly'!$H$1:$CT$1,"&gt;="&amp;AX$1,'UX Weekly'!$H$1:$CT$1,"&lt;="&amp;EOMONTH(AX$1,0),'UX Weekly'!$H44:$CT44,"&lt;&gt;"))</f>
        <v>0</v>
      </c>
    </row>
    <row r="45" spans="1:50" x14ac:dyDescent="0.2">
      <c r="A45" s="152">
        <v>45</v>
      </c>
      <c r="B45" s="152" t="str">
        <f>IF(TRIM('UX Weekly'!E45)="","",TRIM('UX Weekly'!E45))</f>
        <v>Actual Used Images</v>
      </c>
      <c r="C45" s="152" t="str">
        <f>IF($B45="","",'UX Weekly'!B45)</f>
        <v>Used</v>
      </c>
      <c r="D45" s="152" t="str">
        <f>IF($B45="","",IF(TRIM('UX Weekly'!C45)="","(No theme assigned)",TRIM('UX Weekly'!C45)))</f>
        <v>Improve Buy Used Customer Experience</v>
      </c>
      <c r="E45" s="152" t="str">
        <f>IF($B45="","",TRIM('UX Weekly'!F45))</f>
        <v>BHP-4563</v>
      </c>
      <c r="F45" s="152" t="str">
        <f>IF($B45="","",'UX Weekly'!G45)</f>
        <v>13. Live</v>
      </c>
      <c r="G45" s="153" t="str">
        <f t="array" ref="G45">IF($B45="","",IF($T45=0,"",IFERROR(MIN(IF('UX Weekly'!$H45:$CT45&lt;&gt;"",'UX Weekly'!$H$1:$CT$1)),"")))</f>
        <v/>
      </c>
      <c r="H45" s="153" t="str">
        <f t="array" ref="H45">IF($B45="","",IF($T45=0,"",IFERROR(MAX(IF('UX Weekly'!$H45:$CT45&lt;&gt;"",'UX Weekly'!$H$1:$CT$1)),"")))</f>
        <v/>
      </c>
      <c r="I45" s="154" t="str">
        <f t="shared" ca="1" si="7"/>
        <v/>
      </c>
      <c r="J45" s="154" t="str">
        <f t="shared" ca="1" si="8"/>
        <v/>
      </c>
      <c r="K45" s="152" t="str">
        <f>IF($B45="","",IF(COUNTA('Dev Tracker'!L45)=0,"",TRIM('Dev Tracker'!L45)))</f>
        <v>BHP-4563</v>
      </c>
      <c r="L45" s="152">
        <f>IF($B45="","",IFERROR(MATCH($D45,Control!$E$4:$E$30,0),99))</f>
        <v>6</v>
      </c>
      <c r="M45" s="152">
        <f>IF($B45="","",IFERROR(MATCH($F45,Control!$B$4:$B$30,0),99))</f>
        <v>16</v>
      </c>
      <c r="N45" s="152">
        <f>IF($V45&lt;&gt;1,"",IF('Roadmap (Auto)'!$D$3="Status, then Theme",$M45*1000000+$L45*10000+ROW(),IF('Roadmap (Auto)'!$D$3="Dev start (earliest)",IF($I45="",99999999,$I45)*10000+ROW(),IF('Roadmap (Auto)'!$D$3="UX start (earliest)",IF($G45="",99999999,$G45)*10000+ROW(),IF('Roadmap (Auto)'!$D$3="Deliverable A-Z",$W45*10000+ROW(),$L45*1000000+$M45*10000+ROW())))))</f>
        <v>6160045</v>
      </c>
      <c r="O45" s="152">
        <f t="shared" si="9"/>
        <v>23</v>
      </c>
      <c r="P45" s="152" t="str">
        <f>IF($B45="","",IF(COUNTA('Dev Tracker'!I45)=0,"",'Dev Tracker'!I45))</f>
        <v/>
      </c>
      <c r="Q45" s="152" t="str">
        <f>IF($B45="","",IF(COUNTA('Dev Tracker'!J45)=0,"",'Dev Tracker'!J45))</f>
        <v/>
      </c>
      <c r="R45" s="154" t="str">
        <f t="shared" ca="1" si="10"/>
        <v/>
      </c>
      <c r="S45" s="154" t="str">
        <f t="shared" ca="1" si="11"/>
        <v/>
      </c>
      <c r="T45" s="152">
        <f>IF($B45="","",COUNTA('UX Weekly'!$H45:$CT45))</f>
        <v>0</v>
      </c>
      <c r="U45" s="152">
        <f>IF($B45="","",IFERROR(MATCH($D45,Control!$E$4:$E$30,0)+3,0))</f>
        <v>9</v>
      </c>
      <c r="V45" s="152">
        <f>IF($B45="","",IF(AND(OR('Roadmap (Auto)'!$A$3="",'Roadmap (Auto)'!$A$3="(All)",ISNUMBER(SEARCH('Roadmap (Auto)'!$A$3,$C45&amp;""))),OR('Roadmap (Auto)'!$B$3="",'Roadmap (Auto)'!$B$3="(All)",$D45='Roadmap (Auto)'!$B$3,$X45='Roadmap (Auto)'!$B$3),OR('Roadmap (Auto)'!$C$3="",'Roadmap (Auto)'!$C$3="(All)",$F45='Roadmap (Auto)'!$C$3)),1,0))</f>
        <v>1</v>
      </c>
      <c r="W45" s="152">
        <f t="shared" si="12"/>
        <v>106</v>
      </c>
      <c r="X45" s="152" t="str">
        <f>IF($B45="","",IF(TRIM('UX Weekly'!D45)="","",TRIM('UX Weekly'!D45)))</f>
        <v/>
      </c>
      <c r="Y45" s="152" t="str">
        <f t="shared" si="13"/>
        <v>ACTUALUSEDIMAGES</v>
      </c>
      <c r="AA45">
        <f>IF($B45="",0,COUNTIFS('UX Weekly'!$H$1:$CT$1,"&gt;="&amp;AA$1,'UX Weekly'!$H$1:$CT$1,"&lt;="&amp;EOMONTH(AA$1,0),'UX Weekly'!$H45:$CT45,"&lt;&gt;"))</f>
        <v>0</v>
      </c>
      <c r="AB45">
        <f>IF($B45="",0,COUNTIFS('UX Weekly'!$H$1:$CT$1,"&gt;="&amp;AB$1,'UX Weekly'!$H$1:$CT$1,"&lt;="&amp;EOMONTH(AB$1,0),'UX Weekly'!$H45:$CT45,"&lt;&gt;"))</f>
        <v>0</v>
      </c>
      <c r="AC45">
        <f>IF($B45="",0,COUNTIFS('UX Weekly'!$H$1:$CT$1,"&gt;="&amp;AC$1,'UX Weekly'!$H$1:$CT$1,"&lt;="&amp;EOMONTH(AC$1,0),'UX Weekly'!$H45:$CT45,"&lt;&gt;"))</f>
        <v>0</v>
      </c>
      <c r="AD45">
        <f>IF($B45="",0,COUNTIFS('UX Weekly'!$H$1:$CT$1,"&gt;="&amp;AD$1,'UX Weekly'!$H$1:$CT$1,"&lt;="&amp;EOMONTH(AD$1,0),'UX Weekly'!$H45:$CT45,"&lt;&gt;"))</f>
        <v>0</v>
      </c>
      <c r="AE45">
        <f>IF($B45="",0,COUNTIFS('UX Weekly'!$H$1:$CT$1,"&gt;="&amp;AE$1,'UX Weekly'!$H$1:$CT$1,"&lt;="&amp;EOMONTH(AE$1,0),'UX Weekly'!$H45:$CT45,"&lt;&gt;"))</f>
        <v>0</v>
      </c>
      <c r="AF45">
        <f>IF($B45="",0,COUNTIFS('UX Weekly'!$H$1:$CT$1,"&gt;="&amp;AF$1,'UX Weekly'!$H$1:$CT$1,"&lt;="&amp;EOMONTH(AF$1,0),'UX Weekly'!$H45:$CT45,"&lt;&gt;"))</f>
        <v>0</v>
      </c>
      <c r="AG45">
        <f>IF($B45="",0,COUNTIFS('UX Weekly'!$H$1:$CT$1,"&gt;="&amp;AG$1,'UX Weekly'!$H$1:$CT$1,"&lt;="&amp;EOMONTH(AG$1,0),'UX Weekly'!$H45:$CT45,"&lt;&gt;"))</f>
        <v>0</v>
      </c>
      <c r="AH45">
        <f>IF($B45="",0,COUNTIFS('UX Weekly'!$H$1:$CT$1,"&gt;="&amp;AH$1,'UX Weekly'!$H$1:$CT$1,"&lt;="&amp;EOMONTH(AH$1,0),'UX Weekly'!$H45:$CT45,"&lt;&gt;"))</f>
        <v>0</v>
      </c>
      <c r="AI45">
        <f>IF($B45="",0,COUNTIFS('UX Weekly'!$H$1:$CT$1,"&gt;="&amp;AI$1,'UX Weekly'!$H$1:$CT$1,"&lt;="&amp;EOMONTH(AI$1,0),'UX Weekly'!$H45:$CT45,"&lt;&gt;"))</f>
        <v>0</v>
      </c>
      <c r="AJ45">
        <f>IF($B45="",0,COUNTIFS('UX Weekly'!$H$1:$CT$1,"&gt;="&amp;AJ$1,'UX Weekly'!$H$1:$CT$1,"&lt;="&amp;EOMONTH(AJ$1,0),'UX Weekly'!$H45:$CT45,"&lt;&gt;"))</f>
        <v>0</v>
      </c>
      <c r="AK45">
        <f>IF($B45="",0,COUNTIFS('UX Weekly'!$H$1:$CT$1,"&gt;="&amp;AK$1,'UX Weekly'!$H$1:$CT$1,"&lt;="&amp;EOMONTH(AK$1,0),'UX Weekly'!$H45:$CT45,"&lt;&gt;"))</f>
        <v>0</v>
      </c>
      <c r="AL45">
        <f>IF($B45="",0,COUNTIFS('UX Weekly'!$H$1:$CT$1,"&gt;="&amp;AL$1,'UX Weekly'!$H$1:$CT$1,"&lt;="&amp;EOMONTH(AL$1,0),'UX Weekly'!$H45:$CT45,"&lt;&gt;"))</f>
        <v>0</v>
      </c>
      <c r="AM45">
        <f>IF($B45="",0,COUNTIFS('UX Weekly'!$H$1:$CT$1,"&gt;="&amp;AM$1,'UX Weekly'!$H$1:$CT$1,"&lt;="&amp;EOMONTH(AM$1,0),'UX Weekly'!$H45:$CT45,"&lt;&gt;"))</f>
        <v>0</v>
      </c>
      <c r="AN45">
        <f>IF($B45="",0,COUNTIFS('UX Weekly'!$H$1:$CT$1,"&gt;="&amp;AN$1,'UX Weekly'!$H$1:$CT$1,"&lt;="&amp;EOMONTH(AN$1,0),'UX Weekly'!$H45:$CT45,"&lt;&gt;"))</f>
        <v>0</v>
      </c>
      <c r="AO45">
        <f>IF($B45="",0,COUNTIFS('UX Weekly'!$H$1:$CT$1,"&gt;="&amp;AO$1,'UX Weekly'!$H$1:$CT$1,"&lt;="&amp;EOMONTH(AO$1,0),'UX Weekly'!$H45:$CT45,"&lt;&gt;"))</f>
        <v>0</v>
      </c>
      <c r="AP45">
        <f>IF($B45="",0,COUNTIFS('UX Weekly'!$H$1:$CT$1,"&gt;="&amp;AP$1,'UX Weekly'!$H$1:$CT$1,"&lt;="&amp;EOMONTH(AP$1,0),'UX Weekly'!$H45:$CT45,"&lt;&gt;"))</f>
        <v>0</v>
      </c>
      <c r="AQ45">
        <f>IF($B45="",0,COUNTIFS('UX Weekly'!$H$1:$CT$1,"&gt;="&amp;AQ$1,'UX Weekly'!$H$1:$CT$1,"&lt;="&amp;EOMONTH(AQ$1,0),'UX Weekly'!$H45:$CT45,"&lt;&gt;"))</f>
        <v>0</v>
      </c>
      <c r="AR45">
        <f>IF($B45="",0,COUNTIFS('UX Weekly'!$H$1:$CT$1,"&gt;="&amp;AR$1,'UX Weekly'!$H$1:$CT$1,"&lt;="&amp;EOMONTH(AR$1,0),'UX Weekly'!$H45:$CT45,"&lt;&gt;"))</f>
        <v>0</v>
      </c>
      <c r="AS45">
        <f>IF($B45="",0,COUNTIFS('UX Weekly'!$H$1:$CT$1,"&gt;="&amp;AS$1,'UX Weekly'!$H$1:$CT$1,"&lt;="&amp;EOMONTH(AS$1,0),'UX Weekly'!$H45:$CT45,"&lt;&gt;"))</f>
        <v>0</v>
      </c>
      <c r="AT45">
        <f>IF($B45="",0,COUNTIFS('UX Weekly'!$H$1:$CT$1,"&gt;="&amp;AT$1,'UX Weekly'!$H$1:$CT$1,"&lt;="&amp;EOMONTH(AT$1,0),'UX Weekly'!$H45:$CT45,"&lt;&gt;"))</f>
        <v>0</v>
      </c>
      <c r="AU45">
        <f>IF($B45="",0,COUNTIFS('UX Weekly'!$H$1:$CT$1,"&gt;="&amp;AU$1,'UX Weekly'!$H$1:$CT$1,"&lt;="&amp;EOMONTH(AU$1,0),'UX Weekly'!$H45:$CT45,"&lt;&gt;"))</f>
        <v>0</v>
      </c>
      <c r="AV45">
        <f>IF($B45="",0,COUNTIFS('UX Weekly'!$H$1:$CT$1,"&gt;="&amp;AV$1,'UX Weekly'!$H$1:$CT$1,"&lt;="&amp;EOMONTH(AV$1,0),'UX Weekly'!$H45:$CT45,"&lt;&gt;"))</f>
        <v>0</v>
      </c>
      <c r="AW45">
        <f>IF($B45="",0,COUNTIFS('UX Weekly'!$H$1:$CT$1,"&gt;="&amp;AW$1,'UX Weekly'!$H$1:$CT$1,"&lt;="&amp;EOMONTH(AW$1,0),'UX Weekly'!$H45:$CT45,"&lt;&gt;"))</f>
        <v>0</v>
      </c>
      <c r="AX45">
        <f>IF($B45="",0,COUNTIFS('UX Weekly'!$H$1:$CT$1,"&gt;="&amp;AX$1,'UX Weekly'!$H$1:$CT$1,"&lt;="&amp;EOMONTH(AX$1,0),'UX Weekly'!$H45:$CT45,"&lt;&gt;"))</f>
        <v>0</v>
      </c>
    </row>
    <row r="46" spans="1:50" x14ac:dyDescent="0.2">
      <c r="A46" s="152">
        <v>46</v>
      </c>
      <c r="B46" s="152" t="str">
        <f>IF(TRIM('UX Weekly'!E46)="","",TRIM('UX Weekly'!E46))</f>
        <v>Used Hub Enhancements</v>
      </c>
      <c r="C46" s="152" t="str">
        <f>IF($B46="","",'UX Weekly'!B46)</f>
        <v>Used</v>
      </c>
      <c r="D46" s="152" t="str">
        <f>IF($B46="","",IF(TRIM('UX Weekly'!C46)="","(No theme assigned)",TRIM('UX Weekly'!C46)))</f>
        <v>Increase Buy Used Awareness</v>
      </c>
      <c r="E46" s="152" t="str">
        <f>IF($B46="","",TRIM('UX Weekly'!F46))</f>
        <v>BHUX-31354 </v>
      </c>
      <c r="F46" s="152" t="str">
        <f>IF($B46="","",'UX Weekly'!G46)</f>
        <v>13. Live</v>
      </c>
      <c r="G46" s="153" t="str">
        <f t="array" ref="G46">IF($B46="","",IF($T46=0,"",IFERROR(MIN(IF('UX Weekly'!$H46:$CT46&lt;&gt;"",'UX Weekly'!$H$1:$CT$1)),"")))</f>
        <v/>
      </c>
      <c r="H46" s="153" t="str">
        <f t="array" ref="H46">IF($B46="","",IF($T46=0,"",IFERROR(MAX(IF('UX Weekly'!$H46:$CT46&lt;&gt;"",'UX Weekly'!$H$1:$CT$1)),"")))</f>
        <v/>
      </c>
      <c r="I46" s="154" t="str">
        <f t="shared" ca="1" si="7"/>
        <v/>
      </c>
      <c r="J46" s="154" t="str">
        <f t="shared" ca="1" si="8"/>
        <v/>
      </c>
      <c r="K46" s="152" t="str">
        <f>IF($B46="","",IF(COUNTA('Dev Tracker'!L46)=0,"",TRIM('Dev Tracker'!L46)))</f>
        <v>BHP-5817</v>
      </c>
      <c r="L46" s="152">
        <f>IF($B46="","",IFERROR(MATCH($D46,Control!$E$4:$E$30,0),99))</f>
        <v>5</v>
      </c>
      <c r="M46" s="152">
        <f>IF($B46="","",IFERROR(MATCH($F46,Control!$B$4:$B$30,0),99))</f>
        <v>16</v>
      </c>
      <c r="N46" s="152">
        <f>IF($V46&lt;&gt;1,"",IF('Roadmap (Auto)'!$D$3="Status, then Theme",$M46*1000000+$L46*10000+ROW(),IF('Roadmap (Auto)'!$D$3="Dev start (earliest)",IF($I46="",99999999,$I46)*10000+ROW(),IF('Roadmap (Auto)'!$D$3="UX start (earliest)",IF($G46="",99999999,$G46)*10000+ROW(),IF('Roadmap (Auto)'!$D$3="Deliverable A-Z",$W46*10000+ROW(),$L46*1000000+$M46*10000+ROW())))))</f>
        <v>5160046</v>
      </c>
      <c r="O46" s="152">
        <f t="shared" si="9"/>
        <v>20</v>
      </c>
      <c r="P46" s="152" t="str">
        <f>IF($B46="","",IF(COUNTA('Dev Tracker'!I46)=0,"",'Dev Tracker'!I46))</f>
        <v/>
      </c>
      <c r="Q46" s="152" t="str">
        <f>IF($B46="","",IF(COUNTA('Dev Tracker'!J46)=0,"",'Dev Tracker'!J46))</f>
        <v/>
      </c>
      <c r="R46" s="154" t="str">
        <f t="shared" ca="1" si="10"/>
        <v/>
      </c>
      <c r="S46" s="154" t="str">
        <f t="shared" ca="1" si="11"/>
        <v/>
      </c>
      <c r="T46" s="152">
        <f>IF($B46="","",COUNTA('UX Weekly'!$H46:$CT46))</f>
        <v>0</v>
      </c>
      <c r="U46" s="152">
        <f>IF($B46="","",IFERROR(MATCH($D46,Control!$E$4:$E$30,0)+3,0))</f>
        <v>8</v>
      </c>
      <c r="V46" s="152">
        <f>IF($B46="","",IF(AND(OR('Roadmap (Auto)'!$A$3="",'Roadmap (Auto)'!$A$3="(All)",ISNUMBER(SEARCH('Roadmap (Auto)'!$A$3,$C46&amp;""))),OR('Roadmap (Auto)'!$B$3="",'Roadmap (Auto)'!$B$3="(All)",$D46='Roadmap (Auto)'!$B$3,$X46='Roadmap (Auto)'!$B$3),OR('Roadmap (Auto)'!$C$3="",'Roadmap (Auto)'!$C$3="(All)",$F46='Roadmap (Auto)'!$C$3)),1,0))</f>
        <v>1</v>
      </c>
      <c r="W46" s="152">
        <f t="shared" si="12"/>
        <v>146</v>
      </c>
      <c r="X46" s="152" t="str">
        <f>IF($B46="","",IF(TRIM('UX Weekly'!D46)="","",TRIM('UX Weekly'!D46)))</f>
        <v/>
      </c>
      <c r="Y46" s="152" t="str">
        <f t="shared" si="13"/>
        <v>USEDHUBENHANCEMENTS</v>
      </c>
      <c r="AA46">
        <f>IF($B46="",0,COUNTIFS('UX Weekly'!$H$1:$CT$1,"&gt;="&amp;AA$1,'UX Weekly'!$H$1:$CT$1,"&lt;="&amp;EOMONTH(AA$1,0),'UX Weekly'!$H46:$CT46,"&lt;&gt;"))</f>
        <v>0</v>
      </c>
      <c r="AB46">
        <f>IF($B46="",0,COUNTIFS('UX Weekly'!$H$1:$CT$1,"&gt;="&amp;AB$1,'UX Weekly'!$H$1:$CT$1,"&lt;="&amp;EOMONTH(AB$1,0),'UX Weekly'!$H46:$CT46,"&lt;&gt;"))</f>
        <v>0</v>
      </c>
      <c r="AC46">
        <f>IF($B46="",0,COUNTIFS('UX Weekly'!$H$1:$CT$1,"&gt;="&amp;AC$1,'UX Weekly'!$H$1:$CT$1,"&lt;="&amp;EOMONTH(AC$1,0),'UX Weekly'!$H46:$CT46,"&lt;&gt;"))</f>
        <v>0</v>
      </c>
      <c r="AD46">
        <f>IF($B46="",0,COUNTIFS('UX Weekly'!$H$1:$CT$1,"&gt;="&amp;AD$1,'UX Weekly'!$H$1:$CT$1,"&lt;="&amp;EOMONTH(AD$1,0),'UX Weekly'!$H46:$CT46,"&lt;&gt;"))</f>
        <v>0</v>
      </c>
      <c r="AE46">
        <f>IF($B46="",0,COUNTIFS('UX Weekly'!$H$1:$CT$1,"&gt;="&amp;AE$1,'UX Weekly'!$H$1:$CT$1,"&lt;="&amp;EOMONTH(AE$1,0),'UX Weekly'!$H46:$CT46,"&lt;&gt;"))</f>
        <v>0</v>
      </c>
      <c r="AF46">
        <f>IF($B46="",0,COUNTIFS('UX Weekly'!$H$1:$CT$1,"&gt;="&amp;AF$1,'UX Weekly'!$H$1:$CT$1,"&lt;="&amp;EOMONTH(AF$1,0),'UX Weekly'!$H46:$CT46,"&lt;&gt;"))</f>
        <v>0</v>
      </c>
      <c r="AG46">
        <f>IF($B46="",0,COUNTIFS('UX Weekly'!$H$1:$CT$1,"&gt;="&amp;AG$1,'UX Weekly'!$H$1:$CT$1,"&lt;="&amp;EOMONTH(AG$1,0),'UX Weekly'!$H46:$CT46,"&lt;&gt;"))</f>
        <v>0</v>
      </c>
      <c r="AH46">
        <f>IF($B46="",0,COUNTIFS('UX Weekly'!$H$1:$CT$1,"&gt;="&amp;AH$1,'UX Weekly'!$H$1:$CT$1,"&lt;="&amp;EOMONTH(AH$1,0),'UX Weekly'!$H46:$CT46,"&lt;&gt;"))</f>
        <v>0</v>
      </c>
      <c r="AI46">
        <f>IF($B46="",0,COUNTIFS('UX Weekly'!$H$1:$CT$1,"&gt;="&amp;AI$1,'UX Weekly'!$H$1:$CT$1,"&lt;="&amp;EOMONTH(AI$1,0),'UX Weekly'!$H46:$CT46,"&lt;&gt;"))</f>
        <v>0</v>
      </c>
      <c r="AJ46">
        <f>IF($B46="",0,COUNTIFS('UX Weekly'!$H$1:$CT$1,"&gt;="&amp;AJ$1,'UX Weekly'!$H$1:$CT$1,"&lt;="&amp;EOMONTH(AJ$1,0),'UX Weekly'!$H46:$CT46,"&lt;&gt;"))</f>
        <v>0</v>
      </c>
      <c r="AK46">
        <f>IF($B46="",0,COUNTIFS('UX Weekly'!$H$1:$CT$1,"&gt;="&amp;AK$1,'UX Weekly'!$H$1:$CT$1,"&lt;="&amp;EOMONTH(AK$1,0),'UX Weekly'!$H46:$CT46,"&lt;&gt;"))</f>
        <v>0</v>
      </c>
      <c r="AL46">
        <f>IF($B46="",0,COUNTIFS('UX Weekly'!$H$1:$CT$1,"&gt;="&amp;AL$1,'UX Weekly'!$H$1:$CT$1,"&lt;="&amp;EOMONTH(AL$1,0),'UX Weekly'!$H46:$CT46,"&lt;&gt;"))</f>
        <v>0</v>
      </c>
      <c r="AM46">
        <f>IF($B46="",0,COUNTIFS('UX Weekly'!$H$1:$CT$1,"&gt;="&amp;AM$1,'UX Weekly'!$H$1:$CT$1,"&lt;="&amp;EOMONTH(AM$1,0),'UX Weekly'!$H46:$CT46,"&lt;&gt;"))</f>
        <v>0</v>
      </c>
      <c r="AN46">
        <f>IF($B46="",0,COUNTIFS('UX Weekly'!$H$1:$CT$1,"&gt;="&amp;AN$1,'UX Weekly'!$H$1:$CT$1,"&lt;="&amp;EOMONTH(AN$1,0),'UX Weekly'!$H46:$CT46,"&lt;&gt;"))</f>
        <v>0</v>
      </c>
      <c r="AO46">
        <f>IF($B46="",0,COUNTIFS('UX Weekly'!$H$1:$CT$1,"&gt;="&amp;AO$1,'UX Weekly'!$H$1:$CT$1,"&lt;="&amp;EOMONTH(AO$1,0),'UX Weekly'!$H46:$CT46,"&lt;&gt;"))</f>
        <v>0</v>
      </c>
      <c r="AP46">
        <f>IF($B46="",0,COUNTIFS('UX Weekly'!$H$1:$CT$1,"&gt;="&amp;AP$1,'UX Weekly'!$H$1:$CT$1,"&lt;="&amp;EOMONTH(AP$1,0),'UX Weekly'!$H46:$CT46,"&lt;&gt;"))</f>
        <v>0</v>
      </c>
      <c r="AQ46">
        <f>IF($B46="",0,COUNTIFS('UX Weekly'!$H$1:$CT$1,"&gt;="&amp;AQ$1,'UX Weekly'!$H$1:$CT$1,"&lt;="&amp;EOMONTH(AQ$1,0),'UX Weekly'!$H46:$CT46,"&lt;&gt;"))</f>
        <v>0</v>
      </c>
      <c r="AR46">
        <f>IF($B46="",0,COUNTIFS('UX Weekly'!$H$1:$CT$1,"&gt;="&amp;AR$1,'UX Weekly'!$H$1:$CT$1,"&lt;="&amp;EOMONTH(AR$1,0),'UX Weekly'!$H46:$CT46,"&lt;&gt;"))</f>
        <v>0</v>
      </c>
      <c r="AS46">
        <f>IF($B46="",0,COUNTIFS('UX Weekly'!$H$1:$CT$1,"&gt;="&amp;AS$1,'UX Weekly'!$H$1:$CT$1,"&lt;="&amp;EOMONTH(AS$1,0),'UX Weekly'!$H46:$CT46,"&lt;&gt;"))</f>
        <v>0</v>
      </c>
      <c r="AT46">
        <f>IF($B46="",0,COUNTIFS('UX Weekly'!$H$1:$CT$1,"&gt;="&amp;AT$1,'UX Weekly'!$H$1:$CT$1,"&lt;="&amp;EOMONTH(AT$1,0),'UX Weekly'!$H46:$CT46,"&lt;&gt;"))</f>
        <v>0</v>
      </c>
      <c r="AU46">
        <f>IF($B46="",0,COUNTIFS('UX Weekly'!$H$1:$CT$1,"&gt;="&amp;AU$1,'UX Weekly'!$H$1:$CT$1,"&lt;="&amp;EOMONTH(AU$1,0),'UX Weekly'!$H46:$CT46,"&lt;&gt;"))</f>
        <v>0</v>
      </c>
      <c r="AV46">
        <f>IF($B46="",0,COUNTIFS('UX Weekly'!$H$1:$CT$1,"&gt;="&amp;AV$1,'UX Weekly'!$H$1:$CT$1,"&lt;="&amp;EOMONTH(AV$1,0),'UX Weekly'!$H46:$CT46,"&lt;&gt;"))</f>
        <v>0</v>
      </c>
      <c r="AW46">
        <f>IF($B46="",0,COUNTIFS('UX Weekly'!$H$1:$CT$1,"&gt;="&amp;AW$1,'UX Weekly'!$H$1:$CT$1,"&lt;="&amp;EOMONTH(AW$1,0),'UX Weekly'!$H46:$CT46,"&lt;&gt;"))</f>
        <v>0</v>
      </c>
      <c r="AX46">
        <f>IF($B46="",0,COUNTIFS('UX Weekly'!$H$1:$CT$1,"&gt;="&amp;AX$1,'UX Weekly'!$H$1:$CT$1,"&lt;="&amp;EOMONTH(AX$1,0),'UX Weekly'!$H46:$CT46,"&lt;&gt;"))</f>
        <v>0</v>
      </c>
    </row>
    <row r="47" spans="1:50" x14ac:dyDescent="0.2">
      <c r="A47" s="152">
        <v>47</v>
      </c>
      <c r="B47" s="152" t="str">
        <f>IF(TRIM('UX Weekly'!E47)="","",TRIM('UX Weekly'!E47))</f>
        <v/>
      </c>
      <c r="C47" s="152" t="str">
        <f>IF($B47="","",'UX Weekly'!B47)</f>
        <v/>
      </c>
      <c r="D47" s="152" t="str">
        <f>IF($B47="","",IF(TRIM('UX Weekly'!C47)="","(No theme assigned)",TRIM('UX Weekly'!C47)))</f>
        <v/>
      </c>
      <c r="E47" s="152" t="str">
        <f>IF($B47="","",TRIM('UX Weekly'!F47))</f>
        <v/>
      </c>
      <c r="F47" s="152" t="str">
        <f>IF($B47="","",'UX Weekly'!G47)</f>
        <v/>
      </c>
      <c r="G47" s="153" t="str">
        <f t="array" ref="G47">IF($B47="","",IF($T47=0,"",IFERROR(MIN(IF('UX Weekly'!$H47:$CT47&lt;&gt;"",'UX Weekly'!$H$1:$CT$1)),"")))</f>
        <v/>
      </c>
      <c r="H47" s="153" t="str">
        <f t="array" ref="H47">IF($B47="","",IF($T47=0,"",IFERROR(MAX(IF('UX Weekly'!$H47:$CT47&lt;&gt;"",'UX Weekly'!$H$1:$CT$1)),"")))</f>
        <v/>
      </c>
      <c r="I47" s="154" t="str">
        <f t="shared" ca="1" si="7"/>
        <v/>
      </c>
      <c r="J47" s="154" t="str">
        <f t="shared" ca="1" si="8"/>
        <v/>
      </c>
      <c r="K47" s="152" t="str">
        <f>IF($B47="","",IF(COUNTA('Dev Tracker'!L47)=0,"",TRIM('Dev Tracker'!L47)))</f>
        <v/>
      </c>
      <c r="L47" s="152" t="str">
        <f>IF($B47="","",IFERROR(MATCH($D47,Control!$E$4:$E$30,0),99))</f>
        <v/>
      </c>
      <c r="M47" s="152" t="str">
        <f>IF($B47="","",IFERROR(MATCH($F47,Control!$B$4:$B$30,0),99))</f>
        <v/>
      </c>
      <c r="N47" s="152" t="str">
        <f>IF($V47&lt;&gt;1,"",IF('Roadmap (Auto)'!$D$3="Status, then Theme",$M47*1000000+$L47*10000+ROW(),IF('Roadmap (Auto)'!$D$3="Dev start (earliest)",IF($I47="",99999999,$I47)*10000+ROW(),IF('Roadmap (Auto)'!$D$3="UX start (earliest)",IF($G47="",99999999,$G47)*10000+ROW(),IF('Roadmap (Auto)'!$D$3="Deliverable A-Z",$W47*10000+ROW(),$L47*1000000+$M47*10000+ROW())))))</f>
        <v/>
      </c>
      <c r="O47" s="152" t="str">
        <f t="shared" si="9"/>
        <v/>
      </c>
      <c r="P47" s="152" t="str">
        <f>IF($B47="","",IF(COUNTA('Dev Tracker'!I47)=0,"",'Dev Tracker'!I47))</f>
        <v/>
      </c>
      <c r="Q47" s="152" t="str">
        <f>IF($B47="","",IF(COUNTA('Dev Tracker'!J47)=0,"",'Dev Tracker'!J47))</f>
        <v/>
      </c>
      <c r="R47" s="154" t="str">
        <f t="shared" ca="1" si="10"/>
        <v/>
      </c>
      <c r="S47" s="154" t="str">
        <f t="shared" ca="1" si="11"/>
        <v/>
      </c>
      <c r="T47" s="152" t="str">
        <f>IF($B47="","",COUNTA('UX Weekly'!$H47:$CT47))</f>
        <v/>
      </c>
      <c r="U47" s="152" t="str">
        <f>IF($B47="","",IFERROR(MATCH($D47,Control!$E$4:$E$30,0)+3,0))</f>
        <v/>
      </c>
      <c r="V47" s="152" t="str">
        <f>IF($B47="","",IF(AND(OR('Roadmap (Auto)'!$A$3="",'Roadmap (Auto)'!$A$3="(All)",ISNUMBER(SEARCH('Roadmap (Auto)'!$A$3,$C47&amp;""))),OR('Roadmap (Auto)'!$B$3="",'Roadmap (Auto)'!$B$3="(All)",$D47='Roadmap (Auto)'!$B$3,$X47='Roadmap (Auto)'!$B$3),OR('Roadmap (Auto)'!$C$3="",'Roadmap (Auto)'!$C$3="(All)",$F47='Roadmap (Auto)'!$C$3)),1,0))</f>
        <v/>
      </c>
      <c r="W47" s="152" t="str">
        <f t="shared" si="12"/>
        <v/>
      </c>
      <c r="X47" s="152" t="str">
        <f>IF($B47="","",IF(TRIM('UX Weekly'!D47)="","",TRIM('UX Weekly'!D47)))</f>
        <v/>
      </c>
      <c r="Y47" s="152" t="str">
        <f t="shared" si="13"/>
        <v/>
      </c>
      <c r="AA47">
        <f>IF($B47="",0,COUNTIFS('UX Weekly'!$H$1:$CT$1,"&gt;="&amp;AA$1,'UX Weekly'!$H$1:$CT$1,"&lt;="&amp;EOMONTH(AA$1,0),'UX Weekly'!$H47:$CT47,"&lt;&gt;"))</f>
        <v>0</v>
      </c>
      <c r="AB47">
        <f>IF($B47="",0,COUNTIFS('UX Weekly'!$H$1:$CT$1,"&gt;="&amp;AB$1,'UX Weekly'!$H$1:$CT$1,"&lt;="&amp;EOMONTH(AB$1,0),'UX Weekly'!$H47:$CT47,"&lt;&gt;"))</f>
        <v>0</v>
      </c>
      <c r="AC47">
        <f>IF($B47="",0,COUNTIFS('UX Weekly'!$H$1:$CT$1,"&gt;="&amp;AC$1,'UX Weekly'!$H$1:$CT$1,"&lt;="&amp;EOMONTH(AC$1,0),'UX Weekly'!$H47:$CT47,"&lt;&gt;"))</f>
        <v>0</v>
      </c>
      <c r="AD47">
        <f>IF($B47="",0,COUNTIFS('UX Weekly'!$H$1:$CT$1,"&gt;="&amp;AD$1,'UX Weekly'!$H$1:$CT$1,"&lt;="&amp;EOMONTH(AD$1,0),'UX Weekly'!$H47:$CT47,"&lt;&gt;"))</f>
        <v>0</v>
      </c>
      <c r="AE47">
        <f>IF($B47="",0,COUNTIFS('UX Weekly'!$H$1:$CT$1,"&gt;="&amp;AE$1,'UX Weekly'!$H$1:$CT$1,"&lt;="&amp;EOMONTH(AE$1,0),'UX Weekly'!$H47:$CT47,"&lt;&gt;"))</f>
        <v>0</v>
      </c>
      <c r="AF47">
        <f>IF($B47="",0,COUNTIFS('UX Weekly'!$H$1:$CT$1,"&gt;="&amp;AF$1,'UX Weekly'!$H$1:$CT$1,"&lt;="&amp;EOMONTH(AF$1,0),'UX Weekly'!$H47:$CT47,"&lt;&gt;"))</f>
        <v>0</v>
      </c>
      <c r="AG47">
        <f>IF($B47="",0,COUNTIFS('UX Weekly'!$H$1:$CT$1,"&gt;="&amp;AG$1,'UX Weekly'!$H$1:$CT$1,"&lt;="&amp;EOMONTH(AG$1,0),'UX Weekly'!$H47:$CT47,"&lt;&gt;"))</f>
        <v>0</v>
      </c>
      <c r="AH47">
        <f>IF($B47="",0,COUNTIFS('UX Weekly'!$H$1:$CT$1,"&gt;="&amp;AH$1,'UX Weekly'!$H$1:$CT$1,"&lt;="&amp;EOMONTH(AH$1,0),'UX Weekly'!$H47:$CT47,"&lt;&gt;"))</f>
        <v>0</v>
      </c>
      <c r="AI47">
        <f>IF($B47="",0,COUNTIFS('UX Weekly'!$H$1:$CT$1,"&gt;="&amp;AI$1,'UX Weekly'!$H$1:$CT$1,"&lt;="&amp;EOMONTH(AI$1,0),'UX Weekly'!$H47:$CT47,"&lt;&gt;"))</f>
        <v>0</v>
      </c>
      <c r="AJ47">
        <f>IF($B47="",0,COUNTIFS('UX Weekly'!$H$1:$CT$1,"&gt;="&amp;AJ$1,'UX Weekly'!$H$1:$CT$1,"&lt;="&amp;EOMONTH(AJ$1,0),'UX Weekly'!$H47:$CT47,"&lt;&gt;"))</f>
        <v>0</v>
      </c>
      <c r="AK47">
        <f>IF($B47="",0,COUNTIFS('UX Weekly'!$H$1:$CT$1,"&gt;="&amp;AK$1,'UX Weekly'!$H$1:$CT$1,"&lt;="&amp;EOMONTH(AK$1,0),'UX Weekly'!$H47:$CT47,"&lt;&gt;"))</f>
        <v>0</v>
      </c>
      <c r="AL47">
        <f>IF($B47="",0,COUNTIFS('UX Weekly'!$H$1:$CT$1,"&gt;="&amp;AL$1,'UX Weekly'!$H$1:$CT$1,"&lt;="&amp;EOMONTH(AL$1,0),'UX Weekly'!$H47:$CT47,"&lt;&gt;"))</f>
        <v>0</v>
      </c>
      <c r="AM47">
        <f>IF($B47="",0,COUNTIFS('UX Weekly'!$H$1:$CT$1,"&gt;="&amp;AM$1,'UX Weekly'!$H$1:$CT$1,"&lt;="&amp;EOMONTH(AM$1,0),'UX Weekly'!$H47:$CT47,"&lt;&gt;"))</f>
        <v>0</v>
      </c>
      <c r="AN47">
        <f>IF($B47="",0,COUNTIFS('UX Weekly'!$H$1:$CT$1,"&gt;="&amp;AN$1,'UX Weekly'!$H$1:$CT$1,"&lt;="&amp;EOMONTH(AN$1,0),'UX Weekly'!$H47:$CT47,"&lt;&gt;"))</f>
        <v>0</v>
      </c>
      <c r="AO47">
        <f>IF($B47="",0,COUNTIFS('UX Weekly'!$H$1:$CT$1,"&gt;="&amp;AO$1,'UX Weekly'!$H$1:$CT$1,"&lt;="&amp;EOMONTH(AO$1,0),'UX Weekly'!$H47:$CT47,"&lt;&gt;"))</f>
        <v>0</v>
      </c>
      <c r="AP47">
        <f>IF($B47="",0,COUNTIFS('UX Weekly'!$H$1:$CT$1,"&gt;="&amp;AP$1,'UX Weekly'!$H$1:$CT$1,"&lt;="&amp;EOMONTH(AP$1,0),'UX Weekly'!$H47:$CT47,"&lt;&gt;"))</f>
        <v>0</v>
      </c>
      <c r="AQ47">
        <f>IF($B47="",0,COUNTIFS('UX Weekly'!$H$1:$CT$1,"&gt;="&amp;AQ$1,'UX Weekly'!$H$1:$CT$1,"&lt;="&amp;EOMONTH(AQ$1,0),'UX Weekly'!$H47:$CT47,"&lt;&gt;"))</f>
        <v>0</v>
      </c>
      <c r="AR47">
        <f>IF($B47="",0,COUNTIFS('UX Weekly'!$H$1:$CT$1,"&gt;="&amp;AR$1,'UX Weekly'!$H$1:$CT$1,"&lt;="&amp;EOMONTH(AR$1,0),'UX Weekly'!$H47:$CT47,"&lt;&gt;"))</f>
        <v>0</v>
      </c>
      <c r="AS47">
        <f>IF($B47="",0,COUNTIFS('UX Weekly'!$H$1:$CT$1,"&gt;="&amp;AS$1,'UX Weekly'!$H$1:$CT$1,"&lt;="&amp;EOMONTH(AS$1,0),'UX Weekly'!$H47:$CT47,"&lt;&gt;"))</f>
        <v>0</v>
      </c>
      <c r="AT47">
        <f>IF($B47="",0,COUNTIFS('UX Weekly'!$H$1:$CT$1,"&gt;="&amp;AT$1,'UX Weekly'!$H$1:$CT$1,"&lt;="&amp;EOMONTH(AT$1,0),'UX Weekly'!$H47:$CT47,"&lt;&gt;"))</f>
        <v>0</v>
      </c>
      <c r="AU47">
        <f>IF($B47="",0,COUNTIFS('UX Weekly'!$H$1:$CT$1,"&gt;="&amp;AU$1,'UX Weekly'!$H$1:$CT$1,"&lt;="&amp;EOMONTH(AU$1,0),'UX Weekly'!$H47:$CT47,"&lt;&gt;"))</f>
        <v>0</v>
      </c>
      <c r="AV47">
        <f>IF($B47="",0,COUNTIFS('UX Weekly'!$H$1:$CT$1,"&gt;="&amp;AV$1,'UX Weekly'!$H$1:$CT$1,"&lt;="&amp;EOMONTH(AV$1,0),'UX Weekly'!$H47:$CT47,"&lt;&gt;"))</f>
        <v>0</v>
      </c>
      <c r="AW47">
        <f>IF($B47="",0,COUNTIFS('UX Weekly'!$H$1:$CT$1,"&gt;="&amp;AW$1,'UX Weekly'!$H$1:$CT$1,"&lt;="&amp;EOMONTH(AW$1,0),'UX Weekly'!$H47:$CT47,"&lt;&gt;"))</f>
        <v>0</v>
      </c>
      <c r="AX47">
        <f>IF($B47="",0,COUNTIFS('UX Weekly'!$H$1:$CT$1,"&gt;="&amp;AX$1,'UX Weekly'!$H$1:$CT$1,"&lt;="&amp;EOMONTH(AX$1,0),'UX Weekly'!$H47:$CT47,"&lt;&gt;"))</f>
        <v>0</v>
      </c>
    </row>
    <row r="48" spans="1:50" x14ac:dyDescent="0.2">
      <c r="A48" s="152">
        <v>48</v>
      </c>
      <c r="B48" s="152" t="str">
        <f>IF(TRIM('UX Weekly'!E48)="","",TRIM('UX Weekly'!E48))</f>
        <v/>
      </c>
      <c r="C48" s="152" t="str">
        <f>IF($B48="","",'UX Weekly'!B48)</f>
        <v/>
      </c>
      <c r="D48" s="152" t="str">
        <f>IF($B48="","",IF(TRIM('UX Weekly'!C48)="","(No theme assigned)",TRIM('UX Weekly'!C48)))</f>
        <v/>
      </c>
      <c r="E48" s="152" t="str">
        <f>IF($B48="","",TRIM('UX Weekly'!F48))</f>
        <v/>
      </c>
      <c r="F48" s="152" t="str">
        <f>IF($B48="","",'UX Weekly'!G48)</f>
        <v/>
      </c>
      <c r="G48" s="153" t="str">
        <f t="array" ref="G48">IF($B48="","",IF($T48=0,"",IFERROR(MIN(IF('UX Weekly'!$H48:$CT48&lt;&gt;"",'UX Weekly'!$H$1:$CT$1)),"")))</f>
        <v/>
      </c>
      <c r="H48" s="153" t="str">
        <f t="array" ref="H48">IF($B48="","",IF($T48=0,"",IFERROR(MAX(IF('UX Weekly'!$H48:$CT48&lt;&gt;"",'UX Weekly'!$H$1:$CT$1)),"")))</f>
        <v/>
      </c>
      <c r="I48" s="154" t="str">
        <f t="shared" ca="1" si="7"/>
        <v/>
      </c>
      <c r="J48" s="154" t="str">
        <f t="shared" ca="1" si="8"/>
        <v/>
      </c>
      <c r="K48" s="152" t="str">
        <f>IF($B48="","",IF(COUNTA('Dev Tracker'!L48)=0,"",TRIM('Dev Tracker'!L48)))</f>
        <v/>
      </c>
      <c r="L48" s="152" t="str">
        <f>IF($B48="","",IFERROR(MATCH($D48,Control!$E$4:$E$30,0),99))</f>
        <v/>
      </c>
      <c r="M48" s="152" t="str">
        <f>IF($B48="","",IFERROR(MATCH($F48,Control!$B$4:$B$30,0),99))</f>
        <v/>
      </c>
      <c r="N48" s="152" t="str">
        <f>IF($V48&lt;&gt;1,"",IF('Roadmap (Auto)'!$D$3="Status, then Theme",$M48*1000000+$L48*10000+ROW(),IF('Roadmap (Auto)'!$D$3="Dev start (earliest)",IF($I48="",99999999,$I48)*10000+ROW(),IF('Roadmap (Auto)'!$D$3="UX start (earliest)",IF($G48="",99999999,$G48)*10000+ROW(),IF('Roadmap (Auto)'!$D$3="Deliverable A-Z",$W48*10000+ROW(),$L48*1000000+$M48*10000+ROW())))))</f>
        <v/>
      </c>
      <c r="O48" s="152" t="str">
        <f t="shared" si="9"/>
        <v/>
      </c>
      <c r="P48" s="152" t="str">
        <f>IF($B48="","",IF(COUNTA('Dev Tracker'!I48)=0,"",'Dev Tracker'!I48))</f>
        <v/>
      </c>
      <c r="Q48" s="152" t="str">
        <f>IF($B48="","",IF(COUNTA('Dev Tracker'!J48)=0,"",'Dev Tracker'!J48))</f>
        <v/>
      </c>
      <c r="R48" s="154" t="str">
        <f t="shared" ca="1" si="10"/>
        <v/>
      </c>
      <c r="S48" s="154" t="str">
        <f t="shared" ca="1" si="11"/>
        <v/>
      </c>
      <c r="T48" s="152" t="str">
        <f>IF($B48="","",COUNTA('UX Weekly'!$H48:$CT48))</f>
        <v/>
      </c>
      <c r="U48" s="152" t="str">
        <f>IF($B48="","",IFERROR(MATCH($D48,Control!$E$4:$E$30,0)+3,0))</f>
        <v/>
      </c>
      <c r="V48" s="152" t="str">
        <f>IF($B48="","",IF(AND(OR('Roadmap (Auto)'!$A$3="",'Roadmap (Auto)'!$A$3="(All)",ISNUMBER(SEARCH('Roadmap (Auto)'!$A$3,$C48&amp;""))),OR('Roadmap (Auto)'!$B$3="",'Roadmap (Auto)'!$B$3="(All)",$D48='Roadmap (Auto)'!$B$3,$X48='Roadmap (Auto)'!$B$3),OR('Roadmap (Auto)'!$C$3="",'Roadmap (Auto)'!$C$3="(All)",$F48='Roadmap (Auto)'!$C$3)),1,0))</f>
        <v/>
      </c>
      <c r="W48" s="152" t="str">
        <f t="shared" si="12"/>
        <v/>
      </c>
      <c r="X48" s="152" t="str">
        <f>IF($B48="","",IF(TRIM('UX Weekly'!D48)="","",TRIM('UX Weekly'!D48)))</f>
        <v/>
      </c>
      <c r="Y48" s="152" t="str">
        <f t="shared" si="13"/>
        <v/>
      </c>
      <c r="AA48">
        <f>IF($B48="",0,COUNTIFS('UX Weekly'!$H$1:$CT$1,"&gt;="&amp;AA$1,'UX Weekly'!$H$1:$CT$1,"&lt;="&amp;EOMONTH(AA$1,0),'UX Weekly'!$H48:$CT48,"&lt;&gt;"))</f>
        <v>0</v>
      </c>
      <c r="AB48">
        <f>IF($B48="",0,COUNTIFS('UX Weekly'!$H$1:$CT$1,"&gt;="&amp;AB$1,'UX Weekly'!$H$1:$CT$1,"&lt;="&amp;EOMONTH(AB$1,0),'UX Weekly'!$H48:$CT48,"&lt;&gt;"))</f>
        <v>0</v>
      </c>
      <c r="AC48">
        <f>IF($B48="",0,COUNTIFS('UX Weekly'!$H$1:$CT$1,"&gt;="&amp;AC$1,'UX Weekly'!$H$1:$CT$1,"&lt;="&amp;EOMONTH(AC$1,0),'UX Weekly'!$H48:$CT48,"&lt;&gt;"))</f>
        <v>0</v>
      </c>
      <c r="AD48">
        <f>IF($B48="",0,COUNTIFS('UX Weekly'!$H$1:$CT$1,"&gt;="&amp;AD$1,'UX Weekly'!$H$1:$CT$1,"&lt;="&amp;EOMONTH(AD$1,0),'UX Weekly'!$H48:$CT48,"&lt;&gt;"))</f>
        <v>0</v>
      </c>
      <c r="AE48">
        <f>IF($B48="",0,COUNTIFS('UX Weekly'!$H$1:$CT$1,"&gt;="&amp;AE$1,'UX Weekly'!$H$1:$CT$1,"&lt;="&amp;EOMONTH(AE$1,0),'UX Weekly'!$H48:$CT48,"&lt;&gt;"))</f>
        <v>0</v>
      </c>
      <c r="AF48">
        <f>IF($B48="",0,COUNTIFS('UX Weekly'!$H$1:$CT$1,"&gt;="&amp;AF$1,'UX Weekly'!$H$1:$CT$1,"&lt;="&amp;EOMONTH(AF$1,0),'UX Weekly'!$H48:$CT48,"&lt;&gt;"))</f>
        <v>0</v>
      </c>
      <c r="AG48">
        <f>IF($B48="",0,COUNTIFS('UX Weekly'!$H$1:$CT$1,"&gt;="&amp;AG$1,'UX Weekly'!$H$1:$CT$1,"&lt;="&amp;EOMONTH(AG$1,0),'UX Weekly'!$H48:$CT48,"&lt;&gt;"))</f>
        <v>0</v>
      </c>
      <c r="AH48">
        <f>IF($B48="",0,COUNTIFS('UX Weekly'!$H$1:$CT$1,"&gt;="&amp;AH$1,'UX Weekly'!$H$1:$CT$1,"&lt;="&amp;EOMONTH(AH$1,0),'UX Weekly'!$H48:$CT48,"&lt;&gt;"))</f>
        <v>0</v>
      </c>
      <c r="AI48">
        <f>IF($B48="",0,COUNTIFS('UX Weekly'!$H$1:$CT$1,"&gt;="&amp;AI$1,'UX Weekly'!$H$1:$CT$1,"&lt;="&amp;EOMONTH(AI$1,0),'UX Weekly'!$H48:$CT48,"&lt;&gt;"))</f>
        <v>0</v>
      </c>
      <c r="AJ48">
        <f>IF($B48="",0,COUNTIFS('UX Weekly'!$H$1:$CT$1,"&gt;="&amp;AJ$1,'UX Weekly'!$H$1:$CT$1,"&lt;="&amp;EOMONTH(AJ$1,0),'UX Weekly'!$H48:$CT48,"&lt;&gt;"))</f>
        <v>0</v>
      </c>
      <c r="AK48">
        <f>IF($B48="",0,COUNTIFS('UX Weekly'!$H$1:$CT$1,"&gt;="&amp;AK$1,'UX Weekly'!$H$1:$CT$1,"&lt;="&amp;EOMONTH(AK$1,0),'UX Weekly'!$H48:$CT48,"&lt;&gt;"))</f>
        <v>0</v>
      </c>
      <c r="AL48">
        <f>IF($B48="",0,COUNTIFS('UX Weekly'!$H$1:$CT$1,"&gt;="&amp;AL$1,'UX Weekly'!$H$1:$CT$1,"&lt;="&amp;EOMONTH(AL$1,0),'UX Weekly'!$H48:$CT48,"&lt;&gt;"))</f>
        <v>0</v>
      </c>
      <c r="AM48">
        <f>IF($B48="",0,COUNTIFS('UX Weekly'!$H$1:$CT$1,"&gt;="&amp;AM$1,'UX Weekly'!$H$1:$CT$1,"&lt;="&amp;EOMONTH(AM$1,0),'UX Weekly'!$H48:$CT48,"&lt;&gt;"))</f>
        <v>0</v>
      </c>
      <c r="AN48">
        <f>IF($B48="",0,COUNTIFS('UX Weekly'!$H$1:$CT$1,"&gt;="&amp;AN$1,'UX Weekly'!$H$1:$CT$1,"&lt;="&amp;EOMONTH(AN$1,0),'UX Weekly'!$H48:$CT48,"&lt;&gt;"))</f>
        <v>0</v>
      </c>
      <c r="AO48">
        <f>IF($B48="",0,COUNTIFS('UX Weekly'!$H$1:$CT$1,"&gt;="&amp;AO$1,'UX Weekly'!$H$1:$CT$1,"&lt;="&amp;EOMONTH(AO$1,0),'UX Weekly'!$H48:$CT48,"&lt;&gt;"))</f>
        <v>0</v>
      </c>
      <c r="AP48">
        <f>IF($B48="",0,COUNTIFS('UX Weekly'!$H$1:$CT$1,"&gt;="&amp;AP$1,'UX Weekly'!$H$1:$CT$1,"&lt;="&amp;EOMONTH(AP$1,0),'UX Weekly'!$H48:$CT48,"&lt;&gt;"))</f>
        <v>0</v>
      </c>
      <c r="AQ48">
        <f>IF($B48="",0,COUNTIFS('UX Weekly'!$H$1:$CT$1,"&gt;="&amp;AQ$1,'UX Weekly'!$H$1:$CT$1,"&lt;="&amp;EOMONTH(AQ$1,0),'UX Weekly'!$H48:$CT48,"&lt;&gt;"))</f>
        <v>0</v>
      </c>
      <c r="AR48">
        <f>IF($B48="",0,COUNTIFS('UX Weekly'!$H$1:$CT$1,"&gt;="&amp;AR$1,'UX Weekly'!$H$1:$CT$1,"&lt;="&amp;EOMONTH(AR$1,0),'UX Weekly'!$H48:$CT48,"&lt;&gt;"))</f>
        <v>0</v>
      </c>
      <c r="AS48">
        <f>IF($B48="",0,COUNTIFS('UX Weekly'!$H$1:$CT$1,"&gt;="&amp;AS$1,'UX Weekly'!$H$1:$CT$1,"&lt;="&amp;EOMONTH(AS$1,0),'UX Weekly'!$H48:$CT48,"&lt;&gt;"))</f>
        <v>0</v>
      </c>
      <c r="AT48">
        <f>IF($B48="",0,COUNTIFS('UX Weekly'!$H$1:$CT$1,"&gt;="&amp;AT$1,'UX Weekly'!$H$1:$CT$1,"&lt;="&amp;EOMONTH(AT$1,0),'UX Weekly'!$H48:$CT48,"&lt;&gt;"))</f>
        <v>0</v>
      </c>
      <c r="AU48">
        <f>IF($B48="",0,COUNTIFS('UX Weekly'!$H$1:$CT$1,"&gt;="&amp;AU$1,'UX Weekly'!$H$1:$CT$1,"&lt;="&amp;EOMONTH(AU$1,0),'UX Weekly'!$H48:$CT48,"&lt;&gt;"))</f>
        <v>0</v>
      </c>
      <c r="AV48">
        <f>IF($B48="",0,COUNTIFS('UX Weekly'!$H$1:$CT$1,"&gt;="&amp;AV$1,'UX Weekly'!$H$1:$CT$1,"&lt;="&amp;EOMONTH(AV$1,0),'UX Weekly'!$H48:$CT48,"&lt;&gt;"))</f>
        <v>0</v>
      </c>
      <c r="AW48">
        <f>IF($B48="",0,COUNTIFS('UX Weekly'!$H$1:$CT$1,"&gt;="&amp;AW$1,'UX Weekly'!$H$1:$CT$1,"&lt;="&amp;EOMONTH(AW$1,0),'UX Weekly'!$H48:$CT48,"&lt;&gt;"))</f>
        <v>0</v>
      </c>
      <c r="AX48">
        <f>IF($B48="",0,COUNTIFS('UX Weekly'!$H$1:$CT$1,"&gt;="&amp;AX$1,'UX Weekly'!$H$1:$CT$1,"&lt;="&amp;EOMONTH(AX$1,0),'UX Weekly'!$H48:$CT48,"&lt;&gt;"))</f>
        <v>0</v>
      </c>
    </row>
    <row r="49" spans="1:50" x14ac:dyDescent="0.2">
      <c r="A49" s="152">
        <v>49</v>
      </c>
      <c r="B49" s="152" t="str">
        <f>IF(TRIM('UX Weekly'!E49)="","",TRIM('UX Weekly'!E49))</f>
        <v/>
      </c>
      <c r="C49" s="152" t="str">
        <f>IF($B49="","",'UX Weekly'!B49)</f>
        <v/>
      </c>
      <c r="D49" s="152" t="str">
        <f>IF($B49="","",IF(TRIM('UX Weekly'!C49)="","(No theme assigned)",TRIM('UX Weekly'!C49)))</f>
        <v/>
      </c>
      <c r="E49" s="152" t="str">
        <f>IF($B49="","",TRIM('UX Weekly'!F49))</f>
        <v/>
      </c>
      <c r="F49" s="152" t="str">
        <f>IF($B49="","",'UX Weekly'!G49)</f>
        <v/>
      </c>
      <c r="G49" s="153" t="str">
        <f t="array" ref="G49">IF($B49="","",IF($T49=0,"",IFERROR(MIN(IF('UX Weekly'!$H49:$CT49&lt;&gt;"",'UX Weekly'!$H$1:$CT$1)),"")))</f>
        <v/>
      </c>
      <c r="H49" s="153" t="str">
        <f t="array" ref="H49">IF($B49="","",IF($T49=0,"",IFERROR(MAX(IF('UX Weekly'!$H49:$CT49&lt;&gt;"",'UX Weekly'!$H$1:$CT$1)),"")))</f>
        <v/>
      </c>
      <c r="I49" s="154" t="str">
        <f t="shared" ca="1" si="7"/>
        <v/>
      </c>
      <c r="J49" s="154" t="str">
        <f t="shared" ca="1" si="8"/>
        <v/>
      </c>
      <c r="K49" s="152" t="str">
        <f>IF($B49="","",IF(COUNTA('Dev Tracker'!L49)=0,"",TRIM('Dev Tracker'!L49)))</f>
        <v/>
      </c>
      <c r="L49" s="152" t="str">
        <f>IF($B49="","",IFERROR(MATCH($D49,Control!$E$4:$E$30,0),99))</f>
        <v/>
      </c>
      <c r="M49" s="152" t="str">
        <f>IF($B49="","",IFERROR(MATCH($F49,Control!$B$4:$B$30,0),99))</f>
        <v/>
      </c>
      <c r="N49" s="152" t="str">
        <f>IF($V49&lt;&gt;1,"",IF('Roadmap (Auto)'!$D$3="Status, then Theme",$M49*1000000+$L49*10000+ROW(),IF('Roadmap (Auto)'!$D$3="Dev start (earliest)",IF($I49="",99999999,$I49)*10000+ROW(),IF('Roadmap (Auto)'!$D$3="UX start (earliest)",IF($G49="",99999999,$G49)*10000+ROW(),IF('Roadmap (Auto)'!$D$3="Deliverable A-Z",$W49*10000+ROW(),$L49*1000000+$M49*10000+ROW())))))</f>
        <v/>
      </c>
      <c r="O49" s="152" t="str">
        <f t="shared" si="9"/>
        <v/>
      </c>
      <c r="P49" s="152" t="str">
        <f>IF($B49="","",IF(COUNTA('Dev Tracker'!I49)=0,"",'Dev Tracker'!I49))</f>
        <v/>
      </c>
      <c r="Q49" s="152" t="str">
        <f>IF($B49="","",IF(COUNTA('Dev Tracker'!J49)=0,"",'Dev Tracker'!J49))</f>
        <v/>
      </c>
      <c r="R49" s="154" t="str">
        <f t="shared" ca="1" si="10"/>
        <v/>
      </c>
      <c r="S49" s="154" t="str">
        <f t="shared" ca="1" si="11"/>
        <v/>
      </c>
      <c r="T49" s="152" t="str">
        <f>IF($B49="","",COUNTA('UX Weekly'!$H49:$CT49))</f>
        <v/>
      </c>
      <c r="U49" s="152" t="str">
        <f>IF($B49="","",IFERROR(MATCH($D49,Control!$E$4:$E$30,0)+3,0))</f>
        <v/>
      </c>
      <c r="V49" s="152" t="str">
        <f>IF($B49="","",IF(AND(OR('Roadmap (Auto)'!$A$3="",'Roadmap (Auto)'!$A$3="(All)",ISNUMBER(SEARCH('Roadmap (Auto)'!$A$3,$C49&amp;""))),OR('Roadmap (Auto)'!$B$3="",'Roadmap (Auto)'!$B$3="(All)",$D49='Roadmap (Auto)'!$B$3,$X49='Roadmap (Auto)'!$B$3),OR('Roadmap (Auto)'!$C$3="",'Roadmap (Auto)'!$C$3="(All)",$F49='Roadmap (Auto)'!$C$3)),1,0))</f>
        <v/>
      </c>
      <c r="W49" s="152" t="str">
        <f t="shared" si="12"/>
        <v/>
      </c>
      <c r="X49" s="152" t="str">
        <f>IF($B49="","",IF(TRIM('UX Weekly'!D49)="","",TRIM('UX Weekly'!D49)))</f>
        <v/>
      </c>
      <c r="Y49" s="152" t="str">
        <f t="shared" si="13"/>
        <v/>
      </c>
      <c r="AA49">
        <f>IF($B49="",0,COUNTIFS('UX Weekly'!$H$1:$CT$1,"&gt;="&amp;AA$1,'UX Weekly'!$H$1:$CT$1,"&lt;="&amp;EOMONTH(AA$1,0),'UX Weekly'!$H49:$CT49,"&lt;&gt;"))</f>
        <v>0</v>
      </c>
      <c r="AB49">
        <f>IF($B49="",0,COUNTIFS('UX Weekly'!$H$1:$CT$1,"&gt;="&amp;AB$1,'UX Weekly'!$H$1:$CT$1,"&lt;="&amp;EOMONTH(AB$1,0),'UX Weekly'!$H49:$CT49,"&lt;&gt;"))</f>
        <v>0</v>
      </c>
      <c r="AC49">
        <f>IF($B49="",0,COUNTIFS('UX Weekly'!$H$1:$CT$1,"&gt;="&amp;AC$1,'UX Weekly'!$H$1:$CT$1,"&lt;="&amp;EOMONTH(AC$1,0),'UX Weekly'!$H49:$CT49,"&lt;&gt;"))</f>
        <v>0</v>
      </c>
      <c r="AD49">
        <f>IF($B49="",0,COUNTIFS('UX Weekly'!$H$1:$CT$1,"&gt;="&amp;AD$1,'UX Weekly'!$H$1:$CT$1,"&lt;="&amp;EOMONTH(AD$1,0),'UX Weekly'!$H49:$CT49,"&lt;&gt;"))</f>
        <v>0</v>
      </c>
      <c r="AE49">
        <f>IF($B49="",0,COUNTIFS('UX Weekly'!$H$1:$CT$1,"&gt;="&amp;AE$1,'UX Weekly'!$H$1:$CT$1,"&lt;="&amp;EOMONTH(AE$1,0),'UX Weekly'!$H49:$CT49,"&lt;&gt;"))</f>
        <v>0</v>
      </c>
      <c r="AF49">
        <f>IF($B49="",0,COUNTIFS('UX Weekly'!$H$1:$CT$1,"&gt;="&amp;AF$1,'UX Weekly'!$H$1:$CT$1,"&lt;="&amp;EOMONTH(AF$1,0),'UX Weekly'!$H49:$CT49,"&lt;&gt;"))</f>
        <v>0</v>
      </c>
      <c r="AG49">
        <f>IF($B49="",0,COUNTIFS('UX Weekly'!$H$1:$CT$1,"&gt;="&amp;AG$1,'UX Weekly'!$H$1:$CT$1,"&lt;="&amp;EOMONTH(AG$1,0),'UX Weekly'!$H49:$CT49,"&lt;&gt;"))</f>
        <v>0</v>
      </c>
      <c r="AH49">
        <f>IF($B49="",0,COUNTIFS('UX Weekly'!$H$1:$CT$1,"&gt;="&amp;AH$1,'UX Weekly'!$H$1:$CT$1,"&lt;="&amp;EOMONTH(AH$1,0),'UX Weekly'!$H49:$CT49,"&lt;&gt;"))</f>
        <v>0</v>
      </c>
      <c r="AI49">
        <f>IF($B49="",0,COUNTIFS('UX Weekly'!$H$1:$CT$1,"&gt;="&amp;AI$1,'UX Weekly'!$H$1:$CT$1,"&lt;="&amp;EOMONTH(AI$1,0),'UX Weekly'!$H49:$CT49,"&lt;&gt;"))</f>
        <v>0</v>
      </c>
      <c r="AJ49">
        <f>IF($B49="",0,COUNTIFS('UX Weekly'!$H$1:$CT$1,"&gt;="&amp;AJ$1,'UX Weekly'!$H$1:$CT$1,"&lt;="&amp;EOMONTH(AJ$1,0),'UX Weekly'!$H49:$CT49,"&lt;&gt;"))</f>
        <v>0</v>
      </c>
      <c r="AK49">
        <f>IF($B49="",0,COUNTIFS('UX Weekly'!$H$1:$CT$1,"&gt;="&amp;AK$1,'UX Weekly'!$H$1:$CT$1,"&lt;="&amp;EOMONTH(AK$1,0),'UX Weekly'!$H49:$CT49,"&lt;&gt;"))</f>
        <v>0</v>
      </c>
      <c r="AL49">
        <f>IF($B49="",0,COUNTIFS('UX Weekly'!$H$1:$CT$1,"&gt;="&amp;AL$1,'UX Weekly'!$H$1:$CT$1,"&lt;="&amp;EOMONTH(AL$1,0),'UX Weekly'!$H49:$CT49,"&lt;&gt;"))</f>
        <v>0</v>
      </c>
      <c r="AM49">
        <f>IF($B49="",0,COUNTIFS('UX Weekly'!$H$1:$CT$1,"&gt;="&amp;AM$1,'UX Weekly'!$H$1:$CT$1,"&lt;="&amp;EOMONTH(AM$1,0),'UX Weekly'!$H49:$CT49,"&lt;&gt;"))</f>
        <v>0</v>
      </c>
      <c r="AN49">
        <f>IF($B49="",0,COUNTIFS('UX Weekly'!$H$1:$CT$1,"&gt;="&amp;AN$1,'UX Weekly'!$H$1:$CT$1,"&lt;="&amp;EOMONTH(AN$1,0),'UX Weekly'!$H49:$CT49,"&lt;&gt;"))</f>
        <v>0</v>
      </c>
      <c r="AO49">
        <f>IF($B49="",0,COUNTIFS('UX Weekly'!$H$1:$CT$1,"&gt;="&amp;AO$1,'UX Weekly'!$H$1:$CT$1,"&lt;="&amp;EOMONTH(AO$1,0),'UX Weekly'!$H49:$CT49,"&lt;&gt;"))</f>
        <v>0</v>
      </c>
      <c r="AP49">
        <f>IF($B49="",0,COUNTIFS('UX Weekly'!$H$1:$CT$1,"&gt;="&amp;AP$1,'UX Weekly'!$H$1:$CT$1,"&lt;="&amp;EOMONTH(AP$1,0),'UX Weekly'!$H49:$CT49,"&lt;&gt;"))</f>
        <v>0</v>
      </c>
      <c r="AQ49">
        <f>IF($B49="",0,COUNTIFS('UX Weekly'!$H$1:$CT$1,"&gt;="&amp;AQ$1,'UX Weekly'!$H$1:$CT$1,"&lt;="&amp;EOMONTH(AQ$1,0),'UX Weekly'!$H49:$CT49,"&lt;&gt;"))</f>
        <v>0</v>
      </c>
      <c r="AR49">
        <f>IF($B49="",0,COUNTIFS('UX Weekly'!$H$1:$CT$1,"&gt;="&amp;AR$1,'UX Weekly'!$H$1:$CT$1,"&lt;="&amp;EOMONTH(AR$1,0),'UX Weekly'!$H49:$CT49,"&lt;&gt;"))</f>
        <v>0</v>
      </c>
      <c r="AS49">
        <f>IF($B49="",0,COUNTIFS('UX Weekly'!$H$1:$CT$1,"&gt;="&amp;AS$1,'UX Weekly'!$H$1:$CT$1,"&lt;="&amp;EOMONTH(AS$1,0),'UX Weekly'!$H49:$CT49,"&lt;&gt;"))</f>
        <v>0</v>
      </c>
      <c r="AT49">
        <f>IF($B49="",0,COUNTIFS('UX Weekly'!$H$1:$CT$1,"&gt;="&amp;AT$1,'UX Weekly'!$H$1:$CT$1,"&lt;="&amp;EOMONTH(AT$1,0),'UX Weekly'!$H49:$CT49,"&lt;&gt;"))</f>
        <v>0</v>
      </c>
      <c r="AU49">
        <f>IF($B49="",0,COUNTIFS('UX Weekly'!$H$1:$CT$1,"&gt;="&amp;AU$1,'UX Weekly'!$H$1:$CT$1,"&lt;="&amp;EOMONTH(AU$1,0),'UX Weekly'!$H49:$CT49,"&lt;&gt;"))</f>
        <v>0</v>
      </c>
      <c r="AV49">
        <f>IF($B49="",0,COUNTIFS('UX Weekly'!$H$1:$CT$1,"&gt;="&amp;AV$1,'UX Weekly'!$H$1:$CT$1,"&lt;="&amp;EOMONTH(AV$1,0),'UX Weekly'!$H49:$CT49,"&lt;&gt;"))</f>
        <v>0</v>
      </c>
      <c r="AW49">
        <f>IF($B49="",0,COUNTIFS('UX Weekly'!$H$1:$CT$1,"&gt;="&amp;AW$1,'UX Weekly'!$H$1:$CT$1,"&lt;="&amp;EOMONTH(AW$1,0),'UX Weekly'!$H49:$CT49,"&lt;&gt;"))</f>
        <v>0</v>
      </c>
      <c r="AX49">
        <f>IF($B49="",0,COUNTIFS('UX Weekly'!$H$1:$CT$1,"&gt;="&amp;AX$1,'UX Weekly'!$H$1:$CT$1,"&lt;="&amp;EOMONTH(AX$1,0),'UX Weekly'!$H49:$CT49,"&lt;&gt;"))</f>
        <v>0</v>
      </c>
    </row>
    <row r="50" spans="1:50" x14ac:dyDescent="0.2">
      <c r="A50" s="152">
        <v>50</v>
      </c>
      <c r="B50" s="152" t="str">
        <f>IF(TRIM('UX Weekly'!E50)="","",TRIM('UX Weekly'!E50))</f>
        <v/>
      </c>
      <c r="C50" s="152" t="str">
        <f>IF($B50="","",'UX Weekly'!B50)</f>
        <v/>
      </c>
      <c r="D50" s="152" t="str">
        <f>IF($B50="","",IF(TRIM('UX Weekly'!C50)="","(No theme assigned)",TRIM('UX Weekly'!C50)))</f>
        <v/>
      </c>
      <c r="E50" s="152" t="str">
        <f>IF($B50="","",TRIM('UX Weekly'!F50))</f>
        <v/>
      </c>
      <c r="F50" s="152" t="str">
        <f>IF($B50="","",'UX Weekly'!G50)</f>
        <v/>
      </c>
      <c r="G50" s="153" t="str">
        <f t="array" ref="G50">IF($B50="","",IF($T50=0,"",IFERROR(MIN(IF('UX Weekly'!$H50:$CT50&lt;&gt;"",'UX Weekly'!$H$1:$CT$1)),"")))</f>
        <v/>
      </c>
      <c r="H50" s="153" t="str">
        <f t="array" ref="H50">IF($B50="","",IF($T50=0,"",IFERROR(MAX(IF('UX Weekly'!$H50:$CT50&lt;&gt;"",'UX Weekly'!$H$1:$CT$1)),"")))</f>
        <v/>
      </c>
      <c r="I50" s="154" t="str">
        <f t="shared" ca="1" si="7"/>
        <v/>
      </c>
      <c r="J50" s="154" t="str">
        <f t="shared" ca="1" si="8"/>
        <v/>
      </c>
      <c r="K50" s="152" t="str">
        <f>IF($B50="","",IF(COUNTA('Dev Tracker'!L50)=0,"",TRIM('Dev Tracker'!L50)))</f>
        <v/>
      </c>
      <c r="L50" s="152" t="str">
        <f>IF($B50="","",IFERROR(MATCH($D50,Control!$E$4:$E$30,0),99))</f>
        <v/>
      </c>
      <c r="M50" s="152" t="str">
        <f>IF($B50="","",IFERROR(MATCH($F50,Control!$B$4:$B$30,0),99))</f>
        <v/>
      </c>
      <c r="N50" s="152" t="str">
        <f>IF($V50&lt;&gt;1,"",IF('Roadmap (Auto)'!$D$3="Status, then Theme",$M50*1000000+$L50*10000+ROW(),IF('Roadmap (Auto)'!$D$3="Dev start (earliest)",IF($I50="",99999999,$I50)*10000+ROW(),IF('Roadmap (Auto)'!$D$3="UX start (earliest)",IF($G50="",99999999,$G50)*10000+ROW(),IF('Roadmap (Auto)'!$D$3="Deliverable A-Z",$W50*10000+ROW(),$L50*1000000+$M50*10000+ROW())))))</f>
        <v/>
      </c>
      <c r="O50" s="152" t="str">
        <f t="shared" si="9"/>
        <v/>
      </c>
      <c r="P50" s="152" t="str">
        <f>IF($B50="","",IF(COUNTA('Dev Tracker'!I50)=0,"",'Dev Tracker'!I50))</f>
        <v/>
      </c>
      <c r="Q50" s="152" t="str">
        <f>IF($B50="","",IF(COUNTA('Dev Tracker'!J50)=0,"",'Dev Tracker'!J50))</f>
        <v/>
      </c>
      <c r="R50" s="154" t="str">
        <f t="shared" ca="1" si="10"/>
        <v/>
      </c>
      <c r="S50" s="154" t="str">
        <f t="shared" ca="1" si="11"/>
        <v/>
      </c>
      <c r="T50" s="152" t="str">
        <f>IF($B50="","",COUNTA('UX Weekly'!$H50:$CT50))</f>
        <v/>
      </c>
      <c r="U50" s="152" t="str">
        <f>IF($B50="","",IFERROR(MATCH($D50,Control!$E$4:$E$30,0)+3,0))</f>
        <v/>
      </c>
      <c r="V50" s="152" t="str">
        <f>IF($B50="","",IF(AND(OR('Roadmap (Auto)'!$A$3="",'Roadmap (Auto)'!$A$3="(All)",ISNUMBER(SEARCH('Roadmap (Auto)'!$A$3,$C50&amp;""))),OR('Roadmap (Auto)'!$B$3="",'Roadmap (Auto)'!$B$3="(All)",$D50='Roadmap (Auto)'!$B$3,$X50='Roadmap (Auto)'!$B$3),OR('Roadmap (Auto)'!$C$3="",'Roadmap (Auto)'!$C$3="(All)",$F50='Roadmap (Auto)'!$C$3)),1,0))</f>
        <v/>
      </c>
      <c r="W50" s="152" t="str">
        <f t="shared" si="12"/>
        <v/>
      </c>
      <c r="X50" s="152" t="str">
        <f>IF($B50="","",IF(TRIM('UX Weekly'!D50)="","",TRIM('UX Weekly'!D50)))</f>
        <v/>
      </c>
      <c r="Y50" s="152" t="str">
        <f t="shared" si="13"/>
        <v/>
      </c>
      <c r="AA50">
        <f>IF($B50="",0,COUNTIFS('UX Weekly'!$H$1:$CT$1,"&gt;="&amp;AA$1,'UX Weekly'!$H$1:$CT$1,"&lt;="&amp;EOMONTH(AA$1,0),'UX Weekly'!$H50:$CT50,"&lt;&gt;"))</f>
        <v>0</v>
      </c>
      <c r="AB50">
        <f>IF($B50="",0,COUNTIFS('UX Weekly'!$H$1:$CT$1,"&gt;="&amp;AB$1,'UX Weekly'!$H$1:$CT$1,"&lt;="&amp;EOMONTH(AB$1,0),'UX Weekly'!$H50:$CT50,"&lt;&gt;"))</f>
        <v>0</v>
      </c>
      <c r="AC50">
        <f>IF($B50="",0,COUNTIFS('UX Weekly'!$H$1:$CT$1,"&gt;="&amp;AC$1,'UX Weekly'!$H$1:$CT$1,"&lt;="&amp;EOMONTH(AC$1,0),'UX Weekly'!$H50:$CT50,"&lt;&gt;"))</f>
        <v>0</v>
      </c>
      <c r="AD50">
        <f>IF($B50="",0,COUNTIFS('UX Weekly'!$H$1:$CT$1,"&gt;="&amp;AD$1,'UX Weekly'!$H$1:$CT$1,"&lt;="&amp;EOMONTH(AD$1,0),'UX Weekly'!$H50:$CT50,"&lt;&gt;"))</f>
        <v>0</v>
      </c>
      <c r="AE50">
        <f>IF($B50="",0,COUNTIFS('UX Weekly'!$H$1:$CT$1,"&gt;="&amp;AE$1,'UX Weekly'!$H$1:$CT$1,"&lt;="&amp;EOMONTH(AE$1,0),'UX Weekly'!$H50:$CT50,"&lt;&gt;"))</f>
        <v>0</v>
      </c>
      <c r="AF50">
        <f>IF($B50="",0,COUNTIFS('UX Weekly'!$H$1:$CT$1,"&gt;="&amp;AF$1,'UX Weekly'!$H$1:$CT$1,"&lt;="&amp;EOMONTH(AF$1,0),'UX Weekly'!$H50:$CT50,"&lt;&gt;"))</f>
        <v>0</v>
      </c>
      <c r="AG50">
        <f>IF($B50="",0,COUNTIFS('UX Weekly'!$H$1:$CT$1,"&gt;="&amp;AG$1,'UX Weekly'!$H$1:$CT$1,"&lt;="&amp;EOMONTH(AG$1,0),'UX Weekly'!$H50:$CT50,"&lt;&gt;"))</f>
        <v>0</v>
      </c>
      <c r="AH50">
        <f>IF($B50="",0,COUNTIFS('UX Weekly'!$H$1:$CT$1,"&gt;="&amp;AH$1,'UX Weekly'!$H$1:$CT$1,"&lt;="&amp;EOMONTH(AH$1,0),'UX Weekly'!$H50:$CT50,"&lt;&gt;"))</f>
        <v>0</v>
      </c>
      <c r="AI50">
        <f>IF($B50="",0,COUNTIFS('UX Weekly'!$H$1:$CT$1,"&gt;="&amp;AI$1,'UX Weekly'!$H$1:$CT$1,"&lt;="&amp;EOMONTH(AI$1,0),'UX Weekly'!$H50:$CT50,"&lt;&gt;"))</f>
        <v>0</v>
      </c>
      <c r="AJ50">
        <f>IF($B50="",0,COUNTIFS('UX Weekly'!$H$1:$CT$1,"&gt;="&amp;AJ$1,'UX Weekly'!$H$1:$CT$1,"&lt;="&amp;EOMONTH(AJ$1,0),'UX Weekly'!$H50:$CT50,"&lt;&gt;"))</f>
        <v>0</v>
      </c>
      <c r="AK50">
        <f>IF($B50="",0,COUNTIFS('UX Weekly'!$H$1:$CT$1,"&gt;="&amp;AK$1,'UX Weekly'!$H$1:$CT$1,"&lt;="&amp;EOMONTH(AK$1,0),'UX Weekly'!$H50:$CT50,"&lt;&gt;"))</f>
        <v>0</v>
      </c>
      <c r="AL50">
        <f>IF($B50="",0,COUNTIFS('UX Weekly'!$H$1:$CT$1,"&gt;="&amp;AL$1,'UX Weekly'!$H$1:$CT$1,"&lt;="&amp;EOMONTH(AL$1,0),'UX Weekly'!$H50:$CT50,"&lt;&gt;"))</f>
        <v>0</v>
      </c>
      <c r="AM50">
        <f>IF($B50="",0,COUNTIFS('UX Weekly'!$H$1:$CT$1,"&gt;="&amp;AM$1,'UX Weekly'!$H$1:$CT$1,"&lt;="&amp;EOMONTH(AM$1,0),'UX Weekly'!$H50:$CT50,"&lt;&gt;"))</f>
        <v>0</v>
      </c>
      <c r="AN50">
        <f>IF($B50="",0,COUNTIFS('UX Weekly'!$H$1:$CT$1,"&gt;="&amp;AN$1,'UX Weekly'!$H$1:$CT$1,"&lt;="&amp;EOMONTH(AN$1,0),'UX Weekly'!$H50:$CT50,"&lt;&gt;"))</f>
        <v>0</v>
      </c>
      <c r="AO50">
        <f>IF($B50="",0,COUNTIFS('UX Weekly'!$H$1:$CT$1,"&gt;="&amp;AO$1,'UX Weekly'!$H$1:$CT$1,"&lt;="&amp;EOMONTH(AO$1,0),'UX Weekly'!$H50:$CT50,"&lt;&gt;"))</f>
        <v>0</v>
      </c>
      <c r="AP50">
        <f>IF($B50="",0,COUNTIFS('UX Weekly'!$H$1:$CT$1,"&gt;="&amp;AP$1,'UX Weekly'!$H$1:$CT$1,"&lt;="&amp;EOMONTH(AP$1,0),'UX Weekly'!$H50:$CT50,"&lt;&gt;"))</f>
        <v>0</v>
      </c>
      <c r="AQ50">
        <f>IF($B50="",0,COUNTIFS('UX Weekly'!$H$1:$CT$1,"&gt;="&amp;AQ$1,'UX Weekly'!$H$1:$CT$1,"&lt;="&amp;EOMONTH(AQ$1,0),'UX Weekly'!$H50:$CT50,"&lt;&gt;"))</f>
        <v>0</v>
      </c>
      <c r="AR50">
        <f>IF($B50="",0,COUNTIFS('UX Weekly'!$H$1:$CT$1,"&gt;="&amp;AR$1,'UX Weekly'!$H$1:$CT$1,"&lt;="&amp;EOMONTH(AR$1,0),'UX Weekly'!$H50:$CT50,"&lt;&gt;"))</f>
        <v>0</v>
      </c>
      <c r="AS50">
        <f>IF($B50="",0,COUNTIFS('UX Weekly'!$H$1:$CT$1,"&gt;="&amp;AS$1,'UX Weekly'!$H$1:$CT$1,"&lt;="&amp;EOMONTH(AS$1,0),'UX Weekly'!$H50:$CT50,"&lt;&gt;"))</f>
        <v>0</v>
      </c>
      <c r="AT50">
        <f>IF($B50="",0,COUNTIFS('UX Weekly'!$H$1:$CT$1,"&gt;="&amp;AT$1,'UX Weekly'!$H$1:$CT$1,"&lt;="&amp;EOMONTH(AT$1,0),'UX Weekly'!$H50:$CT50,"&lt;&gt;"))</f>
        <v>0</v>
      </c>
      <c r="AU50">
        <f>IF($B50="",0,COUNTIFS('UX Weekly'!$H$1:$CT$1,"&gt;="&amp;AU$1,'UX Weekly'!$H$1:$CT$1,"&lt;="&amp;EOMONTH(AU$1,0),'UX Weekly'!$H50:$CT50,"&lt;&gt;"))</f>
        <v>0</v>
      </c>
      <c r="AV50">
        <f>IF($B50="",0,COUNTIFS('UX Weekly'!$H$1:$CT$1,"&gt;="&amp;AV$1,'UX Weekly'!$H$1:$CT$1,"&lt;="&amp;EOMONTH(AV$1,0),'UX Weekly'!$H50:$CT50,"&lt;&gt;"))</f>
        <v>0</v>
      </c>
      <c r="AW50">
        <f>IF($B50="",0,COUNTIFS('UX Weekly'!$H$1:$CT$1,"&gt;="&amp;AW$1,'UX Weekly'!$H$1:$CT$1,"&lt;="&amp;EOMONTH(AW$1,0),'UX Weekly'!$H50:$CT50,"&lt;&gt;"))</f>
        <v>0</v>
      </c>
      <c r="AX50">
        <f>IF($B50="",0,COUNTIFS('UX Weekly'!$H$1:$CT$1,"&gt;="&amp;AX$1,'UX Weekly'!$H$1:$CT$1,"&lt;="&amp;EOMONTH(AX$1,0),'UX Weekly'!$H50:$CT50,"&lt;&gt;"))</f>
        <v>0</v>
      </c>
    </row>
    <row r="51" spans="1:50" x14ac:dyDescent="0.2">
      <c r="A51" s="152">
        <v>51</v>
      </c>
      <c r="B51" s="152" t="str">
        <f>IF(TRIM('UX Weekly'!E51)="","",TRIM('UX Weekly'!E51))</f>
        <v/>
      </c>
      <c r="C51" s="152" t="str">
        <f>IF($B51="","",'UX Weekly'!B51)</f>
        <v/>
      </c>
      <c r="D51" s="152" t="str">
        <f>IF($B51="","",IF(TRIM('UX Weekly'!C51)="","(No theme assigned)",TRIM('UX Weekly'!C51)))</f>
        <v/>
      </c>
      <c r="E51" s="152" t="str">
        <f>IF($B51="","",TRIM('UX Weekly'!F51))</f>
        <v/>
      </c>
      <c r="F51" s="152" t="str">
        <f>IF($B51="","",'UX Weekly'!G51)</f>
        <v/>
      </c>
      <c r="G51" s="153" t="str">
        <f t="array" ref="G51">IF($B51="","",IF($T51=0,"",IFERROR(MIN(IF('UX Weekly'!$H51:$CT51&lt;&gt;"",'UX Weekly'!$H$1:$CT$1)),"")))</f>
        <v/>
      </c>
      <c r="H51" s="153" t="str">
        <f t="array" ref="H51">IF($B51="","",IF($T51=0,"",IFERROR(MAX(IF('UX Weekly'!$H51:$CT51&lt;&gt;"",'UX Weekly'!$H$1:$CT$1)),"")))</f>
        <v/>
      </c>
      <c r="I51" s="154" t="str">
        <f t="shared" ca="1" si="7"/>
        <v/>
      </c>
      <c r="J51" s="154" t="str">
        <f t="shared" ca="1" si="8"/>
        <v/>
      </c>
      <c r="K51" s="152" t="str">
        <f>IF($B51="","",IF(COUNTA('Dev Tracker'!L51)=0,"",TRIM('Dev Tracker'!L51)))</f>
        <v/>
      </c>
      <c r="L51" s="152" t="str">
        <f>IF($B51="","",IFERROR(MATCH($D51,Control!$E$4:$E$30,0),99))</f>
        <v/>
      </c>
      <c r="M51" s="152" t="str">
        <f>IF($B51="","",IFERROR(MATCH($F51,Control!$B$4:$B$30,0),99))</f>
        <v/>
      </c>
      <c r="N51" s="152" t="str">
        <f>IF($V51&lt;&gt;1,"",IF('Roadmap (Auto)'!$D$3="Status, then Theme",$M51*1000000+$L51*10000+ROW(),IF('Roadmap (Auto)'!$D$3="Dev start (earliest)",IF($I51="",99999999,$I51)*10000+ROW(),IF('Roadmap (Auto)'!$D$3="UX start (earliest)",IF($G51="",99999999,$G51)*10000+ROW(),IF('Roadmap (Auto)'!$D$3="Deliverable A-Z",$W51*10000+ROW(),$L51*1000000+$M51*10000+ROW())))))</f>
        <v/>
      </c>
      <c r="O51" s="152" t="str">
        <f t="shared" si="9"/>
        <v/>
      </c>
      <c r="P51" s="152" t="str">
        <f>IF($B51="","",IF(COUNTA('Dev Tracker'!I51)=0,"",'Dev Tracker'!I51))</f>
        <v/>
      </c>
      <c r="Q51" s="152" t="str">
        <f>IF($B51="","",IF(COUNTA('Dev Tracker'!J51)=0,"",'Dev Tracker'!J51))</f>
        <v/>
      </c>
      <c r="R51" s="154" t="str">
        <f t="shared" ca="1" si="10"/>
        <v/>
      </c>
      <c r="S51" s="154" t="str">
        <f t="shared" ca="1" si="11"/>
        <v/>
      </c>
      <c r="T51" s="152" t="str">
        <f>IF($B51="","",COUNTA('UX Weekly'!$H51:$CT51))</f>
        <v/>
      </c>
      <c r="U51" s="152" t="str">
        <f>IF($B51="","",IFERROR(MATCH($D51,Control!$E$4:$E$30,0)+3,0))</f>
        <v/>
      </c>
      <c r="V51" s="152" t="str">
        <f>IF($B51="","",IF(AND(OR('Roadmap (Auto)'!$A$3="",'Roadmap (Auto)'!$A$3="(All)",ISNUMBER(SEARCH('Roadmap (Auto)'!$A$3,$C51&amp;""))),OR('Roadmap (Auto)'!$B$3="",'Roadmap (Auto)'!$B$3="(All)",$D51='Roadmap (Auto)'!$B$3,$X51='Roadmap (Auto)'!$B$3),OR('Roadmap (Auto)'!$C$3="",'Roadmap (Auto)'!$C$3="(All)",$F51='Roadmap (Auto)'!$C$3)),1,0))</f>
        <v/>
      </c>
      <c r="W51" s="152" t="str">
        <f t="shared" si="12"/>
        <v/>
      </c>
      <c r="X51" s="152" t="str">
        <f>IF($B51="","",IF(TRIM('UX Weekly'!D51)="","",TRIM('UX Weekly'!D51)))</f>
        <v/>
      </c>
      <c r="Y51" s="152" t="str">
        <f t="shared" si="13"/>
        <v/>
      </c>
      <c r="AA51">
        <f>IF($B51="",0,COUNTIFS('UX Weekly'!$H$1:$CT$1,"&gt;="&amp;AA$1,'UX Weekly'!$H$1:$CT$1,"&lt;="&amp;EOMONTH(AA$1,0),'UX Weekly'!$H51:$CT51,"&lt;&gt;"))</f>
        <v>0</v>
      </c>
      <c r="AB51">
        <f>IF($B51="",0,COUNTIFS('UX Weekly'!$H$1:$CT$1,"&gt;="&amp;AB$1,'UX Weekly'!$H$1:$CT$1,"&lt;="&amp;EOMONTH(AB$1,0),'UX Weekly'!$H51:$CT51,"&lt;&gt;"))</f>
        <v>0</v>
      </c>
      <c r="AC51">
        <f>IF($B51="",0,COUNTIFS('UX Weekly'!$H$1:$CT$1,"&gt;="&amp;AC$1,'UX Weekly'!$H$1:$CT$1,"&lt;="&amp;EOMONTH(AC$1,0),'UX Weekly'!$H51:$CT51,"&lt;&gt;"))</f>
        <v>0</v>
      </c>
      <c r="AD51">
        <f>IF($B51="",0,COUNTIFS('UX Weekly'!$H$1:$CT$1,"&gt;="&amp;AD$1,'UX Weekly'!$H$1:$CT$1,"&lt;="&amp;EOMONTH(AD$1,0),'UX Weekly'!$H51:$CT51,"&lt;&gt;"))</f>
        <v>0</v>
      </c>
      <c r="AE51">
        <f>IF($B51="",0,COUNTIFS('UX Weekly'!$H$1:$CT$1,"&gt;="&amp;AE$1,'UX Weekly'!$H$1:$CT$1,"&lt;="&amp;EOMONTH(AE$1,0),'UX Weekly'!$H51:$CT51,"&lt;&gt;"))</f>
        <v>0</v>
      </c>
      <c r="AF51">
        <f>IF($B51="",0,COUNTIFS('UX Weekly'!$H$1:$CT$1,"&gt;="&amp;AF$1,'UX Weekly'!$H$1:$CT$1,"&lt;="&amp;EOMONTH(AF$1,0),'UX Weekly'!$H51:$CT51,"&lt;&gt;"))</f>
        <v>0</v>
      </c>
      <c r="AG51">
        <f>IF($B51="",0,COUNTIFS('UX Weekly'!$H$1:$CT$1,"&gt;="&amp;AG$1,'UX Weekly'!$H$1:$CT$1,"&lt;="&amp;EOMONTH(AG$1,0),'UX Weekly'!$H51:$CT51,"&lt;&gt;"))</f>
        <v>0</v>
      </c>
      <c r="AH51">
        <f>IF($B51="",0,COUNTIFS('UX Weekly'!$H$1:$CT$1,"&gt;="&amp;AH$1,'UX Weekly'!$H$1:$CT$1,"&lt;="&amp;EOMONTH(AH$1,0),'UX Weekly'!$H51:$CT51,"&lt;&gt;"))</f>
        <v>0</v>
      </c>
      <c r="AI51">
        <f>IF($B51="",0,COUNTIFS('UX Weekly'!$H$1:$CT$1,"&gt;="&amp;AI$1,'UX Weekly'!$H$1:$CT$1,"&lt;="&amp;EOMONTH(AI$1,0),'UX Weekly'!$H51:$CT51,"&lt;&gt;"))</f>
        <v>0</v>
      </c>
      <c r="AJ51">
        <f>IF($B51="",0,COUNTIFS('UX Weekly'!$H$1:$CT$1,"&gt;="&amp;AJ$1,'UX Weekly'!$H$1:$CT$1,"&lt;="&amp;EOMONTH(AJ$1,0),'UX Weekly'!$H51:$CT51,"&lt;&gt;"))</f>
        <v>0</v>
      </c>
      <c r="AK51">
        <f>IF($B51="",0,COUNTIFS('UX Weekly'!$H$1:$CT$1,"&gt;="&amp;AK$1,'UX Weekly'!$H$1:$CT$1,"&lt;="&amp;EOMONTH(AK$1,0),'UX Weekly'!$H51:$CT51,"&lt;&gt;"))</f>
        <v>0</v>
      </c>
      <c r="AL51">
        <f>IF($B51="",0,COUNTIFS('UX Weekly'!$H$1:$CT$1,"&gt;="&amp;AL$1,'UX Weekly'!$H$1:$CT$1,"&lt;="&amp;EOMONTH(AL$1,0),'UX Weekly'!$H51:$CT51,"&lt;&gt;"))</f>
        <v>0</v>
      </c>
      <c r="AM51">
        <f>IF($B51="",0,COUNTIFS('UX Weekly'!$H$1:$CT$1,"&gt;="&amp;AM$1,'UX Weekly'!$H$1:$CT$1,"&lt;="&amp;EOMONTH(AM$1,0),'UX Weekly'!$H51:$CT51,"&lt;&gt;"))</f>
        <v>0</v>
      </c>
      <c r="AN51">
        <f>IF($B51="",0,COUNTIFS('UX Weekly'!$H$1:$CT$1,"&gt;="&amp;AN$1,'UX Weekly'!$H$1:$CT$1,"&lt;="&amp;EOMONTH(AN$1,0),'UX Weekly'!$H51:$CT51,"&lt;&gt;"))</f>
        <v>0</v>
      </c>
      <c r="AO51">
        <f>IF($B51="",0,COUNTIFS('UX Weekly'!$H$1:$CT$1,"&gt;="&amp;AO$1,'UX Weekly'!$H$1:$CT$1,"&lt;="&amp;EOMONTH(AO$1,0),'UX Weekly'!$H51:$CT51,"&lt;&gt;"))</f>
        <v>0</v>
      </c>
      <c r="AP51">
        <f>IF($B51="",0,COUNTIFS('UX Weekly'!$H$1:$CT$1,"&gt;="&amp;AP$1,'UX Weekly'!$H$1:$CT$1,"&lt;="&amp;EOMONTH(AP$1,0),'UX Weekly'!$H51:$CT51,"&lt;&gt;"))</f>
        <v>0</v>
      </c>
      <c r="AQ51">
        <f>IF($B51="",0,COUNTIFS('UX Weekly'!$H$1:$CT$1,"&gt;="&amp;AQ$1,'UX Weekly'!$H$1:$CT$1,"&lt;="&amp;EOMONTH(AQ$1,0),'UX Weekly'!$H51:$CT51,"&lt;&gt;"))</f>
        <v>0</v>
      </c>
      <c r="AR51">
        <f>IF($B51="",0,COUNTIFS('UX Weekly'!$H$1:$CT$1,"&gt;="&amp;AR$1,'UX Weekly'!$H$1:$CT$1,"&lt;="&amp;EOMONTH(AR$1,0),'UX Weekly'!$H51:$CT51,"&lt;&gt;"))</f>
        <v>0</v>
      </c>
      <c r="AS51">
        <f>IF($B51="",0,COUNTIFS('UX Weekly'!$H$1:$CT$1,"&gt;="&amp;AS$1,'UX Weekly'!$H$1:$CT$1,"&lt;="&amp;EOMONTH(AS$1,0),'UX Weekly'!$H51:$CT51,"&lt;&gt;"))</f>
        <v>0</v>
      </c>
      <c r="AT51">
        <f>IF($B51="",0,COUNTIFS('UX Weekly'!$H$1:$CT$1,"&gt;="&amp;AT$1,'UX Weekly'!$H$1:$CT$1,"&lt;="&amp;EOMONTH(AT$1,0),'UX Weekly'!$H51:$CT51,"&lt;&gt;"))</f>
        <v>0</v>
      </c>
      <c r="AU51">
        <f>IF($B51="",0,COUNTIFS('UX Weekly'!$H$1:$CT$1,"&gt;="&amp;AU$1,'UX Weekly'!$H$1:$CT$1,"&lt;="&amp;EOMONTH(AU$1,0),'UX Weekly'!$H51:$CT51,"&lt;&gt;"))</f>
        <v>0</v>
      </c>
      <c r="AV51">
        <f>IF($B51="",0,COUNTIFS('UX Weekly'!$H$1:$CT$1,"&gt;="&amp;AV$1,'UX Weekly'!$H$1:$CT$1,"&lt;="&amp;EOMONTH(AV$1,0),'UX Weekly'!$H51:$CT51,"&lt;&gt;"))</f>
        <v>0</v>
      </c>
      <c r="AW51">
        <f>IF($B51="",0,COUNTIFS('UX Weekly'!$H$1:$CT$1,"&gt;="&amp;AW$1,'UX Weekly'!$H$1:$CT$1,"&lt;="&amp;EOMONTH(AW$1,0),'UX Weekly'!$H51:$CT51,"&lt;&gt;"))</f>
        <v>0</v>
      </c>
      <c r="AX51">
        <f>IF($B51="",0,COUNTIFS('UX Weekly'!$H$1:$CT$1,"&gt;="&amp;AX$1,'UX Weekly'!$H$1:$CT$1,"&lt;="&amp;EOMONTH(AX$1,0),'UX Weekly'!$H51:$CT51,"&lt;&gt;"))</f>
        <v>0</v>
      </c>
    </row>
    <row r="52" spans="1:50" x14ac:dyDescent="0.2">
      <c r="A52" s="152">
        <v>52</v>
      </c>
      <c r="B52" s="152" t="str">
        <f>IF(TRIM('UX Weekly'!E52)="","",TRIM('UX Weekly'!E52))</f>
        <v/>
      </c>
      <c r="C52" s="152" t="str">
        <f>IF($B52="","",'UX Weekly'!B52)</f>
        <v/>
      </c>
      <c r="D52" s="152" t="str">
        <f>IF($B52="","",IF(TRIM('UX Weekly'!C52)="","(No theme assigned)",TRIM('UX Weekly'!C52)))</f>
        <v/>
      </c>
      <c r="E52" s="152" t="str">
        <f>IF($B52="","",TRIM('UX Weekly'!F52))</f>
        <v/>
      </c>
      <c r="F52" s="152" t="str">
        <f>IF($B52="","",'UX Weekly'!G52)</f>
        <v/>
      </c>
      <c r="G52" s="153" t="str">
        <f t="array" ref="G52">IF($B52="","",IF($T52=0,"",IFERROR(MIN(IF('UX Weekly'!$H52:$CT52&lt;&gt;"",'UX Weekly'!$H$1:$CT$1)),"")))</f>
        <v/>
      </c>
      <c r="H52" s="153" t="str">
        <f t="array" ref="H52">IF($B52="","",IF($T52=0,"",IFERROR(MAX(IF('UX Weekly'!$H52:$CT52&lt;&gt;"",'UX Weekly'!$H$1:$CT$1)),"")))</f>
        <v/>
      </c>
      <c r="I52" s="154" t="str">
        <f t="shared" ca="1" si="7"/>
        <v/>
      </c>
      <c r="J52" s="154" t="str">
        <f t="shared" ca="1" si="8"/>
        <v/>
      </c>
      <c r="K52" s="152" t="str">
        <f>IF($B52="","",IF(COUNTA('Dev Tracker'!L52)=0,"",TRIM('Dev Tracker'!L52)))</f>
        <v/>
      </c>
      <c r="L52" s="152" t="str">
        <f>IF($B52="","",IFERROR(MATCH($D52,Control!$E$4:$E$30,0),99))</f>
        <v/>
      </c>
      <c r="M52" s="152" t="str">
        <f>IF($B52="","",IFERROR(MATCH($F52,Control!$B$4:$B$30,0),99))</f>
        <v/>
      </c>
      <c r="N52" s="152" t="str">
        <f>IF($V52&lt;&gt;1,"",IF('Roadmap (Auto)'!$D$3="Status, then Theme",$M52*1000000+$L52*10000+ROW(),IF('Roadmap (Auto)'!$D$3="Dev start (earliest)",IF($I52="",99999999,$I52)*10000+ROW(),IF('Roadmap (Auto)'!$D$3="UX start (earliest)",IF($G52="",99999999,$G52)*10000+ROW(),IF('Roadmap (Auto)'!$D$3="Deliverable A-Z",$W52*10000+ROW(),$L52*1000000+$M52*10000+ROW())))))</f>
        <v/>
      </c>
      <c r="O52" s="152" t="str">
        <f t="shared" si="9"/>
        <v/>
      </c>
      <c r="P52" s="152" t="str">
        <f>IF($B52="","",IF(COUNTA('Dev Tracker'!I52)=0,"",'Dev Tracker'!I52))</f>
        <v/>
      </c>
      <c r="Q52" s="152" t="str">
        <f>IF($B52="","",IF(COUNTA('Dev Tracker'!J52)=0,"",'Dev Tracker'!J52))</f>
        <v/>
      </c>
      <c r="R52" s="154" t="str">
        <f t="shared" ca="1" si="10"/>
        <v/>
      </c>
      <c r="S52" s="154" t="str">
        <f t="shared" ca="1" si="11"/>
        <v/>
      </c>
      <c r="T52" s="152" t="str">
        <f>IF($B52="","",COUNTA('UX Weekly'!$H52:$CT52))</f>
        <v/>
      </c>
      <c r="U52" s="152" t="str">
        <f>IF($B52="","",IFERROR(MATCH($D52,Control!$E$4:$E$30,0)+3,0))</f>
        <v/>
      </c>
      <c r="V52" s="152" t="str">
        <f>IF($B52="","",IF(AND(OR('Roadmap (Auto)'!$A$3="",'Roadmap (Auto)'!$A$3="(All)",ISNUMBER(SEARCH('Roadmap (Auto)'!$A$3,$C52&amp;""))),OR('Roadmap (Auto)'!$B$3="",'Roadmap (Auto)'!$B$3="(All)",$D52='Roadmap (Auto)'!$B$3,$X52='Roadmap (Auto)'!$B$3),OR('Roadmap (Auto)'!$C$3="",'Roadmap (Auto)'!$C$3="(All)",$F52='Roadmap (Auto)'!$C$3)),1,0))</f>
        <v/>
      </c>
      <c r="W52" s="152" t="str">
        <f t="shared" si="12"/>
        <v/>
      </c>
      <c r="X52" s="152" t="str">
        <f>IF($B52="","",IF(TRIM('UX Weekly'!D52)="","",TRIM('UX Weekly'!D52)))</f>
        <v/>
      </c>
      <c r="Y52" s="152" t="str">
        <f t="shared" si="13"/>
        <v/>
      </c>
      <c r="AA52">
        <f>IF($B52="",0,COUNTIFS('UX Weekly'!$H$1:$CT$1,"&gt;="&amp;AA$1,'UX Weekly'!$H$1:$CT$1,"&lt;="&amp;EOMONTH(AA$1,0),'UX Weekly'!$H52:$CT52,"&lt;&gt;"))</f>
        <v>0</v>
      </c>
      <c r="AB52">
        <f>IF($B52="",0,COUNTIFS('UX Weekly'!$H$1:$CT$1,"&gt;="&amp;AB$1,'UX Weekly'!$H$1:$CT$1,"&lt;="&amp;EOMONTH(AB$1,0),'UX Weekly'!$H52:$CT52,"&lt;&gt;"))</f>
        <v>0</v>
      </c>
      <c r="AC52">
        <f>IF($B52="",0,COUNTIFS('UX Weekly'!$H$1:$CT$1,"&gt;="&amp;AC$1,'UX Weekly'!$H$1:$CT$1,"&lt;="&amp;EOMONTH(AC$1,0),'UX Weekly'!$H52:$CT52,"&lt;&gt;"))</f>
        <v>0</v>
      </c>
      <c r="AD52">
        <f>IF($B52="",0,COUNTIFS('UX Weekly'!$H$1:$CT$1,"&gt;="&amp;AD$1,'UX Weekly'!$H$1:$CT$1,"&lt;="&amp;EOMONTH(AD$1,0),'UX Weekly'!$H52:$CT52,"&lt;&gt;"))</f>
        <v>0</v>
      </c>
      <c r="AE52">
        <f>IF($B52="",0,COUNTIFS('UX Weekly'!$H$1:$CT$1,"&gt;="&amp;AE$1,'UX Weekly'!$H$1:$CT$1,"&lt;="&amp;EOMONTH(AE$1,0),'UX Weekly'!$H52:$CT52,"&lt;&gt;"))</f>
        <v>0</v>
      </c>
      <c r="AF52">
        <f>IF($B52="",0,COUNTIFS('UX Weekly'!$H$1:$CT$1,"&gt;="&amp;AF$1,'UX Weekly'!$H$1:$CT$1,"&lt;="&amp;EOMONTH(AF$1,0),'UX Weekly'!$H52:$CT52,"&lt;&gt;"))</f>
        <v>0</v>
      </c>
      <c r="AG52">
        <f>IF($B52="",0,COUNTIFS('UX Weekly'!$H$1:$CT$1,"&gt;="&amp;AG$1,'UX Weekly'!$H$1:$CT$1,"&lt;="&amp;EOMONTH(AG$1,0),'UX Weekly'!$H52:$CT52,"&lt;&gt;"))</f>
        <v>0</v>
      </c>
      <c r="AH52">
        <f>IF($B52="",0,COUNTIFS('UX Weekly'!$H$1:$CT$1,"&gt;="&amp;AH$1,'UX Weekly'!$H$1:$CT$1,"&lt;="&amp;EOMONTH(AH$1,0),'UX Weekly'!$H52:$CT52,"&lt;&gt;"))</f>
        <v>0</v>
      </c>
      <c r="AI52">
        <f>IF($B52="",0,COUNTIFS('UX Weekly'!$H$1:$CT$1,"&gt;="&amp;AI$1,'UX Weekly'!$H$1:$CT$1,"&lt;="&amp;EOMONTH(AI$1,0),'UX Weekly'!$H52:$CT52,"&lt;&gt;"))</f>
        <v>0</v>
      </c>
      <c r="AJ52">
        <f>IF($B52="",0,COUNTIFS('UX Weekly'!$H$1:$CT$1,"&gt;="&amp;AJ$1,'UX Weekly'!$H$1:$CT$1,"&lt;="&amp;EOMONTH(AJ$1,0),'UX Weekly'!$H52:$CT52,"&lt;&gt;"))</f>
        <v>0</v>
      </c>
      <c r="AK52">
        <f>IF($B52="",0,COUNTIFS('UX Weekly'!$H$1:$CT$1,"&gt;="&amp;AK$1,'UX Weekly'!$H$1:$CT$1,"&lt;="&amp;EOMONTH(AK$1,0),'UX Weekly'!$H52:$CT52,"&lt;&gt;"))</f>
        <v>0</v>
      </c>
      <c r="AL52">
        <f>IF($B52="",0,COUNTIFS('UX Weekly'!$H$1:$CT$1,"&gt;="&amp;AL$1,'UX Weekly'!$H$1:$CT$1,"&lt;="&amp;EOMONTH(AL$1,0),'UX Weekly'!$H52:$CT52,"&lt;&gt;"))</f>
        <v>0</v>
      </c>
      <c r="AM52">
        <f>IF($B52="",0,COUNTIFS('UX Weekly'!$H$1:$CT$1,"&gt;="&amp;AM$1,'UX Weekly'!$H$1:$CT$1,"&lt;="&amp;EOMONTH(AM$1,0),'UX Weekly'!$H52:$CT52,"&lt;&gt;"))</f>
        <v>0</v>
      </c>
      <c r="AN52">
        <f>IF($B52="",0,COUNTIFS('UX Weekly'!$H$1:$CT$1,"&gt;="&amp;AN$1,'UX Weekly'!$H$1:$CT$1,"&lt;="&amp;EOMONTH(AN$1,0),'UX Weekly'!$H52:$CT52,"&lt;&gt;"))</f>
        <v>0</v>
      </c>
      <c r="AO52">
        <f>IF($B52="",0,COUNTIFS('UX Weekly'!$H$1:$CT$1,"&gt;="&amp;AO$1,'UX Weekly'!$H$1:$CT$1,"&lt;="&amp;EOMONTH(AO$1,0),'UX Weekly'!$H52:$CT52,"&lt;&gt;"))</f>
        <v>0</v>
      </c>
      <c r="AP52">
        <f>IF($B52="",0,COUNTIFS('UX Weekly'!$H$1:$CT$1,"&gt;="&amp;AP$1,'UX Weekly'!$H$1:$CT$1,"&lt;="&amp;EOMONTH(AP$1,0),'UX Weekly'!$H52:$CT52,"&lt;&gt;"))</f>
        <v>0</v>
      </c>
      <c r="AQ52">
        <f>IF($B52="",0,COUNTIFS('UX Weekly'!$H$1:$CT$1,"&gt;="&amp;AQ$1,'UX Weekly'!$H$1:$CT$1,"&lt;="&amp;EOMONTH(AQ$1,0),'UX Weekly'!$H52:$CT52,"&lt;&gt;"))</f>
        <v>0</v>
      </c>
      <c r="AR52">
        <f>IF($B52="",0,COUNTIFS('UX Weekly'!$H$1:$CT$1,"&gt;="&amp;AR$1,'UX Weekly'!$H$1:$CT$1,"&lt;="&amp;EOMONTH(AR$1,0),'UX Weekly'!$H52:$CT52,"&lt;&gt;"))</f>
        <v>0</v>
      </c>
      <c r="AS52">
        <f>IF($B52="",0,COUNTIFS('UX Weekly'!$H$1:$CT$1,"&gt;="&amp;AS$1,'UX Weekly'!$H$1:$CT$1,"&lt;="&amp;EOMONTH(AS$1,0),'UX Weekly'!$H52:$CT52,"&lt;&gt;"))</f>
        <v>0</v>
      </c>
      <c r="AT52">
        <f>IF($B52="",0,COUNTIFS('UX Weekly'!$H$1:$CT$1,"&gt;="&amp;AT$1,'UX Weekly'!$H$1:$CT$1,"&lt;="&amp;EOMONTH(AT$1,0),'UX Weekly'!$H52:$CT52,"&lt;&gt;"))</f>
        <v>0</v>
      </c>
      <c r="AU52">
        <f>IF($B52="",0,COUNTIFS('UX Weekly'!$H$1:$CT$1,"&gt;="&amp;AU$1,'UX Weekly'!$H$1:$CT$1,"&lt;="&amp;EOMONTH(AU$1,0),'UX Weekly'!$H52:$CT52,"&lt;&gt;"))</f>
        <v>0</v>
      </c>
      <c r="AV52">
        <f>IF($B52="",0,COUNTIFS('UX Weekly'!$H$1:$CT$1,"&gt;="&amp;AV$1,'UX Weekly'!$H$1:$CT$1,"&lt;="&amp;EOMONTH(AV$1,0),'UX Weekly'!$H52:$CT52,"&lt;&gt;"))</f>
        <v>0</v>
      </c>
      <c r="AW52">
        <f>IF($B52="",0,COUNTIFS('UX Weekly'!$H$1:$CT$1,"&gt;="&amp;AW$1,'UX Weekly'!$H$1:$CT$1,"&lt;="&amp;EOMONTH(AW$1,0),'UX Weekly'!$H52:$CT52,"&lt;&gt;"))</f>
        <v>0</v>
      </c>
      <c r="AX52">
        <f>IF($B52="",0,COUNTIFS('UX Weekly'!$H$1:$CT$1,"&gt;="&amp;AX$1,'UX Weekly'!$H$1:$CT$1,"&lt;="&amp;EOMONTH(AX$1,0),'UX Weekly'!$H52:$CT52,"&lt;&gt;"))</f>
        <v>0</v>
      </c>
    </row>
    <row r="53" spans="1:50" x14ac:dyDescent="0.2">
      <c r="A53" s="152">
        <v>53</v>
      </c>
      <c r="B53" s="152" t="str">
        <f>IF(TRIM('UX Weekly'!E53)="","",TRIM('UX Weekly'!E53))</f>
        <v/>
      </c>
      <c r="C53" s="152" t="str">
        <f>IF($B53="","",'UX Weekly'!B53)</f>
        <v/>
      </c>
      <c r="D53" s="152" t="str">
        <f>IF($B53="","",IF(TRIM('UX Weekly'!C53)="","(No theme assigned)",TRIM('UX Weekly'!C53)))</f>
        <v/>
      </c>
      <c r="E53" s="152" t="str">
        <f>IF($B53="","",TRIM('UX Weekly'!F53))</f>
        <v/>
      </c>
      <c r="F53" s="152" t="str">
        <f>IF($B53="","",'UX Weekly'!G53)</f>
        <v/>
      </c>
      <c r="G53" s="153" t="str">
        <f t="array" ref="G53">IF($B53="","",IF($T53=0,"",IFERROR(MIN(IF('UX Weekly'!$H53:$CT53&lt;&gt;"",'UX Weekly'!$H$1:$CT$1)),"")))</f>
        <v/>
      </c>
      <c r="H53" s="153" t="str">
        <f t="array" ref="H53">IF($B53="","",IF($T53=0,"",IFERROR(MAX(IF('UX Weekly'!$H53:$CT53&lt;&gt;"",'UX Weekly'!$H$1:$CT$1)),"")))</f>
        <v/>
      </c>
      <c r="I53" s="154" t="str">
        <f t="shared" ca="1" si="7"/>
        <v/>
      </c>
      <c r="J53" s="154" t="str">
        <f t="shared" ca="1" si="8"/>
        <v/>
      </c>
      <c r="K53" s="152" t="str">
        <f>IF($B53="","",IF(COUNTA('Dev Tracker'!L53)=0,"",TRIM('Dev Tracker'!L53)))</f>
        <v/>
      </c>
      <c r="L53" s="152" t="str">
        <f>IF($B53="","",IFERROR(MATCH($D53,Control!$E$4:$E$30,0),99))</f>
        <v/>
      </c>
      <c r="M53" s="152" t="str">
        <f>IF($B53="","",IFERROR(MATCH($F53,Control!$B$4:$B$30,0),99))</f>
        <v/>
      </c>
      <c r="N53" s="152" t="str">
        <f>IF($V53&lt;&gt;1,"",IF('Roadmap (Auto)'!$D$3="Status, then Theme",$M53*1000000+$L53*10000+ROW(),IF('Roadmap (Auto)'!$D$3="Dev start (earliest)",IF($I53="",99999999,$I53)*10000+ROW(),IF('Roadmap (Auto)'!$D$3="UX start (earliest)",IF($G53="",99999999,$G53)*10000+ROW(),IF('Roadmap (Auto)'!$D$3="Deliverable A-Z",$W53*10000+ROW(),$L53*1000000+$M53*10000+ROW())))))</f>
        <v/>
      </c>
      <c r="O53" s="152" t="str">
        <f t="shared" si="9"/>
        <v/>
      </c>
      <c r="P53" s="152" t="str">
        <f>IF($B53="","",IF(COUNTA('Dev Tracker'!I53)=0,"",'Dev Tracker'!I53))</f>
        <v/>
      </c>
      <c r="Q53" s="152" t="str">
        <f>IF($B53="","",IF(COUNTA('Dev Tracker'!J53)=0,"",'Dev Tracker'!J53))</f>
        <v/>
      </c>
      <c r="R53" s="154" t="str">
        <f t="shared" ca="1" si="10"/>
        <v/>
      </c>
      <c r="S53" s="154" t="str">
        <f t="shared" ca="1" si="11"/>
        <v/>
      </c>
      <c r="T53" s="152" t="str">
        <f>IF($B53="","",COUNTA('UX Weekly'!$H53:$CT53))</f>
        <v/>
      </c>
      <c r="U53" s="152" t="str">
        <f>IF($B53="","",IFERROR(MATCH($D53,Control!$E$4:$E$30,0)+3,0))</f>
        <v/>
      </c>
      <c r="V53" s="152" t="str">
        <f>IF($B53="","",IF(AND(OR('Roadmap (Auto)'!$A$3="",'Roadmap (Auto)'!$A$3="(All)",ISNUMBER(SEARCH('Roadmap (Auto)'!$A$3,$C53&amp;""))),OR('Roadmap (Auto)'!$B$3="",'Roadmap (Auto)'!$B$3="(All)",$D53='Roadmap (Auto)'!$B$3,$X53='Roadmap (Auto)'!$B$3),OR('Roadmap (Auto)'!$C$3="",'Roadmap (Auto)'!$C$3="(All)",$F53='Roadmap (Auto)'!$C$3)),1,0))</f>
        <v/>
      </c>
      <c r="W53" s="152" t="str">
        <f t="shared" si="12"/>
        <v/>
      </c>
      <c r="X53" s="152" t="str">
        <f>IF($B53="","",IF(TRIM('UX Weekly'!D53)="","",TRIM('UX Weekly'!D53)))</f>
        <v/>
      </c>
      <c r="Y53" s="152" t="str">
        <f t="shared" si="13"/>
        <v/>
      </c>
      <c r="AA53">
        <f>IF($B53="",0,COUNTIFS('UX Weekly'!$H$1:$CT$1,"&gt;="&amp;AA$1,'UX Weekly'!$H$1:$CT$1,"&lt;="&amp;EOMONTH(AA$1,0),'UX Weekly'!$H53:$CT53,"&lt;&gt;"))</f>
        <v>0</v>
      </c>
      <c r="AB53">
        <f>IF($B53="",0,COUNTIFS('UX Weekly'!$H$1:$CT$1,"&gt;="&amp;AB$1,'UX Weekly'!$H$1:$CT$1,"&lt;="&amp;EOMONTH(AB$1,0),'UX Weekly'!$H53:$CT53,"&lt;&gt;"))</f>
        <v>0</v>
      </c>
      <c r="AC53">
        <f>IF($B53="",0,COUNTIFS('UX Weekly'!$H$1:$CT$1,"&gt;="&amp;AC$1,'UX Weekly'!$H$1:$CT$1,"&lt;="&amp;EOMONTH(AC$1,0),'UX Weekly'!$H53:$CT53,"&lt;&gt;"))</f>
        <v>0</v>
      </c>
      <c r="AD53">
        <f>IF($B53="",0,COUNTIFS('UX Weekly'!$H$1:$CT$1,"&gt;="&amp;AD$1,'UX Weekly'!$H$1:$CT$1,"&lt;="&amp;EOMONTH(AD$1,0),'UX Weekly'!$H53:$CT53,"&lt;&gt;"))</f>
        <v>0</v>
      </c>
      <c r="AE53">
        <f>IF($B53="",0,COUNTIFS('UX Weekly'!$H$1:$CT$1,"&gt;="&amp;AE$1,'UX Weekly'!$H$1:$CT$1,"&lt;="&amp;EOMONTH(AE$1,0),'UX Weekly'!$H53:$CT53,"&lt;&gt;"))</f>
        <v>0</v>
      </c>
      <c r="AF53">
        <f>IF($B53="",0,COUNTIFS('UX Weekly'!$H$1:$CT$1,"&gt;="&amp;AF$1,'UX Weekly'!$H$1:$CT$1,"&lt;="&amp;EOMONTH(AF$1,0),'UX Weekly'!$H53:$CT53,"&lt;&gt;"))</f>
        <v>0</v>
      </c>
      <c r="AG53">
        <f>IF($B53="",0,COUNTIFS('UX Weekly'!$H$1:$CT$1,"&gt;="&amp;AG$1,'UX Weekly'!$H$1:$CT$1,"&lt;="&amp;EOMONTH(AG$1,0),'UX Weekly'!$H53:$CT53,"&lt;&gt;"))</f>
        <v>0</v>
      </c>
      <c r="AH53">
        <f>IF($B53="",0,COUNTIFS('UX Weekly'!$H$1:$CT$1,"&gt;="&amp;AH$1,'UX Weekly'!$H$1:$CT$1,"&lt;="&amp;EOMONTH(AH$1,0),'UX Weekly'!$H53:$CT53,"&lt;&gt;"))</f>
        <v>0</v>
      </c>
      <c r="AI53">
        <f>IF($B53="",0,COUNTIFS('UX Weekly'!$H$1:$CT$1,"&gt;="&amp;AI$1,'UX Weekly'!$H$1:$CT$1,"&lt;="&amp;EOMONTH(AI$1,0),'UX Weekly'!$H53:$CT53,"&lt;&gt;"))</f>
        <v>0</v>
      </c>
      <c r="AJ53">
        <f>IF($B53="",0,COUNTIFS('UX Weekly'!$H$1:$CT$1,"&gt;="&amp;AJ$1,'UX Weekly'!$H$1:$CT$1,"&lt;="&amp;EOMONTH(AJ$1,0),'UX Weekly'!$H53:$CT53,"&lt;&gt;"))</f>
        <v>0</v>
      </c>
      <c r="AK53">
        <f>IF($B53="",0,COUNTIFS('UX Weekly'!$H$1:$CT$1,"&gt;="&amp;AK$1,'UX Weekly'!$H$1:$CT$1,"&lt;="&amp;EOMONTH(AK$1,0),'UX Weekly'!$H53:$CT53,"&lt;&gt;"))</f>
        <v>0</v>
      </c>
      <c r="AL53">
        <f>IF($B53="",0,COUNTIFS('UX Weekly'!$H$1:$CT$1,"&gt;="&amp;AL$1,'UX Weekly'!$H$1:$CT$1,"&lt;="&amp;EOMONTH(AL$1,0),'UX Weekly'!$H53:$CT53,"&lt;&gt;"))</f>
        <v>0</v>
      </c>
      <c r="AM53">
        <f>IF($B53="",0,COUNTIFS('UX Weekly'!$H$1:$CT$1,"&gt;="&amp;AM$1,'UX Weekly'!$H$1:$CT$1,"&lt;="&amp;EOMONTH(AM$1,0),'UX Weekly'!$H53:$CT53,"&lt;&gt;"))</f>
        <v>0</v>
      </c>
      <c r="AN53">
        <f>IF($B53="",0,COUNTIFS('UX Weekly'!$H$1:$CT$1,"&gt;="&amp;AN$1,'UX Weekly'!$H$1:$CT$1,"&lt;="&amp;EOMONTH(AN$1,0),'UX Weekly'!$H53:$CT53,"&lt;&gt;"))</f>
        <v>0</v>
      </c>
      <c r="AO53">
        <f>IF($B53="",0,COUNTIFS('UX Weekly'!$H$1:$CT$1,"&gt;="&amp;AO$1,'UX Weekly'!$H$1:$CT$1,"&lt;="&amp;EOMONTH(AO$1,0),'UX Weekly'!$H53:$CT53,"&lt;&gt;"))</f>
        <v>0</v>
      </c>
      <c r="AP53">
        <f>IF($B53="",0,COUNTIFS('UX Weekly'!$H$1:$CT$1,"&gt;="&amp;AP$1,'UX Weekly'!$H$1:$CT$1,"&lt;="&amp;EOMONTH(AP$1,0),'UX Weekly'!$H53:$CT53,"&lt;&gt;"))</f>
        <v>0</v>
      </c>
      <c r="AQ53">
        <f>IF($B53="",0,COUNTIFS('UX Weekly'!$H$1:$CT$1,"&gt;="&amp;AQ$1,'UX Weekly'!$H$1:$CT$1,"&lt;="&amp;EOMONTH(AQ$1,0),'UX Weekly'!$H53:$CT53,"&lt;&gt;"))</f>
        <v>0</v>
      </c>
      <c r="AR53">
        <f>IF($B53="",0,COUNTIFS('UX Weekly'!$H$1:$CT$1,"&gt;="&amp;AR$1,'UX Weekly'!$H$1:$CT$1,"&lt;="&amp;EOMONTH(AR$1,0),'UX Weekly'!$H53:$CT53,"&lt;&gt;"))</f>
        <v>0</v>
      </c>
      <c r="AS53">
        <f>IF($B53="",0,COUNTIFS('UX Weekly'!$H$1:$CT$1,"&gt;="&amp;AS$1,'UX Weekly'!$H$1:$CT$1,"&lt;="&amp;EOMONTH(AS$1,0),'UX Weekly'!$H53:$CT53,"&lt;&gt;"))</f>
        <v>0</v>
      </c>
      <c r="AT53">
        <f>IF($B53="",0,COUNTIFS('UX Weekly'!$H$1:$CT$1,"&gt;="&amp;AT$1,'UX Weekly'!$H$1:$CT$1,"&lt;="&amp;EOMONTH(AT$1,0),'UX Weekly'!$H53:$CT53,"&lt;&gt;"))</f>
        <v>0</v>
      </c>
      <c r="AU53">
        <f>IF($B53="",0,COUNTIFS('UX Weekly'!$H$1:$CT$1,"&gt;="&amp;AU$1,'UX Weekly'!$H$1:$CT$1,"&lt;="&amp;EOMONTH(AU$1,0),'UX Weekly'!$H53:$CT53,"&lt;&gt;"))</f>
        <v>0</v>
      </c>
      <c r="AV53">
        <f>IF($B53="",0,COUNTIFS('UX Weekly'!$H$1:$CT$1,"&gt;="&amp;AV$1,'UX Weekly'!$H$1:$CT$1,"&lt;="&amp;EOMONTH(AV$1,0),'UX Weekly'!$H53:$CT53,"&lt;&gt;"))</f>
        <v>0</v>
      </c>
      <c r="AW53">
        <f>IF($B53="",0,COUNTIFS('UX Weekly'!$H$1:$CT$1,"&gt;="&amp;AW$1,'UX Weekly'!$H$1:$CT$1,"&lt;="&amp;EOMONTH(AW$1,0),'UX Weekly'!$H53:$CT53,"&lt;&gt;"))</f>
        <v>0</v>
      </c>
      <c r="AX53">
        <f>IF($B53="",0,COUNTIFS('UX Weekly'!$H$1:$CT$1,"&gt;="&amp;AX$1,'UX Weekly'!$H$1:$CT$1,"&lt;="&amp;EOMONTH(AX$1,0),'UX Weekly'!$H53:$CT53,"&lt;&gt;"))</f>
        <v>0</v>
      </c>
    </row>
    <row r="54" spans="1:50" x14ac:dyDescent="0.2">
      <c r="A54" s="152">
        <v>54</v>
      </c>
      <c r="B54" s="152" t="str">
        <f>IF(TRIM('UX Weekly'!E54)="","",TRIM('UX Weekly'!E54))</f>
        <v/>
      </c>
      <c r="C54" s="152" t="str">
        <f>IF($B54="","",'UX Weekly'!B54)</f>
        <v/>
      </c>
      <c r="D54" s="152" t="str">
        <f>IF($B54="","",IF(TRIM('UX Weekly'!C54)="","(No theme assigned)",TRIM('UX Weekly'!C54)))</f>
        <v/>
      </c>
      <c r="E54" s="152" t="str">
        <f>IF($B54="","",TRIM('UX Weekly'!F54))</f>
        <v/>
      </c>
      <c r="F54" s="152" t="str">
        <f>IF($B54="","",'UX Weekly'!G54)</f>
        <v/>
      </c>
      <c r="G54" s="153" t="str">
        <f t="array" ref="G54">IF($B54="","",IF($T54=0,"",IFERROR(MIN(IF('UX Weekly'!$H54:$CT54&lt;&gt;"",'UX Weekly'!$H$1:$CT$1)),"")))</f>
        <v/>
      </c>
      <c r="H54" s="153" t="str">
        <f t="array" ref="H54">IF($B54="","",IF($T54=0,"",IFERROR(MAX(IF('UX Weekly'!$H54:$CT54&lt;&gt;"",'UX Weekly'!$H$1:$CT$1)),"")))</f>
        <v/>
      </c>
      <c r="I54" s="154" t="str">
        <f t="shared" ca="1" si="7"/>
        <v/>
      </c>
      <c r="J54" s="154" t="str">
        <f t="shared" ca="1" si="8"/>
        <v/>
      </c>
      <c r="K54" s="152" t="str">
        <f>IF($B54="","",IF(COUNTA('Dev Tracker'!L54)=0,"",TRIM('Dev Tracker'!L54)))</f>
        <v/>
      </c>
      <c r="L54" s="152" t="str">
        <f>IF($B54="","",IFERROR(MATCH($D54,Control!$E$4:$E$30,0),99))</f>
        <v/>
      </c>
      <c r="M54" s="152" t="str">
        <f>IF($B54="","",IFERROR(MATCH($F54,Control!$B$4:$B$30,0),99))</f>
        <v/>
      </c>
      <c r="N54" s="152" t="str">
        <f>IF($V54&lt;&gt;1,"",IF('Roadmap (Auto)'!$D$3="Status, then Theme",$M54*1000000+$L54*10000+ROW(),IF('Roadmap (Auto)'!$D$3="Dev start (earliest)",IF($I54="",99999999,$I54)*10000+ROW(),IF('Roadmap (Auto)'!$D$3="UX start (earliest)",IF($G54="",99999999,$G54)*10000+ROW(),IF('Roadmap (Auto)'!$D$3="Deliverable A-Z",$W54*10000+ROW(),$L54*1000000+$M54*10000+ROW())))))</f>
        <v/>
      </c>
      <c r="O54" s="152" t="str">
        <f t="shared" si="9"/>
        <v/>
      </c>
      <c r="P54" s="152" t="str">
        <f>IF($B54="","",IF(COUNTA('Dev Tracker'!I54)=0,"",'Dev Tracker'!I54))</f>
        <v/>
      </c>
      <c r="Q54" s="152" t="str">
        <f>IF($B54="","",IF(COUNTA('Dev Tracker'!J54)=0,"",'Dev Tracker'!J54))</f>
        <v/>
      </c>
      <c r="R54" s="154" t="str">
        <f t="shared" ca="1" si="10"/>
        <v/>
      </c>
      <c r="S54" s="154" t="str">
        <f t="shared" ca="1" si="11"/>
        <v/>
      </c>
      <c r="T54" s="152" t="str">
        <f>IF($B54="","",COUNTA('UX Weekly'!$H54:$CT54))</f>
        <v/>
      </c>
      <c r="U54" s="152" t="str">
        <f>IF($B54="","",IFERROR(MATCH($D54,Control!$E$4:$E$30,0)+3,0))</f>
        <v/>
      </c>
      <c r="V54" s="152" t="str">
        <f>IF($B54="","",IF(AND(OR('Roadmap (Auto)'!$A$3="",'Roadmap (Auto)'!$A$3="(All)",ISNUMBER(SEARCH('Roadmap (Auto)'!$A$3,$C54&amp;""))),OR('Roadmap (Auto)'!$B$3="",'Roadmap (Auto)'!$B$3="(All)",$D54='Roadmap (Auto)'!$B$3,$X54='Roadmap (Auto)'!$B$3),OR('Roadmap (Auto)'!$C$3="",'Roadmap (Auto)'!$C$3="(All)",$F54='Roadmap (Auto)'!$C$3)),1,0))</f>
        <v/>
      </c>
      <c r="W54" s="152" t="str">
        <f t="shared" si="12"/>
        <v/>
      </c>
      <c r="X54" s="152" t="str">
        <f>IF($B54="","",IF(TRIM('UX Weekly'!D54)="","",TRIM('UX Weekly'!D54)))</f>
        <v/>
      </c>
      <c r="Y54" s="152" t="str">
        <f t="shared" si="13"/>
        <v/>
      </c>
      <c r="AA54">
        <f>IF($B54="",0,COUNTIFS('UX Weekly'!$H$1:$CT$1,"&gt;="&amp;AA$1,'UX Weekly'!$H$1:$CT$1,"&lt;="&amp;EOMONTH(AA$1,0),'UX Weekly'!$H54:$CT54,"&lt;&gt;"))</f>
        <v>0</v>
      </c>
      <c r="AB54">
        <f>IF($B54="",0,COUNTIFS('UX Weekly'!$H$1:$CT$1,"&gt;="&amp;AB$1,'UX Weekly'!$H$1:$CT$1,"&lt;="&amp;EOMONTH(AB$1,0),'UX Weekly'!$H54:$CT54,"&lt;&gt;"))</f>
        <v>0</v>
      </c>
      <c r="AC54">
        <f>IF($B54="",0,COUNTIFS('UX Weekly'!$H$1:$CT$1,"&gt;="&amp;AC$1,'UX Weekly'!$H$1:$CT$1,"&lt;="&amp;EOMONTH(AC$1,0),'UX Weekly'!$H54:$CT54,"&lt;&gt;"))</f>
        <v>0</v>
      </c>
      <c r="AD54">
        <f>IF($B54="",0,COUNTIFS('UX Weekly'!$H$1:$CT$1,"&gt;="&amp;AD$1,'UX Weekly'!$H$1:$CT$1,"&lt;="&amp;EOMONTH(AD$1,0),'UX Weekly'!$H54:$CT54,"&lt;&gt;"))</f>
        <v>0</v>
      </c>
      <c r="AE54">
        <f>IF($B54="",0,COUNTIFS('UX Weekly'!$H$1:$CT$1,"&gt;="&amp;AE$1,'UX Weekly'!$H$1:$CT$1,"&lt;="&amp;EOMONTH(AE$1,0),'UX Weekly'!$H54:$CT54,"&lt;&gt;"))</f>
        <v>0</v>
      </c>
      <c r="AF54">
        <f>IF($B54="",0,COUNTIFS('UX Weekly'!$H$1:$CT$1,"&gt;="&amp;AF$1,'UX Weekly'!$H$1:$CT$1,"&lt;="&amp;EOMONTH(AF$1,0),'UX Weekly'!$H54:$CT54,"&lt;&gt;"))</f>
        <v>0</v>
      </c>
      <c r="AG54">
        <f>IF($B54="",0,COUNTIFS('UX Weekly'!$H$1:$CT$1,"&gt;="&amp;AG$1,'UX Weekly'!$H$1:$CT$1,"&lt;="&amp;EOMONTH(AG$1,0),'UX Weekly'!$H54:$CT54,"&lt;&gt;"))</f>
        <v>0</v>
      </c>
      <c r="AH54">
        <f>IF($B54="",0,COUNTIFS('UX Weekly'!$H$1:$CT$1,"&gt;="&amp;AH$1,'UX Weekly'!$H$1:$CT$1,"&lt;="&amp;EOMONTH(AH$1,0),'UX Weekly'!$H54:$CT54,"&lt;&gt;"))</f>
        <v>0</v>
      </c>
      <c r="AI54">
        <f>IF($B54="",0,COUNTIFS('UX Weekly'!$H$1:$CT$1,"&gt;="&amp;AI$1,'UX Weekly'!$H$1:$CT$1,"&lt;="&amp;EOMONTH(AI$1,0),'UX Weekly'!$H54:$CT54,"&lt;&gt;"))</f>
        <v>0</v>
      </c>
      <c r="AJ54">
        <f>IF($B54="",0,COUNTIFS('UX Weekly'!$H$1:$CT$1,"&gt;="&amp;AJ$1,'UX Weekly'!$H$1:$CT$1,"&lt;="&amp;EOMONTH(AJ$1,0),'UX Weekly'!$H54:$CT54,"&lt;&gt;"))</f>
        <v>0</v>
      </c>
      <c r="AK54">
        <f>IF($B54="",0,COUNTIFS('UX Weekly'!$H$1:$CT$1,"&gt;="&amp;AK$1,'UX Weekly'!$H$1:$CT$1,"&lt;="&amp;EOMONTH(AK$1,0),'UX Weekly'!$H54:$CT54,"&lt;&gt;"))</f>
        <v>0</v>
      </c>
      <c r="AL54">
        <f>IF($B54="",0,COUNTIFS('UX Weekly'!$H$1:$CT$1,"&gt;="&amp;AL$1,'UX Weekly'!$H$1:$CT$1,"&lt;="&amp;EOMONTH(AL$1,0),'UX Weekly'!$H54:$CT54,"&lt;&gt;"))</f>
        <v>0</v>
      </c>
      <c r="AM54">
        <f>IF($B54="",0,COUNTIFS('UX Weekly'!$H$1:$CT$1,"&gt;="&amp;AM$1,'UX Weekly'!$H$1:$CT$1,"&lt;="&amp;EOMONTH(AM$1,0),'UX Weekly'!$H54:$CT54,"&lt;&gt;"))</f>
        <v>0</v>
      </c>
      <c r="AN54">
        <f>IF($B54="",0,COUNTIFS('UX Weekly'!$H$1:$CT$1,"&gt;="&amp;AN$1,'UX Weekly'!$H$1:$CT$1,"&lt;="&amp;EOMONTH(AN$1,0),'UX Weekly'!$H54:$CT54,"&lt;&gt;"))</f>
        <v>0</v>
      </c>
      <c r="AO54">
        <f>IF($B54="",0,COUNTIFS('UX Weekly'!$H$1:$CT$1,"&gt;="&amp;AO$1,'UX Weekly'!$H$1:$CT$1,"&lt;="&amp;EOMONTH(AO$1,0),'UX Weekly'!$H54:$CT54,"&lt;&gt;"))</f>
        <v>0</v>
      </c>
      <c r="AP54">
        <f>IF($B54="",0,COUNTIFS('UX Weekly'!$H$1:$CT$1,"&gt;="&amp;AP$1,'UX Weekly'!$H$1:$CT$1,"&lt;="&amp;EOMONTH(AP$1,0),'UX Weekly'!$H54:$CT54,"&lt;&gt;"))</f>
        <v>0</v>
      </c>
      <c r="AQ54">
        <f>IF($B54="",0,COUNTIFS('UX Weekly'!$H$1:$CT$1,"&gt;="&amp;AQ$1,'UX Weekly'!$H$1:$CT$1,"&lt;="&amp;EOMONTH(AQ$1,0),'UX Weekly'!$H54:$CT54,"&lt;&gt;"))</f>
        <v>0</v>
      </c>
      <c r="AR54">
        <f>IF($B54="",0,COUNTIFS('UX Weekly'!$H$1:$CT$1,"&gt;="&amp;AR$1,'UX Weekly'!$H$1:$CT$1,"&lt;="&amp;EOMONTH(AR$1,0),'UX Weekly'!$H54:$CT54,"&lt;&gt;"))</f>
        <v>0</v>
      </c>
      <c r="AS54">
        <f>IF($B54="",0,COUNTIFS('UX Weekly'!$H$1:$CT$1,"&gt;="&amp;AS$1,'UX Weekly'!$H$1:$CT$1,"&lt;="&amp;EOMONTH(AS$1,0),'UX Weekly'!$H54:$CT54,"&lt;&gt;"))</f>
        <v>0</v>
      </c>
      <c r="AT54">
        <f>IF($B54="",0,COUNTIFS('UX Weekly'!$H$1:$CT$1,"&gt;="&amp;AT$1,'UX Weekly'!$H$1:$CT$1,"&lt;="&amp;EOMONTH(AT$1,0),'UX Weekly'!$H54:$CT54,"&lt;&gt;"))</f>
        <v>0</v>
      </c>
      <c r="AU54">
        <f>IF($B54="",0,COUNTIFS('UX Weekly'!$H$1:$CT$1,"&gt;="&amp;AU$1,'UX Weekly'!$H$1:$CT$1,"&lt;="&amp;EOMONTH(AU$1,0),'UX Weekly'!$H54:$CT54,"&lt;&gt;"))</f>
        <v>0</v>
      </c>
      <c r="AV54">
        <f>IF($B54="",0,COUNTIFS('UX Weekly'!$H$1:$CT$1,"&gt;="&amp;AV$1,'UX Weekly'!$H$1:$CT$1,"&lt;="&amp;EOMONTH(AV$1,0),'UX Weekly'!$H54:$CT54,"&lt;&gt;"))</f>
        <v>0</v>
      </c>
      <c r="AW54">
        <f>IF($B54="",0,COUNTIFS('UX Weekly'!$H$1:$CT$1,"&gt;="&amp;AW$1,'UX Weekly'!$H$1:$CT$1,"&lt;="&amp;EOMONTH(AW$1,0),'UX Weekly'!$H54:$CT54,"&lt;&gt;"))</f>
        <v>0</v>
      </c>
      <c r="AX54">
        <f>IF($B54="",0,COUNTIFS('UX Weekly'!$H$1:$CT$1,"&gt;="&amp;AX$1,'UX Weekly'!$H$1:$CT$1,"&lt;="&amp;EOMONTH(AX$1,0),'UX Weekly'!$H54:$CT54,"&lt;&gt;"))</f>
        <v>0</v>
      </c>
    </row>
    <row r="55" spans="1:50" x14ac:dyDescent="0.2">
      <c r="A55" s="152">
        <v>55</v>
      </c>
      <c r="B55" s="152" t="str">
        <f>IF(TRIM('UX Weekly'!E55)="","",TRIM('UX Weekly'!E55))</f>
        <v/>
      </c>
      <c r="C55" s="152" t="str">
        <f>IF($B55="","",'UX Weekly'!B55)</f>
        <v/>
      </c>
      <c r="D55" s="152" t="str">
        <f>IF($B55="","",IF(TRIM('UX Weekly'!C55)="","(No theme assigned)",TRIM('UX Weekly'!C55)))</f>
        <v/>
      </c>
      <c r="E55" s="152" t="str">
        <f>IF($B55="","",TRIM('UX Weekly'!F55))</f>
        <v/>
      </c>
      <c r="F55" s="152" t="str">
        <f>IF($B55="","",'UX Weekly'!G55)</f>
        <v/>
      </c>
      <c r="G55" s="153" t="str">
        <f t="array" ref="G55">IF($B55="","",IF($T55=0,"",IFERROR(MIN(IF('UX Weekly'!$H55:$CT55&lt;&gt;"",'UX Weekly'!$H$1:$CT$1)),"")))</f>
        <v/>
      </c>
      <c r="H55" s="153" t="str">
        <f t="array" ref="H55">IF($B55="","",IF($T55=0,"",IFERROR(MAX(IF('UX Weekly'!$H55:$CT55&lt;&gt;"",'UX Weekly'!$H$1:$CT$1)),"")))</f>
        <v/>
      </c>
      <c r="I55" s="154" t="str">
        <f t="shared" ca="1" si="7"/>
        <v/>
      </c>
      <c r="J55" s="154" t="str">
        <f t="shared" ca="1" si="8"/>
        <v/>
      </c>
      <c r="K55" s="152" t="str">
        <f>IF($B55="","",IF(COUNTA('Dev Tracker'!L55)=0,"",TRIM('Dev Tracker'!L55)))</f>
        <v/>
      </c>
      <c r="L55" s="152" t="str">
        <f>IF($B55="","",IFERROR(MATCH($D55,Control!$E$4:$E$30,0),99))</f>
        <v/>
      </c>
      <c r="M55" s="152" t="str">
        <f>IF($B55="","",IFERROR(MATCH($F55,Control!$B$4:$B$30,0),99))</f>
        <v/>
      </c>
      <c r="N55" s="152" t="str">
        <f>IF($V55&lt;&gt;1,"",IF('Roadmap (Auto)'!$D$3="Status, then Theme",$M55*1000000+$L55*10000+ROW(),IF('Roadmap (Auto)'!$D$3="Dev start (earliest)",IF($I55="",99999999,$I55)*10000+ROW(),IF('Roadmap (Auto)'!$D$3="UX start (earliest)",IF($G55="",99999999,$G55)*10000+ROW(),IF('Roadmap (Auto)'!$D$3="Deliverable A-Z",$W55*10000+ROW(),$L55*1000000+$M55*10000+ROW())))))</f>
        <v/>
      </c>
      <c r="O55" s="152" t="str">
        <f t="shared" si="9"/>
        <v/>
      </c>
      <c r="P55" s="152" t="str">
        <f>IF($B55="","",IF(COUNTA('Dev Tracker'!I55)=0,"",'Dev Tracker'!I55))</f>
        <v/>
      </c>
      <c r="Q55" s="152" t="str">
        <f>IF($B55="","",IF(COUNTA('Dev Tracker'!J55)=0,"",'Dev Tracker'!J55))</f>
        <v/>
      </c>
      <c r="R55" s="154" t="str">
        <f t="shared" ca="1" si="10"/>
        <v/>
      </c>
      <c r="S55" s="154" t="str">
        <f t="shared" ca="1" si="11"/>
        <v/>
      </c>
      <c r="T55" s="152" t="str">
        <f>IF($B55="","",COUNTA('UX Weekly'!$H55:$CT55))</f>
        <v/>
      </c>
      <c r="U55" s="152" t="str">
        <f>IF($B55="","",IFERROR(MATCH($D55,Control!$E$4:$E$30,0)+3,0))</f>
        <v/>
      </c>
      <c r="V55" s="152" t="str">
        <f>IF($B55="","",IF(AND(OR('Roadmap (Auto)'!$A$3="",'Roadmap (Auto)'!$A$3="(All)",ISNUMBER(SEARCH('Roadmap (Auto)'!$A$3,$C55&amp;""))),OR('Roadmap (Auto)'!$B$3="",'Roadmap (Auto)'!$B$3="(All)",$D55='Roadmap (Auto)'!$B$3,$X55='Roadmap (Auto)'!$B$3),OR('Roadmap (Auto)'!$C$3="",'Roadmap (Auto)'!$C$3="(All)",$F55='Roadmap (Auto)'!$C$3)),1,0))</f>
        <v/>
      </c>
      <c r="W55" s="152" t="str">
        <f t="shared" si="12"/>
        <v/>
      </c>
      <c r="X55" s="152" t="str">
        <f>IF($B55="","",IF(TRIM('UX Weekly'!D55)="","",TRIM('UX Weekly'!D55)))</f>
        <v/>
      </c>
      <c r="Y55" s="152" t="str">
        <f t="shared" si="13"/>
        <v/>
      </c>
      <c r="AA55">
        <f>IF($B55="",0,COUNTIFS('UX Weekly'!$H$1:$CT$1,"&gt;="&amp;AA$1,'UX Weekly'!$H$1:$CT$1,"&lt;="&amp;EOMONTH(AA$1,0),'UX Weekly'!$H55:$CT55,"&lt;&gt;"))</f>
        <v>0</v>
      </c>
      <c r="AB55">
        <f>IF($B55="",0,COUNTIFS('UX Weekly'!$H$1:$CT$1,"&gt;="&amp;AB$1,'UX Weekly'!$H$1:$CT$1,"&lt;="&amp;EOMONTH(AB$1,0),'UX Weekly'!$H55:$CT55,"&lt;&gt;"))</f>
        <v>0</v>
      </c>
      <c r="AC55">
        <f>IF($B55="",0,COUNTIFS('UX Weekly'!$H$1:$CT$1,"&gt;="&amp;AC$1,'UX Weekly'!$H$1:$CT$1,"&lt;="&amp;EOMONTH(AC$1,0),'UX Weekly'!$H55:$CT55,"&lt;&gt;"))</f>
        <v>0</v>
      </c>
      <c r="AD55">
        <f>IF($B55="",0,COUNTIFS('UX Weekly'!$H$1:$CT$1,"&gt;="&amp;AD$1,'UX Weekly'!$H$1:$CT$1,"&lt;="&amp;EOMONTH(AD$1,0),'UX Weekly'!$H55:$CT55,"&lt;&gt;"))</f>
        <v>0</v>
      </c>
      <c r="AE55">
        <f>IF($B55="",0,COUNTIFS('UX Weekly'!$H$1:$CT$1,"&gt;="&amp;AE$1,'UX Weekly'!$H$1:$CT$1,"&lt;="&amp;EOMONTH(AE$1,0),'UX Weekly'!$H55:$CT55,"&lt;&gt;"))</f>
        <v>0</v>
      </c>
      <c r="AF55">
        <f>IF($B55="",0,COUNTIFS('UX Weekly'!$H$1:$CT$1,"&gt;="&amp;AF$1,'UX Weekly'!$H$1:$CT$1,"&lt;="&amp;EOMONTH(AF$1,0),'UX Weekly'!$H55:$CT55,"&lt;&gt;"))</f>
        <v>0</v>
      </c>
      <c r="AG55">
        <f>IF($B55="",0,COUNTIFS('UX Weekly'!$H$1:$CT$1,"&gt;="&amp;AG$1,'UX Weekly'!$H$1:$CT$1,"&lt;="&amp;EOMONTH(AG$1,0),'UX Weekly'!$H55:$CT55,"&lt;&gt;"))</f>
        <v>0</v>
      </c>
      <c r="AH55">
        <f>IF($B55="",0,COUNTIFS('UX Weekly'!$H$1:$CT$1,"&gt;="&amp;AH$1,'UX Weekly'!$H$1:$CT$1,"&lt;="&amp;EOMONTH(AH$1,0),'UX Weekly'!$H55:$CT55,"&lt;&gt;"))</f>
        <v>0</v>
      </c>
      <c r="AI55">
        <f>IF($B55="",0,COUNTIFS('UX Weekly'!$H$1:$CT$1,"&gt;="&amp;AI$1,'UX Weekly'!$H$1:$CT$1,"&lt;="&amp;EOMONTH(AI$1,0),'UX Weekly'!$H55:$CT55,"&lt;&gt;"))</f>
        <v>0</v>
      </c>
      <c r="AJ55">
        <f>IF($B55="",0,COUNTIFS('UX Weekly'!$H$1:$CT$1,"&gt;="&amp;AJ$1,'UX Weekly'!$H$1:$CT$1,"&lt;="&amp;EOMONTH(AJ$1,0),'UX Weekly'!$H55:$CT55,"&lt;&gt;"))</f>
        <v>0</v>
      </c>
      <c r="AK55">
        <f>IF($B55="",0,COUNTIFS('UX Weekly'!$H$1:$CT$1,"&gt;="&amp;AK$1,'UX Weekly'!$H$1:$CT$1,"&lt;="&amp;EOMONTH(AK$1,0),'UX Weekly'!$H55:$CT55,"&lt;&gt;"))</f>
        <v>0</v>
      </c>
      <c r="AL55">
        <f>IF($B55="",0,COUNTIFS('UX Weekly'!$H$1:$CT$1,"&gt;="&amp;AL$1,'UX Weekly'!$H$1:$CT$1,"&lt;="&amp;EOMONTH(AL$1,0),'UX Weekly'!$H55:$CT55,"&lt;&gt;"))</f>
        <v>0</v>
      </c>
      <c r="AM55">
        <f>IF($B55="",0,COUNTIFS('UX Weekly'!$H$1:$CT$1,"&gt;="&amp;AM$1,'UX Weekly'!$H$1:$CT$1,"&lt;="&amp;EOMONTH(AM$1,0),'UX Weekly'!$H55:$CT55,"&lt;&gt;"))</f>
        <v>0</v>
      </c>
      <c r="AN55">
        <f>IF($B55="",0,COUNTIFS('UX Weekly'!$H$1:$CT$1,"&gt;="&amp;AN$1,'UX Weekly'!$H$1:$CT$1,"&lt;="&amp;EOMONTH(AN$1,0),'UX Weekly'!$H55:$CT55,"&lt;&gt;"))</f>
        <v>0</v>
      </c>
      <c r="AO55">
        <f>IF($B55="",0,COUNTIFS('UX Weekly'!$H$1:$CT$1,"&gt;="&amp;AO$1,'UX Weekly'!$H$1:$CT$1,"&lt;="&amp;EOMONTH(AO$1,0),'UX Weekly'!$H55:$CT55,"&lt;&gt;"))</f>
        <v>0</v>
      </c>
      <c r="AP55">
        <f>IF($B55="",0,COUNTIFS('UX Weekly'!$H$1:$CT$1,"&gt;="&amp;AP$1,'UX Weekly'!$H$1:$CT$1,"&lt;="&amp;EOMONTH(AP$1,0),'UX Weekly'!$H55:$CT55,"&lt;&gt;"))</f>
        <v>0</v>
      </c>
      <c r="AQ55">
        <f>IF($B55="",0,COUNTIFS('UX Weekly'!$H$1:$CT$1,"&gt;="&amp;AQ$1,'UX Weekly'!$H$1:$CT$1,"&lt;="&amp;EOMONTH(AQ$1,0),'UX Weekly'!$H55:$CT55,"&lt;&gt;"))</f>
        <v>0</v>
      </c>
      <c r="AR55">
        <f>IF($B55="",0,COUNTIFS('UX Weekly'!$H$1:$CT$1,"&gt;="&amp;AR$1,'UX Weekly'!$H$1:$CT$1,"&lt;="&amp;EOMONTH(AR$1,0),'UX Weekly'!$H55:$CT55,"&lt;&gt;"))</f>
        <v>0</v>
      </c>
      <c r="AS55">
        <f>IF($B55="",0,COUNTIFS('UX Weekly'!$H$1:$CT$1,"&gt;="&amp;AS$1,'UX Weekly'!$H$1:$CT$1,"&lt;="&amp;EOMONTH(AS$1,0),'UX Weekly'!$H55:$CT55,"&lt;&gt;"))</f>
        <v>0</v>
      </c>
      <c r="AT55">
        <f>IF($B55="",0,COUNTIFS('UX Weekly'!$H$1:$CT$1,"&gt;="&amp;AT$1,'UX Weekly'!$H$1:$CT$1,"&lt;="&amp;EOMONTH(AT$1,0),'UX Weekly'!$H55:$CT55,"&lt;&gt;"))</f>
        <v>0</v>
      </c>
      <c r="AU55">
        <f>IF($B55="",0,COUNTIFS('UX Weekly'!$H$1:$CT$1,"&gt;="&amp;AU$1,'UX Weekly'!$H$1:$CT$1,"&lt;="&amp;EOMONTH(AU$1,0),'UX Weekly'!$H55:$CT55,"&lt;&gt;"))</f>
        <v>0</v>
      </c>
      <c r="AV55">
        <f>IF($B55="",0,COUNTIFS('UX Weekly'!$H$1:$CT$1,"&gt;="&amp;AV$1,'UX Weekly'!$H$1:$CT$1,"&lt;="&amp;EOMONTH(AV$1,0),'UX Weekly'!$H55:$CT55,"&lt;&gt;"))</f>
        <v>0</v>
      </c>
      <c r="AW55">
        <f>IF($B55="",0,COUNTIFS('UX Weekly'!$H$1:$CT$1,"&gt;="&amp;AW$1,'UX Weekly'!$H$1:$CT$1,"&lt;="&amp;EOMONTH(AW$1,0),'UX Weekly'!$H55:$CT55,"&lt;&gt;"))</f>
        <v>0</v>
      </c>
      <c r="AX55">
        <f>IF($B55="",0,COUNTIFS('UX Weekly'!$H$1:$CT$1,"&gt;="&amp;AX$1,'UX Weekly'!$H$1:$CT$1,"&lt;="&amp;EOMONTH(AX$1,0),'UX Weekly'!$H55:$CT55,"&lt;&gt;"))</f>
        <v>0</v>
      </c>
    </row>
    <row r="56" spans="1:50" x14ac:dyDescent="0.2">
      <c r="A56" s="152">
        <v>56</v>
      </c>
      <c r="B56" s="152" t="str">
        <f>IF(TRIM('UX Weekly'!E56)="","",TRIM('UX Weekly'!E56))</f>
        <v/>
      </c>
      <c r="C56" s="152" t="str">
        <f>IF($B56="","",'UX Weekly'!B56)</f>
        <v/>
      </c>
      <c r="D56" s="152" t="str">
        <f>IF($B56="","",IF(TRIM('UX Weekly'!C56)="","(No theme assigned)",TRIM('UX Weekly'!C56)))</f>
        <v/>
      </c>
      <c r="E56" s="152" t="str">
        <f>IF($B56="","",TRIM('UX Weekly'!F56))</f>
        <v/>
      </c>
      <c r="F56" s="152" t="str">
        <f>IF($B56="","",'UX Weekly'!G56)</f>
        <v/>
      </c>
      <c r="G56" s="153" t="str">
        <f t="array" ref="G56">IF($B56="","",IF($T56=0,"",IFERROR(MIN(IF('UX Weekly'!$H56:$CT56&lt;&gt;"",'UX Weekly'!$H$1:$CT$1)),"")))</f>
        <v/>
      </c>
      <c r="H56" s="153" t="str">
        <f t="array" ref="H56">IF($B56="","",IF($T56=0,"",IFERROR(MAX(IF('UX Weekly'!$H56:$CT56&lt;&gt;"",'UX Weekly'!$H$1:$CT$1)),"")))</f>
        <v/>
      </c>
      <c r="I56" s="154" t="str">
        <f t="shared" ca="1" si="7"/>
        <v/>
      </c>
      <c r="J56" s="154" t="str">
        <f t="shared" ca="1" si="8"/>
        <v/>
      </c>
      <c r="K56" s="152" t="str">
        <f>IF($B56="","",IF(COUNTA('Dev Tracker'!L56)=0,"",TRIM('Dev Tracker'!L56)))</f>
        <v/>
      </c>
      <c r="L56" s="152" t="str">
        <f>IF($B56="","",IFERROR(MATCH($D56,Control!$E$4:$E$30,0),99))</f>
        <v/>
      </c>
      <c r="M56" s="152" t="str">
        <f>IF($B56="","",IFERROR(MATCH($F56,Control!$B$4:$B$30,0),99))</f>
        <v/>
      </c>
      <c r="N56" s="152" t="str">
        <f>IF($V56&lt;&gt;1,"",IF('Roadmap (Auto)'!$D$3="Status, then Theme",$M56*1000000+$L56*10000+ROW(),IF('Roadmap (Auto)'!$D$3="Dev start (earliest)",IF($I56="",99999999,$I56)*10000+ROW(),IF('Roadmap (Auto)'!$D$3="UX start (earliest)",IF($G56="",99999999,$G56)*10000+ROW(),IF('Roadmap (Auto)'!$D$3="Deliverable A-Z",$W56*10000+ROW(),$L56*1000000+$M56*10000+ROW())))))</f>
        <v/>
      </c>
      <c r="O56" s="152" t="str">
        <f t="shared" si="9"/>
        <v/>
      </c>
      <c r="P56" s="152" t="str">
        <f>IF($B56="","",IF(COUNTA('Dev Tracker'!I56)=0,"",'Dev Tracker'!I56))</f>
        <v/>
      </c>
      <c r="Q56" s="152" t="str">
        <f>IF($B56="","",IF(COUNTA('Dev Tracker'!J56)=0,"",'Dev Tracker'!J56))</f>
        <v/>
      </c>
      <c r="R56" s="154" t="str">
        <f t="shared" ca="1" si="10"/>
        <v/>
      </c>
      <c r="S56" s="154" t="str">
        <f t="shared" ca="1" si="11"/>
        <v/>
      </c>
      <c r="T56" s="152" t="str">
        <f>IF($B56="","",COUNTA('UX Weekly'!$H56:$CT56))</f>
        <v/>
      </c>
      <c r="U56" s="152" t="str">
        <f>IF($B56="","",IFERROR(MATCH($D56,Control!$E$4:$E$30,0)+3,0))</f>
        <v/>
      </c>
      <c r="V56" s="152" t="str">
        <f>IF($B56="","",IF(AND(OR('Roadmap (Auto)'!$A$3="",'Roadmap (Auto)'!$A$3="(All)",ISNUMBER(SEARCH('Roadmap (Auto)'!$A$3,$C56&amp;""))),OR('Roadmap (Auto)'!$B$3="",'Roadmap (Auto)'!$B$3="(All)",$D56='Roadmap (Auto)'!$B$3,$X56='Roadmap (Auto)'!$B$3),OR('Roadmap (Auto)'!$C$3="",'Roadmap (Auto)'!$C$3="(All)",$F56='Roadmap (Auto)'!$C$3)),1,0))</f>
        <v/>
      </c>
      <c r="W56" s="152" t="str">
        <f t="shared" si="12"/>
        <v/>
      </c>
      <c r="X56" s="152" t="str">
        <f>IF($B56="","",IF(TRIM('UX Weekly'!D56)="","",TRIM('UX Weekly'!D56)))</f>
        <v/>
      </c>
      <c r="Y56" s="152" t="str">
        <f t="shared" si="13"/>
        <v/>
      </c>
      <c r="AA56">
        <f>IF($B56="",0,COUNTIFS('UX Weekly'!$H$1:$CT$1,"&gt;="&amp;AA$1,'UX Weekly'!$H$1:$CT$1,"&lt;="&amp;EOMONTH(AA$1,0),'UX Weekly'!$H56:$CT56,"&lt;&gt;"))</f>
        <v>0</v>
      </c>
      <c r="AB56">
        <f>IF($B56="",0,COUNTIFS('UX Weekly'!$H$1:$CT$1,"&gt;="&amp;AB$1,'UX Weekly'!$H$1:$CT$1,"&lt;="&amp;EOMONTH(AB$1,0),'UX Weekly'!$H56:$CT56,"&lt;&gt;"))</f>
        <v>0</v>
      </c>
      <c r="AC56">
        <f>IF($B56="",0,COUNTIFS('UX Weekly'!$H$1:$CT$1,"&gt;="&amp;AC$1,'UX Weekly'!$H$1:$CT$1,"&lt;="&amp;EOMONTH(AC$1,0),'UX Weekly'!$H56:$CT56,"&lt;&gt;"))</f>
        <v>0</v>
      </c>
      <c r="AD56">
        <f>IF($B56="",0,COUNTIFS('UX Weekly'!$H$1:$CT$1,"&gt;="&amp;AD$1,'UX Weekly'!$H$1:$CT$1,"&lt;="&amp;EOMONTH(AD$1,0),'UX Weekly'!$H56:$CT56,"&lt;&gt;"))</f>
        <v>0</v>
      </c>
      <c r="AE56">
        <f>IF($B56="",0,COUNTIFS('UX Weekly'!$H$1:$CT$1,"&gt;="&amp;AE$1,'UX Weekly'!$H$1:$CT$1,"&lt;="&amp;EOMONTH(AE$1,0),'UX Weekly'!$H56:$CT56,"&lt;&gt;"))</f>
        <v>0</v>
      </c>
      <c r="AF56">
        <f>IF($B56="",0,COUNTIFS('UX Weekly'!$H$1:$CT$1,"&gt;="&amp;AF$1,'UX Weekly'!$H$1:$CT$1,"&lt;="&amp;EOMONTH(AF$1,0),'UX Weekly'!$H56:$CT56,"&lt;&gt;"))</f>
        <v>0</v>
      </c>
      <c r="AG56">
        <f>IF($B56="",0,COUNTIFS('UX Weekly'!$H$1:$CT$1,"&gt;="&amp;AG$1,'UX Weekly'!$H$1:$CT$1,"&lt;="&amp;EOMONTH(AG$1,0),'UX Weekly'!$H56:$CT56,"&lt;&gt;"))</f>
        <v>0</v>
      </c>
      <c r="AH56">
        <f>IF($B56="",0,COUNTIFS('UX Weekly'!$H$1:$CT$1,"&gt;="&amp;AH$1,'UX Weekly'!$H$1:$CT$1,"&lt;="&amp;EOMONTH(AH$1,0),'UX Weekly'!$H56:$CT56,"&lt;&gt;"))</f>
        <v>0</v>
      </c>
      <c r="AI56">
        <f>IF($B56="",0,COUNTIFS('UX Weekly'!$H$1:$CT$1,"&gt;="&amp;AI$1,'UX Weekly'!$H$1:$CT$1,"&lt;="&amp;EOMONTH(AI$1,0),'UX Weekly'!$H56:$CT56,"&lt;&gt;"))</f>
        <v>0</v>
      </c>
      <c r="AJ56">
        <f>IF($B56="",0,COUNTIFS('UX Weekly'!$H$1:$CT$1,"&gt;="&amp;AJ$1,'UX Weekly'!$H$1:$CT$1,"&lt;="&amp;EOMONTH(AJ$1,0),'UX Weekly'!$H56:$CT56,"&lt;&gt;"))</f>
        <v>0</v>
      </c>
      <c r="AK56">
        <f>IF($B56="",0,COUNTIFS('UX Weekly'!$H$1:$CT$1,"&gt;="&amp;AK$1,'UX Weekly'!$H$1:$CT$1,"&lt;="&amp;EOMONTH(AK$1,0),'UX Weekly'!$H56:$CT56,"&lt;&gt;"))</f>
        <v>0</v>
      </c>
      <c r="AL56">
        <f>IF($B56="",0,COUNTIFS('UX Weekly'!$H$1:$CT$1,"&gt;="&amp;AL$1,'UX Weekly'!$H$1:$CT$1,"&lt;="&amp;EOMONTH(AL$1,0),'UX Weekly'!$H56:$CT56,"&lt;&gt;"))</f>
        <v>0</v>
      </c>
      <c r="AM56">
        <f>IF($B56="",0,COUNTIFS('UX Weekly'!$H$1:$CT$1,"&gt;="&amp;AM$1,'UX Weekly'!$H$1:$CT$1,"&lt;="&amp;EOMONTH(AM$1,0),'UX Weekly'!$H56:$CT56,"&lt;&gt;"))</f>
        <v>0</v>
      </c>
      <c r="AN56">
        <f>IF($B56="",0,COUNTIFS('UX Weekly'!$H$1:$CT$1,"&gt;="&amp;AN$1,'UX Weekly'!$H$1:$CT$1,"&lt;="&amp;EOMONTH(AN$1,0),'UX Weekly'!$H56:$CT56,"&lt;&gt;"))</f>
        <v>0</v>
      </c>
      <c r="AO56">
        <f>IF($B56="",0,COUNTIFS('UX Weekly'!$H$1:$CT$1,"&gt;="&amp;AO$1,'UX Weekly'!$H$1:$CT$1,"&lt;="&amp;EOMONTH(AO$1,0),'UX Weekly'!$H56:$CT56,"&lt;&gt;"))</f>
        <v>0</v>
      </c>
      <c r="AP56">
        <f>IF($B56="",0,COUNTIFS('UX Weekly'!$H$1:$CT$1,"&gt;="&amp;AP$1,'UX Weekly'!$H$1:$CT$1,"&lt;="&amp;EOMONTH(AP$1,0),'UX Weekly'!$H56:$CT56,"&lt;&gt;"))</f>
        <v>0</v>
      </c>
      <c r="AQ56">
        <f>IF($B56="",0,COUNTIFS('UX Weekly'!$H$1:$CT$1,"&gt;="&amp;AQ$1,'UX Weekly'!$H$1:$CT$1,"&lt;="&amp;EOMONTH(AQ$1,0),'UX Weekly'!$H56:$CT56,"&lt;&gt;"))</f>
        <v>0</v>
      </c>
      <c r="AR56">
        <f>IF($B56="",0,COUNTIFS('UX Weekly'!$H$1:$CT$1,"&gt;="&amp;AR$1,'UX Weekly'!$H$1:$CT$1,"&lt;="&amp;EOMONTH(AR$1,0),'UX Weekly'!$H56:$CT56,"&lt;&gt;"))</f>
        <v>0</v>
      </c>
      <c r="AS56">
        <f>IF($B56="",0,COUNTIFS('UX Weekly'!$H$1:$CT$1,"&gt;="&amp;AS$1,'UX Weekly'!$H$1:$CT$1,"&lt;="&amp;EOMONTH(AS$1,0),'UX Weekly'!$H56:$CT56,"&lt;&gt;"))</f>
        <v>0</v>
      </c>
      <c r="AT56">
        <f>IF($B56="",0,COUNTIFS('UX Weekly'!$H$1:$CT$1,"&gt;="&amp;AT$1,'UX Weekly'!$H$1:$CT$1,"&lt;="&amp;EOMONTH(AT$1,0),'UX Weekly'!$H56:$CT56,"&lt;&gt;"))</f>
        <v>0</v>
      </c>
      <c r="AU56">
        <f>IF($B56="",0,COUNTIFS('UX Weekly'!$H$1:$CT$1,"&gt;="&amp;AU$1,'UX Weekly'!$H$1:$CT$1,"&lt;="&amp;EOMONTH(AU$1,0),'UX Weekly'!$H56:$CT56,"&lt;&gt;"))</f>
        <v>0</v>
      </c>
      <c r="AV56">
        <f>IF($B56="",0,COUNTIFS('UX Weekly'!$H$1:$CT$1,"&gt;="&amp;AV$1,'UX Weekly'!$H$1:$CT$1,"&lt;="&amp;EOMONTH(AV$1,0),'UX Weekly'!$H56:$CT56,"&lt;&gt;"))</f>
        <v>0</v>
      </c>
      <c r="AW56">
        <f>IF($B56="",0,COUNTIFS('UX Weekly'!$H$1:$CT$1,"&gt;="&amp;AW$1,'UX Weekly'!$H$1:$CT$1,"&lt;="&amp;EOMONTH(AW$1,0),'UX Weekly'!$H56:$CT56,"&lt;&gt;"))</f>
        <v>0</v>
      </c>
      <c r="AX56">
        <f>IF($B56="",0,COUNTIFS('UX Weekly'!$H$1:$CT$1,"&gt;="&amp;AX$1,'UX Weekly'!$H$1:$CT$1,"&lt;="&amp;EOMONTH(AX$1,0),'UX Weekly'!$H56:$CT56,"&lt;&gt;"))</f>
        <v>0</v>
      </c>
    </row>
    <row r="57" spans="1:50" x14ac:dyDescent="0.2">
      <c r="A57" s="152">
        <v>57</v>
      </c>
      <c r="B57" s="152" t="str">
        <f>IF(TRIM('UX Weekly'!E57)="","",TRIM('UX Weekly'!E57))</f>
        <v/>
      </c>
      <c r="C57" s="152" t="str">
        <f>IF($B57="","",'UX Weekly'!B57)</f>
        <v/>
      </c>
      <c r="D57" s="152" t="str">
        <f>IF($B57="","",IF(TRIM('UX Weekly'!C57)="","(No theme assigned)",TRIM('UX Weekly'!C57)))</f>
        <v/>
      </c>
      <c r="E57" s="152" t="str">
        <f>IF($B57="","",TRIM('UX Weekly'!F57))</f>
        <v/>
      </c>
      <c r="F57" s="152" t="str">
        <f>IF($B57="","",'UX Weekly'!G57)</f>
        <v/>
      </c>
      <c r="G57" s="153" t="str">
        <f t="array" ref="G57">IF($B57="","",IF($T57=0,"",IFERROR(MIN(IF('UX Weekly'!$H57:$CT57&lt;&gt;"",'UX Weekly'!$H$1:$CT$1)),"")))</f>
        <v/>
      </c>
      <c r="H57" s="153" t="str">
        <f t="array" ref="H57">IF($B57="","",IF($T57=0,"",IFERROR(MAX(IF('UX Weekly'!$H57:$CT57&lt;&gt;"",'UX Weekly'!$H$1:$CT$1)),"")))</f>
        <v/>
      </c>
      <c r="I57" s="154" t="str">
        <f t="shared" ca="1" si="7"/>
        <v/>
      </c>
      <c r="J57" s="154" t="str">
        <f t="shared" ca="1" si="8"/>
        <v/>
      </c>
      <c r="K57" s="152" t="str">
        <f>IF($B57="","",IF(COUNTA('Dev Tracker'!L57)=0,"",TRIM('Dev Tracker'!L57)))</f>
        <v/>
      </c>
      <c r="L57" s="152" t="str">
        <f>IF($B57="","",IFERROR(MATCH($D57,Control!$E$4:$E$30,0),99))</f>
        <v/>
      </c>
      <c r="M57" s="152" t="str">
        <f>IF($B57="","",IFERROR(MATCH($F57,Control!$B$4:$B$30,0),99))</f>
        <v/>
      </c>
      <c r="N57" s="152" t="str">
        <f>IF($V57&lt;&gt;1,"",IF('Roadmap (Auto)'!$D$3="Status, then Theme",$M57*1000000+$L57*10000+ROW(),IF('Roadmap (Auto)'!$D$3="Dev start (earliest)",IF($I57="",99999999,$I57)*10000+ROW(),IF('Roadmap (Auto)'!$D$3="UX start (earliest)",IF($G57="",99999999,$G57)*10000+ROW(),IF('Roadmap (Auto)'!$D$3="Deliverable A-Z",$W57*10000+ROW(),$L57*1000000+$M57*10000+ROW())))))</f>
        <v/>
      </c>
      <c r="O57" s="152" t="str">
        <f t="shared" si="9"/>
        <v/>
      </c>
      <c r="P57" s="152" t="str">
        <f>IF($B57="","",IF(COUNTA('Dev Tracker'!I57)=0,"",'Dev Tracker'!I57))</f>
        <v/>
      </c>
      <c r="Q57" s="152" t="str">
        <f>IF($B57="","",IF(COUNTA('Dev Tracker'!J57)=0,"",'Dev Tracker'!J57))</f>
        <v/>
      </c>
      <c r="R57" s="154" t="str">
        <f t="shared" ca="1" si="10"/>
        <v/>
      </c>
      <c r="S57" s="154" t="str">
        <f t="shared" ca="1" si="11"/>
        <v/>
      </c>
      <c r="T57" s="152" t="str">
        <f>IF($B57="","",COUNTA('UX Weekly'!$H57:$CT57))</f>
        <v/>
      </c>
      <c r="U57" s="152" t="str">
        <f>IF($B57="","",IFERROR(MATCH($D57,Control!$E$4:$E$30,0)+3,0))</f>
        <v/>
      </c>
      <c r="V57" s="152" t="str">
        <f>IF($B57="","",IF(AND(OR('Roadmap (Auto)'!$A$3="",'Roadmap (Auto)'!$A$3="(All)",ISNUMBER(SEARCH('Roadmap (Auto)'!$A$3,$C57&amp;""))),OR('Roadmap (Auto)'!$B$3="",'Roadmap (Auto)'!$B$3="(All)",$D57='Roadmap (Auto)'!$B$3,$X57='Roadmap (Auto)'!$B$3),OR('Roadmap (Auto)'!$C$3="",'Roadmap (Auto)'!$C$3="(All)",$F57='Roadmap (Auto)'!$C$3)),1,0))</f>
        <v/>
      </c>
      <c r="W57" s="152" t="str">
        <f t="shared" si="12"/>
        <v/>
      </c>
      <c r="X57" s="152" t="str">
        <f>IF($B57="","",IF(TRIM('UX Weekly'!D57)="","",TRIM('UX Weekly'!D57)))</f>
        <v/>
      </c>
      <c r="Y57" s="152" t="str">
        <f t="shared" si="13"/>
        <v/>
      </c>
      <c r="AA57">
        <f>IF($B57="",0,COUNTIFS('UX Weekly'!$H$1:$CT$1,"&gt;="&amp;AA$1,'UX Weekly'!$H$1:$CT$1,"&lt;="&amp;EOMONTH(AA$1,0),'UX Weekly'!$H57:$CT57,"&lt;&gt;"))</f>
        <v>0</v>
      </c>
      <c r="AB57">
        <f>IF($B57="",0,COUNTIFS('UX Weekly'!$H$1:$CT$1,"&gt;="&amp;AB$1,'UX Weekly'!$H$1:$CT$1,"&lt;="&amp;EOMONTH(AB$1,0),'UX Weekly'!$H57:$CT57,"&lt;&gt;"))</f>
        <v>0</v>
      </c>
      <c r="AC57">
        <f>IF($B57="",0,COUNTIFS('UX Weekly'!$H$1:$CT$1,"&gt;="&amp;AC$1,'UX Weekly'!$H$1:$CT$1,"&lt;="&amp;EOMONTH(AC$1,0),'UX Weekly'!$H57:$CT57,"&lt;&gt;"))</f>
        <v>0</v>
      </c>
      <c r="AD57">
        <f>IF($B57="",0,COUNTIFS('UX Weekly'!$H$1:$CT$1,"&gt;="&amp;AD$1,'UX Weekly'!$H$1:$CT$1,"&lt;="&amp;EOMONTH(AD$1,0),'UX Weekly'!$H57:$CT57,"&lt;&gt;"))</f>
        <v>0</v>
      </c>
      <c r="AE57">
        <f>IF($B57="",0,COUNTIFS('UX Weekly'!$H$1:$CT$1,"&gt;="&amp;AE$1,'UX Weekly'!$H$1:$CT$1,"&lt;="&amp;EOMONTH(AE$1,0),'UX Weekly'!$H57:$CT57,"&lt;&gt;"))</f>
        <v>0</v>
      </c>
      <c r="AF57">
        <f>IF($B57="",0,COUNTIFS('UX Weekly'!$H$1:$CT$1,"&gt;="&amp;AF$1,'UX Weekly'!$H$1:$CT$1,"&lt;="&amp;EOMONTH(AF$1,0),'UX Weekly'!$H57:$CT57,"&lt;&gt;"))</f>
        <v>0</v>
      </c>
      <c r="AG57">
        <f>IF($B57="",0,COUNTIFS('UX Weekly'!$H$1:$CT$1,"&gt;="&amp;AG$1,'UX Weekly'!$H$1:$CT$1,"&lt;="&amp;EOMONTH(AG$1,0),'UX Weekly'!$H57:$CT57,"&lt;&gt;"))</f>
        <v>0</v>
      </c>
      <c r="AH57">
        <f>IF($B57="",0,COUNTIFS('UX Weekly'!$H$1:$CT$1,"&gt;="&amp;AH$1,'UX Weekly'!$H$1:$CT$1,"&lt;="&amp;EOMONTH(AH$1,0),'UX Weekly'!$H57:$CT57,"&lt;&gt;"))</f>
        <v>0</v>
      </c>
      <c r="AI57">
        <f>IF($B57="",0,COUNTIFS('UX Weekly'!$H$1:$CT$1,"&gt;="&amp;AI$1,'UX Weekly'!$H$1:$CT$1,"&lt;="&amp;EOMONTH(AI$1,0),'UX Weekly'!$H57:$CT57,"&lt;&gt;"))</f>
        <v>0</v>
      </c>
      <c r="AJ57">
        <f>IF($B57="",0,COUNTIFS('UX Weekly'!$H$1:$CT$1,"&gt;="&amp;AJ$1,'UX Weekly'!$H$1:$CT$1,"&lt;="&amp;EOMONTH(AJ$1,0),'UX Weekly'!$H57:$CT57,"&lt;&gt;"))</f>
        <v>0</v>
      </c>
      <c r="AK57">
        <f>IF($B57="",0,COUNTIFS('UX Weekly'!$H$1:$CT$1,"&gt;="&amp;AK$1,'UX Weekly'!$H$1:$CT$1,"&lt;="&amp;EOMONTH(AK$1,0),'UX Weekly'!$H57:$CT57,"&lt;&gt;"))</f>
        <v>0</v>
      </c>
      <c r="AL57">
        <f>IF($B57="",0,COUNTIFS('UX Weekly'!$H$1:$CT$1,"&gt;="&amp;AL$1,'UX Weekly'!$H$1:$CT$1,"&lt;="&amp;EOMONTH(AL$1,0),'UX Weekly'!$H57:$CT57,"&lt;&gt;"))</f>
        <v>0</v>
      </c>
      <c r="AM57">
        <f>IF($B57="",0,COUNTIFS('UX Weekly'!$H$1:$CT$1,"&gt;="&amp;AM$1,'UX Weekly'!$H$1:$CT$1,"&lt;="&amp;EOMONTH(AM$1,0),'UX Weekly'!$H57:$CT57,"&lt;&gt;"))</f>
        <v>0</v>
      </c>
      <c r="AN57">
        <f>IF($B57="",0,COUNTIFS('UX Weekly'!$H$1:$CT$1,"&gt;="&amp;AN$1,'UX Weekly'!$H$1:$CT$1,"&lt;="&amp;EOMONTH(AN$1,0),'UX Weekly'!$H57:$CT57,"&lt;&gt;"))</f>
        <v>0</v>
      </c>
      <c r="AO57">
        <f>IF($B57="",0,COUNTIFS('UX Weekly'!$H$1:$CT$1,"&gt;="&amp;AO$1,'UX Weekly'!$H$1:$CT$1,"&lt;="&amp;EOMONTH(AO$1,0),'UX Weekly'!$H57:$CT57,"&lt;&gt;"))</f>
        <v>0</v>
      </c>
      <c r="AP57">
        <f>IF($B57="",0,COUNTIFS('UX Weekly'!$H$1:$CT$1,"&gt;="&amp;AP$1,'UX Weekly'!$H$1:$CT$1,"&lt;="&amp;EOMONTH(AP$1,0),'UX Weekly'!$H57:$CT57,"&lt;&gt;"))</f>
        <v>0</v>
      </c>
      <c r="AQ57">
        <f>IF($B57="",0,COUNTIFS('UX Weekly'!$H$1:$CT$1,"&gt;="&amp;AQ$1,'UX Weekly'!$H$1:$CT$1,"&lt;="&amp;EOMONTH(AQ$1,0),'UX Weekly'!$H57:$CT57,"&lt;&gt;"))</f>
        <v>0</v>
      </c>
      <c r="AR57">
        <f>IF($B57="",0,COUNTIFS('UX Weekly'!$H$1:$CT$1,"&gt;="&amp;AR$1,'UX Weekly'!$H$1:$CT$1,"&lt;="&amp;EOMONTH(AR$1,0),'UX Weekly'!$H57:$CT57,"&lt;&gt;"))</f>
        <v>0</v>
      </c>
      <c r="AS57">
        <f>IF($B57="",0,COUNTIFS('UX Weekly'!$H$1:$CT$1,"&gt;="&amp;AS$1,'UX Weekly'!$H$1:$CT$1,"&lt;="&amp;EOMONTH(AS$1,0),'UX Weekly'!$H57:$CT57,"&lt;&gt;"))</f>
        <v>0</v>
      </c>
      <c r="AT57">
        <f>IF($B57="",0,COUNTIFS('UX Weekly'!$H$1:$CT$1,"&gt;="&amp;AT$1,'UX Weekly'!$H$1:$CT$1,"&lt;="&amp;EOMONTH(AT$1,0),'UX Weekly'!$H57:$CT57,"&lt;&gt;"))</f>
        <v>0</v>
      </c>
      <c r="AU57">
        <f>IF($B57="",0,COUNTIFS('UX Weekly'!$H$1:$CT$1,"&gt;="&amp;AU$1,'UX Weekly'!$H$1:$CT$1,"&lt;="&amp;EOMONTH(AU$1,0),'UX Weekly'!$H57:$CT57,"&lt;&gt;"))</f>
        <v>0</v>
      </c>
      <c r="AV57">
        <f>IF($B57="",0,COUNTIFS('UX Weekly'!$H$1:$CT$1,"&gt;="&amp;AV$1,'UX Weekly'!$H$1:$CT$1,"&lt;="&amp;EOMONTH(AV$1,0),'UX Weekly'!$H57:$CT57,"&lt;&gt;"))</f>
        <v>0</v>
      </c>
      <c r="AW57">
        <f>IF($B57="",0,COUNTIFS('UX Weekly'!$H$1:$CT$1,"&gt;="&amp;AW$1,'UX Weekly'!$H$1:$CT$1,"&lt;="&amp;EOMONTH(AW$1,0),'UX Weekly'!$H57:$CT57,"&lt;&gt;"))</f>
        <v>0</v>
      </c>
      <c r="AX57">
        <f>IF($B57="",0,COUNTIFS('UX Weekly'!$H$1:$CT$1,"&gt;="&amp;AX$1,'UX Weekly'!$H$1:$CT$1,"&lt;="&amp;EOMONTH(AX$1,0),'UX Weekly'!$H57:$CT57,"&lt;&gt;"))</f>
        <v>0</v>
      </c>
    </row>
    <row r="58" spans="1:50" x14ac:dyDescent="0.2">
      <c r="A58" s="152">
        <v>58</v>
      </c>
      <c r="B58" s="152" t="str">
        <f>IF(TRIM('UX Weekly'!E58)="","",TRIM('UX Weekly'!E58))</f>
        <v/>
      </c>
      <c r="C58" s="152" t="str">
        <f>IF($B58="","",'UX Weekly'!B58)</f>
        <v/>
      </c>
      <c r="D58" s="152" t="str">
        <f>IF($B58="","",IF(TRIM('UX Weekly'!C58)="","(No theme assigned)",TRIM('UX Weekly'!C58)))</f>
        <v/>
      </c>
      <c r="E58" s="152" t="str">
        <f>IF($B58="","",TRIM('UX Weekly'!F58))</f>
        <v/>
      </c>
      <c r="F58" s="152" t="str">
        <f>IF($B58="","",'UX Weekly'!G58)</f>
        <v/>
      </c>
      <c r="G58" s="153" t="str">
        <f t="array" ref="G58">IF($B58="","",IF($T58=0,"",IFERROR(MIN(IF('UX Weekly'!$H58:$CT58&lt;&gt;"",'UX Weekly'!$H$1:$CT$1)),"")))</f>
        <v/>
      </c>
      <c r="H58" s="153" t="str">
        <f t="array" ref="H58">IF($B58="","",IF($T58=0,"",IFERROR(MAX(IF('UX Weekly'!$H58:$CT58&lt;&gt;"",'UX Weekly'!$H$1:$CT$1)),"")))</f>
        <v/>
      </c>
      <c r="I58" s="154" t="str">
        <f t="shared" ca="1" si="7"/>
        <v/>
      </c>
      <c r="J58" s="154" t="str">
        <f t="shared" ca="1" si="8"/>
        <v/>
      </c>
      <c r="K58" s="152" t="str">
        <f>IF($B58="","",IF(COUNTA('Dev Tracker'!L58)=0,"",TRIM('Dev Tracker'!L58)))</f>
        <v/>
      </c>
      <c r="L58" s="152" t="str">
        <f>IF($B58="","",IFERROR(MATCH($D58,Control!$E$4:$E$30,0),99))</f>
        <v/>
      </c>
      <c r="M58" s="152" t="str">
        <f>IF($B58="","",IFERROR(MATCH($F58,Control!$B$4:$B$30,0),99))</f>
        <v/>
      </c>
      <c r="N58" s="152" t="str">
        <f>IF($V58&lt;&gt;1,"",IF('Roadmap (Auto)'!$D$3="Status, then Theme",$M58*1000000+$L58*10000+ROW(),IF('Roadmap (Auto)'!$D$3="Dev start (earliest)",IF($I58="",99999999,$I58)*10000+ROW(),IF('Roadmap (Auto)'!$D$3="UX start (earliest)",IF($G58="",99999999,$G58)*10000+ROW(),IF('Roadmap (Auto)'!$D$3="Deliverable A-Z",$W58*10000+ROW(),$L58*1000000+$M58*10000+ROW())))))</f>
        <v/>
      </c>
      <c r="O58" s="152" t="str">
        <f t="shared" si="9"/>
        <v/>
      </c>
      <c r="P58" s="152" t="str">
        <f>IF($B58="","",IF(COUNTA('Dev Tracker'!I58)=0,"",'Dev Tracker'!I58))</f>
        <v/>
      </c>
      <c r="Q58" s="152" t="str">
        <f>IF($B58="","",IF(COUNTA('Dev Tracker'!J58)=0,"",'Dev Tracker'!J58))</f>
        <v/>
      </c>
      <c r="R58" s="154" t="str">
        <f t="shared" ca="1" si="10"/>
        <v/>
      </c>
      <c r="S58" s="154" t="str">
        <f t="shared" ca="1" si="11"/>
        <v/>
      </c>
      <c r="T58" s="152" t="str">
        <f>IF($B58="","",COUNTA('UX Weekly'!$H58:$CT58))</f>
        <v/>
      </c>
      <c r="U58" s="152" t="str">
        <f>IF($B58="","",IFERROR(MATCH($D58,Control!$E$4:$E$30,0)+3,0))</f>
        <v/>
      </c>
      <c r="V58" s="152" t="str">
        <f>IF($B58="","",IF(AND(OR('Roadmap (Auto)'!$A$3="",'Roadmap (Auto)'!$A$3="(All)",ISNUMBER(SEARCH('Roadmap (Auto)'!$A$3,$C58&amp;""))),OR('Roadmap (Auto)'!$B$3="",'Roadmap (Auto)'!$B$3="(All)",$D58='Roadmap (Auto)'!$B$3,$X58='Roadmap (Auto)'!$B$3),OR('Roadmap (Auto)'!$C$3="",'Roadmap (Auto)'!$C$3="(All)",$F58='Roadmap (Auto)'!$C$3)),1,0))</f>
        <v/>
      </c>
      <c r="W58" s="152" t="str">
        <f t="shared" si="12"/>
        <v/>
      </c>
      <c r="X58" s="152" t="str">
        <f>IF($B58="","",IF(TRIM('UX Weekly'!D58)="","",TRIM('UX Weekly'!D58)))</f>
        <v/>
      </c>
      <c r="Y58" s="152" t="str">
        <f t="shared" si="13"/>
        <v/>
      </c>
      <c r="AA58">
        <f>IF($B58="",0,COUNTIFS('UX Weekly'!$H$1:$CT$1,"&gt;="&amp;AA$1,'UX Weekly'!$H$1:$CT$1,"&lt;="&amp;EOMONTH(AA$1,0),'UX Weekly'!$H58:$CT58,"&lt;&gt;"))</f>
        <v>0</v>
      </c>
      <c r="AB58">
        <f>IF($B58="",0,COUNTIFS('UX Weekly'!$H$1:$CT$1,"&gt;="&amp;AB$1,'UX Weekly'!$H$1:$CT$1,"&lt;="&amp;EOMONTH(AB$1,0),'UX Weekly'!$H58:$CT58,"&lt;&gt;"))</f>
        <v>0</v>
      </c>
      <c r="AC58">
        <f>IF($B58="",0,COUNTIFS('UX Weekly'!$H$1:$CT$1,"&gt;="&amp;AC$1,'UX Weekly'!$H$1:$CT$1,"&lt;="&amp;EOMONTH(AC$1,0),'UX Weekly'!$H58:$CT58,"&lt;&gt;"))</f>
        <v>0</v>
      </c>
      <c r="AD58">
        <f>IF($B58="",0,COUNTIFS('UX Weekly'!$H$1:$CT$1,"&gt;="&amp;AD$1,'UX Weekly'!$H$1:$CT$1,"&lt;="&amp;EOMONTH(AD$1,0),'UX Weekly'!$H58:$CT58,"&lt;&gt;"))</f>
        <v>0</v>
      </c>
      <c r="AE58">
        <f>IF($B58="",0,COUNTIFS('UX Weekly'!$H$1:$CT$1,"&gt;="&amp;AE$1,'UX Weekly'!$H$1:$CT$1,"&lt;="&amp;EOMONTH(AE$1,0),'UX Weekly'!$H58:$CT58,"&lt;&gt;"))</f>
        <v>0</v>
      </c>
      <c r="AF58">
        <f>IF($B58="",0,COUNTIFS('UX Weekly'!$H$1:$CT$1,"&gt;="&amp;AF$1,'UX Weekly'!$H$1:$CT$1,"&lt;="&amp;EOMONTH(AF$1,0),'UX Weekly'!$H58:$CT58,"&lt;&gt;"))</f>
        <v>0</v>
      </c>
      <c r="AG58">
        <f>IF($B58="",0,COUNTIFS('UX Weekly'!$H$1:$CT$1,"&gt;="&amp;AG$1,'UX Weekly'!$H$1:$CT$1,"&lt;="&amp;EOMONTH(AG$1,0),'UX Weekly'!$H58:$CT58,"&lt;&gt;"))</f>
        <v>0</v>
      </c>
      <c r="AH58">
        <f>IF($B58="",0,COUNTIFS('UX Weekly'!$H$1:$CT$1,"&gt;="&amp;AH$1,'UX Weekly'!$H$1:$CT$1,"&lt;="&amp;EOMONTH(AH$1,0),'UX Weekly'!$H58:$CT58,"&lt;&gt;"))</f>
        <v>0</v>
      </c>
      <c r="AI58">
        <f>IF($B58="",0,COUNTIFS('UX Weekly'!$H$1:$CT$1,"&gt;="&amp;AI$1,'UX Weekly'!$H$1:$CT$1,"&lt;="&amp;EOMONTH(AI$1,0),'UX Weekly'!$H58:$CT58,"&lt;&gt;"))</f>
        <v>0</v>
      </c>
      <c r="AJ58">
        <f>IF($B58="",0,COUNTIFS('UX Weekly'!$H$1:$CT$1,"&gt;="&amp;AJ$1,'UX Weekly'!$H$1:$CT$1,"&lt;="&amp;EOMONTH(AJ$1,0),'UX Weekly'!$H58:$CT58,"&lt;&gt;"))</f>
        <v>0</v>
      </c>
      <c r="AK58">
        <f>IF($B58="",0,COUNTIFS('UX Weekly'!$H$1:$CT$1,"&gt;="&amp;AK$1,'UX Weekly'!$H$1:$CT$1,"&lt;="&amp;EOMONTH(AK$1,0),'UX Weekly'!$H58:$CT58,"&lt;&gt;"))</f>
        <v>0</v>
      </c>
      <c r="AL58">
        <f>IF($B58="",0,COUNTIFS('UX Weekly'!$H$1:$CT$1,"&gt;="&amp;AL$1,'UX Weekly'!$H$1:$CT$1,"&lt;="&amp;EOMONTH(AL$1,0),'UX Weekly'!$H58:$CT58,"&lt;&gt;"))</f>
        <v>0</v>
      </c>
      <c r="AM58">
        <f>IF($B58="",0,COUNTIFS('UX Weekly'!$H$1:$CT$1,"&gt;="&amp;AM$1,'UX Weekly'!$H$1:$CT$1,"&lt;="&amp;EOMONTH(AM$1,0),'UX Weekly'!$H58:$CT58,"&lt;&gt;"))</f>
        <v>0</v>
      </c>
      <c r="AN58">
        <f>IF($B58="",0,COUNTIFS('UX Weekly'!$H$1:$CT$1,"&gt;="&amp;AN$1,'UX Weekly'!$H$1:$CT$1,"&lt;="&amp;EOMONTH(AN$1,0),'UX Weekly'!$H58:$CT58,"&lt;&gt;"))</f>
        <v>0</v>
      </c>
      <c r="AO58">
        <f>IF($B58="",0,COUNTIFS('UX Weekly'!$H$1:$CT$1,"&gt;="&amp;AO$1,'UX Weekly'!$H$1:$CT$1,"&lt;="&amp;EOMONTH(AO$1,0),'UX Weekly'!$H58:$CT58,"&lt;&gt;"))</f>
        <v>0</v>
      </c>
      <c r="AP58">
        <f>IF($B58="",0,COUNTIFS('UX Weekly'!$H$1:$CT$1,"&gt;="&amp;AP$1,'UX Weekly'!$H$1:$CT$1,"&lt;="&amp;EOMONTH(AP$1,0),'UX Weekly'!$H58:$CT58,"&lt;&gt;"))</f>
        <v>0</v>
      </c>
      <c r="AQ58">
        <f>IF($B58="",0,COUNTIFS('UX Weekly'!$H$1:$CT$1,"&gt;="&amp;AQ$1,'UX Weekly'!$H$1:$CT$1,"&lt;="&amp;EOMONTH(AQ$1,0),'UX Weekly'!$H58:$CT58,"&lt;&gt;"))</f>
        <v>0</v>
      </c>
      <c r="AR58">
        <f>IF($B58="",0,COUNTIFS('UX Weekly'!$H$1:$CT$1,"&gt;="&amp;AR$1,'UX Weekly'!$H$1:$CT$1,"&lt;="&amp;EOMONTH(AR$1,0),'UX Weekly'!$H58:$CT58,"&lt;&gt;"))</f>
        <v>0</v>
      </c>
      <c r="AS58">
        <f>IF($B58="",0,COUNTIFS('UX Weekly'!$H$1:$CT$1,"&gt;="&amp;AS$1,'UX Weekly'!$H$1:$CT$1,"&lt;="&amp;EOMONTH(AS$1,0),'UX Weekly'!$H58:$CT58,"&lt;&gt;"))</f>
        <v>0</v>
      </c>
      <c r="AT58">
        <f>IF($B58="",0,COUNTIFS('UX Weekly'!$H$1:$CT$1,"&gt;="&amp;AT$1,'UX Weekly'!$H$1:$CT$1,"&lt;="&amp;EOMONTH(AT$1,0),'UX Weekly'!$H58:$CT58,"&lt;&gt;"))</f>
        <v>0</v>
      </c>
      <c r="AU58">
        <f>IF($B58="",0,COUNTIFS('UX Weekly'!$H$1:$CT$1,"&gt;="&amp;AU$1,'UX Weekly'!$H$1:$CT$1,"&lt;="&amp;EOMONTH(AU$1,0),'UX Weekly'!$H58:$CT58,"&lt;&gt;"))</f>
        <v>0</v>
      </c>
      <c r="AV58">
        <f>IF($B58="",0,COUNTIFS('UX Weekly'!$H$1:$CT$1,"&gt;="&amp;AV$1,'UX Weekly'!$H$1:$CT$1,"&lt;="&amp;EOMONTH(AV$1,0),'UX Weekly'!$H58:$CT58,"&lt;&gt;"))</f>
        <v>0</v>
      </c>
      <c r="AW58">
        <f>IF($B58="",0,COUNTIFS('UX Weekly'!$H$1:$CT$1,"&gt;="&amp;AW$1,'UX Weekly'!$H$1:$CT$1,"&lt;="&amp;EOMONTH(AW$1,0),'UX Weekly'!$H58:$CT58,"&lt;&gt;"))</f>
        <v>0</v>
      </c>
      <c r="AX58">
        <f>IF($B58="",0,COUNTIFS('UX Weekly'!$H$1:$CT$1,"&gt;="&amp;AX$1,'UX Weekly'!$H$1:$CT$1,"&lt;="&amp;EOMONTH(AX$1,0),'UX Weekly'!$H58:$CT58,"&lt;&gt;"))</f>
        <v>0</v>
      </c>
    </row>
    <row r="59" spans="1:50" x14ac:dyDescent="0.2">
      <c r="A59" s="152">
        <v>59</v>
      </c>
      <c r="B59" s="152" t="str">
        <f>IF(TRIM('UX Weekly'!E59)="","",TRIM('UX Weekly'!E59))</f>
        <v/>
      </c>
      <c r="C59" s="152" t="str">
        <f>IF($B59="","",'UX Weekly'!B59)</f>
        <v/>
      </c>
      <c r="D59" s="152" t="str">
        <f>IF($B59="","",IF(TRIM('UX Weekly'!C59)="","(No theme assigned)",TRIM('UX Weekly'!C59)))</f>
        <v/>
      </c>
      <c r="E59" s="152" t="str">
        <f>IF($B59="","",TRIM('UX Weekly'!F59))</f>
        <v/>
      </c>
      <c r="F59" s="152" t="str">
        <f>IF($B59="","",'UX Weekly'!G59)</f>
        <v/>
      </c>
      <c r="G59" s="153" t="str">
        <f t="array" ref="G59">IF($B59="","",IF($T59=0,"",IFERROR(MIN(IF('UX Weekly'!$H59:$CT59&lt;&gt;"",'UX Weekly'!$H$1:$CT$1)),"")))</f>
        <v/>
      </c>
      <c r="H59" s="153" t="str">
        <f t="array" ref="H59">IF($B59="","",IF($T59=0,"",IFERROR(MAX(IF('UX Weekly'!$H59:$CT59&lt;&gt;"",'UX Weekly'!$H$1:$CT$1)),"")))</f>
        <v/>
      </c>
      <c r="I59" s="154" t="str">
        <f t="shared" ca="1" si="7"/>
        <v/>
      </c>
      <c r="J59" s="154" t="str">
        <f t="shared" ca="1" si="8"/>
        <v/>
      </c>
      <c r="K59" s="152" t="str">
        <f>IF($B59="","",IF(COUNTA('Dev Tracker'!L59)=0,"",TRIM('Dev Tracker'!L59)))</f>
        <v/>
      </c>
      <c r="L59" s="152" t="str">
        <f>IF($B59="","",IFERROR(MATCH($D59,Control!$E$4:$E$30,0),99))</f>
        <v/>
      </c>
      <c r="M59" s="152" t="str">
        <f>IF($B59="","",IFERROR(MATCH($F59,Control!$B$4:$B$30,0),99))</f>
        <v/>
      </c>
      <c r="N59" s="152" t="str">
        <f>IF($V59&lt;&gt;1,"",IF('Roadmap (Auto)'!$D$3="Status, then Theme",$M59*1000000+$L59*10000+ROW(),IF('Roadmap (Auto)'!$D$3="Dev start (earliest)",IF($I59="",99999999,$I59)*10000+ROW(),IF('Roadmap (Auto)'!$D$3="UX start (earliest)",IF($G59="",99999999,$G59)*10000+ROW(),IF('Roadmap (Auto)'!$D$3="Deliverable A-Z",$W59*10000+ROW(),$L59*1000000+$M59*10000+ROW())))))</f>
        <v/>
      </c>
      <c r="O59" s="152" t="str">
        <f t="shared" si="9"/>
        <v/>
      </c>
      <c r="P59" s="152" t="str">
        <f>IF($B59="","",IF(COUNTA('Dev Tracker'!I59)=0,"",'Dev Tracker'!I59))</f>
        <v/>
      </c>
      <c r="Q59" s="152" t="str">
        <f>IF($B59="","",IF(COUNTA('Dev Tracker'!J59)=0,"",'Dev Tracker'!J59))</f>
        <v/>
      </c>
      <c r="R59" s="154" t="str">
        <f t="shared" ca="1" si="10"/>
        <v/>
      </c>
      <c r="S59" s="154" t="str">
        <f t="shared" ca="1" si="11"/>
        <v/>
      </c>
      <c r="T59" s="152" t="str">
        <f>IF($B59="","",COUNTA('UX Weekly'!$H59:$CT59))</f>
        <v/>
      </c>
      <c r="U59" s="152" t="str">
        <f>IF($B59="","",IFERROR(MATCH($D59,Control!$E$4:$E$30,0)+3,0))</f>
        <v/>
      </c>
      <c r="V59" s="152" t="str">
        <f>IF($B59="","",IF(AND(OR('Roadmap (Auto)'!$A$3="",'Roadmap (Auto)'!$A$3="(All)",ISNUMBER(SEARCH('Roadmap (Auto)'!$A$3,$C59&amp;""))),OR('Roadmap (Auto)'!$B$3="",'Roadmap (Auto)'!$B$3="(All)",$D59='Roadmap (Auto)'!$B$3,$X59='Roadmap (Auto)'!$B$3),OR('Roadmap (Auto)'!$C$3="",'Roadmap (Auto)'!$C$3="(All)",$F59='Roadmap (Auto)'!$C$3)),1,0))</f>
        <v/>
      </c>
      <c r="W59" s="152" t="str">
        <f t="shared" si="12"/>
        <v/>
      </c>
      <c r="X59" s="152" t="str">
        <f>IF($B59="","",IF(TRIM('UX Weekly'!D59)="","",TRIM('UX Weekly'!D59)))</f>
        <v/>
      </c>
      <c r="Y59" s="152" t="str">
        <f t="shared" si="13"/>
        <v/>
      </c>
      <c r="AA59">
        <f>IF($B59="",0,COUNTIFS('UX Weekly'!$H$1:$CT$1,"&gt;="&amp;AA$1,'UX Weekly'!$H$1:$CT$1,"&lt;="&amp;EOMONTH(AA$1,0),'UX Weekly'!$H59:$CT59,"&lt;&gt;"))</f>
        <v>0</v>
      </c>
      <c r="AB59">
        <f>IF($B59="",0,COUNTIFS('UX Weekly'!$H$1:$CT$1,"&gt;="&amp;AB$1,'UX Weekly'!$H$1:$CT$1,"&lt;="&amp;EOMONTH(AB$1,0),'UX Weekly'!$H59:$CT59,"&lt;&gt;"))</f>
        <v>0</v>
      </c>
      <c r="AC59">
        <f>IF($B59="",0,COUNTIFS('UX Weekly'!$H$1:$CT$1,"&gt;="&amp;AC$1,'UX Weekly'!$H$1:$CT$1,"&lt;="&amp;EOMONTH(AC$1,0),'UX Weekly'!$H59:$CT59,"&lt;&gt;"))</f>
        <v>0</v>
      </c>
      <c r="AD59">
        <f>IF($B59="",0,COUNTIFS('UX Weekly'!$H$1:$CT$1,"&gt;="&amp;AD$1,'UX Weekly'!$H$1:$CT$1,"&lt;="&amp;EOMONTH(AD$1,0),'UX Weekly'!$H59:$CT59,"&lt;&gt;"))</f>
        <v>0</v>
      </c>
      <c r="AE59">
        <f>IF($B59="",0,COUNTIFS('UX Weekly'!$H$1:$CT$1,"&gt;="&amp;AE$1,'UX Weekly'!$H$1:$CT$1,"&lt;="&amp;EOMONTH(AE$1,0),'UX Weekly'!$H59:$CT59,"&lt;&gt;"))</f>
        <v>0</v>
      </c>
      <c r="AF59">
        <f>IF($B59="",0,COUNTIFS('UX Weekly'!$H$1:$CT$1,"&gt;="&amp;AF$1,'UX Weekly'!$H$1:$CT$1,"&lt;="&amp;EOMONTH(AF$1,0),'UX Weekly'!$H59:$CT59,"&lt;&gt;"))</f>
        <v>0</v>
      </c>
      <c r="AG59">
        <f>IF($B59="",0,COUNTIFS('UX Weekly'!$H$1:$CT$1,"&gt;="&amp;AG$1,'UX Weekly'!$H$1:$CT$1,"&lt;="&amp;EOMONTH(AG$1,0),'UX Weekly'!$H59:$CT59,"&lt;&gt;"))</f>
        <v>0</v>
      </c>
      <c r="AH59">
        <f>IF($B59="",0,COUNTIFS('UX Weekly'!$H$1:$CT$1,"&gt;="&amp;AH$1,'UX Weekly'!$H$1:$CT$1,"&lt;="&amp;EOMONTH(AH$1,0),'UX Weekly'!$H59:$CT59,"&lt;&gt;"))</f>
        <v>0</v>
      </c>
      <c r="AI59">
        <f>IF($B59="",0,COUNTIFS('UX Weekly'!$H$1:$CT$1,"&gt;="&amp;AI$1,'UX Weekly'!$H$1:$CT$1,"&lt;="&amp;EOMONTH(AI$1,0),'UX Weekly'!$H59:$CT59,"&lt;&gt;"))</f>
        <v>0</v>
      </c>
      <c r="AJ59">
        <f>IF($B59="",0,COUNTIFS('UX Weekly'!$H$1:$CT$1,"&gt;="&amp;AJ$1,'UX Weekly'!$H$1:$CT$1,"&lt;="&amp;EOMONTH(AJ$1,0),'UX Weekly'!$H59:$CT59,"&lt;&gt;"))</f>
        <v>0</v>
      </c>
      <c r="AK59">
        <f>IF($B59="",0,COUNTIFS('UX Weekly'!$H$1:$CT$1,"&gt;="&amp;AK$1,'UX Weekly'!$H$1:$CT$1,"&lt;="&amp;EOMONTH(AK$1,0),'UX Weekly'!$H59:$CT59,"&lt;&gt;"))</f>
        <v>0</v>
      </c>
      <c r="AL59">
        <f>IF($B59="",0,COUNTIFS('UX Weekly'!$H$1:$CT$1,"&gt;="&amp;AL$1,'UX Weekly'!$H$1:$CT$1,"&lt;="&amp;EOMONTH(AL$1,0),'UX Weekly'!$H59:$CT59,"&lt;&gt;"))</f>
        <v>0</v>
      </c>
      <c r="AM59">
        <f>IF($B59="",0,COUNTIFS('UX Weekly'!$H$1:$CT$1,"&gt;="&amp;AM$1,'UX Weekly'!$H$1:$CT$1,"&lt;="&amp;EOMONTH(AM$1,0),'UX Weekly'!$H59:$CT59,"&lt;&gt;"))</f>
        <v>0</v>
      </c>
      <c r="AN59">
        <f>IF($B59="",0,COUNTIFS('UX Weekly'!$H$1:$CT$1,"&gt;="&amp;AN$1,'UX Weekly'!$H$1:$CT$1,"&lt;="&amp;EOMONTH(AN$1,0),'UX Weekly'!$H59:$CT59,"&lt;&gt;"))</f>
        <v>0</v>
      </c>
      <c r="AO59">
        <f>IF($B59="",0,COUNTIFS('UX Weekly'!$H$1:$CT$1,"&gt;="&amp;AO$1,'UX Weekly'!$H$1:$CT$1,"&lt;="&amp;EOMONTH(AO$1,0),'UX Weekly'!$H59:$CT59,"&lt;&gt;"))</f>
        <v>0</v>
      </c>
      <c r="AP59">
        <f>IF($B59="",0,COUNTIFS('UX Weekly'!$H$1:$CT$1,"&gt;="&amp;AP$1,'UX Weekly'!$H$1:$CT$1,"&lt;="&amp;EOMONTH(AP$1,0),'UX Weekly'!$H59:$CT59,"&lt;&gt;"))</f>
        <v>0</v>
      </c>
      <c r="AQ59">
        <f>IF($B59="",0,COUNTIFS('UX Weekly'!$H$1:$CT$1,"&gt;="&amp;AQ$1,'UX Weekly'!$H$1:$CT$1,"&lt;="&amp;EOMONTH(AQ$1,0),'UX Weekly'!$H59:$CT59,"&lt;&gt;"))</f>
        <v>0</v>
      </c>
      <c r="AR59">
        <f>IF($B59="",0,COUNTIFS('UX Weekly'!$H$1:$CT$1,"&gt;="&amp;AR$1,'UX Weekly'!$H$1:$CT$1,"&lt;="&amp;EOMONTH(AR$1,0),'UX Weekly'!$H59:$CT59,"&lt;&gt;"))</f>
        <v>0</v>
      </c>
      <c r="AS59">
        <f>IF($B59="",0,COUNTIFS('UX Weekly'!$H$1:$CT$1,"&gt;="&amp;AS$1,'UX Weekly'!$H$1:$CT$1,"&lt;="&amp;EOMONTH(AS$1,0),'UX Weekly'!$H59:$CT59,"&lt;&gt;"))</f>
        <v>0</v>
      </c>
      <c r="AT59">
        <f>IF($B59="",0,COUNTIFS('UX Weekly'!$H$1:$CT$1,"&gt;="&amp;AT$1,'UX Weekly'!$H$1:$CT$1,"&lt;="&amp;EOMONTH(AT$1,0),'UX Weekly'!$H59:$CT59,"&lt;&gt;"))</f>
        <v>0</v>
      </c>
      <c r="AU59">
        <f>IF($B59="",0,COUNTIFS('UX Weekly'!$H$1:$CT$1,"&gt;="&amp;AU$1,'UX Weekly'!$H$1:$CT$1,"&lt;="&amp;EOMONTH(AU$1,0),'UX Weekly'!$H59:$CT59,"&lt;&gt;"))</f>
        <v>0</v>
      </c>
      <c r="AV59">
        <f>IF($B59="",0,COUNTIFS('UX Weekly'!$H$1:$CT$1,"&gt;="&amp;AV$1,'UX Weekly'!$H$1:$CT$1,"&lt;="&amp;EOMONTH(AV$1,0),'UX Weekly'!$H59:$CT59,"&lt;&gt;"))</f>
        <v>0</v>
      </c>
      <c r="AW59">
        <f>IF($B59="",0,COUNTIFS('UX Weekly'!$H$1:$CT$1,"&gt;="&amp;AW$1,'UX Weekly'!$H$1:$CT$1,"&lt;="&amp;EOMONTH(AW$1,0),'UX Weekly'!$H59:$CT59,"&lt;&gt;"))</f>
        <v>0</v>
      </c>
      <c r="AX59">
        <f>IF($B59="",0,COUNTIFS('UX Weekly'!$H$1:$CT$1,"&gt;="&amp;AX$1,'UX Weekly'!$H$1:$CT$1,"&lt;="&amp;EOMONTH(AX$1,0),'UX Weekly'!$H59:$CT59,"&lt;&gt;"))</f>
        <v>0</v>
      </c>
    </row>
    <row r="60" spans="1:50" x14ac:dyDescent="0.2">
      <c r="A60" s="152">
        <v>60</v>
      </c>
      <c r="B60" s="152" t="str">
        <f>IF(TRIM('UX Weekly'!E60)="","",TRIM('UX Weekly'!E60))</f>
        <v/>
      </c>
      <c r="C60" s="152" t="str">
        <f>IF($B60="","",'UX Weekly'!B60)</f>
        <v/>
      </c>
      <c r="D60" s="152" t="str">
        <f>IF($B60="","",IF(TRIM('UX Weekly'!C60)="","(No theme assigned)",TRIM('UX Weekly'!C60)))</f>
        <v/>
      </c>
      <c r="E60" s="152" t="str">
        <f>IF($B60="","",TRIM('UX Weekly'!F60))</f>
        <v/>
      </c>
      <c r="F60" s="152" t="str">
        <f>IF($B60="","",'UX Weekly'!G60)</f>
        <v/>
      </c>
      <c r="G60" s="153" t="str">
        <f t="array" ref="G60">IF($B60="","",IF($T60=0,"",IFERROR(MIN(IF('UX Weekly'!$H60:$CT60&lt;&gt;"",'UX Weekly'!$H$1:$CT$1)),"")))</f>
        <v/>
      </c>
      <c r="H60" s="153" t="str">
        <f t="array" ref="H60">IF($B60="","",IF($T60=0,"",IFERROR(MAX(IF('UX Weekly'!$H60:$CT60&lt;&gt;"",'UX Weekly'!$H$1:$CT$1)),"")))</f>
        <v/>
      </c>
      <c r="I60" s="154" t="str">
        <f t="shared" ca="1" si="7"/>
        <v/>
      </c>
      <c r="J60" s="154" t="str">
        <f t="shared" ca="1" si="8"/>
        <v/>
      </c>
      <c r="K60" s="152" t="str">
        <f>IF($B60="","",IF(COUNTA('Dev Tracker'!L60)=0,"",TRIM('Dev Tracker'!L60)))</f>
        <v/>
      </c>
      <c r="L60" s="152" t="str">
        <f>IF($B60="","",IFERROR(MATCH($D60,Control!$E$4:$E$30,0),99))</f>
        <v/>
      </c>
      <c r="M60" s="152" t="str">
        <f>IF($B60="","",IFERROR(MATCH($F60,Control!$B$4:$B$30,0),99))</f>
        <v/>
      </c>
      <c r="N60" s="152" t="str">
        <f>IF($V60&lt;&gt;1,"",IF('Roadmap (Auto)'!$D$3="Status, then Theme",$M60*1000000+$L60*10000+ROW(),IF('Roadmap (Auto)'!$D$3="Dev start (earliest)",IF($I60="",99999999,$I60)*10000+ROW(),IF('Roadmap (Auto)'!$D$3="UX start (earliest)",IF($G60="",99999999,$G60)*10000+ROW(),IF('Roadmap (Auto)'!$D$3="Deliverable A-Z",$W60*10000+ROW(),$L60*1000000+$M60*10000+ROW())))))</f>
        <v/>
      </c>
      <c r="O60" s="152" t="str">
        <f t="shared" si="9"/>
        <v/>
      </c>
      <c r="P60" s="152" t="str">
        <f>IF($B60="","",IF(COUNTA('Dev Tracker'!I60)=0,"",'Dev Tracker'!I60))</f>
        <v/>
      </c>
      <c r="Q60" s="152" t="str">
        <f>IF($B60="","",IF(COUNTA('Dev Tracker'!J60)=0,"",'Dev Tracker'!J60))</f>
        <v/>
      </c>
      <c r="R60" s="154" t="str">
        <f t="shared" ca="1" si="10"/>
        <v/>
      </c>
      <c r="S60" s="154" t="str">
        <f t="shared" ca="1" si="11"/>
        <v/>
      </c>
      <c r="T60" s="152" t="str">
        <f>IF($B60="","",COUNTA('UX Weekly'!$H60:$CT60))</f>
        <v/>
      </c>
      <c r="U60" s="152" t="str">
        <f>IF($B60="","",IFERROR(MATCH($D60,Control!$E$4:$E$30,0)+3,0))</f>
        <v/>
      </c>
      <c r="V60" s="152" t="str">
        <f>IF($B60="","",IF(AND(OR('Roadmap (Auto)'!$A$3="",'Roadmap (Auto)'!$A$3="(All)",ISNUMBER(SEARCH('Roadmap (Auto)'!$A$3,$C60&amp;""))),OR('Roadmap (Auto)'!$B$3="",'Roadmap (Auto)'!$B$3="(All)",$D60='Roadmap (Auto)'!$B$3,$X60='Roadmap (Auto)'!$B$3),OR('Roadmap (Auto)'!$C$3="",'Roadmap (Auto)'!$C$3="(All)",$F60='Roadmap (Auto)'!$C$3)),1,0))</f>
        <v/>
      </c>
      <c r="W60" s="152" t="str">
        <f t="shared" si="12"/>
        <v/>
      </c>
      <c r="X60" s="152" t="str">
        <f>IF($B60="","",IF(TRIM('UX Weekly'!D60)="","",TRIM('UX Weekly'!D60)))</f>
        <v/>
      </c>
      <c r="Y60" s="152" t="str">
        <f t="shared" si="13"/>
        <v/>
      </c>
      <c r="AA60">
        <f>IF($B60="",0,COUNTIFS('UX Weekly'!$H$1:$CT$1,"&gt;="&amp;AA$1,'UX Weekly'!$H$1:$CT$1,"&lt;="&amp;EOMONTH(AA$1,0),'UX Weekly'!$H60:$CT60,"&lt;&gt;"))</f>
        <v>0</v>
      </c>
      <c r="AB60">
        <f>IF($B60="",0,COUNTIFS('UX Weekly'!$H$1:$CT$1,"&gt;="&amp;AB$1,'UX Weekly'!$H$1:$CT$1,"&lt;="&amp;EOMONTH(AB$1,0),'UX Weekly'!$H60:$CT60,"&lt;&gt;"))</f>
        <v>0</v>
      </c>
      <c r="AC60">
        <f>IF($B60="",0,COUNTIFS('UX Weekly'!$H$1:$CT$1,"&gt;="&amp;AC$1,'UX Weekly'!$H$1:$CT$1,"&lt;="&amp;EOMONTH(AC$1,0),'UX Weekly'!$H60:$CT60,"&lt;&gt;"))</f>
        <v>0</v>
      </c>
      <c r="AD60">
        <f>IF($B60="",0,COUNTIFS('UX Weekly'!$H$1:$CT$1,"&gt;="&amp;AD$1,'UX Weekly'!$H$1:$CT$1,"&lt;="&amp;EOMONTH(AD$1,0),'UX Weekly'!$H60:$CT60,"&lt;&gt;"))</f>
        <v>0</v>
      </c>
      <c r="AE60">
        <f>IF($B60="",0,COUNTIFS('UX Weekly'!$H$1:$CT$1,"&gt;="&amp;AE$1,'UX Weekly'!$H$1:$CT$1,"&lt;="&amp;EOMONTH(AE$1,0),'UX Weekly'!$H60:$CT60,"&lt;&gt;"))</f>
        <v>0</v>
      </c>
      <c r="AF60">
        <f>IF($B60="",0,COUNTIFS('UX Weekly'!$H$1:$CT$1,"&gt;="&amp;AF$1,'UX Weekly'!$H$1:$CT$1,"&lt;="&amp;EOMONTH(AF$1,0),'UX Weekly'!$H60:$CT60,"&lt;&gt;"))</f>
        <v>0</v>
      </c>
      <c r="AG60">
        <f>IF($B60="",0,COUNTIFS('UX Weekly'!$H$1:$CT$1,"&gt;="&amp;AG$1,'UX Weekly'!$H$1:$CT$1,"&lt;="&amp;EOMONTH(AG$1,0),'UX Weekly'!$H60:$CT60,"&lt;&gt;"))</f>
        <v>0</v>
      </c>
      <c r="AH60">
        <f>IF($B60="",0,COUNTIFS('UX Weekly'!$H$1:$CT$1,"&gt;="&amp;AH$1,'UX Weekly'!$H$1:$CT$1,"&lt;="&amp;EOMONTH(AH$1,0),'UX Weekly'!$H60:$CT60,"&lt;&gt;"))</f>
        <v>0</v>
      </c>
      <c r="AI60">
        <f>IF($B60="",0,COUNTIFS('UX Weekly'!$H$1:$CT$1,"&gt;="&amp;AI$1,'UX Weekly'!$H$1:$CT$1,"&lt;="&amp;EOMONTH(AI$1,0),'UX Weekly'!$H60:$CT60,"&lt;&gt;"))</f>
        <v>0</v>
      </c>
      <c r="AJ60">
        <f>IF($B60="",0,COUNTIFS('UX Weekly'!$H$1:$CT$1,"&gt;="&amp;AJ$1,'UX Weekly'!$H$1:$CT$1,"&lt;="&amp;EOMONTH(AJ$1,0),'UX Weekly'!$H60:$CT60,"&lt;&gt;"))</f>
        <v>0</v>
      </c>
      <c r="AK60">
        <f>IF($B60="",0,COUNTIFS('UX Weekly'!$H$1:$CT$1,"&gt;="&amp;AK$1,'UX Weekly'!$H$1:$CT$1,"&lt;="&amp;EOMONTH(AK$1,0),'UX Weekly'!$H60:$CT60,"&lt;&gt;"))</f>
        <v>0</v>
      </c>
      <c r="AL60">
        <f>IF($B60="",0,COUNTIFS('UX Weekly'!$H$1:$CT$1,"&gt;="&amp;AL$1,'UX Weekly'!$H$1:$CT$1,"&lt;="&amp;EOMONTH(AL$1,0),'UX Weekly'!$H60:$CT60,"&lt;&gt;"))</f>
        <v>0</v>
      </c>
      <c r="AM60">
        <f>IF($B60="",0,COUNTIFS('UX Weekly'!$H$1:$CT$1,"&gt;="&amp;AM$1,'UX Weekly'!$H$1:$CT$1,"&lt;="&amp;EOMONTH(AM$1,0),'UX Weekly'!$H60:$CT60,"&lt;&gt;"))</f>
        <v>0</v>
      </c>
      <c r="AN60">
        <f>IF($B60="",0,COUNTIFS('UX Weekly'!$H$1:$CT$1,"&gt;="&amp;AN$1,'UX Weekly'!$H$1:$CT$1,"&lt;="&amp;EOMONTH(AN$1,0),'UX Weekly'!$H60:$CT60,"&lt;&gt;"))</f>
        <v>0</v>
      </c>
      <c r="AO60">
        <f>IF($B60="",0,COUNTIFS('UX Weekly'!$H$1:$CT$1,"&gt;="&amp;AO$1,'UX Weekly'!$H$1:$CT$1,"&lt;="&amp;EOMONTH(AO$1,0),'UX Weekly'!$H60:$CT60,"&lt;&gt;"))</f>
        <v>0</v>
      </c>
      <c r="AP60">
        <f>IF($B60="",0,COUNTIFS('UX Weekly'!$H$1:$CT$1,"&gt;="&amp;AP$1,'UX Weekly'!$H$1:$CT$1,"&lt;="&amp;EOMONTH(AP$1,0),'UX Weekly'!$H60:$CT60,"&lt;&gt;"))</f>
        <v>0</v>
      </c>
      <c r="AQ60">
        <f>IF($B60="",0,COUNTIFS('UX Weekly'!$H$1:$CT$1,"&gt;="&amp;AQ$1,'UX Weekly'!$H$1:$CT$1,"&lt;="&amp;EOMONTH(AQ$1,0),'UX Weekly'!$H60:$CT60,"&lt;&gt;"))</f>
        <v>0</v>
      </c>
      <c r="AR60">
        <f>IF($B60="",0,COUNTIFS('UX Weekly'!$H$1:$CT$1,"&gt;="&amp;AR$1,'UX Weekly'!$H$1:$CT$1,"&lt;="&amp;EOMONTH(AR$1,0),'UX Weekly'!$H60:$CT60,"&lt;&gt;"))</f>
        <v>0</v>
      </c>
      <c r="AS60">
        <f>IF($B60="",0,COUNTIFS('UX Weekly'!$H$1:$CT$1,"&gt;="&amp;AS$1,'UX Weekly'!$H$1:$CT$1,"&lt;="&amp;EOMONTH(AS$1,0),'UX Weekly'!$H60:$CT60,"&lt;&gt;"))</f>
        <v>0</v>
      </c>
      <c r="AT60">
        <f>IF($B60="",0,COUNTIFS('UX Weekly'!$H$1:$CT$1,"&gt;="&amp;AT$1,'UX Weekly'!$H$1:$CT$1,"&lt;="&amp;EOMONTH(AT$1,0),'UX Weekly'!$H60:$CT60,"&lt;&gt;"))</f>
        <v>0</v>
      </c>
      <c r="AU60">
        <f>IF($B60="",0,COUNTIFS('UX Weekly'!$H$1:$CT$1,"&gt;="&amp;AU$1,'UX Weekly'!$H$1:$CT$1,"&lt;="&amp;EOMONTH(AU$1,0),'UX Weekly'!$H60:$CT60,"&lt;&gt;"))</f>
        <v>0</v>
      </c>
      <c r="AV60">
        <f>IF($B60="",0,COUNTIFS('UX Weekly'!$H$1:$CT$1,"&gt;="&amp;AV$1,'UX Weekly'!$H$1:$CT$1,"&lt;="&amp;EOMONTH(AV$1,0),'UX Weekly'!$H60:$CT60,"&lt;&gt;"))</f>
        <v>0</v>
      </c>
      <c r="AW60">
        <f>IF($B60="",0,COUNTIFS('UX Weekly'!$H$1:$CT$1,"&gt;="&amp;AW$1,'UX Weekly'!$H$1:$CT$1,"&lt;="&amp;EOMONTH(AW$1,0),'UX Weekly'!$H60:$CT60,"&lt;&gt;"))</f>
        <v>0</v>
      </c>
      <c r="AX60">
        <f>IF($B60="",0,COUNTIFS('UX Weekly'!$H$1:$CT$1,"&gt;="&amp;AX$1,'UX Weekly'!$H$1:$CT$1,"&lt;="&amp;EOMONTH(AX$1,0),'UX Weekly'!$H60:$CT60,"&lt;&gt;"))</f>
        <v>0</v>
      </c>
    </row>
    <row r="61" spans="1:50" x14ac:dyDescent="0.2">
      <c r="A61" s="152">
        <v>61</v>
      </c>
      <c r="B61" s="152" t="str">
        <f>IF(TRIM('UX Weekly'!E61)="","",TRIM('UX Weekly'!E61))</f>
        <v/>
      </c>
      <c r="C61" s="152" t="str">
        <f>IF($B61="","",'UX Weekly'!B61)</f>
        <v/>
      </c>
      <c r="D61" s="152" t="str">
        <f>IF($B61="","",IF(TRIM('UX Weekly'!C61)="","(No theme assigned)",TRIM('UX Weekly'!C61)))</f>
        <v/>
      </c>
      <c r="E61" s="152" t="str">
        <f>IF($B61="","",TRIM('UX Weekly'!F61))</f>
        <v/>
      </c>
      <c r="F61" s="152" t="str">
        <f>IF($B61="","",'UX Weekly'!G61)</f>
        <v/>
      </c>
      <c r="G61" s="153" t="str">
        <f t="array" ref="G61">IF($B61="","",IF($T61=0,"",IFERROR(MIN(IF('UX Weekly'!$H61:$CT61&lt;&gt;"",'UX Weekly'!$H$1:$CT$1)),"")))</f>
        <v/>
      </c>
      <c r="H61" s="153" t="str">
        <f t="array" ref="H61">IF($B61="","",IF($T61=0,"",IFERROR(MAX(IF('UX Weekly'!$H61:$CT61&lt;&gt;"",'UX Weekly'!$H$1:$CT$1)),"")))</f>
        <v/>
      </c>
      <c r="I61" s="154" t="str">
        <f t="shared" ca="1" si="7"/>
        <v/>
      </c>
      <c r="J61" s="154" t="str">
        <f t="shared" ca="1" si="8"/>
        <v/>
      </c>
      <c r="K61" s="152" t="str">
        <f>IF($B61="","",IF(COUNTA('Dev Tracker'!L61)=0,"",TRIM('Dev Tracker'!L61)))</f>
        <v/>
      </c>
      <c r="L61" s="152" t="str">
        <f>IF($B61="","",IFERROR(MATCH($D61,Control!$E$4:$E$30,0),99))</f>
        <v/>
      </c>
      <c r="M61" s="152" t="str">
        <f>IF($B61="","",IFERROR(MATCH($F61,Control!$B$4:$B$30,0),99))</f>
        <v/>
      </c>
      <c r="N61" s="152" t="str">
        <f>IF($V61&lt;&gt;1,"",IF('Roadmap (Auto)'!$D$3="Status, then Theme",$M61*1000000+$L61*10000+ROW(),IF('Roadmap (Auto)'!$D$3="Dev start (earliest)",IF($I61="",99999999,$I61)*10000+ROW(),IF('Roadmap (Auto)'!$D$3="UX start (earliest)",IF($G61="",99999999,$G61)*10000+ROW(),IF('Roadmap (Auto)'!$D$3="Deliverable A-Z",$W61*10000+ROW(),$L61*1000000+$M61*10000+ROW())))))</f>
        <v/>
      </c>
      <c r="O61" s="152" t="str">
        <f t="shared" si="9"/>
        <v/>
      </c>
      <c r="P61" s="152" t="str">
        <f>IF($B61="","",IF(COUNTA('Dev Tracker'!I61)=0,"",'Dev Tracker'!I61))</f>
        <v/>
      </c>
      <c r="Q61" s="152" t="str">
        <f>IF($B61="","",IF(COUNTA('Dev Tracker'!J61)=0,"",'Dev Tracker'!J61))</f>
        <v/>
      </c>
      <c r="R61" s="154" t="str">
        <f t="shared" ca="1" si="10"/>
        <v/>
      </c>
      <c r="S61" s="154" t="str">
        <f t="shared" ca="1" si="11"/>
        <v/>
      </c>
      <c r="T61" s="152" t="str">
        <f>IF($B61="","",COUNTA('UX Weekly'!$H61:$CT61))</f>
        <v/>
      </c>
      <c r="U61" s="152" t="str">
        <f>IF($B61="","",IFERROR(MATCH($D61,Control!$E$4:$E$30,0)+3,0))</f>
        <v/>
      </c>
      <c r="V61" s="152" t="str">
        <f>IF($B61="","",IF(AND(OR('Roadmap (Auto)'!$A$3="",'Roadmap (Auto)'!$A$3="(All)",ISNUMBER(SEARCH('Roadmap (Auto)'!$A$3,$C61&amp;""))),OR('Roadmap (Auto)'!$B$3="",'Roadmap (Auto)'!$B$3="(All)",$D61='Roadmap (Auto)'!$B$3,$X61='Roadmap (Auto)'!$B$3),OR('Roadmap (Auto)'!$C$3="",'Roadmap (Auto)'!$C$3="(All)",$F61='Roadmap (Auto)'!$C$3)),1,0))</f>
        <v/>
      </c>
      <c r="W61" s="152" t="str">
        <f t="shared" si="12"/>
        <v/>
      </c>
      <c r="X61" s="152" t="str">
        <f>IF($B61="","",IF(TRIM('UX Weekly'!D61)="","",TRIM('UX Weekly'!D61)))</f>
        <v/>
      </c>
      <c r="Y61" s="152" t="str">
        <f t="shared" si="13"/>
        <v/>
      </c>
      <c r="AA61">
        <f>IF($B61="",0,COUNTIFS('UX Weekly'!$H$1:$CT$1,"&gt;="&amp;AA$1,'UX Weekly'!$H$1:$CT$1,"&lt;="&amp;EOMONTH(AA$1,0),'UX Weekly'!$H61:$CT61,"&lt;&gt;"))</f>
        <v>0</v>
      </c>
      <c r="AB61">
        <f>IF($B61="",0,COUNTIFS('UX Weekly'!$H$1:$CT$1,"&gt;="&amp;AB$1,'UX Weekly'!$H$1:$CT$1,"&lt;="&amp;EOMONTH(AB$1,0),'UX Weekly'!$H61:$CT61,"&lt;&gt;"))</f>
        <v>0</v>
      </c>
      <c r="AC61">
        <f>IF($B61="",0,COUNTIFS('UX Weekly'!$H$1:$CT$1,"&gt;="&amp;AC$1,'UX Weekly'!$H$1:$CT$1,"&lt;="&amp;EOMONTH(AC$1,0),'UX Weekly'!$H61:$CT61,"&lt;&gt;"))</f>
        <v>0</v>
      </c>
      <c r="AD61">
        <f>IF($B61="",0,COUNTIFS('UX Weekly'!$H$1:$CT$1,"&gt;="&amp;AD$1,'UX Weekly'!$H$1:$CT$1,"&lt;="&amp;EOMONTH(AD$1,0),'UX Weekly'!$H61:$CT61,"&lt;&gt;"))</f>
        <v>0</v>
      </c>
      <c r="AE61">
        <f>IF($B61="",0,COUNTIFS('UX Weekly'!$H$1:$CT$1,"&gt;="&amp;AE$1,'UX Weekly'!$H$1:$CT$1,"&lt;="&amp;EOMONTH(AE$1,0),'UX Weekly'!$H61:$CT61,"&lt;&gt;"))</f>
        <v>0</v>
      </c>
      <c r="AF61">
        <f>IF($B61="",0,COUNTIFS('UX Weekly'!$H$1:$CT$1,"&gt;="&amp;AF$1,'UX Weekly'!$H$1:$CT$1,"&lt;="&amp;EOMONTH(AF$1,0),'UX Weekly'!$H61:$CT61,"&lt;&gt;"))</f>
        <v>0</v>
      </c>
      <c r="AG61">
        <f>IF($B61="",0,COUNTIFS('UX Weekly'!$H$1:$CT$1,"&gt;="&amp;AG$1,'UX Weekly'!$H$1:$CT$1,"&lt;="&amp;EOMONTH(AG$1,0),'UX Weekly'!$H61:$CT61,"&lt;&gt;"))</f>
        <v>0</v>
      </c>
      <c r="AH61">
        <f>IF($B61="",0,COUNTIFS('UX Weekly'!$H$1:$CT$1,"&gt;="&amp;AH$1,'UX Weekly'!$H$1:$CT$1,"&lt;="&amp;EOMONTH(AH$1,0),'UX Weekly'!$H61:$CT61,"&lt;&gt;"))</f>
        <v>0</v>
      </c>
      <c r="AI61">
        <f>IF($B61="",0,COUNTIFS('UX Weekly'!$H$1:$CT$1,"&gt;="&amp;AI$1,'UX Weekly'!$H$1:$CT$1,"&lt;="&amp;EOMONTH(AI$1,0),'UX Weekly'!$H61:$CT61,"&lt;&gt;"))</f>
        <v>0</v>
      </c>
      <c r="AJ61">
        <f>IF($B61="",0,COUNTIFS('UX Weekly'!$H$1:$CT$1,"&gt;="&amp;AJ$1,'UX Weekly'!$H$1:$CT$1,"&lt;="&amp;EOMONTH(AJ$1,0),'UX Weekly'!$H61:$CT61,"&lt;&gt;"))</f>
        <v>0</v>
      </c>
      <c r="AK61">
        <f>IF($B61="",0,COUNTIFS('UX Weekly'!$H$1:$CT$1,"&gt;="&amp;AK$1,'UX Weekly'!$H$1:$CT$1,"&lt;="&amp;EOMONTH(AK$1,0),'UX Weekly'!$H61:$CT61,"&lt;&gt;"))</f>
        <v>0</v>
      </c>
      <c r="AL61">
        <f>IF($B61="",0,COUNTIFS('UX Weekly'!$H$1:$CT$1,"&gt;="&amp;AL$1,'UX Weekly'!$H$1:$CT$1,"&lt;="&amp;EOMONTH(AL$1,0),'UX Weekly'!$H61:$CT61,"&lt;&gt;"))</f>
        <v>0</v>
      </c>
      <c r="AM61">
        <f>IF($B61="",0,COUNTIFS('UX Weekly'!$H$1:$CT$1,"&gt;="&amp;AM$1,'UX Weekly'!$H$1:$CT$1,"&lt;="&amp;EOMONTH(AM$1,0),'UX Weekly'!$H61:$CT61,"&lt;&gt;"))</f>
        <v>0</v>
      </c>
      <c r="AN61">
        <f>IF($B61="",0,COUNTIFS('UX Weekly'!$H$1:$CT$1,"&gt;="&amp;AN$1,'UX Weekly'!$H$1:$CT$1,"&lt;="&amp;EOMONTH(AN$1,0),'UX Weekly'!$H61:$CT61,"&lt;&gt;"))</f>
        <v>0</v>
      </c>
      <c r="AO61">
        <f>IF($B61="",0,COUNTIFS('UX Weekly'!$H$1:$CT$1,"&gt;="&amp;AO$1,'UX Weekly'!$H$1:$CT$1,"&lt;="&amp;EOMONTH(AO$1,0),'UX Weekly'!$H61:$CT61,"&lt;&gt;"))</f>
        <v>0</v>
      </c>
      <c r="AP61">
        <f>IF($B61="",0,COUNTIFS('UX Weekly'!$H$1:$CT$1,"&gt;="&amp;AP$1,'UX Weekly'!$H$1:$CT$1,"&lt;="&amp;EOMONTH(AP$1,0),'UX Weekly'!$H61:$CT61,"&lt;&gt;"))</f>
        <v>0</v>
      </c>
      <c r="AQ61">
        <f>IF($B61="",0,COUNTIFS('UX Weekly'!$H$1:$CT$1,"&gt;="&amp;AQ$1,'UX Weekly'!$H$1:$CT$1,"&lt;="&amp;EOMONTH(AQ$1,0),'UX Weekly'!$H61:$CT61,"&lt;&gt;"))</f>
        <v>0</v>
      </c>
      <c r="AR61">
        <f>IF($B61="",0,COUNTIFS('UX Weekly'!$H$1:$CT$1,"&gt;="&amp;AR$1,'UX Weekly'!$H$1:$CT$1,"&lt;="&amp;EOMONTH(AR$1,0),'UX Weekly'!$H61:$CT61,"&lt;&gt;"))</f>
        <v>0</v>
      </c>
      <c r="AS61">
        <f>IF($B61="",0,COUNTIFS('UX Weekly'!$H$1:$CT$1,"&gt;="&amp;AS$1,'UX Weekly'!$H$1:$CT$1,"&lt;="&amp;EOMONTH(AS$1,0),'UX Weekly'!$H61:$CT61,"&lt;&gt;"))</f>
        <v>0</v>
      </c>
      <c r="AT61">
        <f>IF($B61="",0,COUNTIFS('UX Weekly'!$H$1:$CT$1,"&gt;="&amp;AT$1,'UX Weekly'!$H$1:$CT$1,"&lt;="&amp;EOMONTH(AT$1,0),'UX Weekly'!$H61:$CT61,"&lt;&gt;"))</f>
        <v>0</v>
      </c>
      <c r="AU61">
        <f>IF($B61="",0,COUNTIFS('UX Weekly'!$H$1:$CT$1,"&gt;="&amp;AU$1,'UX Weekly'!$H$1:$CT$1,"&lt;="&amp;EOMONTH(AU$1,0),'UX Weekly'!$H61:$CT61,"&lt;&gt;"))</f>
        <v>0</v>
      </c>
      <c r="AV61">
        <f>IF($B61="",0,COUNTIFS('UX Weekly'!$H$1:$CT$1,"&gt;="&amp;AV$1,'UX Weekly'!$H$1:$CT$1,"&lt;="&amp;EOMONTH(AV$1,0),'UX Weekly'!$H61:$CT61,"&lt;&gt;"))</f>
        <v>0</v>
      </c>
      <c r="AW61">
        <f>IF($B61="",0,COUNTIFS('UX Weekly'!$H$1:$CT$1,"&gt;="&amp;AW$1,'UX Weekly'!$H$1:$CT$1,"&lt;="&amp;EOMONTH(AW$1,0),'UX Weekly'!$H61:$CT61,"&lt;&gt;"))</f>
        <v>0</v>
      </c>
      <c r="AX61">
        <f>IF($B61="",0,COUNTIFS('UX Weekly'!$H$1:$CT$1,"&gt;="&amp;AX$1,'UX Weekly'!$H$1:$CT$1,"&lt;="&amp;EOMONTH(AX$1,0),'UX Weekly'!$H61:$CT61,"&lt;&gt;"))</f>
        <v>0</v>
      </c>
    </row>
    <row r="62" spans="1:50" x14ac:dyDescent="0.2">
      <c r="A62" s="152">
        <v>62</v>
      </c>
      <c r="B62" s="152" t="str">
        <f>IF(TRIM('UX Weekly'!E62)="","",TRIM('UX Weekly'!E62))</f>
        <v/>
      </c>
      <c r="C62" s="152" t="str">
        <f>IF($B62="","",'UX Weekly'!B62)</f>
        <v/>
      </c>
      <c r="D62" s="152" t="str">
        <f>IF($B62="","",IF(TRIM('UX Weekly'!C62)="","(No theme assigned)",TRIM('UX Weekly'!C62)))</f>
        <v/>
      </c>
      <c r="E62" s="152" t="str">
        <f>IF($B62="","",TRIM('UX Weekly'!F62))</f>
        <v/>
      </c>
      <c r="F62" s="152" t="str">
        <f>IF($B62="","",'UX Weekly'!G62)</f>
        <v/>
      </c>
      <c r="G62" s="153" t="str">
        <f t="array" ref="G62">IF($B62="","",IF($T62=0,"",IFERROR(MIN(IF('UX Weekly'!$H62:$CT62&lt;&gt;"",'UX Weekly'!$H$1:$CT$1)),"")))</f>
        <v/>
      </c>
      <c r="H62" s="153" t="str">
        <f t="array" ref="H62">IF($B62="","",IF($T62=0,"",IFERROR(MAX(IF('UX Weekly'!$H62:$CT62&lt;&gt;"",'UX Weekly'!$H$1:$CT$1)),"")))</f>
        <v/>
      </c>
      <c r="I62" s="154" t="str">
        <f t="shared" ca="1" si="7"/>
        <v/>
      </c>
      <c r="J62" s="154" t="str">
        <f t="shared" ca="1" si="8"/>
        <v/>
      </c>
      <c r="K62" s="152" t="str">
        <f>IF($B62="","",IF(COUNTA('Dev Tracker'!L62)=0,"",TRIM('Dev Tracker'!L62)))</f>
        <v/>
      </c>
      <c r="L62" s="152" t="str">
        <f>IF($B62="","",IFERROR(MATCH($D62,Control!$E$4:$E$30,0),99))</f>
        <v/>
      </c>
      <c r="M62" s="152" t="str">
        <f>IF($B62="","",IFERROR(MATCH($F62,Control!$B$4:$B$30,0),99))</f>
        <v/>
      </c>
      <c r="N62" s="152" t="str">
        <f>IF($V62&lt;&gt;1,"",IF('Roadmap (Auto)'!$D$3="Status, then Theme",$M62*1000000+$L62*10000+ROW(),IF('Roadmap (Auto)'!$D$3="Dev start (earliest)",IF($I62="",99999999,$I62)*10000+ROW(),IF('Roadmap (Auto)'!$D$3="UX start (earliest)",IF($G62="",99999999,$G62)*10000+ROW(),IF('Roadmap (Auto)'!$D$3="Deliverable A-Z",$W62*10000+ROW(),$L62*1000000+$M62*10000+ROW())))))</f>
        <v/>
      </c>
      <c r="O62" s="152" t="str">
        <f t="shared" si="9"/>
        <v/>
      </c>
      <c r="P62" s="152" t="str">
        <f>IF($B62="","",IF(COUNTA('Dev Tracker'!I62)=0,"",'Dev Tracker'!I62))</f>
        <v/>
      </c>
      <c r="Q62" s="152" t="str">
        <f>IF($B62="","",IF(COUNTA('Dev Tracker'!J62)=0,"",'Dev Tracker'!J62))</f>
        <v/>
      </c>
      <c r="R62" s="154" t="str">
        <f t="shared" ca="1" si="10"/>
        <v/>
      </c>
      <c r="S62" s="154" t="str">
        <f t="shared" ca="1" si="11"/>
        <v/>
      </c>
      <c r="T62" s="152" t="str">
        <f>IF($B62="","",COUNTA('UX Weekly'!$H62:$CT62))</f>
        <v/>
      </c>
      <c r="U62" s="152" t="str">
        <f>IF($B62="","",IFERROR(MATCH($D62,Control!$E$4:$E$30,0)+3,0))</f>
        <v/>
      </c>
      <c r="V62" s="152" t="str">
        <f>IF($B62="","",IF(AND(OR('Roadmap (Auto)'!$A$3="",'Roadmap (Auto)'!$A$3="(All)",ISNUMBER(SEARCH('Roadmap (Auto)'!$A$3,$C62&amp;""))),OR('Roadmap (Auto)'!$B$3="",'Roadmap (Auto)'!$B$3="(All)",$D62='Roadmap (Auto)'!$B$3,$X62='Roadmap (Auto)'!$B$3),OR('Roadmap (Auto)'!$C$3="",'Roadmap (Auto)'!$C$3="(All)",$F62='Roadmap (Auto)'!$C$3)),1,0))</f>
        <v/>
      </c>
      <c r="W62" s="152" t="str">
        <f t="shared" si="12"/>
        <v/>
      </c>
      <c r="X62" s="152" t="str">
        <f>IF($B62="","",IF(TRIM('UX Weekly'!D62)="","",TRIM('UX Weekly'!D62)))</f>
        <v/>
      </c>
      <c r="Y62" s="152" t="str">
        <f t="shared" si="13"/>
        <v/>
      </c>
      <c r="AA62">
        <f>IF($B62="",0,COUNTIFS('UX Weekly'!$H$1:$CT$1,"&gt;="&amp;AA$1,'UX Weekly'!$H$1:$CT$1,"&lt;="&amp;EOMONTH(AA$1,0),'UX Weekly'!$H62:$CT62,"&lt;&gt;"))</f>
        <v>0</v>
      </c>
      <c r="AB62">
        <f>IF($B62="",0,COUNTIFS('UX Weekly'!$H$1:$CT$1,"&gt;="&amp;AB$1,'UX Weekly'!$H$1:$CT$1,"&lt;="&amp;EOMONTH(AB$1,0),'UX Weekly'!$H62:$CT62,"&lt;&gt;"))</f>
        <v>0</v>
      </c>
      <c r="AC62">
        <f>IF($B62="",0,COUNTIFS('UX Weekly'!$H$1:$CT$1,"&gt;="&amp;AC$1,'UX Weekly'!$H$1:$CT$1,"&lt;="&amp;EOMONTH(AC$1,0),'UX Weekly'!$H62:$CT62,"&lt;&gt;"))</f>
        <v>0</v>
      </c>
      <c r="AD62">
        <f>IF($B62="",0,COUNTIFS('UX Weekly'!$H$1:$CT$1,"&gt;="&amp;AD$1,'UX Weekly'!$H$1:$CT$1,"&lt;="&amp;EOMONTH(AD$1,0),'UX Weekly'!$H62:$CT62,"&lt;&gt;"))</f>
        <v>0</v>
      </c>
      <c r="AE62">
        <f>IF($B62="",0,COUNTIFS('UX Weekly'!$H$1:$CT$1,"&gt;="&amp;AE$1,'UX Weekly'!$H$1:$CT$1,"&lt;="&amp;EOMONTH(AE$1,0),'UX Weekly'!$H62:$CT62,"&lt;&gt;"))</f>
        <v>0</v>
      </c>
      <c r="AF62">
        <f>IF($B62="",0,COUNTIFS('UX Weekly'!$H$1:$CT$1,"&gt;="&amp;AF$1,'UX Weekly'!$H$1:$CT$1,"&lt;="&amp;EOMONTH(AF$1,0),'UX Weekly'!$H62:$CT62,"&lt;&gt;"))</f>
        <v>0</v>
      </c>
      <c r="AG62">
        <f>IF($B62="",0,COUNTIFS('UX Weekly'!$H$1:$CT$1,"&gt;="&amp;AG$1,'UX Weekly'!$H$1:$CT$1,"&lt;="&amp;EOMONTH(AG$1,0),'UX Weekly'!$H62:$CT62,"&lt;&gt;"))</f>
        <v>0</v>
      </c>
      <c r="AH62">
        <f>IF($B62="",0,COUNTIFS('UX Weekly'!$H$1:$CT$1,"&gt;="&amp;AH$1,'UX Weekly'!$H$1:$CT$1,"&lt;="&amp;EOMONTH(AH$1,0),'UX Weekly'!$H62:$CT62,"&lt;&gt;"))</f>
        <v>0</v>
      </c>
      <c r="AI62">
        <f>IF($B62="",0,COUNTIFS('UX Weekly'!$H$1:$CT$1,"&gt;="&amp;AI$1,'UX Weekly'!$H$1:$CT$1,"&lt;="&amp;EOMONTH(AI$1,0),'UX Weekly'!$H62:$CT62,"&lt;&gt;"))</f>
        <v>0</v>
      </c>
      <c r="AJ62">
        <f>IF($B62="",0,COUNTIFS('UX Weekly'!$H$1:$CT$1,"&gt;="&amp;AJ$1,'UX Weekly'!$H$1:$CT$1,"&lt;="&amp;EOMONTH(AJ$1,0),'UX Weekly'!$H62:$CT62,"&lt;&gt;"))</f>
        <v>0</v>
      </c>
      <c r="AK62">
        <f>IF($B62="",0,COUNTIFS('UX Weekly'!$H$1:$CT$1,"&gt;="&amp;AK$1,'UX Weekly'!$H$1:$CT$1,"&lt;="&amp;EOMONTH(AK$1,0),'UX Weekly'!$H62:$CT62,"&lt;&gt;"))</f>
        <v>0</v>
      </c>
      <c r="AL62">
        <f>IF($B62="",0,COUNTIFS('UX Weekly'!$H$1:$CT$1,"&gt;="&amp;AL$1,'UX Weekly'!$H$1:$CT$1,"&lt;="&amp;EOMONTH(AL$1,0),'UX Weekly'!$H62:$CT62,"&lt;&gt;"))</f>
        <v>0</v>
      </c>
      <c r="AM62">
        <f>IF($B62="",0,COUNTIFS('UX Weekly'!$H$1:$CT$1,"&gt;="&amp;AM$1,'UX Weekly'!$H$1:$CT$1,"&lt;="&amp;EOMONTH(AM$1,0),'UX Weekly'!$H62:$CT62,"&lt;&gt;"))</f>
        <v>0</v>
      </c>
      <c r="AN62">
        <f>IF($B62="",0,COUNTIFS('UX Weekly'!$H$1:$CT$1,"&gt;="&amp;AN$1,'UX Weekly'!$H$1:$CT$1,"&lt;="&amp;EOMONTH(AN$1,0),'UX Weekly'!$H62:$CT62,"&lt;&gt;"))</f>
        <v>0</v>
      </c>
      <c r="AO62">
        <f>IF($B62="",0,COUNTIFS('UX Weekly'!$H$1:$CT$1,"&gt;="&amp;AO$1,'UX Weekly'!$H$1:$CT$1,"&lt;="&amp;EOMONTH(AO$1,0),'UX Weekly'!$H62:$CT62,"&lt;&gt;"))</f>
        <v>0</v>
      </c>
      <c r="AP62">
        <f>IF($B62="",0,COUNTIFS('UX Weekly'!$H$1:$CT$1,"&gt;="&amp;AP$1,'UX Weekly'!$H$1:$CT$1,"&lt;="&amp;EOMONTH(AP$1,0),'UX Weekly'!$H62:$CT62,"&lt;&gt;"))</f>
        <v>0</v>
      </c>
      <c r="AQ62">
        <f>IF($B62="",0,COUNTIFS('UX Weekly'!$H$1:$CT$1,"&gt;="&amp;AQ$1,'UX Weekly'!$H$1:$CT$1,"&lt;="&amp;EOMONTH(AQ$1,0),'UX Weekly'!$H62:$CT62,"&lt;&gt;"))</f>
        <v>0</v>
      </c>
      <c r="AR62">
        <f>IF($B62="",0,COUNTIFS('UX Weekly'!$H$1:$CT$1,"&gt;="&amp;AR$1,'UX Weekly'!$H$1:$CT$1,"&lt;="&amp;EOMONTH(AR$1,0),'UX Weekly'!$H62:$CT62,"&lt;&gt;"))</f>
        <v>0</v>
      </c>
      <c r="AS62">
        <f>IF($B62="",0,COUNTIFS('UX Weekly'!$H$1:$CT$1,"&gt;="&amp;AS$1,'UX Weekly'!$H$1:$CT$1,"&lt;="&amp;EOMONTH(AS$1,0),'UX Weekly'!$H62:$CT62,"&lt;&gt;"))</f>
        <v>0</v>
      </c>
      <c r="AT62">
        <f>IF($B62="",0,COUNTIFS('UX Weekly'!$H$1:$CT$1,"&gt;="&amp;AT$1,'UX Weekly'!$H$1:$CT$1,"&lt;="&amp;EOMONTH(AT$1,0),'UX Weekly'!$H62:$CT62,"&lt;&gt;"))</f>
        <v>0</v>
      </c>
      <c r="AU62">
        <f>IF($B62="",0,COUNTIFS('UX Weekly'!$H$1:$CT$1,"&gt;="&amp;AU$1,'UX Weekly'!$H$1:$CT$1,"&lt;="&amp;EOMONTH(AU$1,0),'UX Weekly'!$H62:$CT62,"&lt;&gt;"))</f>
        <v>0</v>
      </c>
      <c r="AV62">
        <f>IF($B62="",0,COUNTIFS('UX Weekly'!$H$1:$CT$1,"&gt;="&amp;AV$1,'UX Weekly'!$H$1:$CT$1,"&lt;="&amp;EOMONTH(AV$1,0),'UX Weekly'!$H62:$CT62,"&lt;&gt;"))</f>
        <v>0</v>
      </c>
      <c r="AW62">
        <f>IF($B62="",0,COUNTIFS('UX Weekly'!$H$1:$CT$1,"&gt;="&amp;AW$1,'UX Weekly'!$H$1:$CT$1,"&lt;="&amp;EOMONTH(AW$1,0),'UX Weekly'!$H62:$CT62,"&lt;&gt;"))</f>
        <v>0</v>
      </c>
      <c r="AX62">
        <f>IF($B62="",0,COUNTIFS('UX Weekly'!$H$1:$CT$1,"&gt;="&amp;AX$1,'UX Weekly'!$H$1:$CT$1,"&lt;="&amp;EOMONTH(AX$1,0),'UX Weekly'!$H62:$CT62,"&lt;&gt;"))</f>
        <v>0</v>
      </c>
    </row>
    <row r="63" spans="1:50" x14ac:dyDescent="0.2">
      <c r="A63" s="152">
        <v>63</v>
      </c>
      <c r="B63" s="152" t="str">
        <f>IF(TRIM('UX Weekly'!E63)="","",TRIM('UX Weekly'!E63))</f>
        <v/>
      </c>
      <c r="C63" s="152" t="str">
        <f>IF($B63="","",'UX Weekly'!B63)</f>
        <v/>
      </c>
      <c r="D63" s="152" t="str">
        <f>IF($B63="","",IF(TRIM('UX Weekly'!C63)="","(No theme assigned)",TRIM('UX Weekly'!C63)))</f>
        <v/>
      </c>
      <c r="E63" s="152" t="str">
        <f>IF($B63="","",TRIM('UX Weekly'!F63))</f>
        <v/>
      </c>
      <c r="F63" s="152" t="str">
        <f>IF($B63="","",'UX Weekly'!G63)</f>
        <v/>
      </c>
      <c r="G63" s="153" t="str">
        <f t="array" ref="G63">IF($B63="","",IF($T63=0,"",IFERROR(MIN(IF('UX Weekly'!$H63:$CT63&lt;&gt;"",'UX Weekly'!$H$1:$CT$1)),"")))</f>
        <v/>
      </c>
      <c r="H63" s="153" t="str">
        <f t="array" ref="H63">IF($B63="","",IF($T63=0,"",IFERROR(MAX(IF('UX Weekly'!$H63:$CT63&lt;&gt;"",'UX Weekly'!$H$1:$CT$1)),"")))</f>
        <v/>
      </c>
      <c r="I63" s="154" t="str">
        <f t="shared" ca="1" si="7"/>
        <v/>
      </c>
      <c r="J63" s="154" t="str">
        <f t="shared" ca="1" si="8"/>
        <v/>
      </c>
      <c r="K63" s="152" t="str">
        <f>IF($B63="","",IF(COUNTA('Dev Tracker'!L63)=0,"",TRIM('Dev Tracker'!L63)))</f>
        <v/>
      </c>
      <c r="L63" s="152" t="str">
        <f>IF($B63="","",IFERROR(MATCH($D63,Control!$E$4:$E$30,0),99))</f>
        <v/>
      </c>
      <c r="M63" s="152" t="str">
        <f>IF($B63="","",IFERROR(MATCH($F63,Control!$B$4:$B$30,0),99))</f>
        <v/>
      </c>
      <c r="N63" s="152" t="str">
        <f>IF($V63&lt;&gt;1,"",IF('Roadmap (Auto)'!$D$3="Status, then Theme",$M63*1000000+$L63*10000+ROW(),IF('Roadmap (Auto)'!$D$3="Dev start (earliest)",IF($I63="",99999999,$I63)*10000+ROW(),IF('Roadmap (Auto)'!$D$3="UX start (earliest)",IF($G63="",99999999,$G63)*10000+ROW(),IF('Roadmap (Auto)'!$D$3="Deliverable A-Z",$W63*10000+ROW(),$L63*1000000+$M63*10000+ROW())))))</f>
        <v/>
      </c>
      <c r="O63" s="152" t="str">
        <f t="shared" si="9"/>
        <v/>
      </c>
      <c r="P63" s="152" t="str">
        <f>IF($B63="","",IF(COUNTA('Dev Tracker'!I63)=0,"",'Dev Tracker'!I63))</f>
        <v/>
      </c>
      <c r="Q63" s="152" t="str">
        <f>IF($B63="","",IF(COUNTA('Dev Tracker'!J63)=0,"",'Dev Tracker'!J63))</f>
        <v/>
      </c>
      <c r="R63" s="154" t="str">
        <f t="shared" ca="1" si="10"/>
        <v/>
      </c>
      <c r="S63" s="154" t="str">
        <f t="shared" ca="1" si="11"/>
        <v/>
      </c>
      <c r="T63" s="152" t="str">
        <f>IF($B63="","",COUNTA('UX Weekly'!$H63:$CT63))</f>
        <v/>
      </c>
      <c r="U63" s="152" t="str">
        <f>IF($B63="","",IFERROR(MATCH($D63,Control!$E$4:$E$30,0)+3,0))</f>
        <v/>
      </c>
      <c r="V63" s="152" t="str">
        <f>IF($B63="","",IF(AND(OR('Roadmap (Auto)'!$A$3="",'Roadmap (Auto)'!$A$3="(All)",ISNUMBER(SEARCH('Roadmap (Auto)'!$A$3,$C63&amp;""))),OR('Roadmap (Auto)'!$B$3="",'Roadmap (Auto)'!$B$3="(All)",$D63='Roadmap (Auto)'!$B$3,$X63='Roadmap (Auto)'!$B$3),OR('Roadmap (Auto)'!$C$3="",'Roadmap (Auto)'!$C$3="(All)",$F63='Roadmap (Auto)'!$C$3)),1,0))</f>
        <v/>
      </c>
      <c r="W63" s="152" t="str">
        <f t="shared" si="12"/>
        <v/>
      </c>
      <c r="X63" s="152" t="str">
        <f>IF($B63="","",IF(TRIM('UX Weekly'!D63)="","",TRIM('UX Weekly'!D63)))</f>
        <v/>
      </c>
      <c r="Y63" s="152" t="str">
        <f t="shared" si="13"/>
        <v/>
      </c>
      <c r="AA63">
        <f>IF($B63="",0,COUNTIFS('UX Weekly'!$H$1:$CT$1,"&gt;="&amp;AA$1,'UX Weekly'!$H$1:$CT$1,"&lt;="&amp;EOMONTH(AA$1,0),'UX Weekly'!$H63:$CT63,"&lt;&gt;"))</f>
        <v>0</v>
      </c>
      <c r="AB63">
        <f>IF($B63="",0,COUNTIFS('UX Weekly'!$H$1:$CT$1,"&gt;="&amp;AB$1,'UX Weekly'!$H$1:$CT$1,"&lt;="&amp;EOMONTH(AB$1,0),'UX Weekly'!$H63:$CT63,"&lt;&gt;"))</f>
        <v>0</v>
      </c>
      <c r="AC63">
        <f>IF($B63="",0,COUNTIFS('UX Weekly'!$H$1:$CT$1,"&gt;="&amp;AC$1,'UX Weekly'!$H$1:$CT$1,"&lt;="&amp;EOMONTH(AC$1,0),'UX Weekly'!$H63:$CT63,"&lt;&gt;"))</f>
        <v>0</v>
      </c>
      <c r="AD63">
        <f>IF($B63="",0,COUNTIFS('UX Weekly'!$H$1:$CT$1,"&gt;="&amp;AD$1,'UX Weekly'!$H$1:$CT$1,"&lt;="&amp;EOMONTH(AD$1,0),'UX Weekly'!$H63:$CT63,"&lt;&gt;"))</f>
        <v>0</v>
      </c>
      <c r="AE63">
        <f>IF($B63="",0,COUNTIFS('UX Weekly'!$H$1:$CT$1,"&gt;="&amp;AE$1,'UX Weekly'!$H$1:$CT$1,"&lt;="&amp;EOMONTH(AE$1,0),'UX Weekly'!$H63:$CT63,"&lt;&gt;"))</f>
        <v>0</v>
      </c>
      <c r="AF63">
        <f>IF($B63="",0,COUNTIFS('UX Weekly'!$H$1:$CT$1,"&gt;="&amp;AF$1,'UX Weekly'!$H$1:$CT$1,"&lt;="&amp;EOMONTH(AF$1,0),'UX Weekly'!$H63:$CT63,"&lt;&gt;"))</f>
        <v>0</v>
      </c>
      <c r="AG63">
        <f>IF($B63="",0,COUNTIFS('UX Weekly'!$H$1:$CT$1,"&gt;="&amp;AG$1,'UX Weekly'!$H$1:$CT$1,"&lt;="&amp;EOMONTH(AG$1,0),'UX Weekly'!$H63:$CT63,"&lt;&gt;"))</f>
        <v>0</v>
      </c>
      <c r="AH63">
        <f>IF($B63="",0,COUNTIFS('UX Weekly'!$H$1:$CT$1,"&gt;="&amp;AH$1,'UX Weekly'!$H$1:$CT$1,"&lt;="&amp;EOMONTH(AH$1,0),'UX Weekly'!$H63:$CT63,"&lt;&gt;"))</f>
        <v>0</v>
      </c>
      <c r="AI63">
        <f>IF($B63="",0,COUNTIFS('UX Weekly'!$H$1:$CT$1,"&gt;="&amp;AI$1,'UX Weekly'!$H$1:$CT$1,"&lt;="&amp;EOMONTH(AI$1,0),'UX Weekly'!$H63:$CT63,"&lt;&gt;"))</f>
        <v>0</v>
      </c>
      <c r="AJ63">
        <f>IF($B63="",0,COUNTIFS('UX Weekly'!$H$1:$CT$1,"&gt;="&amp;AJ$1,'UX Weekly'!$H$1:$CT$1,"&lt;="&amp;EOMONTH(AJ$1,0),'UX Weekly'!$H63:$CT63,"&lt;&gt;"))</f>
        <v>0</v>
      </c>
      <c r="AK63">
        <f>IF($B63="",0,COUNTIFS('UX Weekly'!$H$1:$CT$1,"&gt;="&amp;AK$1,'UX Weekly'!$H$1:$CT$1,"&lt;="&amp;EOMONTH(AK$1,0),'UX Weekly'!$H63:$CT63,"&lt;&gt;"))</f>
        <v>0</v>
      </c>
      <c r="AL63">
        <f>IF($B63="",0,COUNTIFS('UX Weekly'!$H$1:$CT$1,"&gt;="&amp;AL$1,'UX Weekly'!$H$1:$CT$1,"&lt;="&amp;EOMONTH(AL$1,0),'UX Weekly'!$H63:$CT63,"&lt;&gt;"))</f>
        <v>0</v>
      </c>
      <c r="AM63">
        <f>IF($B63="",0,COUNTIFS('UX Weekly'!$H$1:$CT$1,"&gt;="&amp;AM$1,'UX Weekly'!$H$1:$CT$1,"&lt;="&amp;EOMONTH(AM$1,0),'UX Weekly'!$H63:$CT63,"&lt;&gt;"))</f>
        <v>0</v>
      </c>
      <c r="AN63">
        <f>IF($B63="",0,COUNTIFS('UX Weekly'!$H$1:$CT$1,"&gt;="&amp;AN$1,'UX Weekly'!$H$1:$CT$1,"&lt;="&amp;EOMONTH(AN$1,0),'UX Weekly'!$H63:$CT63,"&lt;&gt;"))</f>
        <v>0</v>
      </c>
      <c r="AO63">
        <f>IF($B63="",0,COUNTIFS('UX Weekly'!$H$1:$CT$1,"&gt;="&amp;AO$1,'UX Weekly'!$H$1:$CT$1,"&lt;="&amp;EOMONTH(AO$1,0),'UX Weekly'!$H63:$CT63,"&lt;&gt;"))</f>
        <v>0</v>
      </c>
      <c r="AP63">
        <f>IF($B63="",0,COUNTIFS('UX Weekly'!$H$1:$CT$1,"&gt;="&amp;AP$1,'UX Weekly'!$H$1:$CT$1,"&lt;="&amp;EOMONTH(AP$1,0),'UX Weekly'!$H63:$CT63,"&lt;&gt;"))</f>
        <v>0</v>
      </c>
      <c r="AQ63">
        <f>IF($B63="",0,COUNTIFS('UX Weekly'!$H$1:$CT$1,"&gt;="&amp;AQ$1,'UX Weekly'!$H$1:$CT$1,"&lt;="&amp;EOMONTH(AQ$1,0),'UX Weekly'!$H63:$CT63,"&lt;&gt;"))</f>
        <v>0</v>
      </c>
      <c r="AR63">
        <f>IF($B63="",0,COUNTIFS('UX Weekly'!$H$1:$CT$1,"&gt;="&amp;AR$1,'UX Weekly'!$H$1:$CT$1,"&lt;="&amp;EOMONTH(AR$1,0),'UX Weekly'!$H63:$CT63,"&lt;&gt;"))</f>
        <v>0</v>
      </c>
      <c r="AS63">
        <f>IF($B63="",0,COUNTIFS('UX Weekly'!$H$1:$CT$1,"&gt;="&amp;AS$1,'UX Weekly'!$H$1:$CT$1,"&lt;="&amp;EOMONTH(AS$1,0),'UX Weekly'!$H63:$CT63,"&lt;&gt;"))</f>
        <v>0</v>
      </c>
      <c r="AT63">
        <f>IF($B63="",0,COUNTIFS('UX Weekly'!$H$1:$CT$1,"&gt;="&amp;AT$1,'UX Weekly'!$H$1:$CT$1,"&lt;="&amp;EOMONTH(AT$1,0),'UX Weekly'!$H63:$CT63,"&lt;&gt;"))</f>
        <v>0</v>
      </c>
      <c r="AU63">
        <f>IF($B63="",0,COUNTIFS('UX Weekly'!$H$1:$CT$1,"&gt;="&amp;AU$1,'UX Weekly'!$H$1:$CT$1,"&lt;="&amp;EOMONTH(AU$1,0),'UX Weekly'!$H63:$CT63,"&lt;&gt;"))</f>
        <v>0</v>
      </c>
      <c r="AV63">
        <f>IF($B63="",0,COUNTIFS('UX Weekly'!$H$1:$CT$1,"&gt;="&amp;AV$1,'UX Weekly'!$H$1:$CT$1,"&lt;="&amp;EOMONTH(AV$1,0),'UX Weekly'!$H63:$CT63,"&lt;&gt;"))</f>
        <v>0</v>
      </c>
      <c r="AW63">
        <f>IF($B63="",0,COUNTIFS('UX Weekly'!$H$1:$CT$1,"&gt;="&amp;AW$1,'UX Weekly'!$H$1:$CT$1,"&lt;="&amp;EOMONTH(AW$1,0),'UX Weekly'!$H63:$CT63,"&lt;&gt;"))</f>
        <v>0</v>
      </c>
      <c r="AX63">
        <f>IF($B63="",0,COUNTIFS('UX Weekly'!$H$1:$CT$1,"&gt;="&amp;AX$1,'UX Weekly'!$H$1:$CT$1,"&lt;="&amp;EOMONTH(AX$1,0),'UX Weekly'!$H63:$CT63,"&lt;&gt;"))</f>
        <v>0</v>
      </c>
    </row>
    <row r="64" spans="1:50" x14ac:dyDescent="0.2">
      <c r="A64" s="152">
        <v>64</v>
      </c>
      <c r="B64" s="152" t="str">
        <f>IF(TRIM('UX Weekly'!E64)="","",TRIM('UX Weekly'!E64))</f>
        <v/>
      </c>
      <c r="C64" s="152" t="str">
        <f>IF($B64="","",'UX Weekly'!B64)</f>
        <v/>
      </c>
      <c r="D64" s="152" t="str">
        <f>IF($B64="","",IF(TRIM('UX Weekly'!C64)="","(No theme assigned)",TRIM('UX Weekly'!C64)))</f>
        <v/>
      </c>
      <c r="E64" s="152" t="str">
        <f>IF($B64="","",TRIM('UX Weekly'!F64))</f>
        <v/>
      </c>
      <c r="F64" s="152" t="str">
        <f>IF($B64="","",'UX Weekly'!G64)</f>
        <v/>
      </c>
      <c r="G64" s="153" t="str">
        <f t="array" ref="G64">IF($B64="","",IF($T64=0,"",IFERROR(MIN(IF('UX Weekly'!$H64:$CT64&lt;&gt;"",'UX Weekly'!$H$1:$CT$1)),"")))</f>
        <v/>
      </c>
      <c r="H64" s="153" t="str">
        <f t="array" ref="H64">IF($B64="","",IF($T64=0,"",IFERROR(MAX(IF('UX Weekly'!$H64:$CT64&lt;&gt;"",'UX Weekly'!$H$1:$CT$1)),"")))</f>
        <v/>
      </c>
      <c r="I64" s="154" t="str">
        <f t="shared" ca="1" si="7"/>
        <v/>
      </c>
      <c r="J64" s="154" t="str">
        <f t="shared" ca="1" si="8"/>
        <v/>
      </c>
      <c r="K64" s="152" t="str">
        <f>IF($B64="","",IF(COUNTA('Dev Tracker'!L64)=0,"",TRIM('Dev Tracker'!L64)))</f>
        <v/>
      </c>
      <c r="L64" s="152" t="str">
        <f>IF($B64="","",IFERROR(MATCH($D64,Control!$E$4:$E$30,0),99))</f>
        <v/>
      </c>
      <c r="M64" s="152" t="str">
        <f>IF($B64="","",IFERROR(MATCH($F64,Control!$B$4:$B$30,0),99))</f>
        <v/>
      </c>
      <c r="N64" s="152" t="str">
        <f>IF($V64&lt;&gt;1,"",IF('Roadmap (Auto)'!$D$3="Status, then Theme",$M64*1000000+$L64*10000+ROW(),IF('Roadmap (Auto)'!$D$3="Dev start (earliest)",IF($I64="",99999999,$I64)*10000+ROW(),IF('Roadmap (Auto)'!$D$3="UX start (earliest)",IF($G64="",99999999,$G64)*10000+ROW(),IF('Roadmap (Auto)'!$D$3="Deliverable A-Z",$W64*10000+ROW(),$L64*1000000+$M64*10000+ROW())))))</f>
        <v/>
      </c>
      <c r="O64" s="152" t="str">
        <f t="shared" si="9"/>
        <v/>
      </c>
      <c r="P64" s="152" t="str">
        <f>IF($B64="","",IF(COUNTA('Dev Tracker'!I64)=0,"",'Dev Tracker'!I64))</f>
        <v/>
      </c>
      <c r="Q64" s="152" t="str">
        <f>IF($B64="","",IF(COUNTA('Dev Tracker'!J64)=0,"",'Dev Tracker'!J64))</f>
        <v/>
      </c>
      <c r="R64" s="154" t="str">
        <f t="shared" ca="1" si="10"/>
        <v/>
      </c>
      <c r="S64" s="154" t="str">
        <f t="shared" ca="1" si="11"/>
        <v/>
      </c>
      <c r="T64" s="152" t="str">
        <f>IF($B64="","",COUNTA('UX Weekly'!$H64:$CT64))</f>
        <v/>
      </c>
      <c r="U64" s="152" t="str">
        <f>IF($B64="","",IFERROR(MATCH($D64,Control!$E$4:$E$30,0)+3,0))</f>
        <v/>
      </c>
      <c r="V64" s="152" t="str">
        <f>IF($B64="","",IF(AND(OR('Roadmap (Auto)'!$A$3="",'Roadmap (Auto)'!$A$3="(All)",ISNUMBER(SEARCH('Roadmap (Auto)'!$A$3,$C64&amp;""))),OR('Roadmap (Auto)'!$B$3="",'Roadmap (Auto)'!$B$3="(All)",$D64='Roadmap (Auto)'!$B$3,$X64='Roadmap (Auto)'!$B$3),OR('Roadmap (Auto)'!$C$3="",'Roadmap (Auto)'!$C$3="(All)",$F64='Roadmap (Auto)'!$C$3)),1,0))</f>
        <v/>
      </c>
      <c r="W64" s="152" t="str">
        <f t="shared" si="12"/>
        <v/>
      </c>
      <c r="X64" s="152" t="str">
        <f>IF($B64="","",IF(TRIM('UX Weekly'!D64)="","",TRIM('UX Weekly'!D64)))</f>
        <v/>
      </c>
      <c r="Y64" s="152" t="str">
        <f t="shared" si="13"/>
        <v/>
      </c>
      <c r="AA64">
        <f>IF($B64="",0,COUNTIFS('UX Weekly'!$H$1:$CT$1,"&gt;="&amp;AA$1,'UX Weekly'!$H$1:$CT$1,"&lt;="&amp;EOMONTH(AA$1,0),'UX Weekly'!$H64:$CT64,"&lt;&gt;"))</f>
        <v>0</v>
      </c>
      <c r="AB64">
        <f>IF($B64="",0,COUNTIFS('UX Weekly'!$H$1:$CT$1,"&gt;="&amp;AB$1,'UX Weekly'!$H$1:$CT$1,"&lt;="&amp;EOMONTH(AB$1,0),'UX Weekly'!$H64:$CT64,"&lt;&gt;"))</f>
        <v>0</v>
      </c>
      <c r="AC64">
        <f>IF($B64="",0,COUNTIFS('UX Weekly'!$H$1:$CT$1,"&gt;="&amp;AC$1,'UX Weekly'!$H$1:$CT$1,"&lt;="&amp;EOMONTH(AC$1,0),'UX Weekly'!$H64:$CT64,"&lt;&gt;"))</f>
        <v>0</v>
      </c>
      <c r="AD64">
        <f>IF($B64="",0,COUNTIFS('UX Weekly'!$H$1:$CT$1,"&gt;="&amp;AD$1,'UX Weekly'!$H$1:$CT$1,"&lt;="&amp;EOMONTH(AD$1,0),'UX Weekly'!$H64:$CT64,"&lt;&gt;"))</f>
        <v>0</v>
      </c>
      <c r="AE64">
        <f>IF($B64="",0,COUNTIFS('UX Weekly'!$H$1:$CT$1,"&gt;="&amp;AE$1,'UX Weekly'!$H$1:$CT$1,"&lt;="&amp;EOMONTH(AE$1,0),'UX Weekly'!$H64:$CT64,"&lt;&gt;"))</f>
        <v>0</v>
      </c>
      <c r="AF64">
        <f>IF($B64="",0,COUNTIFS('UX Weekly'!$H$1:$CT$1,"&gt;="&amp;AF$1,'UX Weekly'!$H$1:$CT$1,"&lt;="&amp;EOMONTH(AF$1,0),'UX Weekly'!$H64:$CT64,"&lt;&gt;"))</f>
        <v>0</v>
      </c>
      <c r="AG64">
        <f>IF($B64="",0,COUNTIFS('UX Weekly'!$H$1:$CT$1,"&gt;="&amp;AG$1,'UX Weekly'!$H$1:$CT$1,"&lt;="&amp;EOMONTH(AG$1,0),'UX Weekly'!$H64:$CT64,"&lt;&gt;"))</f>
        <v>0</v>
      </c>
      <c r="AH64">
        <f>IF($B64="",0,COUNTIFS('UX Weekly'!$H$1:$CT$1,"&gt;="&amp;AH$1,'UX Weekly'!$H$1:$CT$1,"&lt;="&amp;EOMONTH(AH$1,0),'UX Weekly'!$H64:$CT64,"&lt;&gt;"))</f>
        <v>0</v>
      </c>
      <c r="AI64">
        <f>IF($B64="",0,COUNTIFS('UX Weekly'!$H$1:$CT$1,"&gt;="&amp;AI$1,'UX Weekly'!$H$1:$CT$1,"&lt;="&amp;EOMONTH(AI$1,0),'UX Weekly'!$H64:$CT64,"&lt;&gt;"))</f>
        <v>0</v>
      </c>
      <c r="AJ64">
        <f>IF($B64="",0,COUNTIFS('UX Weekly'!$H$1:$CT$1,"&gt;="&amp;AJ$1,'UX Weekly'!$H$1:$CT$1,"&lt;="&amp;EOMONTH(AJ$1,0),'UX Weekly'!$H64:$CT64,"&lt;&gt;"))</f>
        <v>0</v>
      </c>
      <c r="AK64">
        <f>IF($B64="",0,COUNTIFS('UX Weekly'!$H$1:$CT$1,"&gt;="&amp;AK$1,'UX Weekly'!$H$1:$CT$1,"&lt;="&amp;EOMONTH(AK$1,0),'UX Weekly'!$H64:$CT64,"&lt;&gt;"))</f>
        <v>0</v>
      </c>
      <c r="AL64">
        <f>IF($B64="",0,COUNTIFS('UX Weekly'!$H$1:$CT$1,"&gt;="&amp;AL$1,'UX Weekly'!$H$1:$CT$1,"&lt;="&amp;EOMONTH(AL$1,0),'UX Weekly'!$H64:$CT64,"&lt;&gt;"))</f>
        <v>0</v>
      </c>
      <c r="AM64">
        <f>IF($B64="",0,COUNTIFS('UX Weekly'!$H$1:$CT$1,"&gt;="&amp;AM$1,'UX Weekly'!$H$1:$CT$1,"&lt;="&amp;EOMONTH(AM$1,0),'UX Weekly'!$H64:$CT64,"&lt;&gt;"))</f>
        <v>0</v>
      </c>
      <c r="AN64">
        <f>IF($B64="",0,COUNTIFS('UX Weekly'!$H$1:$CT$1,"&gt;="&amp;AN$1,'UX Weekly'!$H$1:$CT$1,"&lt;="&amp;EOMONTH(AN$1,0),'UX Weekly'!$H64:$CT64,"&lt;&gt;"))</f>
        <v>0</v>
      </c>
      <c r="AO64">
        <f>IF($B64="",0,COUNTIFS('UX Weekly'!$H$1:$CT$1,"&gt;="&amp;AO$1,'UX Weekly'!$H$1:$CT$1,"&lt;="&amp;EOMONTH(AO$1,0),'UX Weekly'!$H64:$CT64,"&lt;&gt;"))</f>
        <v>0</v>
      </c>
      <c r="AP64">
        <f>IF($B64="",0,COUNTIFS('UX Weekly'!$H$1:$CT$1,"&gt;="&amp;AP$1,'UX Weekly'!$H$1:$CT$1,"&lt;="&amp;EOMONTH(AP$1,0),'UX Weekly'!$H64:$CT64,"&lt;&gt;"))</f>
        <v>0</v>
      </c>
      <c r="AQ64">
        <f>IF($B64="",0,COUNTIFS('UX Weekly'!$H$1:$CT$1,"&gt;="&amp;AQ$1,'UX Weekly'!$H$1:$CT$1,"&lt;="&amp;EOMONTH(AQ$1,0),'UX Weekly'!$H64:$CT64,"&lt;&gt;"))</f>
        <v>0</v>
      </c>
      <c r="AR64">
        <f>IF($B64="",0,COUNTIFS('UX Weekly'!$H$1:$CT$1,"&gt;="&amp;AR$1,'UX Weekly'!$H$1:$CT$1,"&lt;="&amp;EOMONTH(AR$1,0),'UX Weekly'!$H64:$CT64,"&lt;&gt;"))</f>
        <v>0</v>
      </c>
      <c r="AS64">
        <f>IF($B64="",0,COUNTIFS('UX Weekly'!$H$1:$CT$1,"&gt;="&amp;AS$1,'UX Weekly'!$H$1:$CT$1,"&lt;="&amp;EOMONTH(AS$1,0),'UX Weekly'!$H64:$CT64,"&lt;&gt;"))</f>
        <v>0</v>
      </c>
      <c r="AT64">
        <f>IF($B64="",0,COUNTIFS('UX Weekly'!$H$1:$CT$1,"&gt;="&amp;AT$1,'UX Weekly'!$H$1:$CT$1,"&lt;="&amp;EOMONTH(AT$1,0),'UX Weekly'!$H64:$CT64,"&lt;&gt;"))</f>
        <v>0</v>
      </c>
      <c r="AU64">
        <f>IF($B64="",0,COUNTIFS('UX Weekly'!$H$1:$CT$1,"&gt;="&amp;AU$1,'UX Weekly'!$H$1:$CT$1,"&lt;="&amp;EOMONTH(AU$1,0),'UX Weekly'!$H64:$CT64,"&lt;&gt;"))</f>
        <v>0</v>
      </c>
      <c r="AV64">
        <f>IF($B64="",0,COUNTIFS('UX Weekly'!$H$1:$CT$1,"&gt;="&amp;AV$1,'UX Weekly'!$H$1:$CT$1,"&lt;="&amp;EOMONTH(AV$1,0),'UX Weekly'!$H64:$CT64,"&lt;&gt;"))</f>
        <v>0</v>
      </c>
      <c r="AW64">
        <f>IF($B64="",0,COUNTIFS('UX Weekly'!$H$1:$CT$1,"&gt;="&amp;AW$1,'UX Weekly'!$H$1:$CT$1,"&lt;="&amp;EOMONTH(AW$1,0),'UX Weekly'!$H64:$CT64,"&lt;&gt;"))</f>
        <v>0</v>
      </c>
      <c r="AX64">
        <f>IF($B64="",0,COUNTIFS('UX Weekly'!$H$1:$CT$1,"&gt;="&amp;AX$1,'UX Weekly'!$H$1:$CT$1,"&lt;="&amp;EOMONTH(AX$1,0),'UX Weekly'!$H64:$CT64,"&lt;&gt;"))</f>
        <v>0</v>
      </c>
    </row>
    <row r="65" spans="1:50" x14ac:dyDescent="0.2">
      <c r="A65" s="152">
        <v>65</v>
      </c>
      <c r="B65" s="152" t="str">
        <f>IF(TRIM('UX Weekly'!E65)="","",TRIM('UX Weekly'!E65))</f>
        <v/>
      </c>
      <c r="C65" s="152" t="str">
        <f>IF($B65="","",'UX Weekly'!B65)</f>
        <v/>
      </c>
      <c r="D65" s="152" t="str">
        <f>IF($B65="","",IF(TRIM('UX Weekly'!C65)="","(No theme assigned)",TRIM('UX Weekly'!C65)))</f>
        <v/>
      </c>
      <c r="E65" s="152" t="str">
        <f>IF($B65="","",TRIM('UX Weekly'!F65))</f>
        <v/>
      </c>
      <c r="F65" s="152" t="str">
        <f>IF($B65="","",'UX Weekly'!G65)</f>
        <v/>
      </c>
      <c r="G65" s="153" t="str">
        <f t="array" ref="G65">IF($B65="","",IF($T65=0,"",IFERROR(MIN(IF('UX Weekly'!$H65:$CT65&lt;&gt;"",'UX Weekly'!$H$1:$CT$1)),"")))</f>
        <v/>
      </c>
      <c r="H65" s="153" t="str">
        <f t="array" ref="H65">IF($B65="","",IF($T65=0,"",IFERROR(MAX(IF('UX Weekly'!$H65:$CT65&lt;&gt;"",'UX Weekly'!$H$1:$CT$1)),"")))</f>
        <v/>
      </c>
      <c r="I65" s="154" t="str">
        <f t="shared" ca="1" si="7"/>
        <v/>
      </c>
      <c r="J65" s="154" t="str">
        <f t="shared" ca="1" si="8"/>
        <v/>
      </c>
      <c r="K65" s="152" t="str">
        <f>IF($B65="","",IF(COUNTA('Dev Tracker'!L65)=0,"",TRIM('Dev Tracker'!L65)))</f>
        <v/>
      </c>
      <c r="L65" s="152" t="str">
        <f>IF($B65="","",IFERROR(MATCH($D65,Control!$E$4:$E$30,0),99))</f>
        <v/>
      </c>
      <c r="M65" s="152" t="str">
        <f>IF($B65="","",IFERROR(MATCH($F65,Control!$B$4:$B$30,0),99))</f>
        <v/>
      </c>
      <c r="N65" s="152" t="str">
        <f>IF($V65&lt;&gt;1,"",IF('Roadmap (Auto)'!$D$3="Status, then Theme",$M65*1000000+$L65*10000+ROW(),IF('Roadmap (Auto)'!$D$3="Dev start (earliest)",IF($I65="",99999999,$I65)*10000+ROW(),IF('Roadmap (Auto)'!$D$3="UX start (earliest)",IF($G65="",99999999,$G65)*10000+ROW(),IF('Roadmap (Auto)'!$D$3="Deliverable A-Z",$W65*10000+ROW(),$L65*1000000+$M65*10000+ROW())))))</f>
        <v/>
      </c>
      <c r="O65" s="152" t="str">
        <f t="shared" si="9"/>
        <v/>
      </c>
      <c r="P65" s="152" t="str">
        <f>IF($B65="","",IF(COUNTA('Dev Tracker'!I65)=0,"",'Dev Tracker'!I65))</f>
        <v/>
      </c>
      <c r="Q65" s="152" t="str">
        <f>IF($B65="","",IF(COUNTA('Dev Tracker'!J65)=0,"",'Dev Tracker'!J65))</f>
        <v/>
      </c>
      <c r="R65" s="154" t="str">
        <f t="shared" ca="1" si="10"/>
        <v/>
      </c>
      <c r="S65" s="154" t="str">
        <f t="shared" ca="1" si="11"/>
        <v/>
      </c>
      <c r="T65" s="152" t="str">
        <f>IF($B65="","",COUNTA('UX Weekly'!$H65:$CT65))</f>
        <v/>
      </c>
      <c r="U65" s="152" t="str">
        <f>IF($B65="","",IFERROR(MATCH($D65,Control!$E$4:$E$30,0)+3,0))</f>
        <v/>
      </c>
      <c r="V65" s="152" t="str">
        <f>IF($B65="","",IF(AND(OR('Roadmap (Auto)'!$A$3="",'Roadmap (Auto)'!$A$3="(All)",ISNUMBER(SEARCH('Roadmap (Auto)'!$A$3,$C65&amp;""))),OR('Roadmap (Auto)'!$B$3="",'Roadmap (Auto)'!$B$3="(All)",$D65='Roadmap (Auto)'!$B$3,$X65='Roadmap (Auto)'!$B$3),OR('Roadmap (Auto)'!$C$3="",'Roadmap (Auto)'!$C$3="(All)",$F65='Roadmap (Auto)'!$C$3)),1,0))</f>
        <v/>
      </c>
      <c r="W65" s="152" t="str">
        <f t="shared" si="12"/>
        <v/>
      </c>
      <c r="X65" s="152" t="str">
        <f>IF($B65="","",IF(TRIM('UX Weekly'!D65)="","",TRIM('UX Weekly'!D65)))</f>
        <v/>
      </c>
      <c r="Y65" s="152" t="str">
        <f t="shared" si="13"/>
        <v/>
      </c>
      <c r="AA65">
        <f>IF($B65="",0,COUNTIFS('UX Weekly'!$H$1:$CT$1,"&gt;="&amp;AA$1,'UX Weekly'!$H$1:$CT$1,"&lt;="&amp;EOMONTH(AA$1,0),'UX Weekly'!$H65:$CT65,"&lt;&gt;"))</f>
        <v>0</v>
      </c>
      <c r="AB65">
        <f>IF($B65="",0,COUNTIFS('UX Weekly'!$H$1:$CT$1,"&gt;="&amp;AB$1,'UX Weekly'!$H$1:$CT$1,"&lt;="&amp;EOMONTH(AB$1,0),'UX Weekly'!$H65:$CT65,"&lt;&gt;"))</f>
        <v>0</v>
      </c>
      <c r="AC65">
        <f>IF($B65="",0,COUNTIFS('UX Weekly'!$H$1:$CT$1,"&gt;="&amp;AC$1,'UX Weekly'!$H$1:$CT$1,"&lt;="&amp;EOMONTH(AC$1,0),'UX Weekly'!$H65:$CT65,"&lt;&gt;"))</f>
        <v>0</v>
      </c>
      <c r="AD65">
        <f>IF($B65="",0,COUNTIFS('UX Weekly'!$H$1:$CT$1,"&gt;="&amp;AD$1,'UX Weekly'!$H$1:$CT$1,"&lt;="&amp;EOMONTH(AD$1,0),'UX Weekly'!$H65:$CT65,"&lt;&gt;"))</f>
        <v>0</v>
      </c>
      <c r="AE65">
        <f>IF($B65="",0,COUNTIFS('UX Weekly'!$H$1:$CT$1,"&gt;="&amp;AE$1,'UX Weekly'!$H$1:$CT$1,"&lt;="&amp;EOMONTH(AE$1,0),'UX Weekly'!$H65:$CT65,"&lt;&gt;"))</f>
        <v>0</v>
      </c>
      <c r="AF65">
        <f>IF($B65="",0,COUNTIFS('UX Weekly'!$H$1:$CT$1,"&gt;="&amp;AF$1,'UX Weekly'!$H$1:$CT$1,"&lt;="&amp;EOMONTH(AF$1,0),'UX Weekly'!$H65:$CT65,"&lt;&gt;"))</f>
        <v>0</v>
      </c>
      <c r="AG65">
        <f>IF($B65="",0,COUNTIFS('UX Weekly'!$H$1:$CT$1,"&gt;="&amp;AG$1,'UX Weekly'!$H$1:$CT$1,"&lt;="&amp;EOMONTH(AG$1,0),'UX Weekly'!$H65:$CT65,"&lt;&gt;"))</f>
        <v>0</v>
      </c>
      <c r="AH65">
        <f>IF($B65="",0,COUNTIFS('UX Weekly'!$H$1:$CT$1,"&gt;="&amp;AH$1,'UX Weekly'!$H$1:$CT$1,"&lt;="&amp;EOMONTH(AH$1,0),'UX Weekly'!$H65:$CT65,"&lt;&gt;"))</f>
        <v>0</v>
      </c>
      <c r="AI65">
        <f>IF($B65="",0,COUNTIFS('UX Weekly'!$H$1:$CT$1,"&gt;="&amp;AI$1,'UX Weekly'!$H$1:$CT$1,"&lt;="&amp;EOMONTH(AI$1,0),'UX Weekly'!$H65:$CT65,"&lt;&gt;"))</f>
        <v>0</v>
      </c>
      <c r="AJ65">
        <f>IF($B65="",0,COUNTIFS('UX Weekly'!$H$1:$CT$1,"&gt;="&amp;AJ$1,'UX Weekly'!$H$1:$CT$1,"&lt;="&amp;EOMONTH(AJ$1,0),'UX Weekly'!$H65:$CT65,"&lt;&gt;"))</f>
        <v>0</v>
      </c>
      <c r="AK65">
        <f>IF($B65="",0,COUNTIFS('UX Weekly'!$H$1:$CT$1,"&gt;="&amp;AK$1,'UX Weekly'!$H$1:$CT$1,"&lt;="&amp;EOMONTH(AK$1,0),'UX Weekly'!$H65:$CT65,"&lt;&gt;"))</f>
        <v>0</v>
      </c>
      <c r="AL65">
        <f>IF($B65="",0,COUNTIFS('UX Weekly'!$H$1:$CT$1,"&gt;="&amp;AL$1,'UX Weekly'!$H$1:$CT$1,"&lt;="&amp;EOMONTH(AL$1,0),'UX Weekly'!$H65:$CT65,"&lt;&gt;"))</f>
        <v>0</v>
      </c>
      <c r="AM65">
        <f>IF($B65="",0,COUNTIFS('UX Weekly'!$H$1:$CT$1,"&gt;="&amp;AM$1,'UX Weekly'!$H$1:$CT$1,"&lt;="&amp;EOMONTH(AM$1,0),'UX Weekly'!$H65:$CT65,"&lt;&gt;"))</f>
        <v>0</v>
      </c>
      <c r="AN65">
        <f>IF($B65="",0,COUNTIFS('UX Weekly'!$H$1:$CT$1,"&gt;="&amp;AN$1,'UX Weekly'!$H$1:$CT$1,"&lt;="&amp;EOMONTH(AN$1,0),'UX Weekly'!$H65:$CT65,"&lt;&gt;"))</f>
        <v>0</v>
      </c>
      <c r="AO65">
        <f>IF($B65="",0,COUNTIFS('UX Weekly'!$H$1:$CT$1,"&gt;="&amp;AO$1,'UX Weekly'!$H$1:$CT$1,"&lt;="&amp;EOMONTH(AO$1,0),'UX Weekly'!$H65:$CT65,"&lt;&gt;"))</f>
        <v>0</v>
      </c>
      <c r="AP65">
        <f>IF($B65="",0,COUNTIFS('UX Weekly'!$H$1:$CT$1,"&gt;="&amp;AP$1,'UX Weekly'!$H$1:$CT$1,"&lt;="&amp;EOMONTH(AP$1,0),'UX Weekly'!$H65:$CT65,"&lt;&gt;"))</f>
        <v>0</v>
      </c>
      <c r="AQ65">
        <f>IF($B65="",0,COUNTIFS('UX Weekly'!$H$1:$CT$1,"&gt;="&amp;AQ$1,'UX Weekly'!$H$1:$CT$1,"&lt;="&amp;EOMONTH(AQ$1,0),'UX Weekly'!$H65:$CT65,"&lt;&gt;"))</f>
        <v>0</v>
      </c>
      <c r="AR65">
        <f>IF($B65="",0,COUNTIFS('UX Weekly'!$H$1:$CT$1,"&gt;="&amp;AR$1,'UX Weekly'!$H$1:$CT$1,"&lt;="&amp;EOMONTH(AR$1,0),'UX Weekly'!$H65:$CT65,"&lt;&gt;"))</f>
        <v>0</v>
      </c>
      <c r="AS65">
        <f>IF($B65="",0,COUNTIFS('UX Weekly'!$H$1:$CT$1,"&gt;="&amp;AS$1,'UX Weekly'!$H$1:$CT$1,"&lt;="&amp;EOMONTH(AS$1,0),'UX Weekly'!$H65:$CT65,"&lt;&gt;"))</f>
        <v>0</v>
      </c>
      <c r="AT65">
        <f>IF($B65="",0,COUNTIFS('UX Weekly'!$H$1:$CT$1,"&gt;="&amp;AT$1,'UX Weekly'!$H$1:$CT$1,"&lt;="&amp;EOMONTH(AT$1,0),'UX Weekly'!$H65:$CT65,"&lt;&gt;"))</f>
        <v>0</v>
      </c>
      <c r="AU65">
        <f>IF($B65="",0,COUNTIFS('UX Weekly'!$H$1:$CT$1,"&gt;="&amp;AU$1,'UX Weekly'!$H$1:$CT$1,"&lt;="&amp;EOMONTH(AU$1,0),'UX Weekly'!$H65:$CT65,"&lt;&gt;"))</f>
        <v>0</v>
      </c>
      <c r="AV65">
        <f>IF($B65="",0,COUNTIFS('UX Weekly'!$H$1:$CT$1,"&gt;="&amp;AV$1,'UX Weekly'!$H$1:$CT$1,"&lt;="&amp;EOMONTH(AV$1,0),'UX Weekly'!$H65:$CT65,"&lt;&gt;"))</f>
        <v>0</v>
      </c>
      <c r="AW65">
        <f>IF($B65="",0,COUNTIFS('UX Weekly'!$H$1:$CT$1,"&gt;="&amp;AW$1,'UX Weekly'!$H$1:$CT$1,"&lt;="&amp;EOMONTH(AW$1,0),'UX Weekly'!$H65:$CT65,"&lt;&gt;"))</f>
        <v>0</v>
      </c>
      <c r="AX65">
        <f>IF($B65="",0,COUNTIFS('UX Weekly'!$H$1:$CT$1,"&gt;="&amp;AX$1,'UX Weekly'!$H$1:$CT$1,"&lt;="&amp;EOMONTH(AX$1,0),'UX Weekly'!$H65:$CT65,"&lt;&gt;"))</f>
        <v>0</v>
      </c>
    </row>
    <row r="66" spans="1:50" x14ac:dyDescent="0.2">
      <c r="A66" s="152">
        <v>66</v>
      </c>
      <c r="B66" s="152" t="str">
        <f>IF(TRIM('UX Weekly'!E66)="","",TRIM('UX Weekly'!E66))</f>
        <v/>
      </c>
      <c r="C66" s="152" t="str">
        <f>IF($B66="","",'UX Weekly'!B66)</f>
        <v/>
      </c>
      <c r="D66" s="152" t="str">
        <f>IF($B66="","",IF(TRIM('UX Weekly'!C66)="","(No theme assigned)",TRIM('UX Weekly'!C66)))</f>
        <v/>
      </c>
      <c r="E66" s="152" t="str">
        <f>IF($B66="","",TRIM('UX Weekly'!F66))</f>
        <v/>
      </c>
      <c r="F66" s="152" t="str">
        <f>IF($B66="","",'UX Weekly'!G66)</f>
        <v/>
      </c>
      <c r="G66" s="153" t="str">
        <f t="array" ref="G66">IF($B66="","",IF($T66=0,"",IFERROR(MIN(IF('UX Weekly'!$H66:$CT66&lt;&gt;"",'UX Weekly'!$H$1:$CT$1)),"")))</f>
        <v/>
      </c>
      <c r="H66" s="153" t="str">
        <f t="array" ref="H66">IF($B66="","",IF($T66=0,"",IFERROR(MAX(IF('UX Weekly'!$H66:$CT66&lt;&gt;"",'UX Weekly'!$H$1:$CT$1)),"")))</f>
        <v/>
      </c>
      <c r="I66" s="154" t="str">
        <f t="shared" ref="I66:I97" ca="1" si="14">IF($R66&lt;&gt;"",$R66,IF($S66&lt;&gt;"",$S66,""))</f>
        <v/>
      </c>
      <c r="J66" s="154" t="str">
        <f t="shared" ref="J66:J97" ca="1" si="15">IF($S66&lt;&gt;"",EOMONTH($S66,0),IF($R66&lt;&gt;"",EOMONTH($R66,0),""))</f>
        <v/>
      </c>
      <c r="K66" s="152" t="str">
        <f>IF($B66="","",IF(COUNTA('Dev Tracker'!L66)=0,"",TRIM('Dev Tracker'!L66)))</f>
        <v/>
      </c>
      <c r="L66" s="152" t="str">
        <f>IF($B66="","",IFERROR(MATCH($D66,Control!$E$4:$E$30,0),99))</f>
        <v/>
      </c>
      <c r="M66" s="152" t="str">
        <f>IF($B66="","",IFERROR(MATCH($F66,Control!$B$4:$B$30,0),99))</f>
        <v/>
      </c>
      <c r="N66" s="152" t="str">
        <f>IF($V66&lt;&gt;1,"",IF('Roadmap (Auto)'!$D$3="Status, then Theme",$M66*1000000+$L66*10000+ROW(),IF('Roadmap (Auto)'!$D$3="Dev start (earliest)",IF($I66="",99999999,$I66)*10000+ROW(),IF('Roadmap (Auto)'!$D$3="UX start (earliest)",IF($G66="",99999999,$G66)*10000+ROW(),IF('Roadmap (Auto)'!$D$3="Deliverable A-Z",$W66*10000+ROW(),$L66*1000000+$M66*10000+ROW())))))</f>
        <v/>
      </c>
      <c r="O66" s="152" t="str">
        <f t="shared" ref="O66:O97" si="16">IF($N66="","",COUNTIF($N$2:$N$151,"&lt;"&amp;$N66)+1)</f>
        <v/>
      </c>
      <c r="P66" s="152" t="str">
        <f>IF($B66="","",IF(COUNTA('Dev Tracker'!I66)=0,"",'Dev Tracker'!I66))</f>
        <v/>
      </c>
      <c r="Q66" s="152" t="str">
        <f>IF($B66="","",IF(COUNTA('Dev Tracker'!J66)=0,"",'Dev Tracker'!J66))</f>
        <v/>
      </c>
      <c r="R66" s="154" t="str">
        <f t="shared" ref="R66:R97" ca="1" si="17">IF($P66="","",IF(ISNUMBER($P66),DATE(YEAR($P66),MONTH($P66),1),IFERROR(DATE(IFERROR(VALUE(RIGHT(TRIM($P66),4)),YEAR(TODAY())),(SEARCH(LEFT(TRIM($P66),3),"JanFebMarAprMayJunJulAugSepOctNovDec")+2)/3,1),"")))</f>
        <v/>
      </c>
      <c r="S66" s="154" t="str">
        <f t="shared" ref="S66:S97" ca="1" si="18">IF($Q66="","",IF(ISNUMBER($Q66),DATE(YEAR($Q66),MONTH($Q66),1),IFERROR(DATE(IFERROR(VALUE(RIGHT(TRIM($Q66),4)),YEAR(TODAY())),(SEARCH(LEFT(TRIM($Q66),3),"JanFebMarAprMayJunJulAugSepOctNovDec")+2)/3,1),"")))</f>
        <v/>
      </c>
      <c r="T66" s="152" t="str">
        <f>IF($B66="","",COUNTA('UX Weekly'!$H66:$CT66))</f>
        <v/>
      </c>
      <c r="U66" s="152" t="str">
        <f>IF($B66="","",IFERROR(MATCH($D66,Control!$E$4:$E$30,0)+3,0))</f>
        <v/>
      </c>
      <c r="V66" s="152" t="str">
        <f>IF($B66="","",IF(AND(OR('Roadmap (Auto)'!$A$3="",'Roadmap (Auto)'!$A$3="(All)",ISNUMBER(SEARCH('Roadmap (Auto)'!$A$3,$C66&amp;""))),OR('Roadmap (Auto)'!$B$3="",'Roadmap (Auto)'!$B$3="(All)",$D66='Roadmap (Auto)'!$B$3,$X66='Roadmap (Auto)'!$B$3),OR('Roadmap (Auto)'!$C$3="",'Roadmap (Auto)'!$C$3="(All)",$F66='Roadmap (Auto)'!$C$3)),1,0))</f>
        <v/>
      </c>
      <c r="W66" s="152" t="str">
        <f t="shared" ref="W66:W97" si="19">IF($B66="","",COUNTIF($Y$2:$Y$151,"&lt;"&amp;$Y66)+1)</f>
        <v/>
      </c>
      <c r="X66" s="152" t="str">
        <f>IF($B66="","",IF(TRIM('UX Weekly'!D66)="","",TRIM('UX Weekly'!D66)))</f>
        <v/>
      </c>
      <c r="Y66" s="152" t="str">
        <f t="shared" ref="Y66:Y97" si="20">IF($B66="","",SUBSTITUTE(SUBSTITUTE(SUBSTITUTE(SUBSTITUTE(SUBSTITUTE(SUBSTITUTE(SUBSTITUTE(SUBSTITUTE(SUBSTITUTE(SUBSTITUTE(SUBSTITUTE(SUBSTITUTE(SUBSTITUTE(SUBSTITUTE(SUBSTITUTE(SUBSTITUTE(SUBSTITUTE(SUBSTITUTE(SUBSTITUTE(SUBSTITUTE(SUBSTITUTE(SUBSTITUTE(SUBSTITUTE(SUBSTITUTE(SUBSTITUTE(UPPER($B66)," ",""),"-",""),":",""),"/",""),"&amp;",""),"|",""),"'",""),"’",""),"&lt;",""),"&gt;",""),",",""),"$",""),".",""),"(",""),")",""),"*",""),"?",""),"~",""),"_",""),"+",""),"#",""),";",""),"!",""),"%",""),"@",""))</f>
        <v/>
      </c>
      <c r="AA66">
        <f>IF($B66="",0,COUNTIFS('UX Weekly'!$H$1:$CT$1,"&gt;="&amp;AA$1,'UX Weekly'!$H$1:$CT$1,"&lt;="&amp;EOMONTH(AA$1,0),'UX Weekly'!$H66:$CT66,"&lt;&gt;"))</f>
        <v>0</v>
      </c>
      <c r="AB66">
        <f>IF($B66="",0,COUNTIFS('UX Weekly'!$H$1:$CT$1,"&gt;="&amp;AB$1,'UX Weekly'!$H$1:$CT$1,"&lt;="&amp;EOMONTH(AB$1,0),'UX Weekly'!$H66:$CT66,"&lt;&gt;"))</f>
        <v>0</v>
      </c>
      <c r="AC66">
        <f>IF($B66="",0,COUNTIFS('UX Weekly'!$H$1:$CT$1,"&gt;="&amp;AC$1,'UX Weekly'!$H$1:$CT$1,"&lt;="&amp;EOMONTH(AC$1,0),'UX Weekly'!$H66:$CT66,"&lt;&gt;"))</f>
        <v>0</v>
      </c>
      <c r="AD66">
        <f>IF($B66="",0,COUNTIFS('UX Weekly'!$H$1:$CT$1,"&gt;="&amp;AD$1,'UX Weekly'!$H$1:$CT$1,"&lt;="&amp;EOMONTH(AD$1,0),'UX Weekly'!$H66:$CT66,"&lt;&gt;"))</f>
        <v>0</v>
      </c>
      <c r="AE66">
        <f>IF($B66="",0,COUNTIFS('UX Weekly'!$H$1:$CT$1,"&gt;="&amp;AE$1,'UX Weekly'!$H$1:$CT$1,"&lt;="&amp;EOMONTH(AE$1,0),'UX Weekly'!$H66:$CT66,"&lt;&gt;"))</f>
        <v>0</v>
      </c>
      <c r="AF66">
        <f>IF($B66="",0,COUNTIFS('UX Weekly'!$H$1:$CT$1,"&gt;="&amp;AF$1,'UX Weekly'!$H$1:$CT$1,"&lt;="&amp;EOMONTH(AF$1,0),'UX Weekly'!$H66:$CT66,"&lt;&gt;"))</f>
        <v>0</v>
      </c>
      <c r="AG66">
        <f>IF($B66="",0,COUNTIFS('UX Weekly'!$H$1:$CT$1,"&gt;="&amp;AG$1,'UX Weekly'!$H$1:$CT$1,"&lt;="&amp;EOMONTH(AG$1,0),'UX Weekly'!$H66:$CT66,"&lt;&gt;"))</f>
        <v>0</v>
      </c>
      <c r="AH66">
        <f>IF($B66="",0,COUNTIFS('UX Weekly'!$H$1:$CT$1,"&gt;="&amp;AH$1,'UX Weekly'!$H$1:$CT$1,"&lt;="&amp;EOMONTH(AH$1,0),'UX Weekly'!$H66:$CT66,"&lt;&gt;"))</f>
        <v>0</v>
      </c>
      <c r="AI66">
        <f>IF($B66="",0,COUNTIFS('UX Weekly'!$H$1:$CT$1,"&gt;="&amp;AI$1,'UX Weekly'!$H$1:$CT$1,"&lt;="&amp;EOMONTH(AI$1,0),'UX Weekly'!$H66:$CT66,"&lt;&gt;"))</f>
        <v>0</v>
      </c>
      <c r="AJ66">
        <f>IF($B66="",0,COUNTIFS('UX Weekly'!$H$1:$CT$1,"&gt;="&amp;AJ$1,'UX Weekly'!$H$1:$CT$1,"&lt;="&amp;EOMONTH(AJ$1,0),'UX Weekly'!$H66:$CT66,"&lt;&gt;"))</f>
        <v>0</v>
      </c>
      <c r="AK66">
        <f>IF($B66="",0,COUNTIFS('UX Weekly'!$H$1:$CT$1,"&gt;="&amp;AK$1,'UX Weekly'!$H$1:$CT$1,"&lt;="&amp;EOMONTH(AK$1,0),'UX Weekly'!$H66:$CT66,"&lt;&gt;"))</f>
        <v>0</v>
      </c>
      <c r="AL66">
        <f>IF($B66="",0,COUNTIFS('UX Weekly'!$H$1:$CT$1,"&gt;="&amp;AL$1,'UX Weekly'!$H$1:$CT$1,"&lt;="&amp;EOMONTH(AL$1,0),'UX Weekly'!$H66:$CT66,"&lt;&gt;"))</f>
        <v>0</v>
      </c>
      <c r="AM66">
        <f>IF($B66="",0,COUNTIFS('UX Weekly'!$H$1:$CT$1,"&gt;="&amp;AM$1,'UX Weekly'!$H$1:$CT$1,"&lt;="&amp;EOMONTH(AM$1,0),'UX Weekly'!$H66:$CT66,"&lt;&gt;"))</f>
        <v>0</v>
      </c>
      <c r="AN66">
        <f>IF($B66="",0,COUNTIFS('UX Weekly'!$H$1:$CT$1,"&gt;="&amp;AN$1,'UX Weekly'!$H$1:$CT$1,"&lt;="&amp;EOMONTH(AN$1,0),'UX Weekly'!$H66:$CT66,"&lt;&gt;"))</f>
        <v>0</v>
      </c>
      <c r="AO66">
        <f>IF($B66="",0,COUNTIFS('UX Weekly'!$H$1:$CT$1,"&gt;="&amp;AO$1,'UX Weekly'!$H$1:$CT$1,"&lt;="&amp;EOMONTH(AO$1,0),'UX Weekly'!$H66:$CT66,"&lt;&gt;"))</f>
        <v>0</v>
      </c>
      <c r="AP66">
        <f>IF($B66="",0,COUNTIFS('UX Weekly'!$H$1:$CT$1,"&gt;="&amp;AP$1,'UX Weekly'!$H$1:$CT$1,"&lt;="&amp;EOMONTH(AP$1,0),'UX Weekly'!$H66:$CT66,"&lt;&gt;"))</f>
        <v>0</v>
      </c>
      <c r="AQ66">
        <f>IF($B66="",0,COUNTIFS('UX Weekly'!$H$1:$CT$1,"&gt;="&amp;AQ$1,'UX Weekly'!$H$1:$CT$1,"&lt;="&amp;EOMONTH(AQ$1,0),'UX Weekly'!$H66:$CT66,"&lt;&gt;"))</f>
        <v>0</v>
      </c>
      <c r="AR66">
        <f>IF($B66="",0,COUNTIFS('UX Weekly'!$H$1:$CT$1,"&gt;="&amp;AR$1,'UX Weekly'!$H$1:$CT$1,"&lt;="&amp;EOMONTH(AR$1,0),'UX Weekly'!$H66:$CT66,"&lt;&gt;"))</f>
        <v>0</v>
      </c>
      <c r="AS66">
        <f>IF($B66="",0,COUNTIFS('UX Weekly'!$H$1:$CT$1,"&gt;="&amp;AS$1,'UX Weekly'!$H$1:$CT$1,"&lt;="&amp;EOMONTH(AS$1,0),'UX Weekly'!$H66:$CT66,"&lt;&gt;"))</f>
        <v>0</v>
      </c>
      <c r="AT66">
        <f>IF($B66="",0,COUNTIFS('UX Weekly'!$H$1:$CT$1,"&gt;="&amp;AT$1,'UX Weekly'!$H$1:$CT$1,"&lt;="&amp;EOMONTH(AT$1,0),'UX Weekly'!$H66:$CT66,"&lt;&gt;"))</f>
        <v>0</v>
      </c>
      <c r="AU66">
        <f>IF($B66="",0,COUNTIFS('UX Weekly'!$H$1:$CT$1,"&gt;="&amp;AU$1,'UX Weekly'!$H$1:$CT$1,"&lt;="&amp;EOMONTH(AU$1,0),'UX Weekly'!$H66:$CT66,"&lt;&gt;"))</f>
        <v>0</v>
      </c>
      <c r="AV66">
        <f>IF($B66="",0,COUNTIFS('UX Weekly'!$H$1:$CT$1,"&gt;="&amp;AV$1,'UX Weekly'!$H$1:$CT$1,"&lt;="&amp;EOMONTH(AV$1,0),'UX Weekly'!$H66:$CT66,"&lt;&gt;"))</f>
        <v>0</v>
      </c>
      <c r="AW66">
        <f>IF($B66="",0,COUNTIFS('UX Weekly'!$H$1:$CT$1,"&gt;="&amp;AW$1,'UX Weekly'!$H$1:$CT$1,"&lt;="&amp;EOMONTH(AW$1,0),'UX Weekly'!$H66:$CT66,"&lt;&gt;"))</f>
        <v>0</v>
      </c>
      <c r="AX66">
        <f>IF($B66="",0,COUNTIFS('UX Weekly'!$H$1:$CT$1,"&gt;="&amp;AX$1,'UX Weekly'!$H$1:$CT$1,"&lt;="&amp;EOMONTH(AX$1,0),'UX Weekly'!$H66:$CT66,"&lt;&gt;"))</f>
        <v>0</v>
      </c>
    </row>
    <row r="67" spans="1:50" x14ac:dyDescent="0.2">
      <c r="A67" s="152">
        <v>67</v>
      </c>
      <c r="B67" s="152" t="str">
        <f>IF(TRIM('UX Weekly'!E67)="","",TRIM('UX Weekly'!E67))</f>
        <v/>
      </c>
      <c r="C67" s="152" t="str">
        <f>IF($B67="","",'UX Weekly'!B67)</f>
        <v/>
      </c>
      <c r="D67" s="152" t="str">
        <f>IF($B67="","",IF(TRIM('UX Weekly'!C67)="","(No theme assigned)",TRIM('UX Weekly'!C67)))</f>
        <v/>
      </c>
      <c r="E67" s="152" t="str">
        <f>IF($B67="","",TRIM('UX Weekly'!F67))</f>
        <v/>
      </c>
      <c r="F67" s="152" t="str">
        <f>IF($B67="","",'UX Weekly'!G67)</f>
        <v/>
      </c>
      <c r="G67" s="153" t="str">
        <f t="array" ref="G67">IF($B67="","",IF($T67=0,"",IFERROR(MIN(IF('UX Weekly'!$H67:$CT67&lt;&gt;"",'UX Weekly'!$H$1:$CT$1)),"")))</f>
        <v/>
      </c>
      <c r="H67" s="153" t="str">
        <f t="array" ref="H67">IF($B67="","",IF($T67=0,"",IFERROR(MAX(IF('UX Weekly'!$H67:$CT67&lt;&gt;"",'UX Weekly'!$H$1:$CT$1)),"")))</f>
        <v/>
      </c>
      <c r="I67" s="154" t="str">
        <f t="shared" ca="1" si="14"/>
        <v/>
      </c>
      <c r="J67" s="154" t="str">
        <f t="shared" ca="1" si="15"/>
        <v/>
      </c>
      <c r="K67" s="152" t="str">
        <f>IF($B67="","",IF(COUNTA('Dev Tracker'!L67)=0,"",TRIM('Dev Tracker'!L67)))</f>
        <v/>
      </c>
      <c r="L67" s="152" t="str">
        <f>IF($B67="","",IFERROR(MATCH($D67,Control!$E$4:$E$30,0),99))</f>
        <v/>
      </c>
      <c r="M67" s="152" t="str">
        <f>IF($B67="","",IFERROR(MATCH($F67,Control!$B$4:$B$30,0),99))</f>
        <v/>
      </c>
      <c r="N67" s="152" t="str">
        <f>IF($V67&lt;&gt;1,"",IF('Roadmap (Auto)'!$D$3="Status, then Theme",$M67*1000000+$L67*10000+ROW(),IF('Roadmap (Auto)'!$D$3="Dev start (earliest)",IF($I67="",99999999,$I67)*10000+ROW(),IF('Roadmap (Auto)'!$D$3="UX start (earliest)",IF($G67="",99999999,$G67)*10000+ROW(),IF('Roadmap (Auto)'!$D$3="Deliverable A-Z",$W67*10000+ROW(),$L67*1000000+$M67*10000+ROW())))))</f>
        <v/>
      </c>
      <c r="O67" s="152" t="str">
        <f t="shared" si="16"/>
        <v/>
      </c>
      <c r="P67" s="152" t="str">
        <f>IF($B67="","",IF(COUNTA('Dev Tracker'!I67)=0,"",'Dev Tracker'!I67))</f>
        <v/>
      </c>
      <c r="Q67" s="152" t="str">
        <f>IF($B67="","",IF(COUNTA('Dev Tracker'!J67)=0,"",'Dev Tracker'!J67))</f>
        <v/>
      </c>
      <c r="R67" s="154" t="str">
        <f t="shared" ca="1" si="17"/>
        <v/>
      </c>
      <c r="S67" s="154" t="str">
        <f t="shared" ca="1" si="18"/>
        <v/>
      </c>
      <c r="T67" s="152" t="str">
        <f>IF($B67="","",COUNTA('UX Weekly'!$H67:$CT67))</f>
        <v/>
      </c>
      <c r="U67" s="152" t="str">
        <f>IF($B67="","",IFERROR(MATCH($D67,Control!$E$4:$E$30,0)+3,0))</f>
        <v/>
      </c>
      <c r="V67" s="152" t="str">
        <f>IF($B67="","",IF(AND(OR('Roadmap (Auto)'!$A$3="",'Roadmap (Auto)'!$A$3="(All)",ISNUMBER(SEARCH('Roadmap (Auto)'!$A$3,$C67&amp;""))),OR('Roadmap (Auto)'!$B$3="",'Roadmap (Auto)'!$B$3="(All)",$D67='Roadmap (Auto)'!$B$3,$X67='Roadmap (Auto)'!$B$3),OR('Roadmap (Auto)'!$C$3="",'Roadmap (Auto)'!$C$3="(All)",$F67='Roadmap (Auto)'!$C$3)),1,0))</f>
        <v/>
      </c>
      <c r="W67" s="152" t="str">
        <f t="shared" si="19"/>
        <v/>
      </c>
      <c r="X67" s="152" t="str">
        <f>IF($B67="","",IF(TRIM('UX Weekly'!D67)="","",TRIM('UX Weekly'!D67)))</f>
        <v/>
      </c>
      <c r="Y67" s="152" t="str">
        <f t="shared" si="20"/>
        <v/>
      </c>
      <c r="AA67">
        <f>IF($B67="",0,COUNTIFS('UX Weekly'!$H$1:$CT$1,"&gt;="&amp;AA$1,'UX Weekly'!$H$1:$CT$1,"&lt;="&amp;EOMONTH(AA$1,0),'UX Weekly'!$H67:$CT67,"&lt;&gt;"))</f>
        <v>0</v>
      </c>
      <c r="AB67">
        <f>IF($B67="",0,COUNTIFS('UX Weekly'!$H$1:$CT$1,"&gt;="&amp;AB$1,'UX Weekly'!$H$1:$CT$1,"&lt;="&amp;EOMONTH(AB$1,0),'UX Weekly'!$H67:$CT67,"&lt;&gt;"))</f>
        <v>0</v>
      </c>
      <c r="AC67">
        <f>IF($B67="",0,COUNTIFS('UX Weekly'!$H$1:$CT$1,"&gt;="&amp;AC$1,'UX Weekly'!$H$1:$CT$1,"&lt;="&amp;EOMONTH(AC$1,0),'UX Weekly'!$H67:$CT67,"&lt;&gt;"))</f>
        <v>0</v>
      </c>
      <c r="AD67">
        <f>IF($B67="",0,COUNTIFS('UX Weekly'!$H$1:$CT$1,"&gt;="&amp;AD$1,'UX Weekly'!$H$1:$CT$1,"&lt;="&amp;EOMONTH(AD$1,0),'UX Weekly'!$H67:$CT67,"&lt;&gt;"))</f>
        <v>0</v>
      </c>
      <c r="AE67">
        <f>IF($B67="",0,COUNTIFS('UX Weekly'!$H$1:$CT$1,"&gt;="&amp;AE$1,'UX Weekly'!$H$1:$CT$1,"&lt;="&amp;EOMONTH(AE$1,0),'UX Weekly'!$H67:$CT67,"&lt;&gt;"))</f>
        <v>0</v>
      </c>
      <c r="AF67">
        <f>IF($B67="",0,COUNTIFS('UX Weekly'!$H$1:$CT$1,"&gt;="&amp;AF$1,'UX Weekly'!$H$1:$CT$1,"&lt;="&amp;EOMONTH(AF$1,0),'UX Weekly'!$H67:$CT67,"&lt;&gt;"))</f>
        <v>0</v>
      </c>
      <c r="AG67">
        <f>IF($B67="",0,COUNTIFS('UX Weekly'!$H$1:$CT$1,"&gt;="&amp;AG$1,'UX Weekly'!$H$1:$CT$1,"&lt;="&amp;EOMONTH(AG$1,0),'UX Weekly'!$H67:$CT67,"&lt;&gt;"))</f>
        <v>0</v>
      </c>
      <c r="AH67">
        <f>IF($B67="",0,COUNTIFS('UX Weekly'!$H$1:$CT$1,"&gt;="&amp;AH$1,'UX Weekly'!$H$1:$CT$1,"&lt;="&amp;EOMONTH(AH$1,0),'UX Weekly'!$H67:$CT67,"&lt;&gt;"))</f>
        <v>0</v>
      </c>
      <c r="AI67">
        <f>IF($B67="",0,COUNTIFS('UX Weekly'!$H$1:$CT$1,"&gt;="&amp;AI$1,'UX Weekly'!$H$1:$CT$1,"&lt;="&amp;EOMONTH(AI$1,0),'UX Weekly'!$H67:$CT67,"&lt;&gt;"))</f>
        <v>0</v>
      </c>
      <c r="AJ67">
        <f>IF($B67="",0,COUNTIFS('UX Weekly'!$H$1:$CT$1,"&gt;="&amp;AJ$1,'UX Weekly'!$H$1:$CT$1,"&lt;="&amp;EOMONTH(AJ$1,0),'UX Weekly'!$H67:$CT67,"&lt;&gt;"))</f>
        <v>0</v>
      </c>
      <c r="AK67">
        <f>IF($B67="",0,COUNTIFS('UX Weekly'!$H$1:$CT$1,"&gt;="&amp;AK$1,'UX Weekly'!$H$1:$CT$1,"&lt;="&amp;EOMONTH(AK$1,0),'UX Weekly'!$H67:$CT67,"&lt;&gt;"))</f>
        <v>0</v>
      </c>
      <c r="AL67">
        <f>IF($B67="",0,COUNTIFS('UX Weekly'!$H$1:$CT$1,"&gt;="&amp;AL$1,'UX Weekly'!$H$1:$CT$1,"&lt;="&amp;EOMONTH(AL$1,0),'UX Weekly'!$H67:$CT67,"&lt;&gt;"))</f>
        <v>0</v>
      </c>
      <c r="AM67">
        <f>IF($B67="",0,COUNTIFS('UX Weekly'!$H$1:$CT$1,"&gt;="&amp;AM$1,'UX Weekly'!$H$1:$CT$1,"&lt;="&amp;EOMONTH(AM$1,0),'UX Weekly'!$H67:$CT67,"&lt;&gt;"))</f>
        <v>0</v>
      </c>
      <c r="AN67">
        <f>IF($B67="",0,COUNTIFS('UX Weekly'!$H$1:$CT$1,"&gt;="&amp;AN$1,'UX Weekly'!$H$1:$CT$1,"&lt;="&amp;EOMONTH(AN$1,0),'UX Weekly'!$H67:$CT67,"&lt;&gt;"))</f>
        <v>0</v>
      </c>
      <c r="AO67">
        <f>IF($B67="",0,COUNTIFS('UX Weekly'!$H$1:$CT$1,"&gt;="&amp;AO$1,'UX Weekly'!$H$1:$CT$1,"&lt;="&amp;EOMONTH(AO$1,0),'UX Weekly'!$H67:$CT67,"&lt;&gt;"))</f>
        <v>0</v>
      </c>
      <c r="AP67">
        <f>IF($B67="",0,COUNTIFS('UX Weekly'!$H$1:$CT$1,"&gt;="&amp;AP$1,'UX Weekly'!$H$1:$CT$1,"&lt;="&amp;EOMONTH(AP$1,0),'UX Weekly'!$H67:$CT67,"&lt;&gt;"))</f>
        <v>0</v>
      </c>
      <c r="AQ67">
        <f>IF($B67="",0,COUNTIFS('UX Weekly'!$H$1:$CT$1,"&gt;="&amp;AQ$1,'UX Weekly'!$H$1:$CT$1,"&lt;="&amp;EOMONTH(AQ$1,0),'UX Weekly'!$H67:$CT67,"&lt;&gt;"))</f>
        <v>0</v>
      </c>
      <c r="AR67">
        <f>IF($B67="",0,COUNTIFS('UX Weekly'!$H$1:$CT$1,"&gt;="&amp;AR$1,'UX Weekly'!$H$1:$CT$1,"&lt;="&amp;EOMONTH(AR$1,0),'UX Weekly'!$H67:$CT67,"&lt;&gt;"))</f>
        <v>0</v>
      </c>
      <c r="AS67">
        <f>IF($B67="",0,COUNTIFS('UX Weekly'!$H$1:$CT$1,"&gt;="&amp;AS$1,'UX Weekly'!$H$1:$CT$1,"&lt;="&amp;EOMONTH(AS$1,0),'UX Weekly'!$H67:$CT67,"&lt;&gt;"))</f>
        <v>0</v>
      </c>
      <c r="AT67">
        <f>IF($B67="",0,COUNTIFS('UX Weekly'!$H$1:$CT$1,"&gt;="&amp;AT$1,'UX Weekly'!$H$1:$CT$1,"&lt;="&amp;EOMONTH(AT$1,0),'UX Weekly'!$H67:$CT67,"&lt;&gt;"))</f>
        <v>0</v>
      </c>
      <c r="AU67">
        <f>IF($B67="",0,COUNTIFS('UX Weekly'!$H$1:$CT$1,"&gt;="&amp;AU$1,'UX Weekly'!$H$1:$CT$1,"&lt;="&amp;EOMONTH(AU$1,0),'UX Weekly'!$H67:$CT67,"&lt;&gt;"))</f>
        <v>0</v>
      </c>
      <c r="AV67">
        <f>IF($B67="",0,COUNTIFS('UX Weekly'!$H$1:$CT$1,"&gt;="&amp;AV$1,'UX Weekly'!$H$1:$CT$1,"&lt;="&amp;EOMONTH(AV$1,0),'UX Weekly'!$H67:$CT67,"&lt;&gt;"))</f>
        <v>0</v>
      </c>
      <c r="AW67">
        <f>IF($B67="",0,COUNTIFS('UX Weekly'!$H$1:$CT$1,"&gt;="&amp;AW$1,'UX Weekly'!$H$1:$CT$1,"&lt;="&amp;EOMONTH(AW$1,0),'UX Weekly'!$H67:$CT67,"&lt;&gt;"))</f>
        <v>0</v>
      </c>
      <c r="AX67">
        <f>IF($B67="",0,COUNTIFS('UX Weekly'!$H$1:$CT$1,"&gt;="&amp;AX$1,'UX Weekly'!$H$1:$CT$1,"&lt;="&amp;EOMONTH(AX$1,0),'UX Weekly'!$H67:$CT67,"&lt;&gt;"))</f>
        <v>0</v>
      </c>
    </row>
    <row r="68" spans="1:50" x14ac:dyDescent="0.2">
      <c r="A68" s="152">
        <v>68</v>
      </c>
      <c r="B68" s="152" t="str">
        <f>IF(TRIM('UX Weekly'!E68)="","",TRIM('UX Weekly'!E68))</f>
        <v/>
      </c>
      <c r="C68" s="152" t="str">
        <f>IF($B68="","",'UX Weekly'!B68)</f>
        <v/>
      </c>
      <c r="D68" s="152" t="str">
        <f>IF($B68="","",IF(TRIM('UX Weekly'!C68)="","(No theme assigned)",TRIM('UX Weekly'!C68)))</f>
        <v/>
      </c>
      <c r="E68" s="152" t="str">
        <f>IF($B68="","",TRIM('UX Weekly'!F68))</f>
        <v/>
      </c>
      <c r="F68" s="152" t="str">
        <f>IF($B68="","",'UX Weekly'!G68)</f>
        <v/>
      </c>
      <c r="G68" s="153" t="str">
        <f t="array" ref="G68">IF($B68="","",IF($T68=0,"",IFERROR(MIN(IF('UX Weekly'!$H68:$CT68&lt;&gt;"",'UX Weekly'!$H$1:$CT$1)),"")))</f>
        <v/>
      </c>
      <c r="H68" s="153" t="str">
        <f t="array" ref="H68">IF($B68="","",IF($T68=0,"",IFERROR(MAX(IF('UX Weekly'!$H68:$CT68&lt;&gt;"",'UX Weekly'!$H$1:$CT$1)),"")))</f>
        <v/>
      </c>
      <c r="I68" s="154" t="str">
        <f t="shared" ca="1" si="14"/>
        <v/>
      </c>
      <c r="J68" s="154" t="str">
        <f t="shared" ca="1" si="15"/>
        <v/>
      </c>
      <c r="K68" s="152" t="str">
        <f>IF($B68="","",IF(COUNTA('Dev Tracker'!L68)=0,"",TRIM('Dev Tracker'!L68)))</f>
        <v/>
      </c>
      <c r="L68" s="152" t="str">
        <f>IF($B68="","",IFERROR(MATCH($D68,Control!$E$4:$E$30,0),99))</f>
        <v/>
      </c>
      <c r="M68" s="152" t="str">
        <f>IF($B68="","",IFERROR(MATCH($F68,Control!$B$4:$B$30,0),99))</f>
        <v/>
      </c>
      <c r="N68" s="152" t="str">
        <f>IF($V68&lt;&gt;1,"",IF('Roadmap (Auto)'!$D$3="Status, then Theme",$M68*1000000+$L68*10000+ROW(),IF('Roadmap (Auto)'!$D$3="Dev start (earliest)",IF($I68="",99999999,$I68)*10000+ROW(),IF('Roadmap (Auto)'!$D$3="UX start (earliest)",IF($G68="",99999999,$G68)*10000+ROW(),IF('Roadmap (Auto)'!$D$3="Deliverable A-Z",$W68*10000+ROW(),$L68*1000000+$M68*10000+ROW())))))</f>
        <v/>
      </c>
      <c r="O68" s="152" t="str">
        <f t="shared" si="16"/>
        <v/>
      </c>
      <c r="P68" s="152" t="str">
        <f>IF($B68="","",IF(COUNTA('Dev Tracker'!I68)=0,"",'Dev Tracker'!I68))</f>
        <v/>
      </c>
      <c r="Q68" s="152" t="str">
        <f>IF($B68="","",IF(COUNTA('Dev Tracker'!J68)=0,"",'Dev Tracker'!J68))</f>
        <v/>
      </c>
      <c r="R68" s="154" t="str">
        <f t="shared" ca="1" si="17"/>
        <v/>
      </c>
      <c r="S68" s="154" t="str">
        <f t="shared" ca="1" si="18"/>
        <v/>
      </c>
      <c r="T68" s="152" t="str">
        <f>IF($B68="","",COUNTA('UX Weekly'!$H68:$CT68))</f>
        <v/>
      </c>
      <c r="U68" s="152" t="str">
        <f>IF($B68="","",IFERROR(MATCH($D68,Control!$E$4:$E$30,0)+3,0))</f>
        <v/>
      </c>
      <c r="V68" s="152" t="str">
        <f>IF($B68="","",IF(AND(OR('Roadmap (Auto)'!$A$3="",'Roadmap (Auto)'!$A$3="(All)",ISNUMBER(SEARCH('Roadmap (Auto)'!$A$3,$C68&amp;""))),OR('Roadmap (Auto)'!$B$3="",'Roadmap (Auto)'!$B$3="(All)",$D68='Roadmap (Auto)'!$B$3,$X68='Roadmap (Auto)'!$B$3),OR('Roadmap (Auto)'!$C$3="",'Roadmap (Auto)'!$C$3="(All)",$F68='Roadmap (Auto)'!$C$3)),1,0))</f>
        <v/>
      </c>
      <c r="W68" s="152" t="str">
        <f t="shared" si="19"/>
        <v/>
      </c>
      <c r="X68" s="152" t="str">
        <f>IF($B68="","",IF(TRIM('UX Weekly'!D68)="","",TRIM('UX Weekly'!D68)))</f>
        <v/>
      </c>
      <c r="Y68" s="152" t="str">
        <f t="shared" si="20"/>
        <v/>
      </c>
      <c r="AA68">
        <f>IF($B68="",0,COUNTIFS('UX Weekly'!$H$1:$CT$1,"&gt;="&amp;AA$1,'UX Weekly'!$H$1:$CT$1,"&lt;="&amp;EOMONTH(AA$1,0),'UX Weekly'!$H68:$CT68,"&lt;&gt;"))</f>
        <v>0</v>
      </c>
      <c r="AB68">
        <f>IF($B68="",0,COUNTIFS('UX Weekly'!$H$1:$CT$1,"&gt;="&amp;AB$1,'UX Weekly'!$H$1:$CT$1,"&lt;="&amp;EOMONTH(AB$1,0),'UX Weekly'!$H68:$CT68,"&lt;&gt;"))</f>
        <v>0</v>
      </c>
      <c r="AC68">
        <f>IF($B68="",0,COUNTIFS('UX Weekly'!$H$1:$CT$1,"&gt;="&amp;AC$1,'UX Weekly'!$H$1:$CT$1,"&lt;="&amp;EOMONTH(AC$1,0),'UX Weekly'!$H68:$CT68,"&lt;&gt;"))</f>
        <v>0</v>
      </c>
      <c r="AD68">
        <f>IF($B68="",0,COUNTIFS('UX Weekly'!$H$1:$CT$1,"&gt;="&amp;AD$1,'UX Weekly'!$H$1:$CT$1,"&lt;="&amp;EOMONTH(AD$1,0),'UX Weekly'!$H68:$CT68,"&lt;&gt;"))</f>
        <v>0</v>
      </c>
      <c r="AE68">
        <f>IF($B68="",0,COUNTIFS('UX Weekly'!$H$1:$CT$1,"&gt;="&amp;AE$1,'UX Weekly'!$H$1:$CT$1,"&lt;="&amp;EOMONTH(AE$1,0),'UX Weekly'!$H68:$CT68,"&lt;&gt;"))</f>
        <v>0</v>
      </c>
      <c r="AF68">
        <f>IF($B68="",0,COUNTIFS('UX Weekly'!$H$1:$CT$1,"&gt;="&amp;AF$1,'UX Weekly'!$H$1:$CT$1,"&lt;="&amp;EOMONTH(AF$1,0),'UX Weekly'!$H68:$CT68,"&lt;&gt;"))</f>
        <v>0</v>
      </c>
      <c r="AG68">
        <f>IF($B68="",0,COUNTIFS('UX Weekly'!$H$1:$CT$1,"&gt;="&amp;AG$1,'UX Weekly'!$H$1:$CT$1,"&lt;="&amp;EOMONTH(AG$1,0),'UX Weekly'!$H68:$CT68,"&lt;&gt;"))</f>
        <v>0</v>
      </c>
      <c r="AH68">
        <f>IF($B68="",0,COUNTIFS('UX Weekly'!$H$1:$CT$1,"&gt;="&amp;AH$1,'UX Weekly'!$H$1:$CT$1,"&lt;="&amp;EOMONTH(AH$1,0),'UX Weekly'!$H68:$CT68,"&lt;&gt;"))</f>
        <v>0</v>
      </c>
      <c r="AI68">
        <f>IF($B68="",0,COUNTIFS('UX Weekly'!$H$1:$CT$1,"&gt;="&amp;AI$1,'UX Weekly'!$H$1:$CT$1,"&lt;="&amp;EOMONTH(AI$1,0),'UX Weekly'!$H68:$CT68,"&lt;&gt;"))</f>
        <v>0</v>
      </c>
      <c r="AJ68">
        <f>IF($B68="",0,COUNTIFS('UX Weekly'!$H$1:$CT$1,"&gt;="&amp;AJ$1,'UX Weekly'!$H$1:$CT$1,"&lt;="&amp;EOMONTH(AJ$1,0),'UX Weekly'!$H68:$CT68,"&lt;&gt;"))</f>
        <v>0</v>
      </c>
      <c r="AK68">
        <f>IF($B68="",0,COUNTIFS('UX Weekly'!$H$1:$CT$1,"&gt;="&amp;AK$1,'UX Weekly'!$H$1:$CT$1,"&lt;="&amp;EOMONTH(AK$1,0),'UX Weekly'!$H68:$CT68,"&lt;&gt;"))</f>
        <v>0</v>
      </c>
      <c r="AL68">
        <f>IF($B68="",0,COUNTIFS('UX Weekly'!$H$1:$CT$1,"&gt;="&amp;AL$1,'UX Weekly'!$H$1:$CT$1,"&lt;="&amp;EOMONTH(AL$1,0),'UX Weekly'!$H68:$CT68,"&lt;&gt;"))</f>
        <v>0</v>
      </c>
      <c r="AM68">
        <f>IF($B68="",0,COUNTIFS('UX Weekly'!$H$1:$CT$1,"&gt;="&amp;AM$1,'UX Weekly'!$H$1:$CT$1,"&lt;="&amp;EOMONTH(AM$1,0),'UX Weekly'!$H68:$CT68,"&lt;&gt;"))</f>
        <v>0</v>
      </c>
      <c r="AN68">
        <f>IF($B68="",0,COUNTIFS('UX Weekly'!$H$1:$CT$1,"&gt;="&amp;AN$1,'UX Weekly'!$H$1:$CT$1,"&lt;="&amp;EOMONTH(AN$1,0),'UX Weekly'!$H68:$CT68,"&lt;&gt;"))</f>
        <v>0</v>
      </c>
      <c r="AO68">
        <f>IF($B68="",0,COUNTIFS('UX Weekly'!$H$1:$CT$1,"&gt;="&amp;AO$1,'UX Weekly'!$H$1:$CT$1,"&lt;="&amp;EOMONTH(AO$1,0),'UX Weekly'!$H68:$CT68,"&lt;&gt;"))</f>
        <v>0</v>
      </c>
      <c r="AP68">
        <f>IF($B68="",0,COUNTIFS('UX Weekly'!$H$1:$CT$1,"&gt;="&amp;AP$1,'UX Weekly'!$H$1:$CT$1,"&lt;="&amp;EOMONTH(AP$1,0),'UX Weekly'!$H68:$CT68,"&lt;&gt;"))</f>
        <v>0</v>
      </c>
      <c r="AQ68">
        <f>IF($B68="",0,COUNTIFS('UX Weekly'!$H$1:$CT$1,"&gt;="&amp;AQ$1,'UX Weekly'!$H$1:$CT$1,"&lt;="&amp;EOMONTH(AQ$1,0),'UX Weekly'!$H68:$CT68,"&lt;&gt;"))</f>
        <v>0</v>
      </c>
      <c r="AR68">
        <f>IF($B68="",0,COUNTIFS('UX Weekly'!$H$1:$CT$1,"&gt;="&amp;AR$1,'UX Weekly'!$H$1:$CT$1,"&lt;="&amp;EOMONTH(AR$1,0),'UX Weekly'!$H68:$CT68,"&lt;&gt;"))</f>
        <v>0</v>
      </c>
      <c r="AS68">
        <f>IF($B68="",0,COUNTIFS('UX Weekly'!$H$1:$CT$1,"&gt;="&amp;AS$1,'UX Weekly'!$H$1:$CT$1,"&lt;="&amp;EOMONTH(AS$1,0),'UX Weekly'!$H68:$CT68,"&lt;&gt;"))</f>
        <v>0</v>
      </c>
      <c r="AT68">
        <f>IF($B68="",0,COUNTIFS('UX Weekly'!$H$1:$CT$1,"&gt;="&amp;AT$1,'UX Weekly'!$H$1:$CT$1,"&lt;="&amp;EOMONTH(AT$1,0),'UX Weekly'!$H68:$CT68,"&lt;&gt;"))</f>
        <v>0</v>
      </c>
      <c r="AU68">
        <f>IF($B68="",0,COUNTIFS('UX Weekly'!$H$1:$CT$1,"&gt;="&amp;AU$1,'UX Weekly'!$H$1:$CT$1,"&lt;="&amp;EOMONTH(AU$1,0),'UX Weekly'!$H68:$CT68,"&lt;&gt;"))</f>
        <v>0</v>
      </c>
      <c r="AV68">
        <f>IF($B68="",0,COUNTIFS('UX Weekly'!$H$1:$CT$1,"&gt;="&amp;AV$1,'UX Weekly'!$H$1:$CT$1,"&lt;="&amp;EOMONTH(AV$1,0),'UX Weekly'!$H68:$CT68,"&lt;&gt;"))</f>
        <v>0</v>
      </c>
      <c r="AW68">
        <f>IF($B68="",0,COUNTIFS('UX Weekly'!$H$1:$CT$1,"&gt;="&amp;AW$1,'UX Weekly'!$H$1:$CT$1,"&lt;="&amp;EOMONTH(AW$1,0),'UX Weekly'!$H68:$CT68,"&lt;&gt;"))</f>
        <v>0</v>
      </c>
      <c r="AX68">
        <f>IF($B68="",0,COUNTIFS('UX Weekly'!$H$1:$CT$1,"&gt;="&amp;AX$1,'UX Weekly'!$H$1:$CT$1,"&lt;="&amp;EOMONTH(AX$1,0),'UX Weekly'!$H68:$CT68,"&lt;&gt;"))</f>
        <v>0</v>
      </c>
    </row>
    <row r="69" spans="1:50" x14ac:dyDescent="0.2">
      <c r="A69" s="152">
        <v>69</v>
      </c>
      <c r="B69" s="152" t="str">
        <f>IF(TRIM('UX Weekly'!E69)="","",TRIM('UX Weekly'!E69))</f>
        <v/>
      </c>
      <c r="C69" s="152" t="str">
        <f>IF($B69="","",'UX Weekly'!B69)</f>
        <v/>
      </c>
      <c r="D69" s="152" t="str">
        <f>IF($B69="","",IF(TRIM('UX Weekly'!C69)="","(No theme assigned)",TRIM('UX Weekly'!C69)))</f>
        <v/>
      </c>
      <c r="E69" s="152" t="str">
        <f>IF($B69="","",TRIM('UX Weekly'!F69))</f>
        <v/>
      </c>
      <c r="F69" s="152" t="str">
        <f>IF($B69="","",'UX Weekly'!G69)</f>
        <v/>
      </c>
      <c r="G69" s="153" t="str">
        <f t="array" ref="G69">IF($B69="","",IF($T69=0,"",IFERROR(MIN(IF('UX Weekly'!$H69:$CT69&lt;&gt;"",'UX Weekly'!$H$1:$CT$1)),"")))</f>
        <v/>
      </c>
      <c r="H69" s="153" t="str">
        <f t="array" ref="H69">IF($B69="","",IF($T69=0,"",IFERROR(MAX(IF('UX Weekly'!$H69:$CT69&lt;&gt;"",'UX Weekly'!$H$1:$CT$1)),"")))</f>
        <v/>
      </c>
      <c r="I69" s="154" t="str">
        <f t="shared" ca="1" si="14"/>
        <v/>
      </c>
      <c r="J69" s="154" t="str">
        <f t="shared" ca="1" si="15"/>
        <v/>
      </c>
      <c r="K69" s="152" t="str">
        <f>IF($B69="","",IF(COUNTA('Dev Tracker'!L69)=0,"",TRIM('Dev Tracker'!L69)))</f>
        <v/>
      </c>
      <c r="L69" s="152" t="str">
        <f>IF($B69="","",IFERROR(MATCH($D69,Control!$E$4:$E$30,0),99))</f>
        <v/>
      </c>
      <c r="M69" s="152" t="str">
        <f>IF($B69="","",IFERROR(MATCH($F69,Control!$B$4:$B$30,0),99))</f>
        <v/>
      </c>
      <c r="N69" s="152" t="str">
        <f>IF($V69&lt;&gt;1,"",IF('Roadmap (Auto)'!$D$3="Status, then Theme",$M69*1000000+$L69*10000+ROW(),IF('Roadmap (Auto)'!$D$3="Dev start (earliest)",IF($I69="",99999999,$I69)*10000+ROW(),IF('Roadmap (Auto)'!$D$3="UX start (earliest)",IF($G69="",99999999,$G69)*10000+ROW(),IF('Roadmap (Auto)'!$D$3="Deliverable A-Z",$W69*10000+ROW(),$L69*1000000+$M69*10000+ROW())))))</f>
        <v/>
      </c>
      <c r="O69" s="152" t="str">
        <f t="shared" si="16"/>
        <v/>
      </c>
      <c r="P69" s="152" t="str">
        <f>IF($B69="","",IF(COUNTA('Dev Tracker'!I69)=0,"",'Dev Tracker'!I69))</f>
        <v/>
      </c>
      <c r="Q69" s="152" t="str">
        <f>IF($B69="","",IF(COUNTA('Dev Tracker'!J69)=0,"",'Dev Tracker'!J69))</f>
        <v/>
      </c>
      <c r="R69" s="154" t="str">
        <f t="shared" ca="1" si="17"/>
        <v/>
      </c>
      <c r="S69" s="154" t="str">
        <f t="shared" ca="1" si="18"/>
        <v/>
      </c>
      <c r="T69" s="152" t="str">
        <f>IF($B69="","",COUNTA('UX Weekly'!$H69:$CT69))</f>
        <v/>
      </c>
      <c r="U69" s="152" t="str">
        <f>IF($B69="","",IFERROR(MATCH($D69,Control!$E$4:$E$30,0)+3,0))</f>
        <v/>
      </c>
      <c r="V69" s="152" t="str">
        <f>IF($B69="","",IF(AND(OR('Roadmap (Auto)'!$A$3="",'Roadmap (Auto)'!$A$3="(All)",ISNUMBER(SEARCH('Roadmap (Auto)'!$A$3,$C69&amp;""))),OR('Roadmap (Auto)'!$B$3="",'Roadmap (Auto)'!$B$3="(All)",$D69='Roadmap (Auto)'!$B$3,$X69='Roadmap (Auto)'!$B$3),OR('Roadmap (Auto)'!$C$3="",'Roadmap (Auto)'!$C$3="(All)",$F69='Roadmap (Auto)'!$C$3)),1,0))</f>
        <v/>
      </c>
      <c r="W69" s="152" t="str">
        <f t="shared" si="19"/>
        <v/>
      </c>
      <c r="X69" s="152" t="str">
        <f>IF($B69="","",IF(TRIM('UX Weekly'!D69)="","",TRIM('UX Weekly'!D69)))</f>
        <v/>
      </c>
      <c r="Y69" s="152" t="str">
        <f t="shared" si="20"/>
        <v/>
      </c>
      <c r="AA69">
        <f>IF($B69="",0,COUNTIFS('UX Weekly'!$H$1:$CT$1,"&gt;="&amp;AA$1,'UX Weekly'!$H$1:$CT$1,"&lt;="&amp;EOMONTH(AA$1,0),'UX Weekly'!$H69:$CT69,"&lt;&gt;"))</f>
        <v>0</v>
      </c>
      <c r="AB69">
        <f>IF($B69="",0,COUNTIFS('UX Weekly'!$H$1:$CT$1,"&gt;="&amp;AB$1,'UX Weekly'!$H$1:$CT$1,"&lt;="&amp;EOMONTH(AB$1,0),'UX Weekly'!$H69:$CT69,"&lt;&gt;"))</f>
        <v>0</v>
      </c>
      <c r="AC69">
        <f>IF($B69="",0,COUNTIFS('UX Weekly'!$H$1:$CT$1,"&gt;="&amp;AC$1,'UX Weekly'!$H$1:$CT$1,"&lt;="&amp;EOMONTH(AC$1,0),'UX Weekly'!$H69:$CT69,"&lt;&gt;"))</f>
        <v>0</v>
      </c>
      <c r="AD69">
        <f>IF($B69="",0,COUNTIFS('UX Weekly'!$H$1:$CT$1,"&gt;="&amp;AD$1,'UX Weekly'!$H$1:$CT$1,"&lt;="&amp;EOMONTH(AD$1,0),'UX Weekly'!$H69:$CT69,"&lt;&gt;"))</f>
        <v>0</v>
      </c>
      <c r="AE69">
        <f>IF($B69="",0,COUNTIFS('UX Weekly'!$H$1:$CT$1,"&gt;="&amp;AE$1,'UX Weekly'!$H$1:$CT$1,"&lt;="&amp;EOMONTH(AE$1,0),'UX Weekly'!$H69:$CT69,"&lt;&gt;"))</f>
        <v>0</v>
      </c>
      <c r="AF69">
        <f>IF($B69="",0,COUNTIFS('UX Weekly'!$H$1:$CT$1,"&gt;="&amp;AF$1,'UX Weekly'!$H$1:$CT$1,"&lt;="&amp;EOMONTH(AF$1,0),'UX Weekly'!$H69:$CT69,"&lt;&gt;"))</f>
        <v>0</v>
      </c>
      <c r="AG69">
        <f>IF($B69="",0,COUNTIFS('UX Weekly'!$H$1:$CT$1,"&gt;="&amp;AG$1,'UX Weekly'!$H$1:$CT$1,"&lt;="&amp;EOMONTH(AG$1,0),'UX Weekly'!$H69:$CT69,"&lt;&gt;"))</f>
        <v>0</v>
      </c>
      <c r="AH69">
        <f>IF($B69="",0,COUNTIFS('UX Weekly'!$H$1:$CT$1,"&gt;="&amp;AH$1,'UX Weekly'!$H$1:$CT$1,"&lt;="&amp;EOMONTH(AH$1,0),'UX Weekly'!$H69:$CT69,"&lt;&gt;"))</f>
        <v>0</v>
      </c>
      <c r="AI69">
        <f>IF($B69="",0,COUNTIFS('UX Weekly'!$H$1:$CT$1,"&gt;="&amp;AI$1,'UX Weekly'!$H$1:$CT$1,"&lt;="&amp;EOMONTH(AI$1,0),'UX Weekly'!$H69:$CT69,"&lt;&gt;"))</f>
        <v>0</v>
      </c>
      <c r="AJ69">
        <f>IF($B69="",0,COUNTIFS('UX Weekly'!$H$1:$CT$1,"&gt;="&amp;AJ$1,'UX Weekly'!$H$1:$CT$1,"&lt;="&amp;EOMONTH(AJ$1,0),'UX Weekly'!$H69:$CT69,"&lt;&gt;"))</f>
        <v>0</v>
      </c>
      <c r="AK69">
        <f>IF($B69="",0,COUNTIFS('UX Weekly'!$H$1:$CT$1,"&gt;="&amp;AK$1,'UX Weekly'!$H$1:$CT$1,"&lt;="&amp;EOMONTH(AK$1,0),'UX Weekly'!$H69:$CT69,"&lt;&gt;"))</f>
        <v>0</v>
      </c>
      <c r="AL69">
        <f>IF($B69="",0,COUNTIFS('UX Weekly'!$H$1:$CT$1,"&gt;="&amp;AL$1,'UX Weekly'!$H$1:$CT$1,"&lt;="&amp;EOMONTH(AL$1,0),'UX Weekly'!$H69:$CT69,"&lt;&gt;"))</f>
        <v>0</v>
      </c>
      <c r="AM69">
        <f>IF($B69="",0,COUNTIFS('UX Weekly'!$H$1:$CT$1,"&gt;="&amp;AM$1,'UX Weekly'!$H$1:$CT$1,"&lt;="&amp;EOMONTH(AM$1,0),'UX Weekly'!$H69:$CT69,"&lt;&gt;"))</f>
        <v>0</v>
      </c>
      <c r="AN69">
        <f>IF($B69="",0,COUNTIFS('UX Weekly'!$H$1:$CT$1,"&gt;="&amp;AN$1,'UX Weekly'!$H$1:$CT$1,"&lt;="&amp;EOMONTH(AN$1,0),'UX Weekly'!$H69:$CT69,"&lt;&gt;"))</f>
        <v>0</v>
      </c>
      <c r="AO69">
        <f>IF($B69="",0,COUNTIFS('UX Weekly'!$H$1:$CT$1,"&gt;="&amp;AO$1,'UX Weekly'!$H$1:$CT$1,"&lt;="&amp;EOMONTH(AO$1,0),'UX Weekly'!$H69:$CT69,"&lt;&gt;"))</f>
        <v>0</v>
      </c>
      <c r="AP69">
        <f>IF($B69="",0,COUNTIFS('UX Weekly'!$H$1:$CT$1,"&gt;="&amp;AP$1,'UX Weekly'!$H$1:$CT$1,"&lt;="&amp;EOMONTH(AP$1,0),'UX Weekly'!$H69:$CT69,"&lt;&gt;"))</f>
        <v>0</v>
      </c>
      <c r="AQ69">
        <f>IF($B69="",0,COUNTIFS('UX Weekly'!$H$1:$CT$1,"&gt;="&amp;AQ$1,'UX Weekly'!$H$1:$CT$1,"&lt;="&amp;EOMONTH(AQ$1,0),'UX Weekly'!$H69:$CT69,"&lt;&gt;"))</f>
        <v>0</v>
      </c>
      <c r="AR69">
        <f>IF($B69="",0,COUNTIFS('UX Weekly'!$H$1:$CT$1,"&gt;="&amp;AR$1,'UX Weekly'!$H$1:$CT$1,"&lt;="&amp;EOMONTH(AR$1,0),'UX Weekly'!$H69:$CT69,"&lt;&gt;"))</f>
        <v>0</v>
      </c>
      <c r="AS69">
        <f>IF($B69="",0,COUNTIFS('UX Weekly'!$H$1:$CT$1,"&gt;="&amp;AS$1,'UX Weekly'!$H$1:$CT$1,"&lt;="&amp;EOMONTH(AS$1,0),'UX Weekly'!$H69:$CT69,"&lt;&gt;"))</f>
        <v>0</v>
      </c>
      <c r="AT69">
        <f>IF($B69="",0,COUNTIFS('UX Weekly'!$H$1:$CT$1,"&gt;="&amp;AT$1,'UX Weekly'!$H$1:$CT$1,"&lt;="&amp;EOMONTH(AT$1,0),'UX Weekly'!$H69:$CT69,"&lt;&gt;"))</f>
        <v>0</v>
      </c>
      <c r="AU69">
        <f>IF($B69="",0,COUNTIFS('UX Weekly'!$H$1:$CT$1,"&gt;="&amp;AU$1,'UX Weekly'!$H$1:$CT$1,"&lt;="&amp;EOMONTH(AU$1,0),'UX Weekly'!$H69:$CT69,"&lt;&gt;"))</f>
        <v>0</v>
      </c>
      <c r="AV69">
        <f>IF($B69="",0,COUNTIFS('UX Weekly'!$H$1:$CT$1,"&gt;="&amp;AV$1,'UX Weekly'!$H$1:$CT$1,"&lt;="&amp;EOMONTH(AV$1,0),'UX Weekly'!$H69:$CT69,"&lt;&gt;"))</f>
        <v>0</v>
      </c>
      <c r="AW69">
        <f>IF($B69="",0,COUNTIFS('UX Weekly'!$H$1:$CT$1,"&gt;="&amp;AW$1,'UX Weekly'!$H$1:$CT$1,"&lt;="&amp;EOMONTH(AW$1,0),'UX Weekly'!$H69:$CT69,"&lt;&gt;"))</f>
        <v>0</v>
      </c>
      <c r="AX69">
        <f>IF($B69="",0,COUNTIFS('UX Weekly'!$H$1:$CT$1,"&gt;="&amp;AX$1,'UX Weekly'!$H$1:$CT$1,"&lt;="&amp;EOMONTH(AX$1,0),'UX Weekly'!$H69:$CT69,"&lt;&gt;"))</f>
        <v>0</v>
      </c>
    </row>
    <row r="70" spans="1:50" x14ac:dyDescent="0.2">
      <c r="A70" s="152">
        <v>70</v>
      </c>
      <c r="B70" s="152" t="str">
        <f>IF(TRIM('UX Weekly'!E70)="","",TRIM('UX Weekly'!E70))</f>
        <v/>
      </c>
      <c r="C70" s="152" t="str">
        <f>IF($B70="","",'UX Weekly'!B70)</f>
        <v/>
      </c>
      <c r="D70" s="152" t="str">
        <f>IF($B70="","",IF(TRIM('UX Weekly'!C70)="","(No theme assigned)",TRIM('UX Weekly'!C70)))</f>
        <v/>
      </c>
      <c r="E70" s="152" t="str">
        <f>IF($B70="","",TRIM('UX Weekly'!F70))</f>
        <v/>
      </c>
      <c r="F70" s="152" t="str">
        <f>IF($B70="","",'UX Weekly'!G70)</f>
        <v/>
      </c>
      <c r="G70" s="153" t="str">
        <f t="array" ref="G70">IF($B70="","",IF($T70=0,"",IFERROR(MIN(IF('UX Weekly'!$H70:$CT70&lt;&gt;"",'UX Weekly'!$H$1:$CT$1)),"")))</f>
        <v/>
      </c>
      <c r="H70" s="153" t="str">
        <f t="array" ref="H70">IF($B70="","",IF($T70=0,"",IFERROR(MAX(IF('UX Weekly'!$H70:$CT70&lt;&gt;"",'UX Weekly'!$H$1:$CT$1)),"")))</f>
        <v/>
      </c>
      <c r="I70" s="154" t="str">
        <f t="shared" ca="1" si="14"/>
        <v/>
      </c>
      <c r="J70" s="154" t="str">
        <f t="shared" ca="1" si="15"/>
        <v/>
      </c>
      <c r="K70" s="152" t="str">
        <f>IF($B70="","",IF(COUNTA('Dev Tracker'!L70)=0,"",TRIM('Dev Tracker'!L70)))</f>
        <v/>
      </c>
      <c r="L70" s="152" t="str">
        <f>IF($B70="","",IFERROR(MATCH($D70,Control!$E$4:$E$30,0),99))</f>
        <v/>
      </c>
      <c r="M70" s="152" t="str">
        <f>IF($B70="","",IFERROR(MATCH($F70,Control!$B$4:$B$30,0),99))</f>
        <v/>
      </c>
      <c r="N70" s="152" t="str">
        <f>IF($V70&lt;&gt;1,"",IF('Roadmap (Auto)'!$D$3="Status, then Theme",$M70*1000000+$L70*10000+ROW(),IF('Roadmap (Auto)'!$D$3="Dev start (earliest)",IF($I70="",99999999,$I70)*10000+ROW(),IF('Roadmap (Auto)'!$D$3="UX start (earliest)",IF($G70="",99999999,$G70)*10000+ROW(),IF('Roadmap (Auto)'!$D$3="Deliverable A-Z",$W70*10000+ROW(),$L70*1000000+$M70*10000+ROW())))))</f>
        <v/>
      </c>
      <c r="O70" s="152" t="str">
        <f t="shared" si="16"/>
        <v/>
      </c>
      <c r="P70" s="152" t="str">
        <f>IF($B70="","",IF(COUNTA('Dev Tracker'!I70)=0,"",'Dev Tracker'!I70))</f>
        <v/>
      </c>
      <c r="Q70" s="152" t="str">
        <f>IF($B70="","",IF(COUNTA('Dev Tracker'!J70)=0,"",'Dev Tracker'!J70))</f>
        <v/>
      </c>
      <c r="R70" s="154" t="str">
        <f t="shared" ca="1" si="17"/>
        <v/>
      </c>
      <c r="S70" s="154" t="str">
        <f t="shared" ca="1" si="18"/>
        <v/>
      </c>
      <c r="T70" s="152" t="str">
        <f>IF($B70="","",COUNTA('UX Weekly'!$H70:$CT70))</f>
        <v/>
      </c>
      <c r="U70" s="152" t="str">
        <f>IF($B70="","",IFERROR(MATCH($D70,Control!$E$4:$E$30,0)+3,0))</f>
        <v/>
      </c>
      <c r="V70" s="152" t="str">
        <f>IF($B70="","",IF(AND(OR('Roadmap (Auto)'!$A$3="",'Roadmap (Auto)'!$A$3="(All)",ISNUMBER(SEARCH('Roadmap (Auto)'!$A$3,$C70&amp;""))),OR('Roadmap (Auto)'!$B$3="",'Roadmap (Auto)'!$B$3="(All)",$D70='Roadmap (Auto)'!$B$3,$X70='Roadmap (Auto)'!$B$3),OR('Roadmap (Auto)'!$C$3="",'Roadmap (Auto)'!$C$3="(All)",$F70='Roadmap (Auto)'!$C$3)),1,0))</f>
        <v/>
      </c>
      <c r="W70" s="152" t="str">
        <f t="shared" si="19"/>
        <v/>
      </c>
      <c r="X70" s="152" t="str">
        <f>IF($B70="","",IF(TRIM('UX Weekly'!D70)="","",TRIM('UX Weekly'!D70)))</f>
        <v/>
      </c>
      <c r="Y70" s="152" t="str">
        <f t="shared" si="20"/>
        <v/>
      </c>
      <c r="AA70">
        <f>IF($B70="",0,COUNTIFS('UX Weekly'!$H$1:$CT$1,"&gt;="&amp;AA$1,'UX Weekly'!$H$1:$CT$1,"&lt;="&amp;EOMONTH(AA$1,0),'UX Weekly'!$H70:$CT70,"&lt;&gt;"))</f>
        <v>0</v>
      </c>
      <c r="AB70">
        <f>IF($B70="",0,COUNTIFS('UX Weekly'!$H$1:$CT$1,"&gt;="&amp;AB$1,'UX Weekly'!$H$1:$CT$1,"&lt;="&amp;EOMONTH(AB$1,0),'UX Weekly'!$H70:$CT70,"&lt;&gt;"))</f>
        <v>0</v>
      </c>
      <c r="AC70">
        <f>IF($B70="",0,COUNTIFS('UX Weekly'!$H$1:$CT$1,"&gt;="&amp;AC$1,'UX Weekly'!$H$1:$CT$1,"&lt;="&amp;EOMONTH(AC$1,0),'UX Weekly'!$H70:$CT70,"&lt;&gt;"))</f>
        <v>0</v>
      </c>
      <c r="AD70">
        <f>IF($B70="",0,COUNTIFS('UX Weekly'!$H$1:$CT$1,"&gt;="&amp;AD$1,'UX Weekly'!$H$1:$CT$1,"&lt;="&amp;EOMONTH(AD$1,0),'UX Weekly'!$H70:$CT70,"&lt;&gt;"))</f>
        <v>0</v>
      </c>
      <c r="AE70">
        <f>IF($B70="",0,COUNTIFS('UX Weekly'!$H$1:$CT$1,"&gt;="&amp;AE$1,'UX Weekly'!$H$1:$CT$1,"&lt;="&amp;EOMONTH(AE$1,0),'UX Weekly'!$H70:$CT70,"&lt;&gt;"))</f>
        <v>0</v>
      </c>
      <c r="AF70">
        <f>IF($B70="",0,COUNTIFS('UX Weekly'!$H$1:$CT$1,"&gt;="&amp;AF$1,'UX Weekly'!$H$1:$CT$1,"&lt;="&amp;EOMONTH(AF$1,0),'UX Weekly'!$H70:$CT70,"&lt;&gt;"))</f>
        <v>0</v>
      </c>
      <c r="AG70">
        <f>IF($B70="",0,COUNTIFS('UX Weekly'!$H$1:$CT$1,"&gt;="&amp;AG$1,'UX Weekly'!$H$1:$CT$1,"&lt;="&amp;EOMONTH(AG$1,0),'UX Weekly'!$H70:$CT70,"&lt;&gt;"))</f>
        <v>0</v>
      </c>
      <c r="AH70">
        <f>IF($B70="",0,COUNTIFS('UX Weekly'!$H$1:$CT$1,"&gt;="&amp;AH$1,'UX Weekly'!$H$1:$CT$1,"&lt;="&amp;EOMONTH(AH$1,0),'UX Weekly'!$H70:$CT70,"&lt;&gt;"))</f>
        <v>0</v>
      </c>
      <c r="AI70">
        <f>IF($B70="",0,COUNTIFS('UX Weekly'!$H$1:$CT$1,"&gt;="&amp;AI$1,'UX Weekly'!$H$1:$CT$1,"&lt;="&amp;EOMONTH(AI$1,0),'UX Weekly'!$H70:$CT70,"&lt;&gt;"))</f>
        <v>0</v>
      </c>
      <c r="AJ70">
        <f>IF($B70="",0,COUNTIFS('UX Weekly'!$H$1:$CT$1,"&gt;="&amp;AJ$1,'UX Weekly'!$H$1:$CT$1,"&lt;="&amp;EOMONTH(AJ$1,0),'UX Weekly'!$H70:$CT70,"&lt;&gt;"))</f>
        <v>0</v>
      </c>
      <c r="AK70">
        <f>IF($B70="",0,COUNTIFS('UX Weekly'!$H$1:$CT$1,"&gt;="&amp;AK$1,'UX Weekly'!$H$1:$CT$1,"&lt;="&amp;EOMONTH(AK$1,0),'UX Weekly'!$H70:$CT70,"&lt;&gt;"))</f>
        <v>0</v>
      </c>
      <c r="AL70">
        <f>IF($B70="",0,COUNTIFS('UX Weekly'!$H$1:$CT$1,"&gt;="&amp;AL$1,'UX Weekly'!$H$1:$CT$1,"&lt;="&amp;EOMONTH(AL$1,0),'UX Weekly'!$H70:$CT70,"&lt;&gt;"))</f>
        <v>0</v>
      </c>
      <c r="AM70">
        <f>IF($B70="",0,COUNTIFS('UX Weekly'!$H$1:$CT$1,"&gt;="&amp;AM$1,'UX Weekly'!$H$1:$CT$1,"&lt;="&amp;EOMONTH(AM$1,0),'UX Weekly'!$H70:$CT70,"&lt;&gt;"))</f>
        <v>0</v>
      </c>
      <c r="AN70">
        <f>IF($B70="",0,COUNTIFS('UX Weekly'!$H$1:$CT$1,"&gt;="&amp;AN$1,'UX Weekly'!$H$1:$CT$1,"&lt;="&amp;EOMONTH(AN$1,0),'UX Weekly'!$H70:$CT70,"&lt;&gt;"))</f>
        <v>0</v>
      </c>
      <c r="AO70">
        <f>IF($B70="",0,COUNTIFS('UX Weekly'!$H$1:$CT$1,"&gt;="&amp;AO$1,'UX Weekly'!$H$1:$CT$1,"&lt;="&amp;EOMONTH(AO$1,0),'UX Weekly'!$H70:$CT70,"&lt;&gt;"))</f>
        <v>0</v>
      </c>
      <c r="AP70">
        <f>IF($B70="",0,COUNTIFS('UX Weekly'!$H$1:$CT$1,"&gt;="&amp;AP$1,'UX Weekly'!$H$1:$CT$1,"&lt;="&amp;EOMONTH(AP$1,0),'UX Weekly'!$H70:$CT70,"&lt;&gt;"))</f>
        <v>0</v>
      </c>
      <c r="AQ70">
        <f>IF($B70="",0,COUNTIFS('UX Weekly'!$H$1:$CT$1,"&gt;="&amp;AQ$1,'UX Weekly'!$H$1:$CT$1,"&lt;="&amp;EOMONTH(AQ$1,0),'UX Weekly'!$H70:$CT70,"&lt;&gt;"))</f>
        <v>0</v>
      </c>
      <c r="AR70">
        <f>IF($B70="",0,COUNTIFS('UX Weekly'!$H$1:$CT$1,"&gt;="&amp;AR$1,'UX Weekly'!$H$1:$CT$1,"&lt;="&amp;EOMONTH(AR$1,0),'UX Weekly'!$H70:$CT70,"&lt;&gt;"))</f>
        <v>0</v>
      </c>
      <c r="AS70">
        <f>IF($B70="",0,COUNTIFS('UX Weekly'!$H$1:$CT$1,"&gt;="&amp;AS$1,'UX Weekly'!$H$1:$CT$1,"&lt;="&amp;EOMONTH(AS$1,0),'UX Weekly'!$H70:$CT70,"&lt;&gt;"))</f>
        <v>0</v>
      </c>
      <c r="AT70">
        <f>IF($B70="",0,COUNTIFS('UX Weekly'!$H$1:$CT$1,"&gt;="&amp;AT$1,'UX Weekly'!$H$1:$CT$1,"&lt;="&amp;EOMONTH(AT$1,0),'UX Weekly'!$H70:$CT70,"&lt;&gt;"))</f>
        <v>0</v>
      </c>
      <c r="AU70">
        <f>IF($B70="",0,COUNTIFS('UX Weekly'!$H$1:$CT$1,"&gt;="&amp;AU$1,'UX Weekly'!$H$1:$CT$1,"&lt;="&amp;EOMONTH(AU$1,0),'UX Weekly'!$H70:$CT70,"&lt;&gt;"))</f>
        <v>0</v>
      </c>
      <c r="AV70">
        <f>IF($B70="",0,COUNTIFS('UX Weekly'!$H$1:$CT$1,"&gt;="&amp;AV$1,'UX Weekly'!$H$1:$CT$1,"&lt;="&amp;EOMONTH(AV$1,0),'UX Weekly'!$H70:$CT70,"&lt;&gt;"))</f>
        <v>0</v>
      </c>
      <c r="AW70">
        <f>IF($B70="",0,COUNTIFS('UX Weekly'!$H$1:$CT$1,"&gt;="&amp;AW$1,'UX Weekly'!$H$1:$CT$1,"&lt;="&amp;EOMONTH(AW$1,0),'UX Weekly'!$H70:$CT70,"&lt;&gt;"))</f>
        <v>0</v>
      </c>
      <c r="AX70">
        <f>IF($B70="",0,COUNTIFS('UX Weekly'!$H$1:$CT$1,"&gt;="&amp;AX$1,'UX Weekly'!$H$1:$CT$1,"&lt;="&amp;EOMONTH(AX$1,0),'UX Weekly'!$H70:$CT70,"&lt;&gt;"))</f>
        <v>0</v>
      </c>
    </row>
    <row r="71" spans="1:50" x14ac:dyDescent="0.2">
      <c r="A71" s="152">
        <v>71</v>
      </c>
      <c r="B71" s="152" t="str">
        <f>IF(TRIM('UX Weekly'!E71)="","",TRIM('UX Weekly'!E71))</f>
        <v/>
      </c>
      <c r="C71" s="152" t="str">
        <f>IF($B71="","",'UX Weekly'!B71)</f>
        <v/>
      </c>
      <c r="D71" s="152" t="str">
        <f>IF($B71="","",IF(TRIM('UX Weekly'!C71)="","(No theme assigned)",TRIM('UX Weekly'!C71)))</f>
        <v/>
      </c>
      <c r="E71" s="152" t="str">
        <f>IF($B71="","",TRIM('UX Weekly'!F71))</f>
        <v/>
      </c>
      <c r="F71" s="152" t="str">
        <f>IF($B71="","",'UX Weekly'!G71)</f>
        <v/>
      </c>
      <c r="G71" s="153" t="str">
        <f t="array" ref="G71">IF($B71="","",IF($T71=0,"",IFERROR(MIN(IF('UX Weekly'!$H71:$CT71&lt;&gt;"",'UX Weekly'!$H$1:$CT$1)),"")))</f>
        <v/>
      </c>
      <c r="H71" s="153" t="str">
        <f t="array" ref="H71">IF($B71="","",IF($T71=0,"",IFERROR(MAX(IF('UX Weekly'!$H71:$CT71&lt;&gt;"",'UX Weekly'!$H$1:$CT$1)),"")))</f>
        <v/>
      </c>
      <c r="I71" s="154" t="str">
        <f t="shared" ca="1" si="14"/>
        <v/>
      </c>
      <c r="J71" s="154" t="str">
        <f t="shared" ca="1" si="15"/>
        <v/>
      </c>
      <c r="K71" s="152" t="str">
        <f>IF($B71="","",IF(COUNTA('Dev Tracker'!L71)=0,"",TRIM('Dev Tracker'!L71)))</f>
        <v/>
      </c>
      <c r="L71" s="152" t="str">
        <f>IF($B71="","",IFERROR(MATCH($D71,Control!$E$4:$E$30,0),99))</f>
        <v/>
      </c>
      <c r="M71" s="152" t="str">
        <f>IF($B71="","",IFERROR(MATCH($F71,Control!$B$4:$B$30,0),99))</f>
        <v/>
      </c>
      <c r="N71" s="152" t="str">
        <f>IF($V71&lt;&gt;1,"",IF('Roadmap (Auto)'!$D$3="Status, then Theme",$M71*1000000+$L71*10000+ROW(),IF('Roadmap (Auto)'!$D$3="Dev start (earliest)",IF($I71="",99999999,$I71)*10000+ROW(),IF('Roadmap (Auto)'!$D$3="UX start (earliest)",IF($G71="",99999999,$G71)*10000+ROW(),IF('Roadmap (Auto)'!$D$3="Deliverable A-Z",$W71*10000+ROW(),$L71*1000000+$M71*10000+ROW())))))</f>
        <v/>
      </c>
      <c r="O71" s="152" t="str">
        <f t="shared" si="16"/>
        <v/>
      </c>
      <c r="P71" s="152" t="str">
        <f>IF($B71="","",IF(COUNTA('Dev Tracker'!I71)=0,"",'Dev Tracker'!I71))</f>
        <v/>
      </c>
      <c r="Q71" s="152" t="str">
        <f>IF($B71="","",IF(COUNTA('Dev Tracker'!J71)=0,"",'Dev Tracker'!J71))</f>
        <v/>
      </c>
      <c r="R71" s="154" t="str">
        <f t="shared" ca="1" si="17"/>
        <v/>
      </c>
      <c r="S71" s="154" t="str">
        <f t="shared" ca="1" si="18"/>
        <v/>
      </c>
      <c r="T71" s="152" t="str">
        <f>IF($B71="","",COUNTA('UX Weekly'!$H71:$CT71))</f>
        <v/>
      </c>
      <c r="U71" s="152" t="str">
        <f>IF($B71="","",IFERROR(MATCH($D71,Control!$E$4:$E$30,0)+3,0))</f>
        <v/>
      </c>
      <c r="V71" s="152" t="str">
        <f>IF($B71="","",IF(AND(OR('Roadmap (Auto)'!$A$3="",'Roadmap (Auto)'!$A$3="(All)",ISNUMBER(SEARCH('Roadmap (Auto)'!$A$3,$C71&amp;""))),OR('Roadmap (Auto)'!$B$3="",'Roadmap (Auto)'!$B$3="(All)",$D71='Roadmap (Auto)'!$B$3,$X71='Roadmap (Auto)'!$B$3),OR('Roadmap (Auto)'!$C$3="",'Roadmap (Auto)'!$C$3="(All)",$F71='Roadmap (Auto)'!$C$3)),1,0))</f>
        <v/>
      </c>
      <c r="W71" s="152" t="str">
        <f t="shared" si="19"/>
        <v/>
      </c>
      <c r="X71" s="152" t="str">
        <f>IF($B71="","",IF(TRIM('UX Weekly'!D71)="","",TRIM('UX Weekly'!D71)))</f>
        <v/>
      </c>
      <c r="Y71" s="152" t="str">
        <f t="shared" si="20"/>
        <v/>
      </c>
      <c r="AA71">
        <f>IF($B71="",0,COUNTIFS('UX Weekly'!$H$1:$CT$1,"&gt;="&amp;AA$1,'UX Weekly'!$H$1:$CT$1,"&lt;="&amp;EOMONTH(AA$1,0),'UX Weekly'!$H71:$CT71,"&lt;&gt;"))</f>
        <v>0</v>
      </c>
      <c r="AB71">
        <f>IF($B71="",0,COUNTIFS('UX Weekly'!$H$1:$CT$1,"&gt;="&amp;AB$1,'UX Weekly'!$H$1:$CT$1,"&lt;="&amp;EOMONTH(AB$1,0),'UX Weekly'!$H71:$CT71,"&lt;&gt;"))</f>
        <v>0</v>
      </c>
      <c r="AC71">
        <f>IF($B71="",0,COUNTIFS('UX Weekly'!$H$1:$CT$1,"&gt;="&amp;AC$1,'UX Weekly'!$H$1:$CT$1,"&lt;="&amp;EOMONTH(AC$1,0),'UX Weekly'!$H71:$CT71,"&lt;&gt;"))</f>
        <v>0</v>
      </c>
      <c r="AD71">
        <f>IF($B71="",0,COUNTIFS('UX Weekly'!$H$1:$CT$1,"&gt;="&amp;AD$1,'UX Weekly'!$H$1:$CT$1,"&lt;="&amp;EOMONTH(AD$1,0),'UX Weekly'!$H71:$CT71,"&lt;&gt;"))</f>
        <v>0</v>
      </c>
      <c r="AE71">
        <f>IF($B71="",0,COUNTIFS('UX Weekly'!$H$1:$CT$1,"&gt;="&amp;AE$1,'UX Weekly'!$H$1:$CT$1,"&lt;="&amp;EOMONTH(AE$1,0),'UX Weekly'!$H71:$CT71,"&lt;&gt;"))</f>
        <v>0</v>
      </c>
      <c r="AF71">
        <f>IF($B71="",0,COUNTIFS('UX Weekly'!$H$1:$CT$1,"&gt;="&amp;AF$1,'UX Weekly'!$H$1:$CT$1,"&lt;="&amp;EOMONTH(AF$1,0),'UX Weekly'!$H71:$CT71,"&lt;&gt;"))</f>
        <v>0</v>
      </c>
      <c r="AG71">
        <f>IF($B71="",0,COUNTIFS('UX Weekly'!$H$1:$CT$1,"&gt;="&amp;AG$1,'UX Weekly'!$H$1:$CT$1,"&lt;="&amp;EOMONTH(AG$1,0),'UX Weekly'!$H71:$CT71,"&lt;&gt;"))</f>
        <v>0</v>
      </c>
      <c r="AH71">
        <f>IF($B71="",0,COUNTIFS('UX Weekly'!$H$1:$CT$1,"&gt;="&amp;AH$1,'UX Weekly'!$H$1:$CT$1,"&lt;="&amp;EOMONTH(AH$1,0),'UX Weekly'!$H71:$CT71,"&lt;&gt;"))</f>
        <v>0</v>
      </c>
      <c r="AI71">
        <f>IF($B71="",0,COUNTIFS('UX Weekly'!$H$1:$CT$1,"&gt;="&amp;AI$1,'UX Weekly'!$H$1:$CT$1,"&lt;="&amp;EOMONTH(AI$1,0),'UX Weekly'!$H71:$CT71,"&lt;&gt;"))</f>
        <v>0</v>
      </c>
      <c r="AJ71">
        <f>IF($B71="",0,COUNTIFS('UX Weekly'!$H$1:$CT$1,"&gt;="&amp;AJ$1,'UX Weekly'!$H$1:$CT$1,"&lt;="&amp;EOMONTH(AJ$1,0),'UX Weekly'!$H71:$CT71,"&lt;&gt;"))</f>
        <v>0</v>
      </c>
      <c r="AK71">
        <f>IF($B71="",0,COUNTIFS('UX Weekly'!$H$1:$CT$1,"&gt;="&amp;AK$1,'UX Weekly'!$H$1:$CT$1,"&lt;="&amp;EOMONTH(AK$1,0),'UX Weekly'!$H71:$CT71,"&lt;&gt;"))</f>
        <v>0</v>
      </c>
      <c r="AL71">
        <f>IF($B71="",0,COUNTIFS('UX Weekly'!$H$1:$CT$1,"&gt;="&amp;AL$1,'UX Weekly'!$H$1:$CT$1,"&lt;="&amp;EOMONTH(AL$1,0),'UX Weekly'!$H71:$CT71,"&lt;&gt;"))</f>
        <v>0</v>
      </c>
      <c r="AM71">
        <f>IF($B71="",0,COUNTIFS('UX Weekly'!$H$1:$CT$1,"&gt;="&amp;AM$1,'UX Weekly'!$H$1:$CT$1,"&lt;="&amp;EOMONTH(AM$1,0),'UX Weekly'!$H71:$CT71,"&lt;&gt;"))</f>
        <v>0</v>
      </c>
      <c r="AN71">
        <f>IF($B71="",0,COUNTIFS('UX Weekly'!$H$1:$CT$1,"&gt;="&amp;AN$1,'UX Weekly'!$H$1:$CT$1,"&lt;="&amp;EOMONTH(AN$1,0),'UX Weekly'!$H71:$CT71,"&lt;&gt;"))</f>
        <v>0</v>
      </c>
      <c r="AO71">
        <f>IF($B71="",0,COUNTIFS('UX Weekly'!$H$1:$CT$1,"&gt;="&amp;AO$1,'UX Weekly'!$H$1:$CT$1,"&lt;="&amp;EOMONTH(AO$1,0),'UX Weekly'!$H71:$CT71,"&lt;&gt;"))</f>
        <v>0</v>
      </c>
      <c r="AP71">
        <f>IF($B71="",0,COUNTIFS('UX Weekly'!$H$1:$CT$1,"&gt;="&amp;AP$1,'UX Weekly'!$H$1:$CT$1,"&lt;="&amp;EOMONTH(AP$1,0),'UX Weekly'!$H71:$CT71,"&lt;&gt;"))</f>
        <v>0</v>
      </c>
      <c r="AQ71">
        <f>IF($B71="",0,COUNTIFS('UX Weekly'!$H$1:$CT$1,"&gt;="&amp;AQ$1,'UX Weekly'!$H$1:$CT$1,"&lt;="&amp;EOMONTH(AQ$1,0),'UX Weekly'!$H71:$CT71,"&lt;&gt;"))</f>
        <v>0</v>
      </c>
      <c r="AR71">
        <f>IF($B71="",0,COUNTIFS('UX Weekly'!$H$1:$CT$1,"&gt;="&amp;AR$1,'UX Weekly'!$H$1:$CT$1,"&lt;="&amp;EOMONTH(AR$1,0),'UX Weekly'!$H71:$CT71,"&lt;&gt;"))</f>
        <v>0</v>
      </c>
      <c r="AS71">
        <f>IF($B71="",0,COUNTIFS('UX Weekly'!$H$1:$CT$1,"&gt;="&amp;AS$1,'UX Weekly'!$H$1:$CT$1,"&lt;="&amp;EOMONTH(AS$1,0),'UX Weekly'!$H71:$CT71,"&lt;&gt;"))</f>
        <v>0</v>
      </c>
      <c r="AT71">
        <f>IF($B71="",0,COUNTIFS('UX Weekly'!$H$1:$CT$1,"&gt;="&amp;AT$1,'UX Weekly'!$H$1:$CT$1,"&lt;="&amp;EOMONTH(AT$1,0),'UX Weekly'!$H71:$CT71,"&lt;&gt;"))</f>
        <v>0</v>
      </c>
      <c r="AU71">
        <f>IF($B71="",0,COUNTIFS('UX Weekly'!$H$1:$CT$1,"&gt;="&amp;AU$1,'UX Weekly'!$H$1:$CT$1,"&lt;="&amp;EOMONTH(AU$1,0),'UX Weekly'!$H71:$CT71,"&lt;&gt;"))</f>
        <v>0</v>
      </c>
      <c r="AV71">
        <f>IF($B71="",0,COUNTIFS('UX Weekly'!$H$1:$CT$1,"&gt;="&amp;AV$1,'UX Weekly'!$H$1:$CT$1,"&lt;="&amp;EOMONTH(AV$1,0),'UX Weekly'!$H71:$CT71,"&lt;&gt;"))</f>
        <v>0</v>
      </c>
      <c r="AW71">
        <f>IF($B71="",0,COUNTIFS('UX Weekly'!$H$1:$CT$1,"&gt;="&amp;AW$1,'UX Weekly'!$H$1:$CT$1,"&lt;="&amp;EOMONTH(AW$1,0),'UX Weekly'!$H71:$CT71,"&lt;&gt;"))</f>
        <v>0</v>
      </c>
      <c r="AX71">
        <f>IF($B71="",0,COUNTIFS('UX Weekly'!$H$1:$CT$1,"&gt;="&amp;AX$1,'UX Weekly'!$H$1:$CT$1,"&lt;="&amp;EOMONTH(AX$1,0),'UX Weekly'!$H71:$CT71,"&lt;&gt;"))</f>
        <v>0</v>
      </c>
    </row>
    <row r="72" spans="1:50" x14ac:dyDescent="0.2">
      <c r="A72" s="152">
        <v>72</v>
      </c>
      <c r="B72" s="152" t="str">
        <f>IF(TRIM('UX Weekly'!E72)="","",TRIM('UX Weekly'!E72))</f>
        <v/>
      </c>
      <c r="C72" s="152" t="str">
        <f>IF($B72="","",'UX Weekly'!B72)</f>
        <v/>
      </c>
      <c r="D72" s="152" t="str">
        <f>IF($B72="","",IF(TRIM('UX Weekly'!C72)="","(No theme assigned)",TRIM('UX Weekly'!C72)))</f>
        <v/>
      </c>
      <c r="E72" s="152" t="str">
        <f>IF($B72="","",TRIM('UX Weekly'!F72))</f>
        <v/>
      </c>
      <c r="F72" s="152" t="str">
        <f>IF($B72="","",'UX Weekly'!G72)</f>
        <v/>
      </c>
      <c r="G72" s="153" t="str">
        <f t="array" ref="G72">IF($B72="","",IF($T72=0,"",IFERROR(MIN(IF('UX Weekly'!$H72:$CT72&lt;&gt;"",'UX Weekly'!$H$1:$CT$1)),"")))</f>
        <v/>
      </c>
      <c r="H72" s="153" t="str">
        <f t="array" ref="H72">IF($B72="","",IF($T72=0,"",IFERROR(MAX(IF('UX Weekly'!$H72:$CT72&lt;&gt;"",'UX Weekly'!$H$1:$CT$1)),"")))</f>
        <v/>
      </c>
      <c r="I72" s="154" t="str">
        <f t="shared" ca="1" si="14"/>
        <v/>
      </c>
      <c r="J72" s="154" t="str">
        <f t="shared" ca="1" si="15"/>
        <v/>
      </c>
      <c r="K72" s="152" t="str">
        <f>IF($B72="","",IF(COUNTA('Dev Tracker'!L72)=0,"",TRIM('Dev Tracker'!L72)))</f>
        <v/>
      </c>
      <c r="L72" s="152" t="str">
        <f>IF($B72="","",IFERROR(MATCH($D72,Control!$E$4:$E$30,0),99))</f>
        <v/>
      </c>
      <c r="M72" s="152" t="str">
        <f>IF($B72="","",IFERROR(MATCH($F72,Control!$B$4:$B$30,0),99))</f>
        <v/>
      </c>
      <c r="N72" s="152" t="str">
        <f>IF($V72&lt;&gt;1,"",IF('Roadmap (Auto)'!$D$3="Status, then Theme",$M72*1000000+$L72*10000+ROW(),IF('Roadmap (Auto)'!$D$3="Dev start (earliest)",IF($I72="",99999999,$I72)*10000+ROW(),IF('Roadmap (Auto)'!$D$3="UX start (earliest)",IF($G72="",99999999,$G72)*10000+ROW(),IF('Roadmap (Auto)'!$D$3="Deliverable A-Z",$W72*10000+ROW(),$L72*1000000+$M72*10000+ROW())))))</f>
        <v/>
      </c>
      <c r="O72" s="152" t="str">
        <f t="shared" si="16"/>
        <v/>
      </c>
      <c r="P72" s="152" t="str">
        <f>IF($B72="","",IF(COUNTA('Dev Tracker'!I72)=0,"",'Dev Tracker'!I72))</f>
        <v/>
      </c>
      <c r="Q72" s="152" t="str">
        <f>IF($B72="","",IF(COUNTA('Dev Tracker'!J72)=0,"",'Dev Tracker'!J72))</f>
        <v/>
      </c>
      <c r="R72" s="154" t="str">
        <f t="shared" ca="1" si="17"/>
        <v/>
      </c>
      <c r="S72" s="154" t="str">
        <f t="shared" ca="1" si="18"/>
        <v/>
      </c>
      <c r="T72" s="152" t="str">
        <f>IF($B72="","",COUNTA('UX Weekly'!$H72:$CT72))</f>
        <v/>
      </c>
      <c r="U72" s="152" t="str">
        <f>IF($B72="","",IFERROR(MATCH($D72,Control!$E$4:$E$30,0)+3,0))</f>
        <v/>
      </c>
      <c r="V72" s="152" t="str">
        <f>IF($B72="","",IF(AND(OR('Roadmap (Auto)'!$A$3="",'Roadmap (Auto)'!$A$3="(All)",ISNUMBER(SEARCH('Roadmap (Auto)'!$A$3,$C72&amp;""))),OR('Roadmap (Auto)'!$B$3="",'Roadmap (Auto)'!$B$3="(All)",$D72='Roadmap (Auto)'!$B$3,$X72='Roadmap (Auto)'!$B$3),OR('Roadmap (Auto)'!$C$3="",'Roadmap (Auto)'!$C$3="(All)",$F72='Roadmap (Auto)'!$C$3)),1,0))</f>
        <v/>
      </c>
      <c r="W72" s="152" t="str">
        <f t="shared" si="19"/>
        <v/>
      </c>
      <c r="X72" s="152" t="str">
        <f>IF($B72="","",IF(TRIM('UX Weekly'!D72)="","",TRIM('UX Weekly'!D72)))</f>
        <v/>
      </c>
      <c r="Y72" s="152" t="str">
        <f t="shared" si="20"/>
        <v/>
      </c>
      <c r="AA72">
        <f>IF($B72="",0,COUNTIFS('UX Weekly'!$H$1:$CT$1,"&gt;="&amp;AA$1,'UX Weekly'!$H$1:$CT$1,"&lt;="&amp;EOMONTH(AA$1,0),'UX Weekly'!$H72:$CT72,"&lt;&gt;"))</f>
        <v>0</v>
      </c>
      <c r="AB72">
        <f>IF($B72="",0,COUNTIFS('UX Weekly'!$H$1:$CT$1,"&gt;="&amp;AB$1,'UX Weekly'!$H$1:$CT$1,"&lt;="&amp;EOMONTH(AB$1,0),'UX Weekly'!$H72:$CT72,"&lt;&gt;"))</f>
        <v>0</v>
      </c>
      <c r="AC72">
        <f>IF($B72="",0,COUNTIFS('UX Weekly'!$H$1:$CT$1,"&gt;="&amp;AC$1,'UX Weekly'!$H$1:$CT$1,"&lt;="&amp;EOMONTH(AC$1,0),'UX Weekly'!$H72:$CT72,"&lt;&gt;"))</f>
        <v>0</v>
      </c>
      <c r="AD72">
        <f>IF($B72="",0,COUNTIFS('UX Weekly'!$H$1:$CT$1,"&gt;="&amp;AD$1,'UX Weekly'!$H$1:$CT$1,"&lt;="&amp;EOMONTH(AD$1,0),'UX Weekly'!$H72:$CT72,"&lt;&gt;"))</f>
        <v>0</v>
      </c>
      <c r="AE72">
        <f>IF($B72="",0,COUNTIFS('UX Weekly'!$H$1:$CT$1,"&gt;="&amp;AE$1,'UX Weekly'!$H$1:$CT$1,"&lt;="&amp;EOMONTH(AE$1,0),'UX Weekly'!$H72:$CT72,"&lt;&gt;"))</f>
        <v>0</v>
      </c>
      <c r="AF72">
        <f>IF($B72="",0,COUNTIFS('UX Weekly'!$H$1:$CT$1,"&gt;="&amp;AF$1,'UX Weekly'!$H$1:$CT$1,"&lt;="&amp;EOMONTH(AF$1,0),'UX Weekly'!$H72:$CT72,"&lt;&gt;"))</f>
        <v>0</v>
      </c>
      <c r="AG72">
        <f>IF($B72="",0,COUNTIFS('UX Weekly'!$H$1:$CT$1,"&gt;="&amp;AG$1,'UX Weekly'!$H$1:$CT$1,"&lt;="&amp;EOMONTH(AG$1,0),'UX Weekly'!$H72:$CT72,"&lt;&gt;"))</f>
        <v>0</v>
      </c>
      <c r="AH72">
        <f>IF($B72="",0,COUNTIFS('UX Weekly'!$H$1:$CT$1,"&gt;="&amp;AH$1,'UX Weekly'!$H$1:$CT$1,"&lt;="&amp;EOMONTH(AH$1,0),'UX Weekly'!$H72:$CT72,"&lt;&gt;"))</f>
        <v>0</v>
      </c>
      <c r="AI72">
        <f>IF($B72="",0,COUNTIFS('UX Weekly'!$H$1:$CT$1,"&gt;="&amp;AI$1,'UX Weekly'!$H$1:$CT$1,"&lt;="&amp;EOMONTH(AI$1,0),'UX Weekly'!$H72:$CT72,"&lt;&gt;"))</f>
        <v>0</v>
      </c>
      <c r="AJ72">
        <f>IF($B72="",0,COUNTIFS('UX Weekly'!$H$1:$CT$1,"&gt;="&amp;AJ$1,'UX Weekly'!$H$1:$CT$1,"&lt;="&amp;EOMONTH(AJ$1,0),'UX Weekly'!$H72:$CT72,"&lt;&gt;"))</f>
        <v>0</v>
      </c>
      <c r="AK72">
        <f>IF($B72="",0,COUNTIFS('UX Weekly'!$H$1:$CT$1,"&gt;="&amp;AK$1,'UX Weekly'!$H$1:$CT$1,"&lt;="&amp;EOMONTH(AK$1,0),'UX Weekly'!$H72:$CT72,"&lt;&gt;"))</f>
        <v>0</v>
      </c>
      <c r="AL72">
        <f>IF($B72="",0,COUNTIFS('UX Weekly'!$H$1:$CT$1,"&gt;="&amp;AL$1,'UX Weekly'!$H$1:$CT$1,"&lt;="&amp;EOMONTH(AL$1,0),'UX Weekly'!$H72:$CT72,"&lt;&gt;"))</f>
        <v>0</v>
      </c>
      <c r="AM72">
        <f>IF($B72="",0,COUNTIFS('UX Weekly'!$H$1:$CT$1,"&gt;="&amp;AM$1,'UX Weekly'!$H$1:$CT$1,"&lt;="&amp;EOMONTH(AM$1,0),'UX Weekly'!$H72:$CT72,"&lt;&gt;"))</f>
        <v>0</v>
      </c>
      <c r="AN72">
        <f>IF($B72="",0,COUNTIFS('UX Weekly'!$H$1:$CT$1,"&gt;="&amp;AN$1,'UX Weekly'!$H$1:$CT$1,"&lt;="&amp;EOMONTH(AN$1,0),'UX Weekly'!$H72:$CT72,"&lt;&gt;"))</f>
        <v>0</v>
      </c>
      <c r="AO72">
        <f>IF($B72="",0,COUNTIFS('UX Weekly'!$H$1:$CT$1,"&gt;="&amp;AO$1,'UX Weekly'!$H$1:$CT$1,"&lt;="&amp;EOMONTH(AO$1,0),'UX Weekly'!$H72:$CT72,"&lt;&gt;"))</f>
        <v>0</v>
      </c>
      <c r="AP72">
        <f>IF($B72="",0,COUNTIFS('UX Weekly'!$H$1:$CT$1,"&gt;="&amp;AP$1,'UX Weekly'!$H$1:$CT$1,"&lt;="&amp;EOMONTH(AP$1,0),'UX Weekly'!$H72:$CT72,"&lt;&gt;"))</f>
        <v>0</v>
      </c>
      <c r="AQ72">
        <f>IF($B72="",0,COUNTIFS('UX Weekly'!$H$1:$CT$1,"&gt;="&amp;AQ$1,'UX Weekly'!$H$1:$CT$1,"&lt;="&amp;EOMONTH(AQ$1,0),'UX Weekly'!$H72:$CT72,"&lt;&gt;"))</f>
        <v>0</v>
      </c>
      <c r="AR72">
        <f>IF($B72="",0,COUNTIFS('UX Weekly'!$H$1:$CT$1,"&gt;="&amp;AR$1,'UX Weekly'!$H$1:$CT$1,"&lt;="&amp;EOMONTH(AR$1,0),'UX Weekly'!$H72:$CT72,"&lt;&gt;"))</f>
        <v>0</v>
      </c>
      <c r="AS72">
        <f>IF($B72="",0,COUNTIFS('UX Weekly'!$H$1:$CT$1,"&gt;="&amp;AS$1,'UX Weekly'!$H$1:$CT$1,"&lt;="&amp;EOMONTH(AS$1,0),'UX Weekly'!$H72:$CT72,"&lt;&gt;"))</f>
        <v>0</v>
      </c>
      <c r="AT72">
        <f>IF($B72="",0,COUNTIFS('UX Weekly'!$H$1:$CT$1,"&gt;="&amp;AT$1,'UX Weekly'!$H$1:$CT$1,"&lt;="&amp;EOMONTH(AT$1,0),'UX Weekly'!$H72:$CT72,"&lt;&gt;"))</f>
        <v>0</v>
      </c>
      <c r="AU72">
        <f>IF($B72="",0,COUNTIFS('UX Weekly'!$H$1:$CT$1,"&gt;="&amp;AU$1,'UX Weekly'!$H$1:$CT$1,"&lt;="&amp;EOMONTH(AU$1,0),'UX Weekly'!$H72:$CT72,"&lt;&gt;"))</f>
        <v>0</v>
      </c>
      <c r="AV72">
        <f>IF($B72="",0,COUNTIFS('UX Weekly'!$H$1:$CT$1,"&gt;="&amp;AV$1,'UX Weekly'!$H$1:$CT$1,"&lt;="&amp;EOMONTH(AV$1,0),'UX Weekly'!$H72:$CT72,"&lt;&gt;"))</f>
        <v>0</v>
      </c>
      <c r="AW72">
        <f>IF($B72="",0,COUNTIFS('UX Weekly'!$H$1:$CT$1,"&gt;="&amp;AW$1,'UX Weekly'!$H$1:$CT$1,"&lt;="&amp;EOMONTH(AW$1,0),'UX Weekly'!$H72:$CT72,"&lt;&gt;"))</f>
        <v>0</v>
      </c>
      <c r="AX72">
        <f>IF($B72="",0,COUNTIFS('UX Weekly'!$H$1:$CT$1,"&gt;="&amp;AX$1,'UX Weekly'!$H$1:$CT$1,"&lt;="&amp;EOMONTH(AX$1,0),'UX Weekly'!$H72:$CT72,"&lt;&gt;"))</f>
        <v>0</v>
      </c>
    </row>
    <row r="73" spans="1:50" x14ac:dyDescent="0.2">
      <c r="A73" s="152">
        <v>73</v>
      </c>
      <c r="B73" s="152" t="str">
        <f>IF(TRIM('UX Weekly'!E73)="","",TRIM('UX Weekly'!E73))</f>
        <v/>
      </c>
      <c r="C73" s="152" t="str">
        <f>IF($B73="","",'UX Weekly'!B73)</f>
        <v/>
      </c>
      <c r="D73" s="152" t="str">
        <f>IF($B73="","",IF(TRIM('UX Weekly'!C73)="","(No theme assigned)",TRIM('UX Weekly'!C73)))</f>
        <v/>
      </c>
      <c r="E73" s="152" t="str">
        <f>IF($B73="","",TRIM('UX Weekly'!F73))</f>
        <v/>
      </c>
      <c r="F73" s="152" t="str">
        <f>IF($B73="","",'UX Weekly'!G73)</f>
        <v/>
      </c>
      <c r="G73" s="153" t="str">
        <f t="array" ref="G73">IF($B73="","",IF($T73=0,"",IFERROR(MIN(IF('UX Weekly'!$H73:$CT73&lt;&gt;"",'UX Weekly'!$H$1:$CT$1)),"")))</f>
        <v/>
      </c>
      <c r="H73" s="153" t="str">
        <f t="array" ref="H73">IF($B73="","",IF($T73=0,"",IFERROR(MAX(IF('UX Weekly'!$H73:$CT73&lt;&gt;"",'UX Weekly'!$H$1:$CT$1)),"")))</f>
        <v/>
      </c>
      <c r="I73" s="154" t="str">
        <f t="shared" ca="1" si="14"/>
        <v/>
      </c>
      <c r="J73" s="154" t="str">
        <f t="shared" ca="1" si="15"/>
        <v/>
      </c>
      <c r="K73" s="152" t="str">
        <f>IF($B73="","",IF(COUNTA('Dev Tracker'!L73)=0,"",TRIM('Dev Tracker'!L73)))</f>
        <v/>
      </c>
      <c r="L73" s="152" t="str">
        <f>IF($B73="","",IFERROR(MATCH($D73,Control!$E$4:$E$30,0),99))</f>
        <v/>
      </c>
      <c r="M73" s="152" t="str">
        <f>IF($B73="","",IFERROR(MATCH($F73,Control!$B$4:$B$30,0),99))</f>
        <v/>
      </c>
      <c r="N73" s="152" t="str">
        <f>IF($V73&lt;&gt;1,"",IF('Roadmap (Auto)'!$D$3="Status, then Theme",$M73*1000000+$L73*10000+ROW(),IF('Roadmap (Auto)'!$D$3="Dev start (earliest)",IF($I73="",99999999,$I73)*10000+ROW(),IF('Roadmap (Auto)'!$D$3="UX start (earliest)",IF($G73="",99999999,$G73)*10000+ROW(),IF('Roadmap (Auto)'!$D$3="Deliverable A-Z",$W73*10000+ROW(),$L73*1000000+$M73*10000+ROW())))))</f>
        <v/>
      </c>
      <c r="O73" s="152" t="str">
        <f t="shared" si="16"/>
        <v/>
      </c>
      <c r="P73" s="152" t="str">
        <f>IF($B73="","",IF(COUNTA('Dev Tracker'!I73)=0,"",'Dev Tracker'!I73))</f>
        <v/>
      </c>
      <c r="Q73" s="152" t="str">
        <f>IF($B73="","",IF(COUNTA('Dev Tracker'!J73)=0,"",'Dev Tracker'!J73))</f>
        <v/>
      </c>
      <c r="R73" s="154" t="str">
        <f t="shared" ca="1" si="17"/>
        <v/>
      </c>
      <c r="S73" s="154" t="str">
        <f t="shared" ca="1" si="18"/>
        <v/>
      </c>
      <c r="T73" s="152" t="str">
        <f>IF($B73="","",COUNTA('UX Weekly'!$H73:$CT73))</f>
        <v/>
      </c>
      <c r="U73" s="152" t="str">
        <f>IF($B73="","",IFERROR(MATCH($D73,Control!$E$4:$E$30,0)+3,0))</f>
        <v/>
      </c>
      <c r="V73" s="152" t="str">
        <f>IF($B73="","",IF(AND(OR('Roadmap (Auto)'!$A$3="",'Roadmap (Auto)'!$A$3="(All)",ISNUMBER(SEARCH('Roadmap (Auto)'!$A$3,$C73&amp;""))),OR('Roadmap (Auto)'!$B$3="",'Roadmap (Auto)'!$B$3="(All)",$D73='Roadmap (Auto)'!$B$3,$X73='Roadmap (Auto)'!$B$3),OR('Roadmap (Auto)'!$C$3="",'Roadmap (Auto)'!$C$3="(All)",$F73='Roadmap (Auto)'!$C$3)),1,0))</f>
        <v/>
      </c>
      <c r="W73" s="152" t="str">
        <f t="shared" si="19"/>
        <v/>
      </c>
      <c r="X73" s="152" t="str">
        <f>IF($B73="","",IF(TRIM('UX Weekly'!D73)="","",TRIM('UX Weekly'!D73)))</f>
        <v/>
      </c>
      <c r="Y73" s="152" t="str">
        <f t="shared" si="20"/>
        <v/>
      </c>
      <c r="AA73">
        <f>IF($B73="",0,COUNTIFS('UX Weekly'!$H$1:$CT$1,"&gt;="&amp;AA$1,'UX Weekly'!$H$1:$CT$1,"&lt;="&amp;EOMONTH(AA$1,0),'UX Weekly'!$H73:$CT73,"&lt;&gt;"))</f>
        <v>0</v>
      </c>
      <c r="AB73">
        <f>IF($B73="",0,COUNTIFS('UX Weekly'!$H$1:$CT$1,"&gt;="&amp;AB$1,'UX Weekly'!$H$1:$CT$1,"&lt;="&amp;EOMONTH(AB$1,0),'UX Weekly'!$H73:$CT73,"&lt;&gt;"))</f>
        <v>0</v>
      </c>
      <c r="AC73">
        <f>IF($B73="",0,COUNTIFS('UX Weekly'!$H$1:$CT$1,"&gt;="&amp;AC$1,'UX Weekly'!$H$1:$CT$1,"&lt;="&amp;EOMONTH(AC$1,0),'UX Weekly'!$H73:$CT73,"&lt;&gt;"))</f>
        <v>0</v>
      </c>
      <c r="AD73">
        <f>IF($B73="",0,COUNTIFS('UX Weekly'!$H$1:$CT$1,"&gt;="&amp;AD$1,'UX Weekly'!$H$1:$CT$1,"&lt;="&amp;EOMONTH(AD$1,0),'UX Weekly'!$H73:$CT73,"&lt;&gt;"))</f>
        <v>0</v>
      </c>
      <c r="AE73">
        <f>IF($B73="",0,COUNTIFS('UX Weekly'!$H$1:$CT$1,"&gt;="&amp;AE$1,'UX Weekly'!$H$1:$CT$1,"&lt;="&amp;EOMONTH(AE$1,0),'UX Weekly'!$H73:$CT73,"&lt;&gt;"))</f>
        <v>0</v>
      </c>
      <c r="AF73">
        <f>IF($B73="",0,COUNTIFS('UX Weekly'!$H$1:$CT$1,"&gt;="&amp;AF$1,'UX Weekly'!$H$1:$CT$1,"&lt;="&amp;EOMONTH(AF$1,0),'UX Weekly'!$H73:$CT73,"&lt;&gt;"))</f>
        <v>0</v>
      </c>
      <c r="AG73">
        <f>IF($B73="",0,COUNTIFS('UX Weekly'!$H$1:$CT$1,"&gt;="&amp;AG$1,'UX Weekly'!$H$1:$CT$1,"&lt;="&amp;EOMONTH(AG$1,0),'UX Weekly'!$H73:$CT73,"&lt;&gt;"))</f>
        <v>0</v>
      </c>
      <c r="AH73">
        <f>IF($B73="",0,COUNTIFS('UX Weekly'!$H$1:$CT$1,"&gt;="&amp;AH$1,'UX Weekly'!$H$1:$CT$1,"&lt;="&amp;EOMONTH(AH$1,0),'UX Weekly'!$H73:$CT73,"&lt;&gt;"))</f>
        <v>0</v>
      </c>
      <c r="AI73">
        <f>IF($B73="",0,COUNTIFS('UX Weekly'!$H$1:$CT$1,"&gt;="&amp;AI$1,'UX Weekly'!$H$1:$CT$1,"&lt;="&amp;EOMONTH(AI$1,0),'UX Weekly'!$H73:$CT73,"&lt;&gt;"))</f>
        <v>0</v>
      </c>
      <c r="AJ73">
        <f>IF($B73="",0,COUNTIFS('UX Weekly'!$H$1:$CT$1,"&gt;="&amp;AJ$1,'UX Weekly'!$H$1:$CT$1,"&lt;="&amp;EOMONTH(AJ$1,0),'UX Weekly'!$H73:$CT73,"&lt;&gt;"))</f>
        <v>0</v>
      </c>
      <c r="AK73">
        <f>IF($B73="",0,COUNTIFS('UX Weekly'!$H$1:$CT$1,"&gt;="&amp;AK$1,'UX Weekly'!$H$1:$CT$1,"&lt;="&amp;EOMONTH(AK$1,0),'UX Weekly'!$H73:$CT73,"&lt;&gt;"))</f>
        <v>0</v>
      </c>
      <c r="AL73">
        <f>IF($B73="",0,COUNTIFS('UX Weekly'!$H$1:$CT$1,"&gt;="&amp;AL$1,'UX Weekly'!$H$1:$CT$1,"&lt;="&amp;EOMONTH(AL$1,0),'UX Weekly'!$H73:$CT73,"&lt;&gt;"))</f>
        <v>0</v>
      </c>
      <c r="AM73">
        <f>IF($B73="",0,COUNTIFS('UX Weekly'!$H$1:$CT$1,"&gt;="&amp;AM$1,'UX Weekly'!$H$1:$CT$1,"&lt;="&amp;EOMONTH(AM$1,0),'UX Weekly'!$H73:$CT73,"&lt;&gt;"))</f>
        <v>0</v>
      </c>
      <c r="AN73">
        <f>IF($B73="",0,COUNTIFS('UX Weekly'!$H$1:$CT$1,"&gt;="&amp;AN$1,'UX Weekly'!$H$1:$CT$1,"&lt;="&amp;EOMONTH(AN$1,0),'UX Weekly'!$H73:$CT73,"&lt;&gt;"))</f>
        <v>0</v>
      </c>
      <c r="AO73">
        <f>IF($B73="",0,COUNTIFS('UX Weekly'!$H$1:$CT$1,"&gt;="&amp;AO$1,'UX Weekly'!$H$1:$CT$1,"&lt;="&amp;EOMONTH(AO$1,0),'UX Weekly'!$H73:$CT73,"&lt;&gt;"))</f>
        <v>0</v>
      </c>
      <c r="AP73">
        <f>IF($B73="",0,COUNTIFS('UX Weekly'!$H$1:$CT$1,"&gt;="&amp;AP$1,'UX Weekly'!$H$1:$CT$1,"&lt;="&amp;EOMONTH(AP$1,0),'UX Weekly'!$H73:$CT73,"&lt;&gt;"))</f>
        <v>0</v>
      </c>
      <c r="AQ73">
        <f>IF($B73="",0,COUNTIFS('UX Weekly'!$H$1:$CT$1,"&gt;="&amp;AQ$1,'UX Weekly'!$H$1:$CT$1,"&lt;="&amp;EOMONTH(AQ$1,0),'UX Weekly'!$H73:$CT73,"&lt;&gt;"))</f>
        <v>0</v>
      </c>
      <c r="AR73">
        <f>IF($B73="",0,COUNTIFS('UX Weekly'!$H$1:$CT$1,"&gt;="&amp;AR$1,'UX Weekly'!$H$1:$CT$1,"&lt;="&amp;EOMONTH(AR$1,0),'UX Weekly'!$H73:$CT73,"&lt;&gt;"))</f>
        <v>0</v>
      </c>
      <c r="AS73">
        <f>IF($B73="",0,COUNTIFS('UX Weekly'!$H$1:$CT$1,"&gt;="&amp;AS$1,'UX Weekly'!$H$1:$CT$1,"&lt;="&amp;EOMONTH(AS$1,0),'UX Weekly'!$H73:$CT73,"&lt;&gt;"))</f>
        <v>0</v>
      </c>
      <c r="AT73">
        <f>IF($B73="",0,COUNTIFS('UX Weekly'!$H$1:$CT$1,"&gt;="&amp;AT$1,'UX Weekly'!$H$1:$CT$1,"&lt;="&amp;EOMONTH(AT$1,0),'UX Weekly'!$H73:$CT73,"&lt;&gt;"))</f>
        <v>0</v>
      </c>
      <c r="AU73">
        <f>IF($B73="",0,COUNTIFS('UX Weekly'!$H$1:$CT$1,"&gt;="&amp;AU$1,'UX Weekly'!$H$1:$CT$1,"&lt;="&amp;EOMONTH(AU$1,0),'UX Weekly'!$H73:$CT73,"&lt;&gt;"))</f>
        <v>0</v>
      </c>
      <c r="AV73">
        <f>IF($B73="",0,COUNTIFS('UX Weekly'!$H$1:$CT$1,"&gt;="&amp;AV$1,'UX Weekly'!$H$1:$CT$1,"&lt;="&amp;EOMONTH(AV$1,0),'UX Weekly'!$H73:$CT73,"&lt;&gt;"))</f>
        <v>0</v>
      </c>
      <c r="AW73">
        <f>IF($B73="",0,COUNTIFS('UX Weekly'!$H$1:$CT$1,"&gt;="&amp;AW$1,'UX Weekly'!$H$1:$CT$1,"&lt;="&amp;EOMONTH(AW$1,0),'UX Weekly'!$H73:$CT73,"&lt;&gt;"))</f>
        <v>0</v>
      </c>
      <c r="AX73">
        <f>IF($B73="",0,COUNTIFS('UX Weekly'!$H$1:$CT$1,"&gt;="&amp;AX$1,'UX Weekly'!$H$1:$CT$1,"&lt;="&amp;EOMONTH(AX$1,0),'UX Weekly'!$H73:$CT73,"&lt;&gt;"))</f>
        <v>0</v>
      </c>
    </row>
    <row r="74" spans="1:50" x14ac:dyDescent="0.2">
      <c r="A74" s="152">
        <v>74</v>
      </c>
      <c r="B74" s="152" t="str">
        <f>IF(TRIM('UX Weekly'!E74)="","",TRIM('UX Weekly'!E74))</f>
        <v/>
      </c>
      <c r="C74" s="152" t="str">
        <f>IF($B74="","",'UX Weekly'!B74)</f>
        <v/>
      </c>
      <c r="D74" s="152" t="str">
        <f>IF($B74="","",IF(TRIM('UX Weekly'!C74)="","(No theme assigned)",TRIM('UX Weekly'!C74)))</f>
        <v/>
      </c>
      <c r="E74" s="152" t="str">
        <f>IF($B74="","",TRIM('UX Weekly'!F74))</f>
        <v/>
      </c>
      <c r="F74" s="152" t="str">
        <f>IF($B74="","",'UX Weekly'!G74)</f>
        <v/>
      </c>
      <c r="G74" s="153" t="str">
        <f t="array" ref="G74">IF($B74="","",IF($T74=0,"",IFERROR(MIN(IF('UX Weekly'!$H74:$CT74&lt;&gt;"",'UX Weekly'!$H$1:$CT$1)),"")))</f>
        <v/>
      </c>
      <c r="H74" s="153" t="str">
        <f t="array" ref="H74">IF($B74="","",IF($T74=0,"",IFERROR(MAX(IF('UX Weekly'!$H74:$CT74&lt;&gt;"",'UX Weekly'!$H$1:$CT$1)),"")))</f>
        <v/>
      </c>
      <c r="I74" s="154" t="str">
        <f t="shared" ca="1" si="14"/>
        <v/>
      </c>
      <c r="J74" s="154" t="str">
        <f t="shared" ca="1" si="15"/>
        <v/>
      </c>
      <c r="K74" s="152" t="str">
        <f>IF($B74="","",IF(COUNTA('Dev Tracker'!L74)=0,"",TRIM('Dev Tracker'!L74)))</f>
        <v/>
      </c>
      <c r="L74" s="152" t="str">
        <f>IF($B74="","",IFERROR(MATCH($D74,Control!$E$4:$E$30,0),99))</f>
        <v/>
      </c>
      <c r="M74" s="152" t="str">
        <f>IF($B74="","",IFERROR(MATCH($F74,Control!$B$4:$B$30,0),99))</f>
        <v/>
      </c>
      <c r="N74" s="152" t="str">
        <f>IF($V74&lt;&gt;1,"",IF('Roadmap (Auto)'!$D$3="Status, then Theme",$M74*1000000+$L74*10000+ROW(),IF('Roadmap (Auto)'!$D$3="Dev start (earliest)",IF($I74="",99999999,$I74)*10000+ROW(),IF('Roadmap (Auto)'!$D$3="UX start (earliest)",IF($G74="",99999999,$G74)*10000+ROW(),IF('Roadmap (Auto)'!$D$3="Deliverable A-Z",$W74*10000+ROW(),$L74*1000000+$M74*10000+ROW())))))</f>
        <v/>
      </c>
      <c r="O74" s="152" t="str">
        <f t="shared" si="16"/>
        <v/>
      </c>
      <c r="P74" s="152" t="str">
        <f>IF($B74="","",IF(COUNTA('Dev Tracker'!I74)=0,"",'Dev Tracker'!I74))</f>
        <v/>
      </c>
      <c r="Q74" s="152" t="str">
        <f>IF($B74="","",IF(COUNTA('Dev Tracker'!J74)=0,"",'Dev Tracker'!J74))</f>
        <v/>
      </c>
      <c r="R74" s="154" t="str">
        <f t="shared" ca="1" si="17"/>
        <v/>
      </c>
      <c r="S74" s="154" t="str">
        <f t="shared" ca="1" si="18"/>
        <v/>
      </c>
      <c r="T74" s="152" t="str">
        <f>IF($B74="","",COUNTA('UX Weekly'!$H74:$CT74))</f>
        <v/>
      </c>
      <c r="U74" s="152" t="str">
        <f>IF($B74="","",IFERROR(MATCH($D74,Control!$E$4:$E$30,0)+3,0))</f>
        <v/>
      </c>
      <c r="V74" s="152" t="str">
        <f>IF($B74="","",IF(AND(OR('Roadmap (Auto)'!$A$3="",'Roadmap (Auto)'!$A$3="(All)",ISNUMBER(SEARCH('Roadmap (Auto)'!$A$3,$C74&amp;""))),OR('Roadmap (Auto)'!$B$3="",'Roadmap (Auto)'!$B$3="(All)",$D74='Roadmap (Auto)'!$B$3,$X74='Roadmap (Auto)'!$B$3),OR('Roadmap (Auto)'!$C$3="",'Roadmap (Auto)'!$C$3="(All)",$F74='Roadmap (Auto)'!$C$3)),1,0))</f>
        <v/>
      </c>
      <c r="W74" s="152" t="str">
        <f t="shared" si="19"/>
        <v/>
      </c>
      <c r="X74" s="152" t="str">
        <f>IF($B74="","",IF(TRIM('UX Weekly'!D74)="","",TRIM('UX Weekly'!D74)))</f>
        <v/>
      </c>
      <c r="Y74" s="152" t="str">
        <f t="shared" si="20"/>
        <v/>
      </c>
      <c r="AA74">
        <f>IF($B74="",0,COUNTIFS('UX Weekly'!$H$1:$CT$1,"&gt;="&amp;AA$1,'UX Weekly'!$H$1:$CT$1,"&lt;="&amp;EOMONTH(AA$1,0),'UX Weekly'!$H74:$CT74,"&lt;&gt;"))</f>
        <v>0</v>
      </c>
      <c r="AB74">
        <f>IF($B74="",0,COUNTIFS('UX Weekly'!$H$1:$CT$1,"&gt;="&amp;AB$1,'UX Weekly'!$H$1:$CT$1,"&lt;="&amp;EOMONTH(AB$1,0),'UX Weekly'!$H74:$CT74,"&lt;&gt;"))</f>
        <v>0</v>
      </c>
      <c r="AC74">
        <f>IF($B74="",0,COUNTIFS('UX Weekly'!$H$1:$CT$1,"&gt;="&amp;AC$1,'UX Weekly'!$H$1:$CT$1,"&lt;="&amp;EOMONTH(AC$1,0),'UX Weekly'!$H74:$CT74,"&lt;&gt;"))</f>
        <v>0</v>
      </c>
      <c r="AD74">
        <f>IF($B74="",0,COUNTIFS('UX Weekly'!$H$1:$CT$1,"&gt;="&amp;AD$1,'UX Weekly'!$H$1:$CT$1,"&lt;="&amp;EOMONTH(AD$1,0),'UX Weekly'!$H74:$CT74,"&lt;&gt;"))</f>
        <v>0</v>
      </c>
      <c r="AE74">
        <f>IF($B74="",0,COUNTIFS('UX Weekly'!$H$1:$CT$1,"&gt;="&amp;AE$1,'UX Weekly'!$H$1:$CT$1,"&lt;="&amp;EOMONTH(AE$1,0),'UX Weekly'!$H74:$CT74,"&lt;&gt;"))</f>
        <v>0</v>
      </c>
      <c r="AF74">
        <f>IF($B74="",0,COUNTIFS('UX Weekly'!$H$1:$CT$1,"&gt;="&amp;AF$1,'UX Weekly'!$H$1:$CT$1,"&lt;="&amp;EOMONTH(AF$1,0),'UX Weekly'!$H74:$CT74,"&lt;&gt;"))</f>
        <v>0</v>
      </c>
      <c r="AG74">
        <f>IF($B74="",0,COUNTIFS('UX Weekly'!$H$1:$CT$1,"&gt;="&amp;AG$1,'UX Weekly'!$H$1:$CT$1,"&lt;="&amp;EOMONTH(AG$1,0),'UX Weekly'!$H74:$CT74,"&lt;&gt;"))</f>
        <v>0</v>
      </c>
      <c r="AH74">
        <f>IF($B74="",0,COUNTIFS('UX Weekly'!$H$1:$CT$1,"&gt;="&amp;AH$1,'UX Weekly'!$H$1:$CT$1,"&lt;="&amp;EOMONTH(AH$1,0),'UX Weekly'!$H74:$CT74,"&lt;&gt;"))</f>
        <v>0</v>
      </c>
      <c r="AI74">
        <f>IF($B74="",0,COUNTIFS('UX Weekly'!$H$1:$CT$1,"&gt;="&amp;AI$1,'UX Weekly'!$H$1:$CT$1,"&lt;="&amp;EOMONTH(AI$1,0),'UX Weekly'!$H74:$CT74,"&lt;&gt;"))</f>
        <v>0</v>
      </c>
      <c r="AJ74">
        <f>IF($B74="",0,COUNTIFS('UX Weekly'!$H$1:$CT$1,"&gt;="&amp;AJ$1,'UX Weekly'!$H$1:$CT$1,"&lt;="&amp;EOMONTH(AJ$1,0),'UX Weekly'!$H74:$CT74,"&lt;&gt;"))</f>
        <v>0</v>
      </c>
      <c r="AK74">
        <f>IF($B74="",0,COUNTIFS('UX Weekly'!$H$1:$CT$1,"&gt;="&amp;AK$1,'UX Weekly'!$H$1:$CT$1,"&lt;="&amp;EOMONTH(AK$1,0),'UX Weekly'!$H74:$CT74,"&lt;&gt;"))</f>
        <v>0</v>
      </c>
      <c r="AL74">
        <f>IF($B74="",0,COUNTIFS('UX Weekly'!$H$1:$CT$1,"&gt;="&amp;AL$1,'UX Weekly'!$H$1:$CT$1,"&lt;="&amp;EOMONTH(AL$1,0),'UX Weekly'!$H74:$CT74,"&lt;&gt;"))</f>
        <v>0</v>
      </c>
      <c r="AM74">
        <f>IF($B74="",0,COUNTIFS('UX Weekly'!$H$1:$CT$1,"&gt;="&amp;AM$1,'UX Weekly'!$H$1:$CT$1,"&lt;="&amp;EOMONTH(AM$1,0),'UX Weekly'!$H74:$CT74,"&lt;&gt;"))</f>
        <v>0</v>
      </c>
      <c r="AN74">
        <f>IF($B74="",0,COUNTIFS('UX Weekly'!$H$1:$CT$1,"&gt;="&amp;AN$1,'UX Weekly'!$H$1:$CT$1,"&lt;="&amp;EOMONTH(AN$1,0),'UX Weekly'!$H74:$CT74,"&lt;&gt;"))</f>
        <v>0</v>
      </c>
      <c r="AO74">
        <f>IF($B74="",0,COUNTIFS('UX Weekly'!$H$1:$CT$1,"&gt;="&amp;AO$1,'UX Weekly'!$H$1:$CT$1,"&lt;="&amp;EOMONTH(AO$1,0),'UX Weekly'!$H74:$CT74,"&lt;&gt;"))</f>
        <v>0</v>
      </c>
      <c r="AP74">
        <f>IF($B74="",0,COUNTIFS('UX Weekly'!$H$1:$CT$1,"&gt;="&amp;AP$1,'UX Weekly'!$H$1:$CT$1,"&lt;="&amp;EOMONTH(AP$1,0),'UX Weekly'!$H74:$CT74,"&lt;&gt;"))</f>
        <v>0</v>
      </c>
      <c r="AQ74">
        <f>IF($B74="",0,COUNTIFS('UX Weekly'!$H$1:$CT$1,"&gt;="&amp;AQ$1,'UX Weekly'!$H$1:$CT$1,"&lt;="&amp;EOMONTH(AQ$1,0),'UX Weekly'!$H74:$CT74,"&lt;&gt;"))</f>
        <v>0</v>
      </c>
      <c r="AR74">
        <f>IF($B74="",0,COUNTIFS('UX Weekly'!$H$1:$CT$1,"&gt;="&amp;AR$1,'UX Weekly'!$H$1:$CT$1,"&lt;="&amp;EOMONTH(AR$1,0),'UX Weekly'!$H74:$CT74,"&lt;&gt;"))</f>
        <v>0</v>
      </c>
      <c r="AS74">
        <f>IF($B74="",0,COUNTIFS('UX Weekly'!$H$1:$CT$1,"&gt;="&amp;AS$1,'UX Weekly'!$H$1:$CT$1,"&lt;="&amp;EOMONTH(AS$1,0),'UX Weekly'!$H74:$CT74,"&lt;&gt;"))</f>
        <v>0</v>
      </c>
      <c r="AT74">
        <f>IF($B74="",0,COUNTIFS('UX Weekly'!$H$1:$CT$1,"&gt;="&amp;AT$1,'UX Weekly'!$H$1:$CT$1,"&lt;="&amp;EOMONTH(AT$1,0),'UX Weekly'!$H74:$CT74,"&lt;&gt;"))</f>
        <v>0</v>
      </c>
      <c r="AU74">
        <f>IF($B74="",0,COUNTIFS('UX Weekly'!$H$1:$CT$1,"&gt;="&amp;AU$1,'UX Weekly'!$H$1:$CT$1,"&lt;="&amp;EOMONTH(AU$1,0),'UX Weekly'!$H74:$CT74,"&lt;&gt;"))</f>
        <v>0</v>
      </c>
      <c r="AV74">
        <f>IF($B74="",0,COUNTIFS('UX Weekly'!$H$1:$CT$1,"&gt;="&amp;AV$1,'UX Weekly'!$H$1:$CT$1,"&lt;="&amp;EOMONTH(AV$1,0),'UX Weekly'!$H74:$CT74,"&lt;&gt;"))</f>
        <v>0</v>
      </c>
      <c r="AW74">
        <f>IF($B74="",0,COUNTIFS('UX Weekly'!$H$1:$CT$1,"&gt;="&amp;AW$1,'UX Weekly'!$H$1:$CT$1,"&lt;="&amp;EOMONTH(AW$1,0),'UX Weekly'!$H74:$CT74,"&lt;&gt;"))</f>
        <v>0</v>
      </c>
      <c r="AX74">
        <f>IF($B74="",0,COUNTIFS('UX Weekly'!$H$1:$CT$1,"&gt;="&amp;AX$1,'UX Weekly'!$H$1:$CT$1,"&lt;="&amp;EOMONTH(AX$1,0),'UX Weekly'!$H74:$CT74,"&lt;&gt;"))</f>
        <v>0</v>
      </c>
    </row>
    <row r="75" spans="1:50" x14ac:dyDescent="0.2">
      <c r="A75" s="152">
        <v>75</v>
      </c>
      <c r="B75" s="152" t="str">
        <f>IF(TRIM('UX Weekly'!E75)="","",TRIM('UX Weekly'!E75))</f>
        <v/>
      </c>
      <c r="C75" s="152" t="str">
        <f>IF($B75="","",'UX Weekly'!B75)</f>
        <v/>
      </c>
      <c r="D75" s="152" t="str">
        <f>IF($B75="","",IF(TRIM('UX Weekly'!C75)="","(No theme assigned)",TRIM('UX Weekly'!C75)))</f>
        <v/>
      </c>
      <c r="E75" s="152" t="str">
        <f>IF($B75="","",TRIM('UX Weekly'!F75))</f>
        <v/>
      </c>
      <c r="F75" s="152" t="str">
        <f>IF($B75="","",'UX Weekly'!G75)</f>
        <v/>
      </c>
      <c r="G75" s="153" t="str">
        <f t="array" ref="G75">IF($B75="","",IF($T75=0,"",IFERROR(MIN(IF('UX Weekly'!$H75:$CT75&lt;&gt;"",'UX Weekly'!$H$1:$CT$1)),"")))</f>
        <v/>
      </c>
      <c r="H75" s="153" t="str">
        <f t="array" ref="H75">IF($B75="","",IF($T75=0,"",IFERROR(MAX(IF('UX Weekly'!$H75:$CT75&lt;&gt;"",'UX Weekly'!$H$1:$CT$1)),"")))</f>
        <v/>
      </c>
      <c r="I75" s="154" t="str">
        <f t="shared" ca="1" si="14"/>
        <v/>
      </c>
      <c r="J75" s="154" t="str">
        <f t="shared" ca="1" si="15"/>
        <v/>
      </c>
      <c r="K75" s="152" t="str">
        <f>IF($B75="","",IF(COUNTA('Dev Tracker'!L75)=0,"",TRIM('Dev Tracker'!L75)))</f>
        <v/>
      </c>
      <c r="L75" s="152" t="str">
        <f>IF($B75="","",IFERROR(MATCH($D75,Control!$E$4:$E$30,0),99))</f>
        <v/>
      </c>
      <c r="M75" s="152" t="str">
        <f>IF($B75="","",IFERROR(MATCH($F75,Control!$B$4:$B$30,0),99))</f>
        <v/>
      </c>
      <c r="N75" s="152" t="str">
        <f>IF($V75&lt;&gt;1,"",IF('Roadmap (Auto)'!$D$3="Status, then Theme",$M75*1000000+$L75*10000+ROW(),IF('Roadmap (Auto)'!$D$3="Dev start (earliest)",IF($I75="",99999999,$I75)*10000+ROW(),IF('Roadmap (Auto)'!$D$3="UX start (earliest)",IF($G75="",99999999,$G75)*10000+ROW(),IF('Roadmap (Auto)'!$D$3="Deliverable A-Z",$W75*10000+ROW(),$L75*1000000+$M75*10000+ROW())))))</f>
        <v/>
      </c>
      <c r="O75" s="152" t="str">
        <f t="shared" si="16"/>
        <v/>
      </c>
      <c r="P75" s="152" t="str">
        <f>IF($B75="","",IF(COUNTA('Dev Tracker'!I75)=0,"",'Dev Tracker'!I75))</f>
        <v/>
      </c>
      <c r="Q75" s="152" t="str">
        <f>IF($B75="","",IF(COUNTA('Dev Tracker'!J75)=0,"",'Dev Tracker'!J75))</f>
        <v/>
      </c>
      <c r="R75" s="154" t="str">
        <f t="shared" ca="1" si="17"/>
        <v/>
      </c>
      <c r="S75" s="154" t="str">
        <f t="shared" ca="1" si="18"/>
        <v/>
      </c>
      <c r="T75" s="152" t="str">
        <f>IF($B75="","",COUNTA('UX Weekly'!$H75:$CT75))</f>
        <v/>
      </c>
      <c r="U75" s="152" t="str">
        <f>IF($B75="","",IFERROR(MATCH($D75,Control!$E$4:$E$30,0)+3,0))</f>
        <v/>
      </c>
      <c r="V75" s="152" t="str">
        <f>IF($B75="","",IF(AND(OR('Roadmap (Auto)'!$A$3="",'Roadmap (Auto)'!$A$3="(All)",ISNUMBER(SEARCH('Roadmap (Auto)'!$A$3,$C75&amp;""))),OR('Roadmap (Auto)'!$B$3="",'Roadmap (Auto)'!$B$3="(All)",$D75='Roadmap (Auto)'!$B$3,$X75='Roadmap (Auto)'!$B$3),OR('Roadmap (Auto)'!$C$3="",'Roadmap (Auto)'!$C$3="(All)",$F75='Roadmap (Auto)'!$C$3)),1,0))</f>
        <v/>
      </c>
      <c r="W75" s="152" t="str">
        <f t="shared" si="19"/>
        <v/>
      </c>
      <c r="X75" s="152" t="str">
        <f>IF($B75="","",IF(TRIM('UX Weekly'!D75)="","",TRIM('UX Weekly'!D75)))</f>
        <v/>
      </c>
      <c r="Y75" s="152" t="str">
        <f t="shared" si="20"/>
        <v/>
      </c>
      <c r="AA75">
        <f>IF($B75="",0,COUNTIFS('UX Weekly'!$H$1:$CT$1,"&gt;="&amp;AA$1,'UX Weekly'!$H$1:$CT$1,"&lt;="&amp;EOMONTH(AA$1,0),'UX Weekly'!$H75:$CT75,"&lt;&gt;"))</f>
        <v>0</v>
      </c>
      <c r="AB75">
        <f>IF($B75="",0,COUNTIFS('UX Weekly'!$H$1:$CT$1,"&gt;="&amp;AB$1,'UX Weekly'!$H$1:$CT$1,"&lt;="&amp;EOMONTH(AB$1,0),'UX Weekly'!$H75:$CT75,"&lt;&gt;"))</f>
        <v>0</v>
      </c>
      <c r="AC75">
        <f>IF($B75="",0,COUNTIFS('UX Weekly'!$H$1:$CT$1,"&gt;="&amp;AC$1,'UX Weekly'!$H$1:$CT$1,"&lt;="&amp;EOMONTH(AC$1,0),'UX Weekly'!$H75:$CT75,"&lt;&gt;"))</f>
        <v>0</v>
      </c>
      <c r="AD75">
        <f>IF($B75="",0,COUNTIFS('UX Weekly'!$H$1:$CT$1,"&gt;="&amp;AD$1,'UX Weekly'!$H$1:$CT$1,"&lt;="&amp;EOMONTH(AD$1,0),'UX Weekly'!$H75:$CT75,"&lt;&gt;"))</f>
        <v>0</v>
      </c>
      <c r="AE75">
        <f>IF($B75="",0,COUNTIFS('UX Weekly'!$H$1:$CT$1,"&gt;="&amp;AE$1,'UX Weekly'!$H$1:$CT$1,"&lt;="&amp;EOMONTH(AE$1,0),'UX Weekly'!$H75:$CT75,"&lt;&gt;"))</f>
        <v>0</v>
      </c>
      <c r="AF75">
        <f>IF($B75="",0,COUNTIFS('UX Weekly'!$H$1:$CT$1,"&gt;="&amp;AF$1,'UX Weekly'!$H$1:$CT$1,"&lt;="&amp;EOMONTH(AF$1,0),'UX Weekly'!$H75:$CT75,"&lt;&gt;"))</f>
        <v>0</v>
      </c>
      <c r="AG75">
        <f>IF($B75="",0,COUNTIFS('UX Weekly'!$H$1:$CT$1,"&gt;="&amp;AG$1,'UX Weekly'!$H$1:$CT$1,"&lt;="&amp;EOMONTH(AG$1,0),'UX Weekly'!$H75:$CT75,"&lt;&gt;"))</f>
        <v>0</v>
      </c>
      <c r="AH75">
        <f>IF($B75="",0,COUNTIFS('UX Weekly'!$H$1:$CT$1,"&gt;="&amp;AH$1,'UX Weekly'!$H$1:$CT$1,"&lt;="&amp;EOMONTH(AH$1,0),'UX Weekly'!$H75:$CT75,"&lt;&gt;"))</f>
        <v>0</v>
      </c>
      <c r="AI75">
        <f>IF($B75="",0,COUNTIFS('UX Weekly'!$H$1:$CT$1,"&gt;="&amp;AI$1,'UX Weekly'!$H$1:$CT$1,"&lt;="&amp;EOMONTH(AI$1,0),'UX Weekly'!$H75:$CT75,"&lt;&gt;"))</f>
        <v>0</v>
      </c>
      <c r="AJ75">
        <f>IF($B75="",0,COUNTIFS('UX Weekly'!$H$1:$CT$1,"&gt;="&amp;AJ$1,'UX Weekly'!$H$1:$CT$1,"&lt;="&amp;EOMONTH(AJ$1,0),'UX Weekly'!$H75:$CT75,"&lt;&gt;"))</f>
        <v>0</v>
      </c>
      <c r="AK75">
        <f>IF($B75="",0,COUNTIFS('UX Weekly'!$H$1:$CT$1,"&gt;="&amp;AK$1,'UX Weekly'!$H$1:$CT$1,"&lt;="&amp;EOMONTH(AK$1,0),'UX Weekly'!$H75:$CT75,"&lt;&gt;"))</f>
        <v>0</v>
      </c>
      <c r="AL75">
        <f>IF($B75="",0,COUNTIFS('UX Weekly'!$H$1:$CT$1,"&gt;="&amp;AL$1,'UX Weekly'!$H$1:$CT$1,"&lt;="&amp;EOMONTH(AL$1,0),'UX Weekly'!$H75:$CT75,"&lt;&gt;"))</f>
        <v>0</v>
      </c>
      <c r="AM75">
        <f>IF($B75="",0,COUNTIFS('UX Weekly'!$H$1:$CT$1,"&gt;="&amp;AM$1,'UX Weekly'!$H$1:$CT$1,"&lt;="&amp;EOMONTH(AM$1,0),'UX Weekly'!$H75:$CT75,"&lt;&gt;"))</f>
        <v>0</v>
      </c>
      <c r="AN75">
        <f>IF($B75="",0,COUNTIFS('UX Weekly'!$H$1:$CT$1,"&gt;="&amp;AN$1,'UX Weekly'!$H$1:$CT$1,"&lt;="&amp;EOMONTH(AN$1,0),'UX Weekly'!$H75:$CT75,"&lt;&gt;"))</f>
        <v>0</v>
      </c>
      <c r="AO75">
        <f>IF($B75="",0,COUNTIFS('UX Weekly'!$H$1:$CT$1,"&gt;="&amp;AO$1,'UX Weekly'!$H$1:$CT$1,"&lt;="&amp;EOMONTH(AO$1,0),'UX Weekly'!$H75:$CT75,"&lt;&gt;"))</f>
        <v>0</v>
      </c>
      <c r="AP75">
        <f>IF($B75="",0,COUNTIFS('UX Weekly'!$H$1:$CT$1,"&gt;="&amp;AP$1,'UX Weekly'!$H$1:$CT$1,"&lt;="&amp;EOMONTH(AP$1,0),'UX Weekly'!$H75:$CT75,"&lt;&gt;"))</f>
        <v>0</v>
      </c>
      <c r="AQ75">
        <f>IF($B75="",0,COUNTIFS('UX Weekly'!$H$1:$CT$1,"&gt;="&amp;AQ$1,'UX Weekly'!$H$1:$CT$1,"&lt;="&amp;EOMONTH(AQ$1,0),'UX Weekly'!$H75:$CT75,"&lt;&gt;"))</f>
        <v>0</v>
      </c>
      <c r="AR75">
        <f>IF($B75="",0,COUNTIFS('UX Weekly'!$H$1:$CT$1,"&gt;="&amp;AR$1,'UX Weekly'!$H$1:$CT$1,"&lt;="&amp;EOMONTH(AR$1,0),'UX Weekly'!$H75:$CT75,"&lt;&gt;"))</f>
        <v>0</v>
      </c>
      <c r="AS75">
        <f>IF($B75="",0,COUNTIFS('UX Weekly'!$H$1:$CT$1,"&gt;="&amp;AS$1,'UX Weekly'!$H$1:$CT$1,"&lt;="&amp;EOMONTH(AS$1,0),'UX Weekly'!$H75:$CT75,"&lt;&gt;"))</f>
        <v>0</v>
      </c>
      <c r="AT75">
        <f>IF($B75="",0,COUNTIFS('UX Weekly'!$H$1:$CT$1,"&gt;="&amp;AT$1,'UX Weekly'!$H$1:$CT$1,"&lt;="&amp;EOMONTH(AT$1,0),'UX Weekly'!$H75:$CT75,"&lt;&gt;"))</f>
        <v>0</v>
      </c>
      <c r="AU75">
        <f>IF($B75="",0,COUNTIFS('UX Weekly'!$H$1:$CT$1,"&gt;="&amp;AU$1,'UX Weekly'!$H$1:$CT$1,"&lt;="&amp;EOMONTH(AU$1,0),'UX Weekly'!$H75:$CT75,"&lt;&gt;"))</f>
        <v>0</v>
      </c>
      <c r="AV75">
        <f>IF($B75="",0,COUNTIFS('UX Weekly'!$H$1:$CT$1,"&gt;="&amp;AV$1,'UX Weekly'!$H$1:$CT$1,"&lt;="&amp;EOMONTH(AV$1,0),'UX Weekly'!$H75:$CT75,"&lt;&gt;"))</f>
        <v>0</v>
      </c>
      <c r="AW75">
        <f>IF($B75="",0,COUNTIFS('UX Weekly'!$H$1:$CT$1,"&gt;="&amp;AW$1,'UX Weekly'!$H$1:$CT$1,"&lt;="&amp;EOMONTH(AW$1,0),'UX Weekly'!$H75:$CT75,"&lt;&gt;"))</f>
        <v>0</v>
      </c>
      <c r="AX75">
        <f>IF($B75="",0,COUNTIFS('UX Weekly'!$H$1:$CT$1,"&gt;="&amp;AX$1,'UX Weekly'!$H$1:$CT$1,"&lt;="&amp;EOMONTH(AX$1,0),'UX Weekly'!$H75:$CT75,"&lt;&gt;"))</f>
        <v>0</v>
      </c>
    </row>
    <row r="76" spans="1:50" x14ac:dyDescent="0.2">
      <c r="A76" s="152">
        <v>76</v>
      </c>
      <c r="B76" s="152" t="str">
        <f>IF(TRIM('UX Weekly'!E76)="","",TRIM('UX Weekly'!E76))</f>
        <v/>
      </c>
      <c r="C76" s="152" t="str">
        <f>IF($B76="","",'UX Weekly'!B76)</f>
        <v/>
      </c>
      <c r="D76" s="152" t="str">
        <f>IF($B76="","",IF(TRIM('UX Weekly'!C76)="","(No theme assigned)",TRIM('UX Weekly'!C76)))</f>
        <v/>
      </c>
      <c r="E76" s="152" t="str">
        <f>IF($B76="","",TRIM('UX Weekly'!F76))</f>
        <v/>
      </c>
      <c r="F76" s="152" t="str">
        <f>IF($B76="","",'UX Weekly'!G76)</f>
        <v/>
      </c>
      <c r="G76" s="153" t="str">
        <f t="array" ref="G76">IF($B76="","",IF($T76=0,"",IFERROR(MIN(IF('UX Weekly'!$H76:$CT76&lt;&gt;"",'UX Weekly'!$H$1:$CT$1)),"")))</f>
        <v/>
      </c>
      <c r="H76" s="153" t="str">
        <f t="array" ref="H76">IF($B76="","",IF($T76=0,"",IFERROR(MAX(IF('UX Weekly'!$H76:$CT76&lt;&gt;"",'UX Weekly'!$H$1:$CT$1)),"")))</f>
        <v/>
      </c>
      <c r="I76" s="154" t="str">
        <f t="shared" ca="1" si="14"/>
        <v/>
      </c>
      <c r="J76" s="154" t="str">
        <f t="shared" ca="1" si="15"/>
        <v/>
      </c>
      <c r="K76" s="152" t="str">
        <f>IF($B76="","",IF(COUNTA('Dev Tracker'!L76)=0,"",TRIM('Dev Tracker'!L76)))</f>
        <v/>
      </c>
      <c r="L76" s="152" t="str">
        <f>IF($B76="","",IFERROR(MATCH($D76,Control!$E$4:$E$30,0),99))</f>
        <v/>
      </c>
      <c r="M76" s="152" t="str">
        <f>IF($B76="","",IFERROR(MATCH($F76,Control!$B$4:$B$30,0),99))</f>
        <v/>
      </c>
      <c r="N76" s="152" t="str">
        <f>IF($V76&lt;&gt;1,"",IF('Roadmap (Auto)'!$D$3="Status, then Theme",$M76*1000000+$L76*10000+ROW(),IF('Roadmap (Auto)'!$D$3="Dev start (earliest)",IF($I76="",99999999,$I76)*10000+ROW(),IF('Roadmap (Auto)'!$D$3="UX start (earliest)",IF($G76="",99999999,$G76)*10000+ROW(),IF('Roadmap (Auto)'!$D$3="Deliverable A-Z",$W76*10000+ROW(),$L76*1000000+$M76*10000+ROW())))))</f>
        <v/>
      </c>
      <c r="O76" s="152" t="str">
        <f t="shared" si="16"/>
        <v/>
      </c>
      <c r="P76" s="152" t="str">
        <f>IF($B76="","",IF(COUNTA('Dev Tracker'!I76)=0,"",'Dev Tracker'!I76))</f>
        <v/>
      </c>
      <c r="Q76" s="152" t="str">
        <f>IF($B76="","",IF(COUNTA('Dev Tracker'!J76)=0,"",'Dev Tracker'!J76))</f>
        <v/>
      </c>
      <c r="R76" s="154" t="str">
        <f t="shared" ca="1" si="17"/>
        <v/>
      </c>
      <c r="S76" s="154" t="str">
        <f t="shared" ca="1" si="18"/>
        <v/>
      </c>
      <c r="T76" s="152" t="str">
        <f>IF($B76="","",COUNTA('UX Weekly'!$H76:$CT76))</f>
        <v/>
      </c>
      <c r="U76" s="152" t="str">
        <f>IF($B76="","",IFERROR(MATCH($D76,Control!$E$4:$E$30,0)+3,0))</f>
        <v/>
      </c>
      <c r="V76" s="152" t="str">
        <f>IF($B76="","",IF(AND(OR('Roadmap (Auto)'!$A$3="",'Roadmap (Auto)'!$A$3="(All)",ISNUMBER(SEARCH('Roadmap (Auto)'!$A$3,$C76&amp;""))),OR('Roadmap (Auto)'!$B$3="",'Roadmap (Auto)'!$B$3="(All)",$D76='Roadmap (Auto)'!$B$3,$X76='Roadmap (Auto)'!$B$3),OR('Roadmap (Auto)'!$C$3="",'Roadmap (Auto)'!$C$3="(All)",$F76='Roadmap (Auto)'!$C$3)),1,0))</f>
        <v/>
      </c>
      <c r="W76" s="152" t="str">
        <f t="shared" si="19"/>
        <v/>
      </c>
      <c r="X76" s="152" t="str">
        <f>IF($B76="","",IF(TRIM('UX Weekly'!D76)="","",TRIM('UX Weekly'!D76)))</f>
        <v/>
      </c>
      <c r="Y76" s="152" t="str">
        <f t="shared" si="20"/>
        <v/>
      </c>
      <c r="AA76">
        <f>IF($B76="",0,COUNTIFS('UX Weekly'!$H$1:$CT$1,"&gt;="&amp;AA$1,'UX Weekly'!$H$1:$CT$1,"&lt;="&amp;EOMONTH(AA$1,0),'UX Weekly'!$H76:$CT76,"&lt;&gt;"))</f>
        <v>0</v>
      </c>
      <c r="AB76">
        <f>IF($B76="",0,COUNTIFS('UX Weekly'!$H$1:$CT$1,"&gt;="&amp;AB$1,'UX Weekly'!$H$1:$CT$1,"&lt;="&amp;EOMONTH(AB$1,0),'UX Weekly'!$H76:$CT76,"&lt;&gt;"))</f>
        <v>0</v>
      </c>
      <c r="AC76">
        <f>IF($B76="",0,COUNTIFS('UX Weekly'!$H$1:$CT$1,"&gt;="&amp;AC$1,'UX Weekly'!$H$1:$CT$1,"&lt;="&amp;EOMONTH(AC$1,0),'UX Weekly'!$H76:$CT76,"&lt;&gt;"))</f>
        <v>0</v>
      </c>
      <c r="AD76">
        <f>IF($B76="",0,COUNTIFS('UX Weekly'!$H$1:$CT$1,"&gt;="&amp;AD$1,'UX Weekly'!$H$1:$CT$1,"&lt;="&amp;EOMONTH(AD$1,0),'UX Weekly'!$H76:$CT76,"&lt;&gt;"))</f>
        <v>0</v>
      </c>
      <c r="AE76">
        <f>IF($B76="",0,COUNTIFS('UX Weekly'!$H$1:$CT$1,"&gt;="&amp;AE$1,'UX Weekly'!$H$1:$CT$1,"&lt;="&amp;EOMONTH(AE$1,0),'UX Weekly'!$H76:$CT76,"&lt;&gt;"))</f>
        <v>0</v>
      </c>
      <c r="AF76">
        <f>IF($B76="",0,COUNTIFS('UX Weekly'!$H$1:$CT$1,"&gt;="&amp;AF$1,'UX Weekly'!$H$1:$CT$1,"&lt;="&amp;EOMONTH(AF$1,0),'UX Weekly'!$H76:$CT76,"&lt;&gt;"))</f>
        <v>0</v>
      </c>
      <c r="AG76">
        <f>IF($B76="",0,COUNTIFS('UX Weekly'!$H$1:$CT$1,"&gt;="&amp;AG$1,'UX Weekly'!$H$1:$CT$1,"&lt;="&amp;EOMONTH(AG$1,0),'UX Weekly'!$H76:$CT76,"&lt;&gt;"))</f>
        <v>0</v>
      </c>
      <c r="AH76">
        <f>IF($B76="",0,COUNTIFS('UX Weekly'!$H$1:$CT$1,"&gt;="&amp;AH$1,'UX Weekly'!$H$1:$CT$1,"&lt;="&amp;EOMONTH(AH$1,0),'UX Weekly'!$H76:$CT76,"&lt;&gt;"))</f>
        <v>0</v>
      </c>
      <c r="AI76">
        <f>IF($B76="",0,COUNTIFS('UX Weekly'!$H$1:$CT$1,"&gt;="&amp;AI$1,'UX Weekly'!$H$1:$CT$1,"&lt;="&amp;EOMONTH(AI$1,0),'UX Weekly'!$H76:$CT76,"&lt;&gt;"))</f>
        <v>0</v>
      </c>
      <c r="AJ76">
        <f>IF($B76="",0,COUNTIFS('UX Weekly'!$H$1:$CT$1,"&gt;="&amp;AJ$1,'UX Weekly'!$H$1:$CT$1,"&lt;="&amp;EOMONTH(AJ$1,0),'UX Weekly'!$H76:$CT76,"&lt;&gt;"))</f>
        <v>0</v>
      </c>
      <c r="AK76">
        <f>IF($B76="",0,COUNTIFS('UX Weekly'!$H$1:$CT$1,"&gt;="&amp;AK$1,'UX Weekly'!$H$1:$CT$1,"&lt;="&amp;EOMONTH(AK$1,0),'UX Weekly'!$H76:$CT76,"&lt;&gt;"))</f>
        <v>0</v>
      </c>
      <c r="AL76">
        <f>IF($B76="",0,COUNTIFS('UX Weekly'!$H$1:$CT$1,"&gt;="&amp;AL$1,'UX Weekly'!$H$1:$CT$1,"&lt;="&amp;EOMONTH(AL$1,0),'UX Weekly'!$H76:$CT76,"&lt;&gt;"))</f>
        <v>0</v>
      </c>
      <c r="AM76">
        <f>IF($B76="",0,COUNTIFS('UX Weekly'!$H$1:$CT$1,"&gt;="&amp;AM$1,'UX Weekly'!$H$1:$CT$1,"&lt;="&amp;EOMONTH(AM$1,0),'UX Weekly'!$H76:$CT76,"&lt;&gt;"))</f>
        <v>0</v>
      </c>
      <c r="AN76">
        <f>IF($B76="",0,COUNTIFS('UX Weekly'!$H$1:$CT$1,"&gt;="&amp;AN$1,'UX Weekly'!$H$1:$CT$1,"&lt;="&amp;EOMONTH(AN$1,0),'UX Weekly'!$H76:$CT76,"&lt;&gt;"))</f>
        <v>0</v>
      </c>
      <c r="AO76">
        <f>IF($B76="",0,COUNTIFS('UX Weekly'!$H$1:$CT$1,"&gt;="&amp;AO$1,'UX Weekly'!$H$1:$CT$1,"&lt;="&amp;EOMONTH(AO$1,0),'UX Weekly'!$H76:$CT76,"&lt;&gt;"))</f>
        <v>0</v>
      </c>
      <c r="AP76">
        <f>IF($B76="",0,COUNTIFS('UX Weekly'!$H$1:$CT$1,"&gt;="&amp;AP$1,'UX Weekly'!$H$1:$CT$1,"&lt;="&amp;EOMONTH(AP$1,0),'UX Weekly'!$H76:$CT76,"&lt;&gt;"))</f>
        <v>0</v>
      </c>
      <c r="AQ76">
        <f>IF($B76="",0,COUNTIFS('UX Weekly'!$H$1:$CT$1,"&gt;="&amp;AQ$1,'UX Weekly'!$H$1:$CT$1,"&lt;="&amp;EOMONTH(AQ$1,0),'UX Weekly'!$H76:$CT76,"&lt;&gt;"))</f>
        <v>0</v>
      </c>
      <c r="AR76">
        <f>IF($B76="",0,COUNTIFS('UX Weekly'!$H$1:$CT$1,"&gt;="&amp;AR$1,'UX Weekly'!$H$1:$CT$1,"&lt;="&amp;EOMONTH(AR$1,0),'UX Weekly'!$H76:$CT76,"&lt;&gt;"))</f>
        <v>0</v>
      </c>
      <c r="AS76">
        <f>IF($B76="",0,COUNTIFS('UX Weekly'!$H$1:$CT$1,"&gt;="&amp;AS$1,'UX Weekly'!$H$1:$CT$1,"&lt;="&amp;EOMONTH(AS$1,0),'UX Weekly'!$H76:$CT76,"&lt;&gt;"))</f>
        <v>0</v>
      </c>
      <c r="AT76">
        <f>IF($B76="",0,COUNTIFS('UX Weekly'!$H$1:$CT$1,"&gt;="&amp;AT$1,'UX Weekly'!$H$1:$CT$1,"&lt;="&amp;EOMONTH(AT$1,0),'UX Weekly'!$H76:$CT76,"&lt;&gt;"))</f>
        <v>0</v>
      </c>
      <c r="AU76">
        <f>IF($B76="",0,COUNTIFS('UX Weekly'!$H$1:$CT$1,"&gt;="&amp;AU$1,'UX Weekly'!$H$1:$CT$1,"&lt;="&amp;EOMONTH(AU$1,0),'UX Weekly'!$H76:$CT76,"&lt;&gt;"))</f>
        <v>0</v>
      </c>
      <c r="AV76">
        <f>IF($B76="",0,COUNTIFS('UX Weekly'!$H$1:$CT$1,"&gt;="&amp;AV$1,'UX Weekly'!$H$1:$CT$1,"&lt;="&amp;EOMONTH(AV$1,0),'UX Weekly'!$H76:$CT76,"&lt;&gt;"))</f>
        <v>0</v>
      </c>
      <c r="AW76">
        <f>IF($B76="",0,COUNTIFS('UX Weekly'!$H$1:$CT$1,"&gt;="&amp;AW$1,'UX Weekly'!$H$1:$CT$1,"&lt;="&amp;EOMONTH(AW$1,0),'UX Weekly'!$H76:$CT76,"&lt;&gt;"))</f>
        <v>0</v>
      </c>
      <c r="AX76">
        <f>IF($B76="",0,COUNTIFS('UX Weekly'!$H$1:$CT$1,"&gt;="&amp;AX$1,'UX Weekly'!$H$1:$CT$1,"&lt;="&amp;EOMONTH(AX$1,0),'UX Weekly'!$H76:$CT76,"&lt;&gt;"))</f>
        <v>0</v>
      </c>
    </row>
    <row r="77" spans="1:50" x14ac:dyDescent="0.2">
      <c r="A77" s="152">
        <v>77</v>
      </c>
      <c r="B77" s="152" t="str">
        <f>IF(TRIM('UX Weekly'!E77)="","",TRIM('UX Weekly'!E77))</f>
        <v/>
      </c>
      <c r="C77" s="152" t="str">
        <f>IF($B77="","",'UX Weekly'!B77)</f>
        <v/>
      </c>
      <c r="D77" s="152" t="str">
        <f>IF($B77="","",IF(TRIM('UX Weekly'!C77)="","(No theme assigned)",TRIM('UX Weekly'!C77)))</f>
        <v/>
      </c>
      <c r="E77" s="152" t="str">
        <f>IF($B77="","",TRIM('UX Weekly'!F77))</f>
        <v/>
      </c>
      <c r="F77" s="152" t="str">
        <f>IF($B77="","",'UX Weekly'!G77)</f>
        <v/>
      </c>
      <c r="G77" s="153" t="str">
        <f t="array" ref="G77">IF($B77="","",IF($T77=0,"",IFERROR(MIN(IF('UX Weekly'!$H77:$CT77&lt;&gt;"",'UX Weekly'!$H$1:$CT$1)),"")))</f>
        <v/>
      </c>
      <c r="H77" s="153" t="str">
        <f t="array" ref="H77">IF($B77="","",IF($T77=0,"",IFERROR(MAX(IF('UX Weekly'!$H77:$CT77&lt;&gt;"",'UX Weekly'!$H$1:$CT$1)),"")))</f>
        <v/>
      </c>
      <c r="I77" s="154" t="str">
        <f t="shared" ca="1" si="14"/>
        <v/>
      </c>
      <c r="J77" s="154" t="str">
        <f t="shared" ca="1" si="15"/>
        <v/>
      </c>
      <c r="K77" s="152" t="str">
        <f>IF($B77="","",IF(COUNTA('Dev Tracker'!L77)=0,"",TRIM('Dev Tracker'!L77)))</f>
        <v/>
      </c>
      <c r="L77" s="152" t="str">
        <f>IF($B77="","",IFERROR(MATCH($D77,Control!$E$4:$E$30,0),99))</f>
        <v/>
      </c>
      <c r="M77" s="152" t="str">
        <f>IF($B77="","",IFERROR(MATCH($F77,Control!$B$4:$B$30,0),99))</f>
        <v/>
      </c>
      <c r="N77" s="152" t="str">
        <f>IF($V77&lt;&gt;1,"",IF('Roadmap (Auto)'!$D$3="Status, then Theme",$M77*1000000+$L77*10000+ROW(),IF('Roadmap (Auto)'!$D$3="Dev start (earliest)",IF($I77="",99999999,$I77)*10000+ROW(),IF('Roadmap (Auto)'!$D$3="UX start (earliest)",IF($G77="",99999999,$G77)*10000+ROW(),IF('Roadmap (Auto)'!$D$3="Deliverable A-Z",$W77*10000+ROW(),$L77*1000000+$M77*10000+ROW())))))</f>
        <v/>
      </c>
      <c r="O77" s="152" t="str">
        <f t="shared" si="16"/>
        <v/>
      </c>
      <c r="P77" s="152" t="str">
        <f>IF($B77="","",IF(COUNTA('Dev Tracker'!I77)=0,"",'Dev Tracker'!I77))</f>
        <v/>
      </c>
      <c r="Q77" s="152" t="str">
        <f>IF($B77="","",IF(COUNTA('Dev Tracker'!J77)=0,"",'Dev Tracker'!J77))</f>
        <v/>
      </c>
      <c r="R77" s="154" t="str">
        <f t="shared" ca="1" si="17"/>
        <v/>
      </c>
      <c r="S77" s="154" t="str">
        <f t="shared" ca="1" si="18"/>
        <v/>
      </c>
      <c r="T77" s="152" t="str">
        <f>IF($B77="","",COUNTA('UX Weekly'!$H77:$CT77))</f>
        <v/>
      </c>
      <c r="U77" s="152" t="str">
        <f>IF($B77="","",IFERROR(MATCH($D77,Control!$E$4:$E$30,0)+3,0))</f>
        <v/>
      </c>
      <c r="V77" s="152" t="str">
        <f>IF($B77="","",IF(AND(OR('Roadmap (Auto)'!$A$3="",'Roadmap (Auto)'!$A$3="(All)",ISNUMBER(SEARCH('Roadmap (Auto)'!$A$3,$C77&amp;""))),OR('Roadmap (Auto)'!$B$3="",'Roadmap (Auto)'!$B$3="(All)",$D77='Roadmap (Auto)'!$B$3,$X77='Roadmap (Auto)'!$B$3),OR('Roadmap (Auto)'!$C$3="",'Roadmap (Auto)'!$C$3="(All)",$F77='Roadmap (Auto)'!$C$3)),1,0))</f>
        <v/>
      </c>
      <c r="W77" s="152" t="str">
        <f t="shared" si="19"/>
        <v/>
      </c>
      <c r="X77" s="152" t="str">
        <f>IF($B77="","",IF(TRIM('UX Weekly'!D77)="","",TRIM('UX Weekly'!D77)))</f>
        <v/>
      </c>
      <c r="Y77" s="152" t="str">
        <f t="shared" si="20"/>
        <v/>
      </c>
      <c r="AA77">
        <f>IF($B77="",0,COUNTIFS('UX Weekly'!$H$1:$CT$1,"&gt;="&amp;AA$1,'UX Weekly'!$H$1:$CT$1,"&lt;="&amp;EOMONTH(AA$1,0),'UX Weekly'!$H77:$CT77,"&lt;&gt;"))</f>
        <v>0</v>
      </c>
      <c r="AB77">
        <f>IF($B77="",0,COUNTIFS('UX Weekly'!$H$1:$CT$1,"&gt;="&amp;AB$1,'UX Weekly'!$H$1:$CT$1,"&lt;="&amp;EOMONTH(AB$1,0),'UX Weekly'!$H77:$CT77,"&lt;&gt;"))</f>
        <v>0</v>
      </c>
      <c r="AC77">
        <f>IF($B77="",0,COUNTIFS('UX Weekly'!$H$1:$CT$1,"&gt;="&amp;AC$1,'UX Weekly'!$H$1:$CT$1,"&lt;="&amp;EOMONTH(AC$1,0),'UX Weekly'!$H77:$CT77,"&lt;&gt;"))</f>
        <v>0</v>
      </c>
      <c r="AD77">
        <f>IF($B77="",0,COUNTIFS('UX Weekly'!$H$1:$CT$1,"&gt;="&amp;AD$1,'UX Weekly'!$H$1:$CT$1,"&lt;="&amp;EOMONTH(AD$1,0),'UX Weekly'!$H77:$CT77,"&lt;&gt;"))</f>
        <v>0</v>
      </c>
      <c r="AE77">
        <f>IF($B77="",0,COUNTIFS('UX Weekly'!$H$1:$CT$1,"&gt;="&amp;AE$1,'UX Weekly'!$H$1:$CT$1,"&lt;="&amp;EOMONTH(AE$1,0),'UX Weekly'!$H77:$CT77,"&lt;&gt;"))</f>
        <v>0</v>
      </c>
      <c r="AF77">
        <f>IF($B77="",0,COUNTIFS('UX Weekly'!$H$1:$CT$1,"&gt;="&amp;AF$1,'UX Weekly'!$H$1:$CT$1,"&lt;="&amp;EOMONTH(AF$1,0),'UX Weekly'!$H77:$CT77,"&lt;&gt;"))</f>
        <v>0</v>
      </c>
      <c r="AG77">
        <f>IF($B77="",0,COUNTIFS('UX Weekly'!$H$1:$CT$1,"&gt;="&amp;AG$1,'UX Weekly'!$H$1:$CT$1,"&lt;="&amp;EOMONTH(AG$1,0),'UX Weekly'!$H77:$CT77,"&lt;&gt;"))</f>
        <v>0</v>
      </c>
      <c r="AH77">
        <f>IF($B77="",0,COUNTIFS('UX Weekly'!$H$1:$CT$1,"&gt;="&amp;AH$1,'UX Weekly'!$H$1:$CT$1,"&lt;="&amp;EOMONTH(AH$1,0),'UX Weekly'!$H77:$CT77,"&lt;&gt;"))</f>
        <v>0</v>
      </c>
      <c r="AI77">
        <f>IF($B77="",0,COUNTIFS('UX Weekly'!$H$1:$CT$1,"&gt;="&amp;AI$1,'UX Weekly'!$H$1:$CT$1,"&lt;="&amp;EOMONTH(AI$1,0),'UX Weekly'!$H77:$CT77,"&lt;&gt;"))</f>
        <v>0</v>
      </c>
      <c r="AJ77">
        <f>IF($B77="",0,COUNTIFS('UX Weekly'!$H$1:$CT$1,"&gt;="&amp;AJ$1,'UX Weekly'!$H$1:$CT$1,"&lt;="&amp;EOMONTH(AJ$1,0),'UX Weekly'!$H77:$CT77,"&lt;&gt;"))</f>
        <v>0</v>
      </c>
      <c r="AK77">
        <f>IF($B77="",0,COUNTIFS('UX Weekly'!$H$1:$CT$1,"&gt;="&amp;AK$1,'UX Weekly'!$H$1:$CT$1,"&lt;="&amp;EOMONTH(AK$1,0),'UX Weekly'!$H77:$CT77,"&lt;&gt;"))</f>
        <v>0</v>
      </c>
      <c r="AL77">
        <f>IF($B77="",0,COUNTIFS('UX Weekly'!$H$1:$CT$1,"&gt;="&amp;AL$1,'UX Weekly'!$H$1:$CT$1,"&lt;="&amp;EOMONTH(AL$1,0),'UX Weekly'!$H77:$CT77,"&lt;&gt;"))</f>
        <v>0</v>
      </c>
      <c r="AM77">
        <f>IF($B77="",0,COUNTIFS('UX Weekly'!$H$1:$CT$1,"&gt;="&amp;AM$1,'UX Weekly'!$H$1:$CT$1,"&lt;="&amp;EOMONTH(AM$1,0),'UX Weekly'!$H77:$CT77,"&lt;&gt;"))</f>
        <v>0</v>
      </c>
      <c r="AN77">
        <f>IF($B77="",0,COUNTIFS('UX Weekly'!$H$1:$CT$1,"&gt;="&amp;AN$1,'UX Weekly'!$H$1:$CT$1,"&lt;="&amp;EOMONTH(AN$1,0),'UX Weekly'!$H77:$CT77,"&lt;&gt;"))</f>
        <v>0</v>
      </c>
      <c r="AO77">
        <f>IF($B77="",0,COUNTIFS('UX Weekly'!$H$1:$CT$1,"&gt;="&amp;AO$1,'UX Weekly'!$H$1:$CT$1,"&lt;="&amp;EOMONTH(AO$1,0),'UX Weekly'!$H77:$CT77,"&lt;&gt;"))</f>
        <v>0</v>
      </c>
      <c r="AP77">
        <f>IF($B77="",0,COUNTIFS('UX Weekly'!$H$1:$CT$1,"&gt;="&amp;AP$1,'UX Weekly'!$H$1:$CT$1,"&lt;="&amp;EOMONTH(AP$1,0),'UX Weekly'!$H77:$CT77,"&lt;&gt;"))</f>
        <v>0</v>
      </c>
      <c r="AQ77">
        <f>IF($B77="",0,COUNTIFS('UX Weekly'!$H$1:$CT$1,"&gt;="&amp;AQ$1,'UX Weekly'!$H$1:$CT$1,"&lt;="&amp;EOMONTH(AQ$1,0),'UX Weekly'!$H77:$CT77,"&lt;&gt;"))</f>
        <v>0</v>
      </c>
      <c r="AR77">
        <f>IF($B77="",0,COUNTIFS('UX Weekly'!$H$1:$CT$1,"&gt;="&amp;AR$1,'UX Weekly'!$H$1:$CT$1,"&lt;="&amp;EOMONTH(AR$1,0),'UX Weekly'!$H77:$CT77,"&lt;&gt;"))</f>
        <v>0</v>
      </c>
      <c r="AS77">
        <f>IF($B77="",0,COUNTIFS('UX Weekly'!$H$1:$CT$1,"&gt;="&amp;AS$1,'UX Weekly'!$H$1:$CT$1,"&lt;="&amp;EOMONTH(AS$1,0),'UX Weekly'!$H77:$CT77,"&lt;&gt;"))</f>
        <v>0</v>
      </c>
      <c r="AT77">
        <f>IF($B77="",0,COUNTIFS('UX Weekly'!$H$1:$CT$1,"&gt;="&amp;AT$1,'UX Weekly'!$H$1:$CT$1,"&lt;="&amp;EOMONTH(AT$1,0),'UX Weekly'!$H77:$CT77,"&lt;&gt;"))</f>
        <v>0</v>
      </c>
      <c r="AU77">
        <f>IF($B77="",0,COUNTIFS('UX Weekly'!$H$1:$CT$1,"&gt;="&amp;AU$1,'UX Weekly'!$H$1:$CT$1,"&lt;="&amp;EOMONTH(AU$1,0),'UX Weekly'!$H77:$CT77,"&lt;&gt;"))</f>
        <v>0</v>
      </c>
      <c r="AV77">
        <f>IF($B77="",0,COUNTIFS('UX Weekly'!$H$1:$CT$1,"&gt;="&amp;AV$1,'UX Weekly'!$H$1:$CT$1,"&lt;="&amp;EOMONTH(AV$1,0),'UX Weekly'!$H77:$CT77,"&lt;&gt;"))</f>
        <v>0</v>
      </c>
      <c r="AW77">
        <f>IF($B77="",0,COUNTIFS('UX Weekly'!$H$1:$CT$1,"&gt;="&amp;AW$1,'UX Weekly'!$H$1:$CT$1,"&lt;="&amp;EOMONTH(AW$1,0),'UX Weekly'!$H77:$CT77,"&lt;&gt;"))</f>
        <v>0</v>
      </c>
      <c r="AX77">
        <f>IF($B77="",0,COUNTIFS('UX Weekly'!$H$1:$CT$1,"&gt;="&amp;AX$1,'UX Weekly'!$H$1:$CT$1,"&lt;="&amp;EOMONTH(AX$1,0),'UX Weekly'!$H77:$CT77,"&lt;&gt;"))</f>
        <v>0</v>
      </c>
    </row>
    <row r="78" spans="1:50" x14ac:dyDescent="0.2">
      <c r="A78" s="152">
        <v>78</v>
      </c>
      <c r="B78" s="152" t="str">
        <f>IF(TRIM('UX Weekly'!E78)="","",TRIM('UX Weekly'!E78))</f>
        <v/>
      </c>
      <c r="C78" s="152" t="str">
        <f>IF($B78="","",'UX Weekly'!B78)</f>
        <v/>
      </c>
      <c r="D78" s="152" t="str">
        <f>IF($B78="","",IF(TRIM('UX Weekly'!C78)="","(No theme assigned)",TRIM('UX Weekly'!C78)))</f>
        <v/>
      </c>
      <c r="E78" s="152" t="str">
        <f>IF($B78="","",TRIM('UX Weekly'!F78))</f>
        <v/>
      </c>
      <c r="F78" s="152" t="str">
        <f>IF($B78="","",'UX Weekly'!G78)</f>
        <v/>
      </c>
      <c r="G78" s="153" t="str">
        <f t="array" ref="G78">IF($B78="","",IF($T78=0,"",IFERROR(MIN(IF('UX Weekly'!$H78:$CT78&lt;&gt;"",'UX Weekly'!$H$1:$CT$1)),"")))</f>
        <v/>
      </c>
      <c r="H78" s="153" t="str">
        <f t="array" ref="H78">IF($B78="","",IF($T78=0,"",IFERROR(MAX(IF('UX Weekly'!$H78:$CT78&lt;&gt;"",'UX Weekly'!$H$1:$CT$1)),"")))</f>
        <v/>
      </c>
      <c r="I78" s="154" t="str">
        <f t="shared" ca="1" si="14"/>
        <v/>
      </c>
      <c r="J78" s="154" t="str">
        <f t="shared" ca="1" si="15"/>
        <v/>
      </c>
      <c r="K78" s="152" t="str">
        <f>IF($B78="","",IF(COUNTA('Dev Tracker'!L78)=0,"",TRIM('Dev Tracker'!L78)))</f>
        <v/>
      </c>
      <c r="L78" s="152" t="str">
        <f>IF($B78="","",IFERROR(MATCH($D78,Control!$E$4:$E$30,0),99))</f>
        <v/>
      </c>
      <c r="M78" s="152" t="str">
        <f>IF($B78="","",IFERROR(MATCH($F78,Control!$B$4:$B$30,0),99))</f>
        <v/>
      </c>
      <c r="N78" s="152" t="str">
        <f>IF($V78&lt;&gt;1,"",IF('Roadmap (Auto)'!$D$3="Status, then Theme",$M78*1000000+$L78*10000+ROW(),IF('Roadmap (Auto)'!$D$3="Dev start (earliest)",IF($I78="",99999999,$I78)*10000+ROW(),IF('Roadmap (Auto)'!$D$3="UX start (earliest)",IF($G78="",99999999,$G78)*10000+ROW(),IF('Roadmap (Auto)'!$D$3="Deliverable A-Z",$W78*10000+ROW(),$L78*1000000+$M78*10000+ROW())))))</f>
        <v/>
      </c>
      <c r="O78" s="152" t="str">
        <f t="shared" si="16"/>
        <v/>
      </c>
      <c r="P78" s="152" t="str">
        <f>IF($B78="","",IF(COUNTA('Dev Tracker'!I78)=0,"",'Dev Tracker'!I78))</f>
        <v/>
      </c>
      <c r="Q78" s="152" t="str">
        <f>IF($B78="","",IF(COUNTA('Dev Tracker'!J78)=0,"",'Dev Tracker'!J78))</f>
        <v/>
      </c>
      <c r="R78" s="154" t="str">
        <f t="shared" ca="1" si="17"/>
        <v/>
      </c>
      <c r="S78" s="154" t="str">
        <f t="shared" ca="1" si="18"/>
        <v/>
      </c>
      <c r="T78" s="152" t="str">
        <f>IF($B78="","",COUNTA('UX Weekly'!$H78:$CT78))</f>
        <v/>
      </c>
      <c r="U78" s="152" t="str">
        <f>IF($B78="","",IFERROR(MATCH($D78,Control!$E$4:$E$30,0)+3,0))</f>
        <v/>
      </c>
      <c r="V78" s="152" t="str">
        <f>IF($B78="","",IF(AND(OR('Roadmap (Auto)'!$A$3="",'Roadmap (Auto)'!$A$3="(All)",ISNUMBER(SEARCH('Roadmap (Auto)'!$A$3,$C78&amp;""))),OR('Roadmap (Auto)'!$B$3="",'Roadmap (Auto)'!$B$3="(All)",$D78='Roadmap (Auto)'!$B$3,$X78='Roadmap (Auto)'!$B$3),OR('Roadmap (Auto)'!$C$3="",'Roadmap (Auto)'!$C$3="(All)",$F78='Roadmap (Auto)'!$C$3)),1,0))</f>
        <v/>
      </c>
      <c r="W78" s="152" t="str">
        <f t="shared" si="19"/>
        <v/>
      </c>
      <c r="X78" s="152" t="str">
        <f>IF($B78="","",IF(TRIM('UX Weekly'!D78)="","",TRIM('UX Weekly'!D78)))</f>
        <v/>
      </c>
      <c r="Y78" s="152" t="str">
        <f t="shared" si="20"/>
        <v/>
      </c>
      <c r="AA78">
        <f>IF($B78="",0,COUNTIFS('UX Weekly'!$H$1:$CT$1,"&gt;="&amp;AA$1,'UX Weekly'!$H$1:$CT$1,"&lt;="&amp;EOMONTH(AA$1,0),'UX Weekly'!$H78:$CT78,"&lt;&gt;"))</f>
        <v>0</v>
      </c>
      <c r="AB78">
        <f>IF($B78="",0,COUNTIFS('UX Weekly'!$H$1:$CT$1,"&gt;="&amp;AB$1,'UX Weekly'!$H$1:$CT$1,"&lt;="&amp;EOMONTH(AB$1,0),'UX Weekly'!$H78:$CT78,"&lt;&gt;"))</f>
        <v>0</v>
      </c>
      <c r="AC78">
        <f>IF($B78="",0,COUNTIFS('UX Weekly'!$H$1:$CT$1,"&gt;="&amp;AC$1,'UX Weekly'!$H$1:$CT$1,"&lt;="&amp;EOMONTH(AC$1,0),'UX Weekly'!$H78:$CT78,"&lt;&gt;"))</f>
        <v>0</v>
      </c>
      <c r="AD78">
        <f>IF($B78="",0,COUNTIFS('UX Weekly'!$H$1:$CT$1,"&gt;="&amp;AD$1,'UX Weekly'!$H$1:$CT$1,"&lt;="&amp;EOMONTH(AD$1,0),'UX Weekly'!$H78:$CT78,"&lt;&gt;"))</f>
        <v>0</v>
      </c>
      <c r="AE78">
        <f>IF($B78="",0,COUNTIFS('UX Weekly'!$H$1:$CT$1,"&gt;="&amp;AE$1,'UX Weekly'!$H$1:$CT$1,"&lt;="&amp;EOMONTH(AE$1,0),'UX Weekly'!$H78:$CT78,"&lt;&gt;"))</f>
        <v>0</v>
      </c>
      <c r="AF78">
        <f>IF($B78="",0,COUNTIFS('UX Weekly'!$H$1:$CT$1,"&gt;="&amp;AF$1,'UX Weekly'!$H$1:$CT$1,"&lt;="&amp;EOMONTH(AF$1,0),'UX Weekly'!$H78:$CT78,"&lt;&gt;"))</f>
        <v>0</v>
      </c>
      <c r="AG78">
        <f>IF($B78="",0,COUNTIFS('UX Weekly'!$H$1:$CT$1,"&gt;="&amp;AG$1,'UX Weekly'!$H$1:$CT$1,"&lt;="&amp;EOMONTH(AG$1,0),'UX Weekly'!$H78:$CT78,"&lt;&gt;"))</f>
        <v>0</v>
      </c>
      <c r="AH78">
        <f>IF($B78="",0,COUNTIFS('UX Weekly'!$H$1:$CT$1,"&gt;="&amp;AH$1,'UX Weekly'!$H$1:$CT$1,"&lt;="&amp;EOMONTH(AH$1,0),'UX Weekly'!$H78:$CT78,"&lt;&gt;"))</f>
        <v>0</v>
      </c>
      <c r="AI78">
        <f>IF($B78="",0,COUNTIFS('UX Weekly'!$H$1:$CT$1,"&gt;="&amp;AI$1,'UX Weekly'!$H$1:$CT$1,"&lt;="&amp;EOMONTH(AI$1,0),'UX Weekly'!$H78:$CT78,"&lt;&gt;"))</f>
        <v>0</v>
      </c>
      <c r="AJ78">
        <f>IF($B78="",0,COUNTIFS('UX Weekly'!$H$1:$CT$1,"&gt;="&amp;AJ$1,'UX Weekly'!$H$1:$CT$1,"&lt;="&amp;EOMONTH(AJ$1,0),'UX Weekly'!$H78:$CT78,"&lt;&gt;"))</f>
        <v>0</v>
      </c>
      <c r="AK78">
        <f>IF($B78="",0,COUNTIFS('UX Weekly'!$H$1:$CT$1,"&gt;="&amp;AK$1,'UX Weekly'!$H$1:$CT$1,"&lt;="&amp;EOMONTH(AK$1,0),'UX Weekly'!$H78:$CT78,"&lt;&gt;"))</f>
        <v>0</v>
      </c>
      <c r="AL78">
        <f>IF($B78="",0,COUNTIFS('UX Weekly'!$H$1:$CT$1,"&gt;="&amp;AL$1,'UX Weekly'!$H$1:$CT$1,"&lt;="&amp;EOMONTH(AL$1,0),'UX Weekly'!$H78:$CT78,"&lt;&gt;"))</f>
        <v>0</v>
      </c>
      <c r="AM78">
        <f>IF($B78="",0,COUNTIFS('UX Weekly'!$H$1:$CT$1,"&gt;="&amp;AM$1,'UX Weekly'!$H$1:$CT$1,"&lt;="&amp;EOMONTH(AM$1,0),'UX Weekly'!$H78:$CT78,"&lt;&gt;"))</f>
        <v>0</v>
      </c>
      <c r="AN78">
        <f>IF($B78="",0,COUNTIFS('UX Weekly'!$H$1:$CT$1,"&gt;="&amp;AN$1,'UX Weekly'!$H$1:$CT$1,"&lt;="&amp;EOMONTH(AN$1,0),'UX Weekly'!$H78:$CT78,"&lt;&gt;"))</f>
        <v>0</v>
      </c>
      <c r="AO78">
        <f>IF($B78="",0,COUNTIFS('UX Weekly'!$H$1:$CT$1,"&gt;="&amp;AO$1,'UX Weekly'!$H$1:$CT$1,"&lt;="&amp;EOMONTH(AO$1,0),'UX Weekly'!$H78:$CT78,"&lt;&gt;"))</f>
        <v>0</v>
      </c>
      <c r="AP78">
        <f>IF($B78="",0,COUNTIFS('UX Weekly'!$H$1:$CT$1,"&gt;="&amp;AP$1,'UX Weekly'!$H$1:$CT$1,"&lt;="&amp;EOMONTH(AP$1,0),'UX Weekly'!$H78:$CT78,"&lt;&gt;"))</f>
        <v>0</v>
      </c>
      <c r="AQ78">
        <f>IF($B78="",0,COUNTIFS('UX Weekly'!$H$1:$CT$1,"&gt;="&amp;AQ$1,'UX Weekly'!$H$1:$CT$1,"&lt;="&amp;EOMONTH(AQ$1,0),'UX Weekly'!$H78:$CT78,"&lt;&gt;"))</f>
        <v>0</v>
      </c>
      <c r="AR78">
        <f>IF($B78="",0,COUNTIFS('UX Weekly'!$H$1:$CT$1,"&gt;="&amp;AR$1,'UX Weekly'!$H$1:$CT$1,"&lt;="&amp;EOMONTH(AR$1,0),'UX Weekly'!$H78:$CT78,"&lt;&gt;"))</f>
        <v>0</v>
      </c>
      <c r="AS78">
        <f>IF($B78="",0,COUNTIFS('UX Weekly'!$H$1:$CT$1,"&gt;="&amp;AS$1,'UX Weekly'!$H$1:$CT$1,"&lt;="&amp;EOMONTH(AS$1,0),'UX Weekly'!$H78:$CT78,"&lt;&gt;"))</f>
        <v>0</v>
      </c>
      <c r="AT78">
        <f>IF($B78="",0,COUNTIFS('UX Weekly'!$H$1:$CT$1,"&gt;="&amp;AT$1,'UX Weekly'!$H$1:$CT$1,"&lt;="&amp;EOMONTH(AT$1,0),'UX Weekly'!$H78:$CT78,"&lt;&gt;"))</f>
        <v>0</v>
      </c>
      <c r="AU78">
        <f>IF($B78="",0,COUNTIFS('UX Weekly'!$H$1:$CT$1,"&gt;="&amp;AU$1,'UX Weekly'!$H$1:$CT$1,"&lt;="&amp;EOMONTH(AU$1,0),'UX Weekly'!$H78:$CT78,"&lt;&gt;"))</f>
        <v>0</v>
      </c>
      <c r="AV78">
        <f>IF($B78="",0,COUNTIFS('UX Weekly'!$H$1:$CT$1,"&gt;="&amp;AV$1,'UX Weekly'!$H$1:$CT$1,"&lt;="&amp;EOMONTH(AV$1,0),'UX Weekly'!$H78:$CT78,"&lt;&gt;"))</f>
        <v>0</v>
      </c>
      <c r="AW78">
        <f>IF($B78="",0,COUNTIFS('UX Weekly'!$H$1:$CT$1,"&gt;="&amp;AW$1,'UX Weekly'!$H$1:$CT$1,"&lt;="&amp;EOMONTH(AW$1,0),'UX Weekly'!$H78:$CT78,"&lt;&gt;"))</f>
        <v>0</v>
      </c>
      <c r="AX78">
        <f>IF($B78="",0,COUNTIFS('UX Weekly'!$H$1:$CT$1,"&gt;="&amp;AX$1,'UX Weekly'!$H$1:$CT$1,"&lt;="&amp;EOMONTH(AX$1,0),'UX Weekly'!$H78:$CT78,"&lt;&gt;"))</f>
        <v>0</v>
      </c>
    </row>
    <row r="79" spans="1:50" x14ac:dyDescent="0.2">
      <c r="A79" s="152">
        <v>79</v>
      </c>
      <c r="B79" s="152" t="str">
        <f>IF(TRIM('UX Weekly'!E79)="","",TRIM('UX Weekly'!E79))</f>
        <v/>
      </c>
      <c r="C79" s="152" t="str">
        <f>IF($B79="","",'UX Weekly'!B79)</f>
        <v/>
      </c>
      <c r="D79" s="152" t="str">
        <f>IF($B79="","",IF(TRIM('UX Weekly'!C79)="","(No theme assigned)",TRIM('UX Weekly'!C79)))</f>
        <v/>
      </c>
      <c r="E79" s="152" t="str">
        <f>IF($B79="","",TRIM('UX Weekly'!F79))</f>
        <v/>
      </c>
      <c r="F79" s="152" t="str">
        <f>IF($B79="","",'UX Weekly'!G79)</f>
        <v/>
      </c>
      <c r="G79" s="153" t="str">
        <f t="array" ref="G79">IF($B79="","",IF($T79=0,"",IFERROR(MIN(IF('UX Weekly'!$H79:$CT79&lt;&gt;"",'UX Weekly'!$H$1:$CT$1)),"")))</f>
        <v/>
      </c>
      <c r="H79" s="153" t="str">
        <f t="array" ref="H79">IF($B79="","",IF($T79=0,"",IFERROR(MAX(IF('UX Weekly'!$H79:$CT79&lt;&gt;"",'UX Weekly'!$H$1:$CT$1)),"")))</f>
        <v/>
      </c>
      <c r="I79" s="154" t="str">
        <f t="shared" ca="1" si="14"/>
        <v/>
      </c>
      <c r="J79" s="154" t="str">
        <f t="shared" ca="1" si="15"/>
        <v/>
      </c>
      <c r="K79" s="152" t="str">
        <f>IF($B79="","",IF(COUNTA('Dev Tracker'!L79)=0,"",TRIM('Dev Tracker'!L79)))</f>
        <v/>
      </c>
      <c r="L79" s="152" t="str">
        <f>IF($B79="","",IFERROR(MATCH($D79,Control!$E$4:$E$30,0),99))</f>
        <v/>
      </c>
      <c r="M79" s="152" t="str">
        <f>IF($B79="","",IFERROR(MATCH($F79,Control!$B$4:$B$30,0),99))</f>
        <v/>
      </c>
      <c r="N79" s="152" t="str">
        <f>IF($V79&lt;&gt;1,"",IF('Roadmap (Auto)'!$D$3="Status, then Theme",$M79*1000000+$L79*10000+ROW(),IF('Roadmap (Auto)'!$D$3="Dev start (earliest)",IF($I79="",99999999,$I79)*10000+ROW(),IF('Roadmap (Auto)'!$D$3="UX start (earliest)",IF($G79="",99999999,$G79)*10000+ROW(),IF('Roadmap (Auto)'!$D$3="Deliverable A-Z",$W79*10000+ROW(),$L79*1000000+$M79*10000+ROW())))))</f>
        <v/>
      </c>
      <c r="O79" s="152" t="str">
        <f t="shared" si="16"/>
        <v/>
      </c>
      <c r="P79" s="152" t="str">
        <f>IF($B79="","",IF(COUNTA('Dev Tracker'!I79)=0,"",'Dev Tracker'!I79))</f>
        <v/>
      </c>
      <c r="Q79" s="152" t="str">
        <f>IF($B79="","",IF(COUNTA('Dev Tracker'!J79)=0,"",'Dev Tracker'!J79))</f>
        <v/>
      </c>
      <c r="R79" s="154" t="str">
        <f t="shared" ca="1" si="17"/>
        <v/>
      </c>
      <c r="S79" s="154" t="str">
        <f t="shared" ca="1" si="18"/>
        <v/>
      </c>
      <c r="T79" s="152" t="str">
        <f>IF($B79="","",COUNTA('UX Weekly'!$H79:$CT79))</f>
        <v/>
      </c>
      <c r="U79" s="152" t="str">
        <f>IF($B79="","",IFERROR(MATCH($D79,Control!$E$4:$E$30,0)+3,0))</f>
        <v/>
      </c>
      <c r="V79" s="152" t="str">
        <f>IF($B79="","",IF(AND(OR('Roadmap (Auto)'!$A$3="",'Roadmap (Auto)'!$A$3="(All)",ISNUMBER(SEARCH('Roadmap (Auto)'!$A$3,$C79&amp;""))),OR('Roadmap (Auto)'!$B$3="",'Roadmap (Auto)'!$B$3="(All)",$D79='Roadmap (Auto)'!$B$3,$X79='Roadmap (Auto)'!$B$3),OR('Roadmap (Auto)'!$C$3="",'Roadmap (Auto)'!$C$3="(All)",$F79='Roadmap (Auto)'!$C$3)),1,0))</f>
        <v/>
      </c>
      <c r="W79" s="152" t="str">
        <f t="shared" si="19"/>
        <v/>
      </c>
      <c r="X79" s="152" t="str">
        <f>IF($B79="","",IF(TRIM('UX Weekly'!D79)="","",TRIM('UX Weekly'!D79)))</f>
        <v/>
      </c>
      <c r="Y79" s="152" t="str">
        <f t="shared" si="20"/>
        <v/>
      </c>
      <c r="AA79">
        <f>IF($B79="",0,COUNTIFS('UX Weekly'!$H$1:$CT$1,"&gt;="&amp;AA$1,'UX Weekly'!$H$1:$CT$1,"&lt;="&amp;EOMONTH(AA$1,0),'UX Weekly'!$H79:$CT79,"&lt;&gt;"))</f>
        <v>0</v>
      </c>
      <c r="AB79">
        <f>IF($B79="",0,COUNTIFS('UX Weekly'!$H$1:$CT$1,"&gt;="&amp;AB$1,'UX Weekly'!$H$1:$CT$1,"&lt;="&amp;EOMONTH(AB$1,0),'UX Weekly'!$H79:$CT79,"&lt;&gt;"))</f>
        <v>0</v>
      </c>
      <c r="AC79">
        <f>IF($B79="",0,COUNTIFS('UX Weekly'!$H$1:$CT$1,"&gt;="&amp;AC$1,'UX Weekly'!$H$1:$CT$1,"&lt;="&amp;EOMONTH(AC$1,0),'UX Weekly'!$H79:$CT79,"&lt;&gt;"))</f>
        <v>0</v>
      </c>
      <c r="AD79">
        <f>IF($B79="",0,COUNTIFS('UX Weekly'!$H$1:$CT$1,"&gt;="&amp;AD$1,'UX Weekly'!$H$1:$CT$1,"&lt;="&amp;EOMONTH(AD$1,0),'UX Weekly'!$H79:$CT79,"&lt;&gt;"))</f>
        <v>0</v>
      </c>
      <c r="AE79">
        <f>IF($B79="",0,COUNTIFS('UX Weekly'!$H$1:$CT$1,"&gt;="&amp;AE$1,'UX Weekly'!$H$1:$CT$1,"&lt;="&amp;EOMONTH(AE$1,0),'UX Weekly'!$H79:$CT79,"&lt;&gt;"))</f>
        <v>0</v>
      </c>
      <c r="AF79">
        <f>IF($B79="",0,COUNTIFS('UX Weekly'!$H$1:$CT$1,"&gt;="&amp;AF$1,'UX Weekly'!$H$1:$CT$1,"&lt;="&amp;EOMONTH(AF$1,0),'UX Weekly'!$H79:$CT79,"&lt;&gt;"))</f>
        <v>0</v>
      </c>
      <c r="AG79">
        <f>IF($B79="",0,COUNTIFS('UX Weekly'!$H$1:$CT$1,"&gt;="&amp;AG$1,'UX Weekly'!$H$1:$CT$1,"&lt;="&amp;EOMONTH(AG$1,0),'UX Weekly'!$H79:$CT79,"&lt;&gt;"))</f>
        <v>0</v>
      </c>
      <c r="AH79">
        <f>IF($B79="",0,COUNTIFS('UX Weekly'!$H$1:$CT$1,"&gt;="&amp;AH$1,'UX Weekly'!$H$1:$CT$1,"&lt;="&amp;EOMONTH(AH$1,0),'UX Weekly'!$H79:$CT79,"&lt;&gt;"))</f>
        <v>0</v>
      </c>
      <c r="AI79">
        <f>IF($B79="",0,COUNTIFS('UX Weekly'!$H$1:$CT$1,"&gt;="&amp;AI$1,'UX Weekly'!$H$1:$CT$1,"&lt;="&amp;EOMONTH(AI$1,0),'UX Weekly'!$H79:$CT79,"&lt;&gt;"))</f>
        <v>0</v>
      </c>
      <c r="AJ79">
        <f>IF($B79="",0,COUNTIFS('UX Weekly'!$H$1:$CT$1,"&gt;="&amp;AJ$1,'UX Weekly'!$H$1:$CT$1,"&lt;="&amp;EOMONTH(AJ$1,0),'UX Weekly'!$H79:$CT79,"&lt;&gt;"))</f>
        <v>0</v>
      </c>
      <c r="AK79">
        <f>IF($B79="",0,COUNTIFS('UX Weekly'!$H$1:$CT$1,"&gt;="&amp;AK$1,'UX Weekly'!$H$1:$CT$1,"&lt;="&amp;EOMONTH(AK$1,0),'UX Weekly'!$H79:$CT79,"&lt;&gt;"))</f>
        <v>0</v>
      </c>
      <c r="AL79">
        <f>IF($B79="",0,COUNTIFS('UX Weekly'!$H$1:$CT$1,"&gt;="&amp;AL$1,'UX Weekly'!$H$1:$CT$1,"&lt;="&amp;EOMONTH(AL$1,0),'UX Weekly'!$H79:$CT79,"&lt;&gt;"))</f>
        <v>0</v>
      </c>
      <c r="AM79">
        <f>IF($B79="",0,COUNTIFS('UX Weekly'!$H$1:$CT$1,"&gt;="&amp;AM$1,'UX Weekly'!$H$1:$CT$1,"&lt;="&amp;EOMONTH(AM$1,0),'UX Weekly'!$H79:$CT79,"&lt;&gt;"))</f>
        <v>0</v>
      </c>
      <c r="AN79">
        <f>IF($B79="",0,COUNTIFS('UX Weekly'!$H$1:$CT$1,"&gt;="&amp;AN$1,'UX Weekly'!$H$1:$CT$1,"&lt;="&amp;EOMONTH(AN$1,0),'UX Weekly'!$H79:$CT79,"&lt;&gt;"))</f>
        <v>0</v>
      </c>
      <c r="AO79">
        <f>IF($B79="",0,COUNTIFS('UX Weekly'!$H$1:$CT$1,"&gt;="&amp;AO$1,'UX Weekly'!$H$1:$CT$1,"&lt;="&amp;EOMONTH(AO$1,0),'UX Weekly'!$H79:$CT79,"&lt;&gt;"))</f>
        <v>0</v>
      </c>
      <c r="AP79">
        <f>IF($B79="",0,COUNTIFS('UX Weekly'!$H$1:$CT$1,"&gt;="&amp;AP$1,'UX Weekly'!$H$1:$CT$1,"&lt;="&amp;EOMONTH(AP$1,0),'UX Weekly'!$H79:$CT79,"&lt;&gt;"))</f>
        <v>0</v>
      </c>
      <c r="AQ79">
        <f>IF($B79="",0,COUNTIFS('UX Weekly'!$H$1:$CT$1,"&gt;="&amp;AQ$1,'UX Weekly'!$H$1:$CT$1,"&lt;="&amp;EOMONTH(AQ$1,0),'UX Weekly'!$H79:$CT79,"&lt;&gt;"))</f>
        <v>0</v>
      </c>
      <c r="AR79">
        <f>IF($B79="",0,COUNTIFS('UX Weekly'!$H$1:$CT$1,"&gt;="&amp;AR$1,'UX Weekly'!$H$1:$CT$1,"&lt;="&amp;EOMONTH(AR$1,0),'UX Weekly'!$H79:$CT79,"&lt;&gt;"))</f>
        <v>0</v>
      </c>
      <c r="AS79">
        <f>IF($B79="",0,COUNTIFS('UX Weekly'!$H$1:$CT$1,"&gt;="&amp;AS$1,'UX Weekly'!$H$1:$CT$1,"&lt;="&amp;EOMONTH(AS$1,0),'UX Weekly'!$H79:$CT79,"&lt;&gt;"))</f>
        <v>0</v>
      </c>
      <c r="AT79">
        <f>IF($B79="",0,COUNTIFS('UX Weekly'!$H$1:$CT$1,"&gt;="&amp;AT$1,'UX Weekly'!$H$1:$CT$1,"&lt;="&amp;EOMONTH(AT$1,0),'UX Weekly'!$H79:$CT79,"&lt;&gt;"))</f>
        <v>0</v>
      </c>
      <c r="AU79">
        <f>IF($B79="",0,COUNTIFS('UX Weekly'!$H$1:$CT$1,"&gt;="&amp;AU$1,'UX Weekly'!$H$1:$CT$1,"&lt;="&amp;EOMONTH(AU$1,0),'UX Weekly'!$H79:$CT79,"&lt;&gt;"))</f>
        <v>0</v>
      </c>
      <c r="AV79">
        <f>IF($B79="",0,COUNTIFS('UX Weekly'!$H$1:$CT$1,"&gt;="&amp;AV$1,'UX Weekly'!$H$1:$CT$1,"&lt;="&amp;EOMONTH(AV$1,0),'UX Weekly'!$H79:$CT79,"&lt;&gt;"))</f>
        <v>0</v>
      </c>
      <c r="AW79">
        <f>IF($B79="",0,COUNTIFS('UX Weekly'!$H$1:$CT$1,"&gt;="&amp;AW$1,'UX Weekly'!$H$1:$CT$1,"&lt;="&amp;EOMONTH(AW$1,0),'UX Weekly'!$H79:$CT79,"&lt;&gt;"))</f>
        <v>0</v>
      </c>
      <c r="AX79">
        <f>IF($B79="",0,COUNTIFS('UX Weekly'!$H$1:$CT$1,"&gt;="&amp;AX$1,'UX Weekly'!$H$1:$CT$1,"&lt;="&amp;EOMONTH(AX$1,0),'UX Weekly'!$H79:$CT79,"&lt;&gt;"))</f>
        <v>0</v>
      </c>
    </row>
    <row r="80" spans="1:50" x14ac:dyDescent="0.2">
      <c r="A80" s="152">
        <v>80</v>
      </c>
      <c r="B80" s="152" t="str">
        <f>IF(TRIM('UX Weekly'!E80)="","",TRIM('UX Weekly'!E80))</f>
        <v/>
      </c>
      <c r="C80" s="152" t="str">
        <f>IF($B80="","",'UX Weekly'!B80)</f>
        <v/>
      </c>
      <c r="D80" s="152" t="str">
        <f>IF($B80="","",IF(TRIM('UX Weekly'!C80)="","(No theme assigned)",TRIM('UX Weekly'!C80)))</f>
        <v/>
      </c>
      <c r="E80" s="152" t="str">
        <f>IF($B80="","",TRIM('UX Weekly'!F80))</f>
        <v/>
      </c>
      <c r="F80" s="152" t="str">
        <f>IF($B80="","",'UX Weekly'!G80)</f>
        <v/>
      </c>
      <c r="G80" s="153" t="str">
        <f t="array" ref="G80">IF($B80="","",IF($T80=0,"",IFERROR(MIN(IF('UX Weekly'!$H80:$CT80&lt;&gt;"",'UX Weekly'!$H$1:$CT$1)),"")))</f>
        <v/>
      </c>
      <c r="H80" s="153" t="str">
        <f t="array" ref="H80">IF($B80="","",IF($T80=0,"",IFERROR(MAX(IF('UX Weekly'!$H80:$CT80&lt;&gt;"",'UX Weekly'!$H$1:$CT$1)),"")))</f>
        <v/>
      </c>
      <c r="I80" s="154" t="str">
        <f t="shared" ca="1" si="14"/>
        <v/>
      </c>
      <c r="J80" s="154" t="str">
        <f t="shared" ca="1" si="15"/>
        <v/>
      </c>
      <c r="K80" s="152" t="str">
        <f>IF($B80="","",IF(COUNTA('Dev Tracker'!L80)=0,"",TRIM('Dev Tracker'!L80)))</f>
        <v/>
      </c>
      <c r="L80" s="152" t="str">
        <f>IF($B80="","",IFERROR(MATCH($D80,Control!$E$4:$E$30,0),99))</f>
        <v/>
      </c>
      <c r="M80" s="152" t="str">
        <f>IF($B80="","",IFERROR(MATCH($F80,Control!$B$4:$B$30,0),99))</f>
        <v/>
      </c>
      <c r="N80" s="152" t="str">
        <f>IF($V80&lt;&gt;1,"",IF('Roadmap (Auto)'!$D$3="Status, then Theme",$M80*1000000+$L80*10000+ROW(),IF('Roadmap (Auto)'!$D$3="Dev start (earliest)",IF($I80="",99999999,$I80)*10000+ROW(),IF('Roadmap (Auto)'!$D$3="UX start (earliest)",IF($G80="",99999999,$G80)*10000+ROW(),IF('Roadmap (Auto)'!$D$3="Deliverable A-Z",$W80*10000+ROW(),$L80*1000000+$M80*10000+ROW())))))</f>
        <v/>
      </c>
      <c r="O80" s="152" t="str">
        <f t="shared" si="16"/>
        <v/>
      </c>
      <c r="P80" s="152" t="str">
        <f>IF($B80="","",IF(COUNTA('Dev Tracker'!I80)=0,"",'Dev Tracker'!I80))</f>
        <v/>
      </c>
      <c r="Q80" s="152" t="str">
        <f>IF($B80="","",IF(COUNTA('Dev Tracker'!J80)=0,"",'Dev Tracker'!J80))</f>
        <v/>
      </c>
      <c r="R80" s="154" t="str">
        <f t="shared" ca="1" si="17"/>
        <v/>
      </c>
      <c r="S80" s="154" t="str">
        <f t="shared" ca="1" si="18"/>
        <v/>
      </c>
      <c r="T80" s="152" t="str">
        <f>IF($B80="","",COUNTA('UX Weekly'!$H80:$CT80))</f>
        <v/>
      </c>
      <c r="U80" s="152" t="str">
        <f>IF($B80="","",IFERROR(MATCH($D80,Control!$E$4:$E$30,0)+3,0))</f>
        <v/>
      </c>
      <c r="V80" s="152" t="str">
        <f>IF($B80="","",IF(AND(OR('Roadmap (Auto)'!$A$3="",'Roadmap (Auto)'!$A$3="(All)",ISNUMBER(SEARCH('Roadmap (Auto)'!$A$3,$C80&amp;""))),OR('Roadmap (Auto)'!$B$3="",'Roadmap (Auto)'!$B$3="(All)",$D80='Roadmap (Auto)'!$B$3,$X80='Roadmap (Auto)'!$B$3),OR('Roadmap (Auto)'!$C$3="",'Roadmap (Auto)'!$C$3="(All)",$F80='Roadmap (Auto)'!$C$3)),1,0))</f>
        <v/>
      </c>
      <c r="W80" s="152" t="str">
        <f t="shared" si="19"/>
        <v/>
      </c>
      <c r="X80" s="152" t="str">
        <f>IF($B80="","",IF(TRIM('UX Weekly'!D80)="","",TRIM('UX Weekly'!D80)))</f>
        <v/>
      </c>
      <c r="Y80" s="152" t="str">
        <f t="shared" si="20"/>
        <v/>
      </c>
      <c r="AA80">
        <f>IF($B80="",0,COUNTIFS('UX Weekly'!$H$1:$CT$1,"&gt;="&amp;AA$1,'UX Weekly'!$H$1:$CT$1,"&lt;="&amp;EOMONTH(AA$1,0),'UX Weekly'!$H80:$CT80,"&lt;&gt;"))</f>
        <v>0</v>
      </c>
      <c r="AB80">
        <f>IF($B80="",0,COUNTIFS('UX Weekly'!$H$1:$CT$1,"&gt;="&amp;AB$1,'UX Weekly'!$H$1:$CT$1,"&lt;="&amp;EOMONTH(AB$1,0),'UX Weekly'!$H80:$CT80,"&lt;&gt;"))</f>
        <v>0</v>
      </c>
      <c r="AC80">
        <f>IF($B80="",0,COUNTIFS('UX Weekly'!$H$1:$CT$1,"&gt;="&amp;AC$1,'UX Weekly'!$H$1:$CT$1,"&lt;="&amp;EOMONTH(AC$1,0),'UX Weekly'!$H80:$CT80,"&lt;&gt;"))</f>
        <v>0</v>
      </c>
      <c r="AD80">
        <f>IF($B80="",0,COUNTIFS('UX Weekly'!$H$1:$CT$1,"&gt;="&amp;AD$1,'UX Weekly'!$H$1:$CT$1,"&lt;="&amp;EOMONTH(AD$1,0),'UX Weekly'!$H80:$CT80,"&lt;&gt;"))</f>
        <v>0</v>
      </c>
      <c r="AE80">
        <f>IF($B80="",0,COUNTIFS('UX Weekly'!$H$1:$CT$1,"&gt;="&amp;AE$1,'UX Weekly'!$H$1:$CT$1,"&lt;="&amp;EOMONTH(AE$1,0),'UX Weekly'!$H80:$CT80,"&lt;&gt;"))</f>
        <v>0</v>
      </c>
      <c r="AF80">
        <f>IF($B80="",0,COUNTIFS('UX Weekly'!$H$1:$CT$1,"&gt;="&amp;AF$1,'UX Weekly'!$H$1:$CT$1,"&lt;="&amp;EOMONTH(AF$1,0),'UX Weekly'!$H80:$CT80,"&lt;&gt;"))</f>
        <v>0</v>
      </c>
      <c r="AG80">
        <f>IF($B80="",0,COUNTIFS('UX Weekly'!$H$1:$CT$1,"&gt;="&amp;AG$1,'UX Weekly'!$H$1:$CT$1,"&lt;="&amp;EOMONTH(AG$1,0),'UX Weekly'!$H80:$CT80,"&lt;&gt;"))</f>
        <v>0</v>
      </c>
      <c r="AH80">
        <f>IF($B80="",0,COUNTIFS('UX Weekly'!$H$1:$CT$1,"&gt;="&amp;AH$1,'UX Weekly'!$H$1:$CT$1,"&lt;="&amp;EOMONTH(AH$1,0),'UX Weekly'!$H80:$CT80,"&lt;&gt;"))</f>
        <v>0</v>
      </c>
      <c r="AI80">
        <f>IF($B80="",0,COUNTIFS('UX Weekly'!$H$1:$CT$1,"&gt;="&amp;AI$1,'UX Weekly'!$H$1:$CT$1,"&lt;="&amp;EOMONTH(AI$1,0),'UX Weekly'!$H80:$CT80,"&lt;&gt;"))</f>
        <v>0</v>
      </c>
      <c r="AJ80">
        <f>IF($B80="",0,COUNTIFS('UX Weekly'!$H$1:$CT$1,"&gt;="&amp;AJ$1,'UX Weekly'!$H$1:$CT$1,"&lt;="&amp;EOMONTH(AJ$1,0),'UX Weekly'!$H80:$CT80,"&lt;&gt;"))</f>
        <v>0</v>
      </c>
      <c r="AK80">
        <f>IF($B80="",0,COUNTIFS('UX Weekly'!$H$1:$CT$1,"&gt;="&amp;AK$1,'UX Weekly'!$H$1:$CT$1,"&lt;="&amp;EOMONTH(AK$1,0),'UX Weekly'!$H80:$CT80,"&lt;&gt;"))</f>
        <v>0</v>
      </c>
      <c r="AL80">
        <f>IF($B80="",0,COUNTIFS('UX Weekly'!$H$1:$CT$1,"&gt;="&amp;AL$1,'UX Weekly'!$H$1:$CT$1,"&lt;="&amp;EOMONTH(AL$1,0),'UX Weekly'!$H80:$CT80,"&lt;&gt;"))</f>
        <v>0</v>
      </c>
      <c r="AM80">
        <f>IF($B80="",0,COUNTIFS('UX Weekly'!$H$1:$CT$1,"&gt;="&amp;AM$1,'UX Weekly'!$H$1:$CT$1,"&lt;="&amp;EOMONTH(AM$1,0),'UX Weekly'!$H80:$CT80,"&lt;&gt;"))</f>
        <v>0</v>
      </c>
      <c r="AN80">
        <f>IF($B80="",0,COUNTIFS('UX Weekly'!$H$1:$CT$1,"&gt;="&amp;AN$1,'UX Weekly'!$H$1:$CT$1,"&lt;="&amp;EOMONTH(AN$1,0),'UX Weekly'!$H80:$CT80,"&lt;&gt;"))</f>
        <v>0</v>
      </c>
      <c r="AO80">
        <f>IF($B80="",0,COUNTIFS('UX Weekly'!$H$1:$CT$1,"&gt;="&amp;AO$1,'UX Weekly'!$H$1:$CT$1,"&lt;="&amp;EOMONTH(AO$1,0),'UX Weekly'!$H80:$CT80,"&lt;&gt;"))</f>
        <v>0</v>
      </c>
      <c r="AP80">
        <f>IF($B80="",0,COUNTIFS('UX Weekly'!$H$1:$CT$1,"&gt;="&amp;AP$1,'UX Weekly'!$H$1:$CT$1,"&lt;="&amp;EOMONTH(AP$1,0),'UX Weekly'!$H80:$CT80,"&lt;&gt;"))</f>
        <v>0</v>
      </c>
      <c r="AQ80">
        <f>IF($B80="",0,COUNTIFS('UX Weekly'!$H$1:$CT$1,"&gt;="&amp;AQ$1,'UX Weekly'!$H$1:$CT$1,"&lt;="&amp;EOMONTH(AQ$1,0),'UX Weekly'!$H80:$CT80,"&lt;&gt;"))</f>
        <v>0</v>
      </c>
      <c r="AR80">
        <f>IF($B80="",0,COUNTIFS('UX Weekly'!$H$1:$CT$1,"&gt;="&amp;AR$1,'UX Weekly'!$H$1:$CT$1,"&lt;="&amp;EOMONTH(AR$1,0),'UX Weekly'!$H80:$CT80,"&lt;&gt;"))</f>
        <v>0</v>
      </c>
      <c r="AS80">
        <f>IF($B80="",0,COUNTIFS('UX Weekly'!$H$1:$CT$1,"&gt;="&amp;AS$1,'UX Weekly'!$H$1:$CT$1,"&lt;="&amp;EOMONTH(AS$1,0),'UX Weekly'!$H80:$CT80,"&lt;&gt;"))</f>
        <v>0</v>
      </c>
      <c r="AT80">
        <f>IF($B80="",0,COUNTIFS('UX Weekly'!$H$1:$CT$1,"&gt;="&amp;AT$1,'UX Weekly'!$H$1:$CT$1,"&lt;="&amp;EOMONTH(AT$1,0),'UX Weekly'!$H80:$CT80,"&lt;&gt;"))</f>
        <v>0</v>
      </c>
      <c r="AU80">
        <f>IF($B80="",0,COUNTIFS('UX Weekly'!$H$1:$CT$1,"&gt;="&amp;AU$1,'UX Weekly'!$H$1:$CT$1,"&lt;="&amp;EOMONTH(AU$1,0),'UX Weekly'!$H80:$CT80,"&lt;&gt;"))</f>
        <v>0</v>
      </c>
      <c r="AV80">
        <f>IF($B80="",0,COUNTIFS('UX Weekly'!$H$1:$CT$1,"&gt;="&amp;AV$1,'UX Weekly'!$H$1:$CT$1,"&lt;="&amp;EOMONTH(AV$1,0),'UX Weekly'!$H80:$CT80,"&lt;&gt;"))</f>
        <v>0</v>
      </c>
      <c r="AW80">
        <f>IF($B80="",0,COUNTIFS('UX Weekly'!$H$1:$CT$1,"&gt;="&amp;AW$1,'UX Weekly'!$H$1:$CT$1,"&lt;="&amp;EOMONTH(AW$1,0),'UX Weekly'!$H80:$CT80,"&lt;&gt;"))</f>
        <v>0</v>
      </c>
      <c r="AX80">
        <f>IF($B80="",0,COUNTIFS('UX Weekly'!$H$1:$CT$1,"&gt;="&amp;AX$1,'UX Weekly'!$H$1:$CT$1,"&lt;="&amp;EOMONTH(AX$1,0),'UX Weekly'!$H80:$CT80,"&lt;&gt;"))</f>
        <v>0</v>
      </c>
    </row>
    <row r="81" spans="1:50" x14ac:dyDescent="0.2">
      <c r="A81" s="152">
        <v>81</v>
      </c>
      <c r="B81" s="152" t="str">
        <f>IF(TRIM('UX Weekly'!E81)="","",TRIM('UX Weekly'!E81))</f>
        <v/>
      </c>
      <c r="C81" s="152" t="str">
        <f>IF($B81="","",'UX Weekly'!B81)</f>
        <v/>
      </c>
      <c r="D81" s="152" t="str">
        <f>IF($B81="","",IF(TRIM('UX Weekly'!C81)="","(No theme assigned)",TRIM('UX Weekly'!C81)))</f>
        <v/>
      </c>
      <c r="E81" s="152" t="str">
        <f>IF($B81="","",TRIM('UX Weekly'!F81))</f>
        <v/>
      </c>
      <c r="F81" s="152" t="str">
        <f>IF($B81="","",'UX Weekly'!G81)</f>
        <v/>
      </c>
      <c r="G81" s="153" t="str">
        <f t="array" ref="G81">IF($B81="","",IF($T81=0,"",IFERROR(MIN(IF('UX Weekly'!$H81:$CT81&lt;&gt;"",'UX Weekly'!$H$1:$CT$1)),"")))</f>
        <v/>
      </c>
      <c r="H81" s="153" t="str">
        <f t="array" ref="H81">IF($B81="","",IF($T81=0,"",IFERROR(MAX(IF('UX Weekly'!$H81:$CT81&lt;&gt;"",'UX Weekly'!$H$1:$CT$1)),"")))</f>
        <v/>
      </c>
      <c r="I81" s="154" t="str">
        <f t="shared" ca="1" si="14"/>
        <v/>
      </c>
      <c r="J81" s="154" t="str">
        <f t="shared" ca="1" si="15"/>
        <v/>
      </c>
      <c r="K81" s="152" t="str">
        <f>IF($B81="","",IF(COUNTA('Dev Tracker'!L81)=0,"",TRIM('Dev Tracker'!L81)))</f>
        <v/>
      </c>
      <c r="L81" s="152" t="str">
        <f>IF($B81="","",IFERROR(MATCH($D81,Control!$E$4:$E$30,0),99))</f>
        <v/>
      </c>
      <c r="M81" s="152" t="str">
        <f>IF($B81="","",IFERROR(MATCH($F81,Control!$B$4:$B$30,0),99))</f>
        <v/>
      </c>
      <c r="N81" s="152" t="str">
        <f>IF($V81&lt;&gt;1,"",IF('Roadmap (Auto)'!$D$3="Status, then Theme",$M81*1000000+$L81*10000+ROW(),IF('Roadmap (Auto)'!$D$3="Dev start (earliest)",IF($I81="",99999999,$I81)*10000+ROW(),IF('Roadmap (Auto)'!$D$3="UX start (earliest)",IF($G81="",99999999,$G81)*10000+ROW(),IF('Roadmap (Auto)'!$D$3="Deliverable A-Z",$W81*10000+ROW(),$L81*1000000+$M81*10000+ROW())))))</f>
        <v/>
      </c>
      <c r="O81" s="152" t="str">
        <f t="shared" si="16"/>
        <v/>
      </c>
      <c r="P81" s="152" t="str">
        <f>IF($B81="","",IF(COUNTA('Dev Tracker'!I81)=0,"",'Dev Tracker'!I81))</f>
        <v/>
      </c>
      <c r="Q81" s="152" t="str">
        <f>IF($B81="","",IF(COUNTA('Dev Tracker'!J81)=0,"",'Dev Tracker'!J81))</f>
        <v/>
      </c>
      <c r="R81" s="154" t="str">
        <f t="shared" ca="1" si="17"/>
        <v/>
      </c>
      <c r="S81" s="154" t="str">
        <f t="shared" ca="1" si="18"/>
        <v/>
      </c>
      <c r="T81" s="152" t="str">
        <f>IF($B81="","",COUNTA('UX Weekly'!$H81:$CT81))</f>
        <v/>
      </c>
      <c r="U81" s="152" t="str">
        <f>IF($B81="","",IFERROR(MATCH($D81,Control!$E$4:$E$30,0)+3,0))</f>
        <v/>
      </c>
      <c r="V81" s="152" t="str">
        <f>IF($B81="","",IF(AND(OR('Roadmap (Auto)'!$A$3="",'Roadmap (Auto)'!$A$3="(All)",ISNUMBER(SEARCH('Roadmap (Auto)'!$A$3,$C81&amp;""))),OR('Roadmap (Auto)'!$B$3="",'Roadmap (Auto)'!$B$3="(All)",$D81='Roadmap (Auto)'!$B$3,$X81='Roadmap (Auto)'!$B$3),OR('Roadmap (Auto)'!$C$3="",'Roadmap (Auto)'!$C$3="(All)",$F81='Roadmap (Auto)'!$C$3)),1,0))</f>
        <v/>
      </c>
      <c r="W81" s="152" t="str">
        <f t="shared" si="19"/>
        <v/>
      </c>
      <c r="X81" s="152" t="str">
        <f>IF($B81="","",IF(TRIM('UX Weekly'!D81)="","",TRIM('UX Weekly'!D81)))</f>
        <v/>
      </c>
      <c r="Y81" s="152" t="str">
        <f t="shared" si="20"/>
        <v/>
      </c>
      <c r="AA81">
        <f>IF($B81="",0,COUNTIFS('UX Weekly'!$H$1:$CT$1,"&gt;="&amp;AA$1,'UX Weekly'!$H$1:$CT$1,"&lt;="&amp;EOMONTH(AA$1,0),'UX Weekly'!$H81:$CT81,"&lt;&gt;"))</f>
        <v>0</v>
      </c>
      <c r="AB81">
        <f>IF($B81="",0,COUNTIFS('UX Weekly'!$H$1:$CT$1,"&gt;="&amp;AB$1,'UX Weekly'!$H$1:$CT$1,"&lt;="&amp;EOMONTH(AB$1,0),'UX Weekly'!$H81:$CT81,"&lt;&gt;"))</f>
        <v>0</v>
      </c>
      <c r="AC81">
        <f>IF($B81="",0,COUNTIFS('UX Weekly'!$H$1:$CT$1,"&gt;="&amp;AC$1,'UX Weekly'!$H$1:$CT$1,"&lt;="&amp;EOMONTH(AC$1,0),'UX Weekly'!$H81:$CT81,"&lt;&gt;"))</f>
        <v>0</v>
      </c>
      <c r="AD81">
        <f>IF($B81="",0,COUNTIFS('UX Weekly'!$H$1:$CT$1,"&gt;="&amp;AD$1,'UX Weekly'!$H$1:$CT$1,"&lt;="&amp;EOMONTH(AD$1,0),'UX Weekly'!$H81:$CT81,"&lt;&gt;"))</f>
        <v>0</v>
      </c>
      <c r="AE81">
        <f>IF($B81="",0,COUNTIFS('UX Weekly'!$H$1:$CT$1,"&gt;="&amp;AE$1,'UX Weekly'!$H$1:$CT$1,"&lt;="&amp;EOMONTH(AE$1,0),'UX Weekly'!$H81:$CT81,"&lt;&gt;"))</f>
        <v>0</v>
      </c>
      <c r="AF81">
        <f>IF($B81="",0,COUNTIFS('UX Weekly'!$H$1:$CT$1,"&gt;="&amp;AF$1,'UX Weekly'!$H$1:$CT$1,"&lt;="&amp;EOMONTH(AF$1,0),'UX Weekly'!$H81:$CT81,"&lt;&gt;"))</f>
        <v>0</v>
      </c>
      <c r="AG81">
        <f>IF($B81="",0,COUNTIFS('UX Weekly'!$H$1:$CT$1,"&gt;="&amp;AG$1,'UX Weekly'!$H$1:$CT$1,"&lt;="&amp;EOMONTH(AG$1,0),'UX Weekly'!$H81:$CT81,"&lt;&gt;"))</f>
        <v>0</v>
      </c>
      <c r="AH81">
        <f>IF($B81="",0,COUNTIFS('UX Weekly'!$H$1:$CT$1,"&gt;="&amp;AH$1,'UX Weekly'!$H$1:$CT$1,"&lt;="&amp;EOMONTH(AH$1,0),'UX Weekly'!$H81:$CT81,"&lt;&gt;"))</f>
        <v>0</v>
      </c>
      <c r="AI81">
        <f>IF($B81="",0,COUNTIFS('UX Weekly'!$H$1:$CT$1,"&gt;="&amp;AI$1,'UX Weekly'!$H$1:$CT$1,"&lt;="&amp;EOMONTH(AI$1,0),'UX Weekly'!$H81:$CT81,"&lt;&gt;"))</f>
        <v>0</v>
      </c>
      <c r="AJ81">
        <f>IF($B81="",0,COUNTIFS('UX Weekly'!$H$1:$CT$1,"&gt;="&amp;AJ$1,'UX Weekly'!$H$1:$CT$1,"&lt;="&amp;EOMONTH(AJ$1,0),'UX Weekly'!$H81:$CT81,"&lt;&gt;"))</f>
        <v>0</v>
      </c>
      <c r="AK81">
        <f>IF($B81="",0,COUNTIFS('UX Weekly'!$H$1:$CT$1,"&gt;="&amp;AK$1,'UX Weekly'!$H$1:$CT$1,"&lt;="&amp;EOMONTH(AK$1,0),'UX Weekly'!$H81:$CT81,"&lt;&gt;"))</f>
        <v>0</v>
      </c>
      <c r="AL81">
        <f>IF($B81="",0,COUNTIFS('UX Weekly'!$H$1:$CT$1,"&gt;="&amp;AL$1,'UX Weekly'!$H$1:$CT$1,"&lt;="&amp;EOMONTH(AL$1,0),'UX Weekly'!$H81:$CT81,"&lt;&gt;"))</f>
        <v>0</v>
      </c>
      <c r="AM81">
        <f>IF($B81="",0,COUNTIFS('UX Weekly'!$H$1:$CT$1,"&gt;="&amp;AM$1,'UX Weekly'!$H$1:$CT$1,"&lt;="&amp;EOMONTH(AM$1,0),'UX Weekly'!$H81:$CT81,"&lt;&gt;"))</f>
        <v>0</v>
      </c>
      <c r="AN81">
        <f>IF($B81="",0,COUNTIFS('UX Weekly'!$H$1:$CT$1,"&gt;="&amp;AN$1,'UX Weekly'!$H$1:$CT$1,"&lt;="&amp;EOMONTH(AN$1,0),'UX Weekly'!$H81:$CT81,"&lt;&gt;"))</f>
        <v>0</v>
      </c>
      <c r="AO81">
        <f>IF($B81="",0,COUNTIFS('UX Weekly'!$H$1:$CT$1,"&gt;="&amp;AO$1,'UX Weekly'!$H$1:$CT$1,"&lt;="&amp;EOMONTH(AO$1,0),'UX Weekly'!$H81:$CT81,"&lt;&gt;"))</f>
        <v>0</v>
      </c>
      <c r="AP81">
        <f>IF($B81="",0,COUNTIFS('UX Weekly'!$H$1:$CT$1,"&gt;="&amp;AP$1,'UX Weekly'!$H$1:$CT$1,"&lt;="&amp;EOMONTH(AP$1,0),'UX Weekly'!$H81:$CT81,"&lt;&gt;"))</f>
        <v>0</v>
      </c>
      <c r="AQ81">
        <f>IF($B81="",0,COUNTIFS('UX Weekly'!$H$1:$CT$1,"&gt;="&amp;AQ$1,'UX Weekly'!$H$1:$CT$1,"&lt;="&amp;EOMONTH(AQ$1,0),'UX Weekly'!$H81:$CT81,"&lt;&gt;"))</f>
        <v>0</v>
      </c>
      <c r="AR81">
        <f>IF($B81="",0,COUNTIFS('UX Weekly'!$H$1:$CT$1,"&gt;="&amp;AR$1,'UX Weekly'!$H$1:$CT$1,"&lt;="&amp;EOMONTH(AR$1,0),'UX Weekly'!$H81:$CT81,"&lt;&gt;"))</f>
        <v>0</v>
      </c>
      <c r="AS81">
        <f>IF($B81="",0,COUNTIFS('UX Weekly'!$H$1:$CT$1,"&gt;="&amp;AS$1,'UX Weekly'!$H$1:$CT$1,"&lt;="&amp;EOMONTH(AS$1,0),'UX Weekly'!$H81:$CT81,"&lt;&gt;"))</f>
        <v>0</v>
      </c>
      <c r="AT81">
        <f>IF($B81="",0,COUNTIFS('UX Weekly'!$H$1:$CT$1,"&gt;="&amp;AT$1,'UX Weekly'!$H$1:$CT$1,"&lt;="&amp;EOMONTH(AT$1,0),'UX Weekly'!$H81:$CT81,"&lt;&gt;"))</f>
        <v>0</v>
      </c>
      <c r="AU81">
        <f>IF($B81="",0,COUNTIFS('UX Weekly'!$H$1:$CT$1,"&gt;="&amp;AU$1,'UX Weekly'!$H$1:$CT$1,"&lt;="&amp;EOMONTH(AU$1,0),'UX Weekly'!$H81:$CT81,"&lt;&gt;"))</f>
        <v>0</v>
      </c>
      <c r="AV81">
        <f>IF($B81="",0,COUNTIFS('UX Weekly'!$H$1:$CT$1,"&gt;="&amp;AV$1,'UX Weekly'!$H$1:$CT$1,"&lt;="&amp;EOMONTH(AV$1,0),'UX Weekly'!$H81:$CT81,"&lt;&gt;"))</f>
        <v>0</v>
      </c>
      <c r="AW81">
        <f>IF($B81="",0,COUNTIFS('UX Weekly'!$H$1:$CT$1,"&gt;="&amp;AW$1,'UX Weekly'!$H$1:$CT$1,"&lt;="&amp;EOMONTH(AW$1,0),'UX Weekly'!$H81:$CT81,"&lt;&gt;"))</f>
        <v>0</v>
      </c>
      <c r="AX81">
        <f>IF($B81="",0,COUNTIFS('UX Weekly'!$H$1:$CT$1,"&gt;="&amp;AX$1,'UX Weekly'!$H$1:$CT$1,"&lt;="&amp;EOMONTH(AX$1,0),'UX Weekly'!$H81:$CT81,"&lt;&gt;"))</f>
        <v>0</v>
      </c>
    </row>
    <row r="82" spans="1:50" x14ac:dyDescent="0.2">
      <c r="A82" s="152">
        <v>82</v>
      </c>
      <c r="B82" s="152" t="str">
        <f>IF(TRIM('UX Weekly'!E82)="","",TRIM('UX Weekly'!E82))</f>
        <v/>
      </c>
      <c r="C82" s="152" t="str">
        <f>IF($B82="","",'UX Weekly'!B82)</f>
        <v/>
      </c>
      <c r="D82" s="152" t="str">
        <f>IF($B82="","",IF(TRIM('UX Weekly'!C82)="","(No theme assigned)",TRIM('UX Weekly'!C82)))</f>
        <v/>
      </c>
      <c r="E82" s="152" t="str">
        <f>IF($B82="","",TRIM('UX Weekly'!F82))</f>
        <v/>
      </c>
      <c r="F82" s="152" t="str">
        <f>IF($B82="","",'UX Weekly'!G82)</f>
        <v/>
      </c>
      <c r="G82" s="153" t="str">
        <f t="array" ref="G82">IF($B82="","",IF($T82=0,"",IFERROR(MIN(IF('UX Weekly'!$H82:$CT82&lt;&gt;"",'UX Weekly'!$H$1:$CT$1)),"")))</f>
        <v/>
      </c>
      <c r="H82" s="153" t="str">
        <f t="array" ref="H82">IF($B82="","",IF($T82=0,"",IFERROR(MAX(IF('UX Weekly'!$H82:$CT82&lt;&gt;"",'UX Weekly'!$H$1:$CT$1)),"")))</f>
        <v/>
      </c>
      <c r="I82" s="154" t="str">
        <f t="shared" ca="1" si="14"/>
        <v/>
      </c>
      <c r="J82" s="154" t="str">
        <f t="shared" ca="1" si="15"/>
        <v/>
      </c>
      <c r="K82" s="152" t="str">
        <f>IF($B82="","",IF(COUNTA('Dev Tracker'!L82)=0,"",TRIM('Dev Tracker'!L82)))</f>
        <v/>
      </c>
      <c r="L82" s="152" t="str">
        <f>IF($B82="","",IFERROR(MATCH($D82,Control!$E$4:$E$30,0),99))</f>
        <v/>
      </c>
      <c r="M82" s="152" t="str">
        <f>IF($B82="","",IFERROR(MATCH($F82,Control!$B$4:$B$30,0),99))</f>
        <v/>
      </c>
      <c r="N82" s="152" t="str">
        <f>IF($V82&lt;&gt;1,"",IF('Roadmap (Auto)'!$D$3="Status, then Theme",$M82*1000000+$L82*10000+ROW(),IF('Roadmap (Auto)'!$D$3="Dev start (earliest)",IF($I82="",99999999,$I82)*10000+ROW(),IF('Roadmap (Auto)'!$D$3="UX start (earliest)",IF($G82="",99999999,$G82)*10000+ROW(),IF('Roadmap (Auto)'!$D$3="Deliverable A-Z",$W82*10000+ROW(),$L82*1000000+$M82*10000+ROW())))))</f>
        <v/>
      </c>
      <c r="O82" s="152" t="str">
        <f t="shared" si="16"/>
        <v/>
      </c>
      <c r="P82" s="152" t="str">
        <f>IF($B82="","",IF(COUNTA('Dev Tracker'!I82)=0,"",'Dev Tracker'!I82))</f>
        <v/>
      </c>
      <c r="Q82" s="152" t="str">
        <f>IF($B82="","",IF(COUNTA('Dev Tracker'!J82)=0,"",'Dev Tracker'!J82))</f>
        <v/>
      </c>
      <c r="R82" s="154" t="str">
        <f t="shared" ca="1" si="17"/>
        <v/>
      </c>
      <c r="S82" s="154" t="str">
        <f t="shared" ca="1" si="18"/>
        <v/>
      </c>
      <c r="T82" s="152" t="str">
        <f>IF($B82="","",COUNTA('UX Weekly'!$H82:$CT82))</f>
        <v/>
      </c>
      <c r="U82" s="152" t="str">
        <f>IF($B82="","",IFERROR(MATCH($D82,Control!$E$4:$E$30,0)+3,0))</f>
        <v/>
      </c>
      <c r="V82" s="152" t="str">
        <f>IF($B82="","",IF(AND(OR('Roadmap (Auto)'!$A$3="",'Roadmap (Auto)'!$A$3="(All)",ISNUMBER(SEARCH('Roadmap (Auto)'!$A$3,$C82&amp;""))),OR('Roadmap (Auto)'!$B$3="",'Roadmap (Auto)'!$B$3="(All)",$D82='Roadmap (Auto)'!$B$3,$X82='Roadmap (Auto)'!$B$3),OR('Roadmap (Auto)'!$C$3="",'Roadmap (Auto)'!$C$3="(All)",$F82='Roadmap (Auto)'!$C$3)),1,0))</f>
        <v/>
      </c>
      <c r="W82" s="152" t="str">
        <f t="shared" si="19"/>
        <v/>
      </c>
      <c r="X82" s="152" t="str">
        <f>IF($B82="","",IF(TRIM('UX Weekly'!D82)="","",TRIM('UX Weekly'!D82)))</f>
        <v/>
      </c>
      <c r="Y82" s="152" t="str">
        <f t="shared" si="20"/>
        <v/>
      </c>
      <c r="AA82">
        <f>IF($B82="",0,COUNTIFS('UX Weekly'!$H$1:$CT$1,"&gt;="&amp;AA$1,'UX Weekly'!$H$1:$CT$1,"&lt;="&amp;EOMONTH(AA$1,0),'UX Weekly'!$H82:$CT82,"&lt;&gt;"))</f>
        <v>0</v>
      </c>
      <c r="AB82">
        <f>IF($B82="",0,COUNTIFS('UX Weekly'!$H$1:$CT$1,"&gt;="&amp;AB$1,'UX Weekly'!$H$1:$CT$1,"&lt;="&amp;EOMONTH(AB$1,0),'UX Weekly'!$H82:$CT82,"&lt;&gt;"))</f>
        <v>0</v>
      </c>
      <c r="AC82">
        <f>IF($B82="",0,COUNTIFS('UX Weekly'!$H$1:$CT$1,"&gt;="&amp;AC$1,'UX Weekly'!$H$1:$CT$1,"&lt;="&amp;EOMONTH(AC$1,0),'UX Weekly'!$H82:$CT82,"&lt;&gt;"))</f>
        <v>0</v>
      </c>
      <c r="AD82">
        <f>IF($B82="",0,COUNTIFS('UX Weekly'!$H$1:$CT$1,"&gt;="&amp;AD$1,'UX Weekly'!$H$1:$CT$1,"&lt;="&amp;EOMONTH(AD$1,0),'UX Weekly'!$H82:$CT82,"&lt;&gt;"))</f>
        <v>0</v>
      </c>
      <c r="AE82">
        <f>IF($B82="",0,COUNTIFS('UX Weekly'!$H$1:$CT$1,"&gt;="&amp;AE$1,'UX Weekly'!$H$1:$CT$1,"&lt;="&amp;EOMONTH(AE$1,0),'UX Weekly'!$H82:$CT82,"&lt;&gt;"))</f>
        <v>0</v>
      </c>
      <c r="AF82">
        <f>IF($B82="",0,COUNTIFS('UX Weekly'!$H$1:$CT$1,"&gt;="&amp;AF$1,'UX Weekly'!$H$1:$CT$1,"&lt;="&amp;EOMONTH(AF$1,0),'UX Weekly'!$H82:$CT82,"&lt;&gt;"))</f>
        <v>0</v>
      </c>
      <c r="AG82">
        <f>IF($B82="",0,COUNTIFS('UX Weekly'!$H$1:$CT$1,"&gt;="&amp;AG$1,'UX Weekly'!$H$1:$CT$1,"&lt;="&amp;EOMONTH(AG$1,0),'UX Weekly'!$H82:$CT82,"&lt;&gt;"))</f>
        <v>0</v>
      </c>
      <c r="AH82">
        <f>IF($B82="",0,COUNTIFS('UX Weekly'!$H$1:$CT$1,"&gt;="&amp;AH$1,'UX Weekly'!$H$1:$CT$1,"&lt;="&amp;EOMONTH(AH$1,0),'UX Weekly'!$H82:$CT82,"&lt;&gt;"))</f>
        <v>0</v>
      </c>
      <c r="AI82">
        <f>IF($B82="",0,COUNTIFS('UX Weekly'!$H$1:$CT$1,"&gt;="&amp;AI$1,'UX Weekly'!$H$1:$CT$1,"&lt;="&amp;EOMONTH(AI$1,0),'UX Weekly'!$H82:$CT82,"&lt;&gt;"))</f>
        <v>0</v>
      </c>
      <c r="AJ82">
        <f>IF($B82="",0,COUNTIFS('UX Weekly'!$H$1:$CT$1,"&gt;="&amp;AJ$1,'UX Weekly'!$H$1:$CT$1,"&lt;="&amp;EOMONTH(AJ$1,0),'UX Weekly'!$H82:$CT82,"&lt;&gt;"))</f>
        <v>0</v>
      </c>
      <c r="AK82">
        <f>IF($B82="",0,COUNTIFS('UX Weekly'!$H$1:$CT$1,"&gt;="&amp;AK$1,'UX Weekly'!$H$1:$CT$1,"&lt;="&amp;EOMONTH(AK$1,0),'UX Weekly'!$H82:$CT82,"&lt;&gt;"))</f>
        <v>0</v>
      </c>
      <c r="AL82">
        <f>IF($B82="",0,COUNTIFS('UX Weekly'!$H$1:$CT$1,"&gt;="&amp;AL$1,'UX Weekly'!$H$1:$CT$1,"&lt;="&amp;EOMONTH(AL$1,0),'UX Weekly'!$H82:$CT82,"&lt;&gt;"))</f>
        <v>0</v>
      </c>
      <c r="AM82">
        <f>IF($B82="",0,COUNTIFS('UX Weekly'!$H$1:$CT$1,"&gt;="&amp;AM$1,'UX Weekly'!$H$1:$CT$1,"&lt;="&amp;EOMONTH(AM$1,0),'UX Weekly'!$H82:$CT82,"&lt;&gt;"))</f>
        <v>0</v>
      </c>
      <c r="AN82">
        <f>IF($B82="",0,COUNTIFS('UX Weekly'!$H$1:$CT$1,"&gt;="&amp;AN$1,'UX Weekly'!$H$1:$CT$1,"&lt;="&amp;EOMONTH(AN$1,0),'UX Weekly'!$H82:$CT82,"&lt;&gt;"))</f>
        <v>0</v>
      </c>
      <c r="AO82">
        <f>IF($B82="",0,COUNTIFS('UX Weekly'!$H$1:$CT$1,"&gt;="&amp;AO$1,'UX Weekly'!$H$1:$CT$1,"&lt;="&amp;EOMONTH(AO$1,0),'UX Weekly'!$H82:$CT82,"&lt;&gt;"))</f>
        <v>0</v>
      </c>
      <c r="AP82">
        <f>IF($B82="",0,COUNTIFS('UX Weekly'!$H$1:$CT$1,"&gt;="&amp;AP$1,'UX Weekly'!$H$1:$CT$1,"&lt;="&amp;EOMONTH(AP$1,0),'UX Weekly'!$H82:$CT82,"&lt;&gt;"))</f>
        <v>0</v>
      </c>
      <c r="AQ82">
        <f>IF($B82="",0,COUNTIFS('UX Weekly'!$H$1:$CT$1,"&gt;="&amp;AQ$1,'UX Weekly'!$H$1:$CT$1,"&lt;="&amp;EOMONTH(AQ$1,0),'UX Weekly'!$H82:$CT82,"&lt;&gt;"))</f>
        <v>0</v>
      </c>
      <c r="AR82">
        <f>IF($B82="",0,COUNTIFS('UX Weekly'!$H$1:$CT$1,"&gt;="&amp;AR$1,'UX Weekly'!$H$1:$CT$1,"&lt;="&amp;EOMONTH(AR$1,0),'UX Weekly'!$H82:$CT82,"&lt;&gt;"))</f>
        <v>0</v>
      </c>
      <c r="AS82">
        <f>IF($B82="",0,COUNTIFS('UX Weekly'!$H$1:$CT$1,"&gt;="&amp;AS$1,'UX Weekly'!$H$1:$CT$1,"&lt;="&amp;EOMONTH(AS$1,0),'UX Weekly'!$H82:$CT82,"&lt;&gt;"))</f>
        <v>0</v>
      </c>
      <c r="AT82">
        <f>IF($B82="",0,COUNTIFS('UX Weekly'!$H$1:$CT$1,"&gt;="&amp;AT$1,'UX Weekly'!$H$1:$CT$1,"&lt;="&amp;EOMONTH(AT$1,0),'UX Weekly'!$H82:$CT82,"&lt;&gt;"))</f>
        <v>0</v>
      </c>
      <c r="AU82">
        <f>IF($B82="",0,COUNTIFS('UX Weekly'!$H$1:$CT$1,"&gt;="&amp;AU$1,'UX Weekly'!$H$1:$CT$1,"&lt;="&amp;EOMONTH(AU$1,0),'UX Weekly'!$H82:$CT82,"&lt;&gt;"))</f>
        <v>0</v>
      </c>
      <c r="AV82">
        <f>IF($B82="",0,COUNTIFS('UX Weekly'!$H$1:$CT$1,"&gt;="&amp;AV$1,'UX Weekly'!$H$1:$CT$1,"&lt;="&amp;EOMONTH(AV$1,0),'UX Weekly'!$H82:$CT82,"&lt;&gt;"))</f>
        <v>0</v>
      </c>
      <c r="AW82">
        <f>IF($B82="",0,COUNTIFS('UX Weekly'!$H$1:$CT$1,"&gt;="&amp;AW$1,'UX Weekly'!$H$1:$CT$1,"&lt;="&amp;EOMONTH(AW$1,0),'UX Weekly'!$H82:$CT82,"&lt;&gt;"))</f>
        <v>0</v>
      </c>
      <c r="AX82">
        <f>IF($B82="",0,COUNTIFS('UX Weekly'!$H$1:$CT$1,"&gt;="&amp;AX$1,'UX Weekly'!$H$1:$CT$1,"&lt;="&amp;EOMONTH(AX$1,0),'UX Weekly'!$H82:$CT82,"&lt;&gt;"))</f>
        <v>0</v>
      </c>
    </row>
    <row r="83" spans="1:50" x14ac:dyDescent="0.2">
      <c r="A83" s="152">
        <v>83</v>
      </c>
      <c r="B83" s="152" t="str">
        <f>IF(TRIM('UX Weekly'!E83)="","",TRIM('UX Weekly'!E83))</f>
        <v/>
      </c>
      <c r="C83" s="152" t="str">
        <f>IF($B83="","",'UX Weekly'!B83)</f>
        <v/>
      </c>
      <c r="D83" s="152" t="str">
        <f>IF($B83="","",IF(TRIM('UX Weekly'!C83)="","(No theme assigned)",TRIM('UX Weekly'!C83)))</f>
        <v/>
      </c>
      <c r="E83" s="152" t="str">
        <f>IF($B83="","",TRIM('UX Weekly'!F83))</f>
        <v/>
      </c>
      <c r="F83" s="152" t="str">
        <f>IF($B83="","",'UX Weekly'!G83)</f>
        <v/>
      </c>
      <c r="G83" s="153" t="str">
        <f t="array" ref="G83">IF($B83="","",IF($T83=0,"",IFERROR(MIN(IF('UX Weekly'!$H83:$CT83&lt;&gt;"",'UX Weekly'!$H$1:$CT$1)),"")))</f>
        <v/>
      </c>
      <c r="H83" s="153" t="str">
        <f t="array" ref="H83">IF($B83="","",IF($T83=0,"",IFERROR(MAX(IF('UX Weekly'!$H83:$CT83&lt;&gt;"",'UX Weekly'!$H$1:$CT$1)),"")))</f>
        <v/>
      </c>
      <c r="I83" s="154" t="str">
        <f t="shared" ca="1" si="14"/>
        <v/>
      </c>
      <c r="J83" s="154" t="str">
        <f t="shared" ca="1" si="15"/>
        <v/>
      </c>
      <c r="K83" s="152" t="str">
        <f>IF($B83="","",IF(COUNTA('Dev Tracker'!L83)=0,"",TRIM('Dev Tracker'!L83)))</f>
        <v/>
      </c>
      <c r="L83" s="152" t="str">
        <f>IF($B83="","",IFERROR(MATCH($D83,Control!$E$4:$E$30,0),99))</f>
        <v/>
      </c>
      <c r="M83" s="152" t="str">
        <f>IF($B83="","",IFERROR(MATCH($F83,Control!$B$4:$B$30,0),99))</f>
        <v/>
      </c>
      <c r="N83" s="152" t="str">
        <f>IF($V83&lt;&gt;1,"",IF('Roadmap (Auto)'!$D$3="Status, then Theme",$M83*1000000+$L83*10000+ROW(),IF('Roadmap (Auto)'!$D$3="Dev start (earliest)",IF($I83="",99999999,$I83)*10000+ROW(),IF('Roadmap (Auto)'!$D$3="UX start (earliest)",IF($G83="",99999999,$G83)*10000+ROW(),IF('Roadmap (Auto)'!$D$3="Deliverable A-Z",$W83*10000+ROW(),$L83*1000000+$M83*10000+ROW())))))</f>
        <v/>
      </c>
      <c r="O83" s="152" t="str">
        <f t="shared" si="16"/>
        <v/>
      </c>
      <c r="P83" s="152" t="str">
        <f>IF($B83="","",IF(COUNTA('Dev Tracker'!I83)=0,"",'Dev Tracker'!I83))</f>
        <v/>
      </c>
      <c r="Q83" s="152" t="str">
        <f>IF($B83="","",IF(COUNTA('Dev Tracker'!J83)=0,"",'Dev Tracker'!J83))</f>
        <v/>
      </c>
      <c r="R83" s="154" t="str">
        <f t="shared" ca="1" si="17"/>
        <v/>
      </c>
      <c r="S83" s="154" t="str">
        <f t="shared" ca="1" si="18"/>
        <v/>
      </c>
      <c r="T83" s="152" t="str">
        <f>IF($B83="","",COUNTA('UX Weekly'!$H83:$CT83))</f>
        <v/>
      </c>
      <c r="U83" s="152" t="str">
        <f>IF($B83="","",IFERROR(MATCH($D83,Control!$E$4:$E$30,0)+3,0))</f>
        <v/>
      </c>
      <c r="V83" s="152" t="str">
        <f>IF($B83="","",IF(AND(OR('Roadmap (Auto)'!$A$3="",'Roadmap (Auto)'!$A$3="(All)",ISNUMBER(SEARCH('Roadmap (Auto)'!$A$3,$C83&amp;""))),OR('Roadmap (Auto)'!$B$3="",'Roadmap (Auto)'!$B$3="(All)",$D83='Roadmap (Auto)'!$B$3,$X83='Roadmap (Auto)'!$B$3),OR('Roadmap (Auto)'!$C$3="",'Roadmap (Auto)'!$C$3="(All)",$F83='Roadmap (Auto)'!$C$3)),1,0))</f>
        <v/>
      </c>
      <c r="W83" s="152" t="str">
        <f t="shared" si="19"/>
        <v/>
      </c>
      <c r="X83" s="152" t="str">
        <f>IF($B83="","",IF(TRIM('UX Weekly'!D83)="","",TRIM('UX Weekly'!D83)))</f>
        <v/>
      </c>
      <c r="Y83" s="152" t="str">
        <f t="shared" si="20"/>
        <v/>
      </c>
      <c r="AA83">
        <f>IF($B83="",0,COUNTIFS('UX Weekly'!$H$1:$CT$1,"&gt;="&amp;AA$1,'UX Weekly'!$H$1:$CT$1,"&lt;="&amp;EOMONTH(AA$1,0),'UX Weekly'!$H83:$CT83,"&lt;&gt;"))</f>
        <v>0</v>
      </c>
      <c r="AB83">
        <f>IF($B83="",0,COUNTIFS('UX Weekly'!$H$1:$CT$1,"&gt;="&amp;AB$1,'UX Weekly'!$H$1:$CT$1,"&lt;="&amp;EOMONTH(AB$1,0),'UX Weekly'!$H83:$CT83,"&lt;&gt;"))</f>
        <v>0</v>
      </c>
      <c r="AC83">
        <f>IF($B83="",0,COUNTIFS('UX Weekly'!$H$1:$CT$1,"&gt;="&amp;AC$1,'UX Weekly'!$H$1:$CT$1,"&lt;="&amp;EOMONTH(AC$1,0),'UX Weekly'!$H83:$CT83,"&lt;&gt;"))</f>
        <v>0</v>
      </c>
      <c r="AD83">
        <f>IF($B83="",0,COUNTIFS('UX Weekly'!$H$1:$CT$1,"&gt;="&amp;AD$1,'UX Weekly'!$H$1:$CT$1,"&lt;="&amp;EOMONTH(AD$1,0),'UX Weekly'!$H83:$CT83,"&lt;&gt;"))</f>
        <v>0</v>
      </c>
      <c r="AE83">
        <f>IF($B83="",0,COUNTIFS('UX Weekly'!$H$1:$CT$1,"&gt;="&amp;AE$1,'UX Weekly'!$H$1:$CT$1,"&lt;="&amp;EOMONTH(AE$1,0),'UX Weekly'!$H83:$CT83,"&lt;&gt;"))</f>
        <v>0</v>
      </c>
      <c r="AF83">
        <f>IF($B83="",0,COUNTIFS('UX Weekly'!$H$1:$CT$1,"&gt;="&amp;AF$1,'UX Weekly'!$H$1:$CT$1,"&lt;="&amp;EOMONTH(AF$1,0),'UX Weekly'!$H83:$CT83,"&lt;&gt;"))</f>
        <v>0</v>
      </c>
      <c r="AG83">
        <f>IF($B83="",0,COUNTIFS('UX Weekly'!$H$1:$CT$1,"&gt;="&amp;AG$1,'UX Weekly'!$H$1:$CT$1,"&lt;="&amp;EOMONTH(AG$1,0),'UX Weekly'!$H83:$CT83,"&lt;&gt;"))</f>
        <v>0</v>
      </c>
      <c r="AH83">
        <f>IF($B83="",0,COUNTIFS('UX Weekly'!$H$1:$CT$1,"&gt;="&amp;AH$1,'UX Weekly'!$H$1:$CT$1,"&lt;="&amp;EOMONTH(AH$1,0),'UX Weekly'!$H83:$CT83,"&lt;&gt;"))</f>
        <v>0</v>
      </c>
      <c r="AI83">
        <f>IF($B83="",0,COUNTIFS('UX Weekly'!$H$1:$CT$1,"&gt;="&amp;AI$1,'UX Weekly'!$H$1:$CT$1,"&lt;="&amp;EOMONTH(AI$1,0),'UX Weekly'!$H83:$CT83,"&lt;&gt;"))</f>
        <v>0</v>
      </c>
      <c r="AJ83">
        <f>IF($B83="",0,COUNTIFS('UX Weekly'!$H$1:$CT$1,"&gt;="&amp;AJ$1,'UX Weekly'!$H$1:$CT$1,"&lt;="&amp;EOMONTH(AJ$1,0),'UX Weekly'!$H83:$CT83,"&lt;&gt;"))</f>
        <v>0</v>
      </c>
      <c r="AK83">
        <f>IF($B83="",0,COUNTIFS('UX Weekly'!$H$1:$CT$1,"&gt;="&amp;AK$1,'UX Weekly'!$H$1:$CT$1,"&lt;="&amp;EOMONTH(AK$1,0),'UX Weekly'!$H83:$CT83,"&lt;&gt;"))</f>
        <v>0</v>
      </c>
      <c r="AL83">
        <f>IF($B83="",0,COUNTIFS('UX Weekly'!$H$1:$CT$1,"&gt;="&amp;AL$1,'UX Weekly'!$H$1:$CT$1,"&lt;="&amp;EOMONTH(AL$1,0),'UX Weekly'!$H83:$CT83,"&lt;&gt;"))</f>
        <v>0</v>
      </c>
      <c r="AM83">
        <f>IF($B83="",0,COUNTIFS('UX Weekly'!$H$1:$CT$1,"&gt;="&amp;AM$1,'UX Weekly'!$H$1:$CT$1,"&lt;="&amp;EOMONTH(AM$1,0),'UX Weekly'!$H83:$CT83,"&lt;&gt;"))</f>
        <v>0</v>
      </c>
      <c r="AN83">
        <f>IF($B83="",0,COUNTIFS('UX Weekly'!$H$1:$CT$1,"&gt;="&amp;AN$1,'UX Weekly'!$H$1:$CT$1,"&lt;="&amp;EOMONTH(AN$1,0),'UX Weekly'!$H83:$CT83,"&lt;&gt;"))</f>
        <v>0</v>
      </c>
      <c r="AO83">
        <f>IF($B83="",0,COUNTIFS('UX Weekly'!$H$1:$CT$1,"&gt;="&amp;AO$1,'UX Weekly'!$H$1:$CT$1,"&lt;="&amp;EOMONTH(AO$1,0),'UX Weekly'!$H83:$CT83,"&lt;&gt;"))</f>
        <v>0</v>
      </c>
      <c r="AP83">
        <f>IF($B83="",0,COUNTIFS('UX Weekly'!$H$1:$CT$1,"&gt;="&amp;AP$1,'UX Weekly'!$H$1:$CT$1,"&lt;="&amp;EOMONTH(AP$1,0),'UX Weekly'!$H83:$CT83,"&lt;&gt;"))</f>
        <v>0</v>
      </c>
      <c r="AQ83">
        <f>IF($B83="",0,COUNTIFS('UX Weekly'!$H$1:$CT$1,"&gt;="&amp;AQ$1,'UX Weekly'!$H$1:$CT$1,"&lt;="&amp;EOMONTH(AQ$1,0),'UX Weekly'!$H83:$CT83,"&lt;&gt;"))</f>
        <v>0</v>
      </c>
      <c r="AR83">
        <f>IF($B83="",0,COUNTIFS('UX Weekly'!$H$1:$CT$1,"&gt;="&amp;AR$1,'UX Weekly'!$H$1:$CT$1,"&lt;="&amp;EOMONTH(AR$1,0),'UX Weekly'!$H83:$CT83,"&lt;&gt;"))</f>
        <v>0</v>
      </c>
      <c r="AS83">
        <f>IF($B83="",0,COUNTIFS('UX Weekly'!$H$1:$CT$1,"&gt;="&amp;AS$1,'UX Weekly'!$H$1:$CT$1,"&lt;="&amp;EOMONTH(AS$1,0),'UX Weekly'!$H83:$CT83,"&lt;&gt;"))</f>
        <v>0</v>
      </c>
      <c r="AT83">
        <f>IF($B83="",0,COUNTIFS('UX Weekly'!$H$1:$CT$1,"&gt;="&amp;AT$1,'UX Weekly'!$H$1:$CT$1,"&lt;="&amp;EOMONTH(AT$1,0),'UX Weekly'!$H83:$CT83,"&lt;&gt;"))</f>
        <v>0</v>
      </c>
      <c r="AU83">
        <f>IF($B83="",0,COUNTIFS('UX Weekly'!$H$1:$CT$1,"&gt;="&amp;AU$1,'UX Weekly'!$H$1:$CT$1,"&lt;="&amp;EOMONTH(AU$1,0),'UX Weekly'!$H83:$CT83,"&lt;&gt;"))</f>
        <v>0</v>
      </c>
      <c r="AV83">
        <f>IF($B83="",0,COUNTIFS('UX Weekly'!$H$1:$CT$1,"&gt;="&amp;AV$1,'UX Weekly'!$H$1:$CT$1,"&lt;="&amp;EOMONTH(AV$1,0),'UX Weekly'!$H83:$CT83,"&lt;&gt;"))</f>
        <v>0</v>
      </c>
      <c r="AW83">
        <f>IF($B83="",0,COUNTIFS('UX Weekly'!$H$1:$CT$1,"&gt;="&amp;AW$1,'UX Weekly'!$H$1:$CT$1,"&lt;="&amp;EOMONTH(AW$1,0),'UX Weekly'!$H83:$CT83,"&lt;&gt;"))</f>
        <v>0</v>
      </c>
      <c r="AX83">
        <f>IF($B83="",0,COUNTIFS('UX Weekly'!$H$1:$CT$1,"&gt;="&amp;AX$1,'UX Weekly'!$H$1:$CT$1,"&lt;="&amp;EOMONTH(AX$1,0),'UX Weekly'!$H83:$CT83,"&lt;&gt;"))</f>
        <v>0</v>
      </c>
    </row>
    <row r="84" spans="1:50" x14ac:dyDescent="0.2">
      <c r="A84" s="152">
        <v>84</v>
      </c>
      <c r="B84" s="152" t="str">
        <f>IF(TRIM('UX Weekly'!E84)="","",TRIM('UX Weekly'!E84))</f>
        <v/>
      </c>
      <c r="C84" s="152" t="str">
        <f>IF($B84="","",'UX Weekly'!B84)</f>
        <v/>
      </c>
      <c r="D84" s="152" t="str">
        <f>IF($B84="","",IF(TRIM('UX Weekly'!C84)="","(No theme assigned)",TRIM('UX Weekly'!C84)))</f>
        <v/>
      </c>
      <c r="E84" s="152" t="str">
        <f>IF($B84="","",TRIM('UX Weekly'!F84))</f>
        <v/>
      </c>
      <c r="F84" s="152" t="str">
        <f>IF($B84="","",'UX Weekly'!G84)</f>
        <v/>
      </c>
      <c r="G84" s="153" t="str">
        <f t="array" ref="G84">IF($B84="","",IF($T84=0,"",IFERROR(MIN(IF('UX Weekly'!$H84:$CT84&lt;&gt;"",'UX Weekly'!$H$1:$CT$1)),"")))</f>
        <v/>
      </c>
      <c r="H84" s="153" t="str">
        <f t="array" ref="H84">IF($B84="","",IF($T84=0,"",IFERROR(MAX(IF('UX Weekly'!$H84:$CT84&lt;&gt;"",'UX Weekly'!$H$1:$CT$1)),"")))</f>
        <v/>
      </c>
      <c r="I84" s="154" t="str">
        <f t="shared" ca="1" si="14"/>
        <v/>
      </c>
      <c r="J84" s="154" t="str">
        <f t="shared" ca="1" si="15"/>
        <v/>
      </c>
      <c r="K84" s="152" t="str">
        <f>IF($B84="","",IF(COUNTA('Dev Tracker'!L84)=0,"",TRIM('Dev Tracker'!L84)))</f>
        <v/>
      </c>
      <c r="L84" s="152" t="str">
        <f>IF($B84="","",IFERROR(MATCH($D84,Control!$E$4:$E$30,0),99))</f>
        <v/>
      </c>
      <c r="M84" s="152" t="str">
        <f>IF($B84="","",IFERROR(MATCH($F84,Control!$B$4:$B$30,0),99))</f>
        <v/>
      </c>
      <c r="N84" s="152" t="str">
        <f>IF($V84&lt;&gt;1,"",IF('Roadmap (Auto)'!$D$3="Status, then Theme",$M84*1000000+$L84*10000+ROW(),IF('Roadmap (Auto)'!$D$3="Dev start (earliest)",IF($I84="",99999999,$I84)*10000+ROW(),IF('Roadmap (Auto)'!$D$3="UX start (earliest)",IF($G84="",99999999,$G84)*10000+ROW(),IF('Roadmap (Auto)'!$D$3="Deliverable A-Z",$W84*10000+ROW(),$L84*1000000+$M84*10000+ROW())))))</f>
        <v/>
      </c>
      <c r="O84" s="152" t="str">
        <f t="shared" si="16"/>
        <v/>
      </c>
      <c r="P84" s="152" t="str">
        <f>IF($B84="","",IF(COUNTA('Dev Tracker'!I84)=0,"",'Dev Tracker'!I84))</f>
        <v/>
      </c>
      <c r="Q84" s="152" t="str">
        <f>IF($B84="","",IF(COUNTA('Dev Tracker'!J84)=0,"",'Dev Tracker'!J84))</f>
        <v/>
      </c>
      <c r="R84" s="154" t="str">
        <f t="shared" ca="1" si="17"/>
        <v/>
      </c>
      <c r="S84" s="154" t="str">
        <f t="shared" ca="1" si="18"/>
        <v/>
      </c>
      <c r="T84" s="152" t="str">
        <f>IF($B84="","",COUNTA('UX Weekly'!$H84:$CT84))</f>
        <v/>
      </c>
      <c r="U84" s="152" t="str">
        <f>IF($B84="","",IFERROR(MATCH($D84,Control!$E$4:$E$30,0)+3,0))</f>
        <v/>
      </c>
      <c r="V84" s="152" t="str">
        <f>IF($B84="","",IF(AND(OR('Roadmap (Auto)'!$A$3="",'Roadmap (Auto)'!$A$3="(All)",ISNUMBER(SEARCH('Roadmap (Auto)'!$A$3,$C84&amp;""))),OR('Roadmap (Auto)'!$B$3="",'Roadmap (Auto)'!$B$3="(All)",$D84='Roadmap (Auto)'!$B$3,$X84='Roadmap (Auto)'!$B$3),OR('Roadmap (Auto)'!$C$3="",'Roadmap (Auto)'!$C$3="(All)",$F84='Roadmap (Auto)'!$C$3)),1,0))</f>
        <v/>
      </c>
      <c r="W84" s="152" t="str">
        <f t="shared" si="19"/>
        <v/>
      </c>
      <c r="X84" s="152" t="str">
        <f>IF($B84="","",IF(TRIM('UX Weekly'!D84)="","",TRIM('UX Weekly'!D84)))</f>
        <v/>
      </c>
      <c r="Y84" s="152" t="str">
        <f t="shared" si="20"/>
        <v/>
      </c>
      <c r="AA84">
        <f>IF($B84="",0,COUNTIFS('UX Weekly'!$H$1:$CT$1,"&gt;="&amp;AA$1,'UX Weekly'!$H$1:$CT$1,"&lt;="&amp;EOMONTH(AA$1,0),'UX Weekly'!$H84:$CT84,"&lt;&gt;"))</f>
        <v>0</v>
      </c>
      <c r="AB84">
        <f>IF($B84="",0,COUNTIFS('UX Weekly'!$H$1:$CT$1,"&gt;="&amp;AB$1,'UX Weekly'!$H$1:$CT$1,"&lt;="&amp;EOMONTH(AB$1,0),'UX Weekly'!$H84:$CT84,"&lt;&gt;"))</f>
        <v>0</v>
      </c>
      <c r="AC84">
        <f>IF($B84="",0,COUNTIFS('UX Weekly'!$H$1:$CT$1,"&gt;="&amp;AC$1,'UX Weekly'!$H$1:$CT$1,"&lt;="&amp;EOMONTH(AC$1,0),'UX Weekly'!$H84:$CT84,"&lt;&gt;"))</f>
        <v>0</v>
      </c>
      <c r="AD84">
        <f>IF($B84="",0,COUNTIFS('UX Weekly'!$H$1:$CT$1,"&gt;="&amp;AD$1,'UX Weekly'!$H$1:$CT$1,"&lt;="&amp;EOMONTH(AD$1,0),'UX Weekly'!$H84:$CT84,"&lt;&gt;"))</f>
        <v>0</v>
      </c>
      <c r="AE84">
        <f>IF($B84="",0,COUNTIFS('UX Weekly'!$H$1:$CT$1,"&gt;="&amp;AE$1,'UX Weekly'!$H$1:$CT$1,"&lt;="&amp;EOMONTH(AE$1,0),'UX Weekly'!$H84:$CT84,"&lt;&gt;"))</f>
        <v>0</v>
      </c>
      <c r="AF84">
        <f>IF($B84="",0,COUNTIFS('UX Weekly'!$H$1:$CT$1,"&gt;="&amp;AF$1,'UX Weekly'!$H$1:$CT$1,"&lt;="&amp;EOMONTH(AF$1,0),'UX Weekly'!$H84:$CT84,"&lt;&gt;"))</f>
        <v>0</v>
      </c>
      <c r="AG84">
        <f>IF($B84="",0,COUNTIFS('UX Weekly'!$H$1:$CT$1,"&gt;="&amp;AG$1,'UX Weekly'!$H$1:$CT$1,"&lt;="&amp;EOMONTH(AG$1,0),'UX Weekly'!$H84:$CT84,"&lt;&gt;"))</f>
        <v>0</v>
      </c>
      <c r="AH84">
        <f>IF($B84="",0,COUNTIFS('UX Weekly'!$H$1:$CT$1,"&gt;="&amp;AH$1,'UX Weekly'!$H$1:$CT$1,"&lt;="&amp;EOMONTH(AH$1,0),'UX Weekly'!$H84:$CT84,"&lt;&gt;"))</f>
        <v>0</v>
      </c>
      <c r="AI84">
        <f>IF($B84="",0,COUNTIFS('UX Weekly'!$H$1:$CT$1,"&gt;="&amp;AI$1,'UX Weekly'!$H$1:$CT$1,"&lt;="&amp;EOMONTH(AI$1,0),'UX Weekly'!$H84:$CT84,"&lt;&gt;"))</f>
        <v>0</v>
      </c>
      <c r="AJ84">
        <f>IF($B84="",0,COUNTIFS('UX Weekly'!$H$1:$CT$1,"&gt;="&amp;AJ$1,'UX Weekly'!$H$1:$CT$1,"&lt;="&amp;EOMONTH(AJ$1,0),'UX Weekly'!$H84:$CT84,"&lt;&gt;"))</f>
        <v>0</v>
      </c>
      <c r="AK84">
        <f>IF($B84="",0,COUNTIFS('UX Weekly'!$H$1:$CT$1,"&gt;="&amp;AK$1,'UX Weekly'!$H$1:$CT$1,"&lt;="&amp;EOMONTH(AK$1,0),'UX Weekly'!$H84:$CT84,"&lt;&gt;"))</f>
        <v>0</v>
      </c>
      <c r="AL84">
        <f>IF($B84="",0,COUNTIFS('UX Weekly'!$H$1:$CT$1,"&gt;="&amp;AL$1,'UX Weekly'!$H$1:$CT$1,"&lt;="&amp;EOMONTH(AL$1,0),'UX Weekly'!$H84:$CT84,"&lt;&gt;"))</f>
        <v>0</v>
      </c>
      <c r="AM84">
        <f>IF($B84="",0,COUNTIFS('UX Weekly'!$H$1:$CT$1,"&gt;="&amp;AM$1,'UX Weekly'!$H$1:$CT$1,"&lt;="&amp;EOMONTH(AM$1,0),'UX Weekly'!$H84:$CT84,"&lt;&gt;"))</f>
        <v>0</v>
      </c>
      <c r="AN84">
        <f>IF($B84="",0,COUNTIFS('UX Weekly'!$H$1:$CT$1,"&gt;="&amp;AN$1,'UX Weekly'!$H$1:$CT$1,"&lt;="&amp;EOMONTH(AN$1,0),'UX Weekly'!$H84:$CT84,"&lt;&gt;"))</f>
        <v>0</v>
      </c>
      <c r="AO84">
        <f>IF($B84="",0,COUNTIFS('UX Weekly'!$H$1:$CT$1,"&gt;="&amp;AO$1,'UX Weekly'!$H$1:$CT$1,"&lt;="&amp;EOMONTH(AO$1,0),'UX Weekly'!$H84:$CT84,"&lt;&gt;"))</f>
        <v>0</v>
      </c>
      <c r="AP84">
        <f>IF($B84="",0,COUNTIFS('UX Weekly'!$H$1:$CT$1,"&gt;="&amp;AP$1,'UX Weekly'!$H$1:$CT$1,"&lt;="&amp;EOMONTH(AP$1,0),'UX Weekly'!$H84:$CT84,"&lt;&gt;"))</f>
        <v>0</v>
      </c>
      <c r="AQ84">
        <f>IF($B84="",0,COUNTIFS('UX Weekly'!$H$1:$CT$1,"&gt;="&amp;AQ$1,'UX Weekly'!$H$1:$CT$1,"&lt;="&amp;EOMONTH(AQ$1,0),'UX Weekly'!$H84:$CT84,"&lt;&gt;"))</f>
        <v>0</v>
      </c>
      <c r="AR84">
        <f>IF($B84="",0,COUNTIFS('UX Weekly'!$H$1:$CT$1,"&gt;="&amp;AR$1,'UX Weekly'!$H$1:$CT$1,"&lt;="&amp;EOMONTH(AR$1,0),'UX Weekly'!$H84:$CT84,"&lt;&gt;"))</f>
        <v>0</v>
      </c>
      <c r="AS84">
        <f>IF($B84="",0,COUNTIFS('UX Weekly'!$H$1:$CT$1,"&gt;="&amp;AS$1,'UX Weekly'!$H$1:$CT$1,"&lt;="&amp;EOMONTH(AS$1,0),'UX Weekly'!$H84:$CT84,"&lt;&gt;"))</f>
        <v>0</v>
      </c>
      <c r="AT84">
        <f>IF($B84="",0,COUNTIFS('UX Weekly'!$H$1:$CT$1,"&gt;="&amp;AT$1,'UX Weekly'!$H$1:$CT$1,"&lt;="&amp;EOMONTH(AT$1,0),'UX Weekly'!$H84:$CT84,"&lt;&gt;"))</f>
        <v>0</v>
      </c>
      <c r="AU84">
        <f>IF($B84="",0,COUNTIFS('UX Weekly'!$H$1:$CT$1,"&gt;="&amp;AU$1,'UX Weekly'!$H$1:$CT$1,"&lt;="&amp;EOMONTH(AU$1,0),'UX Weekly'!$H84:$CT84,"&lt;&gt;"))</f>
        <v>0</v>
      </c>
      <c r="AV84">
        <f>IF($B84="",0,COUNTIFS('UX Weekly'!$H$1:$CT$1,"&gt;="&amp;AV$1,'UX Weekly'!$H$1:$CT$1,"&lt;="&amp;EOMONTH(AV$1,0),'UX Weekly'!$H84:$CT84,"&lt;&gt;"))</f>
        <v>0</v>
      </c>
      <c r="AW84">
        <f>IF($B84="",0,COUNTIFS('UX Weekly'!$H$1:$CT$1,"&gt;="&amp;AW$1,'UX Weekly'!$H$1:$CT$1,"&lt;="&amp;EOMONTH(AW$1,0),'UX Weekly'!$H84:$CT84,"&lt;&gt;"))</f>
        <v>0</v>
      </c>
      <c r="AX84">
        <f>IF($B84="",0,COUNTIFS('UX Weekly'!$H$1:$CT$1,"&gt;="&amp;AX$1,'UX Weekly'!$H$1:$CT$1,"&lt;="&amp;EOMONTH(AX$1,0),'UX Weekly'!$H84:$CT84,"&lt;&gt;"))</f>
        <v>0</v>
      </c>
    </row>
    <row r="85" spans="1:50" x14ac:dyDescent="0.2">
      <c r="A85" s="152">
        <v>85</v>
      </c>
      <c r="B85" s="152" t="str">
        <f>IF(TRIM('UX Weekly'!E85)="","",TRIM('UX Weekly'!E85))</f>
        <v/>
      </c>
      <c r="C85" s="152" t="str">
        <f>IF($B85="","",'UX Weekly'!B85)</f>
        <v/>
      </c>
      <c r="D85" s="152" t="str">
        <f>IF($B85="","",IF(TRIM('UX Weekly'!C85)="","(No theme assigned)",TRIM('UX Weekly'!C85)))</f>
        <v/>
      </c>
      <c r="E85" s="152" t="str">
        <f>IF($B85="","",TRIM('UX Weekly'!F85))</f>
        <v/>
      </c>
      <c r="F85" s="152" t="str">
        <f>IF($B85="","",'UX Weekly'!G85)</f>
        <v/>
      </c>
      <c r="G85" s="153" t="str">
        <f t="array" ref="G85">IF($B85="","",IF($T85=0,"",IFERROR(MIN(IF('UX Weekly'!$H85:$CT85&lt;&gt;"",'UX Weekly'!$H$1:$CT$1)),"")))</f>
        <v/>
      </c>
      <c r="H85" s="153" t="str">
        <f t="array" ref="H85">IF($B85="","",IF($T85=0,"",IFERROR(MAX(IF('UX Weekly'!$H85:$CT85&lt;&gt;"",'UX Weekly'!$H$1:$CT$1)),"")))</f>
        <v/>
      </c>
      <c r="I85" s="154" t="str">
        <f t="shared" ca="1" si="14"/>
        <v/>
      </c>
      <c r="J85" s="154" t="str">
        <f t="shared" ca="1" si="15"/>
        <v/>
      </c>
      <c r="K85" s="152" t="str">
        <f>IF($B85="","",IF(COUNTA('Dev Tracker'!L85)=0,"",TRIM('Dev Tracker'!L85)))</f>
        <v/>
      </c>
      <c r="L85" s="152" t="str">
        <f>IF($B85="","",IFERROR(MATCH($D85,Control!$E$4:$E$30,0),99))</f>
        <v/>
      </c>
      <c r="M85" s="152" t="str">
        <f>IF($B85="","",IFERROR(MATCH($F85,Control!$B$4:$B$30,0),99))</f>
        <v/>
      </c>
      <c r="N85" s="152" t="str">
        <f>IF($V85&lt;&gt;1,"",IF('Roadmap (Auto)'!$D$3="Status, then Theme",$M85*1000000+$L85*10000+ROW(),IF('Roadmap (Auto)'!$D$3="Dev start (earliest)",IF($I85="",99999999,$I85)*10000+ROW(),IF('Roadmap (Auto)'!$D$3="UX start (earliest)",IF($G85="",99999999,$G85)*10000+ROW(),IF('Roadmap (Auto)'!$D$3="Deliverable A-Z",$W85*10000+ROW(),$L85*1000000+$M85*10000+ROW())))))</f>
        <v/>
      </c>
      <c r="O85" s="152" t="str">
        <f t="shared" si="16"/>
        <v/>
      </c>
      <c r="P85" s="152" t="str">
        <f>IF($B85="","",IF(COUNTA('Dev Tracker'!I85)=0,"",'Dev Tracker'!I85))</f>
        <v/>
      </c>
      <c r="Q85" s="152" t="str">
        <f>IF($B85="","",IF(COUNTA('Dev Tracker'!J85)=0,"",'Dev Tracker'!J85))</f>
        <v/>
      </c>
      <c r="R85" s="154" t="str">
        <f t="shared" ca="1" si="17"/>
        <v/>
      </c>
      <c r="S85" s="154" t="str">
        <f t="shared" ca="1" si="18"/>
        <v/>
      </c>
      <c r="T85" s="152" t="str">
        <f>IF($B85="","",COUNTA('UX Weekly'!$H85:$CT85))</f>
        <v/>
      </c>
      <c r="U85" s="152" t="str">
        <f>IF($B85="","",IFERROR(MATCH($D85,Control!$E$4:$E$30,0)+3,0))</f>
        <v/>
      </c>
      <c r="V85" s="152" t="str">
        <f>IF($B85="","",IF(AND(OR('Roadmap (Auto)'!$A$3="",'Roadmap (Auto)'!$A$3="(All)",ISNUMBER(SEARCH('Roadmap (Auto)'!$A$3,$C85&amp;""))),OR('Roadmap (Auto)'!$B$3="",'Roadmap (Auto)'!$B$3="(All)",$D85='Roadmap (Auto)'!$B$3,$X85='Roadmap (Auto)'!$B$3),OR('Roadmap (Auto)'!$C$3="",'Roadmap (Auto)'!$C$3="(All)",$F85='Roadmap (Auto)'!$C$3)),1,0))</f>
        <v/>
      </c>
      <c r="W85" s="152" t="str">
        <f t="shared" si="19"/>
        <v/>
      </c>
      <c r="X85" s="152" t="str">
        <f>IF($B85="","",IF(TRIM('UX Weekly'!D85)="","",TRIM('UX Weekly'!D85)))</f>
        <v/>
      </c>
      <c r="Y85" s="152" t="str">
        <f t="shared" si="20"/>
        <v/>
      </c>
      <c r="AA85">
        <f>IF($B85="",0,COUNTIFS('UX Weekly'!$H$1:$CT$1,"&gt;="&amp;AA$1,'UX Weekly'!$H$1:$CT$1,"&lt;="&amp;EOMONTH(AA$1,0),'UX Weekly'!$H85:$CT85,"&lt;&gt;"))</f>
        <v>0</v>
      </c>
      <c r="AB85">
        <f>IF($B85="",0,COUNTIFS('UX Weekly'!$H$1:$CT$1,"&gt;="&amp;AB$1,'UX Weekly'!$H$1:$CT$1,"&lt;="&amp;EOMONTH(AB$1,0),'UX Weekly'!$H85:$CT85,"&lt;&gt;"))</f>
        <v>0</v>
      </c>
      <c r="AC85">
        <f>IF($B85="",0,COUNTIFS('UX Weekly'!$H$1:$CT$1,"&gt;="&amp;AC$1,'UX Weekly'!$H$1:$CT$1,"&lt;="&amp;EOMONTH(AC$1,0),'UX Weekly'!$H85:$CT85,"&lt;&gt;"))</f>
        <v>0</v>
      </c>
      <c r="AD85">
        <f>IF($B85="",0,COUNTIFS('UX Weekly'!$H$1:$CT$1,"&gt;="&amp;AD$1,'UX Weekly'!$H$1:$CT$1,"&lt;="&amp;EOMONTH(AD$1,0),'UX Weekly'!$H85:$CT85,"&lt;&gt;"))</f>
        <v>0</v>
      </c>
      <c r="AE85">
        <f>IF($B85="",0,COUNTIFS('UX Weekly'!$H$1:$CT$1,"&gt;="&amp;AE$1,'UX Weekly'!$H$1:$CT$1,"&lt;="&amp;EOMONTH(AE$1,0),'UX Weekly'!$H85:$CT85,"&lt;&gt;"))</f>
        <v>0</v>
      </c>
      <c r="AF85">
        <f>IF($B85="",0,COUNTIFS('UX Weekly'!$H$1:$CT$1,"&gt;="&amp;AF$1,'UX Weekly'!$H$1:$CT$1,"&lt;="&amp;EOMONTH(AF$1,0),'UX Weekly'!$H85:$CT85,"&lt;&gt;"))</f>
        <v>0</v>
      </c>
      <c r="AG85">
        <f>IF($B85="",0,COUNTIFS('UX Weekly'!$H$1:$CT$1,"&gt;="&amp;AG$1,'UX Weekly'!$H$1:$CT$1,"&lt;="&amp;EOMONTH(AG$1,0),'UX Weekly'!$H85:$CT85,"&lt;&gt;"))</f>
        <v>0</v>
      </c>
      <c r="AH85">
        <f>IF($B85="",0,COUNTIFS('UX Weekly'!$H$1:$CT$1,"&gt;="&amp;AH$1,'UX Weekly'!$H$1:$CT$1,"&lt;="&amp;EOMONTH(AH$1,0),'UX Weekly'!$H85:$CT85,"&lt;&gt;"))</f>
        <v>0</v>
      </c>
      <c r="AI85">
        <f>IF($B85="",0,COUNTIFS('UX Weekly'!$H$1:$CT$1,"&gt;="&amp;AI$1,'UX Weekly'!$H$1:$CT$1,"&lt;="&amp;EOMONTH(AI$1,0),'UX Weekly'!$H85:$CT85,"&lt;&gt;"))</f>
        <v>0</v>
      </c>
      <c r="AJ85">
        <f>IF($B85="",0,COUNTIFS('UX Weekly'!$H$1:$CT$1,"&gt;="&amp;AJ$1,'UX Weekly'!$H$1:$CT$1,"&lt;="&amp;EOMONTH(AJ$1,0),'UX Weekly'!$H85:$CT85,"&lt;&gt;"))</f>
        <v>0</v>
      </c>
      <c r="AK85">
        <f>IF($B85="",0,COUNTIFS('UX Weekly'!$H$1:$CT$1,"&gt;="&amp;AK$1,'UX Weekly'!$H$1:$CT$1,"&lt;="&amp;EOMONTH(AK$1,0),'UX Weekly'!$H85:$CT85,"&lt;&gt;"))</f>
        <v>0</v>
      </c>
      <c r="AL85">
        <f>IF($B85="",0,COUNTIFS('UX Weekly'!$H$1:$CT$1,"&gt;="&amp;AL$1,'UX Weekly'!$H$1:$CT$1,"&lt;="&amp;EOMONTH(AL$1,0),'UX Weekly'!$H85:$CT85,"&lt;&gt;"))</f>
        <v>0</v>
      </c>
      <c r="AM85">
        <f>IF($B85="",0,COUNTIFS('UX Weekly'!$H$1:$CT$1,"&gt;="&amp;AM$1,'UX Weekly'!$H$1:$CT$1,"&lt;="&amp;EOMONTH(AM$1,0),'UX Weekly'!$H85:$CT85,"&lt;&gt;"))</f>
        <v>0</v>
      </c>
      <c r="AN85">
        <f>IF($B85="",0,COUNTIFS('UX Weekly'!$H$1:$CT$1,"&gt;="&amp;AN$1,'UX Weekly'!$H$1:$CT$1,"&lt;="&amp;EOMONTH(AN$1,0),'UX Weekly'!$H85:$CT85,"&lt;&gt;"))</f>
        <v>0</v>
      </c>
      <c r="AO85">
        <f>IF($B85="",0,COUNTIFS('UX Weekly'!$H$1:$CT$1,"&gt;="&amp;AO$1,'UX Weekly'!$H$1:$CT$1,"&lt;="&amp;EOMONTH(AO$1,0),'UX Weekly'!$H85:$CT85,"&lt;&gt;"))</f>
        <v>0</v>
      </c>
      <c r="AP85">
        <f>IF($B85="",0,COUNTIFS('UX Weekly'!$H$1:$CT$1,"&gt;="&amp;AP$1,'UX Weekly'!$H$1:$CT$1,"&lt;="&amp;EOMONTH(AP$1,0),'UX Weekly'!$H85:$CT85,"&lt;&gt;"))</f>
        <v>0</v>
      </c>
      <c r="AQ85">
        <f>IF($B85="",0,COUNTIFS('UX Weekly'!$H$1:$CT$1,"&gt;="&amp;AQ$1,'UX Weekly'!$H$1:$CT$1,"&lt;="&amp;EOMONTH(AQ$1,0),'UX Weekly'!$H85:$CT85,"&lt;&gt;"))</f>
        <v>0</v>
      </c>
      <c r="AR85">
        <f>IF($B85="",0,COUNTIFS('UX Weekly'!$H$1:$CT$1,"&gt;="&amp;AR$1,'UX Weekly'!$H$1:$CT$1,"&lt;="&amp;EOMONTH(AR$1,0),'UX Weekly'!$H85:$CT85,"&lt;&gt;"))</f>
        <v>0</v>
      </c>
      <c r="AS85">
        <f>IF($B85="",0,COUNTIFS('UX Weekly'!$H$1:$CT$1,"&gt;="&amp;AS$1,'UX Weekly'!$H$1:$CT$1,"&lt;="&amp;EOMONTH(AS$1,0),'UX Weekly'!$H85:$CT85,"&lt;&gt;"))</f>
        <v>0</v>
      </c>
      <c r="AT85">
        <f>IF($B85="",0,COUNTIFS('UX Weekly'!$H$1:$CT$1,"&gt;="&amp;AT$1,'UX Weekly'!$H$1:$CT$1,"&lt;="&amp;EOMONTH(AT$1,0),'UX Weekly'!$H85:$CT85,"&lt;&gt;"))</f>
        <v>0</v>
      </c>
      <c r="AU85">
        <f>IF($B85="",0,COUNTIFS('UX Weekly'!$H$1:$CT$1,"&gt;="&amp;AU$1,'UX Weekly'!$H$1:$CT$1,"&lt;="&amp;EOMONTH(AU$1,0),'UX Weekly'!$H85:$CT85,"&lt;&gt;"))</f>
        <v>0</v>
      </c>
      <c r="AV85">
        <f>IF($B85="",0,COUNTIFS('UX Weekly'!$H$1:$CT$1,"&gt;="&amp;AV$1,'UX Weekly'!$H$1:$CT$1,"&lt;="&amp;EOMONTH(AV$1,0),'UX Weekly'!$H85:$CT85,"&lt;&gt;"))</f>
        <v>0</v>
      </c>
      <c r="AW85">
        <f>IF($B85="",0,COUNTIFS('UX Weekly'!$H$1:$CT$1,"&gt;="&amp;AW$1,'UX Weekly'!$H$1:$CT$1,"&lt;="&amp;EOMONTH(AW$1,0),'UX Weekly'!$H85:$CT85,"&lt;&gt;"))</f>
        <v>0</v>
      </c>
      <c r="AX85">
        <f>IF($B85="",0,COUNTIFS('UX Weekly'!$H$1:$CT$1,"&gt;="&amp;AX$1,'UX Weekly'!$H$1:$CT$1,"&lt;="&amp;EOMONTH(AX$1,0),'UX Weekly'!$H85:$CT85,"&lt;&gt;"))</f>
        <v>0</v>
      </c>
    </row>
    <row r="86" spans="1:50" x14ac:dyDescent="0.2">
      <c r="A86" s="152">
        <v>86</v>
      </c>
      <c r="B86" s="152" t="str">
        <f>IF(TRIM('UX Weekly'!E86)="","",TRIM('UX Weekly'!E86))</f>
        <v/>
      </c>
      <c r="C86" s="152" t="str">
        <f>IF($B86="","",'UX Weekly'!B86)</f>
        <v/>
      </c>
      <c r="D86" s="152" t="str">
        <f>IF($B86="","",IF(TRIM('UX Weekly'!C86)="","(No theme assigned)",TRIM('UX Weekly'!C86)))</f>
        <v/>
      </c>
      <c r="E86" s="152" t="str">
        <f>IF($B86="","",TRIM('UX Weekly'!F86))</f>
        <v/>
      </c>
      <c r="F86" s="152" t="str">
        <f>IF($B86="","",'UX Weekly'!G86)</f>
        <v/>
      </c>
      <c r="G86" s="153" t="str">
        <f t="array" ref="G86">IF($B86="","",IF($T86=0,"",IFERROR(MIN(IF('UX Weekly'!$H86:$CT86&lt;&gt;"",'UX Weekly'!$H$1:$CT$1)),"")))</f>
        <v/>
      </c>
      <c r="H86" s="153" t="str">
        <f t="array" ref="H86">IF($B86="","",IF($T86=0,"",IFERROR(MAX(IF('UX Weekly'!$H86:$CT86&lt;&gt;"",'UX Weekly'!$H$1:$CT$1)),"")))</f>
        <v/>
      </c>
      <c r="I86" s="154" t="str">
        <f t="shared" ca="1" si="14"/>
        <v/>
      </c>
      <c r="J86" s="154" t="str">
        <f t="shared" ca="1" si="15"/>
        <v/>
      </c>
      <c r="K86" s="152" t="str">
        <f>IF($B86="","",IF(COUNTA('Dev Tracker'!L86)=0,"",TRIM('Dev Tracker'!L86)))</f>
        <v/>
      </c>
      <c r="L86" s="152" t="str">
        <f>IF($B86="","",IFERROR(MATCH($D86,Control!$E$4:$E$30,0),99))</f>
        <v/>
      </c>
      <c r="M86" s="152" t="str">
        <f>IF($B86="","",IFERROR(MATCH($F86,Control!$B$4:$B$30,0),99))</f>
        <v/>
      </c>
      <c r="N86" s="152" t="str">
        <f>IF($V86&lt;&gt;1,"",IF('Roadmap (Auto)'!$D$3="Status, then Theme",$M86*1000000+$L86*10000+ROW(),IF('Roadmap (Auto)'!$D$3="Dev start (earliest)",IF($I86="",99999999,$I86)*10000+ROW(),IF('Roadmap (Auto)'!$D$3="UX start (earliest)",IF($G86="",99999999,$G86)*10000+ROW(),IF('Roadmap (Auto)'!$D$3="Deliverable A-Z",$W86*10000+ROW(),$L86*1000000+$M86*10000+ROW())))))</f>
        <v/>
      </c>
      <c r="O86" s="152" t="str">
        <f t="shared" si="16"/>
        <v/>
      </c>
      <c r="P86" s="152" t="str">
        <f>IF($B86="","",IF(COUNTA('Dev Tracker'!I86)=0,"",'Dev Tracker'!I86))</f>
        <v/>
      </c>
      <c r="Q86" s="152" t="str">
        <f>IF($B86="","",IF(COUNTA('Dev Tracker'!J86)=0,"",'Dev Tracker'!J86))</f>
        <v/>
      </c>
      <c r="R86" s="154" t="str">
        <f t="shared" ca="1" si="17"/>
        <v/>
      </c>
      <c r="S86" s="154" t="str">
        <f t="shared" ca="1" si="18"/>
        <v/>
      </c>
      <c r="T86" s="152" t="str">
        <f>IF($B86="","",COUNTA('UX Weekly'!$H86:$CT86))</f>
        <v/>
      </c>
      <c r="U86" s="152" t="str">
        <f>IF($B86="","",IFERROR(MATCH($D86,Control!$E$4:$E$30,0)+3,0))</f>
        <v/>
      </c>
      <c r="V86" s="152" t="str">
        <f>IF($B86="","",IF(AND(OR('Roadmap (Auto)'!$A$3="",'Roadmap (Auto)'!$A$3="(All)",ISNUMBER(SEARCH('Roadmap (Auto)'!$A$3,$C86&amp;""))),OR('Roadmap (Auto)'!$B$3="",'Roadmap (Auto)'!$B$3="(All)",$D86='Roadmap (Auto)'!$B$3,$X86='Roadmap (Auto)'!$B$3),OR('Roadmap (Auto)'!$C$3="",'Roadmap (Auto)'!$C$3="(All)",$F86='Roadmap (Auto)'!$C$3)),1,0))</f>
        <v/>
      </c>
      <c r="W86" s="152" t="str">
        <f t="shared" si="19"/>
        <v/>
      </c>
      <c r="X86" s="152" t="str">
        <f>IF($B86="","",IF(TRIM('UX Weekly'!D86)="","",TRIM('UX Weekly'!D86)))</f>
        <v/>
      </c>
      <c r="Y86" s="152" t="str">
        <f t="shared" si="20"/>
        <v/>
      </c>
      <c r="AA86">
        <f>IF($B86="",0,COUNTIFS('UX Weekly'!$H$1:$CT$1,"&gt;="&amp;AA$1,'UX Weekly'!$H$1:$CT$1,"&lt;="&amp;EOMONTH(AA$1,0),'UX Weekly'!$H86:$CT86,"&lt;&gt;"))</f>
        <v>0</v>
      </c>
      <c r="AB86">
        <f>IF($B86="",0,COUNTIFS('UX Weekly'!$H$1:$CT$1,"&gt;="&amp;AB$1,'UX Weekly'!$H$1:$CT$1,"&lt;="&amp;EOMONTH(AB$1,0),'UX Weekly'!$H86:$CT86,"&lt;&gt;"))</f>
        <v>0</v>
      </c>
      <c r="AC86">
        <f>IF($B86="",0,COUNTIFS('UX Weekly'!$H$1:$CT$1,"&gt;="&amp;AC$1,'UX Weekly'!$H$1:$CT$1,"&lt;="&amp;EOMONTH(AC$1,0),'UX Weekly'!$H86:$CT86,"&lt;&gt;"))</f>
        <v>0</v>
      </c>
      <c r="AD86">
        <f>IF($B86="",0,COUNTIFS('UX Weekly'!$H$1:$CT$1,"&gt;="&amp;AD$1,'UX Weekly'!$H$1:$CT$1,"&lt;="&amp;EOMONTH(AD$1,0),'UX Weekly'!$H86:$CT86,"&lt;&gt;"))</f>
        <v>0</v>
      </c>
      <c r="AE86">
        <f>IF($B86="",0,COUNTIFS('UX Weekly'!$H$1:$CT$1,"&gt;="&amp;AE$1,'UX Weekly'!$H$1:$CT$1,"&lt;="&amp;EOMONTH(AE$1,0),'UX Weekly'!$H86:$CT86,"&lt;&gt;"))</f>
        <v>0</v>
      </c>
      <c r="AF86">
        <f>IF($B86="",0,COUNTIFS('UX Weekly'!$H$1:$CT$1,"&gt;="&amp;AF$1,'UX Weekly'!$H$1:$CT$1,"&lt;="&amp;EOMONTH(AF$1,0),'UX Weekly'!$H86:$CT86,"&lt;&gt;"))</f>
        <v>0</v>
      </c>
      <c r="AG86">
        <f>IF($B86="",0,COUNTIFS('UX Weekly'!$H$1:$CT$1,"&gt;="&amp;AG$1,'UX Weekly'!$H$1:$CT$1,"&lt;="&amp;EOMONTH(AG$1,0),'UX Weekly'!$H86:$CT86,"&lt;&gt;"))</f>
        <v>0</v>
      </c>
      <c r="AH86">
        <f>IF($B86="",0,COUNTIFS('UX Weekly'!$H$1:$CT$1,"&gt;="&amp;AH$1,'UX Weekly'!$H$1:$CT$1,"&lt;="&amp;EOMONTH(AH$1,0),'UX Weekly'!$H86:$CT86,"&lt;&gt;"))</f>
        <v>0</v>
      </c>
      <c r="AI86">
        <f>IF($B86="",0,COUNTIFS('UX Weekly'!$H$1:$CT$1,"&gt;="&amp;AI$1,'UX Weekly'!$H$1:$CT$1,"&lt;="&amp;EOMONTH(AI$1,0),'UX Weekly'!$H86:$CT86,"&lt;&gt;"))</f>
        <v>0</v>
      </c>
      <c r="AJ86">
        <f>IF($B86="",0,COUNTIFS('UX Weekly'!$H$1:$CT$1,"&gt;="&amp;AJ$1,'UX Weekly'!$H$1:$CT$1,"&lt;="&amp;EOMONTH(AJ$1,0),'UX Weekly'!$H86:$CT86,"&lt;&gt;"))</f>
        <v>0</v>
      </c>
      <c r="AK86">
        <f>IF($B86="",0,COUNTIFS('UX Weekly'!$H$1:$CT$1,"&gt;="&amp;AK$1,'UX Weekly'!$H$1:$CT$1,"&lt;="&amp;EOMONTH(AK$1,0),'UX Weekly'!$H86:$CT86,"&lt;&gt;"))</f>
        <v>0</v>
      </c>
      <c r="AL86">
        <f>IF($B86="",0,COUNTIFS('UX Weekly'!$H$1:$CT$1,"&gt;="&amp;AL$1,'UX Weekly'!$H$1:$CT$1,"&lt;="&amp;EOMONTH(AL$1,0),'UX Weekly'!$H86:$CT86,"&lt;&gt;"))</f>
        <v>0</v>
      </c>
      <c r="AM86">
        <f>IF($B86="",0,COUNTIFS('UX Weekly'!$H$1:$CT$1,"&gt;="&amp;AM$1,'UX Weekly'!$H$1:$CT$1,"&lt;="&amp;EOMONTH(AM$1,0),'UX Weekly'!$H86:$CT86,"&lt;&gt;"))</f>
        <v>0</v>
      </c>
      <c r="AN86">
        <f>IF($B86="",0,COUNTIFS('UX Weekly'!$H$1:$CT$1,"&gt;="&amp;AN$1,'UX Weekly'!$H$1:$CT$1,"&lt;="&amp;EOMONTH(AN$1,0),'UX Weekly'!$H86:$CT86,"&lt;&gt;"))</f>
        <v>0</v>
      </c>
      <c r="AO86">
        <f>IF($B86="",0,COUNTIFS('UX Weekly'!$H$1:$CT$1,"&gt;="&amp;AO$1,'UX Weekly'!$H$1:$CT$1,"&lt;="&amp;EOMONTH(AO$1,0),'UX Weekly'!$H86:$CT86,"&lt;&gt;"))</f>
        <v>0</v>
      </c>
      <c r="AP86">
        <f>IF($B86="",0,COUNTIFS('UX Weekly'!$H$1:$CT$1,"&gt;="&amp;AP$1,'UX Weekly'!$H$1:$CT$1,"&lt;="&amp;EOMONTH(AP$1,0),'UX Weekly'!$H86:$CT86,"&lt;&gt;"))</f>
        <v>0</v>
      </c>
      <c r="AQ86">
        <f>IF($B86="",0,COUNTIFS('UX Weekly'!$H$1:$CT$1,"&gt;="&amp;AQ$1,'UX Weekly'!$H$1:$CT$1,"&lt;="&amp;EOMONTH(AQ$1,0),'UX Weekly'!$H86:$CT86,"&lt;&gt;"))</f>
        <v>0</v>
      </c>
      <c r="AR86">
        <f>IF($B86="",0,COUNTIFS('UX Weekly'!$H$1:$CT$1,"&gt;="&amp;AR$1,'UX Weekly'!$H$1:$CT$1,"&lt;="&amp;EOMONTH(AR$1,0),'UX Weekly'!$H86:$CT86,"&lt;&gt;"))</f>
        <v>0</v>
      </c>
      <c r="AS86">
        <f>IF($B86="",0,COUNTIFS('UX Weekly'!$H$1:$CT$1,"&gt;="&amp;AS$1,'UX Weekly'!$H$1:$CT$1,"&lt;="&amp;EOMONTH(AS$1,0),'UX Weekly'!$H86:$CT86,"&lt;&gt;"))</f>
        <v>0</v>
      </c>
      <c r="AT86">
        <f>IF($B86="",0,COUNTIFS('UX Weekly'!$H$1:$CT$1,"&gt;="&amp;AT$1,'UX Weekly'!$H$1:$CT$1,"&lt;="&amp;EOMONTH(AT$1,0),'UX Weekly'!$H86:$CT86,"&lt;&gt;"))</f>
        <v>0</v>
      </c>
      <c r="AU86">
        <f>IF($B86="",0,COUNTIFS('UX Weekly'!$H$1:$CT$1,"&gt;="&amp;AU$1,'UX Weekly'!$H$1:$CT$1,"&lt;="&amp;EOMONTH(AU$1,0),'UX Weekly'!$H86:$CT86,"&lt;&gt;"))</f>
        <v>0</v>
      </c>
      <c r="AV86">
        <f>IF($B86="",0,COUNTIFS('UX Weekly'!$H$1:$CT$1,"&gt;="&amp;AV$1,'UX Weekly'!$H$1:$CT$1,"&lt;="&amp;EOMONTH(AV$1,0),'UX Weekly'!$H86:$CT86,"&lt;&gt;"))</f>
        <v>0</v>
      </c>
      <c r="AW86">
        <f>IF($B86="",0,COUNTIFS('UX Weekly'!$H$1:$CT$1,"&gt;="&amp;AW$1,'UX Weekly'!$H$1:$CT$1,"&lt;="&amp;EOMONTH(AW$1,0),'UX Weekly'!$H86:$CT86,"&lt;&gt;"))</f>
        <v>0</v>
      </c>
      <c r="AX86">
        <f>IF($B86="",0,COUNTIFS('UX Weekly'!$H$1:$CT$1,"&gt;="&amp;AX$1,'UX Weekly'!$H$1:$CT$1,"&lt;="&amp;EOMONTH(AX$1,0),'UX Weekly'!$H86:$CT86,"&lt;&gt;"))</f>
        <v>0</v>
      </c>
    </row>
    <row r="87" spans="1:50" x14ac:dyDescent="0.2">
      <c r="A87" s="152">
        <v>87</v>
      </c>
      <c r="B87" s="152" t="str">
        <f>IF(TRIM('UX Weekly'!E87)="","",TRIM('UX Weekly'!E87))</f>
        <v/>
      </c>
      <c r="C87" s="152" t="str">
        <f>IF($B87="","",'UX Weekly'!B87)</f>
        <v/>
      </c>
      <c r="D87" s="152" t="str">
        <f>IF($B87="","",IF(TRIM('UX Weekly'!C87)="","(No theme assigned)",TRIM('UX Weekly'!C87)))</f>
        <v/>
      </c>
      <c r="E87" s="152" t="str">
        <f>IF($B87="","",TRIM('UX Weekly'!F87))</f>
        <v/>
      </c>
      <c r="F87" s="152" t="str">
        <f>IF($B87="","",'UX Weekly'!G87)</f>
        <v/>
      </c>
      <c r="G87" s="153" t="str">
        <f t="array" ref="G87">IF($B87="","",IF($T87=0,"",IFERROR(MIN(IF('UX Weekly'!$H87:$CT87&lt;&gt;"",'UX Weekly'!$H$1:$CT$1)),"")))</f>
        <v/>
      </c>
      <c r="H87" s="153" t="str">
        <f t="array" ref="H87">IF($B87="","",IF($T87=0,"",IFERROR(MAX(IF('UX Weekly'!$H87:$CT87&lt;&gt;"",'UX Weekly'!$H$1:$CT$1)),"")))</f>
        <v/>
      </c>
      <c r="I87" s="154" t="str">
        <f t="shared" ca="1" si="14"/>
        <v/>
      </c>
      <c r="J87" s="154" t="str">
        <f t="shared" ca="1" si="15"/>
        <v/>
      </c>
      <c r="K87" s="152" t="str">
        <f>IF($B87="","",IF(COUNTA('Dev Tracker'!L87)=0,"",TRIM('Dev Tracker'!L87)))</f>
        <v/>
      </c>
      <c r="L87" s="152" t="str">
        <f>IF($B87="","",IFERROR(MATCH($D87,Control!$E$4:$E$30,0),99))</f>
        <v/>
      </c>
      <c r="M87" s="152" t="str">
        <f>IF($B87="","",IFERROR(MATCH($F87,Control!$B$4:$B$30,0),99))</f>
        <v/>
      </c>
      <c r="N87" s="152" t="str">
        <f>IF($V87&lt;&gt;1,"",IF('Roadmap (Auto)'!$D$3="Status, then Theme",$M87*1000000+$L87*10000+ROW(),IF('Roadmap (Auto)'!$D$3="Dev start (earliest)",IF($I87="",99999999,$I87)*10000+ROW(),IF('Roadmap (Auto)'!$D$3="UX start (earliest)",IF($G87="",99999999,$G87)*10000+ROW(),IF('Roadmap (Auto)'!$D$3="Deliverable A-Z",$W87*10000+ROW(),$L87*1000000+$M87*10000+ROW())))))</f>
        <v/>
      </c>
      <c r="O87" s="152" t="str">
        <f t="shared" si="16"/>
        <v/>
      </c>
      <c r="P87" s="152" t="str">
        <f>IF($B87="","",IF(COUNTA('Dev Tracker'!I87)=0,"",'Dev Tracker'!I87))</f>
        <v/>
      </c>
      <c r="Q87" s="152" t="str">
        <f>IF($B87="","",IF(COUNTA('Dev Tracker'!J87)=0,"",'Dev Tracker'!J87))</f>
        <v/>
      </c>
      <c r="R87" s="154" t="str">
        <f t="shared" ca="1" si="17"/>
        <v/>
      </c>
      <c r="S87" s="154" t="str">
        <f t="shared" ca="1" si="18"/>
        <v/>
      </c>
      <c r="T87" s="152" t="str">
        <f>IF($B87="","",COUNTA('UX Weekly'!$H87:$CT87))</f>
        <v/>
      </c>
      <c r="U87" s="152" t="str">
        <f>IF($B87="","",IFERROR(MATCH($D87,Control!$E$4:$E$30,0)+3,0))</f>
        <v/>
      </c>
      <c r="V87" s="152" t="str">
        <f>IF($B87="","",IF(AND(OR('Roadmap (Auto)'!$A$3="",'Roadmap (Auto)'!$A$3="(All)",ISNUMBER(SEARCH('Roadmap (Auto)'!$A$3,$C87&amp;""))),OR('Roadmap (Auto)'!$B$3="",'Roadmap (Auto)'!$B$3="(All)",$D87='Roadmap (Auto)'!$B$3,$X87='Roadmap (Auto)'!$B$3),OR('Roadmap (Auto)'!$C$3="",'Roadmap (Auto)'!$C$3="(All)",$F87='Roadmap (Auto)'!$C$3)),1,0))</f>
        <v/>
      </c>
      <c r="W87" s="152" t="str">
        <f t="shared" si="19"/>
        <v/>
      </c>
      <c r="X87" s="152" t="str">
        <f>IF($B87="","",IF(TRIM('UX Weekly'!D87)="","",TRIM('UX Weekly'!D87)))</f>
        <v/>
      </c>
      <c r="Y87" s="152" t="str">
        <f t="shared" si="20"/>
        <v/>
      </c>
      <c r="AA87">
        <f>IF($B87="",0,COUNTIFS('UX Weekly'!$H$1:$CT$1,"&gt;="&amp;AA$1,'UX Weekly'!$H$1:$CT$1,"&lt;="&amp;EOMONTH(AA$1,0),'UX Weekly'!$H87:$CT87,"&lt;&gt;"))</f>
        <v>0</v>
      </c>
      <c r="AB87">
        <f>IF($B87="",0,COUNTIFS('UX Weekly'!$H$1:$CT$1,"&gt;="&amp;AB$1,'UX Weekly'!$H$1:$CT$1,"&lt;="&amp;EOMONTH(AB$1,0),'UX Weekly'!$H87:$CT87,"&lt;&gt;"))</f>
        <v>0</v>
      </c>
      <c r="AC87">
        <f>IF($B87="",0,COUNTIFS('UX Weekly'!$H$1:$CT$1,"&gt;="&amp;AC$1,'UX Weekly'!$H$1:$CT$1,"&lt;="&amp;EOMONTH(AC$1,0),'UX Weekly'!$H87:$CT87,"&lt;&gt;"))</f>
        <v>0</v>
      </c>
      <c r="AD87">
        <f>IF($B87="",0,COUNTIFS('UX Weekly'!$H$1:$CT$1,"&gt;="&amp;AD$1,'UX Weekly'!$H$1:$CT$1,"&lt;="&amp;EOMONTH(AD$1,0),'UX Weekly'!$H87:$CT87,"&lt;&gt;"))</f>
        <v>0</v>
      </c>
      <c r="AE87">
        <f>IF($B87="",0,COUNTIFS('UX Weekly'!$H$1:$CT$1,"&gt;="&amp;AE$1,'UX Weekly'!$H$1:$CT$1,"&lt;="&amp;EOMONTH(AE$1,0),'UX Weekly'!$H87:$CT87,"&lt;&gt;"))</f>
        <v>0</v>
      </c>
      <c r="AF87">
        <f>IF($B87="",0,COUNTIFS('UX Weekly'!$H$1:$CT$1,"&gt;="&amp;AF$1,'UX Weekly'!$H$1:$CT$1,"&lt;="&amp;EOMONTH(AF$1,0),'UX Weekly'!$H87:$CT87,"&lt;&gt;"))</f>
        <v>0</v>
      </c>
      <c r="AG87">
        <f>IF($B87="",0,COUNTIFS('UX Weekly'!$H$1:$CT$1,"&gt;="&amp;AG$1,'UX Weekly'!$H$1:$CT$1,"&lt;="&amp;EOMONTH(AG$1,0),'UX Weekly'!$H87:$CT87,"&lt;&gt;"))</f>
        <v>0</v>
      </c>
      <c r="AH87">
        <f>IF($B87="",0,COUNTIFS('UX Weekly'!$H$1:$CT$1,"&gt;="&amp;AH$1,'UX Weekly'!$H$1:$CT$1,"&lt;="&amp;EOMONTH(AH$1,0),'UX Weekly'!$H87:$CT87,"&lt;&gt;"))</f>
        <v>0</v>
      </c>
      <c r="AI87">
        <f>IF($B87="",0,COUNTIFS('UX Weekly'!$H$1:$CT$1,"&gt;="&amp;AI$1,'UX Weekly'!$H$1:$CT$1,"&lt;="&amp;EOMONTH(AI$1,0),'UX Weekly'!$H87:$CT87,"&lt;&gt;"))</f>
        <v>0</v>
      </c>
      <c r="AJ87">
        <f>IF($B87="",0,COUNTIFS('UX Weekly'!$H$1:$CT$1,"&gt;="&amp;AJ$1,'UX Weekly'!$H$1:$CT$1,"&lt;="&amp;EOMONTH(AJ$1,0),'UX Weekly'!$H87:$CT87,"&lt;&gt;"))</f>
        <v>0</v>
      </c>
      <c r="AK87">
        <f>IF($B87="",0,COUNTIFS('UX Weekly'!$H$1:$CT$1,"&gt;="&amp;AK$1,'UX Weekly'!$H$1:$CT$1,"&lt;="&amp;EOMONTH(AK$1,0),'UX Weekly'!$H87:$CT87,"&lt;&gt;"))</f>
        <v>0</v>
      </c>
      <c r="AL87">
        <f>IF($B87="",0,COUNTIFS('UX Weekly'!$H$1:$CT$1,"&gt;="&amp;AL$1,'UX Weekly'!$H$1:$CT$1,"&lt;="&amp;EOMONTH(AL$1,0),'UX Weekly'!$H87:$CT87,"&lt;&gt;"))</f>
        <v>0</v>
      </c>
      <c r="AM87">
        <f>IF($B87="",0,COUNTIFS('UX Weekly'!$H$1:$CT$1,"&gt;="&amp;AM$1,'UX Weekly'!$H$1:$CT$1,"&lt;="&amp;EOMONTH(AM$1,0),'UX Weekly'!$H87:$CT87,"&lt;&gt;"))</f>
        <v>0</v>
      </c>
      <c r="AN87">
        <f>IF($B87="",0,COUNTIFS('UX Weekly'!$H$1:$CT$1,"&gt;="&amp;AN$1,'UX Weekly'!$H$1:$CT$1,"&lt;="&amp;EOMONTH(AN$1,0),'UX Weekly'!$H87:$CT87,"&lt;&gt;"))</f>
        <v>0</v>
      </c>
      <c r="AO87">
        <f>IF($B87="",0,COUNTIFS('UX Weekly'!$H$1:$CT$1,"&gt;="&amp;AO$1,'UX Weekly'!$H$1:$CT$1,"&lt;="&amp;EOMONTH(AO$1,0),'UX Weekly'!$H87:$CT87,"&lt;&gt;"))</f>
        <v>0</v>
      </c>
      <c r="AP87">
        <f>IF($B87="",0,COUNTIFS('UX Weekly'!$H$1:$CT$1,"&gt;="&amp;AP$1,'UX Weekly'!$H$1:$CT$1,"&lt;="&amp;EOMONTH(AP$1,0),'UX Weekly'!$H87:$CT87,"&lt;&gt;"))</f>
        <v>0</v>
      </c>
      <c r="AQ87">
        <f>IF($B87="",0,COUNTIFS('UX Weekly'!$H$1:$CT$1,"&gt;="&amp;AQ$1,'UX Weekly'!$H$1:$CT$1,"&lt;="&amp;EOMONTH(AQ$1,0),'UX Weekly'!$H87:$CT87,"&lt;&gt;"))</f>
        <v>0</v>
      </c>
      <c r="AR87">
        <f>IF($B87="",0,COUNTIFS('UX Weekly'!$H$1:$CT$1,"&gt;="&amp;AR$1,'UX Weekly'!$H$1:$CT$1,"&lt;="&amp;EOMONTH(AR$1,0),'UX Weekly'!$H87:$CT87,"&lt;&gt;"))</f>
        <v>0</v>
      </c>
      <c r="AS87">
        <f>IF($B87="",0,COUNTIFS('UX Weekly'!$H$1:$CT$1,"&gt;="&amp;AS$1,'UX Weekly'!$H$1:$CT$1,"&lt;="&amp;EOMONTH(AS$1,0),'UX Weekly'!$H87:$CT87,"&lt;&gt;"))</f>
        <v>0</v>
      </c>
      <c r="AT87">
        <f>IF($B87="",0,COUNTIFS('UX Weekly'!$H$1:$CT$1,"&gt;="&amp;AT$1,'UX Weekly'!$H$1:$CT$1,"&lt;="&amp;EOMONTH(AT$1,0),'UX Weekly'!$H87:$CT87,"&lt;&gt;"))</f>
        <v>0</v>
      </c>
      <c r="AU87">
        <f>IF($B87="",0,COUNTIFS('UX Weekly'!$H$1:$CT$1,"&gt;="&amp;AU$1,'UX Weekly'!$H$1:$CT$1,"&lt;="&amp;EOMONTH(AU$1,0),'UX Weekly'!$H87:$CT87,"&lt;&gt;"))</f>
        <v>0</v>
      </c>
      <c r="AV87">
        <f>IF($B87="",0,COUNTIFS('UX Weekly'!$H$1:$CT$1,"&gt;="&amp;AV$1,'UX Weekly'!$H$1:$CT$1,"&lt;="&amp;EOMONTH(AV$1,0),'UX Weekly'!$H87:$CT87,"&lt;&gt;"))</f>
        <v>0</v>
      </c>
      <c r="AW87">
        <f>IF($B87="",0,COUNTIFS('UX Weekly'!$H$1:$CT$1,"&gt;="&amp;AW$1,'UX Weekly'!$H$1:$CT$1,"&lt;="&amp;EOMONTH(AW$1,0),'UX Weekly'!$H87:$CT87,"&lt;&gt;"))</f>
        <v>0</v>
      </c>
      <c r="AX87">
        <f>IF($B87="",0,COUNTIFS('UX Weekly'!$H$1:$CT$1,"&gt;="&amp;AX$1,'UX Weekly'!$H$1:$CT$1,"&lt;="&amp;EOMONTH(AX$1,0),'UX Weekly'!$H87:$CT87,"&lt;&gt;"))</f>
        <v>0</v>
      </c>
    </row>
    <row r="88" spans="1:50" x14ac:dyDescent="0.2">
      <c r="A88" s="152">
        <v>88</v>
      </c>
      <c r="B88" s="152" t="str">
        <f>IF(TRIM('UX Weekly'!E88)="","",TRIM('UX Weekly'!E88))</f>
        <v/>
      </c>
      <c r="C88" s="152" t="str">
        <f>IF($B88="","",'UX Weekly'!B88)</f>
        <v/>
      </c>
      <c r="D88" s="152" t="str">
        <f>IF($B88="","",IF(TRIM('UX Weekly'!C88)="","(No theme assigned)",TRIM('UX Weekly'!C88)))</f>
        <v/>
      </c>
      <c r="E88" s="152" t="str">
        <f>IF($B88="","",TRIM('UX Weekly'!F88))</f>
        <v/>
      </c>
      <c r="F88" s="152" t="str">
        <f>IF($B88="","",'UX Weekly'!G88)</f>
        <v/>
      </c>
      <c r="G88" s="153" t="str">
        <f t="array" ref="G88">IF($B88="","",IF($T88=0,"",IFERROR(MIN(IF('UX Weekly'!$H88:$CT88&lt;&gt;"",'UX Weekly'!$H$1:$CT$1)),"")))</f>
        <v/>
      </c>
      <c r="H88" s="153" t="str">
        <f t="array" ref="H88">IF($B88="","",IF($T88=0,"",IFERROR(MAX(IF('UX Weekly'!$H88:$CT88&lt;&gt;"",'UX Weekly'!$H$1:$CT$1)),"")))</f>
        <v/>
      </c>
      <c r="I88" s="154" t="str">
        <f t="shared" ca="1" si="14"/>
        <v/>
      </c>
      <c r="J88" s="154" t="str">
        <f t="shared" ca="1" si="15"/>
        <v/>
      </c>
      <c r="K88" s="152" t="str">
        <f>IF($B88="","",IF(COUNTA('Dev Tracker'!L88)=0,"",TRIM('Dev Tracker'!L88)))</f>
        <v/>
      </c>
      <c r="L88" s="152" t="str">
        <f>IF($B88="","",IFERROR(MATCH($D88,Control!$E$4:$E$30,0),99))</f>
        <v/>
      </c>
      <c r="M88" s="152" t="str">
        <f>IF($B88="","",IFERROR(MATCH($F88,Control!$B$4:$B$30,0),99))</f>
        <v/>
      </c>
      <c r="N88" s="152" t="str">
        <f>IF($V88&lt;&gt;1,"",IF('Roadmap (Auto)'!$D$3="Status, then Theme",$M88*1000000+$L88*10000+ROW(),IF('Roadmap (Auto)'!$D$3="Dev start (earliest)",IF($I88="",99999999,$I88)*10000+ROW(),IF('Roadmap (Auto)'!$D$3="UX start (earliest)",IF($G88="",99999999,$G88)*10000+ROW(),IF('Roadmap (Auto)'!$D$3="Deliverable A-Z",$W88*10000+ROW(),$L88*1000000+$M88*10000+ROW())))))</f>
        <v/>
      </c>
      <c r="O88" s="152" t="str">
        <f t="shared" si="16"/>
        <v/>
      </c>
      <c r="P88" s="152" t="str">
        <f>IF($B88="","",IF(COUNTA('Dev Tracker'!I88)=0,"",'Dev Tracker'!I88))</f>
        <v/>
      </c>
      <c r="Q88" s="152" t="str">
        <f>IF($B88="","",IF(COUNTA('Dev Tracker'!J88)=0,"",'Dev Tracker'!J88))</f>
        <v/>
      </c>
      <c r="R88" s="154" t="str">
        <f t="shared" ca="1" si="17"/>
        <v/>
      </c>
      <c r="S88" s="154" t="str">
        <f t="shared" ca="1" si="18"/>
        <v/>
      </c>
      <c r="T88" s="152" t="str">
        <f>IF($B88="","",COUNTA('UX Weekly'!$H88:$CT88))</f>
        <v/>
      </c>
      <c r="U88" s="152" t="str">
        <f>IF($B88="","",IFERROR(MATCH($D88,Control!$E$4:$E$30,0)+3,0))</f>
        <v/>
      </c>
      <c r="V88" s="152" t="str">
        <f>IF($B88="","",IF(AND(OR('Roadmap (Auto)'!$A$3="",'Roadmap (Auto)'!$A$3="(All)",ISNUMBER(SEARCH('Roadmap (Auto)'!$A$3,$C88&amp;""))),OR('Roadmap (Auto)'!$B$3="",'Roadmap (Auto)'!$B$3="(All)",$D88='Roadmap (Auto)'!$B$3,$X88='Roadmap (Auto)'!$B$3),OR('Roadmap (Auto)'!$C$3="",'Roadmap (Auto)'!$C$3="(All)",$F88='Roadmap (Auto)'!$C$3)),1,0))</f>
        <v/>
      </c>
      <c r="W88" s="152" t="str">
        <f t="shared" si="19"/>
        <v/>
      </c>
      <c r="X88" s="152" t="str">
        <f>IF($B88="","",IF(TRIM('UX Weekly'!D88)="","",TRIM('UX Weekly'!D88)))</f>
        <v/>
      </c>
      <c r="Y88" s="152" t="str">
        <f t="shared" si="20"/>
        <v/>
      </c>
      <c r="AA88">
        <f>IF($B88="",0,COUNTIFS('UX Weekly'!$H$1:$CT$1,"&gt;="&amp;AA$1,'UX Weekly'!$H$1:$CT$1,"&lt;="&amp;EOMONTH(AA$1,0),'UX Weekly'!$H88:$CT88,"&lt;&gt;"))</f>
        <v>0</v>
      </c>
      <c r="AB88">
        <f>IF($B88="",0,COUNTIFS('UX Weekly'!$H$1:$CT$1,"&gt;="&amp;AB$1,'UX Weekly'!$H$1:$CT$1,"&lt;="&amp;EOMONTH(AB$1,0),'UX Weekly'!$H88:$CT88,"&lt;&gt;"))</f>
        <v>0</v>
      </c>
      <c r="AC88">
        <f>IF($B88="",0,COUNTIFS('UX Weekly'!$H$1:$CT$1,"&gt;="&amp;AC$1,'UX Weekly'!$H$1:$CT$1,"&lt;="&amp;EOMONTH(AC$1,0),'UX Weekly'!$H88:$CT88,"&lt;&gt;"))</f>
        <v>0</v>
      </c>
      <c r="AD88">
        <f>IF($B88="",0,COUNTIFS('UX Weekly'!$H$1:$CT$1,"&gt;="&amp;AD$1,'UX Weekly'!$H$1:$CT$1,"&lt;="&amp;EOMONTH(AD$1,0),'UX Weekly'!$H88:$CT88,"&lt;&gt;"))</f>
        <v>0</v>
      </c>
      <c r="AE88">
        <f>IF($B88="",0,COUNTIFS('UX Weekly'!$H$1:$CT$1,"&gt;="&amp;AE$1,'UX Weekly'!$H$1:$CT$1,"&lt;="&amp;EOMONTH(AE$1,0),'UX Weekly'!$H88:$CT88,"&lt;&gt;"))</f>
        <v>0</v>
      </c>
      <c r="AF88">
        <f>IF($B88="",0,COUNTIFS('UX Weekly'!$H$1:$CT$1,"&gt;="&amp;AF$1,'UX Weekly'!$H$1:$CT$1,"&lt;="&amp;EOMONTH(AF$1,0),'UX Weekly'!$H88:$CT88,"&lt;&gt;"))</f>
        <v>0</v>
      </c>
      <c r="AG88">
        <f>IF($B88="",0,COUNTIFS('UX Weekly'!$H$1:$CT$1,"&gt;="&amp;AG$1,'UX Weekly'!$H$1:$CT$1,"&lt;="&amp;EOMONTH(AG$1,0),'UX Weekly'!$H88:$CT88,"&lt;&gt;"))</f>
        <v>0</v>
      </c>
      <c r="AH88">
        <f>IF($B88="",0,COUNTIFS('UX Weekly'!$H$1:$CT$1,"&gt;="&amp;AH$1,'UX Weekly'!$H$1:$CT$1,"&lt;="&amp;EOMONTH(AH$1,0),'UX Weekly'!$H88:$CT88,"&lt;&gt;"))</f>
        <v>0</v>
      </c>
      <c r="AI88">
        <f>IF($B88="",0,COUNTIFS('UX Weekly'!$H$1:$CT$1,"&gt;="&amp;AI$1,'UX Weekly'!$H$1:$CT$1,"&lt;="&amp;EOMONTH(AI$1,0),'UX Weekly'!$H88:$CT88,"&lt;&gt;"))</f>
        <v>0</v>
      </c>
      <c r="AJ88">
        <f>IF($B88="",0,COUNTIFS('UX Weekly'!$H$1:$CT$1,"&gt;="&amp;AJ$1,'UX Weekly'!$H$1:$CT$1,"&lt;="&amp;EOMONTH(AJ$1,0),'UX Weekly'!$H88:$CT88,"&lt;&gt;"))</f>
        <v>0</v>
      </c>
      <c r="AK88">
        <f>IF($B88="",0,COUNTIFS('UX Weekly'!$H$1:$CT$1,"&gt;="&amp;AK$1,'UX Weekly'!$H$1:$CT$1,"&lt;="&amp;EOMONTH(AK$1,0),'UX Weekly'!$H88:$CT88,"&lt;&gt;"))</f>
        <v>0</v>
      </c>
      <c r="AL88">
        <f>IF($B88="",0,COUNTIFS('UX Weekly'!$H$1:$CT$1,"&gt;="&amp;AL$1,'UX Weekly'!$H$1:$CT$1,"&lt;="&amp;EOMONTH(AL$1,0),'UX Weekly'!$H88:$CT88,"&lt;&gt;"))</f>
        <v>0</v>
      </c>
      <c r="AM88">
        <f>IF($B88="",0,COUNTIFS('UX Weekly'!$H$1:$CT$1,"&gt;="&amp;AM$1,'UX Weekly'!$H$1:$CT$1,"&lt;="&amp;EOMONTH(AM$1,0),'UX Weekly'!$H88:$CT88,"&lt;&gt;"))</f>
        <v>0</v>
      </c>
      <c r="AN88">
        <f>IF($B88="",0,COUNTIFS('UX Weekly'!$H$1:$CT$1,"&gt;="&amp;AN$1,'UX Weekly'!$H$1:$CT$1,"&lt;="&amp;EOMONTH(AN$1,0),'UX Weekly'!$H88:$CT88,"&lt;&gt;"))</f>
        <v>0</v>
      </c>
      <c r="AO88">
        <f>IF($B88="",0,COUNTIFS('UX Weekly'!$H$1:$CT$1,"&gt;="&amp;AO$1,'UX Weekly'!$H$1:$CT$1,"&lt;="&amp;EOMONTH(AO$1,0),'UX Weekly'!$H88:$CT88,"&lt;&gt;"))</f>
        <v>0</v>
      </c>
      <c r="AP88">
        <f>IF($B88="",0,COUNTIFS('UX Weekly'!$H$1:$CT$1,"&gt;="&amp;AP$1,'UX Weekly'!$H$1:$CT$1,"&lt;="&amp;EOMONTH(AP$1,0),'UX Weekly'!$H88:$CT88,"&lt;&gt;"))</f>
        <v>0</v>
      </c>
      <c r="AQ88">
        <f>IF($B88="",0,COUNTIFS('UX Weekly'!$H$1:$CT$1,"&gt;="&amp;AQ$1,'UX Weekly'!$H$1:$CT$1,"&lt;="&amp;EOMONTH(AQ$1,0),'UX Weekly'!$H88:$CT88,"&lt;&gt;"))</f>
        <v>0</v>
      </c>
      <c r="AR88">
        <f>IF($B88="",0,COUNTIFS('UX Weekly'!$H$1:$CT$1,"&gt;="&amp;AR$1,'UX Weekly'!$H$1:$CT$1,"&lt;="&amp;EOMONTH(AR$1,0),'UX Weekly'!$H88:$CT88,"&lt;&gt;"))</f>
        <v>0</v>
      </c>
      <c r="AS88">
        <f>IF($B88="",0,COUNTIFS('UX Weekly'!$H$1:$CT$1,"&gt;="&amp;AS$1,'UX Weekly'!$H$1:$CT$1,"&lt;="&amp;EOMONTH(AS$1,0),'UX Weekly'!$H88:$CT88,"&lt;&gt;"))</f>
        <v>0</v>
      </c>
      <c r="AT88">
        <f>IF($B88="",0,COUNTIFS('UX Weekly'!$H$1:$CT$1,"&gt;="&amp;AT$1,'UX Weekly'!$H$1:$CT$1,"&lt;="&amp;EOMONTH(AT$1,0),'UX Weekly'!$H88:$CT88,"&lt;&gt;"))</f>
        <v>0</v>
      </c>
      <c r="AU88">
        <f>IF($B88="",0,COUNTIFS('UX Weekly'!$H$1:$CT$1,"&gt;="&amp;AU$1,'UX Weekly'!$H$1:$CT$1,"&lt;="&amp;EOMONTH(AU$1,0),'UX Weekly'!$H88:$CT88,"&lt;&gt;"))</f>
        <v>0</v>
      </c>
      <c r="AV88">
        <f>IF($B88="",0,COUNTIFS('UX Weekly'!$H$1:$CT$1,"&gt;="&amp;AV$1,'UX Weekly'!$H$1:$CT$1,"&lt;="&amp;EOMONTH(AV$1,0),'UX Weekly'!$H88:$CT88,"&lt;&gt;"))</f>
        <v>0</v>
      </c>
      <c r="AW88">
        <f>IF($B88="",0,COUNTIFS('UX Weekly'!$H$1:$CT$1,"&gt;="&amp;AW$1,'UX Weekly'!$H$1:$CT$1,"&lt;="&amp;EOMONTH(AW$1,0),'UX Weekly'!$H88:$CT88,"&lt;&gt;"))</f>
        <v>0</v>
      </c>
      <c r="AX88">
        <f>IF($B88="",0,COUNTIFS('UX Weekly'!$H$1:$CT$1,"&gt;="&amp;AX$1,'UX Weekly'!$H$1:$CT$1,"&lt;="&amp;EOMONTH(AX$1,0),'UX Weekly'!$H88:$CT88,"&lt;&gt;"))</f>
        <v>0</v>
      </c>
    </row>
    <row r="89" spans="1:50" x14ac:dyDescent="0.2">
      <c r="A89" s="152">
        <v>89</v>
      </c>
      <c r="B89" s="152" t="str">
        <f>IF(TRIM('UX Weekly'!E89)="","",TRIM('UX Weekly'!E89))</f>
        <v/>
      </c>
      <c r="C89" s="152" t="str">
        <f>IF($B89="","",'UX Weekly'!B89)</f>
        <v/>
      </c>
      <c r="D89" s="152" t="str">
        <f>IF($B89="","",IF(TRIM('UX Weekly'!C89)="","(No theme assigned)",TRIM('UX Weekly'!C89)))</f>
        <v/>
      </c>
      <c r="E89" s="152" t="str">
        <f>IF($B89="","",TRIM('UX Weekly'!F89))</f>
        <v/>
      </c>
      <c r="F89" s="152" t="str">
        <f>IF($B89="","",'UX Weekly'!G89)</f>
        <v/>
      </c>
      <c r="G89" s="153" t="str">
        <f t="array" ref="G89">IF($B89="","",IF($T89=0,"",IFERROR(MIN(IF('UX Weekly'!$H89:$CT89&lt;&gt;"",'UX Weekly'!$H$1:$CT$1)),"")))</f>
        <v/>
      </c>
      <c r="H89" s="153" t="str">
        <f t="array" ref="H89">IF($B89="","",IF($T89=0,"",IFERROR(MAX(IF('UX Weekly'!$H89:$CT89&lt;&gt;"",'UX Weekly'!$H$1:$CT$1)),"")))</f>
        <v/>
      </c>
      <c r="I89" s="154" t="str">
        <f t="shared" ca="1" si="14"/>
        <v/>
      </c>
      <c r="J89" s="154" t="str">
        <f t="shared" ca="1" si="15"/>
        <v/>
      </c>
      <c r="K89" s="152" t="str">
        <f>IF($B89="","",IF(COUNTA('Dev Tracker'!L89)=0,"",TRIM('Dev Tracker'!L89)))</f>
        <v/>
      </c>
      <c r="L89" s="152" t="str">
        <f>IF($B89="","",IFERROR(MATCH($D89,Control!$E$4:$E$30,0),99))</f>
        <v/>
      </c>
      <c r="M89" s="152" t="str">
        <f>IF($B89="","",IFERROR(MATCH($F89,Control!$B$4:$B$30,0),99))</f>
        <v/>
      </c>
      <c r="N89" s="152" t="str">
        <f>IF($V89&lt;&gt;1,"",IF('Roadmap (Auto)'!$D$3="Status, then Theme",$M89*1000000+$L89*10000+ROW(),IF('Roadmap (Auto)'!$D$3="Dev start (earliest)",IF($I89="",99999999,$I89)*10000+ROW(),IF('Roadmap (Auto)'!$D$3="UX start (earliest)",IF($G89="",99999999,$G89)*10000+ROW(),IF('Roadmap (Auto)'!$D$3="Deliverable A-Z",$W89*10000+ROW(),$L89*1000000+$M89*10000+ROW())))))</f>
        <v/>
      </c>
      <c r="O89" s="152" t="str">
        <f t="shared" si="16"/>
        <v/>
      </c>
      <c r="P89" s="152" t="str">
        <f>IF($B89="","",IF(COUNTA('Dev Tracker'!I89)=0,"",'Dev Tracker'!I89))</f>
        <v/>
      </c>
      <c r="Q89" s="152" t="str">
        <f>IF($B89="","",IF(COUNTA('Dev Tracker'!J89)=0,"",'Dev Tracker'!J89))</f>
        <v/>
      </c>
      <c r="R89" s="154" t="str">
        <f t="shared" ca="1" si="17"/>
        <v/>
      </c>
      <c r="S89" s="154" t="str">
        <f t="shared" ca="1" si="18"/>
        <v/>
      </c>
      <c r="T89" s="152" t="str">
        <f>IF($B89="","",COUNTA('UX Weekly'!$H89:$CT89))</f>
        <v/>
      </c>
      <c r="U89" s="152" t="str">
        <f>IF($B89="","",IFERROR(MATCH($D89,Control!$E$4:$E$30,0)+3,0))</f>
        <v/>
      </c>
      <c r="V89" s="152" t="str">
        <f>IF($B89="","",IF(AND(OR('Roadmap (Auto)'!$A$3="",'Roadmap (Auto)'!$A$3="(All)",ISNUMBER(SEARCH('Roadmap (Auto)'!$A$3,$C89&amp;""))),OR('Roadmap (Auto)'!$B$3="",'Roadmap (Auto)'!$B$3="(All)",$D89='Roadmap (Auto)'!$B$3,$X89='Roadmap (Auto)'!$B$3),OR('Roadmap (Auto)'!$C$3="",'Roadmap (Auto)'!$C$3="(All)",$F89='Roadmap (Auto)'!$C$3)),1,0))</f>
        <v/>
      </c>
      <c r="W89" s="152" t="str">
        <f t="shared" si="19"/>
        <v/>
      </c>
      <c r="X89" s="152" t="str">
        <f>IF($B89="","",IF(TRIM('UX Weekly'!D89)="","",TRIM('UX Weekly'!D89)))</f>
        <v/>
      </c>
      <c r="Y89" s="152" t="str">
        <f t="shared" si="20"/>
        <v/>
      </c>
      <c r="AA89">
        <f>IF($B89="",0,COUNTIFS('UX Weekly'!$H$1:$CT$1,"&gt;="&amp;AA$1,'UX Weekly'!$H$1:$CT$1,"&lt;="&amp;EOMONTH(AA$1,0),'UX Weekly'!$H89:$CT89,"&lt;&gt;"))</f>
        <v>0</v>
      </c>
      <c r="AB89">
        <f>IF($B89="",0,COUNTIFS('UX Weekly'!$H$1:$CT$1,"&gt;="&amp;AB$1,'UX Weekly'!$H$1:$CT$1,"&lt;="&amp;EOMONTH(AB$1,0),'UX Weekly'!$H89:$CT89,"&lt;&gt;"))</f>
        <v>0</v>
      </c>
      <c r="AC89">
        <f>IF($B89="",0,COUNTIFS('UX Weekly'!$H$1:$CT$1,"&gt;="&amp;AC$1,'UX Weekly'!$H$1:$CT$1,"&lt;="&amp;EOMONTH(AC$1,0),'UX Weekly'!$H89:$CT89,"&lt;&gt;"))</f>
        <v>0</v>
      </c>
      <c r="AD89">
        <f>IF($B89="",0,COUNTIFS('UX Weekly'!$H$1:$CT$1,"&gt;="&amp;AD$1,'UX Weekly'!$H$1:$CT$1,"&lt;="&amp;EOMONTH(AD$1,0),'UX Weekly'!$H89:$CT89,"&lt;&gt;"))</f>
        <v>0</v>
      </c>
      <c r="AE89">
        <f>IF($B89="",0,COUNTIFS('UX Weekly'!$H$1:$CT$1,"&gt;="&amp;AE$1,'UX Weekly'!$H$1:$CT$1,"&lt;="&amp;EOMONTH(AE$1,0),'UX Weekly'!$H89:$CT89,"&lt;&gt;"))</f>
        <v>0</v>
      </c>
      <c r="AF89">
        <f>IF($B89="",0,COUNTIFS('UX Weekly'!$H$1:$CT$1,"&gt;="&amp;AF$1,'UX Weekly'!$H$1:$CT$1,"&lt;="&amp;EOMONTH(AF$1,0),'UX Weekly'!$H89:$CT89,"&lt;&gt;"))</f>
        <v>0</v>
      </c>
      <c r="AG89">
        <f>IF($B89="",0,COUNTIFS('UX Weekly'!$H$1:$CT$1,"&gt;="&amp;AG$1,'UX Weekly'!$H$1:$CT$1,"&lt;="&amp;EOMONTH(AG$1,0),'UX Weekly'!$H89:$CT89,"&lt;&gt;"))</f>
        <v>0</v>
      </c>
      <c r="AH89">
        <f>IF($B89="",0,COUNTIFS('UX Weekly'!$H$1:$CT$1,"&gt;="&amp;AH$1,'UX Weekly'!$H$1:$CT$1,"&lt;="&amp;EOMONTH(AH$1,0),'UX Weekly'!$H89:$CT89,"&lt;&gt;"))</f>
        <v>0</v>
      </c>
      <c r="AI89">
        <f>IF($B89="",0,COUNTIFS('UX Weekly'!$H$1:$CT$1,"&gt;="&amp;AI$1,'UX Weekly'!$H$1:$CT$1,"&lt;="&amp;EOMONTH(AI$1,0),'UX Weekly'!$H89:$CT89,"&lt;&gt;"))</f>
        <v>0</v>
      </c>
      <c r="AJ89">
        <f>IF($B89="",0,COUNTIFS('UX Weekly'!$H$1:$CT$1,"&gt;="&amp;AJ$1,'UX Weekly'!$H$1:$CT$1,"&lt;="&amp;EOMONTH(AJ$1,0),'UX Weekly'!$H89:$CT89,"&lt;&gt;"))</f>
        <v>0</v>
      </c>
      <c r="AK89">
        <f>IF($B89="",0,COUNTIFS('UX Weekly'!$H$1:$CT$1,"&gt;="&amp;AK$1,'UX Weekly'!$H$1:$CT$1,"&lt;="&amp;EOMONTH(AK$1,0),'UX Weekly'!$H89:$CT89,"&lt;&gt;"))</f>
        <v>0</v>
      </c>
      <c r="AL89">
        <f>IF($B89="",0,COUNTIFS('UX Weekly'!$H$1:$CT$1,"&gt;="&amp;AL$1,'UX Weekly'!$H$1:$CT$1,"&lt;="&amp;EOMONTH(AL$1,0),'UX Weekly'!$H89:$CT89,"&lt;&gt;"))</f>
        <v>0</v>
      </c>
      <c r="AM89">
        <f>IF($B89="",0,COUNTIFS('UX Weekly'!$H$1:$CT$1,"&gt;="&amp;AM$1,'UX Weekly'!$H$1:$CT$1,"&lt;="&amp;EOMONTH(AM$1,0),'UX Weekly'!$H89:$CT89,"&lt;&gt;"))</f>
        <v>0</v>
      </c>
      <c r="AN89">
        <f>IF($B89="",0,COUNTIFS('UX Weekly'!$H$1:$CT$1,"&gt;="&amp;AN$1,'UX Weekly'!$H$1:$CT$1,"&lt;="&amp;EOMONTH(AN$1,0),'UX Weekly'!$H89:$CT89,"&lt;&gt;"))</f>
        <v>0</v>
      </c>
      <c r="AO89">
        <f>IF($B89="",0,COUNTIFS('UX Weekly'!$H$1:$CT$1,"&gt;="&amp;AO$1,'UX Weekly'!$H$1:$CT$1,"&lt;="&amp;EOMONTH(AO$1,0),'UX Weekly'!$H89:$CT89,"&lt;&gt;"))</f>
        <v>0</v>
      </c>
      <c r="AP89">
        <f>IF($B89="",0,COUNTIFS('UX Weekly'!$H$1:$CT$1,"&gt;="&amp;AP$1,'UX Weekly'!$H$1:$CT$1,"&lt;="&amp;EOMONTH(AP$1,0),'UX Weekly'!$H89:$CT89,"&lt;&gt;"))</f>
        <v>0</v>
      </c>
      <c r="AQ89">
        <f>IF($B89="",0,COUNTIFS('UX Weekly'!$H$1:$CT$1,"&gt;="&amp;AQ$1,'UX Weekly'!$H$1:$CT$1,"&lt;="&amp;EOMONTH(AQ$1,0),'UX Weekly'!$H89:$CT89,"&lt;&gt;"))</f>
        <v>0</v>
      </c>
      <c r="AR89">
        <f>IF($B89="",0,COUNTIFS('UX Weekly'!$H$1:$CT$1,"&gt;="&amp;AR$1,'UX Weekly'!$H$1:$CT$1,"&lt;="&amp;EOMONTH(AR$1,0),'UX Weekly'!$H89:$CT89,"&lt;&gt;"))</f>
        <v>0</v>
      </c>
      <c r="AS89">
        <f>IF($B89="",0,COUNTIFS('UX Weekly'!$H$1:$CT$1,"&gt;="&amp;AS$1,'UX Weekly'!$H$1:$CT$1,"&lt;="&amp;EOMONTH(AS$1,0),'UX Weekly'!$H89:$CT89,"&lt;&gt;"))</f>
        <v>0</v>
      </c>
      <c r="AT89">
        <f>IF($B89="",0,COUNTIFS('UX Weekly'!$H$1:$CT$1,"&gt;="&amp;AT$1,'UX Weekly'!$H$1:$CT$1,"&lt;="&amp;EOMONTH(AT$1,0),'UX Weekly'!$H89:$CT89,"&lt;&gt;"))</f>
        <v>0</v>
      </c>
      <c r="AU89">
        <f>IF($B89="",0,COUNTIFS('UX Weekly'!$H$1:$CT$1,"&gt;="&amp;AU$1,'UX Weekly'!$H$1:$CT$1,"&lt;="&amp;EOMONTH(AU$1,0),'UX Weekly'!$H89:$CT89,"&lt;&gt;"))</f>
        <v>0</v>
      </c>
      <c r="AV89">
        <f>IF($B89="",0,COUNTIFS('UX Weekly'!$H$1:$CT$1,"&gt;="&amp;AV$1,'UX Weekly'!$H$1:$CT$1,"&lt;="&amp;EOMONTH(AV$1,0),'UX Weekly'!$H89:$CT89,"&lt;&gt;"))</f>
        <v>0</v>
      </c>
      <c r="AW89">
        <f>IF($B89="",0,COUNTIFS('UX Weekly'!$H$1:$CT$1,"&gt;="&amp;AW$1,'UX Weekly'!$H$1:$CT$1,"&lt;="&amp;EOMONTH(AW$1,0),'UX Weekly'!$H89:$CT89,"&lt;&gt;"))</f>
        <v>0</v>
      </c>
      <c r="AX89">
        <f>IF($B89="",0,COUNTIFS('UX Weekly'!$H$1:$CT$1,"&gt;="&amp;AX$1,'UX Weekly'!$H$1:$CT$1,"&lt;="&amp;EOMONTH(AX$1,0),'UX Weekly'!$H89:$CT89,"&lt;&gt;"))</f>
        <v>0</v>
      </c>
    </row>
    <row r="90" spans="1:50" x14ac:dyDescent="0.2">
      <c r="A90" s="152">
        <v>90</v>
      </c>
      <c r="B90" s="152" t="str">
        <f>IF(TRIM('UX Weekly'!E90)="","",TRIM('UX Weekly'!E90))</f>
        <v/>
      </c>
      <c r="C90" s="152" t="str">
        <f>IF($B90="","",'UX Weekly'!B90)</f>
        <v/>
      </c>
      <c r="D90" s="152" t="str">
        <f>IF($B90="","",IF(TRIM('UX Weekly'!C90)="","(No theme assigned)",TRIM('UX Weekly'!C90)))</f>
        <v/>
      </c>
      <c r="E90" s="152" t="str">
        <f>IF($B90="","",TRIM('UX Weekly'!F90))</f>
        <v/>
      </c>
      <c r="F90" s="152" t="str">
        <f>IF($B90="","",'UX Weekly'!G90)</f>
        <v/>
      </c>
      <c r="G90" s="153" t="str">
        <f t="array" ref="G90">IF($B90="","",IF($T90=0,"",IFERROR(MIN(IF('UX Weekly'!$H90:$CT90&lt;&gt;"",'UX Weekly'!$H$1:$CT$1)),"")))</f>
        <v/>
      </c>
      <c r="H90" s="153" t="str">
        <f t="array" ref="H90">IF($B90="","",IF($T90=0,"",IFERROR(MAX(IF('UX Weekly'!$H90:$CT90&lt;&gt;"",'UX Weekly'!$H$1:$CT$1)),"")))</f>
        <v/>
      </c>
      <c r="I90" s="154" t="str">
        <f t="shared" ca="1" si="14"/>
        <v/>
      </c>
      <c r="J90" s="154" t="str">
        <f t="shared" ca="1" si="15"/>
        <v/>
      </c>
      <c r="K90" s="152" t="str">
        <f>IF($B90="","",IF(COUNTA('Dev Tracker'!L90)=0,"",TRIM('Dev Tracker'!L90)))</f>
        <v/>
      </c>
      <c r="L90" s="152" t="str">
        <f>IF($B90="","",IFERROR(MATCH($D90,Control!$E$4:$E$30,0),99))</f>
        <v/>
      </c>
      <c r="M90" s="152" t="str">
        <f>IF($B90="","",IFERROR(MATCH($F90,Control!$B$4:$B$30,0),99))</f>
        <v/>
      </c>
      <c r="N90" s="152" t="str">
        <f>IF($V90&lt;&gt;1,"",IF('Roadmap (Auto)'!$D$3="Status, then Theme",$M90*1000000+$L90*10000+ROW(),IF('Roadmap (Auto)'!$D$3="Dev start (earliest)",IF($I90="",99999999,$I90)*10000+ROW(),IF('Roadmap (Auto)'!$D$3="UX start (earliest)",IF($G90="",99999999,$G90)*10000+ROW(),IF('Roadmap (Auto)'!$D$3="Deliverable A-Z",$W90*10000+ROW(),$L90*1000000+$M90*10000+ROW())))))</f>
        <v/>
      </c>
      <c r="O90" s="152" t="str">
        <f t="shared" si="16"/>
        <v/>
      </c>
      <c r="P90" s="152" t="str">
        <f>IF($B90="","",IF(COUNTA('Dev Tracker'!I90)=0,"",'Dev Tracker'!I90))</f>
        <v/>
      </c>
      <c r="Q90" s="152" t="str">
        <f>IF($B90="","",IF(COUNTA('Dev Tracker'!J90)=0,"",'Dev Tracker'!J90))</f>
        <v/>
      </c>
      <c r="R90" s="154" t="str">
        <f t="shared" ca="1" si="17"/>
        <v/>
      </c>
      <c r="S90" s="154" t="str">
        <f t="shared" ca="1" si="18"/>
        <v/>
      </c>
      <c r="T90" s="152" t="str">
        <f>IF($B90="","",COUNTA('UX Weekly'!$H90:$CT90))</f>
        <v/>
      </c>
      <c r="U90" s="152" t="str">
        <f>IF($B90="","",IFERROR(MATCH($D90,Control!$E$4:$E$30,0)+3,0))</f>
        <v/>
      </c>
      <c r="V90" s="152" t="str">
        <f>IF($B90="","",IF(AND(OR('Roadmap (Auto)'!$A$3="",'Roadmap (Auto)'!$A$3="(All)",ISNUMBER(SEARCH('Roadmap (Auto)'!$A$3,$C90&amp;""))),OR('Roadmap (Auto)'!$B$3="",'Roadmap (Auto)'!$B$3="(All)",$D90='Roadmap (Auto)'!$B$3,$X90='Roadmap (Auto)'!$B$3),OR('Roadmap (Auto)'!$C$3="",'Roadmap (Auto)'!$C$3="(All)",$F90='Roadmap (Auto)'!$C$3)),1,0))</f>
        <v/>
      </c>
      <c r="W90" s="152" t="str">
        <f t="shared" si="19"/>
        <v/>
      </c>
      <c r="X90" s="152" t="str">
        <f>IF($B90="","",IF(TRIM('UX Weekly'!D90)="","",TRIM('UX Weekly'!D90)))</f>
        <v/>
      </c>
      <c r="Y90" s="152" t="str">
        <f t="shared" si="20"/>
        <v/>
      </c>
      <c r="AA90">
        <f>IF($B90="",0,COUNTIFS('UX Weekly'!$H$1:$CT$1,"&gt;="&amp;AA$1,'UX Weekly'!$H$1:$CT$1,"&lt;="&amp;EOMONTH(AA$1,0),'UX Weekly'!$H90:$CT90,"&lt;&gt;"))</f>
        <v>0</v>
      </c>
      <c r="AB90">
        <f>IF($B90="",0,COUNTIFS('UX Weekly'!$H$1:$CT$1,"&gt;="&amp;AB$1,'UX Weekly'!$H$1:$CT$1,"&lt;="&amp;EOMONTH(AB$1,0),'UX Weekly'!$H90:$CT90,"&lt;&gt;"))</f>
        <v>0</v>
      </c>
      <c r="AC90">
        <f>IF($B90="",0,COUNTIFS('UX Weekly'!$H$1:$CT$1,"&gt;="&amp;AC$1,'UX Weekly'!$H$1:$CT$1,"&lt;="&amp;EOMONTH(AC$1,0),'UX Weekly'!$H90:$CT90,"&lt;&gt;"))</f>
        <v>0</v>
      </c>
      <c r="AD90">
        <f>IF($B90="",0,COUNTIFS('UX Weekly'!$H$1:$CT$1,"&gt;="&amp;AD$1,'UX Weekly'!$H$1:$CT$1,"&lt;="&amp;EOMONTH(AD$1,0),'UX Weekly'!$H90:$CT90,"&lt;&gt;"))</f>
        <v>0</v>
      </c>
      <c r="AE90">
        <f>IF($B90="",0,COUNTIFS('UX Weekly'!$H$1:$CT$1,"&gt;="&amp;AE$1,'UX Weekly'!$H$1:$CT$1,"&lt;="&amp;EOMONTH(AE$1,0),'UX Weekly'!$H90:$CT90,"&lt;&gt;"))</f>
        <v>0</v>
      </c>
      <c r="AF90">
        <f>IF($B90="",0,COUNTIFS('UX Weekly'!$H$1:$CT$1,"&gt;="&amp;AF$1,'UX Weekly'!$H$1:$CT$1,"&lt;="&amp;EOMONTH(AF$1,0),'UX Weekly'!$H90:$CT90,"&lt;&gt;"))</f>
        <v>0</v>
      </c>
      <c r="AG90">
        <f>IF($B90="",0,COUNTIFS('UX Weekly'!$H$1:$CT$1,"&gt;="&amp;AG$1,'UX Weekly'!$H$1:$CT$1,"&lt;="&amp;EOMONTH(AG$1,0),'UX Weekly'!$H90:$CT90,"&lt;&gt;"))</f>
        <v>0</v>
      </c>
      <c r="AH90">
        <f>IF($B90="",0,COUNTIFS('UX Weekly'!$H$1:$CT$1,"&gt;="&amp;AH$1,'UX Weekly'!$H$1:$CT$1,"&lt;="&amp;EOMONTH(AH$1,0),'UX Weekly'!$H90:$CT90,"&lt;&gt;"))</f>
        <v>0</v>
      </c>
      <c r="AI90">
        <f>IF($B90="",0,COUNTIFS('UX Weekly'!$H$1:$CT$1,"&gt;="&amp;AI$1,'UX Weekly'!$H$1:$CT$1,"&lt;="&amp;EOMONTH(AI$1,0),'UX Weekly'!$H90:$CT90,"&lt;&gt;"))</f>
        <v>0</v>
      </c>
      <c r="AJ90">
        <f>IF($B90="",0,COUNTIFS('UX Weekly'!$H$1:$CT$1,"&gt;="&amp;AJ$1,'UX Weekly'!$H$1:$CT$1,"&lt;="&amp;EOMONTH(AJ$1,0),'UX Weekly'!$H90:$CT90,"&lt;&gt;"))</f>
        <v>0</v>
      </c>
      <c r="AK90">
        <f>IF($B90="",0,COUNTIFS('UX Weekly'!$H$1:$CT$1,"&gt;="&amp;AK$1,'UX Weekly'!$H$1:$CT$1,"&lt;="&amp;EOMONTH(AK$1,0),'UX Weekly'!$H90:$CT90,"&lt;&gt;"))</f>
        <v>0</v>
      </c>
      <c r="AL90">
        <f>IF($B90="",0,COUNTIFS('UX Weekly'!$H$1:$CT$1,"&gt;="&amp;AL$1,'UX Weekly'!$H$1:$CT$1,"&lt;="&amp;EOMONTH(AL$1,0),'UX Weekly'!$H90:$CT90,"&lt;&gt;"))</f>
        <v>0</v>
      </c>
      <c r="AM90">
        <f>IF($B90="",0,COUNTIFS('UX Weekly'!$H$1:$CT$1,"&gt;="&amp;AM$1,'UX Weekly'!$H$1:$CT$1,"&lt;="&amp;EOMONTH(AM$1,0),'UX Weekly'!$H90:$CT90,"&lt;&gt;"))</f>
        <v>0</v>
      </c>
      <c r="AN90">
        <f>IF($B90="",0,COUNTIFS('UX Weekly'!$H$1:$CT$1,"&gt;="&amp;AN$1,'UX Weekly'!$H$1:$CT$1,"&lt;="&amp;EOMONTH(AN$1,0),'UX Weekly'!$H90:$CT90,"&lt;&gt;"))</f>
        <v>0</v>
      </c>
      <c r="AO90">
        <f>IF($B90="",0,COUNTIFS('UX Weekly'!$H$1:$CT$1,"&gt;="&amp;AO$1,'UX Weekly'!$H$1:$CT$1,"&lt;="&amp;EOMONTH(AO$1,0),'UX Weekly'!$H90:$CT90,"&lt;&gt;"))</f>
        <v>0</v>
      </c>
      <c r="AP90">
        <f>IF($B90="",0,COUNTIFS('UX Weekly'!$H$1:$CT$1,"&gt;="&amp;AP$1,'UX Weekly'!$H$1:$CT$1,"&lt;="&amp;EOMONTH(AP$1,0),'UX Weekly'!$H90:$CT90,"&lt;&gt;"))</f>
        <v>0</v>
      </c>
      <c r="AQ90">
        <f>IF($B90="",0,COUNTIFS('UX Weekly'!$H$1:$CT$1,"&gt;="&amp;AQ$1,'UX Weekly'!$H$1:$CT$1,"&lt;="&amp;EOMONTH(AQ$1,0),'UX Weekly'!$H90:$CT90,"&lt;&gt;"))</f>
        <v>0</v>
      </c>
      <c r="AR90">
        <f>IF($B90="",0,COUNTIFS('UX Weekly'!$H$1:$CT$1,"&gt;="&amp;AR$1,'UX Weekly'!$H$1:$CT$1,"&lt;="&amp;EOMONTH(AR$1,0),'UX Weekly'!$H90:$CT90,"&lt;&gt;"))</f>
        <v>0</v>
      </c>
      <c r="AS90">
        <f>IF($B90="",0,COUNTIFS('UX Weekly'!$H$1:$CT$1,"&gt;="&amp;AS$1,'UX Weekly'!$H$1:$CT$1,"&lt;="&amp;EOMONTH(AS$1,0),'UX Weekly'!$H90:$CT90,"&lt;&gt;"))</f>
        <v>0</v>
      </c>
      <c r="AT90">
        <f>IF($B90="",0,COUNTIFS('UX Weekly'!$H$1:$CT$1,"&gt;="&amp;AT$1,'UX Weekly'!$H$1:$CT$1,"&lt;="&amp;EOMONTH(AT$1,0),'UX Weekly'!$H90:$CT90,"&lt;&gt;"))</f>
        <v>0</v>
      </c>
      <c r="AU90">
        <f>IF($B90="",0,COUNTIFS('UX Weekly'!$H$1:$CT$1,"&gt;="&amp;AU$1,'UX Weekly'!$H$1:$CT$1,"&lt;="&amp;EOMONTH(AU$1,0),'UX Weekly'!$H90:$CT90,"&lt;&gt;"))</f>
        <v>0</v>
      </c>
      <c r="AV90">
        <f>IF($B90="",0,COUNTIFS('UX Weekly'!$H$1:$CT$1,"&gt;="&amp;AV$1,'UX Weekly'!$H$1:$CT$1,"&lt;="&amp;EOMONTH(AV$1,0),'UX Weekly'!$H90:$CT90,"&lt;&gt;"))</f>
        <v>0</v>
      </c>
      <c r="AW90">
        <f>IF($B90="",0,COUNTIFS('UX Weekly'!$H$1:$CT$1,"&gt;="&amp;AW$1,'UX Weekly'!$H$1:$CT$1,"&lt;="&amp;EOMONTH(AW$1,0),'UX Weekly'!$H90:$CT90,"&lt;&gt;"))</f>
        <v>0</v>
      </c>
      <c r="AX90">
        <f>IF($B90="",0,COUNTIFS('UX Weekly'!$H$1:$CT$1,"&gt;="&amp;AX$1,'UX Weekly'!$H$1:$CT$1,"&lt;="&amp;EOMONTH(AX$1,0),'UX Weekly'!$H90:$CT90,"&lt;&gt;"))</f>
        <v>0</v>
      </c>
    </row>
    <row r="91" spans="1:50" x14ac:dyDescent="0.2">
      <c r="A91" s="152">
        <v>91</v>
      </c>
      <c r="B91" s="152" t="str">
        <f>IF(TRIM('UX Weekly'!E91)="","",TRIM('UX Weekly'!E91))</f>
        <v/>
      </c>
      <c r="C91" s="152" t="str">
        <f>IF($B91="","",'UX Weekly'!B91)</f>
        <v/>
      </c>
      <c r="D91" s="152" t="str">
        <f>IF($B91="","",IF(TRIM('UX Weekly'!C91)="","(No theme assigned)",TRIM('UX Weekly'!C91)))</f>
        <v/>
      </c>
      <c r="E91" s="152" t="str">
        <f>IF($B91="","",TRIM('UX Weekly'!F91))</f>
        <v/>
      </c>
      <c r="F91" s="152" t="str">
        <f>IF($B91="","",'UX Weekly'!G91)</f>
        <v/>
      </c>
      <c r="G91" s="153" t="str">
        <f t="array" ref="G91">IF($B91="","",IF($T91=0,"",IFERROR(MIN(IF('UX Weekly'!$H91:$CT91&lt;&gt;"",'UX Weekly'!$H$1:$CT$1)),"")))</f>
        <v/>
      </c>
      <c r="H91" s="153" t="str">
        <f t="array" ref="H91">IF($B91="","",IF($T91=0,"",IFERROR(MAX(IF('UX Weekly'!$H91:$CT91&lt;&gt;"",'UX Weekly'!$H$1:$CT$1)),"")))</f>
        <v/>
      </c>
      <c r="I91" s="154" t="str">
        <f t="shared" ca="1" si="14"/>
        <v/>
      </c>
      <c r="J91" s="154" t="str">
        <f t="shared" ca="1" si="15"/>
        <v/>
      </c>
      <c r="K91" s="152" t="str">
        <f>IF($B91="","",IF(COUNTA('Dev Tracker'!L91)=0,"",TRIM('Dev Tracker'!L91)))</f>
        <v/>
      </c>
      <c r="L91" s="152" t="str">
        <f>IF($B91="","",IFERROR(MATCH($D91,Control!$E$4:$E$30,0),99))</f>
        <v/>
      </c>
      <c r="M91" s="152" t="str">
        <f>IF($B91="","",IFERROR(MATCH($F91,Control!$B$4:$B$30,0),99))</f>
        <v/>
      </c>
      <c r="N91" s="152" t="str">
        <f>IF($V91&lt;&gt;1,"",IF('Roadmap (Auto)'!$D$3="Status, then Theme",$M91*1000000+$L91*10000+ROW(),IF('Roadmap (Auto)'!$D$3="Dev start (earliest)",IF($I91="",99999999,$I91)*10000+ROW(),IF('Roadmap (Auto)'!$D$3="UX start (earliest)",IF($G91="",99999999,$G91)*10000+ROW(),IF('Roadmap (Auto)'!$D$3="Deliverable A-Z",$W91*10000+ROW(),$L91*1000000+$M91*10000+ROW())))))</f>
        <v/>
      </c>
      <c r="O91" s="152" t="str">
        <f t="shared" si="16"/>
        <v/>
      </c>
      <c r="P91" s="152" t="str">
        <f>IF($B91="","",IF(COUNTA('Dev Tracker'!I91)=0,"",'Dev Tracker'!I91))</f>
        <v/>
      </c>
      <c r="Q91" s="152" t="str">
        <f>IF($B91="","",IF(COUNTA('Dev Tracker'!J91)=0,"",'Dev Tracker'!J91))</f>
        <v/>
      </c>
      <c r="R91" s="154" t="str">
        <f t="shared" ca="1" si="17"/>
        <v/>
      </c>
      <c r="S91" s="154" t="str">
        <f t="shared" ca="1" si="18"/>
        <v/>
      </c>
      <c r="T91" s="152" t="str">
        <f>IF($B91="","",COUNTA('UX Weekly'!$H91:$CT91))</f>
        <v/>
      </c>
      <c r="U91" s="152" t="str">
        <f>IF($B91="","",IFERROR(MATCH($D91,Control!$E$4:$E$30,0)+3,0))</f>
        <v/>
      </c>
      <c r="V91" s="152" t="str">
        <f>IF($B91="","",IF(AND(OR('Roadmap (Auto)'!$A$3="",'Roadmap (Auto)'!$A$3="(All)",ISNUMBER(SEARCH('Roadmap (Auto)'!$A$3,$C91&amp;""))),OR('Roadmap (Auto)'!$B$3="",'Roadmap (Auto)'!$B$3="(All)",$D91='Roadmap (Auto)'!$B$3,$X91='Roadmap (Auto)'!$B$3),OR('Roadmap (Auto)'!$C$3="",'Roadmap (Auto)'!$C$3="(All)",$F91='Roadmap (Auto)'!$C$3)),1,0))</f>
        <v/>
      </c>
      <c r="W91" s="152" t="str">
        <f t="shared" si="19"/>
        <v/>
      </c>
      <c r="X91" s="152" t="str">
        <f>IF($B91="","",IF(TRIM('UX Weekly'!D91)="","",TRIM('UX Weekly'!D91)))</f>
        <v/>
      </c>
      <c r="Y91" s="152" t="str">
        <f t="shared" si="20"/>
        <v/>
      </c>
      <c r="AA91">
        <f>IF($B91="",0,COUNTIFS('UX Weekly'!$H$1:$CT$1,"&gt;="&amp;AA$1,'UX Weekly'!$H$1:$CT$1,"&lt;="&amp;EOMONTH(AA$1,0),'UX Weekly'!$H91:$CT91,"&lt;&gt;"))</f>
        <v>0</v>
      </c>
      <c r="AB91">
        <f>IF($B91="",0,COUNTIFS('UX Weekly'!$H$1:$CT$1,"&gt;="&amp;AB$1,'UX Weekly'!$H$1:$CT$1,"&lt;="&amp;EOMONTH(AB$1,0),'UX Weekly'!$H91:$CT91,"&lt;&gt;"))</f>
        <v>0</v>
      </c>
      <c r="AC91">
        <f>IF($B91="",0,COUNTIFS('UX Weekly'!$H$1:$CT$1,"&gt;="&amp;AC$1,'UX Weekly'!$H$1:$CT$1,"&lt;="&amp;EOMONTH(AC$1,0),'UX Weekly'!$H91:$CT91,"&lt;&gt;"))</f>
        <v>0</v>
      </c>
      <c r="AD91">
        <f>IF($B91="",0,COUNTIFS('UX Weekly'!$H$1:$CT$1,"&gt;="&amp;AD$1,'UX Weekly'!$H$1:$CT$1,"&lt;="&amp;EOMONTH(AD$1,0),'UX Weekly'!$H91:$CT91,"&lt;&gt;"))</f>
        <v>0</v>
      </c>
      <c r="AE91">
        <f>IF($B91="",0,COUNTIFS('UX Weekly'!$H$1:$CT$1,"&gt;="&amp;AE$1,'UX Weekly'!$H$1:$CT$1,"&lt;="&amp;EOMONTH(AE$1,0),'UX Weekly'!$H91:$CT91,"&lt;&gt;"))</f>
        <v>0</v>
      </c>
      <c r="AF91">
        <f>IF($B91="",0,COUNTIFS('UX Weekly'!$H$1:$CT$1,"&gt;="&amp;AF$1,'UX Weekly'!$H$1:$CT$1,"&lt;="&amp;EOMONTH(AF$1,0),'UX Weekly'!$H91:$CT91,"&lt;&gt;"))</f>
        <v>0</v>
      </c>
      <c r="AG91">
        <f>IF($B91="",0,COUNTIFS('UX Weekly'!$H$1:$CT$1,"&gt;="&amp;AG$1,'UX Weekly'!$H$1:$CT$1,"&lt;="&amp;EOMONTH(AG$1,0),'UX Weekly'!$H91:$CT91,"&lt;&gt;"))</f>
        <v>0</v>
      </c>
      <c r="AH91">
        <f>IF($B91="",0,COUNTIFS('UX Weekly'!$H$1:$CT$1,"&gt;="&amp;AH$1,'UX Weekly'!$H$1:$CT$1,"&lt;="&amp;EOMONTH(AH$1,0),'UX Weekly'!$H91:$CT91,"&lt;&gt;"))</f>
        <v>0</v>
      </c>
      <c r="AI91">
        <f>IF($B91="",0,COUNTIFS('UX Weekly'!$H$1:$CT$1,"&gt;="&amp;AI$1,'UX Weekly'!$H$1:$CT$1,"&lt;="&amp;EOMONTH(AI$1,0),'UX Weekly'!$H91:$CT91,"&lt;&gt;"))</f>
        <v>0</v>
      </c>
      <c r="AJ91">
        <f>IF($B91="",0,COUNTIFS('UX Weekly'!$H$1:$CT$1,"&gt;="&amp;AJ$1,'UX Weekly'!$H$1:$CT$1,"&lt;="&amp;EOMONTH(AJ$1,0),'UX Weekly'!$H91:$CT91,"&lt;&gt;"))</f>
        <v>0</v>
      </c>
      <c r="AK91">
        <f>IF($B91="",0,COUNTIFS('UX Weekly'!$H$1:$CT$1,"&gt;="&amp;AK$1,'UX Weekly'!$H$1:$CT$1,"&lt;="&amp;EOMONTH(AK$1,0),'UX Weekly'!$H91:$CT91,"&lt;&gt;"))</f>
        <v>0</v>
      </c>
      <c r="AL91">
        <f>IF($B91="",0,COUNTIFS('UX Weekly'!$H$1:$CT$1,"&gt;="&amp;AL$1,'UX Weekly'!$H$1:$CT$1,"&lt;="&amp;EOMONTH(AL$1,0),'UX Weekly'!$H91:$CT91,"&lt;&gt;"))</f>
        <v>0</v>
      </c>
      <c r="AM91">
        <f>IF($B91="",0,COUNTIFS('UX Weekly'!$H$1:$CT$1,"&gt;="&amp;AM$1,'UX Weekly'!$H$1:$CT$1,"&lt;="&amp;EOMONTH(AM$1,0),'UX Weekly'!$H91:$CT91,"&lt;&gt;"))</f>
        <v>0</v>
      </c>
      <c r="AN91">
        <f>IF($B91="",0,COUNTIFS('UX Weekly'!$H$1:$CT$1,"&gt;="&amp;AN$1,'UX Weekly'!$H$1:$CT$1,"&lt;="&amp;EOMONTH(AN$1,0),'UX Weekly'!$H91:$CT91,"&lt;&gt;"))</f>
        <v>0</v>
      </c>
      <c r="AO91">
        <f>IF($B91="",0,COUNTIFS('UX Weekly'!$H$1:$CT$1,"&gt;="&amp;AO$1,'UX Weekly'!$H$1:$CT$1,"&lt;="&amp;EOMONTH(AO$1,0),'UX Weekly'!$H91:$CT91,"&lt;&gt;"))</f>
        <v>0</v>
      </c>
      <c r="AP91">
        <f>IF($B91="",0,COUNTIFS('UX Weekly'!$H$1:$CT$1,"&gt;="&amp;AP$1,'UX Weekly'!$H$1:$CT$1,"&lt;="&amp;EOMONTH(AP$1,0),'UX Weekly'!$H91:$CT91,"&lt;&gt;"))</f>
        <v>0</v>
      </c>
      <c r="AQ91">
        <f>IF($B91="",0,COUNTIFS('UX Weekly'!$H$1:$CT$1,"&gt;="&amp;AQ$1,'UX Weekly'!$H$1:$CT$1,"&lt;="&amp;EOMONTH(AQ$1,0),'UX Weekly'!$H91:$CT91,"&lt;&gt;"))</f>
        <v>0</v>
      </c>
      <c r="AR91">
        <f>IF($B91="",0,COUNTIFS('UX Weekly'!$H$1:$CT$1,"&gt;="&amp;AR$1,'UX Weekly'!$H$1:$CT$1,"&lt;="&amp;EOMONTH(AR$1,0),'UX Weekly'!$H91:$CT91,"&lt;&gt;"))</f>
        <v>0</v>
      </c>
      <c r="AS91">
        <f>IF($B91="",0,COUNTIFS('UX Weekly'!$H$1:$CT$1,"&gt;="&amp;AS$1,'UX Weekly'!$H$1:$CT$1,"&lt;="&amp;EOMONTH(AS$1,0),'UX Weekly'!$H91:$CT91,"&lt;&gt;"))</f>
        <v>0</v>
      </c>
      <c r="AT91">
        <f>IF($B91="",0,COUNTIFS('UX Weekly'!$H$1:$CT$1,"&gt;="&amp;AT$1,'UX Weekly'!$H$1:$CT$1,"&lt;="&amp;EOMONTH(AT$1,0),'UX Weekly'!$H91:$CT91,"&lt;&gt;"))</f>
        <v>0</v>
      </c>
      <c r="AU91">
        <f>IF($B91="",0,COUNTIFS('UX Weekly'!$H$1:$CT$1,"&gt;="&amp;AU$1,'UX Weekly'!$H$1:$CT$1,"&lt;="&amp;EOMONTH(AU$1,0),'UX Weekly'!$H91:$CT91,"&lt;&gt;"))</f>
        <v>0</v>
      </c>
      <c r="AV91">
        <f>IF($B91="",0,COUNTIFS('UX Weekly'!$H$1:$CT$1,"&gt;="&amp;AV$1,'UX Weekly'!$H$1:$CT$1,"&lt;="&amp;EOMONTH(AV$1,0),'UX Weekly'!$H91:$CT91,"&lt;&gt;"))</f>
        <v>0</v>
      </c>
      <c r="AW91">
        <f>IF($B91="",0,COUNTIFS('UX Weekly'!$H$1:$CT$1,"&gt;="&amp;AW$1,'UX Weekly'!$H$1:$CT$1,"&lt;="&amp;EOMONTH(AW$1,0),'UX Weekly'!$H91:$CT91,"&lt;&gt;"))</f>
        <v>0</v>
      </c>
      <c r="AX91">
        <f>IF($B91="",0,COUNTIFS('UX Weekly'!$H$1:$CT$1,"&gt;="&amp;AX$1,'UX Weekly'!$H$1:$CT$1,"&lt;="&amp;EOMONTH(AX$1,0),'UX Weekly'!$H91:$CT91,"&lt;&gt;"))</f>
        <v>0</v>
      </c>
    </row>
    <row r="92" spans="1:50" x14ac:dyDescent="0.2">
      <c r="A92" s="152">
        <v>92</v>
      </c>
      <c r="B92" s="152" t="str">
        <f>IF(TRIM('UX Weekly'!E92)="","",TRIM('UX Weekly'!E92))</f>
        <v/>
      </c>
      <c r="C92" s="152" t="str">
        <f>IF($B92="","",'UX Weekly'!B92)</f>
        <v/>
      </c>
      <c r="D92" s="152" t="str">
        <f>IF($B92="","",IF(TRIM('UX Weekly'!C92)="","(No theme assigned)",TRIM('UX Weekly'!C92)))</f>
        <v/>
      </c>
      <c r="E92" s="152" t="str">
        <f>IF($B92="","",TRIM('UX Weekly'!F92))</f>
        <v/>
      </c>
      <c r="F92" s="152" t="str">
        <f>IF($B92="","",'UX Weekly'!G92)</f>
        <v/>
      </c>
      <c r="G92" s="153" t="str">
        <f t="array" ref="G92">IF($B92="","",IF($T92=0,"",IFERROR(MIN(IF('UX Weekly'!$H92:$CT92&lt;&gt;"",'UX Weekly'!$H$1:$CT$1)),"")))</f>
        <v/>
      </c>
      <c r="H92" s="153" t="str">
        <f t="array" ref="H92">IF($B92="","",IF($T92=0,"",IFERROR(MAX(IF('UX Weekly'!$H92:$CT92&lt;&gt;"",'UX Weekly'!$H$1:$CT$1)),"")))</f>
        <v/>
      </c>
      <c r="I92" s="154" t="str">
        <f t="shared" ca="1" si="14"/>
        <v/>
      </c>
      <c r="J92" s="154" t="str">
        <f t="shared" ca="1" si="15"/>
        <v/>
      </c>
      <c r="K92" s="152" t="str">
        <f>IF($B92="","",IF(COUNTA('Dev Tracker'!L92)=0,"",TRIM('Dev Tracker'!L92)))</f>
        <v/>
      </c>
      <c r="L92" s="152" t="str">
        <f>IF($B92="","",IFERROR(MATCH($D92,Control!$E$4:$E$30,0),99))</f>
        <v/>
      </c>
      <c r="M92" s="152" t="str">
        <f>IF($B92="","",IFERROR(MATCH($F92,Control!$B$4:$B$30,0),99))</f>
        <v/>
      </c>
      <c r="N92" s="152" t="str">
        <f>IF($V92&lt;&gt;1,"",IF('Roadmap (Auto)'!$D$3="Status, then Theme",$M92*1000000+$L92*10000+ROW(),IF('Roadmap (Auto)'!$D$3="Dev start (earliest)",IF($I92="",99999999,$I92)*10000+ROW(),IF('Roadmap (Auto)'!$D$3="UX start (earliest)",IF($G92="",99999999,$G92)*10000+ROW(),IF('Roadmap (Auto)'!$D$3="Deliverable A-Z",$W92*10000+ROW(),$L92*1000000+$M92*10000+ROW())))))</f>
        <v/>
      </c>
      <c r="O92" s="152" t="str">
        <f t="shared" si="16"/>
        <v/>
      </c>
      <c r="P92" s="152" t="str">
        <f>IF($B92="","",IF(COUNTA('Dev Tracker'!I92)=0,"",'Dev Tracker'!I92))</f>
        <v/>
      </c>
      <c r="Q92" s="152" t="str">
        <f>IF($B92="","",IF(COUNTA('Dev Tracker'!J92)=0,"",'Dev Tracker'!J92))</f>
        <v/>
      </c>
      <c r="R92" s="154" t="str">
        <f t="shared" ca="1" si="17"/>
        <v/>
      </c>
      <c r="S92" s="154" t="str">
        <f t="shared" ca="1" si="18"/>
        <v/>
      </c>
      <c r="T92" s="152" t="str">
        <f>IF($B92="","",COUNTA('UX Weekly'!$H92:$CT92))</f>
        <v/>
      </c>
      <c r="U92" s="152" t="str">
        <f>IF($B92="","",IFERROR(MATCH($D92,Control!$E$4:$E$30,0)+3,0))</f>
        <v/>
      </c>
      <c r="V92" s="152" t="str">
        <f>IF($B92="","",IF(AND(OR('Roadmap (Auto)'!$A$3="",'Roadmap (Auto)'!$A$3="(All)",ISNUMBER(SEARCH('Roadmap (Auto)'!$A$3,$C92&amp;""))),OR('Roadmap (Auto)'!$B$3="",'Roadmap (Auto)'!$B$3="(All)",$D92='Roadmap (Auto)'!$B$3,$X92='Roadmap (Auto)'!$B$3),OR('Roadmap (Auto)'!$C$3="",'Roadmap (Auto)'!$C$3="(All)",$F92='Roadmap (Auto)'!$C$3)),1,0))</f>
        <v/>
      </c>
      <c r="W92" s="152" t="str">
        <f t="shared" si="19"/>
        <v/>
      </c>
      <c r="X92" s="152" t="str">
        <f>IF($B92="","",IF(TRIM('UX Weekly'!D92)="","",TRIM('UX Weekly'!D92)))</f>
        <v/>
      </c>
      <c r="Y92" s="152" t="str">
        <f t="shared" si="20"/>
        <v/>
      </c>
      <c r="AA92">
        <f>IF($B92="",0,COUNTIFS('UX Weekly'!$H$1:$CT$1,"&gt;="&amp;AA$1,'UX Weekly'!$H$1:$CT$1,"&lt;="&amp;EOMONTH(AA$1,0),'UX Weekly'!$H92:$CT92,"&lt;&gt;"))</f>
        <v>0</v>
      </c>
      <c r="AB92">
        <f>IF($B92="",0,COUNTIFS('UX Weekly'!$H$1:$CT$1,"&gt;="&amp;AB$1,'UX Weekly'!$H$1:$CT$1,"&lt;="&amp;EOMONTH(AB$1,0),'UX Weekly'!$H92:$CT92,"&lt;&gt;"))</f>
        <v>0</v>
      </c>
      <c r="AC92">
        <f>IF($B92="",0,COUNTIFS('UX Weekly'!$H$1:$CT$1,"&gt;="&amp;AC$1,'UX Weekly'!$H$1:$CT$1,"&lt;="&amp;EOMONTH(AC$1,0),'UX Weekly'!$H92:$CT92,"&lt;&gt;"))</f>
        <v>0</v>
      </c>
      <c r="AD92">
        <f>IF($B92="",0,COUNTIFS('UX Weekly'!$H$1:$CT$1,"&gt;="&amp;AD$1,'UX Weekly'!$H$1:$CT$1,"&lt;="&amp;EOMONTH(AD$1,0),'UX Weekly'!$H92:$CT92,"&lt;&gt;"))</f>
        <v>0</v>
      </c>
      <c r="AE92">
        <f>IF($B92="",0,COUNTIFS('UX Weekly'!$H$1:$CT$1,"&gt;="&amp;AE$1,'UX Weekly'!$H$1:$CT$1,"&lt;="&amp;EOMONTH(AE$1,0),'UX Weekly'!$H92:$CT92,"&lt;&gt;"))</f>
        <v>0</v>
      </c>
      <c r="AF92">
        <f>IF($B92="",0,COUNTIFS('UX Weekly'!$H$1:$CT$1,"&gt;="&amp;AF$1,'UX Weekly'!$H$1:$CT$1,"&lt;="&amp;EOMONTH(AF$1,0),'UX Weekly'!$H92:$CT92,"&lt;&gt;"))</f>
        <v>0</v>
      </c>
      <c r="AG92">
        <f>IF($B92="",0,COUNTIFS('UX Weekly'!$H$1:$CT$1,"&gt;="&amp;AG$1,'UX Weekly'!$H$1:$CT$1,"&lt;="&amp;EOMONTH(AG$1,0),'UX Weekly'!$H92:$CT92,"&lt;&gt;"))</f>
        <v>0</v>
      </c>
      <c r="AH92">
        <f>IF($B92="",0,COUNTIFS('UX Weekly'!$H$1:$CT$1,"&gt;="&amp;AH$1,'UX Weekly'!$H$1:$CT$1,"&lt;="&amp;EOMONTH(AH$1,0),'UX Weekly'!$H92:$CT92,"&lt;&gt;"))</f>
        <v>0</v>
      </c>
      <c r="AI92">
        <f>IF($B92="",0,COUNTIFS('UX Weekly'!$H$1:$CT$1,"&gt;="&amp;AI$1,'UX Weekly'!$H$1:$CT$1,"&lt;="&amp;EOMONTH(AI$1,0),'UX Weekly'!$H92:$CT92,"&lt;&gt;"))</f>
        <v>0</v>
      </c>
      <c r="AJ92">
        <f>IF($B92="",0,COUNTIFS('UX Weekly'!$H$1:$CT$1,"&gt;="&amp;AJ$1,'UX Weekly'!$H$1:$CT$1,"&lt;="&amp;EOMONTH(AJ$1,0),'UX Weekly'!$H92:$CT92,"&lt;&gt;"))</f>
        <v>0</v>
      </c>
      <c r="AK92">
        <f>IF($B92="",0,COUNTIFS('UX Weekly'!$H$1:$CT$1,"&gt;="&amp;AK$1,'UX Weekly'!$H$1:$CT$1,"&lt;="&amp;EOMONTH(AK$1,0),'UX Weekly'!$H92:$CT92,"&lt;&gt;"))</f>
        <v>0</v>
      </c>
      <c r="AL92">
        <f>IF($B92="",0,COUNTIFS('UX Weekly'!$H$1:$CT$1,"&gt;="&amp;AL$1,'UX Weekly'!$H$1:$CT$1,"&lt;="&amp;EOMONTH(AL$1,0),'UX Weekly'!$H92:$CT92,"&lt;&gt;"))</f>
        <v>0</v>
      </c>
      <c r="AM92">
        <f>IF($B92="",0,COUNTIFS('UX Weekly'!$H$1:$CT$1,"&gt;="&amp;AM$1,'UX Weekly'!$H$1:$CT$1,"&lt;="&amp;EOMONTH(AM$1,0),'UX Weekly'!$H92:$CT92,"&lt;&gt;"))</f>
        <v>0</v>
      </c>
      <c r="AN92">
        <f>IF($B92="",0,COUNTIFS('UX Weekly'!$H$1:$CT$1,"&gt;="&amp;AN$1,'UX Weekly'!$H$1:$CT$1,"&lt;="&amp;EOMONTH(AN$1,0),'UX Weekly'!$H92:$CT92,"&lt;&gt;"))</f>
        <v>0</v>
      </c>
      <c r="AO92">
        <f>IF($B92="",0,COUNTIFS('UX Weekly'!$H$1:$CT$1,"&gt;="&amp;AO$1,'UX Weekly'!$H$1:$CT$1,"&lt;="&amp;EOMONTH(AO$1,0),'UX Weekly'!$H92:$CT92,"&lt;&gt;"))</f>
        <v>0</v>
      </c>
      <c r="AP92">
        <f>IF($B92="",0,COUNTIFS('UX Weekly'!$H$1:$CT$1,"&gt;="&amp;AP$1,'UX Weekly'!$H$1:$CT$1,"&lt;="&amp;EOMONTH(AP$1,0),'UX Weekly'!$H92:$CT92,"&lt;&gt;"))</f>
        <v>0</v>
      </c>
      <c r="AQ92">
        <f>IF($B92="",0,COUNTIFS('UX Weekly'!$H$1:$CT$1,"&gt;="&amp;AQ$1,'UX Weekly'!$H$1:$CT$1,"&lt;="&amp;EOMONTH(AQ$1,0),'UX Weekly'!$H92:$CT92,"&lt;&gt;"))</f>
        <v>0</v>
      </c>
      <c r="AR92">
        <f>IF($B92="",0,COUNTIFS('UX Weekly'!$H$1:$CT$1,"&gt;="&amp;AR$1,'UX Weekly'!$H$1:$CT$1,"&lt;="&amp;EOMONTH(AR$1,0),'UX Weekly'!$H92:$CT92,"&lt;&gt;"))</f>
        <v>0</v>
      </c>
      <c r="AS92">
        <f>IF($B92="",0,COUNTIFS('UX Weekly'!$H$1:$CT$1,"&gt;="&amp;AS$1,'UX Weekly'!$H$1:$CT$1,"&lt;="&amp;EOMONTH(AS$1,0),'UX Weekly'!$H92:$CT92,"&lt;&gt;"))</f>
        <v>0</v>
      </c>
      <c r="AT92">
        <f>IF($B92="",0,COUNTIFS('UX Weekly'!$H$1:$CT$1,"&gt;="&amp;AT$1,'UX Weekly'!$H$1:$CT$1,"&lt;="&amp;EOMONTH(AT$1,0),'UX Weekly'!$H92:$CT92,"&lt;&gt;"))</f>
        <v>0</v>
      </c>
      <c r="AU92">
        <f>IF($B92="",0,COUNTIFS('UX Weekly'!$H$1:$CT$1,"&gt;="&amp;AU$1,'UX Weekly'!$H$1:$CT$1,"&lt;="&amp;EOMONTH(AU$1,0),'UX Weekly'!$H92:$CT92,"&lt;&gt;"))</f>
        <v>0</v>
      </c>
      <c r="AV92">
        <f>IF($B92="",0,COUNTIFS('UX Weekly'!$H$1:$CT$1,"&gt;="&amp;AV$1,'UX Weekly'!$H$1:$CT$1,"&lt;="&amp;EOMONTH(AV$1,0),'UX Weekly'!$H92:$CT92,"&lt;&gt;"))</f>
        <v>0</v>
      </c>
      <c r="AW92">
        <f>IF($B92="",0,COUNTIFS('UX Weekly'!$H$1:$CT$1,"&gt;="&amp;AW$1,'UX Weekly'!$H$1:$CT$1,"&lt;="&amp;EOMONTH(AW$1,0),'UX Weekly'!$H92:$CT92,"&lt;&gt;"))</f>
        <v>0</v>
      </c>
      <c r="AX92">
        <f>IF($B92="",0,COUNTIFS('UX Weekly'!$H$1:$CT$1,"&gt;="&amp;AX$1,'UX Weekly'!$H$1:$CT$1,"&lt;="&amp;EOMONTH(AX$1,0),'UX Weekly'!$H92:$CT92,"&lt;&gt;"))</f>
        <v>0</v>
      </c>
    </row>
    <row r="93" spans="1:50" x14ac:dyDescent="0.2">
      <c r="A93" s="152">
        <v>93</v>
      </c>
      <c r="B93" s="152" t="str">
        <f>IF(TRIM('UX Weekly'!E93)="","",TRIM('UX Weekly'!E93))</f>
        <v/>
      </c>
      <c r="C93" s="152" t="str">
        <f>IF($B93="","",'UX Weekly'!B93)</f>
        <v/>
      </c>
      <c r="D93" s="152" t="str">
        <f>IF($B93="","",IF(TRIM('UX Weekly'!C93)="","(No theme assigned)",TRIM('UX Weekly'!C93)))</f>
        <v/>
      </c>
      <c r="E93" s="152" t="str">
        <f>IF($B93="","",TRIM('UX Weekly'!F93))</f>
        <v/>
      </c>
      <c r="F93" s="152" t="str">
        <f>IF($B93="","",'UX Weekly'!G93)</f>
        <v/>
      </c>
      <c r="G93" s="153" t="str">
        <f t="array" ref="G93">IF($B93="","",IF($T93=0,"",IFERROR(MIN(IF('UX Weekly'!$H93:$CT93&lt;&gt;"",'UX Weekly'!$H$1:$CT$1)),"")))</f>
        <v/>
      </c>
      <c r="H93" s="153" t="str">
        <f t="array" ref="H93">IF($B93="","",IF($T93=0,"",IFERROR(MAX(IF('UX Weekly'!$H93:$CT93&lt;&gt;"",'UX Weekly'!$H$1:$CT$1)),"")))</f>
        <v/>
      </c>
      <c r="I93" s="154" t="str">
        <f t="shared" ca="1" si="14"/>
        <v/>
      </c>
      <c r="J93" s="154" t="str">
        <f t="shared" ca="1" si="15"/>
        <v/>
      </c>
      <c r="K93" s="152" t="str">
        <f>IF($B93="","",IF(COUNTA('Dev Tracker'!L93)=0,"",TRIM('Dev Tracker'!L93)))</f>
        <v/>
      </c>
      <c r="L93" s="152" t="str">
        <f>IF($B93="","",IFERROR(MATCH($D93,Control!$E$4:$E$30,0),99))</f>
        <v/>
      </c>
      <c r="M93" s="152" t="str">
        <f>IF($B93="","",IFERROR(MATCH($F93,Control!$B$4:$B$30,0),99))</f>
        <v/>
      </c>
      <c r="N93" s="152" t="str">
        <f>IF($V93&lt;&gt;1,"",IF('Roadmap (Auto)'!$D$3="Status, then Theme",$M93*1000000+$L93*10000+ROW(),IF('Roadmap (Auto)'!$D$3="Dev start (earliest)",IF($I93="",99999999,$I93)*10000+ROW(),IF('Roadmap (Auto)'!$D$3="UX start (earliest)",IF($G93="",99999999,$G93)*10000+ROW(),IF('Roadmap (Auto)'!$D$3="Deliverable A-Z",$W93*10000+ROW(),$L93*1000000+$M93*10000+ROW())))))</f>
        <v/>
      </c>
      <c r="O93" s="152" t="str">
        <f t="shared" si="16"/>
        <v/>
      </c>
      <c r="P93" s="152" t="str">
        <f>IF($B93="","",IF(COUNTA('Dev Tracker'!I93)=0,"",'Dev Tracker'!I93))</f>
        <v/>
      </c>
      <c r="Q93" s="152" t="str">
        <f>IF($B93="","",IF(COUNTA('Dev Tracker'!J93)=0,"",'Dev Tracker'!J93))</f>
        <v/>
      </c>
      <c r="R93" s="154" t="str">
        <f t="shared" ca="1" si="17"/>
        <v/>
      </c>
      <c r="S93" s="154" t="str">
        <f t="shared" ca="1" si="18"/>
        <v/>
      </c>
      <c r="T93" s="152" t="str">
        <f>IF($B93="","",COUNTA('UX Weekly'!$H93:$CT93))</f>
        <v/>
      </c>
      <c r="U93" s="152" t="str">
        <f>IF($B93="","",IFERROR(MATCH($D93,Control!$E$4:$E$30,0)+3,0))</f>
        <v/>
      </c>
      <c r="V93" s="152" t="str">
        <f>IF($B93="","",IF(AND(OR('Roadmap (Auto)'!$A$3="",'Roadmap (Auto)'!$A$3="(All)",ISNUMBER(SEARCH('Roadmap (Auto)'!$A$3,$C93&amp;""))),OR('Roadmap (Auto)'!$B$3="",'Roadmap (Auto)'!$B$3="(All)",$D93='Roadmap (Auto)'!$B$3,$X93='Roadmap (Auto)'!$B$3),OR('Roadmap (Auto)'!$C$3="",'Roadmap (Auto)'!$C$3="(All)",$F93='Roadmap (Auto)'!$C$3)),1,0))</f>
        <v/>
      </c>
      <c r="W93" s="152" t="str">
        <f t="shared" si="19"/>
        <v/>
      </c>
      <c r="X93" s="152" t="str">
        <f>IF($B93="","",IF(TRIM('UX Weekly'!D93)="","",TRIM('UX Weekly'!D93)))</f>
        <v/>
      </c>
      <c r="Y93" s="152" t="str">
        <f t="shared" si="20"/>
        <v/>
      </c>
      <c r="AA93">
        <f>IF($B93="",0,COUNTIFS('UX Weekly'!$H$1:$CT$1,"&gt;="&amp;AA$1,'UX Weekly'!$H$1:$CT$1,"&lt;="&amp;EOMONTH(AA$1,0),'UX Weekly'!$H93:$CT93,"&lt;&gt;"))</f>
        <v>0</v>
      </c>
      <c r="AB93">
        <f>IF($B93="",0,COUNTIFS('UX Weekly'!$H$1:$CT$1,"&gt;="&amp;AB$1,'UX Weekly'!$H$1:$CT$1,"&lt;="&amp;EOMONTH(AB$1,0),'UX Weekly'!$H93:$CT93,"&lt;&gt;"))</f>
        <v>0</v>
      </c>
      <c r="AC93">
        <f>IF($B93="",0,COUNTIFS('UX Weekly'!$H$1:$CT$1,"&gt;="&amp;AC$1,'UX Weekly'!$H$1:$CT$1,"&lt;="&amp;EOMONTH(AC$1,0),'UX Weekly'!$H93:$CT93,"&lt;&gt;"))</f>
        <v>0</v>
      </c>
      <c r="AD93">
        <f>IF($B93="",0,COUNTIFS('UX Weekly'!$H$1:$CT$1,"&gt;="&amp;AD$1,'UX Weekly'!$H$1:$CT$1,"&lt;="&amp;EOMONTH(AD$1,0),'UX Weekly'!$H93:$CT93,"&lt;&gt;"))</f>
        <v>0</v>
      </c>
      <c r="AE93">
        <f>IF($B93="",0,COUNTIFS('UX Weekly'!$H$1:$CT$1,"&gt;="&amp;AE$1,'UX Weekly'!$H$1:$CT$1,"&lt;="&amp;EOMONTH(AE$1,0),'UX Weekly'!$H93:$CT93,"&lt;&gt;"))</f>
        <v>0</v>
      </c>
      <c r="AF93">
        <f>IF($B93="",0,COUNTIFS('UX Weekly'!$H$1:$CT$1,"&gt;="&amp;AF$1,'UX Weekly'!$H$1:$CT$1,"&lt;="&amp;EOMONTH(AF$1,0),'UX Weekly'!$H93:$CT93,"&lt;&gt;"))</f>
        <v>0</v>
      </c>
      <c r="AG93">
        <f>IF($B93="",0,COUNTIFS('UX Weekly'!$H$1:$CT$1,"&gt;="&amp;AG$1,'UX Weekly'!$H$1:$CT$1,"&lt;="&amp;EOMONTH(AG$1,0),'UX Weekly'!$H93:$CT93,"&lt;&gt;"))</f>
        <v>0</v>
      </c>
      <c r="AH93">
        <f>IF($B93="",0,COUNTIFS('UX Weekly'!$H$1:$CT$1,"&gt;="&amp;AH$1,'UX Weekly'!$H$1:$CT$1,"&lt;="&amp;EOMONTH(AH$1,0),'UX Weekly'!$H93:$CT93,"&lt;&gt;"))</f>
        <v>0</v>
      </c>
      <c r="AI93">
        <f>IF($B93="",0,COUNTIFS('UX Weekly'!$H$1:$CT$1,"&gt;="&amp;AI$1,'UX Weekly'!$H$1:$CT$1,"&lt;="&amp;EOMONTH(AI$1,0),'UX Weekly'!$H93:$CT93,"&lt;&gt;"))</f>
        <v>0</v>
      </c>
      <c r="AJ93">
        <f>IF($B93="",0,COUNTIFS('UX Weekly'!$H$1:$CT$1,"&gt;="&amp;AJ$1,'UX Weekly'!$H$1:$CT$1,"&lt;="&amp;EOMONTH(AJ$1,0),'UX Weekly'!$H93:$CT93,"&lt;&gt;"))</f>
        <v>0</v>
      </c>
      <c r="AK93">
        <f>IF($B93="",0,COUNTIFS('UX Weekly'!$H$1:$CT$1,"&gt;="&amp;AK$1,'UX Weekly'!$H$1:$CT$1,"&lt;="&amp;EOMONTH(AK$1,0),'UX Weekly'!$H93:$CT93,"&lt;&gt;"))</f>
        <v>0</v>
      </c>
      <c r="AL93">
        <f>IF($B93="",0,COUNTIFS('UX Weekly'!$H$1:$CT$1,"&gt;="&amp;AL$1,'UX Weekly'!$H$1:$CT$1,"&lt;="&amp;EOMONTH(AL$1,0),'UX Weekly'!$H93:$CT93,"&lt;&gt;"))</f>
        <v>0</v>
      </c>
      <c r="AM93">
        <f>IF($B93="",0,COUNTIFS('UX Weekly'!$H$1:$CT$1,"&gt;="&amp;AM$1,'UX Weekly'!$H$1:$CT$1,"&lt;="&amp;EOMONTH(AM$1,0),'UX Weekly'!$H93:$CT93,"&lt;&gt;"))</f>
        <v>0</v>
      </c>
      <c r="AN93">
        <f>IF($B93="",0,COUNTIFS('UX Weekly'!$H$1:$CT$1,"&gt;="&amp;AN$1,'UX Weekly'!$H$1:$CT$1,"&lt;="&amp;EOMONTH(AN$1,0),'UX Weekly'!$H93:$CT93,"&lt;&gt;"))</f>
        <v>0</v>
      </c>
      <c r="AO93">
        <f>IF($B93="",0,COUNTIFS('UX Weekly'!$H$1:$CT$1,"&gt;="&amp;AO$1,'UX Weekly'!$H$1:$CT$1,"&lt;="&amp;EOMONTH(AO$1,0),'UX Weekly'!$H93:$CT93,"&lt;&gt;"))</f>
        <v>0</v>
      </c>
      <c r="AP93">
        <f>IF($B93="",0,COUNTIFS('UX Weekly'!$H$1:$CT$1,"&gt;="&amp;AP$1,'UX Weekly'!$H$1:$CT$1,"&lt;="&amp;EOMONTH(AP$1,0),'UX Weekly'!$H93:$CT93,"&lt;&gt;"))</f>
        <v>0</v>
      </c>
      <c r="AQ93">
        <f>IF($B93="",0,COUNTIFS('UX Weekly'!$H$1:$CT$1,"&gt;="&amp;AQ$1,'UX Weekly'!$H$1:$CT$1,"&lt;="&amp;EOMONTH(AQ$1,0),'UX Weekly'!$H93:$CT93,"&lt;&gt;"))</f>
        <v>0</v>
      </c>
      <c r="AR93">
        <f>IF($B93="",0,COUNTIFS('UX Weekly'!$H$1:$CT$1,"&gt;="&amp;AR$1,'UX Weekly'!$H$1:$CT$1,"&lt;="&amp;EOMONTH(AR$1,0),'UX Weekly'!$H93:$CT93,"&lt;&gt;"))</f>
        <v>0</v>
      </c>
      <c r="AS93">
        <f>IF($B93="",0,COUNTIFS('UX Weekly'!$H$1:$CT$1,"&gt;="&amp;AS$1,'UX Weekly'!$H$1:$CT$1,"&lt;="&amp;EOMONTH(AS$1,0),'UX Weekly'!$H93:$CT93,"&lt;&gt;"))</f>
        <v>0</v>
      </c>
      <c r="AT93">
        <f>IF($B93="",0,COUNTIFS('UX Weekly'!$H$1:$CT$1,"&gt;="&amp;AT$1,'UX Weekly'!$H$1:$CT$1,"&lt;="&amp;EOMONTH(AT$1,0),'UX Weekly'!$H93:$CT93,"&lt;&gt;"))</f>
        <v>0</v>
      </c>
      <c r="AU93">
        <f>IF($B93="",0,COUNTIFS('UX Weekly'!$H$1:$CT$1,"&gt;="&amp;AU$1,'UX Weekly'!$H$1:$CT$1,"&lt;="&amp;EOMONTH(AU$1,0),'UX Weekly'!$H93:$CT93,"&lt;&gt;"))</f>
        <v>0</v>
      </c>
      <c r="AV93">
        <f>IF($B93="",0,COUNTIFS('UX Weekly'!$H$1:$CT$1,"&gt;="&amp;AV$1,'UX Weekly'!$H$1:$CT$1,"&lt;="&amp;EOMONTH(AV$1,0),'UX Weekly'!$H93:$CT93,"&lt;&gt;"))</f>
        <v>0</v>
      </c>
      <c r="AW93">
        <f>IF($B93="",0,COUNTIFS('UX Weekly'!$H$1:$CT$1,"&gt;="&amp;AW$1,'UX Weekly'!$H$1:$CT$1,"&lt;="&amp;EOMONTH(AW$1,0),'UX Weekly'!$H93:$CT93,"&lt;&gt;"))</f>
        <v>0</v>
      </c>
      <c r="AX93">
        <f>IF($B93="",0,COUNTIFS('UX Weekly'!$H$1:$CT$1,"&gt;="&amp;AX$1,'UX Weekly'!$H$1:$CT$1,"&lt;="&amp;EOMONTH(AX$1,0),'UX Weekly'!$H93:$CT93,"&lt;&gt;"))</f>
        <v>0</v>
      </c>
    </row>
    <row r="94" spans="1:50" x14ac:dyDescent="0.2">
      <c r="A94" s="152">
        <v>94</v>
      </c>
      <c r="B94" s="152" t="str">
        <f>IF(TRIM('UX Weekly'!E94)="","",TRIM('UX Weekly'!E94))</f>
        <v/>
      </c>
      <c r="C94" s="152" t="str">
        <f>IF($B94="","",'UX Weekly'!B94)</f>
        <v/>
      </c>
      <c r="D94" s="152" t="str">
        <f>IF($B94="","",IF(TRIM('UX Weekly'!C94)="","(No theme assigned)",TRIM('UX Weekly'!C94)))</f>
        <v/>
      </c>
      <c r="E94" s="152" t="str">
        <f>IF($B94="","",TRIM('UX Weekly'!F94))</f>
        <v/>
      </c>
      <c r="F94" s="152" t="str">
        <f>IF($B94="","",'UX Weekly'!G94)</f>
        <v/>
      </c>
      <c r="G94" s="153" t="str">
        <f t="array" ref="G94">IF($B94="","",IF($T94=0,"",IFERROR(MIN(IF('UX Weekly'!$H94:$CT94&lt;&gt;"",'UX Weekly'!$H$1:$CT$1)),"")))</f>
        <v/>
      </c>
      <c r="H94" s="153" t="str">
        <f t="array" ref="H94">IF($B94="","",IF($T94=0,"",IFERROR(MAX(IF('UX Weekly'!$H94:$CT94&lt;&gt;"",'UX Weekly'!$H$1:$CT$1)),"")))</f>
        <v/>
      </c>
      <c r="I94" s="154" t="str">
        <f t="shared" ca="1" si="14"/>
        <v/>
      </c>
      <c r="J94" s="154" t="str">
        <f t="shared" ca="1" si="15"/>
        <v/>
      </c>
      <c r="K94" s="152" t="str">
        <f>IF($B94="","",IF(COUNTA('Dev Tracker'!L94)=0,"",TRIM('Dev Tracker'!L94)))</f>
        <v/>
      </c>
      <c r="L94" s="152" t="str">
        <f>IF($B94="","",IFERROR(MATCH($D94,Control!$E$4:$E$30,0),99))</f>
        <v/>
      </c>
      <c r="M94" s="152" t="str">
        <f>IF($B94="","",IFERROR(MATCH($F94,Control!$B$4:$B$30,0),99))</f>
        <v/>
      </c>
      <c r="N94" s="152" t="str">
        <f>IF($V94&lt;&gt;1,"",IF('Roadmap (Auto)'!$D$3="Status, then Theme",$M94*1000000+$L94*10000+ROW(),IF('Roadmap (Auto)'!$D$3="Dev start (earliest)",IF($I94="",99999999,$I94)*10000+ROW(),IF('Roadmap (Auto)'!$D$3="UX start (earliest)",IF($G94="",99999999,$G94)*10000+ROW(),IF('Roadmap (Auto)'!$D$3="Deliverable A-Z",$W94*10000+ROW(),$L94*1000000+$M94*10000+ROW())))))</f>
        <v/>
      </c>
      <c r="O94" s="152" t="str">
        <f t="shared" si="16"/>
        <v/>
      </c>
      <c r="P94" s="152" t="str">
        <f>IF($B94="","",IF(COUNTA('Dev Tracker'!I94)=0,"",'Dev Tracker'!I94))</f>
        <v/>
      </c>
      <c r="Q94" s="152" t="str">
        <f>IF($B94="","",IF(COUNTA('Dev Tracker'!J94)=0,"",'Dev Tracker'!J94))</f>
        <v/>
      </c>
      <c r="R94" s="154" t="str">
        <f t="shared" ca="1" si="17"/>
        <v/>
      </c>
      <c r="S94" s="154" t="str">
        <f t="shared" ca="1" si="18"/>
        <v/>
      </c>
      <c r="T94" s="152" t="str">
        <f>IF($B94="","",COUNTA('UX Weekly'!$H94:$CT94))</f>
        <v/>
      </c>
      <c r="U94" s="152" t="str">
        <f>IF($B94="","",IFERROR(MATCH($D94,Control!$E$4:$E$30,0)+3,0))</f>
        <v/>
      </c>
      <c r="V94" s="152" t="str">
        <f>IF($B94="","",IF(AND(OR('Roadmap (Auto)'!$A$3="",'Roadmap (Auto)'!$A$3="(All)",ISNUMBER(SEARCH('Roadmap (Auto)'!$A$3,$C94&amp;""))),OR('Roadmap (Auto)'!$B$3="",'Roadmap (Auto)'!$B$3="(All)",$D94='Roadmap (Auto)'!$B$3,$X94='Roadmap (Auto)'!$B$3),OR('Roadmap (Auto)'!$C$3="",'Roadmap (Auto)'!$C$3="(All)",$F94='Roadmap (Auto)'!$C$3)),1,0))</f>
        <v/>
      </c>
      <c r="W94" s="152" t="str">
        <f t="shared" si="19"/>
        <v/>
      </c>
      <c r="X94" s="152" t="str">
        <f>IF($B94="","",IF(TRIM('UX Weekly'!D94)="","",TRIM('UX Weekly'!D94)))</f>
        <v/>
      </c>
      <c r="Y94" s="152" t="str">
        <f t="shared" si="20"/>
        <v/>
      </c>
      <c r="AA94">
        <f>IF($B94="",0,COUNTIFS('UX Weekly'!$H$1:$CT$1,"&gt;="&amp;AA$1,'UX Weekly'!$H$1:$CT$1,"&lt;="&amp;EOMONTH(AA$1,0),'UX Weekly'!$H94:$CT94,"&lt;&gt;"))</f>
        <v>0</v>
      </c>
      <c r="AB94">
        <f>IF($B94="",0,COUNTIFS('UX Weekly'!$H$1:$CT$1,"&gt;="&amp;AB$1,'UX Weekly'!$H$1:$CT$1,"&lt;="&amp;EOMONTH(AB$1,0),'UX Weekly'!$H94:$CT94,"&lt;&gt;"))</f>
        <v>0</v>
      </c>
      <c r="AC94">
        <f>IF($B94="",0,COUNTIFS('UX Weekly'!$H$1:$CT$1,"&gt;="&amp;AC$1,'UX Weekly'!$H$1:$CT$1,"&lt;="&amp;EOMONTH(AC$1,0),'UX Weekly'!$H94:$CT94,"&lt;&gt;"))</f>
        <v>0</v>
      </c>
      <c r="AD94">
        <f>IF($B94="",0,COUNTIFS('UX Weekly'!$H$1:$CT$1,"&gt;="&amp;AD$1,'UX Weekly'!$H$1:$CT$1,"&lt;="&amp;EOMONTH(AD$1,0),'UX Weekly'!$H94:$CT94,"&lt;&gt;"))</f>
        <v>0</v>
      </c>
      <c r="AE94">
        <f>IF($B94="",0,COUNTIFS('UX Weekly'!$H$1:$CT$1,"&gt;="&amp;AE$1,'UX Weekly'!$H$1:$CT$1,"&lt;="&amp;EOMONTH(AE$1,0),'UX Weekly'!$H94:$CT94,"&lt;&gt;"))</f>
        <v>0</v>
      </c>
      <c r="AF94">
        <f>IF($B94="",0,COUNTIFS('UX Weekly'!$H$1:$CT$1,"&gt;="&amp;AF$1,'UX Weekly'!$H$1:$CT$1,"&lt;="&amp;EOMONTH(AF$1,0),'UX Weekly'!$H94:$CT94,"&lt;&gt;"))</f>
        <v>0</v>
      </c>
      <c r="AG94">
        <f>IF($B94="",0,COUNTIFS('UX Weekly'!$H$1:$CT$1,"&gt;="&amp;AG$1,'UX Weekly'!$H$1:$CT$1,"&lt;="&amp;EOMONTH(AG$1,0),'UX Weekly'!$H94:$CT94,"&lt;&gt;"))</f>
        <v>0</v>
      </c>
      <c r="AH94">
        <f>IF($B94="",0,COUNTIFS('UX Weekly'!$H$1:$CT$1,"&gt;="&amp;AH$1,'UX Weekly'!$H$1:$CT$1,"&lt;="&amp;EOMONTH(AH$1,0),'UX Weekly'!$H94:$CT94,"&lt;&gt;"))</f>
        <v>0</v>
      </c>
      <c r="AI94">
        <f>IF($B94="",0,COUNTIFS('UX Weekly'!$H$1:$CT$1,"&gt;="&amp;AI$1,'UX Weekly'!$H$1:$CT$1,"&lt;="&amp;EOMONTH(AI$1,0),'UX Weekly'!$H94:$CT94,"&lt;&gt;"))</f>
        <v>0</v>
      </c>
      <c r="AJ94">
        <f>IF($B94="",0,COUNTIFS('UX Weekly'!$H$1:$CT$1,"&gt;="&amp;AJ$1,'UX Weekly'!$H$1:$CT$1,"&lt;="&amp;EOMONTH(AJ$1,0),'UX Weekly'!$H94:$CT94,"&lt;&gt;"))</f>
        <v>0</v>
      </c>
      <c r="AK94">
        <f>IF($B94="",0,COUNTIFS('UX Weekly'!$H$1:$CT$1,"&gt;="&amp;AK$1,'UX Weekly'!$H$1:$CT$1,"&lt;="&amp;EOMONTH(AK$1,0),'UX Weekly'!$H94:$CT94,"&lt;&gt;"))</f>
        <v>0</v>
      </c>
      <c r="AL94">
        <f>IF($B94="",0,COUNTIFS('UX Weekly'!$H$1:$CT$1,"&gt;="&amp;AL$1,'UX Weekly'!$H$1:$CT$1,"&lt;="&amp;EOMONTH(AL$1,0),'UX Weekly'!$H94:$CT94,"&lt;&gt;"))</f>
        <v>0</v>
      </c>
      <c r="AM94">
        <f>IF($B94="",0,COUNTIFS('UX Weekly'!$H$1:$CT$1,"&gt;="&amp;AM$1,'UX Weekly'!$H$1:$CT$1,"&lt;="&amp;EOMONTH(AM$1,0),'UX Weekly'!$H94:$CT94,"&lt;&gt;"))</f>
        <v>0</v>
      </c>
      <c r="AN94">
        <f>IF($B94="",0,COUNTIFS('UX Weekly'!$H$1:$CT$1,"&gt;="&amp;AN$1,'UX Weekly'!$H$1:$CT$1,"&lt;="&amp;EOMONTH(AN$1,0),'UX Weekly'!$H94:$CT94,"&lt;&gt;"))</f>
        <v>0</v>
      </c>
      <c r="AO94">
        <f>IF($B94="",0,COUNTIFS('UX Weekly'!$H$1:$CT$1,"&gt;="&amp;AO$1,'UX Weekly'!$H$1:$CT$1,"&lt;="&amp;EOMONTH(AO$1,0),'UX Weekly'!$H94:$CT94,"&lt;&gt;"))</f>
        <v>0</v>
      </c>
      <c r="AP94">
        <f>IF($B94="",0,COUNTIFS('UX Weekly'!$H$1:$CT$1,"&gt;="&amp;AP$1,'UX Weekly'!$H$1:$CT$1,"&lt;="&amp;EOMONTH(AP$1,0),'UX Weekly'!$H94:$CT94,"&lt;&gt;"))</f>
        <v>0</v>
      </c>
      <c r="AQ94">
        <f>IF($B94="",0,COUNTIFS('UX Weekly'!$H$1:$CT$1,"&gt;="&amp;AQ$1,'UX Weekly'!$H$1:$CT$1,"&lt;="&amp;EOMONTH(AQ$1,0),'UX Weekly'!$H94:$CT94,"&lt;&gt;"))</f>
        <v>0</v>
      </c>
      <c r="AR94">
        <f>IF($B94="",0,COUNTIFS('UX Weekly'!$H$1:$CT$1,"&gt;="&amp;AR$1,'UX Weekly'!$H$1:$CT$1,"&lt;="&amp;EOMONTH(AR$1,0),'UX Weekly'!$H94:$CT94,"&lt;&gt;"))</f>
        <v>0</v>
      </c>
      <c r="AS94">
        <f>IF($B94="",0,COUNTIFS('UX Weekly'!$H$1:$CT$1,"&gt;="&amp;AS$1,'UX Weekly'!$H$1:$CT$1,"&lt;="&amp;EOMONTH(AS$1,0),'UX Weekly'!$H94:$CT94,"&lt;&gt;"))</f>
        <v>0</v>
      </c>
      <c r="AT94">
        <f>IF($B94="",0,COUNTIFS('UX Weekly'!$H$1:$CT$1,"&gt;="&amp;AT$1,'UX Weekly'!$H$1:$CT$1,"&lt;="&amp;EOMONTH(AT$1,0),'UX Weekly'!$H94:$CT94,"&lt;&gt;"))</f>
        <v>0</v>
      </c>
      <c r="AU94">
        <f>IF($B94="",0,COUNTIFS('UX Weekly'!$H$1:$CT$1,"&gt;="&amp;AU$1,'UX Weekly'!$H$1:$CT$1,"&lt;="&amp;EOMONTH(AU$1,0),'UX Weekly'!$H94:$CT94,"&lt;&gt;"))</f>
        <v>0</v>
      </c>
      <c r="AV94">
        <f>IF($B94="",0,COUNTIFS('UX Weekly'!$H$1:$CT$1,"&gt;="&amp;AV$1,'UX Weekly'!$H$1:$CT$1,"&lt;="&amp;EOMONTH(AV$1,0),'UX Weekly'!$H94:$CT94,"&lt;&gt;"))</f>
        <v>0</v>
      </c>
      <c r="AW94">
        <f>IF($B94="",0,COUNTIFS('UX Weekly'!$H$1:$CT$1,"&gt;="&amp;AW$1,'UX Weekly'!$H$1:$CT$1,"&lt;="&amp;EOMONTH(AW$1,0),'UX Weekly'!$H94:$CT94,"&lt;&gt;"))</f>
        <v>0</v>
      </c>
      <c r="AX94">
        <f>IF($B94="",0,COUNTIFS('UX Weekly'!$H$1:$CT$1,"&gt;="&amp;AX$1,'UX Weekly'!$H$1:$CT$1,"&lt;="&amp;EOMONTH(AX$1,0),'UX Weekly'!$H94:$CT94,"&lt;&gt;"))</f>
        <v>0</v>
      </c>
    </row>
    <row r="95" spans="1:50" x14ac:dyDescent="0.2">
      <c r="A95" s="152">
        <v>95</v>
      </c>
      <c r="B95" s="152" t="str">
        <f>IF(TRIM('UX Weekly'!E95)="","",TRIM('UX Weekly'!E95))</f>
        <v/>
      </c>
      <c r="C95" s="152" t="str">
        <f>IF($B95="","",'UX Weekly'!B95)</f>
        <v/>
      </c>
      <c r="D95" s="152" t="str">
        <f>IF($B95="","",IF(TRIM('UX Weekly'!C95)="","(No theme assigned)",TRIM('UX Weekly'!C95)))</f>
        <v/>
      </c>
      <c r="E95" s="152" t="str">
        <f>IF($B95="","",TRIM('UX Weekly'!F95))</f>
        <v/>
      </c>
      <c r="F95" s="152" t="str">
        <f>IF($B95="","",'UX Weekly'!G95)</f>
        <v/>
      </c>
      <c r="G95" s="153" t="str">
        <f t="array" ref="G95">IF($B95="","",IF($T95=0,"",IFERROR(MIN(IF('UX Weekly'!$H95:$CT95&lt;&gt;"",'UX Weekly'!$H$1:$CT$1)),"")))</f>
        <v/>
      </c>
      <c r="H95" s="153" t="str">
        <f t="array" ref="H95">IF($B95="","",IF($T95=0,"",IFERROR(MAX(IF('UX Weekly'!$H95:$CT95&lt;&gt;"",'UX Weekly'!$H$1:$CT$1)),"")))</f>
        <v/>
      </c>
      <c r="I95" s="154" t="str">
        <f t="shared" ca="1" si="14"/>
        <v/>
      </c>
      <c r="J95" s="154" t="str">
        <f t="shared" ca="1" si="15"/>
        <v/>
      </c>
      <c r="K95" s="152" t="str">
        <f>IF($B95="","",IF(COUNTA('Dev Tracker'!L95)=0,"",TRIM('Dev Tracker'!L95)))</f>
        <v/>
      </c>
      <c r="L95" s="152" t="str">
        <f>IF($B95="","",IFERROR(MATCH($D95,Control!$E$4:$E$30,0),99))</f>
        <v/>
      </c>
      <c r="M95" s="152" t="str">
        <f>IF($B95="","",IFERROR(MATCH($F95,Control!$B$4:$B$30,0),99))</f>
        <v/>
      </c>
      <c r="N95" s="152" t="str">
        <f>IF($V95&lt;&gt;1,"",IF('Roadmap (Auto)'!$D$3="Status, then Theme",$M95*1000000+$L95*10000+ROW(),IF('Roadmap (Auto)'!$D$3="Dev start (earliest)",IF($I95="",99999999,$I95)*10000+ROW(),IF('Roadmap (Auto)'!$D$3="UX start (earliest)",IF($G95="",99999999,$G95)*10000+ROW(),IF('Roadmap (Auto)'!$D$3="Deliverable A-Z",$W95*10000+ROW(),$L95*1000000+$M95*10000+ROW())))))</f>
        <v/>
      </c>
      <c r="O95" s="152" t="str">
        <f t="shared" si="16"/>
        <v/>
      </c>
      <c r="P95" s="152" t="str">
        <f>IF($B95="","",IF(COUNTA('Dev Tracker'!I95)=0,"",'Dev Tracker'!I95))</f>
        <v/>
      </c>
      <c r="Q95" s="152" t="str">
        <f>IF($B95="","",IF(COUNTA('Dev Tracker'!J95)=0,"",'Dev Tracker'!J95))</f>
        <v/>
      </c>
      <c r="R95" s="154" t="str">
        <f t="shared" ca="1" si="17"/>
        <v/>
      </c>
      <c r="S95" s="154" t="str">
        <f t="shared" ca="1" si="18"/>
        <v/>
      </c>
      <c r="T95" s="152" t="str">
        <f>IF($B95="","",COUNTA('UX Weekly'!$H95:$CT95))</f>
        <v/>
      </c>
      <c r="U95" s="152" t="str">
        <f>IF($B95="","",IFERROR(MATCH($D95,Control!$E$4:$E$30,0)+3,0))</f>
        <v/>
      </c>
      <c r="V95" s="152" t="str">
        <f>IF($B95="","",IF(AND(OR('Roadmap (Auto)'!$A$3="",'Roadmap (Auto)'!$A$3="(All)",ISNUMBER(SEARCH('Roadmap (Auto)'!$A$3,$C95&amp;""))),OR('Roadmap (Auto)'!$B$3="",'Roadmap (Auto)'!$B$3="(All)",$D95='Roadmap (Auto)'!$B$3,$X95='Roadmap (Auto)'!$B$3),OR('Roadmap (Auto)'!$C$3="",'Roadmap (Auto)'!$C$3="(All)",$F95='Roadmap (Auto)'!$C$3)),1,0))</f>
        <v/>
      </c>
      <c r="W95" s="152" t="str">
        <f t="shared" si="19"/>
        <v/>
      </c>
      <c r="X95" s="152" t="str">
        <f>IF($B95="","",IF(TRIM('UX Weekly'!D95)="","",TRIM('UX Weekly'!D95)))</f>
        <v/>
      </c>
      <c r="Y95" s="152" t="str">
        <f t="shared" si="20"/>
        <v/>
      </c>
      <c r="AA95">
        <f>IF($B95="",0,COUNTIFS('UX Weekly'!$H$1:$CT$1,"&gt;="&amp;AA$1,'UX Weekly'!$H$1:$CT$1,"&lt;="&amp;EOMONTH(AA$1,0),'UX Weekly'!$H95:$CT95,"&lt;&gt;"))</f>
        <v>0</v>
      </c>
      <c r="AB95">
        <f>IF($B95="",0,COUNTIFS('UX Weekly'!$H$1:$CT$1,"&gt;="&amp;AB$1,'UX Weekly'!$H$1:$CT$1,"&lt;="&amp;EOMONTH(AB$1,0),'UX Weekly'!$H95:$CT95,"&lt;&gt;"))</f>
        <v>0</v>
      </c>
      <c r="AC95">
        <f>IF($B95="",0,COUNTIFS('UX Weekly'!$H$1:$CT$1,"&gt;="&amp;AC$1,'UX Weekly'!$H$1:$CT$1,"&lt;="&amp;EOMONTH(AC$1,0),'UX Weekly'!$H95:$CT95,"&lt;&gt;"))</f>
        <v>0</v>
      </c>
      <c r="AD95">
        <f>IF($B95="",0,COUNTIFS('UX Weekly'!$H$1:$CT$1,"&gt;="&amp;AD$1,'UX Weekly'!$H$1:$CT$1,"&lt;="&amp;EOMONTH(AD$1,0),'UX Weekly'!$H95:$CT95,"&lt;&gt;"))</f>
        <v>0</v>
      </c>
      <c r="AE95">
        <f>IF($B95="",0,COUNTIFS('UX Weekly'!$H$1:$CT$1,"&gt;="&amp;AE$1,'UX Weekly'!$H$1:$CT$1,"&lt;="&amp;EOMONTH(AE$1,0),'UX Weekly'!$H95:$CT95,"&lt;&gt;"))</f>
        <v>0</v>
      </c>
      <c r="AF95">
        <f>IF($B95="",0,COUNTIFS('UX Weekly'!$H$1:$CT$1,"&gt;="&amp;AF$1,'UX Weekly'!$H$1:$CT$1,"&lt;="&amp;EOMONTH(AF$1,0),'UX Weekly'!$H95:$CT95,"&lt;&gt;"))</f>
        <v>0</v>
      </c>
      <c r="AG95">
        <f>IF($B95="",0,COUNTIFS('UX Weekly'!$H$1:$CT$1,"&gt;="&amp;AG$1,'UX Weekly'!$H$1:$CT$1,"&lt;="&amp;EOMONTH(AG$1,0),'UX Weekly'!$H95:$CT95,"&lt;&gt;"))</f>
        <v>0</v>
      </c>
      <c r="AH95">
        <f>IF($B95="",0,COUNTIFS('UX Weekly'!$H$1:$CT$1,"&gt;="&amp;AH$1,'UX Weekly'!$H$1:$CT$1,"&lt;="&amp;EOMONTH(AH$1,0),'UX Weekly'!$H95:$CT95,"&lt;&gt;"))</f>
        <v>0</v>
      </c>
      <c r="AI95">
        <f>IF($B95="",0,COUNTIFS('UX Weekly'!$H$1:$CT$1,"&gt;="&amp;AI$1,'UX Weekly'!$H$1:$CT$1,"&lt;="&amp;EOMONTH(AI$1,0),'UX Weekly'!$H95:$CT95,"&lt;&gt;"))</f>
        <v>0</v>
      </c>
      <c r="AJ95">
        <f>IF($B95="",0,COUNTIFS('UX Weekly'!$H$1:$CT$1,"&gt;="&amp;AJ$1,'UX Weekly'!$H$1:$CT$1,"&lt;="&amp;EOMONTH(AJ$1,0),'UX Weekly'!$H95:$CT95,"&lt;&gt;"))</f>
        <v>0</v>
      </c>
      <c r="AK95">
        <f>IF($B95="",0,COUNTIFS('UX Weekly'!$H$1:$CT$1,"&gt;="&amp;AK$1,'UX Weekly'!$H$1:$CT$1,"&lt;="&amp;EOMONTH(AK$1,0),'UX Weekly'!$H95:$CT95,"&lt;&gt;"))</f>
        <v>0</v>
      </c>
      <c r="AL95">
        <f>IF($B95="",0,COUNTIFS('UX Weekly'!$H$1:$CT$1,"&gt;="&amp;AL$1,'UX Weekly'!$H$1:$CT$1,"&lt;="&amp;EOMONTH(AL$1,0),'UX Weekly'!$H95:$CT95,"&lt;&gt;"))</f>
        <v>0</v>
      </c>
      <c r="AM95">
        <f>IF($B95="",0,COUNTIFS('UX Weekly'!$H$1:$CT$1,"&gt;="&amp;AM$1,'UX Weekly'!$H$1:$CT$1,"&lt;="&amp;EOMONTH(AM$1,0),'UX Weekly'!$H95:$CT95,"&lt;&gt;"))</f>
        <v>0</v>
      </c>
      <c r="AN95">
        <f>IF($B95="",0,COUNTIFS('UX Weekly'!$H$1:$CT$1,"&gt;="&amp;AN$1,'UX Weekly'!$H$1:$CT$1,"&lt;="&amp;EOMONTH(AN$1,0),'UX Weekly'!$H95:$CT95,"&lt;&gt;"))</f>
        <v>0</v>
      </c>
      <c r="AO95">
        <f>IF($B95="",0,COUNTIFS('UX Weekly'!$H$1:$CT$1,"&gt;="&amp;AO$1,'UX Weekly'!$H$1:$CT$1,"&lt;="&amp;EOMONTH(AO$1,0),'UX Weekly'!$H95:$CT95,"&lt;&gt;"))</f>
        <v>0</v>
      </c>
      <c r="AP95">
        <f>IF($B95="",0,COUNTIFS('UX Weekly'!$H$1:$CT$1,"&gt;="&amp;AP$1,'UX Weekly'!$H$1:$CT$1,"&lt;="&amp;EOMONTH(AP$1,0),'UX Weekly'!$H95:$CT95,"&lt;&gt;"))</f>
        <v>0</v>
      </c>
      <c r="AQ95">
        <f>IF($B95="",0,COUNTIFS('UX Weekly'!$H$1:$CT$1,"&gt;="&amp;AQ$1,'UX Weekly'!$H$1:$CT$1,"&lt;="&amp;EOMONTH(AQ$1,0),'UX Weekly'!$H95:$CT95,"&lt;&gt;"))</f>
        <v>0</v>
      </c>
      <c r="AR95">
        <f>IF($B95="",0,COUNTIFS('UX Weekly'!$H$1:$CT$1,"&gt;="&amp;AR$1,'UX Weekly'!$H$1:$CT$1,"&lt;="&amp;EOMONTH(AR$1,0),'UX Weekly'!$H95:$CT95,"&lt;&gt;"))</f>
        <v>0</v>
      </c>
      <c r="AS95">
        <f>IF($B95="",0,COUNTIFS('UX Weekly'!$H$1:$CT$1,"&gt;="&amp;AS$1,'UX Weekly'!$H$1:$CT$1,"&lt;="&amp;EOMONTH(AS$1,0),'UX Weekly'!$H95:$CT95,"&lt;&gt;"))</f>
        <v>0</v>
      </c>
      <c r="AT95">
        <f>IF($B95="",0,COUNTIFS('UX Weekly'!$H$1:$CT$1,"&gt;="&amp;AT$1,'UX Weekly'!$H$1:$CT$1,"&lt;="&amp;EOMONTH(AT$1,0),'UX Weekly'!$H95:$CT95,"&lt;&gt;"))</f>
        <v>0</v>
      </c>
      <c r="AU95">
        <f>IF($B95="",0,COUNTIFS('UX Weekly'!$H$1:$CT$1,"&gt;="&amp;AU$1,'UX Weekly'!$H$1:$CT$1,"&lt;="&amp;EOMONTH(AU$1,0),'UX Weekly'!$H95:$CT95,"&lt;&gt;"))</f>
        <v>0</v>
      </c>
      <c r="AV95">
        <f>IF($B95="",0,COUNTIFS('UX Weekly'!$H$1:$CT$1,"&gt;="&amp;AV$1,'UX Weekly'!$H$1:$CT$1,"&lt;="&amp;EOMONTH(AV$1,0),'UX Weekly'!$H95:$CT95,"&lt;&gt;"))</f>
        <v>0</v>
      </c>
      <c r="AW95">
        <f>IF($B95="",0,COUNTIFS('UX Weekly'!$H$1:$CT$1,"&gt;="&amp;AW$1,'UX Weekly'!$H$1:$CT$1,"&lt;="&amp;EOMONTH(AW$1,0),'UX Weekly'!$H95:$CT95,"&lt;&gt;"))</f>
        <v>0</v>
      </c>
      <c r="AX95">
        <f>IF($B95="",0,COUNTIFS('UX Weekly'!$H$1:$CT$1,"&gt;="&amp;AX$1,'UX Weekly'!$H$1:$CT$1,"&lt;="&amp;EOMONTH(AX$1,0),'UX Weekly'!$H95:$CT95,"&lt;&gt;"))</f>
        <v>0</v>
      </c>
    </row>
    <row r="96" spans="1:50" x14ac:dyDescent="0.2">
      <c r="A96" s="152">
        <v>96</v>
      </c>
      <c r="B96" s="152" t="str">
        <f>IF(TRIM('UX Weekly'!E96)="","",TRIM('UX Weekly'!E96))</f>
        <v/>
      </c>
      <c r="C96" s="152" t="str">
        <f>IF($B96="","",'UX Weekly'!B96)</f>
        <v/>
      </c>
      <c r="D96" s="152" t="str">
        <f>IF($B96="","",IF(TRIM('UX Weekly'!C96)="","(No theme assigned)",TRIM('UX Weekly'!C96)))</f>
        <v/>
      </c>
      <c r="E96" s="152" t="str">
        <f>IF($B96="","",TRIM('UX Weekly'!F96))</f>
        <v/>
      </c>
      <c r="F96" s="152" t="str">
        <f>IF($B96="","",'UX Weekly'!G96)</f>
        <v/>
      </c>
      <c r="G96" s="153" t="str">
        <f t="array" ref="G96">IF($B96="","",IF($T96=0,"",IFERROR(MIN(IF('UX Weekly'!$H96:$CT96&lt;&gt;"",'UX Weekly'!$H$1:$CT$1)),"")))</f>
        <v/>
      </c>
      <c r="H96" s="153" t="str">
        <f t="array" ref="H96">IF($B96="","",IF($T96=0,"",IFERROR(MAX(IF('UX Weekly'!$H96:$CT96&lt;&gt;"",'UX Weekly'!$H$1:$CT$1)),"")))</f>
        <v/>
      </c>
      <c r="I96" s="154" t="str">
        <f t="shared" ca="1" si="14"/>
        <v/>
      </c>
      <c r="J96" s="154" t="str">
        <f t="shared" ca="1" si="15"/>
        <v/>
      </c>
      <c r="K96" s="152" t="str">
        <f>IF($B96="","",IF(COUNTA('Dev Tracker'!L96)=0,"",TRIM('Dev Tracker'!L96)))</f>
        <v/>
      </c>
      <c r="L96" s="152" t="str">
        <f>IF($B96="","",IFERROR(MATCH($D96,Control!$E$4:$E$30,0),99))</f>
        <v/>
      </c>
      <c r="M96" s="152" t="str">
        <f>IF($B96="","",IFERROR(MATCH($F96,Control!$B$4:$B$30,0),99))</f>
        <v/>
      </c>
      <c r="N96" s="152" t="str">
        <f>IF($V96&lt;&gt;1,"",IF('Roadmap (Auto)'!$D$3="Status, then Theme",$M96*1000000+$L96*10000+ROW(),IF('Roadmap (Auto)'!$D$3="Dev start (earliest)",IF($I96="",99999999,$I96)*10000+ROW(),IF('Roadmap (Auto)'!$D$3="UX start (earliest)",IF($G96="",99999999,$G96)*10000+ROW(),IF('Roadmap (Auto)'!$D$3="Deliverable A-Z",$W96*10000+ROW(),$L96*1000000+$M96*10000+ROW())))))</f>
        <v/>
      </c>
      <c r="O96" s="152" t="str">
        <f t="shared" si="16"/>
        <v/>
      </c>
      <c r="P96" s="152" t="str">
        <f>IF($B96="","",IF(COUNTA('Dev Tracker'!I96)=0,"",'Dev Tracker'!I96))</f>
        <v/>
      </c>
      <c r="Q96" s="152" t="str">
        <f>IF($B96="","",IF(COUNTA('Dev Tracker'!J96)=0,"",'Dev Tracker'!J96))</f>
        <v/>
      </c>
      <c r="R96" s="154" t="str">
        <f t="shared" ca="1" si="17"/>
        <v/>
      </c>
      <c r="S96" s="154" t="str">
        <f t="shared" ca="1" si="18"/>
        <v/>
      </c>
      <c r="T96" s="152" t="str">
        <f>IF($B96="","",COUNTA('UX Weekly'!$H96:$CT96))</f>
        <v/>
      </c>
      <c r="U96" s="152" t="str">
        <f>IF($B96="","",IFERROR(MATCH($D96,Control!$E$4:$E$30,0)+3,0))</f>
        <v/>
      </c>
      <c r="V96" s="152" t="str">
        <f>IF($B96="","",IF(AND(OR('Roadmap (Auto)'!$A$3="",'Roadmap (Auto)'!$A$3="(All)",ISNUMBER(SEARCH('Roadmap (Auto)'!$A$3,$C96&amp;""))),OR('Roadmap (Auto)'!$B$3="",'Roadmap (Auto)'!$B$3="(All)",$D96='Roadmap (Auto)'!$B$3,$X96='Roadmap (Auto)'!$B$3),OR('Roadmap (Auto)'!$C$3="",'Roadmap (Auto)'!$C$3="(All)",$F96='Roadmap (Auto)'!$C$3)),1,0))</f>
        <v/>
      </c>
      <c r="W96" s="152" t="str">
        <f t="shared" si="19"/>
        <v/>
      </c>
      <c r="X96" s="152" t="str">
        <f>IF($B96="","",IF(TRIM('UX Weekly'!D96)="","",TRIM('UX Weekly'!D96)))</f>
        <v/>
      </c>
      <c r="Y96" s="152" t="str">
        <f t="shared" si="20"/>
        <v/>
      </c>
      <c r="AA96">
        <f>IF($B96="",0,COUNTIFS('UX Weekly'!$H$1:$CT$1,"&gt;="&amp;AA$1,'UX Weekly'!$H$1:$CT$1,"&lt;="&amp;EOMONTH(AA$1,0),'UX Weekly'!$H96:$CT96,"&lt;&gt;"))</f>
        <v>0</v>
      </c>
      <c r="AB96">
        <f>IF($B96="",0,COUNTIFS('UX Weekly'!$H$1:$CT$1,"&gt;="&amp;AB$1,'UX Weekly'!$H$1:$CT$1,"&lt;="&amp;EOMONTH(AB$1,0),'UX Weekly'!$H96:$CT96,"&lt;&gt;"))</f>
        <v>0</v>
      </c>
      <c r="AC96">
        <f>IF($B96="",0,COUNTIFS('UX Weekly'!$H$1:$CT$1,"&gt;="&amp;AC$1,'UX Weekly'!$H$1:$CT$1,"&lt;="&amp;EOMONTH(AC$1,0),'UX Weekly'!$H96:$CT96,"&lt;&gt;"))</f>
        <v>0</v>
      </c>
      <c r="AD96">
        <f>IF($B96="",0,COUNTIFS('UX Weekly'!$H$1:$CT$1,"&gt;="&amp;AD$1,'UX Weekly'!$H$1:$CT$1,"&lt;="&amp;EOMONTH(AD$1,0),'UX Weekly'!$H96:$CT96,"&lt;&gt;"))</f>
        <v>0</v>
      </c>
      <c r="AE96">
        <f>IF($B96="",0,COUNTIFS('UX Weekly'!$H$1:$CT$1,"&gt;="&amp;AE$1,'UX Weekly'!$H$1:$CT$1,"&lt;="&amp;EOMONTH(AE$1,0),'UX Weekly'!$H96:$CT96,"&lt;&gt;"))</f>
        <v>0</v>
      </c>
      <c r="AF96">
        <f>IF($B96="",0,COUNTIFS('UX Weekly'!$H$1:$CT$1,"&gt;="&amp;AF$1,'UX Weekly'!$H$1:$CT$1,"&lt;="&amp;EOMONTH(AF$1,0),'UX Weekly'!$H96:$CT96,"&lt;&gt;"))</f>
        <v>0</v>
      </c>
      <c r="AG96">
        <f>IF($B96="",0,COUNTIFS('UX Weekly'!$H$1:$CT$1,"&gt;="&amp;AG$1,'UX Weekly'!$H$1:$CT$1,"&lt;="&amp;EOMONTH(AG$1,0),'UX Weekly'!$H96:$CT96,"&lt;&gt;"))</f>
        <v>0</v>
      </c>
      <c r="AH96">
        <f>IF($B96="",0,COUNTIFS('UX Weekly'!$H$1:$CT$1,"&gt;="&amp;AH$1,'UX Weekly'!$H$1:$CT$1,"&lt;="&amp;EOMONTH(AH$1,0),'UX Weekly'!$H96:$CT96,"&lt;&gt;"))</f>
        <v>0</v>
      </c>
      <c r="AI96">
        <f>IF($B96="",0,COUNTIFS('UX Weekly'!$H$1:$CT$1,"&gt;="&amp;AI$1,'UX Weekly'!$H$1:$CT$1,"&lt;="&amp;EOMONTH(AI$1,0),'UX Weekly'!$H96:$CT96,"&lt;&gt;"))</f>
        <v>0</v>
      </c>
      <c r="AJ96">
        <f>IF($B96="",0,COUNTIFS('UX Weekly'!$H$1:$CT$1,"&gt;="&amp;AJ$1,'UX Weekly'!$H$1:$CT$1,"&lt;="&amp;EOMONTH(AJ$1,0),'UX Weekly'!$H96:$CT96,"&lt;&gt;"))</f>
        <v>0</v>
      </c>
      <c r="AK96">
        <f>IF($B96="",0,COUNTIFS('UX Weekly'!$H$1:$CT$1,"&gt;="&amp;AK$1,'UX Weekly'!$H$1:$CT$1,"&lt;="&amp;EOMONTH(AK$1,0),'UX Weekly'!$H96:$CT96,"&lt;&gt;"))</f>
        <v>0</v>
      </c>
      <c r="AL96">
        <f>IF($B96="",0,COUNTIFS('UX Weekly'!$H$1:$CT$1,"&gt;="&amp;AL$1,'UX Weekly'!$H$1:$CT$1,"&lt;="&amp;EOMONTH(AL$1,0),'UX Weekly'!$H96:$CT96,"&lt;&gt;"))</f>
        <v>0</v>
      </c>
      <c r="AM96">
        <f>IF($B96="",0,COUNTIFS('UX Weekly'!$H$1:$CT$1,"&gt;="&amp;AM$1,'UX Weekly'!$H$1:$CT$1,"&lt;="&amp;EOMONTH(AM$1,0),'UX Weekly'!$H96:$CT96,"&lt;&gt;"))</f>
        <v>0</v>
      </c>
      <c r="AN96">
        <f>IF($B96="",0,COUNTIFS('UX Weekly'!$H$1:$CT$1,"&gt;="&amp;AN$1,'UX Weekly'!$H$1:$CT$1,"&lt;="&amp;EOMONTH(AN$1,0),'UX Weekly'!$H96:$CT96,"&lt;&gt;"))</f>
        <v>0</v>
      </c>
      <c r="AO96">
        <f>IF($B96="",0,COUNTIFS('UX Weekly'!$H$1:$CT$1,"&gt;="&amp;AO$1,'UX Weekly'!$H$1:$CT$1,"&lt;="&amp;EOMONTH(AO$1,0),'UX Weekly'!$H96:$CT96,"&lt;&gt;"))</f>
        <v>0</v>
      </c>
      <c r="AP96">
        <f>IF($B96="",0,COUNTIFS('UX Weekly'!$H$1:$CT$1,"&gt;="&amp;AP$1,'UX Weekly'!$H$1:$CT$1,"&lt;="&amp;EOMONTH(AP$1,0),'UX Weekly'!$H96:$CT96,"&lt;&gt;"))</f>
        <v>0</v>
      </c>
      <c r="AQ96">
        <f>IF($B96="",0,COUNTIFS('UX Weekly'!$H$1:$CT$1,"&gt;="&amp;AQ$1,'UX Weekly'!$H$1:$CT$1,"&lt;="&amp;EOMONTH(AQ$1,0),'UX Weekly'!$H96:$CT96,"&lt;&gt;"))</f>
        <v>0</v>
      </c>
      <c r="AR96">
        <f>IF($B96="",0,COUNTIFS('UX Weekly'!$H$1:$CT$1,"&gt;="&amp;AR$1,'UX Weekly'!$H$1:$CT$1,"&lt;="&amp;EOMONTH(AR$1,0),'UX Weekly'!$H96:$CT96,"&lt;&gt;"))</f>
        <v>0</v>
      </c>
      <c r="AS96">
        <f>IF($B96="",0,COUNTIFS('UX Weekly'!$H$1:$CT$1,"&gt;="&amp;AS$1,'UX Weekly'!$H$1:$CT$1,"&lt;="&amp;EOMONTH(AS$1,0),'UX Weekly'!$H96:$CT96,"&lt;&gt;"))</f>
        <v>0</v>
      </c>
      <c r="AT96">
        <f>IF($B96="",0,COUNTIFS('UX Weekly'!$H$1:$CT$1,"&gt;="&amp;AT$1,'UX Weekly'!$H$1:$CT$1,"&lt;="&amp;EOMONTH(AT$1,0),'UX Weekly'!$H96:$CT96,"&lt;&gt;"))</f>
        <v>0</v>
      </c>
      <c r="AU96">
        <f>IF($B96="",0,COUNTIFS('UX Weekly'!$H$1:$CT$1,"&gt;="&amp;AU$1,'UX Weekly'!$H$1:$CT$1,"&lt;="&amp;EOMONTH(AU$1,0),'UX Weekly'!$H96:$CT96,"&lt;&gt;"))</f>
        <v>0</v>
      </c>
      <c r="AV96">
        <f>IF($B96="",0,COUNTIFS('UX Weekly'!$H$1:$CT$1,"&gt;="&amp;AV$1,'UX Weekly'!$H$1:$CT$1,"&lt;="&amp;EOMONTH(AV$1,0),'UX Weekly'!$H96:$CT96,"&lt;&gt;"))</f>
        <v>0</v>
      </c>
      <c r="AW96">
        <f>IF($B96="",0,COUNTIFS('UX Weekly'!$H$1:$CT$1,"&gt;="&amp;AW$1,'UX Weekly'!$H$1:$CT$1,"&lt;="&amp;EOMONTH(AW$1,0),'UX Weekly'!$H96:$CT96,"&lt;&gt;"))</f>
        <v>0</v>
      </c>
      <c r="AX96">
        <f>IF($B96="",0,COUNTIFS('UX Weekly'!$H$1:$CT$1,"&gt;="&amp;AX$1,'UX Weekly'!$H$1:$CT$1,"&lt;="&amp;EOMONTH(AX$1,0),'UX Weekly'!$H96:$CT96,"&lt;&gt;"))</f>
        <v>0</v>
      </c>
    </row>
    <row r="97" spans="1:50" x14ac:dyDescent="0.2">
      <c r="A97" s="152">
        <v>97</v>
      </c>
      <c r="B97" s="152" t="str">
        <f>IF(TRIM('UX Weekly'!E97)="","",TRIM('UX Weekly'!E97))</f>
        <v/>
      </c>
      <c r="C97" s="152" t="str">
        <f>IF($B97="","",'UX Weekly'!B97)</f>
        <v/>
      </c>
      <c r="D97" s="152" t="str">
        <f>IF($B97="","",IF(TRIM('UX Weekly'!C97)="","(No theme assigned)",TRIM('UX Weekly'!C97)))</f>
        <v/>
      </c>
      <c r="E97" s="152" t="str">
        <f>IF($B97="","",TRIM('UX Weekly'!F97))</f>
        <v/>
      </c>
      <c r="F97" s="152" t="str">
        <f>IF($B97="","",'UX Weekly'!G97)</f>
        <v/>
      </c>
      <c r="G97" s="153" t="str">
        <f t="array" ref="G97">IF($B97="","",IF($T97=0,"",IFERROR(MIN(IF('UX Weekly'!$H97:$CT97&lt;&gt;"",'UX Weekly'!$H$1:$CT$1)),"")))</f>
        <v/>
      </c>
      <c r="H97" s="153" t="str">
        <f t="array" ref="H97">IF($B97="","",IF($T97=0,"",IFERROR(MAX(IF('UX Weekly'!$H97:$CT97&lt;&gt;"",'UX Weekly'!$H$1:$CT$1)),"")))</f>
        <v/>
      </c>
      <c r="I97" s="154" t="str">
        <f t="shared" ca="1" si="14"/>
        <v/>
      </c>
      <c r="J97" s="154" t="str">
        <f t="shared" ca="1" si="15"/>
        <v/>
      </c>
      <c r="K97" s="152" t="str">
        <f>IF($B97="","",IF(COUNTA('Dev Tracker'!L97)=0,"",TRIM('Dev Tracker'!L97)))</f>
        <v/>
      </c>
      <c r="L97" s="152" t="str">
        <f>IF($B97="","",IFERROR(MATCH($D97,Control!$E$4:$E$30,0),99))</f>
        <v/>
      </c>
      <c r="M97" s="152" t="str">
        <f>IF($B97="","",IFERROR(MATCH($F97,Control!$B$4:$B$30,0),99))</f>
        <v/>
      </c>
      <c r="N97" s="152" t="str">
        <f>IF($V97&lt;&gt;1,"",IF('Roadmap (Auto)'!$D$3="Status, then Theme",$M97*1000000+$L97*10000+ROW(),IF('Roadmap (Auto)'!$D$3="Dev start (earliest)",IF($I97="",99999999,$I97)*10000+ROW(),IF('Roadmap (Auto)'!$D$3="UX start (earliest)",IF($G97="",99999999,$G97)*10000+ROW(),IF('Roadmap (Auto)'!$D$3="Deliverable A-Z",$W97*10000+ROW(),$L97*1000000+$M97*10000+ROW())))))</f>
        <v/>
      </c>
      <c r="O97" s="152" t="str">
        <f t="shared" si="16"/>
        <v/>
      </c>
      <c r="P97" s="152" t="str">
        <f>IF($B97="","",IF(COUNTA('Dev Tracker'!I97)=0,"",'Dev Tracker'!I97))</f>
        <v/>
      </c>
      <c r="Q97" s="152" t="str">
        <f>IF($B97="","",IF(COUNTA('Dev Tracker'!J97)=0,"",'Dev Tracker'!J97))</f>
        <v/>
      </c>
      <c r="R97" s="154" t="str">
        <f t="shared" ca="1" si="17"/>
        <v/>
      </c>
      <c r="S97" s="154" t="str">
        <f t="shared" ca="1" si="18"/>
        <v/>
      </c>
      <c r="T97" s="152" t="str">
        <f>IF($B97="","",COUNTA('UX Weekly'!$H97:$CT97))</f>
        <v/>
      </c>
      <c r="U97" s="152" t="str">
        <f>IF($B97="","",IFERROR(MATCH($D97,Control!$E$4:$E$30,0)+3,0))</f>
        <v/>
      </c>
      <c r="V97" s="152" t="str">
        <f>IF($B97="","",IF(AND(OR('Roadmap (Auto)'!$A$3="",'Roadmap (Auto)'!$A$3="(All)",ISNUMBER(SEARCH('Roadmap (Auto)'!$A$3,$C97&amp;""))),OR('Roadmap (Auto)'!$B$3="",'Roadmap (Auto)'!$B$3="(All)",$D97='Roadmap (Auto)'!$B$3,$X97='Roadmap (Auto)'!$B$3),OR('Roadmap (Auto)'!$C$3="",'Roadmap (Auto)'!$C$3="(All)",$F97='Roadmap (Auto)'!$C$3)),1,0))</f>
        <v/>
      </c>
      <c r="W97" s="152" t="str">
        <f t="shared" si="19"/>
        <v/>
      </c>
      <c r="X97" s="152" t="str">
        <f>IF($B97="","",IF(TRIM('UX Weekly'!D97)="","",TRIM('UX Weekly'!D97)))</f>
        <v/>
      </c>
      <c r="Y97" s="152" t="str">
        <f t="shared" si="20"/>
        <v/>
      </c>
      <c r="AA97">
        <f>IF($B97="",0,COUNTIFS('UX Weekly'!$H$1:$CT$1,"&gt;="&amp;AA$1,'UX Weekly'!$H$1:$CT$1,"&lt;="&amp;EOMONTH(AA$1,0),'UX Weekly'!$H97:$CT97,"&lt;&gt;"))</f>
        <v>0</v>
      </c>
      <c r="AB97">
        <f>IF($B97="",0,COUNTIFS('UX Weekly'!$H$1:$CT$1,"&gt;="&amp;AB$1,'UX Weekly'!$H$1:$CT$1,"&lt;="&amp;EOMONTH(AB$1,0),'UX Weekly'!$H97:$CT97,"&lt;&gt;"))</f>
        <v>0</v>
      </c>
      <c r="AC97">
        <f>IF($B97="",0,COUNTIFS('UX Weekly'!$H$1:$CT$1,"&gt;="&amp;AC$1,'UX Weekly'!$H$1:$CT$1,"&lt;="&amp;EOMONTH(AC$1,0),'UX Weekly'!$H97:$CT97,"&lt;&gt;"))</f>
        <v>0</v>
      </c>
      <c r="AD97">
        <f>IF($B97="",0,COUNTIFS('UX Weekly'!$H$1:$CT$1,"&gt;="&amp;AD$1,'UX Weekly'!$H$1:$CT$1,"&lt;="&amp;EOMONTH(AD$1,0),'UX Weekly'!$H97:$CT97,"&lt;&gt;"))</f>
        <v>0</v>
      </c>
      <c r="AE97">
        <f>IF($B97="",0,COUNTIFS('UX Weekly'!$H$1:$CT$1,"&gt;="&amp;AE$1,'UX Weekly'!$H$1:$CT$1,"&lt;="&amp;EOMONTH(AE$1,0),'UX Weekly'!$H97:$CT97,"&lt;&gt;"))</f>
        <v>0</v>
      </c>
      <c r="AF97">
        <f>IF($B97="",0,COUNTIFS('UX Weekly'!$H$1:$CT$1,"&gt;="&amp;AF$1,'UX Weekly'!$H$1:$CT$1,"&lt;="&amp;EOMONTH(AF$1,0),'UX Weekly'!$H97:$CT97,"&lt;&gt;"))</f>
        <v>0</v>
      </c>
      <c r="AG97">
        <f>IF($B97="",0,COUNTIFS('UX Weekly'!$H$1:$CT$1,"&gt;="&amp;AG$1,'UX Weekly'!$H$1:$CT$1,"&lt;="&amp;EOMONTH(AG$1,0),'UX Weekly'!$H97:$CT97,"&lt;&gt;"))</f>
        <v>0</v>
      </c>
      <c r="AH97">
        <f>IF($B97="",0,COUNTIFS('UX Weekly'!$H$1:$CT$1,"&gt;="&amp;AH$1,'UX Weekly'!$H$1:$CT$1,"&lt;="&amp;EOMONTH(AH$1,0),'UX Weekly'!$H97:$CT97,"&lt;&gt;"))</f>
        <v>0</v>
      </c>
      <c r="AI97">
        <f>IF($B97="",0,COUNTIFS('UX Weekly'!$H$1:$CT$1,"&gt;="&amp;AI$1,'UX Weekly'!$H$1:$CT$1,"&lt;="&amp;EOMONTH(AI$1,0),'UX Weekly'!$H97:$CT97,"&lt;&gt;"))</f>
        <v>0</v>
      </c>
      <c r="AJ97">
        <f>IF($B97="",0,COUNTIFS('UX Weekly'!$H$1:$CT$1,"&gt;="&amp;AJ$1,'UX Weekly'!$H$1:$CT$1,"&lt;="&amp;EOMONTH(AJ$1,0),'UX Weekly'!$H97:$CT97,"&lt;&gt;"))</f>
        <v>0</v>
      </c>
      <c r="AK97">
        <f>IF($B97="",0,COUNTIFS('UX Weekly'!$H$1:$CT$1,"&gt;="&amp;AK$1,'UX Weekly'!$H$1:$CT$1,"&lt;="&amp;EOMONTH(AK$1,0),'UX Weekly'!$H97:$CT97,"&lt;&gt;"))</f>
        <v>0</v>
      </c>
      <c r="AL97">
        <f>IF($B97="",0,COUNTIFS('UX Weekly'!$H$1:$CT$1,"&gt;="&amp;AL$1,'UX Weekly'!$H$1:$CT$1,"&lt;="&amp;EOMONTH(AL$1,0),'UX Weekly'!$H97:$CT97,"&lt;&gt;"))</f>
        <v>0</v>
      </c>
      <c r="AM97">
        <f>IF($B97="",0,COUNTIFS('UX Weekly'!$H$1:$CT$1,"&gt;="&amp;AM$1,'UX Weekly'!$H$1:$CT$1,"&lt;="&amp;EOMONTH(AM$1,0),'UX Weekly'!$H97:$CT97,"&lt;&gt;"))</f>
        <v>0</v>
      </c>
      <c r="AN97">
        <f>IF($B97="",0,COUNTIFS('UX Weekly'!$H$1:$CT$1,"&gt;="&amp;AN$1,'UX Weekly'!$H$1:$CT$1,"&lt;="&amp;EOMONTH(AN$1,0),'UX Weekly'!$H97:$CT97,"&lt;&gt;"))</f>
        <v>0</v>
      </c>
      <c r="AO97">
        <f>IF($B97="",0,COUNTIFS('UX Weekly'!$H$1:$CT$1,"&gt;="&amp;AO$1,'UX Weekly'!$H$1:$CT$1,"&lt;="&amp;EOMONTH(AO$1,0),'UX Weekly'!$H97:$CT97,"&lt;&gt;"))</f>
        <v>0</v>
      </c>
      <c r="AP97">
        <f>IF($B97="",0,COUNTIFS('UX Weekly'!$H$1:$CT$1,"&gt;="&amp;AP$1,'UX Weekly'!$H$1:$CT$1,"&lt;="&amp;EOMONTH(AP$1,0),'UX Weekly'!$H97:$CT97,"&lt;&gt;"))</f>
        <v>0</v>
      </c>
      <c r="AQ97">
        <f>IF($B97="",0,COUNTIFS('UX Weekly'!$H$1:$CT$1,"&gt;="&amp;AQ$1,'UX Weekly'!$H$1:$CT$1,"&lt;="&amp;EOMONTH(AQ$1,0),'UX Weekly'!$H97:$CT97,"&lt;&gt;"))</f>
        <v>0</v>
      </c>
      <c r="AR97">
        <f>IF($B97="",0,COUNTIFS('UX Weekly'!$H$1:$CT$1,"&gt;="&amp;AR$1,'UX Weekly'!$H$1:$CT$1,"&lt;="&amp;EOMONTH(AR$1,0),'UX Weekly'!$H97:$CT97,"&lt;&gt;"))</f>
        <v>0</v>
      </c>
      <c r="AS97">
        <f>IF($B97="",0,COUNTIFS('UX Weekly'!$H$1:$CT$1,"&gt;="&amp;AS$1,'UX Weekly'!$H$1:$CT$1,"&lt;="&amp;EOMONTH(AS$1,0),'UX Weekly'!$H97:$CT97,"&lt;&gt;"))</f>
        <v>0</v>
      </c>
      <c r="AT97">
        <f>IF($B97="",0,COUNTIFS('UX Weekly'!$H$1:$CT$1,"&gt;="&amp;AT$1,'UX Weekly'!$H$1:$CT$1,"&lt;="&amp;EOMONTH(AT$1,0),'UX Weekly'!$H97:$CT97,"&lt;&gt;"))</f>
        <v>0</v>
      </c>
      <c r="AU97">
        <f>IF($B97="",0,COUNTIFS('UX Weekly'!$H$1:$CT$1,"&gt;="&amp;AU$1,'UX Weekly'!$H$1:$CT$1,"&lt;="&amp;EOMONTH(AU$1,0),'UX Weekly'!$H97:$CT97,"&lt;&gt;"))</f>
        <v>0</v>
      </c>
      <c r="AV97">
        <f>IF($B97="",0,COUNTIFS('UX Weekly'!$H$1:$CT$1,"&gt;="&amp;AV$1,'UX Weekly'!$H$1:$CT$1,"&lt;="&amp;EOMONTH(AV$1,0),'UX Weekly'!$H97:$CT97,"&lt;&gt;"))</f>
        <v>0</v>
      </c>
      <c r="AW97">
        <f>IF($B97="",0,COUNTIFS('UX Weekly'!$H$1:$CT$1,"&gt;="&amp;AW$1,'UX Weekly'!$H$1:$CT$1,"&lt;="&amp;EOMONTH(AW$1,0),'UX Weekly'!$H97:$CT97,"&lt;&gt;"))</f>
        <v>0</v>
      </c>
      <c r="AX97">
        <f>IF($B97="",0,COUNTIFS('UX Weekly'!$H$1:$CT$1,"&gt;="&amp;AX$1,'UX Weekly'!$H$1:$CT$1,"&lt;="&amp;EOMONTH(AX$1,0),'UX Weekly'!$H97:$CT97,"&lt;&gt;"))</f>
        <v>0</v>
      </c>
    </row>
    <row r="98" spans="1:50" x14ac:dyDescent="0.2">
      <c r="A98" s="152">
        <v>98</v>
      </c>
      <c r="B98" s="152" t="str">
        <f>IF(TRIM('UX Weekly'!E98)="","",TRIM('UX Weekly'!E98))</f>
        <v/>
      </c>
      <c r="C98" s="152" t="str">
        <f>IF($B98="","",'UX Weekly'!B98)</f>
        <v/>
      </c>
      <c r="D98" s="152" t="str">
        <f>IF($B98="","",IF(TRIM('UX Weekly'!C98)="","(No theme assigned)",TRIM('UX Weekly'!C98)))</f>
        <v/>
      </c>
      <c r="E98" s="152" t="str">
        <f>IF($B98="","",TRIM('UX Weekly'!F98))</f>
        <v/>
      </c>
      <c r="F98" s="152" t="str">
        <f>IF($B98="","",'UX Weekly'!G98)</f>
        <v/>
      </c>
      <c r="G98" s="153" t="str">
        <f t="array" ref="G98">IF($B98="","",IF($T98=0,"",IFERROR(MIN(IF('UX Weekly'!$H98:$CT98&lt;&gt;"",'UX Weekly'!$H$1:$CT$1)),"")))</f>
        <v/>
      </c>
      <c r="H98" s="153" t="str">
        <f t="array" ref="H98">IF($B98="","",IF($T98=0,"",IFERROR(MAX(IF('UX Weekly'!$H98:$CT98&lt;&gt;"",'UX Weekly'!$H$1:$CT$1)),"")))</f>
        <v/>
      </c>
      <c r="I98" s="154" t="str">
        <f t="shared" ref="I98:I129" ca="1" si="21">IF($R98&lt;&gt;"",$R98,IF($S98&lt;&gt;"",$S98,""))</f>
        <v/>
      </c>
      <c r="J98" s="154" t="str">
        <f t="shared" ref="J98:J129" ca="1" si="22">IF($S98&lt;&gt;"",EOMONTH($S98,0),IF($R98&lt;&gt;"",EOMONTH($R98,0),""))</f>
        <v/>
      </c>
      <c r="K98" s="152" t="str">
        <f>IF($B98="","",IF(COUNTA('Dev Tracker'!L98)=0,"",TRIM('Dev Tracker'!L98)))</f>
        <v/>
      </c>
      <c r="L98" s="152" t="str">
        <f>IF($B98="","",IFERROR(MATCH($D98,Control!$E$4:$E$30,0),99))</f>
        <v/>
      </c>
      <c r="M98" s="152" t="str">
        <f>IF($B98="","",IFERROR(MATCH($F98,Control!$B$4:$B$30,0),99))</f>
        <v/>
      </c>
      <c r="N98" s="152" t="str">
        <f>IF($V98&lt;&gt;1,"",IF('Roadmap (Auto)'!$D$3="Status, then Theme",$M98*1000000+$L98*10000+ROW(),IF('Roadmap (Auto)'!$D$3="Dev start (earliest)",IF($I98="",99999999,$I98)*10000+ROW(),IF('Roadmap (Auto)'!$D$3="UX start (earliest)",IF($G98="",99999999,$G98)*10000+ROW(),IF('Roadmap (Auto)'!$D$3="Deliverable A-Z",$W98*10000+ROW(),$L98*1000000+$M98*10000+ROW())))))</f>
        <v/>
      </c>
      <c r="O98" s="152" t="str">
        <f t="shared" ref="O98:O129" si="23">IF($N98="","",COUNTIF($N$2:$N$151,"&lt;"&amp;$N98)+1)</f>
        <v/>
      </c>
      <c r="P98" s="152" t="str">
        <f>IF($B98="","",IF(COUNTA('Dev Tracker'!I98)=0,"",'Dev Tracker'!I98))</f>
        <v/>
      </c>
      <c r="Q98" s="152" t="str">
        <f>IF($B98="","",IF(COUNTA('Dev Tracker'!J98)=0,"",'Dev Tracker'!J98))</f>
        <v/>
      </c>
      <c r="R98" s="154" t="str">
        <f t="shared" ref="R98:R129" ca="1" si="24">IF($P98="","",IF(ISNUMBER($P98),DATE(YEAR($P98),MONTH($P98),1),IFERROR(DATE(IFERROR(VALUE(RIGHT(TRIM($P98),4)),YEAR(TODAY())),(SEARCH(LEFT(TRIM($P98),3),"JanFebMarAprMayJunJulAugSepOctNovDec")+2)/3,1),"")))</f>
        <v/>
      </c>
      <c r="S98" s="154" t="str">
        <f t="shared" ref="S98:S129" ca="1" si="25">IF($Q98="","",IF(ISNUMBER($Q98),DATE(YEAR($Q98),MONTH($Q98),1),IFERROR(DATE(IFERROR(VALUE(RIGHT(TRIM($Q98),4)),YEAR(TODAY())),(SEARCH(LEFT(TRIM($Q98),3),"JanFebMarAprMayJunJulAugSepOctNovDec")+2)/3,1),"")))</f>
        <v/>
      </c>
      <c r="T98" s="152" t="str">
        <f>IF($B98="","",COUNTA('UX Weekly'!$H98:$CT98))</f>
        <v/>
      </c>
      <c r="U98" s="152" t="str">
        <f>IF($B98="","",IFERROR(MATCH($D98,Control!$E$4:$E$30,0)+3,0))</f>
        <v/>
      </c>
      <c r="V98" s="152" t="str">
        <f>IF($B98="","",IF(AND(OR('Roadmap (Auto)'!$A$3="",'Roadmap (Auto)'!$A$3="(All)",ISNUMBER(SEARCH('Roadmap (Auto)'!$A$3,$C98&amp;""))),OR('Roadmap (Auto)'!$B$3="",'Roadmap (Auto)'!$B$3="(All)",$D98='Roadmap (Auto)'!$B$3,$X98='Roadmap (Auto)'!$B$3),OR('Roadmap (Auto)'!$C$3="",'Roadmap (Auto)'!$C$3="(All)",$F98='Roadmap (Auto)'!$C$3)),1,0))</f>
        <v/>
      </c>
      <c r="W98" s="152" t="str">
        <f t="shared" ref="W98:W129" si="26">IF($B98="","",COUNTIF($Y$2:$Y$151,"&lt;"&amp;$Y98)+1)</f>
        <v/>
      </c>
      <c r="X98" s="152" t="str">
        <f>IF($B98="","",IF(TRIM('UX Weekly'!D98)="","",TRIM('UX Weekly'!D98)))</f>
        <v/>
      </c>
      <c r="Y98" s="152" t="str">
        <f t="shared" ref="Y98:Y129" si="27">IF($B98="","",SUBSTITUTE(SUBSTITUTE(SUBSTITUTE(SUBSTITUTE(SUBSTITUTE(SUBSTITUTE(SUBSTITUTE(SUBSTITUTE(SUBSTITUTE(SUBSTITUTE(SUBSTITUTE(SUBSTITUTE(SUBSTITUTE(SUBSTITUTE(SUBSTITUTE(SUBSTITUTE(SUBSTITUTE(SUBSTITUTE(SUBSTITUTE(SUBSTITUTE(SUBSTITUTE(SUBSTITUTE(SUBSTITUTE(SUBSTITUTE(SUBSTITUTE(UPPER($B98)," ",""),"-",""),":",""),"/",""),"&amp;",""),"|",""),"'",""),"’",""),"&lt;",""),"&gt;",""),",",""),"$",""),".",""),"(",""),")",""),"*",""),"?",""),"~",""),"_",""),"+",""),"#",""),";",""),"!",""),"%",""),"@",""))</f>
        <v/>
      </c>
      <c r="AA98">
        <f>IF($B98="",0,COUNTIFS('UX Weekly'!$H$1:$CT$1,"&gt;="&amp;AA$1,'UX Weekly'!$H$1:$CT$1,"&lt;="&amp;EOMONTH(AA$1,0),'UX Weekly'!$H98:$CT98,"&lt;&gt;"))</f>
        <v>0</v>
      </c>
      <c r="AB98">
        <f>IF($B98="",0,COUNTIFS('UX Weekly'!$H$1:$CT$1,"&gt;="&amp;AB$1,'UX Weekly'!$H$1:$CT$1,"&lt;="&amp;EOMONTH(AB$1,0),'UX Weekly'!$H98:$CT98,"&lt;&gt;"))</f>
        <v>0</v>
      </c>
      <c r="AC98">
        <f>IF($B98="",0,COUNTIFS('UX Weekly'!$H$1:$CT$1,"&gt;="&amp;AC$1,'UX Weekly'!$H$1:$CT$1,"&lt;="&amp;EOMONTH(AC$1,0),'UX Weekly'!$H98:$CT98,"&lt;&gt;"))</f>
        <v>0</v>
      </c>
      <c r="AD98">
        <f>IF($B98="",0,COUNTIFS('UX Weekly'!$H$1:$CT$1,"&gt;="&amp;AD$1,'UX Weekly'!$H$1:$CT$1,"&lt;="&amp;EOMONTH(AD$1,0),'UX Weekly'!$H98:$CT98,"&lt;&gt;"))</f>
        <v>0</v>
      </c>
      <c r="AE98">
        <f>IF($B98="",0,COUNTIFS('UX Weekly'!$H$1:$CT$1,"&gt;="&amp;AE$1,'UX Weekly'!$H$1:$CT$1,"&lt;="&amp;EOMONTH(AE$1,0),'UX Weekly'!$H98:$CT98,"&lt;&gt;"))</f>
        <v>0</v>
      </c>
      <c r="AF98">
        <f>IF($B98="",0,COUNTIFS('UX Weekly'!$H$1:$CT$1,"&gt;="&amp;AF$1,'UX Weekly'!$H$1:$CT$1,"&lt;="&amp;EOMONTH(AF$1,0),'UX Weekly'!$H98:$CT98,"&lt;&gt;"))</f>
        <v>0</v>
      </c>
      <c r="AG98">
        <f>IF($B98="",0,COUNTIFS('UX Weekly'!$H$1:$CT$1,"&gt;="&amp;AG$1,'UX Weekly'!$H$1:$CT$1,"&lt;="&amp;EOMONTH(AG$1,0),'UX Weekly'!$H98:$CT98,"&lt;&gt;"))</f>
        <v>0</v>
      </c>
      <c r="AH98">
        <f>IF($B98="",0,COUNTIFS('UX Weekly'!$H$1:$CT$1,"&gt;="&amp;AH$1,'UX Weekly'!$H$1:$CT$1,"&lt;="&amp;EOMONTH(AH$1,0),'UX Weekly'!$H98:$CT98,"&lt;&gt;"))</f>
        <v>0</v>
      </c>
      <c r="AI98">
        <f>IF($B98="",0,COUNTIFS('UX Weekly'!$H$1:$CT$1,"&gt;="&amp;AI$1,'UX Weekly'!$H$1:$CT$1,"&lt;="&amp;EOMONTH(AI$1,0),'UX Weekly'!$H98:$CT98,"&lt;&gt;"))</f>
        <v>0</v>
      </c>
      <c r="AJ98">
        <f>IF($B98="",0,COUNTIFS('UX Weekly'!$H$1:$CT$1,"&gt;="&amp;AJ$1,'UX Weekly'!$H$1:$CT$1,"&lt;="&amp;EOMONTH(AJ$1,0),'UX Weekly'!$H98:$CT98,"&lt;&gt;"))</f>
        <v>0</v>
      </c>
      <c r="AK98">
        <f>IF($B98="",0,COUNTIFS('UX Weekly'!$H$1:$CT$1,"&gt;="&amp;AK$1,'UX Weekly'!$H$1:$CT$1,"&lt;="&amp;EOMONTH(AK$1,0),'UX Weekly'!$H98:$CT98,"&lt;&gt;"))</f>
        <v>0</v>
      </c>
      <c r="AL98">
        <f>IF($B98="",0,COUNTIFS('UX Weekly'!$H$1:$CT$1,"&gt;="&amp;AL$1,'UX Weekly'!$H$1:$CT$1,"&lt;="&amp;EOMONTH(AL$1,0),'UX Weekly'!$H98:$CT98,"&lt;&gt;"))</f>
        <v>0</v>
      </c>
      <c r="AM98">
        <f>IF($B98="",0,COUNTIFS('UX Weekly'!$H$1:$CT$1,"&gt;="&amp;AM$1,'UX Weekly'!$H$1:$CT$1,"&lt;="&amp;EOMONTH(AM$1,0),'UX Weekly'!$H98:$CT98,"&lt;&gt;"))</f>
        <v>0</v>
      </c>
      <c r="AN98">
        <f>IF($B98="",0,COUNTIFS('UX Weekly'!$H$1:$CT$1,"&gt;="&amp;AN$1,'UX Weekly'!$H$1:$CT$1,"&lt;="&amp;EOMONTH(AN$1,0),'UX Weekly'!$H98:$CT98,"&lt;&gt;"))</f>
        <v>0</v>
      </c>
      <c r="AO98">
        <f>IF($B98="",0,COUNTIFS('UX Weekly'!$H$1:$CT$1,"&gt;="&amp;AO$1,'UX Weekly'!$H$1:$CT$1,"&lt;="&amp;EOMONTH(AO$1,0),'UX Weekly'!$H98:$CT98,"&lt;&gt;"))</f>
        <v>0</v>
      </c>
      <c r="AP98">
        <f>IF($B98="",0,COUNTIFS('UX Weekly'!$H$1:$CT$1,"&gt;="&amp;AP$1,'UX Weekly'!$H$1:$CT$1,"&lt;="&amp;EOMONTH(AP$1,0),'UX Weekly'!$H98:$CT98,"&lt;&gt;"))</f>
        <v>0</v>
      </c>
      <c r="AQ98">
        <f>IF($B98="",0,COUNTIFS('UX Weekly'!$H$1:$CT$1,"&gt;="&amp;AQ$1,'UX Weekly'!$H$1:$CT$1,"&lt;="&amp;EOMONTH(AQ$1,0),'UX Weekly'!$H98:$CT98,"&lt;&gt;"))</f>
        <v>0</v>
      </c>
      <c r="AR98">
        <f>IF($B98="",0,COUNTIFS('UX Weekly'!$H$1:$CT$1,"&gt;="&amp;AR$1,'UX Weekly'!$H$1:$CT$1,"&lt;="&amp;EOMONTH(AR$1,0),'UX Weekly'!$H98:$CT98,"&lt;&gt;"))</f>
        <v>0</v>
      </c>
      <c r="AS98">
        <f>IF($B98="",0,COUNTIFS('UX Weekly'!$H$1:$CT$1,"&gt;="&amp;AS$1,'UX Weekly'!$H$1:$CT$1,"&lt;="&amp;EOMONTH(AS$1,0),'UX Weekly'!$H98:$CT98,"&lt;&gt;"))</f>
        <v>0</v>
      </c>
      <c r="AT98">
        <f>IF($B98="",0,COUNTIFS('UX Weekly'!$H$1:$CT$1,"&gt;="&amp;AT$1,'UX Weekly'!$H$1:$CT$1,"&lt;="&amp;EOMONTH(AT$1,0),'UX Weekly'!$H98:$CT98,"&lt;&gt;"))</f>
        <v>0</v>
      </c>
      <c r="AU98">
        <f>IF($B98="",0,COUNTIFS('UX Weekly'!$H$1:$CT$1,"&gt;="&amp;AU$1,'UX Weekly'!$H$1:$CT$1,"&lt;="&amp;EOMONTH(AU$1,0),'UX Weekly'!$H98:$CT98,"&lt;&gt;"))</f>
        <v>0</v>
      </c>
      <c r="AV98">
        <f>IF($B98="",0,COUNTIFS('UX Weekly'!$H$1:$CT$1,"&gt;="&amp;AV$1,'UX Weekly'!$H$1:$CT$1,"&lt;="&amp;EOMONTH(AV$1,0),'UX Weekly'!$H98:$CT98,"&lt;&gt;"))</f>
        <v>0</v>
      </c>
      <c r="AW98">
        <f>IF($B98="",0,COUNTIFS('UX Weekly'!$H$1:$CT$1,"&gt;="&amp;AW$1,'UX Weekly'!$H$1:$CT$1,"&lt;="&amp;EOMONTH(AW$1,0),'UX Weekly'!$H98:$CT98,"&lt;&gt;"))</f>
        <v>0</v>
      </c>
      <c r="AX98">
        <f>IF($B98="",0,COUNTIFS('UX Weekly'!$H$1:$CT$1,"&gt;="&amp;AX$1,'UX Weekly'!$H$1:$CT$1,"&lt;="&amp;EOMONTH(AX$1,0),'UX Weekly'!$H98:$CT98,"&lt;&gt;"))</f>
        <v>0</v>
      </c>
    </row>
    <row r="99" spans="1:50" x14ac:dyDescent="0.2">
      <c r="A99" s="152">
        <v>99</v>
      </c>
      <c r="B99" s="152" t="str">
        <f>IF(TRIM('UX Weekly'!E99)="","",TRIM('UX Weekly'!E99))</f>
        <v/>
      </c>
      <c r="C99" s="152" t="str">
        <f>IF($B99="","",'UX Weekly'!B99)</f>
        <v/>
      </c>
      <c r="D99" s="152" t="str">
        <f>IF($B99="","",IF(TRIM('UX Weekly'!C99)="","(No theme assigned)",TRIM('UX Weekly'!C99)))</f>
        <v/>
      </c>
      <c r="E99" s="152" t="str">
        <f>IF($B99="","",TRIM('UX Weekly'!F99))</f>
        <v/>
      </c>
      <c r="F99" s="152" t="str">
        <f>IF($B99="","",'UX Weekly'!G99)</f>
        <v/>
      </c>
      <c r="G99" s="153" t="str">
        <f t="array" ref="G99">IF($B99="","",IF($T99=0,"",IFERROR(MIN(IF('UX Weekly'!$H99:$CT99&lt;&gt;"",'UX Weekly'!$H$1:$CT$1)),"")))</f>
        <v/>
      </c>
      <c r="H99" s="153" t="str">
        <f t="array" ref="H99">IF($B99="","",IF($T99=0,"",IFERROR(MAX(IF('UX Weekly'!$H99:$CT99&lt;&gt;"",'UX Weekly'!$H$1:$CT$1)),"")))</f>
        <v/>
      </c>
      <c r="I99" s="154" t="str">
        <f t="shared" ca="1" si="21"/>
        <v/>
      </c>
      <c r="J99" s="154" t="str">
        <f t="shared" ca="1" si="22"/>
        <v/>
      </c>
      <c r="K99" s="152" t="str">
        <f>IF($B99="","",IF(COUNTA('Dev Tracker'!L99)=0,"",TRIM('Dev Tracker'!L99)))</f>
        <v/>
      </c>
      <c r="L99" s="152" t="str">
        <f>IF($B99="","",IFERROR(MATCH($D99,Control!$E$4:$E$30,0),99))</f>
        <v/>
      </c>
      <c r="M99" s="152" t="str">
        <f>IF($B99="","",IFERROR(MATCH($F99,Control!$B$4:$B$30,0),99))</f>
        <v/>
      </c>
      <c r="N99" s="152" t="str">
        <f>IF($V99&lt;&gt;1,"",IF('Roadmap (Auto)'!$D$3="Status, then Theme",$M99*1000000+$L99*10000+ROW(),IF('Roadmap (Auto)'!$D$3="Dev start (earliest)",IF($I99="",99999999,$I99)*10000+ROW(),IF('Roadmap (Auto)'!$D$3="UX start (earliest)",IF($G99="",99999999,$G99)*10000+ROW(),IF('Roadmap (Auto)'!$D$3="Deliverable A-Z",$W99*10000+ROW(),$L99*1000000+$M99*10000+ROW())))))</f>
        <v/>
      </c>
      <c r="O99" s="152" t="str">
        <f t="shared" si="23"/>
        <v/>
      </c>
      <c r="P99" s="152" t="str">
        <f>IF($B99="","",IF(COUNTA('Dev Tracker'!I99)=0,"",'Dev Tracker'!I99))</f>
        <v/>
      </c>
      <c r="Q99" s="152" t="str">
        <f>IF($B99="","",IF(COUNTA('Dev Tracker'!J99)=0,"",'Dev Tracker'!J99))</f>
        <v/>
      </c>
      <c r="R99" s="154" t="str">
        <f t="shared" ca="1" si="24"/>
        <v/>
      </c>
      <c r="S99" s="154" t="str">
        <f t="shared" ca="1" si="25"/>
        <v/>
      </c>
      <c r="T99" s="152" t="str">
        <f>IF($B99="","",COUNTA('UX Weekly'!$H99:$CT99))</f>
        <v/>
      </c>
      <c r="U99" s="152" t="str">
        <f>IF($B99="","",IFERROR(MATCH($D99,Control!$E$4:$E$30,0)+3,0))</f>
        <v/>
      </c>
      <c r="V99" s="152" t="str">
        <f>IF($B99="","",IF(AND(OR('Roadmap (Auto)'!$A$3="",'Roadmap (Auto)'!$A$3="(All)",ISNUMBER(SEARCH('Roadmap (Auto)'!$A$3,$C99&amp;""))),OR('Roadmap (Auto)'!$B$3="",'Roadmap (Auto)'!$B$3="(All)",$D99='Roadmap (Auto)'!$B$3,$X99='Roadmap (Auto)'!$B$3),OR('Roadmap (Auto)'!$C$3="",'Roadmap (Auto)'!$C$3="(All)",$F99='Roadmap (Auto)'!$C$3)),1,0))</f>
        <v/>
      </c>
      <c r="W99" s="152" t="str">
        <f t="shared" si="26"/>
        <v/>
      </c>
      <c r="X99" s="152" t="str">
        <f>IF($B99="","",IF(TRIM('UX Weekly'!D99)="","",TRIM('UX Weekly'!D99)))</f>
        <v/>
      </c>
      <c r="Y99" s="152" t="str">
        <f t="shared" si="27"/>
        <v/>
      </c>
      <c r="AA99">
        <f>IF($B99="",0,COUNTIFS('UX Weekly'!$H$1:$CT$1,"&gt;="&amp;AA$1,'UX Weekly'!$H$1:$CT$1,"&lt;="&amp;EOMONTH(AA$1,0),'UX Weekly'!$H99:$CT99,"&lt;&gt;"))</f>
        <v>0</v>
      </c>
      <c r="AB99">
        <f>IF($B99="",0,COUNTIFS('UX Weekly'!$H$1:$CT$1,"&gt;="&amp;AB$1,'UX Weekly'!$H$1:$CT$1,"&lt;="&amp;EOMONTH(AB$1,0),'UX Weekly'!$H99:$CT99,"&lt;&gt;"))</f>
        <v>0</v>
      </c>
      <c r="AC99">
        <f>IF($B99="",0,COUNTIFS('UX Weekly'!$H$1:$CT$1,"&gt;="&amp;AC$1,'UX Weekly'!$H$1:$CT$1,"&lt;="&amp;EOMONTH(AC$1,0),'UX Weekly'!$H99:$CT99,"&lt;&gt;"))</f>
        <v>0</v>
      </c>
      <c r="AD99">
        <f>IF($B99="",0,COUNTIFS('UX Weekly'!$H$1:$CT$1,"&gt;="&amp;AD$1,'UX Weekly'!$H$1:$CT$1,"&lt;="&amp;EOMONTH(AD$1,0),'UX Weekly'!$H99:$CT99,"&lt;&gt;"))</f>
        <v>0</v>
      </c>
      <c r="AE99">
        <f>IF($B99="",0,COUNTIFS('UX Weekly'!$H$1:$CT$1,"&gt;="&amp;AE$1,'UX Weekly'!$H$1:$CT$1,"&lt;="&amp;EOMONTH(AE$1,0),'UX Weekly'!$H99:$CT99,"&lt;&gt;"))</f>
        <v>0</v>
      </c>
      <c r="AF99">
        <f>IF($B99="",0,COUNTIFS('UX Weekly'!$H$1:$CT$1,"&gt;="&amp;AF$1,'UX Weekly'!$H$1:$CT$1,"&lt;="&amp;EOMONTH(AF$1,0),'UX Weekly'!$H99:$CT99,"&lt;&gt;"))</f>
        <v>0</v>
      </c>
      <c r="AG99">
        <f>IF($B99="",0,COUNTIFS('UX Weekly'!$H$1:$CT$1,"&gt;="&amp;AG$1,'UX Weekly'!$H$1:$CT$1,"&lt;="&amp;EOMONTH(AG$1,0),'UX Weekly'!$H99:$CT99,"&lt;&gt;"))</f>
        <v>0</v>
      </c>
      <c r="AH99">
        <f>IF($B99="",0,COUNTIFS('UX Weekly'!$H$1:$CT$1,"&gt;="&amp;AH$1,'UX Weekly'!$H$1:$CT$1,"&lt;="&amp;EOMONTH(AH$1,0),'UX Weekly'!$H99:$CT99,"&lt;&gt;"))</f>
        <v>0</v>
      </c>
      <c r="AI99">
        <f>IF($B99="",0,COUNTIFS('UX Weekly'!$H$1:$CT$1,"&gt;="&amp;AI$1,'UX Weekly'!$H$1:$CT$1,"&lt;="&amp;EOMONTH(AI$1,0),'UX Weekly'!$H99:$CT99,"&lt;&gt;"))</f>
        <v>0</v>
      </c>
      <c r="AJ99">
        <f>IF($B99="",0,COUNTIFS('UX Weekly'!$H$1:$CT$1,"&gt;="&amp;AJ$1,'UX Weekly'!$H$1:$CT$1,"&lt;="&amp;EOMONTH(AJ$1,0),'UX Weekly'!$H99:$CT99,"&lt;&gt;"))</f>
        <v>0</v>
      </c>
      <c r="AK99">
        <f>IF($B99="",0,COUNTIFS('UX Weekly'!$H$1:$CT$1,"&gt;="&amp;AK$1,'UX Weekly'!$H$1:$CT$1,"&lt;="&amp;EOMONTH(AK$1,0),'UX Weekly'!$H99:$CT99,"&lt;&gt;"))</f>
        <v>0</v>
      </c>
      <c r="AL99">
        <f>IF($B99="",0,COUNTIFS('UX Weekly'!$H$1:$CT$1,"&gt;="&amp;AL$1,'UX Weekly'!$H$1:$CT$1,"&lt;="&amp;EOMONTH(AL$1,0),'UX Weekly'!$H99:$CT99,"&lt;&gt;"))</f>
        <v>0</v>
      </c>
      <c r="AM99">
        <f>IF($B99="",0,COUNTIFS('UX Weekly'!$H$1:$CT$1,"&gt;="&amp;AM$1,'UX Weekly'!$H$1:$CT$1,"&lt;="&amp;EOMONTH(AM$1,0),'UX Weekly'!$H99:$CT99,"&lt;&gt;"))</f>
        <v>0</v>
      </c>
      <c r="AN99">
        <f>IF($B99="",0,COUNTIFS('UX Weekly'!$H$1:$CT$1,"&gt;="&amp;AN$1,'UX Weekly'!$H$1:$CT$1,"&lt;="&amp;EOMONTH(AN$1,0),'UX Weekly'!$H99:$CT99,"&lt;&gt;"))</f>
        <v>0</v>
      </c>
      <c r="AO99">
        <f>IF($B99="",0,COUNTIFS('UX Weekly'!$H$1:$CT$1,"&gt;="&amp;AO$1,'UX Weekly'!$H$1:$CT$1,"&lt;="&amp;EOMONTH(AO$1,0),'UX Weekly'!$H99:$CT99,"&lt;&gt;"))</f>
        <v>0</v>
      </c>
      <c r="AP99">
        <f>IF($B99="",0,COUNTIFS('UX Weekly'!$H$1:$CT$1,"&gt;="&amp;AP$1,'UX Weekly'!$H$1:$CT$1,"&lt;="&amp;EOMONTH(AP$1,0),'UX Weekly'!$H99:$CT99,"&lt;&gt;"))</f>
        <v>0</v>
      </c>
      <c r="AQ99">
        <f>IF($B99="",0,COUNTIFS('UX Weekly'!$H$1:$CT$1,"&gt;="&amp;AQ$1,'UX Weekly'!$H$1:$CT$1,"&lt;="&amp;EOMONTH(AQ$1,0),'UX Weekly'!$H99:$CT99,"&lt;&gt;"))</f>
        <v>0</v>
      </c>
      <c r="AR99">
        <f>IF($B99="",0,COUNTIFS('UX Weekly'!$H$1:$CT$1,"&gt;="&amp;AR$1,'UX Weekly'!$H$1:$CT$1,"&lt;="&amp;EOMONTH(AR$1,0),'UX Weekly'!$H99:$CT99,"&lt;&gt;"))</f>
        <v>0</v>
      </c>
      <c r="AS99">
        <f>IF($B99="",0,COUNTIFS('UX Weekly'!$H$1:$CT$1,"&gt;="&amp;AS$1,'UX Weekly'!$H$1:$CT$1,"&lt;="&amp;EOMONTH(AS$1,0),'UX Weekly'!$H99:$CT99,"&lt;&gt;"))</f>
        <v>0</v>
      </c>
      <c r="AT99">
        <f>IF($B99="",0,COUNTIFS('UX Weekly'!$H$1:$CT$1,"&gt;="&amp;AT$1,'UX Weekly'!$H$1:$CT$1,"&lt;="&amp;EOMONTH(AT$1,0),'UX Weekly'!$H99:$CT99,"&lt;&gt;"))</f>
        <v>0</v>
      </c>
      <c r="AU99">
        <f>IF($B99="",0,COUNTIFS('UX Weekly'!$H$1:$CT$1,"&gt;="&amp;AU$1,'UX Weekly'!$H$1:$CT$1,"&lt;="&amp;EOMONTH(AU$1,0),'UX Weekly'!$H99:$CT99,"&lt;&gt;"))</f>
        <v>0</v>
      </c>
      <c r="AV99">
        <f>IF($B99="",0,COUNTIFS('UX Weekly'!$H$1:$CT$1,"&gt;="&amp;AV$1,'UX Weekly'!$H$1:$CT$1,"&lt;="&amp;EOMONTH(AV$1,0),'UX Weekly'!$H99:$CT99,"&lt;&gt;"))</f>
        <v>0</v>
      </c>
      <c r="AW99">
        <f>IF($B99="",0,COUNTIFS('UX Weekly'!$H$1:$CT$1,"&gt;="&amp;AW$1,'UX Weekly'!$H$1:$CT$1,"&lt;="&amp;EOMONTH(AW$1,0),'UX Weekly'!$H99:$CT99,"&lt;&gt;"))</f>
        <v>0</v>
      </c>
      <c r="AX99">
        <f>IF($B99="",0,COUNTIFS('UX Weekly'!$H$1:$CT$1,"&gt;="&amp;AX$1,'UX Weekly'!$H$1:$CT$1,"&lt;="&amp;EOMONTH(AX$1,0),'UX Weekly'!$H99:$CT99,"&lt;&gt;"))</f>
        <v>0</v>
      </c>
    </row>
    <row r="100" spans="1:50" x14ac:dyDescent="0.2">
      <c r="A100" s="152">
        <v>100</v>
      </c>
      <c r="B100" s="152" t="str">
        <f>IF(TRIM('UX Weekly'!E100)="","",TRIM('UX Weekly'!E100))</f>
        <v/>
      </c>
      <c r="C100" s="152" t="str">
        <f>IF($B100="","",'UX Weekly'!B100)</f>
        <v/>
      </c>
      <c r="D100" s="152" t="str">
        <f>IF($B100="","",IF(TRIM('UX Weekly'!C100)="","(No theme assigned)",TRIM('UX Weekly'!C100)))</f>
        <v/>
      </c>
      <c r="E100" s="152" t="str">
        <f>IF($B100="","",TRIM('UX Weekly'!F100))</f>
        <v/>
      </c>
      <c r="F100" s="152" t="str">
        <f>IF($B100="","",'UX Weekly'!G100)</f>
        <v/>
      </c>
      <c r="G100" s="153" t="str">
        <f t="array" ref="G100">IF($B100="","",IF($T100=0,"",IFERROR(MIN(IF('UX Weekly'!$H100:$CT100&lt;&gt;"",'UX Weekly'!$H$1:$CT$1)),"")))</f>
        <v/>
      </c>
      <c r="H100" s="153" t="str">
        <f t="array" ref="H100">IF($B100="","",IF($T100=0,"",IFERROR(MAX(IF('UX Weekly'!$H100:$CT100&lt;&gt;"",'UX Weekly'!$H$1:$CT$1)),"")))</f>
        <v/>
      </c>
      <c r="I100" s="154" t="str">
        <f t="shared" ca="1" si="21"/>
        <v/>
      </c>
      <c r="J100" s="154" t="str">
        <f t="shared" ca="1" si="22"/>
        <v/>
      </c>
      <c r="K100" s="152" t="str">
        <f>IF($B100="","",IF(COUNTA('Dev Tracker'!L100)=0,"",TRIM('Dev Tracker'!L100)))</f>
        <v/>
      </c>
      <c r="L100" s="152" t="str">
        <f>IF($B100="","",IFERROR(MATCH($D100,Control!$E$4:$E$30,0),99))</f>
        <v/>
      </c>
      <c r="M100" s="152" t="str">
        <f>IF($B100="","",IFERROR(MATCH($F100,Control!$B$4:$B$30,0),99))</f>
        <v/>
      </c>
      <c r="N100" s="152" t="str">
        <f>IF($V100&lt;&gt;1,"",IF('Roadmap (Auto)'!$D$3="Status, then Theme",$M100*1000000+$L100*10000+ROW(),IF('Roadmap (Auto)'!$D$3="Dev start (earliest)",IF($I100="",99999999,$I100)*10000+ROW(),IF('Roadmap (Auto)'!$D$3="UX start (earliest)",IF($G100="",99999999,$G100)*10000+ROW(),IF('Roadmap (Auto)'!$D$3="Deliverable A-Z",$W100*10000+ROW(),$L100*1000000+$M100*10000+ROW())))))</f>
        <v/>
      </c>
      <c r="O100" s="152" t="str">
        <f t="shared" si="23"/>
        <v/>
      </c>
      <c r="P100" s="152" t="str">
        <f>IF($B100="","",IF(COUNTA('Dev Tracker'!I100)=0,"",'Dev Tracker'!I100))</f>
        <v/>
      </c>
      <c r="Q100" s="152" t="str">
        <f>IF($B100="","",IF(COUNTA('Dev Tracker'!J100)=0,"",'Dev Tracker'!J100))</f>
        <v/>
      </c>
      <c r="R100" s="154" t="str">
        <f t="shared" ca="1" si="24"/>
        <v/>
      </c>
      <c r="S100" s="154" t="str">
        <f t="shared" ca="1" si="25"/>
        <v/>
      </c>
      <c r="T100" s="152" t="str">
        <f>IF($B100="","",COUNTA('UX Weekly'!$H100:$CT100))</f>
        <v/>
      </c>
      <c r="U100" s="152" t="str">
        <f>IF($B100="","",IFERROR(MATCH($D100,Control!$E$4:$E$30,0)+3,0))</f>
        <v/>
      </c>
      <c r="V100" s="152" t="str">
        <f>IF($B100="","",IF(AND(OR('Roadmap (Auto)'!$A$3="",'Roadmap (Auto)'!$A$3="(All)",ISNUMBER(SEARCH('Roadmap (Auto)'!$A$3,$C100&amp;""))),OR('Roadmap (Auto)'!$B$3="",'Roadmap (Auto)'!$B$3="(All)",$D100='Roadmap (Auto)'!$B$3,$X100='Roadmap (Auto)'!$B$3),OR('Roadmap (Auto)'!$C$3="",'Roadmap (Auto)'!$C$3="(All)",$F100='Roadmap (Auto)'!$C$3)),1,0))</f>
        <v/>
      </c>
      <c r="W100" s="152" t="str">
        <f t="shared" si="26"/>
        <v/>
      </c>
      <c r="X100" s="152" t="str">
        <f>IF($B100="","",IF(TRIM('UX Weekly'!D100)="","",TRIM('UX Weekly'!D100)))</f>
        <v/>
      </c>
      <c r="Y100" s="152" t="str">
        <f t="shared" si="27"/>
        <v/>
      </c>
      <c r="AA100">
        <f>IF($B100="",0,COUNTIFS('UX Weekly'!$H$1:$CT$1,"&gt;="&amp;AA$1,'UX Weekly'!$H$1:$CT$1,"&lt;="&amp;EOMONTH(AA$1,0),'UX Weekly'!$H100:$CT100,"&lt;&gt;"))</f>
        <v>0</v>
      </c>
      <c r="AB100">
        <f>IF($B100="",0,COUNTIFS('UX Weekly'!$H$1:$CT$1,"&gt;="&amp;AB$1,'UX Weekly'!$H$1:$CT$1,"&lt;="&amp;EOMONTH(AB$1,0),'UX Weekly'!$H100:$CT100,"&lt;&gt;"))</f>
        <v>0</v>
      </c>
      <c r="AC100">
        <f>IF($B100="",0,COUNTIFS('UX Weekly'!$H$1:$CT$1,"&gt;="&amp;AC$1,'UX Weekly'!$H$1:$CT$1,"&lt;="&amp;EOMONTH(AC$1,0),'UX Weekly'!$H100:$CT100,"&lt;&gt;"))</f>
        <v>0</v>
      </c>
      <c r="AD100">
        <f>IF($B100="",0,COUNTIFS('UX Weekly'!$H$1:$CT$1,"&gt;="&amp;AD$1,'UX Weekly'!$H$1:$CT$1,"&lt;="&amp;EOMONTH(AD$1,0),'UX Weekly'!$H100:$CT100,"&lt;&gt;"))</f>
        <v>0</v>
      </c>
      <c r="AE100">
        <f>IF($B100="",0,COUNTIFS('UX Weekly'!$H$1:$CT$1,"&gt;="&amp;AE$1,'UX Weekly'!$H$1:$CT$1,"&lt;="&amp;EOMONTH(AE$1,0),'UX Weekly'!$H100:$CT100,"&lt;&gt;"))</f>
        <v>0</v>
      </c>
      <c r="AF100">
        <f>IF($B100="",0,COUNTIFS('UX Weekly'!$H$1:$CT$1,"&gt;="&amp;AF$1,'UX Weekly'!$H$1:$CT$1,"&lt;="&amp;EOMONTH(AF$1,0),'UX Weekly'!$H100:$CT100,"&lt;&gt;"))</f>
        <v>0</v>
      </c>
      <c r="AG100">
        <f>IF($B100="",0,COUNTIFS('UX Weekly'!$H$1:$CT$1,"&gt;="&amp;AG$1,'UX Weekly'!$H$1:$CT$1,"&lt;="&amp;EOMONTH(AG$1,0),'UX Weekly'!$H100:$CT100,"&lt;&gt;"))</f>
        <v>0</v>
      </c>
      <c r="AH100">
        <f>IF($B100="",0,COUNTIFS('UX Weekly'!$H$1:$CT$1,"&gt;="&amp;AH$1,'UX Weekly'!$H$1:$CT$1,"&lt;="&amp;EOMONTH(AH$1,0),'UX Weekly'!$H100:$CT100,"&lt;&gt;"))</f>
        <v>0</v>
      </c>
      <c r="AI100">
        <f>IF($B100="",0,COUNTIFS('UX Weekly'!$H$1:$CT$1,"&gt;="&amp;AI$1,'UX Weekly'!$H$1:$CT$1,"&lt;="&amp;EOMONTH(AI$1,0),'UX Weekly'!$H100:$CT100,"&lt;&gt;"))</f>
        <v>0</v>
      </c>
      <c r="AJ100">
        <f>IF($B100="",0,COUNTIFS('UX Weekly'!$H$1:$CT$1,"&gt;="&amp;AJ$1,'UX Weekly'!$H$1:$CT$1,"&lt;="&amp;EOMONTH(AJ$1,0),'UX Weekly'!$H100:$CT100,"&lt;&gt;"))</f>
        <v>0</v>
      </c>
      <c r="AK100">
        <f>IF($B100="",0,COUNTIFS('UX Weekly'!$H$1:$CT$1,"&gt;="&amp;AK$1,'UX Weekly'!$H$1:$CT$1,"&lt;="&amp;EOMONTH(AK$1,0),'UX Weekly'!$H100:$CT100,"&lt;&gt;"))</f>
        <v>0</v>
      </c>
      <c r="AL100">
        <f>IF($B100="",0,COUNTIFS('UX Weekly'!$H$1:$CT$1,"&gt;="&amp;AL$1,'UX Weekly'!$H$1:$CT$1,"&lt;="&amp;EOMONTH(AL$1,0),'UX Weekly'!$H100:$CT100,"&lt;&gt;"))</f>
        <v>0</v>
      </c>
      <c r="AM100">
        <f>IF($B100="",0,COUNTIFS('UX Weekly'!$H$1:$CT$1,"&gt;="&amp;AM$1,'UX Weekly'!$H$1:$CT$1,"&lt;="&amp;EOMONTH(AM$1,0),'UX Weekly'!$H100:$CT100,"&lt;&gt;"))</f>
        <v>0</v>
      </c>
      <c r="AN100">
        <f>IF($B100="",0,COUNTIFS('UX Weekly'!$H$1:$CT$1,"&gt;="&amp;AN$1,'UX Weekly'!$H$1:$CT$1,"&lt;="&amp;EOMONTH(AN$1,0),'UX Weekly'!$H100:$CT100,"&lt;&gt;"))</f>
        <v>0</v>
      </c>
      <c r="AO100">
        <f>IF($B100="",0,COUNTIFS('UX Weekly'!$H$1:$CT$1,"&gt;="&amp;AO$1,'UX Weekly'!$H$1:$CT$1,"&lt;="&amp;EOMONTH(AO$1,0),'UX Weekly'!$H100:$CT100,"&lt;&gt;"))</f>
        <v>0</v>
      </c>
      <c r="AP100">
        <f>IF($B100="",0,COUNTIFS('UX Weekly'!$H$1:$CT$1,"&gt;="&amp;AP$1,'UX Weekly'!$H$1:$CT$1,"&lt;="&amp;EOMONTH(AP$1,0),'UX Weekly'!$H100:$CT100,"&lt;&gt;"))</f>
        <v>0</v>
      </c>
      <c r="AQ100">
        <f>IF($B100="",0,COUNTIFS('UX Weekly'!$H$1:$CT$1,"&gt;="&amp;AQ$1,'UX Weekly'!$H$1:$CT$1,"&lt;="&amp;EOMONTH(AQ$1,0),'UX Weekly'!$H100:$CT100,"&lt;&gt;"))</f>
        <v>0</v>
      </c>
      <c r="AR100">
        <f>IF($B100="",0,COUNTIFS('UX Weekly'!$H$1:$CT$1,"&gt;="&amp;AR$1,'UX Weekly'!$H$1:$CT$1,"&lt;="&amp;EOMONTH(AR$1,0),'UX Weekly'!$H100:$CT100,"&lt;&gt;"))</f>
        <v>0</v>
      </c>
      <c r="AS100">
        <f>IF($B100="",0,COUNTIFS('UX Weekly'!$H$1:$CT$1,"&gt;="&amp;AS$1,'UX Weekly'!$H$1:$CT$1,"&lt;="&amp;EOMONTH(AS$1,0),'UX Weekly'!$H100:$CT100,"&lt;&gt;"))</f>
        <v>0</v>
      </c>
      <c r="AT100">
        <f>IF($B100="",0,COUNTIFS('UX Weekly'!$H$1:$CT$1,"&gt;="&amp;AT$1,'UX Weekly'!$H$1:$CT$1,"&lt;="&amp;EOMONTH(AT$1,0),'UX Weekly'!$H100:$CT100,"&lt;&gt;"))</f>
        <v>0</v>
      </c>
      <c r="AU100">
        <f>IF($B100="",0,COUNTIFS('UX Weekly'!$H$1:$CT$1,"&gt;="&amp;AU$1,'UX Weekly'!$H$1:$CT$1,"&lt;="&amp;EOMONTH(AU$1,0),'UX Weekly'!$H100:$CT100,"&lt;&gt;"))</f>
        <v>0</v>
      </c>
      <c r="AV100">
        <f>IF($B100="",0,COUNTIFS('UX Weekly'!$H$1:$CT$1,"&gt;="&amp;AV$1,'UX Weekly'!$H$1:$CT$1,"&lt;="&amp;EOMONTH(AV$1,0),'UX Weekly'!$H100:$CT100,"&lt;&gt;"))</f>
        <v>0</v>
      </c>
      <c r="AW100">
        <f>IF($B100="",0,COUNTIFS('UX Weekly'!$H$1:$CT$1,"&gt;="&amp;AW$1,'UX Weekly'!$H$1:$CT$1,"&lt;="&amp;EOMONTH(AW$1,0),'UX Weekly'!$H100:$CT100,"&lt;&gt;"))</f>
        <v>0</v>
      </c>
      <c r="AX100">
        <f>IF($B100="",0,COUNTIFS('UX Weekly'!$H$1:$CT$1,"&gt;="&amp;AX$1,'UX Weekly'!$H$1:$CT$1,"&lt;="&amp;EOMONTH(AX$1,0),'UX Weekly'!$H100:$CT100,"&lt;&gt;"))</f>
        <v>0</v>
      </c>
    </row>
    <row r="101" spans="1:50" x14ac:dyDescent="0.2">
      <c r="A101" s="152">
        <v>101</v>
      </c>
      <c r="B101" s="152" t="str">
        <f>IF(TRIM('UX Weekly'!E101)="","",TRIM('UX Weekly'!E101))</f>
        <v/>
      </c>
      <c r="C101" s="152" t="str">
        <f>IF($B101="","",'UX Weekly'!B101)</f>
        <v/>
      </c>
      <c r="D101" s="152" t="str">
        <f>IF($B101="","",IF(TRIM('UX Weekly'!C101)="","(No theme assigned)",TRIM('UX Weekly'!C101)))</f>
        <v/>
      </c>
      <c r="E101" s="152" t="str">
        <f>IF($B101="","",TRIM('UX Weekly'!F101))</f>
        <v/>
      </c>
      <c r="F101" s="152" t="str">
        <f>IF($B101="","",'UX Weekly'!G101)</f>
        <v/>
      </c>
      <c r="G101" s="153" t="str">
        <f t="array" ref="G101">IF($B101="","",IF($T101=0,"",IFERROR(MIN(IF('UX Weekly'!$H101:$CT101&lt;&gt;"",'UX Weekly'!$H$1:$CT$1)),"")))</f>
        <v/>
      </c>
      <c r="H101" s="153" t="str">
        <f t="array" ref="H101">IF($B101="","",IF($T101=0,"",IFERROR(MAX(IF('UX Weekly'!$H101:$CT101&lt;&gt;"",'UX Weekly'!$H$1:$CT$1)),"")))</f>
        <v/>
      </c>
      <c r="I101" s="154" t="str">
        <f t="shared" ca="1" si="21"/>
        <v/>
      </c>
      <c r="J101" s="154" t="str">
        <f t="shared" ca="1" si="22"/>
        <v/>
      </c>
      <c r="K101" s="152" t="str">
        <f>IF($B101="","",IF(COUNTA('Dev Tracker'!L101)=0,"",TRIM('Dev Tracker'!L101)))</f>
        <v/>
      </c>
      <c r="L101" s="152" t="str">
        <f>IF($B101="","",IFERROR(MATCH($D101,Control!$E$4:$E$30,0),99))</f>
        <v/>
      </c>
      <c r="M101" s="152" t="str">
        <f>IF($B101="","",IFERROR(MATCH($F101,Control!$B$4:$B$30,0),99))</f>
        <v/>
      </c>
      <c r="N101" s="152" t="str">
        <f>IF($V101&lt;&gt;1,"",IF('Roadmap (Auto)'!$D$3="Status, then Theme",$M101*1000000+$L101*10000+ROW(),IF('Roadmap (Auto)'!$D$3="Dev start (earliest)",IF($I101="",99999999,$I101)*10000+ROW(),IF('Roadmap (Auto)'!$D$3="UX start (earliest)",IF($G101="",99999999,$G101)*10000+ROW(),IF('Roadmap (Auto)'!$D$3="Deliverable A-Z",$W101*10000+ROW(),$L101*1000000+$M101*10000+ROW())))))</f>
        <v/>
      </c>
      <c r="O101" s="152" t="str">
        <f t="shared" si="23"/>
        <v/>
      </c>
      <c r="P101" s="152" t="str">
        <f>IF($B101="","",IF(COUNTA('Dev Tracker'!I101)=0,"",'Dev Tracker'!I101))</f>
        <v/>
      </c>
      <c r="Q101" s="152" t="str">
        <f>IF($B101="","",IF(COUNTA('Dev Tracker'!J101)=0,"",'Dev Tracker'!J101))</f>
        <v/>
      </c>
      <c r="R101" s="154" t="str">
        <f t="shared" ca="1" si="24"/>
        <v/>
      </c>
      <c r="S101" s="154" t="str">
        <f t="shared" ca="1" si="25"/>
        <v/>
      </c>
      <c r="T101" s="152" t="str">
        <f>IF($B101="","",COUNTA('UX Weekly'!$H101:$CT101))</f>
        <v/>
      </c>
      <c r="U101" s="152" t="str">
        <f>IF($B101="","",IFERROR(MATCH($D101,Control!$E$4:$E$30,0)+3,0))</f>
        <v/>
      </c>
      <c r="V101" s="152" t="str">
        <f>IF($B101="","",IF(AND(OR('Roadmap (Auto)'!$A$3="",'Roadmap (Auto)'!$A$3="(All)",ISNUMBER(SEARCH('Roadmap (Auto)'!$A$3,$C101&amp;""))),OR('Roadmap (Auto)'!$B$3="",'Roadmap (Auto)'!$B$3="(All)",$D101='Roadmap (Auto)'!$B$3,$X101='Roadmap (Auto)'!$B$3),OR('Roadmap (Auto)'!$C$3="",'Roadmap (Auto)'!$C$3="(All)",$F101='Roadmap (Auto)'!$C$3)),1,0))</f>
        <v/>
      </c>
      <c r="W101" s="152" t="str">
        <f t="shared" si="26"/>
        <v/>
      </c>
      <c r="X101" s="152" t="str">
        <f>IF($B101="","",IF(TRIM('UX Weekly'!D101)="","",TRIM('UX Weekly'!D101)))</f>
        <v/>
      </c>
      <c r="Y101" s="152" t="str">
        <f t="shared" si="27"/>
        <v/>
      </c>
      <c r="AA101">
        <f>IF($B101="",0,COUNTIFS('UX Weekly'!$H$1:$CT$1,"&gt;="&amp;AA$1,'UX Weekly'!$H$1:$CT$1,"&lt;="&amp;EOMONTH(AA$1,0),'UX Weekly'!$H101:$CT101,"&lt;&gt;"))</f>
        <v>0</v>
      </c>
      <c r="AB101">
        <f>IF($B101="",0,COUNTIFS('UX Weekly'!$H$1:$CT$1,"&gt;="&amp;AB$1,'UX Weekly'!$H$1:$CT$1,"&lt;="&amp;EOMONTH(AB$1,0),'UX Weekly'!$H101:$CT101,"&lt;&gt;"))</f>
        <v>0</v>
      </c>
      <c r="AC101">
        <f>IF($B101="",0,COUNTIFS('UX Weekly'!$H$1:$CT$1,"&gt;="&amp;AC$1,'UX Weekly'!$H$1:$CT$1,"&lt;="&amp;EOMONTH(AC$1,0),'UX Weekly'!$H101:$CT101,"&lt;&gt;"))</f>
        <v>0</v>
      </c>
      <c r="AD101">
        <f>IF($B101="",0,COUNTIFS('UX Weekly'!$H$1:$CT$1,"&gt;="&amp;AD$1,'UX Weekly'!$H$1:$CT$1,"&lt;="&amp;EOMONTH(AD$1,0),'UX Weekly'!$H101:$CT101,"&lt;&gt;"))</f>
        <v>0</v>
      </c>
      <c r="AE101">
        <f>IF($B101="",0,COUNTIFS('UX Weekly'!$H$1:$CT$1,"&gt;="&amp;AE$1,'UX Weekly'!$H$1:$CT$1,"&lt;="&amp;EOMONTH(AE$1,0),'UX Weekly'!$H101:$CT101,"&lt;&gt;"))</f>
        <v>0</v>
      </c>
      <c r="AF101">
        <f>IF($B101="",0,COUNTIFS('UX Weekly'!$H$1:$CT$1,"&gt;="&amp;AF$1,'UX Weekly'!$H$1:$CT$1,"&lt;="&amp;EOMONTH(AF$1,0),'UX Weekly'!$H101:$CT101,"&lt;&gt;"))</f>
        <v>0</v>
      </c>
      <c r="AG101">
        <f>IF($B101="",0,COUNTIFS('UX Weekly'!$H$1:$CT$1,"&gt;="&amp;AG$1,'UX Weekly'!$H$1:$CT$1,"&lt;="&amp;EOMONTH(AG$1,0),'UX Weekly'!$H101:$CT101,"&lt;&gt;"))</f>
        <v>0</v>
      </c>
      <c r="AH101">
        <f>IF($B101="",0,COUNTIFS('UX Weekly'!$H$1:$CT$1,"&gt;="&amp;AH$1,'UX Weekly'!$H$1:$CT$1,"&lt;="&amp;EOMONTH(AH$1,0),'UX Weekly'!$H101:$CT101,"&lt;&gt;"))</f>
        <v>0</v>
      </c>
      <c r="AI101">
        <f>IF($B101="",0,COUNTIFS('UX Weekly'!$H$1:$CT$1,"&gt;="&amp;AI$1,'UX Weekly'!$H$1:$CT$1,"&lt;="&amp;EOMONTH(AI$1,0),'UX Weekly'!$H101:$CT101,"&lt;&gt;"))</f>
        <v>0</v>
      </c>
      <c r="AJ101">
        <f>IF($B101="",0,COUNTIFS('UX Weekly'!$H$1:$CT$1,"&gt;="&amp;AJ$1,'UX Weekly'!$H$1:$CT$1,"&lt;="&amp;EOMONTH(AJ$1,0),'UX Weekly'!$H101:$CT101,"&lt;&gt;"))</f>
        <v>0</v>
      </c>
      <c r="AK101">
        <f>IF($B101="",0,COUNTIFS('UX Weekly'!$H$1:$CT$1,"&gt;="&amp;AK$1,'UX Weekly'!$H$1:$CT$1,"&lt;="&amp;EOMONTH(AK$1,0),'UX Weekly'!$H101:$CT101,"&lt;&gt;"))</f>
        <v>0</v>
      </c>
      <c r="AL101">
        <f>IF($B101="",0,COUNTIFS('UX Weekly'!$H$1:$CT$1,"&gt;="&amp;AL$1,'UX Weekly'!$H$1:$CT$1,"&lt;="&amp;EOMONTH(AL$1,0),'UX Weekly'!$H101:$CT101,"&lt;&gt;"))</f>
        <v>0</v>
      </c>
      <c r="AM101">
        <f>IF($B101="",0,COUNTIFS('UX Weekly'!$H$1:$CT$1,"&gt;="&amp;AM$1,'UX Weekly'!$H$1:$CT$1,"&lt;="&amp;EOMONTH(AM$1,0),'UX Weekly'!$H101:$CT101,"&lt;&gt;"))</f>
        <v>0</v>
      </c>
      <c r="AN101">
        <f>IF($B101="",0,COUNTIFS('UX Weekly'!$H$1:$CT$1,"&gt;="&amp;AN$1,'UX Weekly'!$H$1:$CT$1,"&lt;="&amp;EOMONTH(AN$1,0),'UX Weekly'!$H101:$CT101,"&lt;&gt;"))</f>
        <v>0</v>
      </c>
      <c r="AO101">
        <f>IF($B101="",0,COUNTIFS('UX Weekly'!$H$1:$CT$1,"&gt;="&amp;AO$1,'UX Weekly'!$H$1:$CT$1,"&lt;="&amp;EOMONTH(AO$1,0),'UX Weekly'!$H101:$CT101,"&lt;&gt;"))</f>
        <v>0</v>
      </c>
      <c r="AP101">
        <f>IF($B101="",0,COUNTIFS('UX Weekly'!$H$1:$CT$1,"&gt;="&amp;AP$1,'UX Weekly'!$H$1:$CT$1,"&lt;="&amp;EOMONTH(AP$1,0),'UX Weekly'!$H101:$CT101,"&lt;&gt;"))</f>
        <v>0</v>
      </c>
      <c r="AQ101">
        <f>IF($B101="",0,COUNTIFS('UX Weekly'!$H$1:$CT$1,"&gt;="&amp;AQ$1,'UX Weekly'!$H$1:$CT$1,"&lt;="&amp;EOMONTH(AQ$1,0),'UX Weekly'!$H101:$CT101,"&lt;&gt;"))</f>
        <v>0</v>
      </c>
      <c r="AR101">
        <f>IF($B101="",0,COUNTIFS('UX Weekly'!$H$1:$CT$1,"&gt;="&amp;AR$1,'UX Weekly'!$H$1:$CT$1,"&lt;="&amp;EOMONTH(AR$1,0),'UX Weekly'!$H101:$CT101,"&lt;&gt;"))</f>
        <v>0</v>
      </c>
      <c r="AS101">
        <f>IF($B101="",0,COUNTIFS('UX Weekly'!$H$1:$CT$1,"&gt;="&amp;AS$1,'UX Weekly'!$H$1:$CT$1,"&lt;="&amp;EOMONTH(AS$1,0),'UX Weekly'!$H101:$CT101,"&lt;&gt;"))</f>
        <v>0</v>
      </c>
      <c r="AT101">
        <f>IF($B101="",0,COUNTIFS('UX Weekly'!$H$1:$CT$1,"&gt;="&amp;AT$1,'UX Weekly'!$H$1:$CT$1,"&lt;="&amp;EOMONTH(AT$1,0),'UX Weekly'!$H101:$CT101,"&lt;&gt;"))</f>
        <v>0</v>
      </c>
      <c r="AU101">
        <f>IF($B101="",0,COUNTIFS('UX Weekly'!$H$1:$CT$1,"&gt;="&amp;AU$1,'UX Weekly'!$H$1:$CT$1,"&lt;="&amp;EOMONTH(AU$1,0),'UX Weekly'!$H101:$CT101,"&lt;&gt;"))</f>
        <v>0</v>
      </c>
      <c r="AV101">
        <f>IF($B101="",0,COUNTIFS('UX Weekly'!$H$1:$CT$1,"&gt;="&amp;AV$1,'UX Weekly'!$H$1:$CT$1,"&lt;="&amp;EOMONTH(AV$1,0),'UX Weekly'!$H101:$CT101,"&lt;&gt;"))</f>
        <v>0</v>
      </c>
      <c r="AW101">
        <f>IF($B101="",0,COUNTIFS('UX Weekly'!$H$1:$CT$1,"&gt;="&amp;AW$1,'UX Weekly'!$H$1:$CT$1,"&lt;="&amp;EOMONTH(AW$1,0),'UX Weekly'!$H101:$CT101,"&lt;&gt;"))</f>
        <v>0</v>
      </c>
      <c r="AX101">
        <f>IF($B101="",0,COUNTIFS('UX Weekly'!$H$1:$CT$1,"&gt;="&amp;AX$1,'UX Weekly'!$H$1:$CT$1,"&lt;="&amp;EOMONTH(AX$1,0),'UX Weekly'!$H101:$CT101,"&lt;&gt;"))</f>
        <v>0</v>
      </c>
    </row>
    <row r="102" spans="1:50" x14ac:dyDescent="0.2">
      <c r="A102" s="152">
        <v>102</v>
      </c>
      <c r="B102" s="152" t="str">
        <f>IF(TRIM('UX Weekly'!E102)="","",TRIM('UX Weekly'!E102))</f>
        <v/>
      </c>
      <c r="C102" s="152" t="str">
        <f>IF($B102="","",'UX Weekly'!B102)</f>
        <v/>
      </c>
      <c r="D102" s="152" t="str">
        <f>IF($B102="","",IF(TRIM('UX Weekly'!C102)="","(No theme assigned)",TRIM('UX Weekly'!C102)))</f>
        <v/>
      </c>
      <c r="E102" s="152" t="str">
        <f>IF($B102="","",TRIM('UX Weekly'!F102))</f>
        <v/>
      </c>
      <c r="F102" s="152" t="str">
        <f>IF($B102="","",'UX Weekly'!G102)</f>
        <v/>
      </c>
      <c r="G102" s="153" t="str">
        <f t="array" ref="G102">IF($B102="","",IF($T102=0,"",IFERROR(MIN(IF('UX Weekly'!$H102:$CT102&lt;&gt;"",'UX Weekly'!$H$1:$CT$1)),"")))</f>
        <v/>
      </c>
      <c r="H102" s="153" t="str">
        <f t="array" ref="H102">IF($B102="","",IF($T102=0,"",IFERROR(MAX(IF('UX Weekly'!$H102:$CT102&lt;&gt;"",'UX Weekly'!$H$1:$CT$1)),"")))</f>
        <v/>
      </c>
      <c r="I102" s="154" t="str">
        <f t="shared" ca="1" si="21"/>
        <v/>
      </c>
      <c r="J102" s="154" t="str">
        <f t="shared" ca="1" si="22"/>
        <v/>
      </c>
      <c r="K102" s="152" t="str">
        <f>IF($B102="","",IF(COUNTA('Dev Tracker'!L102)=0,"",TRIM('Dev Tracker'!L102)))</f>
        <v/>
      </c>
      <c r="L102" s="152" t="str">
        <f>IF($B102="","",IFERROR(MATCH($D102,Control!$E$4:$E$30,0),99))</f>
        <v/>
      </c>
      <c r="M102" s="152" t="str">
        <f>IF($B102="","",IFERROR(MATCH($F102,Control!$B$4:$B$30,0),99))</f>
        <v/>
      </c>
      <c r="N102" s="152" t="str">
        <f>IF($V102&lt;&gt;1,"",IF('Roadmap (Auto)'!$D$3="Status, then Theme",$M102*1000000+$L102*10000+ROW(),IF('Roadmap (Auto)'!$D$3="Dev start (earliest)",IF($I102="",99999999,$I102)*10000+ROW(),IF('Roadmap (Auto)'!$D$3="UX start (earliest)",IF($G102="",99999999,$G102)*10000+ROW(),IF('Roadmap (Auto)'!$D$3="Deliverable A-Z",$W102*10000+ROW(),$L102*1000000+$M102*10000+ROW())))))</f>
        <v/>
      </c>
      <c r="O102" s="152" t="str">
        <f t="shared" si="23"/>
        <v/>
      </c>
      <c r="P102" s="152" t="str">
        <f>IF($B102="","",IF(COUNTA('Dev Tracker'!I102)=0,"",'Dev Tracker'!I102))</f>
        <v/>
      </c>
      <c r="Q102" s="152" t="str">
        <f>IF($B102="","",IF(COUNTA('Dev Tracker'!J102)=0,"",'Dev Tracker'!J102))</f>
        <v/>
      </c>
      <c r="R102" s="154" t="str">
        <f t="shared" ca="1" si="24"/>
        <v/>
      </c>
      <c r="S102" s="154" t="str">
        <f t="shared" ca="1" si="25"/>
        <v/>
      </c>
      <c r="T102" s="152" t="str">
        <f>IF($B102="","",COUNTA('UX Weekly'!$H102:$CT102))</f>
        <v/>
      </c>
      <c r="U102" s="152" t="str">
        <f>IF($B102="","",IFERROR(MATCH($D102,Control!$E$4:$E$30,0)+3,0))</f>
        <v/>
      </c>
      <c r="V102" s="152" t="str">
        <f>IF($B102="","",IF(AND(OR('Roadmap (Auto)'!$A$3="",'Roadmap (Auto)'!$A$3="(All)",ISNUMBER(SEARCH('Roadmap (Auto)'!$A$3,$C102&amp;""))),OR('Roadmap (Auto)'!$B$3="",'Roadmap (Auto)'!$B$3="(All)",$D102='Roadmap (Auto)'!$B$3,$X102='Roadmap (Auto)'!$B$3),OR('Roadmap (Auto)'!$C$3="",'Roadmap (Auto)'!$C$3="(All)",$F102='Roadmap (Auto)'!$C$3)),1,0))</f>
        <v/>
      </c>
      <c r="W102" s="152" t="str">
        <f t="shared" si="26"/>
        <v/>
      </c>
      <c r="X102" s="152" t="str">
        <f>IF($B102="","",IF(TRIM('UX Weekly'!D102)="","",TRIM('UX Weekly'!D102)))</f>
        <v/>
      </c>
      <c r="Y102" s="152" t="str">
        <f t="shared" si="27"/>
        <v/>
      </c>
      <c r="AA102">
        <f>IF($B102="",0,COUNTIFS('UX Weekly'!$H$1:$CT$1,"&gt;="&amp;AA$1,'UX Weekly'!$H$1:$CT$1,"&lt;="&amp;EOMONTH(AA$1,0),'UX Weekly'!$H102:$CT102,"&lt;&gt;"))</f>
        <v>0</v>
      </c>
      <c r="AB102">
        <f>IF($B102="",0,COUNTIFS('UX Weekly'!$H$1:$CT$1,"&gt;="&amp;AB$1,'UX Weekly'!$H$1:$CT$1,"&lt;="&amp;EOMONTH(AB$1,0),'UX Weekly'!$H102:$CT102,"&lt;&gt;"))</f>
        <v>0</v>
      </c>
      <c r="AC102">
        <f>IF($B102="",0,COUNTIFS('UX Weekly'!$H$1:$CT$1,"&gt;="&amp;AC$1,'UX Weekly'!$H$1:$CT$1,"&lt;="&amp;EOMONTH(AC$1,0),'UX Weekly'!$H102:$CT102,"&lt;&gt;"))</f>
        <v>0</v>
      </c>
      <c r="AD102">
        <f>IF($B102="",0,COUNTIFS('UX Weekly'!$H$1:$CT$1,"&gt;="&amp;AD$1,'UX Weekly'!$H$1:$CT$1,"&lt;="&amp;EOMONTH(AD$1,0),'UX Weekly'!$H102:$CT102,"&lt;&gt;"))</f>
        <v>0</v>
      </c>
      <c r="AE102">
        <f>IF($B102="",0,COUNTIFS('UX Weekly'!$H$1:$CT$1,"&gt;="&amp;AE$1,'UX Weekly'!$H$1:$CT$1,"&lt;="&amp;EOMONTH(AE$1,0),'UX Weekly'!$H102:$CT102,"&lt;&gt;"))</f>
        <v>0</v>
      </c>
      <c r="AF102">
        <f>IF($B102="",0,COUNTIFS('UX Weekly'!$H$1:$CT$1,"&gt;="&amp;AF$1,'UX Weekly'!$H$1:$CT$1,"&lt;="&amp;EOMONTH(AF$1,0),'UX Weekly'!$H102:$CT102,"&lt;&gt;"))</f>
        <v>0</v>
      </c>
      <c r="AG102">
        <f>IF($B102="",0,COUNTIFS('UX Weekly'!$H$1:$CT$1,"&gt;="&amp;AG$1,'UX Weekly'!$H$1:$CT$1,"&lt;="&amp;EOMONTH(AG$1,0),'UX Weekly'!$H102:$CT102,"&lt;&gt;"))</f>
        <v>0</v>
      </c>
      <c r="AH102">
        <f>IF($B102="",0,COUNTIFS('UX Weekly'!$H$1:$CT$1,"&gt;="&amp;AH$1,'UX Weekly'!$H$1:$CT$1,"&lt;="&amp;EOMONTH(AH$1,0),'UX Weekly'!$H102:$CT102,"&lt;&gt;"))</f>
        <v>0</v>
      </c>
      <c r="AI102">
        <f>IF($B102="",0,COUNTIFS('UX Weekly'!$H$1:$CT$1,"&gt;="&amp;AI$1,'UX Weekly'!$H$1:$CT$1,"&lt;="&amp;EOMONTH(AI$1,0),'UX Weekly'!$H102:$CT102,"&lt;&gt;"))</f>
        <v>0</v>
      </c>
      <c r="AJ102">
        <f>IF($B102="",0,COUNTIFS('UX Weekly'!$H$1:$CT$1,"&gt;="&amp;AJ$1,'UX Weekly'!$H$1:$CT$1,"&lt;="&amp;EOMONTH(AJ$1,0),'UX Weekly'!$H102:$CT102,"&lt;&gt;"))</f>
        <v>0</v>
      </c>
      <c r="AK102">
        <f>IF($B102="",0,COUNTIFS('UX Weekly'!$H$1:$CT$1,"&gt;="&amp;AK$1,'UX Weekly'!$H$1:$CT$1,"&lt;="&amp;EOMONTH(AK$1,0),'UX Weekly'!$H102:$CT102,"&lt;&gt;"))</f>
        <v>0</v>
      </c>
      <c r="AL102">
        <f>IF($B102="",0,COUNTIFS('UX Weekly'!$H$1:$CT$1,"&gt;="&amp;AL$1,'UX Weekly'!$H$1:$CT$1,"&lt;="&amp;EOMONTH(AL$1,0),'UX Weekly'!$H102:$CT102,"&lt;&gt;"))</f>
        <v>0</v>
      </c>
      <c r="AM102">
        <f>IF($B102="",0,COUNTIFS('UX Weekly'!$H$1:$CT$1,"&gt;="&amp;AM$1,'UX Weekly'!$H$1:$CT$1,"&lt;="&amp;EOMONTH(AM$1,0),'UX Weekly'!$H102:$CT102,"&lt;&gt;"))</f>
        <v>0</v>
      </c>
      <c r="AN102">
        <f>IF($B102="",0,COUNTIFS('UX Weekly'!$H$1:$CT$1,"&gt;="&amp;AN$1,'UX Weekly'!$H$1:$CT$1,"&lt;="&amp;EOMONTH(AN$1,0),'UX Weekly'!$H102:$CT102,"&lt;&gt;"))</f>
        <v>0</v>
      </c>
      <c r="AO102">
        <f>IF($B102="",0,COUNTIFS('UX Weekly'!$H$1:$CT$1,"&gt;="&amp;AO$1,'UX Weekly'!$H$1:$CT$1,"&lt;="&amp;EOMONTH(AO$1,0),'UX Weekly'!$H102:$CT102,"&lt;&gt;"))</f>
        <v>0</v>
      </c>
      <c r="AP102">
        <f>IF($B102="",0,COUNTIFS('UX Weekly'!$H$1:$CT$1,"&gt;="&amp;AP$1,'UX Weekly'!$H$1:$CT$1,"&lt;="&amp;EOMONTH(AP$1,0),'UX Weekly'!$H102:$CT102,"&lt;&gt;"))</f>
        <v>0</v>
      </c>
      <c r="AQ102">
        <f>IF($B102="",0,COUNTIFS('UX Weekly'!$H$1:$CT$1,"&gt;="&amp;AQ$1,'UX Weekly'!$H$1:$CT$1,"&lt;="&amp;EOMONTH(AQ$1,0),'UX Weekly'!$H102:$CT102,"&lt;&gt;"))</f>
        <v>0</v>
      </c>
      <c r="AR102">
        <f>IF($B102="",0,COUNTIFS('UX Weekly'!$H$1:$CT$1,"&gt;="&amp;AR$1,'UX Weekly'!$H$1:$CT$1,"&lt;="&amp;EOMONTH(AR$1,0),'UX Weekly'!$H102:$CT102,"&lt;&gt;"))</f>
        <v>0</v>
      </c>
      <c r="AS102">
        <f>IF($B102="",0,COUNTIFS('UX Weekly'!$H$1:$CT$1,"&gt;="&amp;AS$1,'UX Weekly'!$H$1:$CT$1,"&lt;="&amp;EOMONTH(AS$1,0),'UX Weekly'!$H102:$CT102,"&lt;&gt;"))</f>
        <v>0</v>
      </c>
      <c r="AT102">
        <f>IF($B102="",0,COUNTIFS('UX Weekly'!$H$1:$CT$1,"&gt;="&amp;AT$1,'UX Weekly'!$H$1:$CT$1,"&lt;="&amp;EOMONTH(AT$1,0),'UX Weekly'!$H102:$CT102,"&lt;&gt;"))</f>
        <v>0</v>
      </c>
      <c r="AU102">
        <f>IF($B102="",0,COUNTIFS('UX Weekly'!$H$1:$CT$1,"&gt;="&amp;AU$1,'UX Weekly'!$H$1:$CT$1,"&lt;="&amp;EOMONTH(AU$1,0),'UX Weekly'!$H102:$CT102,"&lt;&gt;"))</f>
        <v>0</v>
      </c>
      <c r="AV102">
        <f>IF($B102="",0,COUNTIFS('UX Weekly'!$H$1:$CT$1,"&gt;="&amp;AV$1,'UX Weekly'!$H$1:$CT$1,"&lt;="&amp;EOMONTH(AV$1,0),'UX Weekly'!$H102:$CT102,"&lt;&gt;"))</f>
        <v>0</v>
      </c>
      <c r="AW102">
        <f>IF($B102="",0,COUNTIFS('UX Weekly'!$H$1:$CT$1,"&gt;="&amp;AW$1,'UX Weekly'!$H$1:$CT$1,"&lt;="&amp;EOMONTH(AW$1,0),'UX Weekly'!$H102:$CT102,"&lt;&gt;"))</f>
        <v>0</v>
      </c>
      <c r="AX102">
        <f>IF($B102="",0,COUNTIFS('UX Weekly'!$H$1:$CT$1,"&gt;="&amp;AX$1,'UX Weekly'!$H$1:$CT$1,"&lt;="&amp;EOMONTH(AX$1,0),'UX Weekly'!$H102:$CT102,"&lt;&gt;"))</f>
        <v>0</v>
      </c>
    </row>
    <row r="103" spans="1:50" x14ac:dyDescent="0.2">
      <c r="A103" s="152">
        <v>103</v>
      </c>
      <c r="B103" s="152" t="str">
        <f>IF(TRIM('UX Weekly'!E103)="","",TRIM('UX Weekly'!E103))</f>
        <v/>
      </c>
      <c r="C103" s="152" t="str">
        <f>IF($B103="","",'UX Weekly'!B103)</f>
        <v/>
      </c>
      <c r="D103" s="152" t="str">
        <f>IF($B103="","",IF(TRIM('UX Weekly'!C103)="","(No theme assigned)",TRIM('UX Weekly'!C103)))</f>
        <v/>
      </c>
      <c r="E103" s="152" t="str">
        <f>IF($B103="","",TRIM('UX Weekly'!F103))</f>
        <v/>
      </c>
      <c r="F103" s="152" t="str">
        <f>IF($B103="","",'UX Weekly'!G103)</f>
        <v/>
      </c>
      <c r="G103" s="153" t="str">
        <f t="array" ref="G103">IF($B103="","",IF($T103=0,"",IFERROR(MIN(IF('UX Weekly'!$H103:$CT103&lt;&gt;"",'UX Weekly'!$H$1:$CT$1)),"")))</f>
        <v/>
      </c>
      <c r="H103" s="153" t="str">
        <f t="array" ref="H103">IF($B103="","",IF($T103=0,"",IFERROR(MAX(IF('UX Weekly'!$H103:$CT103&lt;&gt;"",'UX Weekly'!$H$1:$CT$1)),"")))</f>
        <v/>
      </c>
      <c r="I103" s="154" t="str">
        <f t="shared" ca="1" si="21"/>
        <v/>
      </c>
      <c r="J103" s="154" t="str">
        <f t="shared" ca="1" si="22"/>
        <v/>
      </c>
      <c r="K103" s="152" t="str">
        <f>IF($B103="","",IF(COUNTA('Dev Tracker'!L103)=0,"",TRIM('Dev Tracker'!L103)))</f>
        <v/>
      </c>
      <c r="L103" s="152" t="str">
        <f>IF($B103="","",IFERROR(MATCH($D103,Control!$E$4:$E$30,0),99))</f>
        <v/>
      </c>
      <c r="M103" s="152" t="str">
        <f>IF($B103="","",IFERROR(MATCH($F103,Control!$B$4:$B$30,0),99))</f>
        <v/>
      </c>
      <c r="N103" s="152" t="str">
        <f>IF($V103&lt;&gt;1,"",IF('Roadmap (Auto)'!$D$3="Status, then Theme",$M103*1000000+$L103*10000+ROW(),IF('Roadmap (Auto)'!$D$3="Dev start (earliest)",IF($I103="",99999999,$I103)*10000+ROW(),IF('Roadmap (Auto)'!$D$3="UX start (earliest)",IF($G103="",99999999,$G103)*10000+ROW(),IF('Roadmap (Auto)'!$D$3="Deliverable A-Z",$W103*10000+ROW(),$L103*1000000+$M103*10000+ROW())))))</f>
        <v/>
      </c>
      <c r="O103" s="152" t="str">
        <f t="shared" si="23"/>
        <v/>
      </c>
      <c r="P103" s="152" t="str">
        <f>IF($B103="","",IF(COUNTA('Dev Tracker'!I103)=0,"",'Dev Tracker'!I103))</f>
        <v/>
      </c>
      <c r="Q103" s="152" t="str">
        <f>IF($B103="","",IF(COUNTA('Dev Tracker'!J103)=0,"",'Dev Tracker'!J103))</f>
        <v/>
      </c>
      <c r="R103" s="154" t="str">
        <f t="shared" ca="1" si="24"/>
        <v/>
      </c>
      <c r="S103" s="154" t="str">
        <f t="shared" ca="1" si="25"/>
        <v/>
      </c>
      <c r="T103" s="152" t="str">
        <f>IF($B103="","",COUNTA('UX Weekly'!$H103:$CT103))</f>
        <v/>
      </c>
      <c r="U103" s="152" t="str">
        <f>IF($B103="","",IFERROR(MATCH($D103,Control!$E$4:$E$30,0)+3,0))</f>
        <v/>
      </c>
      <c r="V103" s="152" t="str">
        <f>IF($B103="","",IF(AND(OR('Roadmap (Auto)'!$A$3="",'Roadmap (Auto)'!$A$3="(All)",ISNUMBER(SEARCH('Roadmap (Auto)'!$A$3,$C103&amp;""))),OR('Roadmap (Auto)'!$B$3="",'Roadmap (Auto)'!$B$3="(All)",$D103='Roadmap (Auto)'!$B$3,$X103='Roadmap (Auto)'!$B$3),OR('Roadmap (Auto)'!$C$3="",'Roadmap (Auto)'!$C$3="(All)",$F103='Roadmap (Auto)'!$C$3)),1,0))</f>
        <v/>
      </c>
      <c r="W103" s="152" t="str">
        <f t="shared" si="26"/>
        <v/>
      </c>
      <c r="X103" s="152" t="str">
        <f>IF($B103="","",IF(TRIM('UX Weekly'!D103)="","",TRIM('UX Weekly'!D103)))</f>
        <v/>
      </c>
      <c r="Y103" s="152" t="str">
        <f t="shared" si="27"/>
        <v/>
      </c>
      <c r="AA103">
        <f>IF($B103="",0,COUNTIFS('UX Weekly'!$H$1:$CT$1,"&gt;="&amp;AA$1,'UX Weekly'!$H$1:$CT$1,"&lt;="&amp;EOMONTH(AA$1,0),'UX Weekly'!$H103:$CT103,"&lt;&gt;"))</f>
        <v>0</v>
      </c>
      <c r="AB103">
        <f>IF($B103="",0,COUNTIFS('UX Weekly'!$H$1:$CT$1,"&gt;="&amp;AB$1,'UX Weekly'!$H$1:$CT$1,"&lt;="&amp;EOMONTH(AB$1,0),'UX Weekly'!$H103:$CT103,"&lt;&gt;"))</f>
        <v>0</v>
      </c>
      <c r="AC103">
        <f>IF($B103="",0,COUNTIFS('UX Weekly'!$H$1:$CT$1,"&gt;="&amp;AC$1,'UX Weekly'!$H$1:$CT$1,"&lt;="&amp;EOMONTH(AC$1,0),'UX Weekly'!$H103:$CT103,"&lt;&gt;"))</f>
        <v>0</v>
      </c>
      <c r="AD103">
        <f>IF($B103="",0,COUNTIFS('UX Weekly'!$H$1:$CT$1,"&gt;="&amp;AD$1,'UX Weekly'!$H$1:$CT$1,"&lt;="&amp;EOMONTH(AD$1,0),'UX Weekly'!$H103:$CT103,"&lt;&gt;"))</f>
        <v>0</v>
      </c>
      <c r="AE103">
        <f>IF($B103="",0,COUNTIFS('UX Weekly'!$H$1:$CT$1,"&gt;="&amp;AE$1,'UX Weekly'!$H$1:$CT$1,"&lt;="&amp;EOMONTH(AE$1,0),'UX Weekly'!$H103:$CT103,"&lt;&gt;"))</f>
        <v>0</v>
      </c>
      <c r="AF103">
        <f>IF($B103="",0,COUNTIFS('UX Weekly'!$H$1:$CT$1,"&gt;="&amp;AF$1,'UX Weekly'!$H$1:$CT$1,"&lt;="&amp;EOMONTH(AF$1,0),'UX Weekly'!$H103:$CT103,"&lt;&gt;"))</f>
        <v>0</v>
      </c>
      <c r="AG103">
        <f>IF($B103="",0,COUNTIFS('UX Weekly'!$H$1:$CT$1,"&gt;="&amp;AG$1,'UX Weekly'!$H$1:$CT$1,"&lt;="&amp;EOMONTH(AG$1,0),'UX Weekly'!$H103:$CT103,"&lt;&gt;"))</f>
        <v>0</v>
      </c>
      <c r="AH103">
        <f>IF($B103="",0,COUNTIFS('UX Weekly'!$H$1:$CT$1,"&gt;="&amp;AH$1,'UX Weekly'!$H$1:$CT$1,"&lt;="&amp;EOMONTH(AH$1,0),'UX Weekly'!$H103:$CT103,"&lt;&gt;"))</f>
        <v>0</v>
      </c>
      <c r="AI103">
        <f>IF($B103="",0,COUNTIFS('UX Weekly'!$H$1:$CT$1,"&gt;="&amp;AI$1,'UX Weekly'!$H$1:$CT$1,"&lt;="&amp;EOMONTH(AI$1,0),'UX Weekly'!$H103:$CT103,"&lt;&gt;"))</f>
        <v>0</v>
      </c>
      <c r="AJ103">
        <f>IF($B103="",0,COUNTIFS('UX Weekly'!$H$1:$CT$1,"&gt;="&amp;AJ$1,'UX Weekly'!$H$1:$CT$1,"&lt;="&amp;EOMONTH(AJ$1,0),'UX Weekly'!$H103:$CT103,"&lt;&gt;"))</f>
        <v>0</v>
      </c>
      <c r="AK103">
        <f>IF($B103="",0,COUNTIFS('UX Weekly'!$H$1:$CT$1,"&gt;="&amp;AK$1,'UX Weekly'!$H$1:$CT$1,"&lt;="&amp;EOMONTH(AK$1,0),'UX Weekly'!$H103:$CT103,"&lt;&gt;"))</f>
        <v>0</v>
      </c>
      <c r="AL103">
        <f>IF($B103="",0,COUNTIFS('UX Weekly'!$H$1:$CT$1,"&gt;="&amp;AL$1,'UX Weekly'!$H$1:$CT$1,"&lt;="&amp;EOMONTH(AL$1,0),'UX Weekly'!$H103:$CT103,"&lt;&gt;"))</f>
        <v>0</v>
      </c>
      <c r="AM103">
        <f>IF($B103="",0,COUNTIFS('UX Weekly'!$H$1:$CT$1,"&gt;="&amp;AM$1,'UX Weekly'!$H$1:$CT$1,"&lt;="&amp;EOMONTH(AM$1,0),'UX Weekly'!$H103:$CT103,"&lt;&gt;"))</f>
        <v>0</v>
      </c>
      <c r="AN103">
        <f>IF($B103="",0,COUNTIFS('UX Weekly'!$H$1:$CT$1,"&gt;="&amp;AN$1,'UX Weekly'!$H$1:$CT$1,"&lt;="&amp;EOMONTH(AN$1,0),'UX Weekly'!$H103:$CT103,"&lt;&gt;"))</f>
        <v>0</v>
      </c>
      <c r="AO103">
        <f>IF($B103="",0,COUNTIFS('UX Weekly'!$H$1:$CT$1,"&gt;="&amp;AO$1,'UX Weekly'!$H$1:$CT$1,"&lt;="&amp;EOMONTH(AO$1,0),'UX Weekly'!$H103:$CT103,"&lt;&gt;"))</f>
        <v>0</v>
      </c>
      <c r="AP103">
        <f>IF($B103="",0,COUNTIFS('UX Weekly'!$H$1:$CT$1,"&gt;="&amp;AP$1,'UX Weekly'!$H$1:$CT$1,"&lt;="&amp;EOMONTH(AP$1,0),'UX Weekly'!$H103:$CT103,"&lt;&gt;"))</f>
        <v>0</v>
      </c>
      <c r="AQ103">
        <f>IF($B103="",0,COUNTIFS('UX Weekly'!$H$1:$CT$1,"&gt;="&amp;AQ$1,'UX Weekly'!$H$1:$CT$1,"&lt;="&amp;EOMONTH(AQ$1,0),'UX Weekly'!$H103:$CT103,"&lt;&gt;"))</f>
        <v>0</v>
      </c>
      <c r="AR103">
        <f>IF($B103="",0,COUNTIFS('UX Weekly'!$H$1:$CT$1,"&gt;="&amp;AR$1,'UX Weekly'!$H$1:$CT$1,"&lt;="&amp;EOMONTH(AR$1,0),'UX Weekly'!$H103:$CT103,"&lt;&gt;"))</f>
        <v>0</v>
      </c>
      <c r="AS103">
        <f>IF($B103="",0,COUNTIFS('UX Weekly'!$H$1:$CT$1,"&gt;="&amp;AS$1,'UX Weekly'!$H$1:$CT$1,"&lt;="&amp;EOMONTH(AS$1,0),'UX Weekly'!$H103:$CT103,"&lt;&gt;"))</f>
        <v>0</v>
      </c>
      <c r="AT103">
        <f>IF($B103="",0,COUNTIFS('UX Weekly'!$H$1:$CT$1,"&gt;="&amp;AT$1,'UX Weekly'!$H$1:$CT$1,"&lt;="&amp;EOMONTH(AT$1,0),'UX Weekly'!$H103:$CT103,"&lt;&gt;"))</f>
        <v>0</v>
      </c>
      <c r="AU103">
        <f>IF($B103="",0,COUNTIFS('UX Weekly'!$H$1:$CT$1,"&gt;="&amp;AU$1,'UX Weekly'!$H$1:$CT$1,"&lt;="&amp;EOMONTH(AU$1,0),'UX Weekly'!$H103:$CT103,"&lt;&gt;"))</f>
        <v>0</v>
      </c>
      <c r="AV103">
        <f>IF($B103="",0,COUNTIFS('UX Weekly'!$H$1:$CT$1,"&gt;="&amp;AV$1,'UX Weekly'!$H$1:$CT$1,"&lt;="&amp;EOMONTH(AV$1,0),'UX Weekly'!$H103:$CT103,"&lt;&gt;"))</f>
        <v>0</v>
      </c>
      <c r="AW103">
        <f>IF($B103="",0,COUNTIFS('UX Weekly'!$H$1:$CT$1,"&gt;="&amp;AW$1,'UX Weekly'!$H$1:$CT$1,"&lt;="&amp;EOMONTH(AW$1,0),'UX Weekly'!$H103:$CT103,"&lt;&gt;"))</f>
        <v>0</v>
      </c>
      <c r="AX103">
        <f>IF($B103="",0,COUNTIFS('UX Weekly'!$H$1:$CT$1,"&gt;="&amp;AX$1,'UX Weekly'!$H$1:$CT$1,"&lt;="&amp;EOMONTH(AX$1,0),'UX Weekly'!$H103:$CT103,"&lt;&gt;"))</f>
        <v>0</v>
      </c>
    </row>
    <row r="104" spans="1:50" x14ac:dyDescent="0.2">
      <c r="A104" s="152">
        <v>104</v>
      </c>
      <c r="B104" s="152" t="str">
        <f>IF(TRIM('UX Weekly'!E104)="","",TRIM('UX Weekly'!E104))</f>
        <v/>
      </c>
      <c r="C104" s="152" t="str">
        <f>IF($B104="","",'UX Weekly'!B104)</f>
        <v/>
      </c>
      <c r="D104" s="152" t="str">
        <f>IF($B104="","",IF(TRIM('UX Weekly'!C104)="","(No theme assigned)",TRIM('UX Weekly'!C104)))</f>
        <v/>
      </c>
      <c r="E104" s="152" t="str">
        <f>IF($B104="","",TRIM('UX Weekly'!F104))</f>
        <v/>
      </c>
      <c r="F104" s="152" t="str">
        <f>IF($B104="","",'UX Weekly'!G104)</f>
        <v/>
      </c>
      <c r="G104" s="153" t="str">
        <f t="array" ref="G104">IF($B104="","",IF($T104=0,"",IFERROR(MIN(IF('UX Weekly'!$H104:$CT104&lt;&gt;"",'UX Weekly'!$H$1:$CT$1)),"")))</f>
        <v/>
      </c>
      <c r="H104" s="153" t="str">
        <f t="array" ref="H104">IF($B104="","",IF($T104=0,"",IFERROR(MAX(IF('UX Weekly'!$H104:$CT104&lt;&gt;"",'UX Weekly'!$H$1:$CT$1)),"")))</f>
        <v/>
      </c>
      <c r="I104" s="154" t="str">
        <f t="shared" ca="1" si="21"/>
        <v/>
      </c>
      <c r="J104" s="154" t="str">
        <f t="shared" ca="1" si="22"/>
        <v/>
      </c>
      <c r="K104" s="152" t="str">
        <f>IF($B104="","",IF(COUNTA('Dev Tracker'!L104)=0,"",TRIM('Dev Tracker'!L104)))</f>
        <v/>
      </c>
      <c r="L104" s="152" t="str">
        <f>IF($B104="","",IFERROR(MATCH($D104,Control!$E$4:$E$30,0),99))</f>
        <v/>
      </c>
      <c r="M104" s="152" t="str">
        <f>IF($B104="","",IFERROR(MATCH($F104,Control!$B$4:$B$30,0),99))</f>
        <v/>
      </c>
      <c r="N104" s="152" t="str">
        <f>IF($V104&lt;&gt;1,"",IF('Roadmap (Auto)'!$D$3="Status, then Theme",$M104*1000000+$L104*10000+ROW(),IF('Roadmap (Auto)'!$D$3="Dev start (earliest)",IF($I104="",99999999,$I104)*10000+ROW(),IF('Roadmap (Auto)'!$D$3="UX start (earliest)",IF($G104="",99999999,$G104)*10000+ROW(),IF('Roadmap (Auto)'!$D$3="Deliverable A-Z",$W104*10000+ROW(),$L104*1000000+$M104*10000+ROW())))))</f>
        <v/>
      </c>
      <c r="O104" s="152" t="str">
        <f t="shared" si="23"/>
        <v/>
      </c>
      <c r="P104" s="152" t="str">
        <f>IF($B104="","",IF(COUNTA('Dev Tracker'!I104)=0,"",'Dev Tracker'!I104))</f>
        <v/>
      </c>
      <c r="Q104" s="152" t="str">
        <f>IF($B104="","",IF(COUNTA('Dev Tracker'!J104)=0,"",'Dev Tracker'!J104))</f>
        <v/>
      </c>
      <c r="R104" s="154" t="str">
        <f t="shared" ca="1" si="24"/>
        <v/>
      </c>
      <c r="S104" s="154" t="str">
        <f t="shared" ca="1" si="25"/>
        <v/>
      </c>
      <c r="T104" s="152" t="str">
        <f>IF($B104="","",COUNTA('UX Weekly'!$H104:$CT104))</f>
        <v/>
      </c>
      <c r="U104" s="152" t="str">
        <f>IF($B104="","",IFERROR(MATCH($D104,Control!$E$4:$E$30,0)+3,0))</f>
        <v/>
      </c>
      <c r="V104" s="152" t="str">
        <f>IF($B104="","",IF(AND(OR('Roadmap (Auto)'!$A$3="",'Roadmap (Auto)'!$A$3="(All)",ISNUMBER(SEARCH('Roadmap (Auto)'!$A$3,$C104&amp;""))),OR('Roadmap (Auto)'!$B$3="",'Roadmap (Auto)'!$B$3="(All)",$D104='Roadmap (Auto)'!$B$3,$X104='Roadmap (Auto)'!$B$3),OR('Roadmap (Auto)'!$C$3="",'Roadmap (Auto)'!$C$3="(All)",$F104='Roadmap (Auto)'!$C$3)),1,0))</f>
        <v/>
      </c>
      <c r="W104" s="152" t="str">
        <f t="shared" si="26"/>
        <v/>
      </c>
      <c r="X104" s="152" t="str">
        <f>IF($B104="","",IF(TRIM('UX Weekly'!D104)="","",TRIM('UX Weekly'!D104)))</f>
        <v/>
      </c>
      <c r="Y104" s="152" t="str">
        <f t="shared" si="27"/>
        <v/>
      </c>
      <c r="AA104">
        <f>IF($B104="",0,COUNTIFS('UX Weekly'!$H$1:$CT$1,"&gt;="&amp;AA$1,'UX Weekly'!$H$1:$CT$1,"&lt;="&amp;EOMONTH(AA$1,0),'UX Weekly'!$H104:$CT104,"&lt;&gt;"))</f>
        <v>0</v>
      </c>
      <c r="AB104">
        <f>IF($B104="",0,COUNTIFS('UX Weekly'!$H$1:$CT$1,"&gt;="&amp;AB$1,'UX Weekly'!$H$1:$CT$1,"&lt;="&amp;EOMONTH(AB$1,0),'UX Weekly'!$H104:$CT104,"&lt;&gt;"))</f>
        <v>0</v>
      </c>
      <c r="AC104">
        <f>IF($B104="",0,COUNTIFS('UX Weekly'!$H$1:$CT$1,"&gt;="&amp;AC$1,'UX Weekly'!$H$1:$CT$1,"&lt;="&amp;EOMONTH(AC$1,0),'UX Weekly'!$H104:$CT104,"&lt;&gt;"))</f>
        <v>0</v>
      </c>
      <c r="AD104">
        <f>IF($B104="",0,COUNTIFS('UX Weekly'!$H$1:$CT$1,"&gt;="&amp;AD$1,'UX Weekly'!$H$1:$CT$1,"&lt;="&amp;EOMONTH(AD$1,0),'UX Weekly'!$H104:$CT104,"&lt;&gt;"))</f>
        <v>0</v>
      </c>
      <c r="AE104">
        <f>IF($B104="",0,COUNTIFS('UX Weekly'!$H$1:$CT$1,"&gt;="&amp;AE$1,'UX Weekly'!$H$1:$CT$1,"&lt;="&amp;EOMONTH(AE$1,0),'UX Weekly'!$H104:$CT104,"&lt;&gt;"))</f>
        <v>0</v>
      </c>
      <c r="AF104">
        <f>IF($B104="",0,COUNTIFS('UX Weekly'!$H$1:$CT$1,"&gt;="&amp;AF$1,'UX Weekly'!$H$1:$CT$1,"&lt;="&amp;EOMONTH(AF$1,0),'UX Weekly'!$H104:$CT104,"&lt;&gt;"))</f>
        <v>0</v>
      </c>
      <c r="AG104">
        <f>IF($B104="",0,COUNTIFS('UX Weekly'!$H$1:$CT$1,"&gt;="&amp;AG$1,'UX Weekly'!$H$1:$CT$1,"&lt;="&amp;EOMONTH(AG$1,0),'UX Weekly'!$H104:$CT104,"&lt;&gt;"))</f>
        <v>0</v>
      </c>
      <c r="AH104">
        <f>IF($B104="",0,COUNTIFS('UX Weekly'!$H$1:$CT$1,"&gt;="&amp;AH$1,'UX Weekly'!$H$1:$CT$1,"&lt;="&amp;EOMONTH(AH$1,0),'UX Weekly'!$H104:$CT104,"&lt;&gt;"))</f>
        <v>0</v>
      </c>
      <c r="AI104">
        <f>IF($B104="",0,COUNTIFS('UX Weekly'!$H$1:$CT$1,"&gt;="&amp;AI$1,'UX Weekly'!$H$1:$CT$1,"&lt;="&amp;EOMONTH(AI$1,0),'UX Weekly'!$H104:$CT104,"&lt;&gt;"))</f>
        <v>0</v>
      </c>
      <c r="AJ104">
        <f>IF($B104="",0,COUNTIFS('UX Weekly'!$H$1:$CT$1,"&gt;="&amp;AJ$1,'UX Weekly'!$H$1:$CT$1,"&lt;="&amp;EOMONTH(AJ$1,0),'UX Weekly'!$H104:$CT104,"&lt;&gt;"))</f>
        <v>0</v>
      </c>
      <c r="AK104">
        <f>IF($B104="",0,COUNTIFS('UX Weekly'!$H$1:$CT$1,"&gt;="&amp;AK$1,'UX Weekly'!$H$1:$CT$1,"&lt;="&amp;EOMONTH(AK$1,0),'UX Weekly'!$H104:$CT104,"&lt;&gt;"))</f>
        <v>0</v>
      </c>
      <c r="AL104">
        <f>IF($B104="",0,COUNTIFS('UX Weekly'!$H$1:$CT$1,"&gt;="&amp;AL$1,'UX Weekly'!$H$1:$CT$1,"&lt;="&amp;EOMONTH(AL$1,0),'UX Weekly'!$H104:$CT104,"&lt;&gt;"))</f>
        <v>0</v>
      </c>
      <c r="AM104">
        <f>IF($B104="",0,COUNTIFS('UX Weekly'!$H$1:$CT$1,"&gt;="&amp;AM$1,'UX Weekly'!$H$1:$CT$1,"&lt;="&amp;EOMONTH(AM$1,0),'UX Weekly'!$H104:$CT104,"&lt;&gt;"))</f>
        <v>0</v>
      </c>
      <c r="AN104">
        <f>IF($B104="",0,COUNTIFS('UX Weekly'!$H$1:$CT$1,"&gt;="&amp;AN$1,'UX Weekly'!$H$1:$CT$1,"&lt;="&amp;EOMONTH(AN$1,0),'UX Weekly'!$H104:$CT104,"&lt;&gt;"))</f>
        <v>0</v>
      </c>
      <c r="AO104">
        <f>IF($B104="",0,COUNTIFS('UX Weekly'!$H$1:$CT$1,"&gt;="&amp;AO$1,'UX Weekly'!$H$1:$CT$1,"&lt;="&amp;EOMONTH(AO$1,0),'UX Weekly'!$H104:$CT104,"&lt;&gt;"))</f>
        <v>0</v>
      </c>
      <c r="AP104">
        <f>IF($B104="",0,COUNTIFS('UX Weekly'!$H$1:$CT$1,"&gt;="&amp;AP$1,'UX Weekly'!$H$1:$CT$1,"&lt;="&amp;EOMONTH(AP$1,0),'UX Weekly'!$H104:$CT104,"&lt;&gt;"))</f>
        <v>0</v>
      </c>
      <c r="AQ104">
        <f>IF($B104="",0,COUNTIFS('UX Weekly'!$H$1:$CT$1,"&gt;="&amp;AQ$1,'UX Weekly'!$H$1:$CT$1,"&lt;="&amp;EOMONTH(AQ$1,0),'UX Weekly'!$H104:$CT104,"&lt;&gt;"))</f>
        <v>0</v>
      </c>
      <c r="AR104">
        <f>IF($B104="",0,COUNTIFS('UX Weekly'!$H$1:$CT$1,"&gt;="&amp;AR$1,'UX Weekly'!$H$1:$CT$1,"&lt;="&amp;EOMONTH(AR$1,0),'UX Weekly'!$H104:$CT104,"&lt;&gt;"))</f>
        <v>0</v>
      </c>
      <c r="AS104">
        <f>IF($B104="",0,COUNTIFS('UX Weekly'!$H$1:$CT$1,"&gt;="&amp;AS$1,'UX Weekly'!$H$1:$CT$1,"&lt;="&amp;EOMONTH(AS$1,0),'UX Weekly'!$H104:$CT104,"&lt;&gt;"))</f>
        <v>0</v>
      </c>
      <c r="AT104">
        <f>IF($B104="",0,COUNTIFS('UX Weekly'!$H$1:$CT$1,"&gt;="&amp;AT$1,'UX Weekly'!$H$1:$CT$1,"&lt;="&amp;EOMONTH(AT$1,0),'UX Weekly'!$H104:$CT104,"&lt;&gt;"))</f>
        <v>0</v>
      </c>
      <c r="AU104">
        <f>IF($B104="",0,COUNTIFS('UX Weekly'!$H$1:$CT$1,"&gt;="&amp;AU$1,'UX Weekly'!$H$1:$CT$1,"&lt;="&amp;EOMONTH(AU$1,0),'UX Weekly'!$H104:$CT104,"&lt;&gt;"))</f>
        <v>0</v>
      </c>
      <c r="AV104">
        <f>IF($B104="",0,COUNTIFS('UX Weekly'!$H$1:$CT$1,"&gt;="&amp;AV$1,'UX Weekly'!$H$1:$CT$1,"&lt;="&amp;EOMONTH(AV$1,0),'UX Weekly'!$H104:$CT104,"&lt;&gt;"))</f>
        <v>0</v>
      </c>
      <c r="AW104">
        <f>IF($B104="",0,COUNTIFS('UX Weekly'!$H$1:$CT$1,"&gt;="&amp;AW$1,'UX Weekly'!$H$1:$CT$1,"&lt;="&amp;EOMONTH(AW$1,0),'UX Weekly'!$H104:$CT104,"&lt;&gt;"))</f>
        <v>0</v>
      </c>
      <c r="AX104">
        <f>IF($B104="",0,COUNTIFS('UX Weekly'!$H$1:$CT$1,"&gt;="&amp;AX$1,'UX Weekly'!$H$1:$CT$1,"&lt;="&amp;EOMONTH(AX$1,0),'UX Weekly'!$H104:$CT104,"&lt;&gt;"))</f>
        <v>0</v>
      </c>
    </row>
    <row r="105" spans="1:50" x14ac:dyDescent="0.2">
      <c r="A105" s="152">
        <v>105</v>
      </c>
      <c r="B105" s="152" t="str">
        <f>IF(TRIM('UX Weekly'!E105)="","",TRIM('UX Weekly'!E105))</f>
        <v/>
      </c>
      <c r="C105" s="152" t="str">
        <f>IF($B105="","",'UX Weekly'!B105)</f>
        <v/>
      </c>
      <c r="D105" s="152" t="str">
        <f>IF($B105="","",IF(TRIM('UX Weekly'!C105)="","(No theme assigned)",TRIM('UX Weekly'!C105)))</f>
        <v/>
      </c>
      <c r="E105" s="152" t="str">
        <f>IF($B105="","",TRIM('UX Weekly'!F105))</f>
        <v/>
      </c>
      <c r="F105" s="152" t="str">
        <f>IF($B105="","",'UX Weekly'!G105)</f>
        <v/>
      </c>
      <c r="G105" s="153" t="str">
        <f t="array" ref="G105">IF($B105="","",IF($T105=0,"",IFERROR(MIN(IF('UX Weekly'!$H105:$CT105&lt;&gt;"",'UX Weekly'!$H$1:$CT$1)),"")))</f>
        <v/>
      </c>
      <c r="H105" s="153" t="str">
        <f t="array" ref="H105">IF($B105="","",IF($T105=0,"",IFERROR(MAX(IF('UX Weekly'!$H105:$CT105&lt;&gt;"",'UX Weekly'!$H$1:$CT$1)),"")))</f>
        <v/>
      </c>
      <c r="I105" s="154" t="str">
        <f t="shared" ca="1" si="21"/>
        <v/>
      </c>
      <c r="J105" s="154" t="str">
        <f t="shared" ca="1" si="22"/>
        <v/>
      </c>
      <c r="K105" s="152" t="str">
        <f>IF($B105="","",IF(COUNTA('Dev Tracker'!L105)=0,"",TRIM('Dev Tracker'!L105)))</f>
        <v/>
      </c>
      <c r="L105" s="152" t="str">
        <f>IF($B105="","",IFERROR(MATCH($D105,Control!$E$4:$E$30,0),99))</f>
        <v/>
      </c>
      <c r="M105" s="152" t="str">
        <f>IF($B105="","",IFERROR(MATCH($F105,Control!$B$4:$B$30,0),99))</f>
        <v/>
      </c>
      <c r="N105" s="152" t="str">
        <f>IF($V105&lt;&gt;1,"",IF('Roadmap (Auto)'!$D$3="Status, then Theme",$M105*1000000+$L105*10000+ROW(),IF('Roadmap (Auto)'!$D$3="Dev start (earliest)",IF($I105="",99999999,$I105)*10000+ROW(),IF('Roadmap (Auto)'!$D$3="UX start (earliest)",IF($G105="",99999999,$G105)*10000+ROW(),IF('Roadmap (Auto)'!$D$3="Deliverable A-Z",$W105*10000+ROW(),$L105*1000000+$M105*10000+ROW())))))</f>
        <v/>
      </c>
      <c r="O105" s="152" t="str">
        <f t="shared" si="23"/>
        <v/>
      </c>
      <c r="P105" s="152" t="str">
        <f>IF($B105="","",IF(COUNTA('Dev Tracker'!I105)=0,"",'Dev Tracker'!I105))</f>
        <v/>
      </c>
      <c r="Q105" s="152" t="str">
        <f>IF($B105="","",IF(COUNTA('Dev Tracker'!J105)=0,"",'Dev Tracker'!J105))</f>
        <v/>
      </c>
      <c r="R105" s="154" t="str">
        <f t="shared" ca="1" si="24"/>
        <v/>
      </c>
      <c r="S105" s="154" t="str">
        <f t="shared" ca="1" si="25"/>
        <v/>
      </c>
      <c r="T105" s="152" t="str">
        <f>IF($B105="","",COUNTA('UX Weekly'!$H105:$CT105))</f>
        <v/>
      </c>
      <c r="U105" s="152" t="str">
        <f>IF($B105="","",IFERROR(MATCH($D105,Control!$E$4:$E$30,0)+3,0))</f>
        <v/>
      </c>
      <c r="V105" s="152" t="str">
        <f>IF($B105="","",IF(AND(OR('Roadmap (Auto)'!$A$3="",'Roadmap (Auto)'!$A$3="(All)",ISNUMBER(SEARCH('Roadmap (Auto)'!$A$3,$C105&amp;""))),OR('Roadmap (Auto)'!$B$3="",'Roadmap (Auto)'!$B$3="(All)",$D105='Roadmap (Auto)'!$B$3,$X105='Roadmap (Auto)'!$B$3),OR('Roadmap (Auto)'!$C$3="",'Roadmap (Auto)'!$C$3="(All)",$F105='Roadmap (Auto)'!$C$3)),1,0))</f>
        <v/>
      </c>
      <c r="W105" s="152" t="str">
        <f t="shared" si="26"/>
        <v/>
      </c>
      <c r="X105" s="152" t="str">
        <f>IF($B105="","",IF(TRIM('UX Weekly'!D105)="","",TRIM('UX Weekly'!D105)))</f>
        <v/>
      </c>
      <c r="Y105" s="152" t="str">
        <f t="shared" si="27"/>
        <v/>
      </c>
      <c r="AA105">
        <f>IF($B105="",0,COUNTIFS('UX Weekly'!$H$1:$CT$1,"&gt;="&amp;AA$1,'UX Weekly'!$H$1:$CT$1,"&lt;="&amp;EOMONTH(AA$1,0),'UX Weekly'!$H105:$CT105,"&lt;&gt;"))</f>
        <v>0</v>
      </c>
      <c r="AB105">
        <f>IF($B105="",0,COUNTIFS('UX Weekly'!$H$1:$CT$1,"&gt;="&amp;AB$1,'UX Weekly'!$H$1:$CT$1,"&lt;="&amp;EOMONTH(AB$1,0),'UX Weekly'!$H105:$CT105,"&lt;&gt;"))</f>
        <v>0</v>
      </c>
      <c r="AC105">
        <f>IF($B105="",0,COUNTIFS('UX Weekly'!$H$1:$CT$1,"&gt;="&amp;AC$1,'UX Weekly'!$H$1:$CT$1,"&lt;="&amp;EOMONTH(AC$1,0),'UX Weekly'!$H105:$CT105,"&lt;&gt;"))</f>
        <v>0</v>
      </c>
      <c r="AD105">
        <f>IF($B105="",0,COUNTIFS('UX Weekly'!$H$1:$CT$1,"&gt;="&amp;AD$1,'UX Weekly'!$H$1:$CT$1,"&lt;="&amp;EOMONTH(AD$1,0),'UX Weekly'!$H105:$CT105,"&lt;&gt;"))</f>
        <v>0</v>
      </c>
      <c r="AE105">
        <f>IF($B105="",0,COUNTIFS('UX Weekly'!$H$1:$CT$1,"&gt;="&amp;AE$1,'UX Weekly'!$H$1:$CT$1,"&lt;="&amp;EOMONTH(AE$1,0),'UX Weekly'!$H105:$CT105,"&lt;&gt;"))</f>
        <v>0</v>
      </c>
      <c r="AF105">
        <f>IF($B105="",0,COUNTIFS('UX Weekly'!$H$1:$CT$1,"&gt;="&amp;AF$1,'UX Weekly'!$H$1:$CT$1,"&lt;="&amp;EOMONTH(AF$1,0),'UX Weekly'!$H105:$CT105,"&lt;&gt;"))</f>
        <v>0</v>
      </c>
      <c r="AG105">
        <f>IF($B105="",0,COUNTIFS('UX Weekly'!$H$1:$CT$1,"&gt;="&amp;AG$1,'UX Weekly'!$H$1:$CT$1,"&lt;="&amp;EOMONTH(AG$1,0),'UX Weekly'!$H105:$CT105,"&lt;&gt;"))</f>
        <v>0</v>
      </c>
      <c r="AH105">
        <f>IF($B105="",0,COUNTIFS('UX Weekly'!$H$1:$CT$1,"&gt;="&amp;AH$1,'UX Weekly'!$H$1:$CT$1,"&lt;="&amp;EOMONTH(AH$1,0),'UX Weekly'!$H105:$CT105,"&lt;&gt;"))</f>
        <v>0</v>
      </c>
      <c r="AI105">
        <f>IF($B105="",0,COUNTIFS('UX Weekly'!$H$1:$CT$1,"&gt;="&amp;AI$1,'UX Weekly'!$H$1:$CT$1,"&lt;="&amp;EOMONTH(AI$1,0),'UX Weekly'!$H105:$CT105,"&lt;&gt;"))</f>
        <v>0</v>
      </c>
      <c r="AJ105">
        <f>IF($B105="",0,COUNTIFS('UX Weekly'!$H$1:$CT$1,"&gt;="&amp;AJ$1,'UX Weekly'!$H$1:$CT$1,"&lt;="&amp;EOMONTH(AJ$1,0),'UX Weekly'!$H105:$CT105,"&lt;&gt;"))</f>
        <v>0</v>
      </c>
      <c r="AK105">
        <f>IF($B105="",0,COUNTIFS('UX Weekly'!$H$1:$CT$1,"&gt;="&amp;AK$1,'UX Weekly'!$H$1:$CT$1,"&lt;="&amp;EOMONTH(AK$1,0),'UX Weekly'!$H105:$CT105,"&lt;&gt;"))</f>
        <v>0</v>
      </c>
      <c r="AL105">
        <f>IF($B105="",0,COUNTIFS('UX Weekly'!$H$1:$CT$1,"&gt;="&amp;AL$1,'UX Weekly'!$H$1:$CT$1,"&lt;="&amp;EOMONTH(AL$1,0),'UX Weekly'!$H105:$CT105,"&lt;&gt;"))</f>
        <v>0</v>
      </c>
      <c r="AM105">
        <f>IF($B105="",0,COUNTIFS('UX Weekly'!$H$1:$CT$1,"&gt;="&amp;AM$1,'UX Weekly'!$H$1:$CT$1,"&lt;="&amp;EOMONTH(AM$1,0),'UX Weekly'!$H105:$CT105,"&lt;&gt;"))</f>
        <v>0</v>
      </c>
      <c r="AN105">
        <f>IF($B105="",0,COUNTIFS('UX Weekly'!$H$1:$CT$1,"&gt;="&amp;AN$1,'UX Weekly'!$H$1:$CT$1,"&lt;="&amp;EOMONTH(AN$1,0),'UX Weekly'!$H105:$CT105,"&lt;&gt;"))</f>
        <v>0</v>
      </c>
      <c r="AO105">
        <f>IF($B105="",0,COUNTIFS('UX Weekly'!$H$1:$CT$1,"&gt;="&amp;AO$1,'UX Weekly'!$H$1:$CT$1,"&lt;="&amp;EOMONTH(AO$1,0),'UX Weekly'!$H105:$CT105,"&lt;&gt;"))</f>
        <v>0</v>
      </c>
      <c r="AP105">
        <f>IF($B105="",0,COUNTIFS('UX Weekly'!$H$1:$CT$1,"&gt;="&amp;AP$1,'UX Weekly'!$H$1:$CT$1,"&lt;="&amp;EOMONTH(AP$1,0),'UX Weekly'!$H105:$CT105,"&lt;&gt;"))</f>
        <v>0</v>
      </c>
      <c r="AQ105">
        <f>IF($B105="",0,COUNTIFS('UX Weekly'!$H$1:$CT$1,"&gt;="&amp;AQ$1,'UX Weekly'!$H$1:$CT$1,"&lt;="&amp;EOMONTH(AQ$1,0),'UX Weekly'!$H105:$CT105,"&lt;&gt;"))</f>
        <v>0</v>
      </c>
      <c r="AR105">
        <f>IF($B105="",0,COUNTIFS('UX Weekly'!$H$1:$CT$1,"&gt;="&amp;AR$1,'UX Weekly'!$H$1:$CT$1,"&lt;="&amp;EOMONTH(AR$1,0),'UX Weekly'!$H105:$CT105,"&lt;&gt;"))</f>
        <v>0</v>
      </c>
      <c r="AS105">
        <f>IF($B105="",0,COUNTIFS('UX Weekly'!$H$1:$CT$1,"&gt;="&amp;AS$1,'UX Weekly'!$H$1:$CT$1,"&lt;="&amp;EOMONTH(AS$1,0),'UX Weekly'!$H105:$CT105,"&lt;&gt;"))</f>
        <v>0</v>
      </c>
      <c r="AT105">
        <f>IF($B105="",0,COUNTIFS('UX Weekly'!$H$1:$CT$1,"&gt;="&amp;AT$1,'UX Weekly'!$H$1:$CT$1,"&lt;="&amp;EOMONTH(AT$1,0),'UX Weekly'!$H105:$CT105,"&lt;&gt;"))</f>
        <v>0</v>
      </c>
      <c r="AU105">
        <f>IF($B105="",0,COUNTIFS('UX Weekly'!$H$1:$CT$1,"&gt;="&amp;AU$1,'UX Weekly'!$H$1:$CT$1,"&lt;="&amp;EOMONTH(AU$1,0),'UX Weekly'!$H105:$CT105,"&lt;&gt;"))</f>
        <v>0</v>
      </c>
      <c r="AV105">
        <f>IF($B105="",0,COUNTIFS('UX Weekly'!$H$1:$CT$1,"&gt;="&amp;AV$1,'UX Weekly'!$H$1:$CT$1,"&lt;="&amp;EOMONTH(AV$1,0),'UX Weekly'!$H105:$CT105,"&lt;&gt;"))</f>
        <v>0</v>
      </c>
      <c r="AW105">
        <f>IF($B105="",0,COUNTIFS('UX Weekly'!$H$1:$CT$1,"&gt;="&amp;AW$1,'UX Weekly'!$H$1:$CT$1,"&lt;="&amp;EOMONTH(AW$1,0),'UX Weekly'!$H105:$CT105,"&lt;&gt;"))</f>
        <v>0</v>
      </c>
      <c r="AX105">
        <f>IF($B105="",0,COUNTIFS('UX Weekly'!$H$1:$CT$1,"&gt;="&amp;AX$1,'UX Weekly'!$H$1:$CT$1,"&lt;="&amp;EOMONTH(AX$1,0),'UX Weekly'!$H105:$CT105,"&lt;&gt;"))</f>
        <v>0</v>
      </c>
    </row>
    <row r="106" spans="1:50" x14ac:dyDescent="0.2">
      <c r="A106" s="152">
        <v>106</v>
      </c>
      <c r="B106" s="152" t="str">
        <f>IF(TRIM('UX Weekly'!E106)="","",TRIM('UX Weekly'!E106))</f>
        <v/>
      </c>
      <c r="C106" s="152" t="str">
        <f>IF($B106="","",'UX Weekly'!B106)</f>
        <v/>
      </c>
      <c r="D106" s="152" t="str">
        <f>IF($B106="","",IF(TRIM('UX Weekly'!C106)="","(No theme assigned)",TRIM('UX Weekly'!C106)))</f>
        <v/>
      </c>
      <c r="E106" s="152" t="str">
        <f>IF($B106="","",TRIM('UX Weekly'!F106))</f>
        <v/>
      </c>
      <c r="F106" s="152" t="str">
        <f>IF($B106="","",'UX Weekly'!G106)</f>
        <v/>
      </c>
      <c r="G106" s="153" t="str">
        <f t="array" ref="G106">IF($B106="","",IF($T106=0,"",IFERROR(MIN(IF('UX Weekly'!$H106:$CT106&lt;&gt;"",'UX Weekly'!$H$1:$CT$1)),"")))</f>
        <v/>
      </c>
      <c r="H106" s="153" t="str">
        <f t="array" ref="H106">IF($B106="","",IF($T106=0,"",IFERROR(MAX(IF('UX Weekly'!$H106:$CT106&lt;&gt;"",'UX Weekly'!$H$1:$CT$1)),"")))</f>
        <v/>
      </c>
      <c r="I106" s="154" t="str">
        <f t="shared" ca="1" si="21"/>
        <v/>
      </c>
      <c r="J106" s="154" t="str">
        <f t="shared" ca="1" si="22"/>
        <v/>
      </c>
      <c r="K106" s="152" t="str">
        <f>IF($B106="","",IF(COUNTA('Dev Tracker'!L106)=0,"",TRIM('Dev Tracker'!L106)))</f>
        <v/>
      </c>
      <c r="L106" s="152" t="str">
        <f>IF($B106="","",IFERROR(MATCH($D106,Control!$E$4:$E$30,0),99))</f>
        <v/>
      </c>
      <c r="M106" s="152" t="str">
        <f>IF($B106="","",IFERROR(MATCH($F106,Control!$B$4:$B$30,0),99))</f>
        <v/>
      </c>
      <c r="N106" s="152" t="str">
        <f>IF($V106&lt;&gt;1,"",IF('Roadmap (Auto)'!$D$3="Status, then Theme",$M106*1000000+$L106*10000+ROW(),IF('Roadmap (Auto)'!$D$3="Dev start (earliest)",IF($I106="",99999999,$I106)*10000+ROW(),IF('Roadmap (Auto)'!$D$3="UX start (earliest)",IF($G106="",99999999,$G106)*10000+ROW(),IF('Roadmap (Auto)'!$D$3="Deliverable A-Z",$W106*10000+ROW(),$L106*1000000+$M106*10000+ROW())))))</f>
        <v/>
      </c>
      <c r="O106" s="152" t="str">
        <f t="shared" si="23"/>
        <v/>
      </c>
      <c r="P106" s="152" t="str">
        <f>IF($B106="","",IF(COUNTA('Dev Tracker'!I106)=0,"",'Dev Tracker'!I106))</f>
        <v/>
      </c>
      <c r="Q106" s="152" t="str">
        <f>IF($B106="","",IF(COUNTA('Dev Tracker'!J106)=0,"",'Dev Tracker'!J106))</f>
        <v/>
      </c>
      <c r="R106" s="154" t="str">
        <f t="shared" ca="1" si="24"/>
        <v/>
      </c>
      <c r="S106" s="154" t="str">
        <f t="shared" ca="1" si="25"/>
        <v/>
      </c>
      <c r="T106" s="152" t="str">
        <f>IF($B106="","",COUNTA('UX Weekly'!$H106:$CT106))</f>
        <v/>
      </c>
      <c r="U106" s="152" t="str">
        <f>IF($B106="","",IFERROR(MATCH($D106,Control!$E$4:$E$30,0)+3,0))</f>
        <v/>
      </c>
      <c r="V106" s="152" t="str">
        <f>IF($B106="","",IF(AND(OR('Roadmap (Auto)'!$A$3="",'Roadmap (Auto)'!$A$3="(All)",ISNUMBER(SEARCH('Roadmap (Auto)'!$A$3,$C106&amp;""))),OR('Roadmap (Auto)'!$B$3="",'Roadmap (Auto)'!$B$3="(All)",$D106='Roadmap (Auto)'!$B$3,$X106='Roadmap (Auto)'!$B$3),OR('Roadmap (Auto)'!$C$3="",'Roadmap (Auto)'!$C$3="(All)",$F106='Roadmap (Auto)'!$C$3)),1,0))</f>
        <v/>
      </c>
      <c r="W106" s="152" t="str">
        <f t="shared" si="26"/>
        <v/>
      </c>
      <c r="X106" s="152" t="str">
        <f>IF($B106="","",IF(TRIM('UX Weekly'!D106)="","",TRIM('UX Weekly'!D106)))</f>
        <v/>
      </c>
      <c r="Y106" s="152" t="str">
        <f t="shared" si="27"/>
        <v/>
      </c>
      <c r="AA106">
        <f>IF($B106="",0,COUNTIFS('UX Weekly'!$H$1:$CT$1,"&gt;="&amp;AA$1,'UX Weekly'!$H$1:$CT$1,"&lt;="&amp;EOMONTH(AA$1,0),'UX Weekly'!$H106:$CT106,"&lt;&gt;"))</f>
        <v>0</v>
      </c>
      <c r="AB106">
        <f>IF($B106="",0,COUNTIFS('UX Weekly'!$H$1:$CT$1,"&gt;="&amp;AB$1,'UX Weekly'!$H$1:$CT$1,"&lt;="&amp;EOMONTH(AB$1,0),'UX Weekly'!$H106:$CT106,"&lt;&gt;"))</f>
        <v>0</v>
      </c>
      <c r="AC106">
        <f>IF($B106="",0,COUNTIFS('UX Weekly'!$H$1:$CT$1,"&gt;="&amp;AC$1,'UX Weekly'!$H$1:$CT$1,"&lt;="&amp;EOMONTH(AC$1,0),'UX Weekly'!$H106:$CT106,"&lt;&gt;"))</f>
        <v>0</v>
      </c>
      <c r="AD106">
        <f>IF($B106="",0,COUNTIFS('UX Weekly'!$H$1:$CT$1,"&gt;="&amp;AD$1,'UX Weekly'!$H$1:$CT$1,"&lt;="&amp;EOMONTH(AD$1,0),'UX Weekly'!$H106:$CT106,"&lt;&gt;"))</f>
        <v>0</v>
      </c>
      <c r="AE106">
        <f>IF($B106="",0,COUNTIFS('UX Weekly'!$H$1:$CT$1,"&gt;="&amp;AE$1,'UX Weekly'!$H$1:$CT$1,"&lt;="&amp;EOMONTH(AE$1,0),'UX Weekly'!$H106:$CT106,"&lt;&gt;"))</f>
        <v>0</v>
      </c>
      <c r="AF106">
        <f>IF($B106="",0,COUNTIFS('UX Weekly'!$H$1:$CT$1,"&gt;="&amp;AF$1,'UX Weekly'!$H$1:$CT$1,"&lt;="&amp;EOMONTH(AF$1,0),'UX Weekly'!$H106:$CT106,"&lt;&gt;"))</f>
        <v>0</v>
      </c>
      <c r="AG106">
        <f>IF($B106="",0,COUNTIFS('UX Weekly'!$H$1:$CT$1,"&gt;="&amp;AG$1,'UX Weekly'!$H$1:$CT$1,"&lt;="&amp;EOMONTH(AG$1,0),'UX Weekly'!$H106:$CT106,"&lt;&gt;"))</f>
        <v>0</v>
      </c>
      <c r="AH106">
        <f>IF($B106="",0,COUNTIFS('UX Weekly'!$H$1:$CT$1,"&gt;="&amp;AH$1,'UX Weekly'!$H$1:$CT$1,"&lt;="&amp;EOMONTH(AH$1,0),'UX Weekly'!$H106:$CT106,"&lt;&gt;"))</f>
        <v>0</v>
      </c>
      <c r="AI106">
        <f>IF($B106="",0,COUNTIFS('UX Weekly'!$H$1:$CT$1,"&gt;="&amp;AI$1,'UX Weekly'!$H$1:$CT$1,"&lt;="&amp;EOMONTH(AI$1,0),'UX Weekly'!$H106:$CT106,"&lt;&gt;"))</f>
        <v>0</v>
      </c>
      <c r="AJ106">
        <f>IF($B106="",0,COUNTIFS('UX Weekly'!$H$1:$CT$1,"&gt;="&amp;AJ$1,'UX Weekly'!$H$1:$CT$1,"&lt;="&amp;EOMONTH(AJ$1,0),'UX Weekly'!$H106:$CT106,"&lt;&gt;"))</f>
        <v>0</v>
      </c>
      <c r="AK106">
        <f>IF($B106="",0,COUNTIFS('UX Weekly'!$H$1:$CT$1,"&gt;="&amp;AK$1,'UX Weekly'!$H$1:$CT$1,"&lt;="&amp;EOMONTH(AK$1,0),'UX Weekly'!$H106:$CT106,"&lt;&gt;"))</f>
        <v>0</v>
      </c>
      <c r="AL106">
        <f>IF($B106="",0,COUNTIFS('UX Weekly'!$H$1:$CT$1,"&gt;="&amp;AL$1,'UX Weekly'!$H$1:$CT$1,"&lt;="&amp;EOMONTH(AL$1,0),'UX Weekly'!$H106:$CT106,"&lt;&gt;"))</f>
        <v>0</v>
      </c>
      <c r="AM106">
        <f>IF($B106="",0,COUNTIFS('UX Weekly'!$H$1:$CT$1,"&gt;="&amp;AM$1,'UX Weekly'!$H$1:$CT$1,"&lt;="&amp;EOMONTH(AM$1,0),'UX Weekly'!$H106:$CT106,"&lt;&gt;"))</f>
        <v>0</v>
      </c>
      <c r="AN106">
        <f>IF($B106="",0,COUNTIFS('UX Weekly'!$H$1:$CT$1,"&gt;="&amp;AN$1,'UX Weekly'!$H$1:$CT$1,"&lt;="&amp;EOMONTH(AN$1,0),'UX Weekly'!$H106:$CT106,"&lt;&gt;"))</f>
        <v>0</v>
      </c>
      <c r="AO106">
        <f>IF($B106="",0,COUNTIFS('UX Weekly'!$H$1:$CT$1,"&gt;="&amp;AO$1,'UX Weekly'!$H$1:$CT$1,"&lt;="&amp;EOMONTH(AO$1,0),'UX Weekly'!$H106:$CT106,"&lt;&gt;"))</f>
        <v>0</v>
      </c>
      <c r="AP106">
        <f>IF($B106="",0,COUNTIFS('UX Weekly'!$H$1:$CT$1,"&gt;="&amp;AP$1,'UX Weekly'!$H$1:$CT$1,"&lt;="&amp;EOMONTH(AP$1,0),'UX Weekly'!$H106:$CT106,"&lt;&gt;"))</f>
        <v>0</v>
      </c>
      <c r="AQ106">
        <f>IF($B106="",0,COUNTIFS('UX Weekly'!$H$1:$CT$1,"&gt;="&amp;AQ$1,'UX Weekly'!$H$1:$CT$1,"&lt;="&amp;EOMONTH(AQ$1,0),'UX Weekly'!$H106:$CT106,"&lt;&gt;"))</f>
        <v>0</v>
      </c>
      <c r="AR106">
        <f>IF($B106="",0,COUNTIFS('UX Weekly'!$H$1:$CT$1,"&gt;="&amp;AR$1,'UX Weekly'!$H$1:$CT$1,"&lt;="&amp;EOMONTH(AR$1,0),'UX Weekly'!$H106:$CT106,"&lt;&gt;"))</f>
        <v>0</v>
      </c>
      <c r="AS106">
        <f>IF($B106="",0,COUNTIFS('UX Weekly'!$H$1:$CT$1,"&gt;="&amp;AS$1,'UX Weekly'!$H$1:$CT$1,"&lt;="&amp;EOMONTH(AS$1,0),'UX Weekly'!$H106:$CT106,"&lt;&gt;"))</f>
        <v>0</v>
      </c>
      <c r="AT106">
        <f>IF($B106="",0,COUNTIFS('UX Weekly'!$H$1:$CT$1,"&gt;="&amp;AT$1,'UX Weekly'!$H$1:$CT$1,"&lt;="&amp;EOMONTH(AT$1,0),'UX Weekly'!$H106:$CT106,"&lt;&gt;"))</f>
        <v>0</v>
      </c>
      <c r="AU106">
        <f>IF($B106="",0,COUNTIFS('UX Weekly'!$H$1:$CT$1,"&gt;="&amp;AU$1,'UX Weekly'!$H$1:$CT$1,"&lt;="&amp;EOMONTH(AU$1,0),'UX Weekly'!$H106:$CT106,"&lt;&gt;"))</f>
        <v>0</v>
      </c>
      <c r="AV106">
        <f>IF($B106="",0,COUNTIFS('UX Weekly'!$H$1:$CT$1,"&gt;="&amp;AV$1,'UX Weekly'!$H$1:$CT$1,"&lt;="&amp;EOMONTH(AV$1,0),'UX Weekly'!$H106:$CT106,"&lt;&gt;"))</f>
        <v>0</v>
      </c>
      <c r="AW106">
        <f>IF($B106="",0,COUNTIFS('UX Weekly'!$H$1:$CT$1,"&gt;="&amp;AW$1,'UX Weekly'!$H$1:$CT$1,"&lt;="&amp;EOMONTH(AW$1,0),'UX Weekly'!$H106:$CT106,"&lt;&gt;"))</f>
        <v>0</v>
      </c>
      <c r="AX106">
        <f>IF($B106="",0,COUNTIFS('UX Weekly'!$H$1:$CT$1,"&gt;="&amp;AX$1,'UX Weekly'!$H$1:$CT$1,"&lt;="&amp;EOMONTH(AX$1,0),'UX Weekly'!$H106:$CT106,"&lt;&gt;"))</f>
        <v>0</v>
      </c>
    </row>
    <row r="107" spans="1:50" x14ac:dyDescent="0.2">
      <c r="A107" s="152">
        <v>107</v>
      </c>
      <c r="B107" s="152" t="str">
        <f>IF(TRIM('UX Weekly'!E107)="","",TRIM('UX Weekly'!E107))</f>
        <v/>
      </c>
      <c r="C107" s="152" t="str">
        <f>IF($B107="","",'UX Weekly'!B107)</f>
        <v/>
      </c>
      <c r="D107" s="152" t="str">
        <f>IF($B107="","",IF(TRIM('UX Weekly'!C107)="","(No theme assigned)",TRIM('UX Weekly'!C107)))</f>
        <v/>
      </c>
      <c r="E107" s="152" t="str">
        <f>IF($B107="","",TRIM('UX Weekly'!F107))</f>
        <v/>
      </c>
      <c r="F107" s="152" t="str">
        <f>IF($B107="","",'UX Weekly'!G107)</f>
        <v/>
      </c>
      <c r="G107" s="153" t="str">
        <f t="array" ref="G107">IF($B107="","",IF($T107=0,"",IFERROR(MIN(IF('UX Weekly'!$H107:$CT107&lt;&gt;"",'UX Weekly'!$H$1:$CT$1)),"")))</f>
        <v/>
      </c>
      <c r="H107" s="153" t="str">
        <f t="array" ref="H107">IF($B107="","",IF($T107=0,"",IFERROR(MAX(IF('UX Weekly'!$H107:$CT107&lt;&gt;"",'UX Weekly'!$H$1:$CT$1)),"")))</f>
        <v/>
      </c>
      <c r="I107" s="154" t="str">
        <f t="shared" ca="1" si="21"/>
        <v/>
      </c>
      <c r="J107" s="154" t="str">
        <f t="shared" ca="1" si="22"/>
        <v/>
      </c>
      <c r="K107" s="152" t="str">
        <f>IF($B107="","",IF(COUNTA('Dev Tracker'!L107)=0,"",TRIM('Dev Tracker'!L107)))</f>
        <v/>
      </c>
      <c r="L107" s="152" t="str">
        <f>IF($B107="","",IFERROR(MATCH($D107,Control!$E$4:$E$30,0),99))</f>
        <v/>
      </c>
      <c r="M107" s="152" t="str">
        <f>IF($B107="","",IFERROR(MATCH($F107,Control!$B$4:$B$30,0),99))</f>
        <v/>
      </c>
      <c r="N107" s="152" t="str">
        <f>IF($V107&lt;&gt;1,"",IF('Roadmap (Auto)'!$D$3="Status, then Theme",$M107*1000000+$L107*10000+ROW(),IF('Roadmap (Auto)'!$D$3="Dev start (earliest)",IF($I107="",99999999,$I107)*10000+ROW(),IF('Roadmap (Auto)'!$D$3="UX start (earliest)",IF($G107="",99999999,$G107)*10000+ROW(),IF('Roadmap (Auto)'!$D$3="Deliverable A-Z",$W107*10000+ROW(),$L107*1000000+$M107*10000+ROW())))))</f>
        <v/>
      </c>
      <c r="O107" s="152" t="str">
        <f t="shared" si="23"/>
        <v/>
      </c>
      <c r="P107" s="152" t="str">
        <f>IF($B107="","",IF(COUNTA('Dev Tracker'!I107)=0,"",'Dev Tracker'!I107))</f>
        <v/>
      </c>
      <c r="Q107" s="152" t="str">
        <f>IF($B107="","",IF(COUNTA('Dev Tracker'!J107)=0,"",'Dev Tracker'!J107))</f>
        <v/>
      </c>
      <c r="R107" s="154" t="str">
        <f t="shared" ca="1" si="24"/>
        <v/>
      </c>
      <c r="S107" s="154" t="str">
        <f t="shared" ca="1" si="25"/>
        <v/>
      </c>
      <c r="T107" s="152" t="str">
        <f>IF($B107="","",COUNTA('UX Weekly'!$H107:$CT107))</f>
        <v/>
      </c>
      <c r="U107" s="152" t="str">
        <f>IF($B107="","",IFERROR(MATCH($D107,Control!$E$4:$E$30,0)+3,0))</f>
        <v/>
      </c>
      <c r="V107" s="152" t="str">
        <f>IF($B107="","",IF(AND(OR('Roadmap (Auto)'!$A$3="",'Roadmap (Auto)'!$A$3="(All)",ISNUMBER(SEARCH('Roadmap (Auto)'!$A$3,$C107&amp;""))),OR('Roadmap (Auto)'!$B$3="",'Roadmap (Auto)'!$B$3="(All)",$D107='Roadmap (Auto)'!$B$3,$X107='Roadmap (Auto)'!$B$3),OR('Roadmap (Auto)'!$C$3="",'Roadmap (Auto)'!$C$3="(All)",$F107='Roadmap (Auto)'!$C$3)),1,0))</f>
        <v/>
      </c>
      <c r="W107" s="152" t="str">
        <f t="shared" si="26"/>
        <v/>
      </c>
      <c r="X107" s="152" t="str">
        <f>IF($B107="","",IF(TRIM('UX Weekly'!D107)="","",TRIM('UX Weekly'!D107)))</f>
        <v/>
      </c>
      <c r="Y107" s="152" t="str">
        <f t="shared" si="27"/>
        <v/>
      </c>
      <c r="AA107">
        <f>IF($B107="",0,COUNTIFS('UX Weekly'!$H$1:$CT$1,"&gt;="&amp;AA$1,'UX Weekly'!$H$1:$CT$1,"&lt;="&amp;EOMONTH(AA$1,0),'UX Weekly'!$H107:$CT107,"&lt;&gt;"))</f>
        <v>0</v>
      </c>
      <c r="AB107">
        <f>IF($B107="",0,COUNTIFS('UX Weekly'!$H$1:$CT$1,"&gt;="&amp;AB$1,'UX Weekly'!$H$1:$CT$1,"&lt;="&amp;EOMONTH(AB$1,0),'UX Weekly'!$H107:$CT107,"&lt;&gt;"))</f>
        <v>0</v>
      </c>
      <c r="AC107">
        <f>IF($B107="",0,COUNTIFS('UX Weekly'!$H$1:$CT$1,"&gt;="&amp;AC$1,'UX Weekly'!$H$1:$CT$1,"&lt;="&amp;EOMONTH(AC$1,0),'UX Weekly'!$H107:$CT107,"&lt;&gt;"))</f>
        <v>0</v>
      </c>
      <c r="AD107">
        <f>IF($B107="",0,COUNTIFS('UX Weekly'!$H$1:$CT$1,"&gt;="&amp;AD$1,'UX Weekly'!$H$1:$CT$1,"&lt;="&amp;EOMONTH(AD$1,0),'UX Weekly'!$H107:$CT107,"&lt;&gt;"))</f>
        <v>0</v>
      </c>
      <c r="AE107">
        <f>IF($B107="",0,COUNTIFS('UX Weekly'!$H$1:$CT$1,"&gt;="&amp;AE$1,'UX Weekly'!$H$1:$CT$1,"&lt;="&amp;EOMONTH(AE$1,0),'UX Weekly'!$H107:$CT107,"&lt;&gt;"))</f>
        <v>0</v>
      </c>
      <c r="AF107">
        <f>IF($B107="",0,COUNTIFS('UX Weekly'!$H$1:$CT$1,"&gt;="&amp;AF$1,'UX Weekly'!$H$1:$CT$1,"&lt;="&amp;EOMONTH(AF$1,0),'UX Weekly'!$H107:$CT107,"&lt;&gt;"))</f>
        <v>0</v>
      </c>
      <c r="AG107">
        <f>IF($B107="",0,COUNTIFS('UX Weekly'!$H$1:$CT$1,"&gt;="&amp;AG$1,'UX Weekly'!$H$1:$CT$1,"&lt;="&amp;EOMONTH(AG$1,0),'UX Weekly'!$H107:$CT107,"&lt;&gt;"))</f>
        <v>0</v>
      </c>
      <c r="AH107">
        <f>IF($B107="",0,COUNTIFS('UX Weekly'!$H$1:$CT$1,"&gt;="&amp;AH$1,'UX Weekly'!$H$1:$CT$1,"&lt;="&amp;EOMONTH(AH$1,0),'UX Weekly'!$H107:$CT107,"&lt;&gt;"))</f>
        <v>0</v>
      </c>
      <c r="AI107">
        <f>IF($B107="",0,COUNTIFS('UX Weekly'!$H$1:$CT$1,"&gt;="&amp;AI$1,'UX Weekly'!$H$1:$CT$1,"&lt;="&amp;EOMONTH(AI$1,0),'UX Weekly'!$H107:$CT107,"&lt;&gt;"))</f>
        <v>0</v>
      </c>
      <c r="AJ107">
        <f>IF($B107="",0,COUNTIFS('UX Weekly'!$H$1:$CT$1,"&gt;="&amp;AJ$1,'UX Weekly'!$H$1:$CT$1,"&lt;="&amp;EOMONTH(AJ$1,0),'UX Weekly'!$H107:$CT107,"&lt;&gt;"))</f>
        <v>0</v>
      </c>
      <c r="AK107">
        <f>IF($B107="",0,COUNTIFS('UX Weekly'!$H$1:$CT$1,"&gt;="&amp;AK$1,'UX Weekly'!$H$1:$CT$1,"&lt;="&amp;EOMONTH(AK$1,0),'UX Weekly'!$H107:$CT107,"&lt;&gt;"))</f>
        <v>0</v>
      </c>
      <c r="AL107">
        <f>IF($B107="",0,COUNTIFS('UX Weekly'!$H$1:$CT$1,"&gt;="&amp;AL$1,'UX Weekly'!$H$1:$CT$1,"&lt;="&amp;EOMONTH(AL$1,0),'UX Weekly'!$H107:$CT107,"&lt;&gt;"))</f>
        <v>0</v>
      </c>
      <c r="AM107">
        <f>IF($B107="",0,COUNTIFS('UX Weekly'!$H$1:$CT$1,"&gt;="&amp;AM$1,'UX Weekly'!$H$1:$CT$1,"&lt;="&amp;EOMONTH(AM$1,0),'UX Weekly'!$H107:$CT107,"&lt;&gt;"))</f>
        <v>0</v>
      </c>
      <c r="AN107">
        <f>IF($B107="",0,COUNTIFS('UX Weekly'!$H$1:$CT$1,"&gt;="&amp;AN$1,'UX Weekly'!$H$1:$CT$1,"&lt;="&amp;EOMONTH(AN$1,0),'UX Weekly'!$H107:$CT107,"&lt;&gt;"))</f>
        <v>0</v>
      </c>
      <c r="AO107">
        <f>IF($B107="",0,COUNTIFS('UX Weekly'!$H$1:$CT$1,"&gt;="&amp;AO$1,'UX Weekly'!$H$1:$CT$1,"&lt;="&amp;EOMONTH(AO$1,0),'UX Weekly'!$H107:$CT107,"&lt;&gt;"))</f>
        <v>0</v>
      </c>
      <c r="AP107">
        <f>IF($B107="",0,COUNTIFS('UX Weekly'!$H$1:$CT$1,"&gt;="&amp;AP$1,'UX Weekly'!$H$1:$CT$1,"&lt;="&amp;EOMONTH(AP$1,0),'UX Weekly'!$H107:$CT107,"&lt;&gt;"))</f>
        <v>0</v>
      </c>
      <c r="AQ107">
        <f>IF($B107="",0,COUNTIFS('UX Weekly'!$H$1:$CT$1,"&gt;="&amp;AQ$1,'UX Weekly'!$H$1:$CT$1,"&lt;="&amp;EOMONTH(AQ$1,0),'UX Weekly'!$H107:$CT107,"&lt;&gt;"))</f>
        <v>0</v>
      </c>
      <c r="AR107">
        <f>IF($B107="",0,COUNTIFS('UX Weekly'!$H$1:$CT$1,"&gt;="&amp;AR$1,'UX Weekly'!$H$1:$CT$1,"&lt;="&amp;EOMONTH(AR$1,0),'UX Weekly'!$H107:$CT107,"&lt;&gt;"))</f>
        <v>0</v>
      </c>
      <c r="AS107">
        <f>IF($B107="",0,COUNTIFS('UX Weekly'!$H$1:$CT$1,"&gt;="&amp;AS$1,'UX Weekly'!$H$1:$CT$1,"&lt;="&amp;EOMONTH(AS$1,0),'UX Weekly'!$H107:$CT107,"&lt;&gt;"))</f>
        <v>0</v>
      </c>
      <c r="AT107">
        <f>IF($B107="",0,COUNTIFS('UX Weekly'!$H$1:$CT$1,"&gt;="&amp;AT$1,'UX Weekly'!$H$1:$CT$1,"&lt;="&amp;EOMONTH(AT$1,0),'UX Weekly'!$H107:$CT107,"&lt;&gt;"))</f>
        <v>0</v>
      </c>
      <c r="AU107">
        <f>IF($B107="",0,COUNTIFS('UX Weekly'!$H$1:$CT$1,"&gt;="&amp;AU$1,'UX Weekly'!$H$1:$CT$1,"&lt;="&amp;EOMONTH(AU$1,0),'UX Weekly'!$H107:$CT107,"&lt;&gt;"))</f>
        <v>0</v>
      </c>
      <c r="AV107">
        <f>IF($B107="",0,COUNTIFS('UX Weekly'!$H$1:$CT$1,"&gt;="&amp;AV$1,'UX Weekly'!$H$1:$CT$1,"&lt;="&amp;EOMONTH(AV$1,0),'UX Weekly'!$H107:$CT107,"&lt;&gt;"))</f>
        <v>0</v>
      </c>
      <c r="AW107">
        <f>IF($B107="",0,COUNTIFS('UX Weekly'!$H$1:$CT$1,"&gt;="&amp;AW$1,'UX Weekly'!$H$1:$CT$1,"&lt;="&amp;EOMONTH(AW$1,0),'UX Weekly'!$H107:$CT107,"&lt;&gt;"))</f>
        <v>0</v>
      </c>
      <c r="AX107">
        <f>IF($B107="",0,COUNTIFS('UX Weekly'!$H$1:$CT$1,"&gt;="&amp;AX$1,'UX Weekly'!$H$1:$CT$1,"&lt;="&amp;EOMONTH(AX$1,0),'UX Weekly'!$H107:$CT107,"&lt;&gt;"))</f>
        <v>0</v>
      </c>
    </row>
    <row r="108" spans="1:50" x14ac:dyDescent="0.2">
      <c r="A108" s="152">
        <v>108</v>
      </c>
      <c r="B108" s="152" t="str">
        <f>IF(TRIM('UX Weekly'!E108)="","",TRIM('UX Weekly'!E108))</f>
        <v/>
      </c>
      <c r="C108" s="152" t="str">
        <f>IF($B108="","",'UX Weekly'!B108)</f>
        <v/>
      </c>
      <c r="D108" s="152" t="str">
        <f>IF($B108="","",IF(TRIM('UX Weekly'!C108)="","(No theme assigned)",TRIM('UX Weekly'!C108)))</f>
        <v/>
      </c>
      <c r="E108" s="152" t="str">
        <f>IF($B108="","",TRIM('UX Weekly'!F108))</f>
        <v/>
      </c>
      <c r="F108" s="152" t="str">
        <f>IF($B108="","",'UX Weekly'!G108)</f>
        <v/>
      </c>
      <c r="G108" s="153" t="str">
        <f t="array" ref="G108">IF($B108="","",IF($T108=0,"",IFERROR(MIN(IF('UX Weekly'!$H108:$CT108&lt;&gt;"",'UX Weekly'!$H$1:$CT$1)),"")))</f>
        <v/>
      </c>
      <c r="H108" s="153" t="str">
        <f t="array" ref="H108">IF($B108="","",IF($T108=0,"",IFERROR(MAX(IF('UX Weekly'!$H108:$CT108&lt;&gt;"",'UX Weekly'!$H$1:$CT$1)),"")))</f>
        <v/>
      </c>
      <c r="I108" s="154" t="str">
        <f t="shared" ca="1" si="21"/>
        <v/>
      </c>
      <c r="J108" s="154" t="str">
        <f t="shared" ca="1" si="22"/>
        <v/>
      </c>
      <c r="K108" s="152" t="str">
        <f>IF($B108="","",IF(COUNTA('Dev Tracker'!L108)=0,"",TRIM('Dev Tracker'!L108)))</f>
        <v/>
      </c>
      <c r="L108" s="152" t="str">
        <f>IF($B108="","",IFERROR(MATCH($D108,Control!$E$4:$E$30,0),99))</f>
        <v/>
      </c>
      <c r="M108" s="152" t="str">
        <f>IF($B108="","",IFERROR(MATCH($F108,Control!$B$4:$B$30,0),99))</f>
        <v/>
      </c>
      <c r="N108" s="152" t="str">
        <f>IF($V108&lt;&gt;1,"",IF('Roadmap (Auto)'!$D$3="Status, then Theme",$M108*1000000+$L108*10000+ROW(),IF('Roadmap (Auto)'!$D$3="Dev start (earliest)",IF($I108="",99999999,$I108)*10000+ROW(),IF('Roadmap (Auto)'!$D$3="UX start (earliest)",IF($G108="",99999999,$G108)*10000+ROW(),IF('Roadmap (Auto)'!$D$3="Deliverable A-Z",$W108*10000+ROW(),$L108*1000000+$M108*10000+ROW())))))</f>
        <v/>
      </c>
      <c r="O108" s="152" t="str">
        <f t="shared" si="23"/>
        <v/>
      </c>
      <c r="P108" s="152" t="str">
        <f>IF($B108="","",IF(COUNTA('Dev Tracker'!I108)=0,"",'Dev Tracker'!I108))</f>
        <v/>
      </c>
      <c r="Q108" s="152" t="str">
        <f>IF($B108="","",IF(COUNTA('Dev Tracker'!J108)=0,"",'Dev Tracker'!J108))</f>
        <v/>
      </c>
      <c r="R108" s="154" t="str">
        <f t="shared" ca="1" si="24"/>
        <v/>
      </c>
      <c r="S108" s="154" t="str">
        <f t="shared" ca="1" si="25"/>
        <v/>
      </c>
      <c r="T108" s="152" t="str">
        <f>IF($B108="","",COUNTA('UX Weekly'!$H108:$CT108))</f>
        <v/>
      </c>
      <c r="U108" s="152" t="str">
        <f>IF($B108="","",IFERROR(MATCH($D108,Control!$E$4:$E$30,0)+3,0))</f>
        <v/>
      </c>
      <c r="V108" s="152" t="str">
        <f>IF($B108="","",IF(AND(OR('Roadmap (Auto)'!$A$3="",'Roadmap (Auto)'!$A$3="(All)",ISNUMBER(SEARCH('Roadmap (Auto)'!$A$3,$C108&amp;""))),OR('Roadmap (Auto)'!$B$3="",'Roadmap (Auto)'!$B$3="(All)",$D108='Roadmap (Auto)'!$B$3,$X108='Roadmap (Auto)'!$B$3),OR('Roadmap (Auto)'!$C$3="",'Roadmap (Auto)'!$C$3="(All)",$F108='Roadmap (Auto)'!$C$3)),1,0))</f>
        <v/>
      </c>
      <c r="W108" s="152" t="str">
        <f t="shared" si="26"/>
        <v/>
      </c>
      <c r="X108" s="152" t="str">
        <f>IF($B108="","",IF(TRIM('UX Weekly'!D108)="","",TRIM('UX Weekly'!D108)))</f>
        <v/>
      </c>
      <c r="Y108" s="152" t="str">
        <f t="shared" si="27"/>
        <v/>
      </c>
      <c r="AA108">
        <f>IF($B108="",0,COUNTIFS('UX Weekly'!$H$1:$CT$1,"&gt;="&amp;AA$1,'UX Weekly'!$H$1:$CT$1,"&lt;="&amp;EOMONTH(AA$1,0),'UX Weekly'!$H108:$CT108,"&lt;&gt;"))</f>
        <v>0</v>
      </c>
      <c r="AB108">
        <f>IF($B108="",0,COUNTIFS('UX Weekly'!$H$1:$CT$1,"&gt;="&amp;AB$1,'UX Weekly'!$H$1:$CT$1,"&lt;="&amp;EOMONTH(AB$1,0),'UX Weekly'!$H108:$CT108,"&lt;&gt;"))</f>
        <v>0</v>
      </c>
      <c r="AC108">
        <f>IF($B108="",0,COUNTIFS('UX Weekly'!$H$1:$CT$1,"&gt;="&amp;AC$1,'UX Weekly'!$H$1:$CT$1,"&lt;="&amp;EOMONTH(AC$1,0),'UX Weekly'!$H108:$CT108,"&lt;&gt;"))</f>
        <v>0</v>
      </c>
      <c r="AD108">
        <f>IF($B108="",0,COUNTIFS('UX Weekly'!$H$1:$CT$1,"&gt;="&amp;AD$1,'UX Weekly'!$H$1:$CT$1,"&lt;="&amp;EOMONTH(AD$1,0),'UX Weekly'!$H108:$CT108,"&lt;&gt;"))</f>
        <v>0</v>
      </c>
      <c r="AE108">
        <f>IF($B108="",0,COUNTIFS('UX Weekly'!$H$1:$CT$1,"&gt;="&amp;AE$1,'UX Weekly'!$H$1:$CT$1,"&lt;="&amp;EOMONTH(AE$1,0),'UX Weekly'!$H108:$CT108,"&lt;&gt;"))</f>
        <v>0</v>
      </c>
      <c r="AF108">
        <f>IF($B108="",0,COUNTIFS('UX Weekly'!$H$1:$CT$1,"&gt;="&amp;AF$1,'UX Weekly'!$H$1:$CT$1,"&lt;="&amp;EOMONTH(AF$1,0),'UX Weekly'!$H108:$CT108,"&lt;&gt;"))</f>
        <v>0</v>
      </c>
      <c r="AG108">
        <f>IF($B108="",0,COUNTIFS('UX Weekly'!$H$1:$CT$1,"&gt;="&amp;AG$1,'UX Weekly'!$H$1:$CT$1,"&lt;="&amp;EOMONTH(AG$1,0),'UX Weekly'!$H108:$CT108,"&lt;&gt;"))</f>
        <v>0</v>
      </c>
      <c r="AH108">
        <f>IF($B108="",0,COUNTIFS('UX Weekly'!$H$1:$CT$1,"&gt;="&amp;AH$1,'UX Weekly'!$H$1:$CT$1,"&lt;="&amp;EOMONTH(AH$1,0),'UX Weekly'!$H108:$CT108,"&lt;&gt;"))</f>
        <v>0</v>
      </c>
      <c r="AI108">
        <f>IF($B108="",0,COUNTIFS('UX Weekly'!$H$1:$CT$1,"&gt;="&amp;AI$1,'UX Weekly'!$H$1:$CT$1,"&lt;="&amp;EOMONTH(AI$1,0),'UX Weekly'!$H108:$CT108,"&lt;&gt;"))</f>
        <v>0</v>
      </c>
      <c r="AJ108">
        <f>IF($B108="",0,COUNTIFS('UX Weekly'!$H$1:$CT$1,"&gt;="&amp;AJ$1,'UX Weekly'!$H$1:$CT$1,"&lt;="&amp;EOMONTH(AJ$1,0),'UX Weekly'!$H108:$CT108,"&lt;&gt;"))</f>
        <v>0</v>
      </c>
      <c r="AK108">
        <f>IF($B108="",0,COUNTIFS('UX Weekly'!$H$1:$CT$1,"&gt;="&amp;AK$1,'UX Weekly'!$H$1:$CT$1,"&lt;="&amp;EOMONTH(AK$1,0),'UX Weekly'!$H108:$CT108,"&lt;&gt;"))</f>
        <v>0</v>
      </c>
      <c r="AL108">
        <f>IF($B108="",0,COUNTIFS('UX Weekly'!$H$1:$CT$1,"&gt;="&amp;AL$1,'UX Weekly'!$H$1:$CT$1,"&lt;="&amp;EOMONTH(AL$1,0),'UX Weekly'!$H108:$CT108,"&lt;&gt;"))</f>
        <v>0</v>
      </c>
      <c r="AM108">
        <f>IF($B108="",0,COUNTIFS('UX Weekly'!$H$1:$CT$1,"&gt;="&amp;AM$1,'UX Weekly'!$H$1:$CT$1,"&lt;="&amp;EOMONTH(AM$1,0),'UX Weekly'!$H108:$CT108,"&lt;&gt;"))</f>
        <v>0</v>
      </c>
      <c r="AN108">
        <f>IF($B108="",0,COUNTIFS('UX Weekly'!$H$1:$CT$1,"&gt;="&amp;AN$1,'UX Weekly'!$H$1:$CT$1,"&lt;="&amp;EOMONTH(AN$1,0),'UX Weekly'!$H108:$CT108,"&lt;&gt;"))</f>
        <v>0</v>
      </c>
      <c r="AO108">
        <f>IF($B108="",0,COUNTIFS('UX Weekly'!$H$1:$CT$1,"&gt;="&amp;AO$1,'UX Weekly'!$H$1:$CT$1,"&lt;="&amp;EOMONTH(AO$1,0),'UX Weekly'!$H108:$CT108,"&lt;&gt;"))</f>
        <v>0</v>
      </c>
      <c r="AP108">
        <f>IF($B108="",0,COUNTIFS('UX Weekly'!$H$1:$CT$1,"&gt;="&amp;AP$1,'UX Weekly'!$H$1:$CT$1,"&lt;="&amp;EOMONTH(AP$1,0),'UX Weekly'!$H108:$CT108,"&lt;&gt;"))</f>
        <v>0</v>
      </c>
      <c r="AQ108">
        <f>IF($B108="",0,COUNTIFS('UX Weekly'!$H$1:$CT$1,"&gt;="&amp;AQ$1,'UX Weekly'!$H$1:$CT$1,"&lt;="&amp;EOMONTH(AQ$1,0),'UX Weekly'!$H108:$CT108,"&lt;&gt;"))</f>
        <v>0</v>
      </c>
      <c r="AR108">
        <f>IF($B108="",0,COUNTIFS('UX Weekly'!$H$1:$CT$1,"&gt;="&amp;AR$1,'UX Weekly'!$H$1:$CT$1,"&lt;="&amp;EOMONTH(AR$1,0),'UX Weekly'!$H108:$CT108,"&lt;&gt;"))</f>
        <v>0</v>
      </c>
      <c r="AS108">
        <f>IF($B108="",0,COUNTIFS('UX Weekly'!$H$1:$CT$1,"&gt;="&amp;AS$1,'UX Weekly'!$H$1:$CT$1,"&lt;="&amp;EOMONTH(AS$1,0),'UX Weekly'!$H108:$CT108,"&lt;&gt;"))</f>
        <v>0</v>
      </c>
      <c r="AT108">
        <f>IF($B108="",0,COUNTIFS('UX Weekly'!$H$1:$CT$1,"&gt;="&amp;AT$1,'UX Weekly'!$H$1:$CT$1,"&lt;="&amp;EOMONTH(AT$1,0),'UX Weekly'!$H108:$CT108,"&lt;&gt;"))</f>
        <v>0</v>
      </c>
      <c r="AU108">
        <f>IF($B108="",0,COUNTIFS('UX Weekly'!$H$1:$CT$1,"&gt;="&amp;AU$1,'UX Weekly'!$H$1:$CT$1,"&lt;="&amp;EOMONTH(AU$1,0),'UX Weekly'!$H108:$CT108,"&lt;&gt;"))</f>
        <v>0</v>
      </c>
      <c r="AV108">
        <f>IF($B108="",0,COUNTIFS('UX Weekly'!$H$1:$CT$1,"&gt;="&amp;AV$1,'UX Weekly'!$H$1:$CT$1,"&lt;="&amp;EOMONTH(AV$1,0),'UX Weekly'!$H108:$CT108,"&lt;&gt;"))</f>
        <v>0</v>
      </c>
      <c r="AW108">
        <f>IF($B108="",0,COUNTIFS('UX Weekly'!$H$1:$CT$1,"&gt;="&amp;AW$1,'UX Weekly'!$H$1:$CT$1,"&lt;="&amp;EOMONTH(AW$1,0),'UX Weekly'!$H108:$CT108,"&lt;&gt;"))</f>
        <v>0</v>
      </c>
      <c r="AX108">
        <f>IF($B108="",0,COUNTIFS('UX Weekly'!$H$1:$CT$1,"&gt;="&amp;AX$1,'UX Weekly'!$H$1:$CT$1,"&lt;="&amp;EOMONTH(AX$1,0),'UX Weekly'!$H108:$CT108,"&lt;&gt;"))</f>
        <v>0</v>
      </c>
    </row>
    <row r="109" spans="1:50" x14ac:dyDescent="0.2">
      <c r="A109" s="152">
        <v>109</v>
      </c>
      <c r="B109" s="152" t="str">
        <f>IF(TRIM('UX Weekly'!E109)="","",TRIM('UX Weekly'!E109))</f>
        <v/>
      </c>
      <c r="C109" s="152" t="str">
        <f>IF($B109="","",'UX Weekly'!B109)</f>
        <v/>
      </c>
      <c r="D109" s="152" t="str">
        <f>IF($B109="","",IF(TRIM('UX Weekly'!C109)="","(No theme assigned)",TRIM('UX Weekly'!C109)))</f>
        <v/>
      </c>
      <c r="E109" s="152" t="str">
        <f>IF($B109="","",TRIM('UX Weekly'!F109))</f>
        <v/>
      </c>
      <c r="F109" s="152" t="str">
        <f>IF($B109="","",'UX Weekly'!G109)</f>
        <v/>
      </c>
      <c r="G109" s="153" t="str">
        <f t="array" ref="G109">IF($B109="","",IF($T109=0,"",IFERROR(MIN(IF('UX Weekly'!$H109:$CT109&lt;&gt;"",'UX Weekly'!$H$1:$CT$1)),"")))</f>
        <v/>
      </c>
      <c r="H109" s="153" t="str">
        <f t="array" ref="H109">IF($B109="","",IF($T109=0,"",IFERROR(MAX(IF('UX Weekly'!$H109:$CT109&lt;&gt;"",'UX Weekly'!$H$1:$CT$1)),"")))</f>
        <v/>
      </c>
      <c r="I109" s="154" t="str">
        <f t="shared" ca="1" si="21"/>
        <v/>
      </c>
      <c r="J109" s="154" t="str">
        <f t="shared" ca="1" si="22"/>
        <v/>
      </c>
      <c r="K109" s="152" t="str">
        <f>IF($B109="","",IF(COUNTA('Dev Tracker'!L109)=0,"",TRIM('Dev Tracker'!L109)))</f>
        <v/>
      </c>
      <c r="L109" s="152" t="str">
        <f>IF($B109="","",IFERROR(MATCH($D109,Control!$E$4:$E$30,0),99))</f>
        <v/>
      </c>
      <c r="M109" s="152" t="str">
        <f>IF($B109="","",IFERROR(MATCH($F109,Control!$B$4:$B$30,0),99))</f>
        <v/>
      </c>
      <c r="N109" s="152" t="str">
        <f>IF($V109&lt;&gt;1,"",IF('Roadmap (Auto)'!$D$3="Status, then Theme",$M109*1000000+$L109*10000+ROW(),IF('Roadmap (Auto)'!$D$3="Dev start (earliest)",IF($I109="",99999999,$I109)*10000+ROW(),IF('Roadmap (Auto)'!$D$3="UX start (earliest)",IF($G109="",99999999,$G109)*10000+ROW(),IF('Roadmap (Auto)'!$D$3="Deliverable A-Z",$W109*10000+ROW(),$L109*1000000+$M109*10000+ROW())))))</f>
        <v/>
      </c>
      <c r="O109" s="152" t="str">
        <f t="shared" si="23"/>
        <v/>
      </c>
      <c r="P109" s="152" t="str">
        <f>IF($B109="","",IF(COUNTA('Dev Tracker'!I109)=0,"",'Dev Tracker'!I109))</f>
        <v/>
      </c>
      <c r="Q109" s="152" t="str">
        <f>IF($B109="","",IF(COUNTA('Dev Tracker'!J109)=0,"",'Dev Tracker'!J109))</f>
        <v/>
      </c>
      <c r="R109" s="154" t="str">
        <f t="shared" ca="1" si="24"/>
        <v/>
      </c>
      <c r="S109" s="154" t="str">
        <f t="shared" ca="1" si="25"/>
        <v/>
      </c>
      <c r="T109" s="152" t="str">
        <f>IF($B109="","",COUNTA('UX Weekly'!$H109:$CT109))</f>
        <v/>
      </c>
      <c r="U109" s="152" t="str">
        <f>IF($B109="","",IFERROR(MATCH($D109,Control!$E$4:$E$30,0)+3,0))</f>
        <v/>
      </c>
      <c r="V109" s="152" t="str">
        <f>IF($B109="","",IF(AND(OR('Roadmap (Auto)'!$A$3="",'Roadmap (Auto)'!$A$3="(All)",ISNUMBER(SEARCH('Roadmap (Auto)'!$A$3,$C109&amp;""))),OR('Roadmap (Auto)'!$B$3="",'Roadmap (Auto)'!$B$3="(All)",$D109='Roadmap (Auto)'!$B$3,$X109='Roadmap (Auto)'!$B$3),OR('Roadmap (Auto)'!$C$3="",'Roadmap (Auto)'!$C$3="(All)",$F109='Roadmap (Auto)'!$C$3)),1,0))</f>
        <v/>
      </c>
      <c r="W109" s="152" t="str">
        <f t="shared" si="26"/>
        <v/>
      </c>
      <c r="X109" s="152" t="str">
        <f>IF($B109="","",IF(TRIM('UX Weekly'!D109)="","",TRIM('UX Weekly'!D109)))</f>
        <v/>
      </c>
      <c r="Y109" s="152" t="str">
        <f t="shared" si="27"/>
        <v/>
      </c>
      <c r="AA109">
        <f>IF($B109="",0,COUNTIFS('UX Weekly'!$H$1:$CT$1,"&gt;="&amp;AA$1,'UX Weekly'!$H$1:$CT$1,"&lt;="&amp;EOMONTH(AA$1,0),'UX Weekly'!$H109:$CT109,"&lt;&gt;"))</f>
        <v>0</v>
      </c>
      <c r="AB109">
        <f>IF($B109="",0,COUNTIFS('UX Weekly'!$H$1:$CT$1,"&gt;="&amp;AB$1,'UX Weekly'!$H$1:$CT$1,"&lt;="&amp;EOMONTH(AB$1,0),'UX Weekly'!$H109:$CT109,"&lt;&gt;"))</f>
        <v>0</v>
      </c>
      <c r="AC109">
        <f>IF($B109="",0,COUNTIFS('UX Weekly'!$H$1:$CT$1,"&gt;="&amp;AC$1,'UX Weekly'!$H$1:$CT$1,"&lt;="&amp;EOMONTH(AC$1,0),'UX Weekly'!$H109:$CT109,"&lt;&gt;"))</f>
        <v>0</v>
      </c>
      <c r="AD109">
        <f>IF($B109="",0,COUNTIFS('UX Weekly'!$H$1:$CT$1,"&gt;="&amp;AD$1,'UX Weekly'!$H$1:$CT$1,"&lt;="&amp;EOMONTH(AD$1,0),'UX Weekly'!$H109:$CT109,"&lt;&gt;"))</f>
        <v>0</v>
      </c>
      <c r="AE109">
        <f>IF($B109="",0,COUNTIFS('UX Weekly'!$H$1:$CT$1,"&gt;="&amp;AE$1,'UX Weekly'!$H$1:$CT$1,"&lt;="&amp;EOMONTH(AE$1,0),'UX Weekly'!$H109:$CT109,"&lt;&gt;"))</f>
        <v>0</v>
      </c>
      <c r="AF109">
        <f>IF($B109="",0,COUNTIFS('UX Weekly'!$H$1:$CT$1,"&gt;="&amp;AF$1,'UX Weekly'!$H$1:$CT$1,"&lt;="&amp;EOMONTH(AF$1,0),'UX Weekly'!$H109:$CT109,"&lt;&gt;"))</f>
        <v>0</v>
      </c>
      <c r="AG109">
        <f>IF($B109="",0,COUNTIFS('UX Weekly'!$H$1:$CT$1,"&gt;="&amp;AG$1,'UX Weekly'!$H$1:$CT$1,"&lt;="&amp;EOMONTH(AG$1,0),'UX Weekly'!$H109:$CT109,"&lt;&gt;"))</f>
        <v>0</v>
      </c>
      <c r="AH109">
        <f>IF($B109="",0,COUNTIFS('UX Weekly'!$H$1:$CT$1,"&gt;="&amp;AH$1,'UX Weekly'!$H$1:$CT$1,"&lt;="&amp;EOMONTH(AH$1,0),'UX Weekly'!$H109:$CT109,"&lt;&gt;"))</f>
        <v>0</v>
      </c>
      <c r="AI109">
        <f>IF($B109="",0,COUNTIFS('UX Weekly'!$H$1:$CT$1,"&gt;="&amp;AI$1,'UX Weekly'!$H$1:$CT$1,"&lt;="&amp;EOMONTH(AI$1,0),'UX Weekly'!$H109:$CT109,"&lt;&gt;"))</f>
        <v>0</v>
      </c>
      <c r="AJ109">
        <f>IF($B109="",0,COUNTIFS('UX Weekly'!$H$1:$CT$1,"&gt;="&amp;AJ$1,'UX Weekly'!$H$1:$CT$1,"&lt;="&amp;EOMONTH(AJ$1,0),'UX Weekly'!$H109:$CT109,"&lt;&gt;"))</f>
        <v>0</v>
      </c>
      <c r="AK109">
        <f>IF($B109="",0,COUNTIFS('UX Weekly'!$H$1:$CT$1,"&gt;="&amp;AK$1,'UX Weekly'!$H$1:$CT$1,"&lt;="&amp;EOMONTH(AK$1,0),'UX Weekly'!$H109:$CT109,"&lt;&gt;"))</f>
        <v>0</v>
      </c>
      <c r="AL109">
        <f>IF($B109="",0,COUNTIFS('UX Weekly'!$H$1:$CT$1,"&gt;="&amp;AL$1,'UX Weekly'!$H$1:$CT$1,"&lt;="&amp;EOMONTH(AL$1,0),'UX Weekly'!$H109:$CT109,"&lt;&gt;"))</f>
        <v>0</v>
      </c>
      <c r="AM109">
        <f>IF($B109="",0,COUNTIFS('UX Weekly'!$H$1:$CT$1,"&gt;="&amp;AM$1,'UX Weekly'!$H$1:$CT$1,"&lt;="&amp;EOMONTH(AM$1,0),'UX Weekly'!$H109:$CT109,"&lt;&gt;"))</f>
        <v>0</v>
      </c>
      <c r="AN109">
        <f>IF($B109="",0,COUNTIFS('UX Weekly'!$H$1:$CT$1,"&gt;="&amp;AN$1,'UX Weekly'!$H$1:$CT$1,"&lt;="&amp;EOMONTH(AN$1,0),'UX Weekly'!$H109:$CT109,"&lt;&gt;"))</f>
        <v>0</v>
      </c>
      <c r="AO109">
        <f>IF($B109="",0,COUNTIFS('UX Weekly'!$H$1:$CT$1,"&gt;="&amp;AO$1,'UX Weekly'!$H$1:$CT$1,"&lt;="&amp;EOMONTH(AO$1,0),'UX Weekly'!$H109:$CT109,"&lt;&gt;"))</f>
        <v>0</v>
      </c>
      <c r="AP109">
        <f>IF($B109="",0,COUNTIFS('UX Weekly'!$H$1:$CT$1,"&gt;="&amp;AP$1,'UX Weekly'!$H$1:$CT$1,"&lt;="&amp;EOMONTH(AP$1,0),'UX Weekly'!$H109:$CT109,"&lt;&gt;"))</f>
        <v>0</v>
      </c>
      <c r="AQ109">
        <f>IF($B109="",0,COUNTIFS('UX Weekly'!$H$1:$CT$1,"&gt;="&amp;AQ$1,'UX Weekly'!$H$1:$CT$1,"&lt;="&amp;EOMONTH(AQ$1,0),'UX Weekly'!$H109:$CT109,"&lt;&gt;"))</f>
        <v>0</v>
      </c>
      <c r="AR109">
        <f>IF($B109="",0,COUNTIFS('UX Weekly'!$H$1:$CT$1,"&gt;="&amp;AR$1,'UX Weekly'!$H$1:$CT$1,"&lt;="&amp;EOMONTH(AR$1,0),'UX Weekly'!$H109:$CT109,"&lt;&gt;"))</f>
        <v>0</v>
      </c>
      <c r="AS109">
        <f>IF($B109="",0,COUNTIFS('UX Weekly'!$H$1:$CT$1,"&gt;="&amp;AS$1,'UX Weekly'!$H$1:$CT$1,"&lt;="&amp;EOMONTH(AS$1,0),'UX Weekly'!$H109:$CT109,"&lt;&gt;"))</f>
        <v>0</v>
      </c>
      <c r="AT109">
        <f>IF($B109="",0,COUNTIFS('UX Weekly'!$H$1:$CT$1,"&gt;="&amp;AT$1,'UX Weekly'!$H$1:$CT$1,"&lt;="&amp;EOMONTH(AT$1,0),'UX Weekly'!$H109:$CT109,"&lt;&gt;"))</f>
        <v>0</v>
      </c>
      <c r="AU109">
        <f>IF($B109="",0,COUNTIFS('UX Weekly'!$H$1:$CT$1,"&gt;="&amp;AU$1,'UX Weekly'!$H$1:$CT$1,"&lt;="&amp;EOMONTH(AU$1,0),'UX Weekly'!$H109:$CT109,"&lt;&gt;"))</f>
        <v>0</v>
      </c>
      <c r="AV109">
        <f>IF($B109="",0,COUNTIFS('UX Weekly'!$H$1:$CT$1,"&gt;="&amp;AV$1,'UX Weekly'!$H$1:$CT$1,"&lt;="&amp;EOMONTH(AV$1,0),'UX Weekly'!$H109:$CT109,"&lt;&gt;"))</f>
        <v>0</v>
      </c>
      <c r="AW109">
        <f>IF($B109="",0,COUNTIFS('UX Weekly'!$H$1:$CT$1,"&gt;="&amp;AW$1,'UX Weekly'!$H$1:$CT$1,"&lt;="&amp;EOMONTH(AW$1,0),'UX Weekly'!$H109:$CT109,"&lt;&gt;"))</f>
        <v>0</v>
      </c>
      <c r="AX109">
        <f>IF($B109="",0,COUNTIFS('UX Weekly'!$H$1:$CT$1,"&gt;="&amp;AX$1,'UX Weekly'!$H$1:$CT$1,"&lt;="&amp;EOMONTH(AX$1,0),'UX Weekly'!$H109:$CT109,"&lt;&gt;"))</f>
        <v>0</v>
      </c>
    </row>
    <row r="110" spans="1:50" x14ac:dyDescent="0.2">
      <c r="A110" s="152">
        <v>110</v>
      </c>
      <c r="B110" s="152" t="str">
        <f>IF(TRIM('UX Weekly'!E110)="","",TRIM('UX Weekly'!E110))</f>
        <v/>
      </c>
      <c r="C110" s="152" t="str">
        <f>IF($B110="","",'UX Weekly'!B110)</f>
        <v/>
      </c>
      <c r="D110" s="152" t="str">
        <f>IF($B110="","",IF(TRIM('UX Weekly'!C110)="","(No theme assigned)",TRIM('UX Weekly'!C110)))</f>
        <v/>
      </c>
      <c r="E110" s="152" t="str">
        <f>IF($B110="","",TRIM('UX Weekly'!F110))</f>
        <v/>
      </c>
      <c r="F110" s="152" t="str">
        <f>IF($B110="","",'UX Weekly'!G110)</f>
        <v/>
      </c>
      <c r="G110" s="153" t="str">
        <f t="array" ref="G110">IF($B110="","",IF($T110=0,"",IFERROR(MIN(IF('UX Weekly'!$H110:$CT110&lt;&gt;"",'UX Weekly'!$H$1:$CT$1)),"")))</f>
        <v/>
      </c>
      <c r="H110" s="153" t="str">
        <f t="array" ref="H110">IF($B110="","",IF($T110=0,"",IFERROR(MAX(IF('UX Weekly'!$H110:$CT110&lt;&gt;"",'UX Weekly'!$H$1:$CT$1)),"")))</f>
        <v/>
      </c>
      <c r="I110" s="154" t="str">
        <f t="shared" ca="1" si="21"/>
        <v/>
      </c>
      <c r="J110" s="154" t="str">
        <f t="shared" ca="1" si="22"/>
        <v/>
      </c>
      <c r="K110" s="152" t="str">
        <f>IF($B110="","",IF(COUNTA('Dev Tracker'!L110)=0,"",TRIM('Dev Tracker'!L110)))</f>
        <v/>
      </c>
      <c r="L110" s="152" t="str">
        <f>IF($B110="","",IFERROR(MATCH($D110,Control!$E$4:$E$30,0),99))</f>
        <v/>
      </c>
      <c r="M110" s="152" t="str">
        <f>IF($B110="","",IFERROR(MATCH($F110,Control!$B$4:$B$30,0),99))</f>
        <v/>
      </c>
      <c r="N110" s="152" t="str">
        <f>IF($V110&lt;&gt;1,"",IF('Roadmap (Auto)'!$D$3="Status, then Theme",$M110*1000000+$L110*10000+ROW(),IF('Roadmap (Auto)'!$D$3="Dev start (earliest)",IF($I110="",99999999,$I110)*10000+ROW(),IF('Roadmap (Auto)'!$D$3="UX start (earliest)",IF($G110="",99999999,$G110)*10000+ROW(),IF('Roadmap (Auto)'!$D$3="Deliverable A-Z",$W110*10000+ROW(),$L110*1000000+$M110*10000+ROW())))))</f>
        <v/>
      </c>
      <c r="O110" s="152" t="str">
        <f t="shared" si="23"/>
        <v/>
      </c>
      <c r="P110" s="152" t="str">
        <f>IF($B110="","",IF(COUNTA('Dev Tracker'!I110)=0,"",'Dev Tracker'!I110))</f>
        <v/>
      </c>
      <c r="Q110" s="152" t="str">
        <f>IF($B110="","",IF(COUNTA('Dev Tracker'!J110)=0,"",'Dev Tracker'!J110))</f>
        <v/>
      </c>
      <c r="R110" s="154" t="str">
        <f t="shared" ca="1" si="24"/>
        <v/>
      </c>
      <c r="S110" s="154" t="str">
        <f t="shared" ca="1" si="25"/>
        <v/>
      </c>
      <c r="T110" s="152" t="str">
        <f>IF($B110="","",COUNTA('UX Weekly'!$H110:$CT110))</f>
        <v/>
      </c>
      <c r="U110" s="152" t="str">
        <f>IF($B110="","",IFERROR(MATCH($D110,Control!$E$4:$E$30,0)+3,0))</f>
        <v/>
      </c>
      <c r="V110" s="152" t="str">
        <f>IF($B110="","",IF(AND(OR('Roadmap (Auto)'!$A$3="",'Roadmap (Auto)'!$A$3="(All)",ISNUMBER(SEARCH('Roadmap (Auto)'!$A$3,$C110&amp;""))),OR('Roadmap (Auto)'!$B$3="",'Roadmap (Auto)'!$B$3="(All)",$D110='Roadmap (Auto)'!$B$3,$X110='Roadmap (Auto)'!$B$3),OR('Roadmap (Auto)'!$C$3="",'Roadmap (Auto)'!$C$3="(All)",$F110='Roadmap (Auto)'!$C$3)),1,0))</f>
        <v/>
      </c>
      <c r="W110" s="152" t="str">
        <f t="shared" si="26"/>
        <v/>
      </c>
      <c r="X110" s="152" t="str">
        <f>IF($B110="","",IF(TRIM('UX Weekly'!D110)="","",TRIM('UX Weekly'!D110)))</f>
        <v/>
      </c>
      <c r="Y110" s="152" t="str">
        <f t="shared" si="27"/>
        <v/>
      </c>
      <c r="AA110">
        <f>IF($B110="",0,COUNTIFS('UX Weekly'!$H$1:$CT$1,"&gt;="&amp;AA$1,'UX Weekly'!$H$1:$CT$1,"&lt;="&amp;EOMONTH(AA$1,0),'UX Weekly'!$H110:$CT110,"&lt;&gt;"))</f>
        <v>0</v>
      </c>
      <c r="AB110">
        <f>IF($B110="",0,COUNTIFS('UX Weekly'!$H$1:$CT$1,"&gt;="&amp;AB$1,'UX Weekly'!$H$1:$CT$1,"&lt;="&amp;EOMONTH(AB$1,0),'UX Weekly'!$H110:$CT110,"&lt;&gt;"))</f>
        <v>0</v>
      </c>
      <c r="AC110">
        <f>IF($B110="",0,COUNTIFS('UX Weekly'!$H$1:$CT$1,"&gt;="&amp;AC$1,'UX Weekly'!$H$1:$CT$1,"&lt;="&amp;EOMONTH(AC$1,0),'UX Weekly'!$H110:$CT110,"&lt;&gt;"))</f>
        <v>0</v>
      </c>
      <c r="AD110">
        <f>IF($B110="",0,COUNTIFS('UX Weekly'!$H$1:$CT$1,"&gt;="&amp;AD$1,'UX Weekly'!$H$1:$CT$1,"&lt;="&amp;EOMONTH(AD$1,0),'UX Weekly'!$H110:$CT110,"&lt;&gt;"))</f>
        <v>0</v>
      </c>
      <c r="AE110">
        <f>IF($B110="",0,COUNTIFS('UX Weekly'!$H$1:$CT$1,"&gt;="&amp;AE$1,'UX Weekly'!$H$1:$CT$1,"&lt;="&amp;EOMONTH(AE$1,0),'UX Weekly'!$H110:$CT110,"&lt;&gt;"))</f>
        <v>0</v>
      </c>
      <c r="AF110">
        <f>IF($B110="",0,COUNTIFS('UX Weekly'!$H$1:$CT$1,"&gt;="&amp;AF$1,'UX Weekly'!$H$1:$CT$1,"&lt;="&amp;EOMONTH(AF$1,0),'UX Weekly'!$H110:$CT110,"&lt;&gt;"))</f>
        <v>0</v>
      </c>
      <c r="AG110">
        <f>IF($B110="",0,COUNTIFS('UX Weekly'!$H$1:$CT$1,"&gt;="&amp;AG$1,'UX Weekly'!$H$1:$CT$1,"&lt;="&amp;EOMONTH(AG$1,0),'UX Weekly'!$H110:$CT110,"&lt;&gt;"))</f>
        <v>0</v>
      </c>
      <c r="AH110">
        <f>IF($B110="",0,COUNTIFS('UX Weekly'!$H$1:$CT$1,"&gt;="&amp;AH$1,'UX Weekly'!$H$1:$CT$1,"&lt;="&amp;EOMONTH(AH$1,0),'UX Weekly'!$H110:$CT110,"&lt;&gt;"))</f>
        <v>0</v>
      </c>
      <c r="AI110">
        <f>IF($B110="",0,COUNTIFS('UX Weekly'!$H$1:$CT$1,"&gt;="&amp;AI$1,'UX Weekly'!$H$1:$CT$1,"&lt;="&amp;EOMONTH(AI$1,0),'UX Weekly'!$H110:$CT110,"&lt;&gt;"))</f>
        <v>0</v>
      </c>
      <c r="AJ110">
        <f>IF($B110="",0,COUNTIFS('UX Weekly'!$H$1:$CT$1,"&gt;="&amp;AJ$1,'UX Weekly'!$H$1:$CT$1,"&lt;="&amp;EOMONTH(AJ$1,0),'UX Weekly'!$H110:$CT110,"&lt;&gt;"))</f>
        <v>0</v>
      </c>
      <c r="AK110">
        <f>IF($B110="",0,COUNTIFS('UX Weekly'!$H$1:$CT$1,"&gt;="&amp;AK$1,'UX Weekly'!$H$1:$CT$1,"&lt;="&amp;EOMONTH(AK$1,0),'UX Weekly'!$H110:$CT110,"&lt;&gt;"))</f>
        <v>0</v>
      </c>
      <c r="AL110">
        <f>IF($B110="",0,COUNTIFS('UX Weekly'!$H$1:$CT$1,"&gt;="&amp;AL$1,'UX Weekly'!$H$1:$CT$1,"&lt;="&amp;EOMONTH(AL$1,0),'UX Weekly'!$H110:$CT110,"&lt;&gt;"))</f>
        <v>0</v>
      </c>
      <c r="AM110">
        <f>IF($B110="",0,COUNTIFS('UX Weekly'!$H$1:$CT$1,"&gt;="&amp;AM$1,'UX Weekly'!$H$1:$CT$1,"&lt;="&amp;EOMONTH(AM$1,0),'UX Weekly'!$H110:$CT110,"&lt;&gt;"))</f>
        <v>0</v>
      </c>
      <c r="AN110">
        <f>IF($B110="",0,COUNTIFS('UX Weekly'!$H$1:$CT$1,"&gt;="&amp;AN$1,'UX Weekly'!$H$1:$CT$1,"&lt;="&amp;EOMONTH(AN$1,0),'UX Weekly'!$H110:$CT110,"&lt;&gt;"))</f>
        <v>0</v>
      </c>
      <c r="AO110">
        <f>IF($B110="",0,COUNTIFS('UX Weekly'!$H$1:$CT$1,"&gt;="&amp;AO$1,'UX Weekly'!$H$1:$CT$1,"&lt;="&amp;EOMONTH(AO$1,0),'UX Weekly'!$H110:$CT110,"&lt;&gt;"))</f>
        <v>0</v>
      </c>
      <c r="AP110">
        <f>IF($B110="",0,COUNTIFS('UX Weekly'!$H$1:$CT$1,"&gt;="&amp;AP$1,'UX Weekly'!$H$1:$CT$1,"&lt;="&amp;EOMONTH(AP$1,0),'UX Weekly'!$H110:$CT110,"&lt;&gt;"))</f>
        <v>0</v>
      </c>
      <c r="AQ110">
        <f>IF($B110="",0,COUNTIFS('UX Weekly'!$H$1:$CT$1,"&gt;="&amp;AQ$1,'UX Weekly'!$H$1:$CT$1,"&lt;="&amp;EOMONTH(AQ$1,0),'UX Weekly'!$H110:$CT110,"&lt;&gt;"))</f>
        <v>0</v>
      </c>
      <c r="AR110">
        <f>IF($B110="",0,COUNTIFS('UX Weekly'!$H$1:$CT$1,"&gt;="&amp;AR$1,'UX Weekly'!$H$1:$CT$1,"&lt;="&amp;EOMONTH(AR$1,0),'UX Weekly'!$H110:$CT110,"&lt;&gt;"))</f>
        <v>0</v>
      </c>
      <c r="AS110">
        <f>IF($B110="",0,COUNTIFS('UX Weekly'!$H$1:$CT$1,"&gt;="&amp;AS$1,'UX Weekly'!$H$1:$CT$1,"&lt;="&amp;EOMONTH(AS$1,0),'UX Weekly'!$H110:$CT110,"&lt;&gt;"))</f>
        <v>0</v>
      </c>
      <c r="AT110">
        <f>IF($B110="",0,COUNTIFS('UX Weekly'!$H$1:$CT$1,"&gt;="&amp;AT$1,'UX Weekly'!$H$1:$CT$1,"&lt;="&amp;EOMONTH(AT$1,0),'UX Weekly'!$H110:$CT110,"&lt;&gt;"))</f>
        <v>0</v>
      </c>
      <c r="AU110">
        <f>IF($B110="",0,COUNTIFS('UX Weekly'!$H$1:$CT$1,"&gt;="&amp;AU$1,'UX Weekly'!$H$1:$CT$1,"&lt;="&amp;EOMONTH(AU$1,0),'UX Weekly'!$H110:$CT110,"&lt;&gt;"))</f>
        <v>0</v>
      </c>
      <c r="AV110">
        <f>IF($B110="",0,COUNTIFS('UX Weekly'!$H$1:$CT$1,"&gt;="&amp;AV$1,'UX Weekly'!$H$1:$CT$1,"&lt;="&amp;EOMONTH(AV$1,0),'UX Weekly'!$H110:$CT110,"&lt;&gt;"))</f>
        <v>0</v>
      </c>
      <c r="AW110">
        <f>IF($B110="",0,COUNTIFS('UX Weekly'!$H$1:$CT$1,"&gt;="&amp;AW$1,'UX Weekly'!$H$1:$CT$1,"&lt;="&amp;EOMONTH(AW$1,0),'UX Weekly'!$H110:$CT110,"&lt;&gt;"))</f>
        <v>0</v>
      </c>
      <c r="AX110">
        <f>IF($B110="",0,COUNTIFS('UX Weekly'!$H$1:$CT$1,"&gt;="&amp;AX$1,'UX Weekly'!$H$1:$CT$1,"&lt;="&amp;EOMONTH(AX$1,0),'UX Weekly'!$H110:$CT110,"&lt;&gt;"))</f>
        <v>0</v>
      </c>
    </row>
    <row r="111" spans="1:50" x14ac:dyDescent="0.2">
      <c r="A111" s="152">
        <v>111</v>
      </c>
      <c r="B111" s="152" t="str">
        <f>IF(TRIM('UX Weekly'!E111)="","",TRIM('UX Weekly'!E111))</f>
        <v/>
      </c>
      <c r="C111" s="152" t="str">
        <f>IF($B111="","",'UX Weekly'!B111)</f>
        <v/>
      </c>
      <c r="D111" s="152" t="str">
        <f>IF($B111="","",IF(TRIM('UX Weekly'!C111)="","(No theme assigned)",TRIM('UX Weekly'!C111)))</f>
        <v/>
      </c>
      <c r="E111" s="152" t="str">
        <f>IF($B111="","",TRIM('UX Weekly'!F111))</f>
        <v/>
      </c>
      <c r="F111" s="152" t="str">
        <f>IF($B111="","",'UX Weekly'!G111)</f>
        <v/>
      </c>
      <c r="G111" s="153" t="str">
        <f t="array" ref="G111">IF($B111="","",IF($T111=0,"",IFERROR(MIN(IF('UX Weekly'!$H111:$CT111&lt;&gt;"",'UX Weekly'!$H$1:$CT$1)),"")))</f>
        <v/>
      </c>
      <c r="H111" s="153" t="str">
        <f t="array" ref="H111">IF($B111="","",IF($T111=0,"",IFERROR(MAX(IF('UX Weekly'!$H111:$CT111&lt;&gt;"",'UX Weekly'!$H$1:$CT$1)),"")))</f>
        <v/>
      </c>
      <c r="I111" s="154" t="str">
        <f t="shared" ca="1" si="21"/>
        <v/>
      </c>
      <c r="J111" s="154" t="str">
        <f t="shared" ca="1" si="22"/>
        <v/>
      </c>
      <c r="K111" s="152" t="str">
        <f>IF($B111="","",IF(COUNTA('Dev Tracker'!L111)=0,"",TRIM('Dev Tracker'!L111)))</f>
        <v/>
      </c>
      <c r="L111" s="152" t="str">
        <f>IF($B111="","",IFERROR(MATCH($D111,Control!$E$4:$E$30,0),99))</f>
        <v/>
      </c>
      <c r="M111" s="152" t="str">
        <f>IF($B111="","",IFERROR(MATCH($F111,Control!$B$4:$B$30,0),99))</f>
        <v/>
      </c>
      <c r="N111" s="152" t="str">
        <f>IF($V111&lt;&gt;1,"",IF('Roadmap (Auto)'!$D$3="Status, then Theme",$M111*1000000+$L111*10000+ROW(),IF('Roadmap (Auto)'!$D$3="Dev start (earliest)",IF($I111="",99999999,$I111)*10000+ROW(),IF('Roadmap (Auto)'!$D$3="UX start (earliest)",IF($G111="",99999999,$G111)*10000+ROW(),IF('Roadmap (Auto)'!$D$3="Deliverable A-Z",$W111*10000+ROW(),$L111*1000000+$M111*10000+ROW())))))</f>
        <v/>
      </c>
      <c r="O111" s="152" t="str">
        <f t="shared" si="23"/>
        <v/>
      </c>
      <c r="P111" s="152" t="str">
        <f>IF($B111="","",IF(COUNTA('Dev Tracker'!I111)=0,"",'Dev Tracker'!I111))</f>
        <v/>
      </c>
      <c r="Q111" s="152" t="str">
        <f>IF($B111="","",IF(COUNTA('Dev Tracker'!J111)=0,"",'Dev Tracker'!J111))</f>
        <v/>
      </c>
      <c r="R111" s="154" t="str">
        <f t="shared" ca="1" si="24"/>
        <v/>
      </c>
      <c r="S111" s="154" t="str">
        <f t="shared" ca="1" si="25"/>
        <v/>
      </c>
      <c r="T111" s="152" t="str">
        <f>IF($B111="","",COUNTA('UX Weekly'!$H111:$CT111))</f>
        <v/>
      </c>
      <c r="U111" s="152" t="str">
        <f>IF($B111="","",IFERROR(MATCH($D111,Control!$E$4:$E$30,0)+3,0))</f>
        <v/>
      </c>
      <c r="V111" s="152" t="str">
        <f>IF($B111="","",IF(AND(OR('Roadmap (Auto)'!$A$3="",'Roadmap (Auto)'!$A$3="(All)",ISNUMBER(SEARCH('Roadmap (Auto)'!$A$3,$C111&amp;""))),OR('Roadmap (Auto)'!$B$3="",'Roadmap (Auto)'!$B$3="(All)",$D111='Roadmap (Auto)'!$B$3,$X111='Roadmap (Auto)'!$B$3),OR('Roadmap (Auto)'!$C$3="",'Roadmap (Auto)'!$C$3="(All)",$F111='Roadmap (Auto)'!$C$3)),1,0))</f>
        <v/>
      </c>
      <c r="W111" s="152" t="str">
        <f t="shared" si="26"/>
        <v/>
      </c>
      <c r="X111" s="152" t="str">
        <f>IF($B111="","",IF(TRIM('UX Weekly'!D111)="","",TRIM('UX Weekly'!D111)))</f>
        <v/>
      </c>
      <c r="Y111" s="152" t="str">
        <f t="shared" si="27"/>
        <v/>
      </c>
      <c r="AA111">
        <f>IF($B111="",0,COUNTIFS('UX Weekly'!$H$1:$CT$1,"&gt;="&amp;AA$1,'UX Weekly'!$H$1:$CT$1,"&lt;="&amp;EOMONTH(AA$1,0),'UX Weekly'!$H111:$CT111,"&lt;&gt;"))</f>
        <v>0</v>
      </c>
      <c r="AB111">
        <f>IF($B111="",0,COUNTIFS('UX Weekly'!$H$1:$CT$1,"&gt;="&amp;AB$1,'UX Weekly'!$H$1:$CT$1,"&lt;="&amp;EOMONTH(AB$1,0),'UX Weekly'!$H111:$CT111,"&lt;&gt;"))</f>
        <v>0</v>
      </c>
      <c r="AC111">
        <f>IF($B111="",0,COUNTIFS('UX Weekly'!$H$1:$CT$1,"&gt;="&amp;AC$1,'UX Weekly'!$H$1:$CT$1,"&lt;="&amp;EOMONTH(AC$1,0),'UX Weekly'!$H111:$CT111,"&lt;&gt;"))</f>
        <v>0</v>
      </c>
      <c r="AD111">
        <f>IF($B111="",0,COUNTIFS('UX Weekly'!$H$1:$CT$1,"&gt;="&amp;AD$1,'UX Weekly'!$H$1:$CT$1,"&lt;="&amp;EOMONTH(AD$1,0),'UX Weekly'!$H111:$CT111,"&lt;&gt;"))</f>
        <v>0</v>
      </c>
      <c r="AE111">
        <f>IF($B111="",0,COUNTIFS('UX Weekly'!$H$1:$CT$1,"&gt;="&amp;AE$1,'UX Weekly'!$H$1:$CT$1,"&lt;="&amp;EOMONTH(AE$1,0),'UX Weekly'!$H111:$CT111,"&lt;&gt;"))</f>
        <v>0</v>
      </c>
      <c r="AF111">
        <f>IF($B111="",0,COUNTIFS('UX Weekly'!$H$1:$CT$1,"&gt;="&amp;AF$1,'UX Weekly'!$H$1:$CT$1,"&lt;="&amp;EOMONTH(AF$1,0),'UX Weekly'!$H111:$CT111,"&lt;&gt;"))</f>
        <v>0</v>
      </c>
      <c r="AG111">
        <f>IF($B111="",0,COUNTIFS('UX Weekly'!$H$1:$CT$1,"&gt;="&amp;AG$1,'UX Weekly'!$H$1:$CT$1,"&lt;="&amp;EOMONTH(AG$1,0),'UX Weekly'!$H111:$CT111,"&lt;&gt;"))</f>
        <v>0</v>
      </c>
      <c r="AH111">
        <f>IF($B111="",0,COUNTIFS('UX Weekly'!$H$1:$CT$1,"&gt;="&amp;AH$1,'UX Weekly'!$H$1:$CT$1,"&lt;="&amp;EOMONTH(AH$1,0),'UX Weekly'!$H111:$CT111,"&lt;&gt;"))</f>
        <v>0</v>
      </c>
      <c r="AI111">
        <f>IF($B111="",0,COUNTIFS('UX Weekly'!$H$1:$CT$1,"&gt;="&amp;AI$1,'UX Weekly'!$H$1:$CT$1,"&lt;="&amp;EOMONTH(AI$1,0),'UX Weekly'!$H111:$CT111,"&lt;&gt;"))</f>
        <v>0</v>
      </c>
      <c r="AJ111">
        <f>IF($B111="",0,COUNTIFS('UX Weekly'!$H$1:$CT$1,"&gt;="&amp;AJ$1,'UX Weekly'!$H$1:$CT$1,"&lt;="&amp;EOMONTH(AJ$1,0),'UX Weekly'!$H111:$CT111,"&lt;&gt;"))</f>
        <v>0</v>
      </c>
      <c r="AK111">
        <f>IF($B111="",0,COUNTIFS('UX Weekly'!$H$1:$CT$1,"&gt;="&amp;AK$1,'UX Weekly'!$H$1:$CT$1,"&lt;="&amp;EOMONTH(AK$1,0),'UX Weekly'!$H111:$CT111,"&lt;&gt;"))</f>
        <v>0</v>
      </c>
      <c r="AL111">
        <f>IF($B111="",0,COUNTIFS('UX Weekly'!$H$1:$CT$1,"&gt;="&amp;AL$1,'UX Weekly'!$H$1:$CT$1,"&lt;="&amp;EOMONTH(AL$1,0),'UX Weekly'!$H111:$CT111,"&lt;&gt;"))</f>
        <v>0</v>
      </c>
      <c r="AM111">
        <f>IF($B111="",0,COUNTIFS('UX Weekly'!$H$1:$CT$1,"&gt;="&amp;AM$1,'UX Weekly'!$H$1:$CT$1,"&lt;="&amp;EOMONTH(AM$1,0),'UX Weekly'!$H111:$CT111,"&lt;&gt;"))</f>
        <v>0</v>
      </c>
      <c r="AN111">
        <f>IF($B111="",0,COUNTIFS('UX Weekly'!$H$1:$CT$1,"&gt;="&amp;AN$1,'UX Weekly'!$H$1:$CT$1,"&lt;="&amp;EOMONTH(AN$1,0),'UX Weekly'!$H111:$CT111,"&lt;&gt;"))</f>
        <v>0</v>
      </c>
      <c r="AO111">
        <f>IF($B111="",0,COUNTIFS('UX Weekly'!$H$1:$CT$1,"&gt;="&amp;AO$1,'UX Weekly'!$H$1:$CT$1,"&lt;="&amp;EOMONTH(AO$1,0),'UX Weekly'!$H111:$CT111,"&lt;&gt;"))</f>
        <v>0</v>
      </c>
      <c r="AP111">
        <f>IF($B111="",0,COUNTIFS('UX Weekly'!$H$1:$CT$1,"&gt;="&amp;AP$1,'UX Weekly'!$H$1:$CT$1,"&lt;="&amp;EOMONTH(AP$1,0),'UX Weekly'!$H111:$CT111,"&lt;&gt;"))</f>
        <v>0</v>
      </c>
      <c r="AQ111">
        <f>IF($B111="",0,COUNTIFS('UX Weekly'!$H$1:$CT$1,"&gt;="&amp;AQ$1,'UX Weekly'!$H$1:$CT$1,"&lt;="&amp;EOMONTH(AQ$1,0),'UX Weekly'!$H111:$CT111,"&lt;&gt;"))</f>
        <v>0</v>
      </c>
      <c r="AR111">
        <f>IF($B111="",0,COUNTIFS('UX Weekly'!$H$1:$CT$1,"&gt;="&amp;AR$1,'UX Weekly'!$H$1:$CT$1,"&lt;="&amp;EOMONTH(AR$1,0),'UX Weekly'!$H111:$CT111,"&lt;&gt;"))</f>
        <v>0</v>
      </c>
      <c r="AS111">
        <f>IF($B111="",0,COUNTIFS('UX Weekly'!$H$1:$CT$1,"&gt;="&amp;AS$1,'UX Weekly'!$H$1:$CT$1,"&lt;="&amp;EOMONTH(AS$1,0),'UX Weekly'!$H111:$CT111,"&lt;&gt;"))</f>
        <v>0</v>
      </c>
      <c r="AT111">
        <f>IF($B111="",0,COUNTIFS('UX Weekly'!$H$1:$CT$1,"&gt;="&amp;AT$1,'UX Weekly'!$H$1:$CT$1,"&lt;="&amp;EOMONTH(AT$1,0),'UX Weekly'!$H111:$CT111,"&lt;&gt;"))</f>
        <v>0</v>
      </c>
      <c r="AU111">
        <f>IF($B111="",0,COUNTIFS('UX Weekly'!$H$1:$CT$1,"&gt;="&amp;AU$1,'UX Weekly'!$H$1:$CT$1,"&lt;="&amp;EOMONTH(AU$1,0),'UX Weekly'!$H111:$CT111,"&lt;&gt;"))</f>
        <v>0</v>
      </c>
      <c r="AV111">
        <f>IF($B111="",0,COUNTIFS('UX Weekly'!$H$1:$CT$1,"&gt;="&amp;AV$1,'UX Weekly'!$H$1:$CT$1,"&lt;="&amp;EOMONTH(AV$1,0),'UX Weekly'!$H111:$CT111,"&lt;&gt;"))</f>
        <v>0</v>
      </c>
      <c r="AW111">
        <f>IF($B111="",0,COUNTIFS('UX Weekly'!$H$1:$CT$1,"&gt;="&amp;AW$1,'UX Weekly'!$H$1:$CT$1,"&lt;="&amp;EOMONTH(AW$1,0),'UX Weekly'!$H111:$CT111,"&lt;&gt;"))</f>
        <v>0</v>
      </c>
      <c r="AX111">
        <f>IF($B111="",0,COUNTIFS('UX Weekly'!$H$1:$CT$1,"&gt;="&amp;AX$1,'UX Weekly'!$H$1:$CT$1,"&lt;="&amp;EOMONTH(AX$1,0),'UX Weekly'!$H111:$CT111,"&lt;&gt;"))</f>
        <v>0</v>
      </c>
    </row>
    <row r="112" spans="1:50" x14ac:dyDescent="0.2">
      <c r="A112" s="152">
        <v>112</v>
      </c>
      <c r="B112" s="152" t="str">
        <f>IF(TRIM('UX Weekly'!E112)="","",TRIM('UX Weekly'!E112))</f>
        <v/>
      </c>
      <c r="C112" s="152" t="str">
        <f>IF($B112="","",'UX Weekly'!B112)</f>
        <v/>
      </c>
      <c r="D112" s="152" t="str">
        <f>IF($B112="","",IF(TRIM('UX Weekly'!C112)="","(No theme assigned)",TRIM('UX Weekly'!C112)))</f>
        <v/>
      </c>
      <c r="E112" s="152" t="str">
        <f>IF($B112="","",TRIM('UX Weekly'!F112))</f>
        <v/>
      </c>
      <c r="F112" s="152" t="str">
        <f>IF($B112="","",'UX Weekly'!G112)</f>
        <v/>
      </c>
      <c r="G112" s="153" t="str">
        <f t="array" ref="G112">IF($B112="","",IF($T112=0,"",IFERROR(MIN(IF('UX Weekly'!$H112:$CT112&lt;&gt;"",'UX Weekly'!$H$1:$CT$1)),"")))</f>
        <v/>
      </c>
      <c r="H112" s="153" t="str">
        <f t="array" ref="H112">IF($B112="","",IF($T112=0,"",IFERROR(MAX(IF('UX Weekly'!$H112:$CT112&lt;&gt;"",'UX Weekly'!$H$1:$CT$1)),"")))</f>
        <v/>
      </c>
      <c r="I112" s="154" t="str">
        <f t="shared" ca="1" si="21"/>
        <v/>
      </c>
      <c r="J112" s="154" t="str">
        <f t="shared" ca="1" si="22"/>
        <v/>
      </c>
      <c r="K112" s="152" t="str">
        <f>IF($B112="","",IF(COUNTA('Dev Tracker'!L112)=0,"",TRIM('Dev Tracker'!L112)))</f>
        <v/>
      </c>
      <c r="L112" s="152" t="str">
        <f>IF($B112="","",IFERROR(MATCH($D112,Control!$E$4:$E$30,0),99))</f>
        <v/>
      </c>
      <c r="M112" s="152" t="str">
        <f>IF($B112="","",IFERROR(MATCH($F112,Control!$B$4:$B$30,0),99))</f>
        <v/>
      </c>
      <c r="N112" s="152" t="str">
        <f>IF($V112&lt;&gt;1,"",IF('Roadmap (Auto)'!$D$3="Status, then Theme",$M112*1000000+$L112*10000+ROW(),IF('Roadmap (Auto)'!$D$3="Dev start (earliest)",IF($I112="",99999999,$I112)*10000+ROW(),IF('Roadmap (Auto)'!$D$3="UX start (earliest)",IF($G112="",99999999,$G112)*10000+ROW(),IF('Roadmap (Auto)'!$D$3="Deliverable A-Z",$W112*10000+ROW(),$L112*1000000+$M112*10000+ROW())))))</f>
        <v/>
      </c>
      <c r="O112" s="152" t="str">
        <f t="shared" si="23"/>
        <v/>
      </c>
      <c r="P112" s="152" t="str">
        <f>IF($B112="","",IF(COUNTA('Dev Tracker'!I112)=0,"",'Dev Tracker'!I112))</f>
        <v/>
      </c>
      <c r="Q112" s="152" t="str">
        <f>IF($B112="","",IF(COUNTA('Dev Tracker'!J112)=0,"",'Dev Tracker'!J112))</f>
        <v/>
      </c>
      <c r="R112" s="154" t="str">
        <f t="shared" ca="1" si="24"/>
        <v/>
      </c>
      <c r="S112" s="154" t="str">
        <f t="shared" ca="1" si="25"/>
        <v/>
      </c>
      <c r="T112" s="152" t="str">
        <f>IF($B112="","",COUNTA('UX Weekly'!$H112:$CT112))</f>
        <v/>
      </c>
      <c r="U112" s="152" t="str">
        <f>IF($B112="","",IFERROR(MATCH($D112,Control!$E$4:$E$30,0)+3,0))</f>
        <v/>
      </c>
      <c r="V112" s="152" t="str">
        <f>IF($B112="","",IF(AND(OR('Roadmap (Auto)'!$A$3="",'Roadmap (Auto)'!$A$3="(All)",ISNUMBER(SEARCH('Roadmap (Auto)'!$A$3,$C112&amp;""))),OR('Roadmap (Auto)'!$B$3="",'Roadmap (Auto)'!$B$3="(All)",$D112='Roadmap (Auto)'!$B$3,$X112='Roadmap (Auto)'!$B$3),OR('Roadmap (Auto)'!$C$3="",'Roadmap (Auto)'!$C$3="(All)",$F112='Roadmap (Auto)'!$C$3)),1,0))</f>
        <v/>
      </c>
      <c r="W112" s="152" t="str">
        <f t="shared" si="26"/>
        <v/>
      </c>
      <c r="X112" s="152" t="str">
        <f>IF($B112="","",IF(TRIM('UX Weekly'!D112)="","",TRIM('UX Weekly'!D112)))</f>
        <v/>
      </c>
      <c r="Y112" s="152" t="str">
        <f t="shared" si="27"/>
        <v/>
      </c>
      <c r="AA112">
        <f>IF($B112="",0,COUNTIFS('UX Weekly'!$H$1:$CT$1,"&gt;="&amp;AA$1,'UX Weekly'!$H$1:$CT$1,"&lt;="&amp;EOMONTH(AA$1,0),'UX Weekly'!$H112:$CT112,"&lt;&gt;"))</f>
        <v>0</v>
      </c>
      <c r="AB112">
        <f>IF($B112="",0,COUNTIFS('UX Weekly'!$H$1:$CT$1,"&gt;="&amp;AB$1,'UX Weekly'!$H$1:$CT$1,"&lt;="&amp;EOMONTH(AB$1,0),'UX Weekly'!$H112:$CT112,"&lt;&gt;"))</f>
        <v>0</v>
      </c>
      <c r="AC112">
        <f>IF($B112="",0,COUNTIFS('UX Weekly'!$H$1:$CT$1,"&gt;="&amp;AC$1,'UX Weekly'!$H$1:$CT$1,"&lt;="&amp;EOMONTH(AC$1,0),'UX Weekly'!$H112:$CT112,"&lt;&gt;"))</f>
        <v>0</v>
      </c>
      <c r="AD112">
        <f>IF($B112="",0,COUNTIFS('UX Weekly'!$H$1:$CT$1,"&gt;="&amp;AD$1,'UX Weekly'!$H$1:$CT$1,"&lt;="&amp;EOMONTH(AD$1,0),'UX Weekly'!$H112:$CT112,"&lt;&gt;"))</f>
        <v>0</v>
      </c>
      <c r="AE112">
        <f>IF($B112="",0,COUNTIFS('UX Weekly'!$H$1:$CT$1,"&gt;="&amp;AE$1,'UX Weekly'!$H$1:$CT$1,"&lt;="&amp;EOMONTH(AE$1,0),'UX Weekly'!$H112:$CT112,"&lt;&gt;"))</f>
        <v>0</v>
      </c>
      <c r="AF112">
        <f>IF($B112="",0,COUNTIFS('UX Weekly'!$H$1:$CT$1,"&gt;="&amp;AF$1,'UX Weekly'!$H$1:$CT$1,"&lt;="&amp;EOMONTH(AF$1,0),'UX Weekly'!$H112:$CT112,"&lt;&gt;"))</f>
        <v>0</v>
      </c>
      <c r="AG112">
        <f>IF($B112="",0,COUNTIFS('UX Weekly'!$H$1:$CT$1,"&gt;="&amp;AG$1,'UX Weekly'!$H$1:$CT$1,"&lt;="&amp;EOMONTH(AG$1,0),'UX Weekly'!$H112:$CT112,"&lt;&gt;"))</f>
        <v>0</v>
      </c>
      <c r="AH112">
        <f>IF($B112="",0,COUNTIFS('UX Weekly'!$H$1:$CT$1,"&gt;="&amp;AH$1,'UX Weekly'!$H$1:$CT$1,"&lt;="&amp;EOMONTH(AH$1,0),'UX Weekly'!$H112:$CT112,"&lt;&gt;"))</f>
        <v>0</v>
      </c>
      <c r="AI112">
        <f>IF($B112="",0,COUNTIFS('UX Weekly'!$H$1:$CT$1,"&gt;="&amp;AI$1,'UX Weekly'!$H$1:$CT$1,"&lt;="&amp;EOMONTH(AI$1,0),'UX Weekly'!$H112:$CT112,"&lt;&gt;"))</f>
        <v>0</v>
      </c>
      <c r="AJ112">
        <f>IF($B112="",0,COUNTIFS('UX Weekly'!$H$1:$CT$1,"&gt;="&amp;AJ$1,'UX Weekly'!$H$1:$CT$1,"&lt;="&amp;EOMONTH(AJ$1,0),'UX Weekly'!$H112:$CT112,"&lt;&gt;"))</f>
        <v>0</v>
      </c>
      <c r="AK112">
        <f>IF($B112="",0,COUNTIFS('UX Weekly'!$H$1:$CT$1,"&gt;="&amp;AK$1,'UX Weekly'!$H$1:$CT$1,"&lt;="&amp;EOMONTH(AK$1,0),'UX Weekly'!$H112:$CT112,"&lt;&gt;"))</f>
        <v>0</v>
      </c>
      <c r="AL112">
        <f>IF($B112="",0,COUNTIFS('UX Weekly'!$H$1:$CT$1,"&gt;="&amp;AL$1,'UX Weekly'!$H$1:$CT$1,"&lt;="&amp;EOMONTH(AL$1,0),'UX Weekly'!$H112:$CT112,"&lt;&gt;"))</f>
        <v>0</v>
      </c>
      <c r="AM112">
        <f>IF($B112="",0,COUNTIFS('UX Weekly'!$H$1:$CT$1,"&gt;="&amp;AM$1,'UX Weekly'!$H$1:$CT$1,"&lt;="&amp;EOMONTH(AM$1,0),'UX Weekly'!$H112:$CT112,"&lt;&gt;"))</f>
        <v>0</v>
      </c>
      <c r="AN112">
        <f>IF($B112="",0,COUNTIFS('UX Weekly'!$H$1:$CT$1,"&gt;="&amp;AN$1,'UX Weekly'!$H$1:$CT$1,"&lt;="&amp;EOMONTH(AN$1,0),'UX Weekly'!$H112:$CT112,"&lt;&gt;"))</f>
        <v>0</v>
      </c>
      <c r="AO112">
        <f>IF($B112="",0,COUNTIFS('UX Weekly'!$H$1:$CT$1,"&gt;="&amp;AO$1,'UX Weekly'!$H$1:$CT$1,"&lt;="&amp;EOMONTH(AO$1,0),'UX Weekly'!$H112:$CT112,"&lt;&gt;"))</f>
        <v>0</v>
      </c>
      <c r="AP112">
        <f>IF($B112="",0,COUNTIFS('UX Weekly'!$H$1:$CT$1,"&gt;="&amp;AP$1,'UX Weekly'!$H$1:$CT$1,"&lt;="&amp;EOMONTH(AP$1,0),'UX Weekly'!$H112:$CT112,"&lt;&gt;"))</f>
        <v>0</v>
      </c>
      <c r="AQ112">
        <f>IF($B112="",0,COUNTIFS('UX Weekly'!$H$1:$CT$1,"&gt;="&amp;AQ$1,'UX Weekly'!$H$1:$CT$1,"&lt;="&amp;EOMONTH(AQ$1,0),'UX Weekly'!$H112:$CT112,"&lt;&gt;"))</f>
        <v>0</v>
      </c>
      <c r="AR112">
        <f>IF($B112="",0,COUNTIFS('UX Weekly'!$H$1:$CT$1,"&gt;="&amp;AR$1,'UX Weekly'!$H$1:$CT$1,"&lt;="&amp;EOMONTH(AR$1,0),'UX Weekly'!$H112:$CT112,"&lt;&gt;"))</f>
        <v>0</v>
      </c>
      <c r="AS112">
        <f>IF($B112="",0,COUNTIFS('UX Weekly'!$H$1:$CT$1,"&gt;="&amp;AS$1,'UX Weekly'!$H$1:$CT$1,"&lt;="&amp;EOMONTH(AS$1,0),'UX Weekly'!$H112:$CT112,"&lt;&gt;"))</f>
        <v>0</v>
      </c>
      <c r="AT112">
        <f>IF($B112="",0,COUNTIFS('UX Weekly'!$H$1:$CT$1,"&gt;="&amp;AT$1,'UX Weekly'!$H$1:$CT$1,"&lt;="&amp;EOMONTH(AT$1,0),'UX Weekly'!$H112:$CT112,"&lt;&gt;"))</f>
        <v>0</v>
      </c>
      <c r="AU112">
        <f>IF($B112="",0,COUNTIFS('UX Weekly'!$H$1:$CT$1,"&gt;="&amp;AU$1,'UX Weekly'!$H$1:$CT$1,"&lt;="&amp;EOMONTH(AU$1,0),'UX Weekly'!$H112:$CT112,"&lt;&gt;"))</f>
        <v>0</v>
      </c>
      <c r="AV112">
        <f>IF($B112="",0,COUNTIFS('UX Weekly'!$H$1:$CT$1,"&gt;="&amp;AV$1,'UX Weekly'!$H$1:$CT$1,"&lt;="&amp;EOMONTH(AV$1,0),'UX Weekly'!$H112:$CT112,"&lt;&gt;"))</f>
        <v>0</v>
      </c>
      <c r="AW112">
        <f>IF($B112="",0,COUNTIFS('UX Weekly'!$H$1:$CT$1,"&gt;="&amp;AW$1,'UX Weekly'!$H$1:$CT$1,"&lt;="&amp;EOMONTH(AW$1,0),'UX Weekly'!$H112:$CT112,"&lt;&gt;"))</f>
        <v>0</v>
      </c>
      <c r="AX112">
        <f>IF($B112="",0,COUNTIFS('UX Weekly'!$H$1:$CT$1,"&gt;="&amp;AX$1,'UX Weekly'!$H$1:$CT$1,"&lt;="&amp;EOMONTH(AX$1,0),'UX Weekly'!$H112:$CT112,"&lt;&gt;"))</f>
        <v>0</v>
      </c>
    </row>
    <row r="113" spans="1:50" x14ac:dyDescent="0.2">
      <c r="A113" s="152">
        <v>113</v>
      </c>
      <c r="B113" s="152" t="str">
        <f>IF(TRIM('UX Weekly'!E113)="","",TRIM('UX Weekly'!E113))</f>
        <v/>
      </c>
      <c r="C113" s="152" t="str">
        <f>IF($B113="","",'UX Weekly'!B113)</f>
        <v/>
      </c>
      <c r="D113" s="152" t="str">
        <f>IF($B113="","",IF(TRIM('UX Weekly'!C113)="","(No theme assigned)",TRIM('UX Weekly'!C113)))</f>
        <v/>
      </c>
      <c r="E113" s="152" t="str">
        <f>IF($B113="","",TRIM('UX Weekly'!F113))</f>
        <v/>
      </c>
      <c r="F113" s="152" t="str">
        <f>IF($B113="","",'UX Weekly'!G113)</f>
        <v/>
      </c>
      <c r="G113" s="153" t="str">
        <f t="array" ref="G113">IF($B113="","",IF($T113=0,"",IFERROR(MIN(IF('UX Weekly'!$H113:$CT113&lt;&gt;"",'UX Weekly'!$H$1:$CT$1)),"")))</f>
        <v/>
      </c>
      <c r="H113" s="153" t="str">
        <f t="array" ref="H113">IF($B113="","",IF($T113=0,"",IFERROR(MAX(IF('UX Weekly'!$H113:$CT113&lt;&gt;"",'UX Weekly'!$H$1:$CT$1)),"")))</f>
        <v/>
      </c>
      <c r="I113" s="154" t="str">
        <f t="shared" ca="1" si="21"/>
        <v/>
      </c>
      <c r="J113" s="154" t="str">
        <f t="shared" ca="1" si="22"/>
        <v/>
      </c>
      <c r="K113" s="152" t="str">
        <f>IF($B113="","",IF(COUNTA('Dev Tracker'!L113)=0,"",TRIM('Dev Tracker'!L113)))</f>
        <v/>
      </c>
      <c r="L113" s="152" t="str">
        <f>IF($B113="","",IFERROR(MATCH($D113,Control!$E$4:$E$30,0),99))</f>
        <v/>
      </c>
      <c r="M113" s="152" t="str">
        <f>IF($B113="","",IFERROR(MATCH($F113,Control!$B$4:$B$30,0),99))</f>
        <v/>
      </c>
      <c r="N113" s="152" t="str">
        <f>IF($V113&lt;&gt;1,"",IF('Roadmap (Auto)'!$D$3="Status, then Theme",$M113*1000000+$L113*10000+ROW(),IF('Roadmap (Auto)'!$D$3="Dev start (earliest)",IF($I113="",99999999,$I113)*10000+ROW(),IF('Roadmap (Auto)'!$D$3="UX start (earliest)",IF($G113="",99999999,$G113)*10000+ROW(),IF('Roadmap (Auto)'!$D$3="Deliverable A-Z",$W113*10000+ROW(),$L113*1000000+$M113*10000+ROW())))))</f>
        <v/>
      </c>
      <c r="O113" s="152" t="str">
        <f t="shared" si="23"/>
        <v/>
      </c>
      <c r="P113" s="152" t="str">
        <f>IF($B113="","",IF(COUNTA('Dev Tracker'!I113)=0,"",'Dev Tracker'!I113))</f>
        <v/>
      </c>
      <c r="Q113" s="152" t="str">
        <f>IF($B113="","",IF(COUNTA('Dev Tracker'!J113)=0,"",'Dev Tracker'!J113))</f>
        <v/>
      </c>
      <c r="R113" s="154" t="str">
        <f t="shared" ca="1" si="24"/>
        <v/>
      </c>
      <c r="S113" s="154" t="str">
        <f t="shared" ca="1" si="25"/>
        <v/>
      </c>
      <c r="T113" s="152" t="str">
        <f>IF($B113="","",COUNTA('UX Weekly'!$H113:$CT113))</f>
        <v/>
      </c>
      <c r="U113" s="152" t="str">
        <f>IF($B113="","",IFERROR(MATCH($D113,Control!$E$4:$E$30,0)+3,0))</f>
        <v/>
      </c>
      <c r="V113" s="152" t="str">
        <f>IF($B113="","",IF(AND(OR('Roadmap (Auto)'!$A$3="",'Roadmap (Auto)'!$A$3="(All)",ISNUMBER(SEARCH('Roadmap (Auto)'!$A$3,$C113&amp;""))),OR('Roadmap (Auto)'!$B$3="",'Roadmap (Auto)'!$B$3="(All)",$D113='Roadmap (Auto)'!$B$3,$X113='Roadmap (Auto)'!$B$3),OR('Roadmap (Auto)'!$C$3="",'Roadmap (Auto)'!$C$3="(All)",$F113='Roadmap (Auto)'!$C$3)),1,0))</f>
        <v/>
      </c>
      <c r="W113" s="152" t="str">
        <f t="shared" si="26"/>
        <v/>
      </c>
      <c r="X113" s="152" t="str">
        <f>IF($B113="","",IF(TRIM('UX Weekly'!D113)="","",TRIM('UX Weekly'!D113)))</f>
        <v/>
      </c>
      <c r="Y113" s="152" t="str">
        <f t="shared" si="27"/>
        <v/>
      </c>
      <c r="AA113">
        <f>IF($B113="",0,COUNTIFS('UX Weekly'!$H$1:$CT$1,"&gt;="&amp;AA$1,'UX Weekly'!$H$1:$CT$1,"&lt;="&amp;EOMONTH(AA$1,0),'UX Weekly'!$H113:$CT113,"&lt;&gt;"))</f>
        <v>0</v>
      </c>
      <c r="AB113">
        <f>IF($B113="",0,COUNTIFS('UX Weekly'!$H$1:$CT$1,"&gt;="&amp;AB$1,'UX Weekly'!$H$1:$CT$1,"&lt;="&amp;EOMONTH(AB$1,0),'UX Weekly'!$H113:$CT113,"&lt;&gt;"))</f>
        <v>0</v>
      </c>
      <c r="AC113">
        <f>IF($B113="",0,COUNTIFS('UX Weekly'!$H$1:$CT$1,"&gt;="&amp;AC$1,'UX Weekly'!$H$1:$CT$1,"&lt;="&amp;EOMONTH(AC$1,0),'UX Weekly'!$H113:$CT113,"&lt;&gt;"))</f>
        <v>0</v>
      </c>
      <c r="AD113">
        <f>IF($B113="",0,COUNTIFS('UX Weekly'!$H$1:$CT$1,"&gt;="&amp;AD$1,'UX Weekly'!$H$1:$CT$1,"&lt;="&amp;EOMONTH(AD$1,0),'UX Weekly'!$H113:$CT113,"&lt;&gt;"))</f>
        <v>0</v>
      </c>
      <c r="AE113">
        <f>IF($B113="",0,COUNTIFS('UX Weekly'!$H$1:$CT$1,"&gt;="&amp;AE$1,'UX Weekly'!$H$1:$CT$1,"&lt;="&amp;EOMONTH(AE$1,0),'UX Weekly'!$H113:$CT113,"&lt;&gt;"))</f>
        <v>0</v>
      </c>
      <c r="AF113">
        <f>IF($B113="",0,COUNTIFS('UX Weekly'!$H$1:$CT$1,"&gt;="&amp;AF$1,'UX Weekly'!$H$1:$CT$1,"&lt;="&amp;EOMONTH(AF$1,0),'UX Weekly'!$H113:$CT113,"&lt;&gt;"))</f>
        <v>0</v>
      </c>
      <c r="AG113">
        <f>IF($B113="",0,COUNTIFS('UX Weekly'!$H$1:$CT$1,"&gt;="&amp;AG$1,'UX Weekly'!$H$1:$CT$1,"&lt;="&amp;EOMONTH(AG$1,0),'UX Weekly'!$H113:$CT113,"&lt;&gt;"))</f>
        <v>0</v>
      </c>
      <c r="AH113">
        <f>IF($B113="",0,COUNTIFS('UX Weekly'!$H$1:$CT$1,"&gt;="&amp;AH$1,'UX Weekly'!$H$1:$CT$1,"&lt;="&amp;EOMONTH(AH$1,0),'UX Weekly'!$H113:$CT113,"&lt;&gt;"))</f>
        <v>0</v>
      </c>
      <c r="AI113">
        <f>IF($B113="",0,COUNTIFS('UX Weekly'!$H$1:$CT$1,"&gt;="&amp;AI$1,'UX Weekly'!$H$1:$CT$1,"&lt;="&amp;EOMONTH(AI$1,0),'UX Weekly'!$H113:$CT113,"&lt;&gt;"))</f>
        <v>0</v>
      </c>
      <c r="AJ113">
        <f>IF($B113="",0,COUNTIFS('UX Weekly'!$H$1:$CT$1,"&gt;="&amp;AJ$1,'UX Weekly'!$H$1:$CT$1,"&lt;="&amp;EOMONTH(AJ$1,0),'UX Weekly'!$H113:$CT113,"&lt;&gt;"))</f>
        <v>0</v>
      </c>
      <c r="AK113">
        <f>IF($B113="",0,COUNTIFS('UX Weekly'!$H$1:$CT$1,"&gt;="&amp;AK$1,'UX Weekly'!$H$1:$CT$1,"&lt;="&amp;EOMONTH(AK$1,0),'UX Weekly'!$H113:$CT113,"&lt;&gt;"))</f>
        <v>0</v>
      </c>
      <c r="AL113">
        <f>IF($B113="",0,COUNTIFS('UX Weekly'!$H$1:$CT$1,"&gt;="&amp;AL$1,'UX Weekly'!$H$1:$CT$1,"&lt;="&amp;EOMONTH(AL$1,0),'UX Weekly'!$H113:$CT113,"&lt;&gt;"))</f>
        <v>0</v>
      </c>
      <c r="AM113">
        <f>IF($B113="",0,COUNTIFS('UX Weekly'!$H$1:$CT$1,"&gt;="&amp;AM$1,'UX Weekly'!$H$1:$CT$1,"&lt;="&amp;EOMONTH(AM$1,0),'UX Weekly'!$H113:$CT113,"&lt;&gt;"))</f>
        <v>0</v>
      </c>
      <c r="AN113">
        <f>IF($B113="",0,COUNTIFS('UX Weekly'!$H$1:$CT$1,"&gt;="&amp;AN$1,'UX Weekly'!$H$1:$CT$1,"&lt;="&amp;EOMONTH(AN$1,0),'UX Weekly'!$H113:$CT113,"&lt;&gt;"))</f>
        <v>0</v>
      </c>
      <c r="AO113">
        <f>IF($B113="",0,COUNTIFS('UX Weekly'!$H$1:$CT$1,"&gt;="&amp;AO$1,'UX Weekly'!$H$1:$CT$1,"&lt;="&amp;EOMONTH(AO$1,0),'UX Weekly'!$H113:$CT113,"&lt;&gt;"))</f>
        <v>0</v>
      </c>
      <c r="AP113">
        <f>IF($B113="",0,COUNTIFS('UX Weekly'!$H$1:$CT$1,"&gt;="&amp;AP$1,'UX Weekly'!$H$1:$CT$1,"&lt;="&amp;EOMONTH(AP$1,0),'UX Weekly'!$H113:$CT113,"&lt;&gt;"))</f>
        <v>0</v>
      </c>
      <c r="AQ113">
        <f>IF($B113="",0,COUNTIFS('UX Weekly'!$H$1:$CT$1,"&gt;="&amp;AQ$1,'UX Weekly'!$H$1:$CT$1,"&lt;="&amp;EOMONTH(AQ$1,0),'UX Weekly'!$H113:$CT113,"&lt;&gt;"))</f>
        <v>0</v>
      </c>
      <c r="AR113">
        <f>IF($B113="",0,COUNTIFS('UX Weekly'!$H$1:$CT$1,"&gt;="&amp;AR$1,'UX Weekly'!$H$1:$CT$1,"&lt;="&amp;EOMONTH(AR$1,0),'UX Weekly'!$H113:$CT113,"&lt;&gt;"))</f>
        <v>0</v>
      </c>
      <c r="AS113">
        <f>IF($B113="",0,COUNTIFS('UX Weekly'!$H$1:$CT$1,"&gt;="&amp;AS$1,'UX Weekly'!$H$1:$CT$1,"&lt;="&amp;EOMONTH(AS$1,0),'UX Weekly'!$H113:$CT113,"&lt;&gt;"))</f>
        <v>0</v>
      </c>
      <c r="AT113">
        <f>IF($B113="",0,COUNTIFS('UX Weekly'!$H$1:$CT$1,"&gt;="&amp;AT$1,'UX Weekly'!$H$1:$CT$1,"&lt;="&amp;EOMONTH(AT$1,0),'UX Weekly'!$H113:$CT113,"&lt;&gt;"))</f>
        <v>0</v>
      </c>
      <c r="AU113">
        <f>IF($B113="",0,COUNTIFS('UX Weekly'!$H$1:$CT$1,"&gt;="&amp;AU$1,'UX Weekly'!$H$1:$CT$1,"&lt;="&amp;EOMONTH(AU$1,0),'UX Weekly'!$H113:$CT113,"&lt;&gt;"))</f>
        <v>0</v>
      </c>
      <c r="AV113">
        <f>IF($B113="",0,COUNTIFS('UX Weekly'!$H$1:$CT$1,"&gt;="&amp;AV$1,'UX Weekly'!$H$1:$CT$1,"&lt;="&amp;EOMONTH(AV$1,0),'UX Weekly'!$H113:$CT113,"&lt;&gt;"))</f>
        <v>0</v>
      </c>
      <c r="AW113">
        <f>IF($B113="",0,COUNTIFS('UX Weekly'!$H$1:$CT$1,"&gt;="&amp;AW$1,'UX Weekly'!$H$1:$CT$1,"&lt;="&amp;EOMONTH(AW$1,0),'UX Weekly'!$H113:$CT113,"&lt;&gt;"))</f>
        <v>0</v>
      </c>
      <c r="AX113">
        <f>IF($B113="",0,COUNTIFS('UX Weekly'!$H$1:$CT$1,"&gt;="&amp;AX$1,'UX Weekly'!$H$1:$CT$1,"&lt;="&amp;EOMONTH(AX$1,0),'UX Weekly'!$H113:$CT113,"&lt;&gt;"))</f>
        <v>0</v>
      </c>
    </row>
    <row r="114" spans="1:50" x14ac:dyDescent="0.2">
      <c r="A114" s="152">
        <v>114</v>
      </c>
      <c r="B114" s="152" t="str">
        <f>IF(TRIM('UX Weekly'!E114)="","",TRIM('UX Weekly'!E114))</f>
        <v/>
      </c>
      <c r="C114" s="152" t="str">
        <f>IF($B114="","",'UX Weekly'!B114)</f>
        <v/>
      </c>
      <c r="D114" s="152" t="str">
        <f>IF($B114="","",IF(TRIM('UX Weekly'!C114)="","(No theme assigned)",TRIM('UX Weekly'!C114)))</f>
        <v/>
      </c>
      <c r="E114" s="152" t="str">
        <f>IF($B114="","",TRIM('UX Weekly'!F114))</f>
        <v/>
      </c>
      <c r="F114" s="152" t="str">
        <f>IF($B114="","",'UX Weekly'!G114)</f>
        <v/>
      </c>
      <c r="G114" s="153" t="str">
        <f t="array" ref="G114">IF($B114="","",IF($T114=0,"",IFERROR(MIN(IF('UX Weekly'!$H114:$CT114&lt;&gt;"",'UX Weekly'!$H$1:$CT$1)),"")))</f>
        <v/>
      </c>
      <c r="H114" s="153" t="str">
        <f t="array" ref="H114">IF($B114="","",IF($T114=0,"",IFERROR(MAX(IF('UX Weekly'!$H114:$CT114&lt;&gt;"",'UX Weekly'!$H$1:$CT$1)),"")))</f>
        <v/>
      </c>
      <c r="I114" s="154" t="str">
        <f t="shared" ca="1" si="21"/>
        <v/>
      </c>
      <c r="J114" s="154" t="str">
        <f t="shared" ca="1" si="22"/>
        <v/>
      </c>
      <c r="K114" s="152" t="str">
        <f>IF($B114="","",IF(COUNTA('Dev Tracker'!L114)=0,"",TRIM('Dev Tracker'!L114)))</f>
        <v/>
      </c>
      <c r="L114" s="152" t="str">
        <f>IF($B114="","",IFERROR(MATCH($D114,Control!$E$4:$E$30,0),99))</f>
        <v/>
      </c>
      <c r="M114" s="152" t="str">
        <f>IF($B114="","",IFERROR(MATCH($F114,Control!$B$4:$B$30,0),99))</f>
        <v/>
      </c>
      <c r="N114" s="152" t="str">
        <f>IF($V114&lt;&gt;1,"",IF('Roadmap (Auto)'!$D$3="Status, then Theme",$M114*1000000+$L114*10000+ROW(),IF('Roadmap (Auto)'!$D$3="Dev start (earliest)",IF($I114="",99999999,$I114)*10000+ROW(),IF('Roadmap (Auto)'!$D$3="UX start (earliest)",IF($G114="",99999999,$G114)*10000+ROW(),IF('Roadmap (Auto)'!$D$3="Deliverable A-Z",$W114*10000+ROW(),$L114*1000000+$M114*10000+ROW())))))</f>
        <v/>
      </c>
      <c r="O114" s="152" t="str">
        <f t="shared" si="23"/>
        <v/>
      </c>
      <c r="P114" s="152" t="str">
        <f>IF($B114="","",IF(COUNTA('Dev Tracker'!I114)=0,"",'Dev Tracker'!I114))</f>
        <v/>
      </c>
      <c r="Q114" s="152" t="str">
        <f>IF($B114="","",IF(COUNTA('Dev Tracker'!J114)=0,"",'Dev Tracker'!J114))</f>
        <v/>
      </c>
      <c r="R114" s="154" t="str">
        <f t="shared" ca="1" si="24"/>
        <v/>
      </c>
      <c r="S114" s="154" t="str">
        <f t="shared" ca="1" si="25"/>
        <v/>
      </c>
      <c r="T114" s="152" t="str">
        <f>IF($B114="","",COUNTA('UX Weekly'!$H114:$CT114))</f>
        <v/>
      </c>
      <c r="U114" s="152" t="str">
        <f>IF($B114="","",IFERROR(MATCH($D114,Control!$E$4:$E$30,0)+3,0))</f>
        <v/>
      </c>
      <c r="V114" s="152" t="str">
        <f>IF($B114="","",IF(AND(OR('Roadmap (Auto)'!$A$3="",'Roadmap (Auto)'!$A$3="(All)",ISNUMBER(SEARCH('Roadmap (Auto)'!$A$3,$C114&amp;""))),OR('Roadmap (Auto)'!$B$3="",'Roadmap (Auto)'!$B$3="(All)",$D114='Roadmap (Auto)'!$B$3,$X114='Roadmap (Auto)'!$B$3),OR('Roadmap (Auto)'!$C$3="",'Roadmap (Auto)'!$C$3="(All)",$F114='Roadmap (Auto)'!$C$3)),1,0))</f>
        <v/>
      </c>
      <c r="W114" s="152" t="str">
        <f t="shared" si="26"/>
        <v/>
      </c>
      <c r="X114" s="152" t="str">
        <f>IF($B114="","",IF(TRIM('UX Weekly'!D114)="","",TRIM('UX Weekly'!D114)))</f>
        <v/>
      </c>
      <c r="Y114" s="152" t="str">
        <f t="shared" si="27"/>
        <v/>
      </c>
      <c r="AA114">
        <f>IF($B114="",0,COUNTIFS('UX Weekly'!$H$1:$CT$1,"&gt;="&amp;AA$1,'UX Weekly'!$H$1:$CT$1,"&lt;="&amp;EOMONTH(AA$1,0),'UX Weekly'!$H114:$CT114,"&lt;&gt;"))</f>
        <v>0</v>
      </c>
      <c r="AB114">
        <f>IF($B114="",0,COUNTIFS('UX Weekly'!$H$1:$CT$1,"&gt;="&amp;AB$1,'UX Weekly'!$H$1:$CT$1,"&lt;="&amp;EOMONTH(AB$1,0),'UX Weekly'!$H114:$CT114,"&lt;&gt;"))</f>
        <v>0</v>
      </c>
      <c r="AC114">
        <f>IF($B114="",0,COUNTIFS('UX Weekly'!$H$1:$CT$1,"&gt;="&amp;AC$1,'UX Weekly'!$H$1:$CT$1,"&lt;="&amp;EOMONTH(AC$1,0),'UX Weekly'!$H114:$CT114,"&lt;&gt;"))</f>
        <v>0</v>
      </c>
      <c r="AD114">
        <f>IF($B114="",0,COUNTIFS('UX Weekly'!$H$1:$CT$1,"&gt;="&amp;AD$1,'UX Weekly'!$H$1:$CT$1,"&lt;="&amp;EOMONTH(AD$1,0),'UX Weekly'!$H114:$CT114,"&lt;&gt;"))</f>
        <v>0</v>
      </c>
      <c r="AE114">
        <f>IF($B114="",0,COUNTIFS('UX Weekly'!$H$1:$CT$1,"&gt;="&amp;AE$1,'UX Weekly'!$H$1:$CT$1,"&lt;="&amp;EOMONTH(AE$1,0),'UX Weekly'!$H114:$CT114,"&lt;&gt;"))</f>
        <v>0</v>
      </c>
      <c r="AF114">
        <f>IF($B114="",0,COUNTIFS('UX Weekly'!$H$1:$CT$1,"&gt;="&amp;AF$1,'UX Weekly'!$H$1:$CT$1,"&lt;="&amp;EOMONTH(AF$1,0),'UX Weekly'!$H114:$CT114,"&lt;&gt;"))</f>
        <v>0</v>
      </c>
      <c r="AG114">
        <f>IF($B114="",0,COUNTIFS('UX Weekly'!$H$1:$CT$1,"&gt;="&amp;AG$1,'UX Weekly'!$H$1:$CT$1,"&lt;="&amp;EOMONTH(AG$1,0),'UX Weekly'!$H114:$CT114,"&lt;&gt;"))</f>
        <v>0</v>
      </c>
      <c r="AH114">
        <f>IF($B114="",0,COUNTIFS('UX Weekly'!$H$1:$CT$1,"&gt;="&amp;AH$1,'UX Weekly'!$H$1:$CT$1,"&lt;="&amp;EOMONTH(AH$1,0),'UX Weekly'!$H114:$CT114,"&lt;&gt;"))</f>
        <v>0</v>
      </c>
      <c r="AI114">
        <f>IF($B114="",0,COUNTIFS('UX Weekly'!$H$1:$CT$1,"&gt;="&amp;AI$1,'UX Weekly'!$H$1:$CT$1,"&lt;="&amp;EOMONTH(AI$1,0),'UX Weekly'!$H114:$CT114,"&lt;&gt;"))</f>
        <v>0</v>
      </c>
      <c r="AJ114">
        <f>IF($B114="",0,COUNTIFS('UX Weekly'!$H$1:$CT$1,"&gt;="&amp;AJ$1,'UX Weekly'!$H$1:$CT$1,"&lt;="&amp;EOMONTH(AJ$1,0),'UX Weekly'!$H114:$CT114,"&lt;&gt;"))</f>
        <v>0</v>
      </c>
      <c r="AK114">
        <f>IF($B114="",0,COUNTIFS('UX Weekly'!$H$1:$CT$1,"&gt;="&amp;AK$1,'UX Weekly'!$H$1:$CT$1,"&lt;="&amp;EOMONTH(AK$1,0),'UX Weekly'!$H114:$CT114,"&lt;&gt;"))</f>
        <v>0</v>
      </c>
      <c r="AL114">
        <f>IF($B114="",0,COUNTIFS('UX Weekly'!$H$1:$CT$1,"&gt;="&amp;AL$1,'UX Weekly'!$H$1:$CT$1,"&lt;="&amp;EOMONTH(AL$1,0),'UX Weekly'!$H114:$CT114,"&lt;&gt;"))</f>
        <v>0</v>
      </c>
      <c r="AM114">
        <f>IF($B114="",0,COUNTIFS('UX Weekly'!$H$1:$CT$1,"&gt;="&amp;AM$1,'UX Weekly'!$H$1:$CT$1,"&lt;="&amp;EOMONTH(AM$1,0),'UX Weekly'!$H114:$CT114,"&lt;&gt;"))</f>
        <v>0</v>
      </c>
      <c r="AN114">
        <f>IF($B114="",0,COUNTIFS('UX Weekly'!$H$1:$CT$1,"&gt;="&amp;AN$1,'UX Weekly'!$H$1:$CT$1,"&lt;="&amp;EOMONTH(AN$1,0),'UX Weekly'!$H114:$CT114,"&lt;&gt;"))</f>
        <v>0</v>
      </c>
      <c r="AO114">
        <f>IF($B114="",0,COUNTIFS('UX Weekly'!$H$1:$CT$1,"&gt;="&amp;AO$1,'UX Weekly'!$H$1:$CT$1,"&lt;="&amp;EOMONTH(AO$1,0),'UX Weekly'!$H114:$CT114,"&lt;&gt;"))</f>
        <v>0</v>
      </c>
      <c r="AP114">
        <f>IF($B114="",0,COUNTIFS('UX Weekly'!$H$1:$CT$1,"&gt;="&amp;AP$1,'UX Weekly'!$H$1:$CT$1,"&lt;="&amp;EOMONTH(AP$1,0),'UX Weekly'!$H114:$CT114,"&lt;&gt;"))</f>
        <v>0</v>
      </c>
      <c r="AQ114">
        <f>IF($B114="",0,COUNTIFS('UX Weekly'!$H$1:$CT$1,"&gt;="&amp;AQ$1,'UX Weekly'!$H$1:$CT$1,"&lt;="&amp;EOMONTH(AQ$1,0),'UX Weekly'!$H114:$CT114,"&lt;&gt;"))</f>
        <v>0</v>
      </c>
      <c r="AR114">
        <f>IF($B114="",0,COUNTIFS('UX Weekly'!$H$1:$CT$1,"&gt;="&amp;AR$1,'UX Weekly'!$H$1:$CT$1,"&lt;="&amp;EOMONTH(AR$1,0),'UX Weekly'!$H114:$CT114,"&lt;&gt;"))</f>
        <v>0</v>
      </c>
      <c r="AS114">
        <f>IF($B114="",0,COUNTIFS('UX Weekly'!$H$1:$CT$1,"&gt;="&amp;AS$1,'UX Weekly'!$H$1:$CT$1,"&lt;="&amp;EOMONTH(AS$1,0),'UX Weekly'!$H114:$CT114,"&lt;&gt;"))</f>
        <v>0</v>
      </c>
      <c r="AT114">
        <f>IF($B114="",0,COUNTIFS('UX Weekly'!$H$1:$CT$1,"&gt;="&amp;AT$1,'UX Weekly'!$H$1:$CT$1,"&lt;="&amp;EOMONTH(AT$1,0),'UX Weekly'!$H114:$CT114,"&lt;&gt;"))</f>
        <v>0</v>
      </c>
      <c r="AU114">
        <f>IF($B114="",0,COUNTIFS('UX Weekly'!$H$1:$CT$1,"&gt;="&amp;AU$1,'UX Weekly'!$H$1:$CT$1,"&lt;="&amp;EOMONTH(AU$1,0),'UX Weekly'!$H114:$CT114,"&lt;&gt;"))</f>
        <v>0</v>
      </c>
      <c r="AV114">
        <f>IF($B114="",0,COUNTIFS('UX Weekly'!$H$1:$CT$1,"&gt;="&amp;AV$1,'UX Weekly'!$H$1:$CT$1,"&lt;="&amp;EOMONTH(AV$1,0),'UX Weekly'!$H114:$CT114,"&lt;&gt;"))</f>
        <v>0</v>
      </c>
      <c r="AW114">
        <f>IF($B114="",0,COUNTIFS('UX Weekly'!$H$1:$CT$1,"&gt;="&amp;AW$1,'UX Weekly'!$H$1:$CT$1,"&lt;="&amp;EOMONTH(AW$1,0),'UX Weekly'!$H114:$CT114,"&lt;&gt;"))</f>
        <v>0</v>
      </c>
      <c r="AX114">
        <f>IF($B114="",0,COUNTIFS('UX Weekly'!$H$1:$CT$1,"&gt;="&amp;AX$1,'UX Weekly'!$H$1:$CT$1,"&lt;="&amp;EOMONTH(AX$1,0),'UX Weekly'!$H114:$CT114,"&lt;&gt;"))</f>
        <v>0</v>
      </c>
    </row>
    <row r="115" spans="1:50" x14ac:dyDescent="0.2">
      <c r="A115" s="152">
        <v>115</v>
      </c>
      <c r="B115" s="152" t="str">
        <f>IF(TRIM('UX Weekly'!E115)="","",TRIM('UX Weekly'!E115))</f>
        <v/>
      </c>
      <c r="C115" s="152" t="str">
        <f>IF($B115="","",'UX Weekly'!B115)</f>
        <v/>
      </c>
      <c r="D115" s="152" t="str">
        <f>IF($B115="","",IF(TRIM('UX Weekly'!C115)="","(No theme assigned)",TRIM('UX Weekly'!C115)))</f>
        <v/>
      </c>
      <c r="E115" s="152" t="str">
        <f>IF($B115="","",TRIM('UX Weekly'!F115))</f>
        <v/>
      </c>
      <c r="F115" s="152" t="str">
        <f>IF($B115="","",'UX Weekly'!G115)</f>
        <v/>
      </c>
      <c r="G115" s="153" t="str">
        <f t="array" ref="G115">IF($B115="","",IF($T115=0,"",IFERROR(MIN(IF('UX Weekly'!$H115:$CT115&lt;&gt;"",'UX Weekly'!$H$1:$CT$1)),"")))</f>
        <v/>
      </c>
      <c r="H115" s="153" t="str">
        <f t="array" ref="H115">IF($B115="","",IF($T115=0,"",IFERROR(MAX(IF('UX Weekly'!$H115:$CT115&lt;&gt;"",'UX Weekly'!$H$1:$CT$1)),"")))</f>
        <v/>
      </c>
      <c r="I115" s="154" t="str">
        <f t="shared" ca="1" si="21"/>
        <v/>
      </c>
      <c r="J115" s="154" t="str">
        <f t="shared" ca="1" si="22"/>
        <v/>
      </c>
      <c r="K115" s="152" t="str">
        <f>IF($B115="","",IF(COUNTA('Dev Tracker'!L115)=0,"",TRIM('Dev Tracker'!L115)))</f>
        <v/>
      </c>
      <c r="L115" s="152" t="str">
        <f>IF($B115="","",IFERROR(MATCH($D115,Control!$E$4:$E$30,0),99))</f>
        <v/>
      </c>
      <c r="M115" s="152" t="str">
        <f>IF($B115="","",IFERROR(MATCH($F115,Control!$B$4:$B$30,0),99))</f>
        <v/>
      </c>
      <c r="N115" s="152" t="str">
        <f>IF($V115&lt;&gt;1,"",IF('Roadmap (Auto)'!$D$3="Status, then Theme",$M115*1000000+$L115*10000+ROW(),IF('Roadmap (Auto)'!$D$3="Dev start (earliest)",IF($I115="",99999999,$I115)*10000+ROW(),IF('Roadmap (Auto)'!$D$3="UX start (earliest)",IF($G115="",99999999,$G115)*10000+ROW(),IF('Roadmap (Auto)'!$D$3="Deliverable A-Z",$W115*10000+ROW(),$L115*1000000+$M115*10000+ROW())))))</f>
        <v/>
      </c>
      <c r="O115" s="152" t="str">
        <f t="shared" si="23"/>
        <v/>
      </c>
      <c r="P115" s="152" t="str">
        <f>IF($B115="","",IF(COUNTA('Dev Tracker'!I115)=0,"",'Dev Tracker'!I115))</f>
        <v/>
      </c>
      <c r="Q115" s="152" t="str">
        <f>IF($B115="","",IF(COUNTA('Dev Tracker'!J115)=0,"",'Dev Tracker'!J115))</f>
        <v/>
      </c>
      <c r="R115" s="154" t="str">
        <f t="shared" ca="1" si="24"/>
        <v/>
      </c>
      <c r="S115" s="154" t="str">
        <f t="shared" ca="1" si="25"/>
        <v/>
      </c>
      <c r="T115" s="152" t="str">
        <f>IF($B115="","",COUNTA('UX Weekly'!$H115:$CT115))</f>
        <v/>
      </c>
      <c r="U115" s="152" t="str">
        <f>IF($B115="","",IFERROR(MATCH($D115,Control!$E$4:$E$30,0)+3,0))</f>
        <v/>
      </c>
      <c r="V115" s="152" t="str">
        <f>IF($B115="","",IF(AND(OR('Roadmap (Auto)'!$A$3="",'Roadmap (Auto)'!$A$3="(All)",ISNUMBER(SEARCH('Roadmap (Auto)'!$A$3,$C115&amp;""))),OR('Roadmap (Auto)'!$B$3="",'Roadmap (Auto)'!$B$3="(All)",$D115='Roadmap (Auto)'!$B$3,$X115='Roadmap (Auto)'!$B$3),OR('Roadmap (Auto)'!$C$3="",'Roadmap (Auto)'!$C$3="(All)",$F115='Roadmap (Auto)'!$C$3)),1,0))</f>
        <v/>
      </c>
      <c r="W115" s="152" t="str">
        <f t="shared" si="26"/>
        <v/>
      </c>
      <c r="X115" s="152" t="str">
        <f>IF($B115="","",IF(TRIM('UX Weekly'!D115)="","",TRIM('UX Weekly'!D115)))</f>
        <v/>
      </c>
      <c r="Y115" s="152" t="str">
        <f t="shared" si="27"/>
        <v/>
      </c>
      <c r="AA115">
        <f>IF($B115="",0,COUNTIFS('UX Weekly'!$H$1:$CT$1,"&gt;="&amp;AA$1,'UX Weekly'!$H$1:$CT$1,"&lt;="&amp;EOMONTH(AA$1,0),'UX Weekly'!$H115:$CT115,"&lt;&gt;"))</f>
        <v>0</v>
      </c>
      <c r="AB115">
        <f>IF($B115="",0,COUNTIFS('UX Weekly'!$H$1:$CT$1,"&gt;="&amp;AB$1,'UX Weekly'!$H$1:$CT$1,"&lt;="&amp;EOMONTH(AB$1,0),'UX Weekly'!$H115:$CT115,"&lt;&gt;"))</f>
        <v>0</v>
      </c>
      <c r="AC115">
        <f>IF($B115="",0,COUNTIFS('UX Weekly'!$H$1:$CT$1,"&gt;="&amp;AC$1,'UX Weekly'!$H$1:$CT$1,"&lt;="&amp;EOMONTH(AC$1,0),'UX Weekly'!$H115:$CT115,"&lt;&gt;"))</f>
        <v>0</v>
      </c>
      <c r="AD115">
        <f>IF($B115="",0,COUNTIFS('UX Weekly'!$H$1:$CT$1,"&gt;="&amp;AD$1,'UX Weekly'!$H$1:$CT$1,"&lt;="&amp;EOMONTH(AD$1,0),'UX Weekly'!$H115:$CT115,"&lt;&gt;"))</f>
        <v>0</v>
      </c>
      <c r="AE115">
        <f>IF($B115="",0,COUNTIFS('UX Weekly'!$H$1:$CT$1,"&gt;="&amp;AE$1,'UX Weekly'!$H$1:$CT$1,"&lt;="&amp;EOMONTH(AE$1,0),'UX Weekly'!$H115:$CT115,"&lt;&gt;"))</f>
        <v>0</v>
      </c>
      <c r="AF115">
        <f>IF($B115="",0,COUNTIFS('UX Weekly'!$H$1:$CT$1,"&gt;="&amp;AF$1,'UX Weekly'!$H$1:$CT$1,"&lt;="&amp;EOMONTH(AF$1,0),'UX Weekly'!$H115:$CT115,"&lt;&gt;"))</f>
        <v>0</v>
      </c>
      <c r="AG115">
        <f>IF($B115="",0,COUNTIFS('UX Weekly'!$H$1:$CT$1,"&gt;="&amp;AG$1,'UX Weekly'!$H$1:$CT$1,"&lt;="&amp;EOMONTH(AG$1,0),'UX Weekly'!$H115:$CT115,"&lt;&gt;"))</f>
        <v>0</v>
      </c>
      <c r="AH115">
        <f>IF($B115="",0,COUNTIFS('UX Weekly'!$H$1:$CT$1,"&gt;="&amp;AH$1,'UX Weekly'!$H$1:$CT$1,"&lt;="&amp;EOMONTH(AH$1,0),'UX Weekly'!$H115:$CT115,"&lt;&gt;"))</f>
        <v>0</v>
      </c>
      <c r="AI115">
        <f>IF($B115="",0,COUNTIFS('UX Weekly'!$H$1:$CT$1,"&gt;="&amp;AI$1,'UX Weekly'!$H$1:$CT$1,"&lt;="&amp;EOMONTH(AI$1,0),'UX Weekly'!$H115:$CT115,"&lt;&gt;"))</f>
        <v>0</v>
      </c>
      <c r="AJ115">
        <f>IF($B115="",0,COUNTIFS('UX Weekly'!$H$1:$CT$1,"&gt;="&amp;AJ$1,'UX Weekly'!$H$1:$CT$1,"&lt;="&amp;EOMONTH(AJ$1,0),'UX Weekly'!$H115:$CT115,"&lt;&gt;"))</f>
        <v>0</v>
      </c>
      <c r="AK115">
        <f>IF($B115="",0,COUNTIFS('UX Weekly'!$H$1:$CT$1,"&gt;="&amp;AK$1,'UX Weekly'!$H$1:$CT$1,"&lt;="&amp;EOMONTH(AK$1,0),'UX Weekly'!$H115:$CT115,"&lt;&gt;"))</f>
        <v>0</v>
      </c>
      <c r="AL115">
        <f>IF($B115="",0,COUNTIFS('UX Weekly'!$H$1:$CT$1,"&gt;="&amp;AL$1,'UX Weekly'!$H$1:$CT$1,"&lt;="&amp;EOMONTH(AL$1,0),'UX Weekly'!$H115:$CT115,"&lt;&gt;"))</f>
        <v>0</v>
      </c>
      <c r="AM115">
        <f>IF($B115="",0,COUNTIFS('UX Weekly'!$H$1:$CT$1,"&gt;="&amp;AM$1,'UX Weekly'!$H$1:$CT$1,"&lt;="&amp;EOMONTH(AM$1,0),'UX Weekly'!$H115:$CT115,"&lt;&gt;"))</f>
        <v>0</v>
      </c>
      <c r="AN115">
        <f>IF($B115="",0,COUNTIFS('UX Weekly'!$H$1:$CT$1,"&gt;="&amp;AN$1,'UX Weekly'!$H$1:$CT$1,"&lt;="&amp;EOMONTH(AN$1,0),'UX Weekly'!$H115:$CT115,"&lt;&gt;"))</f>
        <v>0</v>
      </c>
      <c r="AO115">
        <f>IF($B115="",0,COUNTIFS('UX Weekly'!$H$1:$CT$1,"&gt;="&amp;AO$1,'UX Weekly'!$H$1:$CT$1,"&lt;="&amp;EOMONTH(AO$1,0),'UX Weekly'!$H115:$CT115,"&lt;&gt;"))</f>
        <v>0</v>
      </c>
      <c r="AP115">
        <f>IF($B115="",0,COUNTIFS('UX Weekly'!$H$1:$CT$1,"&gt;="&amp;AP$1,'UX Weekly'!$H$1:$CT$1,"&lt;="&amp;EOMONTH(AP$1,0),'UX Weekly'!$H115:$CT115,"&lt;&gt;"))</f>
        <v>0</v>
      </c>
      <c r="AQ115">
        <f>IF($B115="",0,COUNTIFS('UX Weekly'!$H$1:$CT$1,"&gt;="&amp;AQ$1,'UX Weekly'!$H$1:$CT$1,"&lt;="&amp;EOMONTH(AQ$1,0),'UX Weekly'!$H115:$CT115,"&lt;&gt;"))</f>
        <v>0</v>
      </c>
      <c r="AR115">
        <f>IF($B115="",0,COUNTIFS('UX Weekly'!$H$1:$CT$1,"&gt;="&amp;AR$1,'UX Weekly'!$H$1:$CT$1,"&lt;="&amp;EOMONTH(AR$1,0),'UX Weekly'!$H115:$CT115,"&lt;&gt;"))</f>
        <v>0</v>
      </c>
      <c r="AS115">
        <f>IF($B115="",0,COUNTIFS('UX Weekly'!$H$1:$CT$1,"&gt;="&amp;AS$1,'UX Weekly'!$H$1:$CT$1,"&lt;="&amp;EOMONTH(AS$1,0),'UX Weekly'!$H115:$CT115,"&lt;&gt;"))</f>
        <v>0</v>
      </c>
      <c r="AT115">
        <f>IF($B115="",0,COUNTIFS('UX Weekly'!$H$1:$CT$1,"&gt;="&amp;AT$1,'UX Weekly'!$H$1:$CT$1,"&lt;="&amp;EOMONTH(AT$1,0),'UX Weekly'!$H115:$CT115,"&lt;&gt;"))</f>
        <v>0</v>
      </c>
      <c r="AU115">
        <f>IF($B115="",0,COUNTIFS('UX Weekly'!$H$1:$CT$1,"&gt;="&amp;AU$1,'UX Weekly'!$H$1:$CT$1,"&lt;="&amp;EOMONTH(AU$1,0),'UX Weekly'!$H115:$CT115,"&lt;&gt;"))</f>
        <v>0</v>
      </c>
      <c r="AV115">
        <f>IF($B115="",0,COUNTIFS('UX Weekly'!$H$1:$CT$1,"&gt;="&amp;AV$1,'UX Weekly'!$H$1:$CT$1,"&lt;="&amp;EOMONTH(AV$1,0),'UX Weekly'!$H115:$CT115,"&lt;&gt;"))</f>
        <v>0</v>
      </c>
      <c r="AW115">
        <f>IF($B115="",0,COUNTIFS('UX Weekly'!$H$1:$CT$1,"&gt;="&amp;AW$1,'UX Weekly'!$H$1:$CT$1,"&lt;="&amp;EOMONTH(AW$1,0),'UX Weekly'!$H115:$CT115,"&lt;&gt;"))</f>
        <v>0</v>
      </c>
      <c r="AX115">
        <f>IF($B115="",0,COUNTIFS('UX Weekly'!$H$1:$CT$1,"&gt;="&amp;AX$1,'UX Weekly'!$H$1:$CT$1,"&lt;="&amp;EOMONTH(AX$1,0),'UX Weekly'!$H115:$CT115,"&lt;&gt;"))</f>
        <v>0</v>
      </c>
    </row>
    <row r="116" spans="1:50" x14ac:dyDescent="0.2">
      <c r="A116" s="152">
        <v>116</v>
      </c>
      <c r="B116" s="152" t="str">
        <f>IF(TRIM('UX Weekly'!E116)="","",TRIM('UX Weekly'!E116))</f>
        <v/>
      </c>
      <c r="C116" s="152" t="str">
        <f>IF($B116="","",'UX Weekly'!B116)</f>
        <v/>
      </c>
      <c r="D116" s="152" t="str">
        <f>IF($B116="","",IF(TRIM('UX Weekly'!C116)="","(No theme assigned)",TRIM('UX Weekly'!C116)))</f>
        <v/>
      </c>
      <c r="E116" s="152" t="str">
        <f>IF($B116="","",TRIM('UX Weekly'!F116))</f>
        <v/>
      </c>
      <c r="F116" s="152" t="str">
        <f>IF($B116="","",'UX Weekly'!G116)</f>
        <v/>
      </c>
      <c r="G116" s="153" t="str">
        <f t="array" ref="G116">IF($B116="","",IF($T116=0,"",IFERROR(MIN(IF('UX Weekly'!$H116:$CT116&lt;&gt;"",'UX Weekly'!$H$1:$CT$1)),"")))</f>
        <v/>
      </c>
      <c r="H116" s="153" t="str">
        <f t="array" ref="H116">IF($B116="","",IF($T116=0,"",IFERROR(MAX(IF('UX Weekly'!$H116:$CT116&lt;&gt;"",'UX Weekly'!$H$1:$CT$1)),"")))</f>
        <v/>
      </c>
      <c r="I116" s="154" t="str">
        <f t="shared" ca="1" si="21"/>
        <v/>
      </c>
      <c r="J116" s="154" t="str">
        <f t="shared" ca="1" si="22"/>
        <v/>
      </c>
      <c r="K116" s="152" t="str">
        <f>IF($B116="","",IF(COUNTA('Dev Tracker'!L116)=0,"",TRIM('Dev Tracker'!L116)))</f>
        <v/>
      </c>
      <c r="L116" s="152" t="str">
        <f>IF($B116="","",IFERROR(MATCH($D116,Control!$E$4:$E$30,0),99))</f>
        <v/>
      </c>
      <c r="M116" s="152" t="str">
        <f>IF($B116="","",IFERROR(MATCH($F116,Control!$B$4:$B$30,0),99))</f>
        <v/>
      </c>
      <c r="N116" s="152" t="str">
        <f>IF($V116&lt;&gt;1,"",IF('Roadmap (Auto)'!$D$3="Status, then Theme",$M116*1000000+$L116*10000+ROW(),IF('Roadmap (Auto)'!$D$3="Dev start (earliest)",IF($I116="",99999999,$I116)*10000+ROW(),IF('Roadmap (Auto)'!$D$3="UX start (earliest)",IF($G116="",99999999,$G116)*10000+ROW(),IF('Roadmap (Auto)'!$D$3="Deliverable A-Z",$W116*10000+ROW(),$L116*1000000+$M116*10000+ROW())))))</f>
        <v/>
      </c>
      <c r="O116" s="152" t="str">
        <f t="shared" si="23"/>
        <v/>
      </c>
      <c r="P116" s="152" t="str">
        <f>IF($B116="","",IF(COUNTA('Dev Tracker'!I116)=0,"",'Dev Tracker'!I116))</f>
        <v/>
      </c>
      <c r="Q116" s="152" t="str">
        <f>IF($B116="","",IF(COUNTA('Dev Tracker'!J116)=0,"",'Dev Tracker'!J116))</f>
        <v/>
      </c>
      <c r="R116" s="154" t="str">
        <f t="shared" ca="1" si="24"/>
        <v/>
      </c>
      <c r="S116" s="154" t="str">
        <f t="shared" ca="1" si="25"/>
        <v/>
      </c>
      <c r="T116" s="152" t="str">
        <f>IF($B116="","",COUNTA('UX Weekly'!$H116:$CT116))</f>
        <v/>
      </c>
      <c r="U116" s="152" t="str">
        <f>IF($B116="","",IFERROR(MATCH($D116,Control!$E$4:$E$30,0)+3,0))</f>
        <v/>
      </c>
      <c r="V116" s="152" t="str">
        <f>IF($B116="","",IF(AND(OR('Roadmap (Auto)'!$A$3="",'Roadmap (Auto)'!$A$3="(All)",ISNUMBER(SEARCH('Roadmap (Auto)'!$A$3,$C116&amp;""))),OR('Roadmap (Auto)'!$B$3="",'Roadmap (Auto)'!$B$3="(All)",$D116='Roadmap (Auto)'!$B$3,$X116='Roadmap (Auto)'!$B$3),OR('Roadmap (Auto)'!$C$3="",'Roadmap (Auto)'!$C$3="(All)",$F116='Roadmap (Auto)'!$C$3)),1,0))</f>
        <v/>
      </c>
      <c r="W116" s="152" t="str">
        <f t="shared" si="26"/>
        <v/>
      </c>
      <c r="X116" s="152" t="str">
        <f>IF($B116="","",IF(TRIM('UX Weekly'!D116)="","",TRIM('UX Weekly'!D116)))</f>
        <v/>
      </c>
      <c r="Y116" s="152" t="str">
        <f t="shared" si="27"/>
        <v/>
      </c>
      <c r="AA116">
        <f>IF($B116="",0,COUNTIFS('UX Weekly'!$H$1:$CT$1,"&gt;="&amp;AA$1,'UX Weekly'!$H$1:$CT$1,"&lt;="&amp;EOMONTH(AA$1,0),'UX Weekly'!$H116:$CT116,"&lt;&gt;"))</f>
        <v>0</v>
      </c>
      <c r="AB116">
        <f>IF($B116="",0,COUNTIFS('UX Weekly'!$H$1:$CT$1,"&gt;="&amp;AB$1,'UX Weekly'!$H$1:$CT$1,"&lt;="&amp;EOMONTH(AB$1,0),'UX Weekly'!$H116:$CT116,"&lt;&gt;"))</f>
        <v>0</v>
      </c>
      <c r="AC116">
        <f>IF($B116="",0,COUNTIFS('UX Weekly'!$H$1:$CT$1,"&gt;="&amp;AC$1,'UX Weekly'!$H$1:$CT$1,"&lt;="&amp;EOMONTH(AC$1,0),'UX Weekly'!$H116:$CT116,"&lt;&gt;"))</f>
        <v>0</v>
      </c>
      <c r="AD116">
        <f>IF($B116="",0,COUNTIFS('UX Weekly'!$H$1:$CT$1,"&gt;="&amp;AD$1,'UX Weekly'!$H$1:$CT$1,"&lt;="&amp;EOMONTH(AD$1,0),'UX Weekly'!$H116:$CT116,"&lt;&gt;"))</f>
        <v>0</v>
      </c>
      <c r="AE116">
        <f>IF($B116="",0,COUNTIFS('UX Weekly'!$H$1:$CT$1,"&gt;="&amp;AE$1,'UX Weekly'!$H$1:$CT$1,"&lt;="&amp;EOMONTH(AE$1,0),'UX Weekly'!$H116:$CT116,"&lt;&gt;"))</f>
        <v>0</v>
      </c>
      <c r="AF116">
        <f>IF($B116="",0,COUNTIFS('UX Weekly'!$H$1:$CT$1,"&gt;="&amp;AF$1,'UX Weekly'!$H$1:$CT$1,"&lt;="&amp;EOMONTH(AF$1,0),'UX Weekly'!$H116:$CT116,"&lt;&gt;"))</f>
        <v>0</v>
      </c>
      <c r="AG116">
        <f>IF($B116="",0,COUNTIFS('UX Weekly'!$H$1:$CT$1,"&gt;="&amp;AG$1,'UX Weekly'!$H$1:$CT$1,"&lt;="&amp;EOMONTH(AG$1,0),'UX Weekly'!$H116:$CT116,"&lt;&gt;"))</f>
        <v>0</v>
      </c>
      <c r="AH116">
        <f>IF($B116="",0,COUNTIFS('UX Weekly'!$H$1:$CT$1,"&gt;="&amp;AH$1,'UX Weekly'!$H$1:$CT$1,"&lt;="&amp;EOMONTH(AH$1,0),'UX Weekly'!$H116:$CT116,"&lt;&gt;"))</f>
        <v>0</v>
      </c>
      <c r="AI116">
        <f>IF($B116="",0,COUNTIFS('UX Weekly'!$H$1:$CT$1,"&gt;="&amp;AI$1,'UX Weekly'!$H$1:$CT$1,"&lt;="&amp;EOMONTH(AI$1,0),'UX Weekly'!$H116:$CT116,"&lt;&gt;"))</f>
        <v>0</v>
      </c>
      <c r="AJ116">
        <f>IF($B116="",0,COUNTIFS('UX Weekly'!$H$1:$CT$1,"&gt;="&amp;AJ$1,'UX Weekly'!$H$1:$CT$1,"&lt;="&amp;EOMONTH(AJ$1,0),'UX Weekly'!$H116:$CT116,"&lt;&gt;"))</f>
        <v>0</v>
      </c>
      <c r="AK116">
        <f>IF($B116="",0,COUNTIFS('UX Weekly'!$H$1:$CT$1,"&gt;="&amp;AK$1,'UX Weekly'!$H$1:$CT$1,"&lt;="&amp;EOMONTH(AK$1,0),'UX Weekly'!$H116:$CT116,"&lt;&gt;"))</f>
        <v>0</v>
      </c>
      <c r="AL116">
        <f>IF($B116="",0,COUNTIFS('UX Weekly'!$H$1:$CT$1,"&gt;="&amp;AL$1,'UX Weekly'!$H$1:$CT$1,"&lt;="&amp;EOMONTH(AL$1,0),'UX Weekly'!$H116:$CT116,"&lt;&gt;"))</f>
        <v>0</v>
      </c>
      <c r="AM116">
        <f>IF($B116="",0,COUNTIFS('UX Weekly'!$H$1:$CT$1,"&gt;="&amp;AM$1,'UX Weekly'!$H$1:$CT$1,"&lt;="&amp;EOMONTH(AM$1,0),'UX Weekly'!$H116:$CT116,"&lt;&gt;"))</f>
        <v>0</v>
      </c>
      <c r="AN116">
        <f>IF($B116="",0,COUNTIFS('UX Weekly'!$H$1:$CT$1,"&gt;="&amp;AN$1,'UX Weekly'!$H$1:$CT$1,"&lt;="&amp;EOMONTH(AN$1,0),'UX Weekly'!$H116:$CT116,"&lt;&gt;"))</f>
        <v>0</v>
      </c>
      <c r="AO116">
        <f>IF($B116="",0,COUNTIFS('UX Weekly'!$H$1:$CT$1,"&gt;="&amp;AO$1,'UX Weekly'!$H$1:$CT$1,"&lt;="&amp;EOMONTH(AO$1,0),'UX Weekly'!$H116:$CT116,"&lt;&gt;"))</f>
        <v>0</v>
      </c>
      <c r="AP116">
        <f>IF($B116="",0,COUNTIFS('UX Weekly'!$H$1:$CT$1,"&gt;="&amp;AP$1,'UX Weekly'!$H$1:$CT$1,"&lt;="&amp;EOMONTH(AP$1,0),'UX Weekly'!$H116:$CT116,"&lt;&gt;"))</f>
        <v>0</v>
      </c>
      <c r="AQ116">
        <f>IF($B116="",0,COUNTIFS('UX Weekly'!$H$1:$CT$1,"&gt;="&amp;AQ$1,'UX Weekly'!$H$1:$CT$1,"&lt;="&amp;EOMONTH(AQ$1,0),'UX Weekly'!$H116:$CT116,"&lt;&gt;"))</f>
        <v>0</v>
      </c>
      <c r="AR116">
        <f>IF($B116="",0,COUNTIFS('UX Weekly'!$H$1:$CT$1,"&gt;="&amp;AR$1,'UX Weekly'!$H$1:$CT$1,"&lt;="&amp;EOMONTH(AR$1,0),'UX Weekly'!$H116:$CT116,"&lt;&gt;"))</f>
        <v>0</v>
      </c>
      <c r="AS116">
        <f>IF($B116="",0,COUNTIFS('UX Weekly'!$H$1:$CT$1,"&gt;="&amp;AS$1,'UX Weekly'!$H$1:$CT$1,"&lt;="&amp;EOMONTH(AS$1,0),'UX Weekly'!$H116:$CT116,"&lt;&gt;"))</f>
        <v>0</v>
      </c>
      <c r="AT116">
        <f>IF($B116="",0,COUNTIFS('UX Weekly'!$H$1:$CT$1,"&gt;="&amp;AT$1,'UX Weekly'!$H$1:$CT$1,"&lt;="&amp;EOMONTH(AT$1,0),'UX Weekly'!$H116:$CT116,"&lt;&gt;"))</f>
        <v>0</v>
      </c>
      <c r="AU116">
        <f>IF($B116="",0,COUNTIFS('UX Weekly'!$H$1:$CT$1,"&gt;="&amp;AU$1,'UX Weekly'!$H$1:$CT$1,"&lt;="&amp;EOMONTH(AU$1,0),'UX Weekly'!$H116:$CT116,"&lt;&gt;"))</f>
        <v>0</v>
      </c>
      <c r="AV116">
        <f>IF($B116="",0,COUNTIFS('UX Weekly'!$H$1:$CT$1,"&gt;="&amp;AV$1,'UX Weekly'!$H$1:$CT$1,"&lt;="&amp;EOMONTH(AV$1,0),'UX Weekly'!$H116:$CT116,"&lt;&gt;"))</f>
        <v>0</v>
      </c>
      <c r="AW116">
        <f>IF($B116="",0,COUNTIFS('UX Weekly'!$H$1:$CT$1,"&gt;="&amp;AW$1,'UX Weekly'!$H$1:$CT$1,"&lt;="&amp;EOMONTH(AW$1,0),'UX Weekly'!$H116:$CT116,"&lt;&gt;"))</f>
        <v>0</v>
      </c>
      <c r="AX116">
        <f>IF($B116="",0,COUNTIFS('UX Weekly'!$H$1:$CT$1,"&gt;="&amp;AX$1,'UX Weekly'!$H$1:$CT$1,"&lt;="&amp;EOMONTH(AX$1,0),'UX Weekly'!$H116:$CT116,"&lt;&gt;"))</f>
        <v>0</v>
      </c>
    </row>
    <row r="117" spans="1:50" x14ac:dyDescent="0.2">
      <c r="A117" s="152">
        <v>117</v>
      </c>
      <c r="B117" s="152" t="str">
        <f>IF(TRIM('UX Weekly'!E117)="","",TRIM('UX Weekly'!E117))</f>
        <v/>
      </c>
      <c r="C117" s="152" t="str">
        <f>IF($B117="","",'UX Weekly'!B117)</f>
        <v/>
      </c>
      <c r="D117" s="152" t="str">
        <f>IF($B117="","",IF(TRIM('UX Weekly'!C117)="","(No theme assigned)",TRIM('UX Weekly'!C117)))</f>
        <v/>
      </c>
      <c r="E117" s="152" t="str">
        <f>IF($B117="","",TRIM('UX Weekly'!F117))</f>
        <v/>
      </c>
      <c r="F117" s="152" t="str">
        <f>IF($B117="","",'UX Weekly'!G117)</f>
        <v/>
      </c>
      <c r="G117" s="153" t="str">
        <f t="array" ref="G117">IF($B117="","",IF($T117=0,"",IFERROR(MIN(IF('UX Weekly'!$H117:$CT117&lt;&gt;"",'UX Weekly'!$H$1:$CT$1)),"")))</f>
        <v/>
      </c>
      <c r="H117" s="153" t="str">
        <f t="array" ref="H117">IF($B117="","",IF($T117=0,"",IFERROR(MAX(IF('UX Weekly'!$H117:$CT117&lt;&gt;"",'UX Weekly'!$H$1:$CT$1)),"")))</f>
        <v/>
      </c>
      <c r="I117" s="154" t="str">
        <f t="shared" ca="1" si="21"/>
        <v/>
      </c>
      <c r="J117" s="154" t="str">
        <f t="shared" ca="1" si="22"/>
        <v/>
      </c>
      <c r="K117" s="152" t="str">
        <f>IF($B117="","",IF(COUNTA('Dev Tracker'!L117)=0,"",TRIM('Dev Tracker'!L117)))</f>
        <v/>
      </c>
      <c r="L117" s="152" t="str">
        <f>IF($B117="","",IFERROR(MATCH($D117,Control!$E$4:$E$30,0),99))</f>
        <v/>
      </c>
      <c r="M117" s="152" t="str">
        <f>IF($B117="","",IFERROR(MATCH($F117,Control!$B$4:$B$30,0),99))</f>
        <v/>
      </c>
      <c r="N117" s="152" t="str">
        <f>IF($V117&lt;&gt;1,"",IF('Roadmap (Auto)'!$D$3="Status, then Theme",$M117*1000000+$L117*10000+ROW(),IF('Roadmap (Auto)'!$D$3="Dev start (earliest)",IF($I117="",99999999,$I117)*10000+ROW(),IF('Roadmap (Auto)'!$D$3="UX start (earliest)",IF($G117="",99999999,$G117)*10000+ROW(),IF('Roadmap (Auto)'!$D$3="Deliverable A-Z",$W117*10000+ROW(),$L117*1000000+$M117*10000+ROW())))))</f>
        <v/>
      </c>
      <c r="O117" s="152" t="str">
        <f t="shared" si="23"/>
        <v/>
      </c>
      <c r="P117" s="152" t="str">
        <f>IF($B117="","",IF(COUNTA('Dev Tracker'!I117)=0,"",'Dev Tracker'!I117))</f>
        <v/>
      </c>
      <c r="Q117" s="152" t="str">
        <f>IF($B117="","",IF(COUNTA('Dev Tracker'!J117)=0,"",'Dev Tracker'!J117))</f>
        <v/>
      </c>
      <c r="R117" s="154" t="str">
        <f t="shared" ca="1" si="24"/>
        <v/>
      </c>
      <c r="S117" s="154" t="str">
        <f t="shared" ca="1" si="25"/>
        <v/>
      </c>
      <c r="T117" s="152" t="str">
        <f>IF($B117="","",COUNTA('UX Weekly'!$H117:$CT117))</f>
        <v/>
      </c>
      <c r="U117" s="152" t="str">
        <f>IF($B117="","",IFERROR(MATCH($D117,Control!$E$4:$E$30,0)+3,0))</f>
        <v/>
      </c>
      <c r="V117" s="152" t="str">
        <f>IF($B117="","",IF(AND(OR('Roadmap (Auto)'!$A$3="",'Roadmap (Auto)'!$A$3="(All)",ISNUMBER(SEARCH('Roadmap (Auto)'!$A$3,$C117&amp;""))),OR('Roadmap (Auto)'!$B$3="",'Roadmap (Auto)'!$B$3="(All)",$D117='Roadmap (Auto)'!$B$3,$X117='Roadmap (Auto)'!$B$3),OR('Roadmap (Auto)'!$C$3="",'Roadmap (Auto)'!$C$3="(All)",$F117='Roadmap (Auto)'!$C$3)),1,0))</f>
        <v/>
      </c>
      <c r="W117" s="152" t="str">
        <f t="shared" si="26"/>
        <v/>
      </c>
      <c r="X117" s="152" t="str">
        <f>IF($B117="","",IF(TRIM('UX Weekly'!D117)="","",TRIM('UX Weekly'!D117)))</f>
        <v/>
      </c>
      <c r="Y117" s="152" t="str">
        <f t="shared" si="27"/>
        <v/>
      </c>
      <c r="AA117">
        <f>IF($B117="",0,COUNTIFS('UX Weekly'!$H$1:$CT$1,"&gt;="&amp;AA$1,'UX Weekly'!$H$1:$CT$1,"&lt;="&amp;EOMONTH(AA$1,0),'UX Weekly'!$H117:$CT117,"&lt;&gt;"))</f>
        <v>0</v>
      </c>
      <c r="AB117">
        <f>IF($B117="",0,COUNTIFS('UX Weekly'!$H$1:$CT$1,"&gt;="&amp;AB$1,'UX Weekly'!$H$1:$CT$1,"&lt;="&amp;EOMONTH(AB$1,0),'UX Weekly'!$H117:$CT117,"&lt;&gt;"))</f>
        <v>0</v>
      </c>
      <c r="AC117">
        <f>IF($B117="",0,COUNTIFS('UX Weekly'!$H$1:$CT$1,"&gt;="&amp;AC$1,'UX Weekly'!$H$1:$CT$1,"&lt;="&amp;EOMONTH(AC$1,0),'UX Weekly'!$H117:$CT117,"&lt;&gt;"))</f>
        <v>0</v>
      </c>
      <c r="AD117">
        <f>IF($B117="",0,COUNTIFS('UX Weekly'!$H$1:$CT$1,"&gt;="&amp;AD$1,'UX Weekly'!$H$1:$CT$1,"&lt;="&amp;EOMONTH(AD$1,0),'UX Weekly'!$H117:$CT117,"&lt;&gt;"))</f>
        <v>0</v>
      </c>
      <c r="AE117">
        <f>IF($B117="",0,COUNTIFS('UX Weekly'!$H$1:$CT$1,"&gt;="&amp;AE$1,'UX Weekly'!$H$1:$CT$1,"&lt;="&amp;EOMONTH(AE$1,0),'UX Weekly'!$H117:$CT117,"&lt;&gt;"))</f>
        <v>0</v>
      </c>
      <c r="AF117">
        <f>IF($B117="",0,COUNTIFS('UX Weekly'!$H$1:$CT$1,"&gt;="&amp;AF$1,'UX Weekly'!$H$1:$CT$1,"&lt;="&amp;EOMONTH(AF$1,0),'UX Weekly'!$H117:$CT117,"&lt;&gt;"))</f>
        <v>0</v>
      </c>
      <c r="AG117">
        <f>IF($B117="",0,COUNTIFS('UX Weekly'!$H$1:$CT$1,"&gt;="&amp;AG$1,'UX Weekly'!$H$1:$CT$1,"&lt;="&amp;EOMONTH(AG$1,0),'UX Weekly'!$H117:$CT117,"&lt;&gt;"))</f>
        <v>0</v>
      </c>
      <c r="AH117">
        <f>IF($B117="",0,COUNTIFS('UX Weekly'!$H$1:$CT$1,"&gt;="&amp;AH$1,'UX Weekly'!$H$1:$CT$1,"&lt;="&amp;EOMONTH(AH$1,0),'UX Weekly'!$H117:$CT117,"&lt;&gt;"))</f>
        <v>0</v>
      </c>
      <c r="AI117">
        <f>IF($B117="",0,COUNTIFS('UX Weekly'!$H$1:$CT$1,"&gt;="&amp;AI$1,'UX Weekly'!$H$1:$CT$1,"&lt;="&amp;EOMONTH(AI$1,0),'UX Weekly'!$H117:$CT117,"&lt;&gt;"))</f>
        <v>0</v>
      </c>
      <c r="AJ117">
        <f>IF($B117="",0,COUNTIFS('UX Weekly'!$H$1:$CT$1,"&gt;="&amp;AJ$1,'UX Weekly'!$H$1:$CT$1,"&lt;="&amp;EOMONTH(AJ$1,0),'UX Weekly'!$H117:$CT117,"&lt;&gt;"))</f>
        <v>0</v>
      </c>
      <c r="AK117">
        <f>IF($B117="",0,COUNTIFS('UX Weekly'!$H$1:$CT$1,"&gt;="&amp;AK$1,'UX Weekly'!$H$1:$CT$1,"&lt;="&amp;EOMONTH(AK$1,0),'UX Weekly'!$H117:$CT117,"&lt;&gt;"))</f>
        <v>0</v>
      </c>
      <c r="AL117">
        <f>IF($B117="",0,COUNTIFS('UX Weekly'!$H$1:$CT$1,"&gt;="&amp;AL$1,'UX Weekly'!$H$1:$CT$1,"&lt;="&amp;EOMONTH(AL$1,0),'UX Weekly'!$H117:$CT117,"&lt;&gt;"))</f>
        <v>0</v>
      </c>
      <c r="AM117">
        <f>IF($B117="",0,COUNTIFS('UX Weekly'!$H$1:$CT$1,"&gt;="&amp;AM$1,'UX Weekly'!$H$1:$CT$1,"&lt;="&amp;EOMONTH(AM$1,0),'UX Weekly'!$H117:$CT117,"&lt;&gt;"))</f>
        <v>0</v>
      </c>
      <c r="AN117">
        <f>IF($B117="",0,COUNTIFS('UX Weekly'!$H$1:$CT$1,"&gt;="&amp;AN$1,'UX Weekly'!$H$1:$CT$1,"&lt;="&amp;EOMONTH(AN$1,0),'UX Weekly'!$H117:$CT117,"&lt;&gt;"))</f>
        <v>0</v>
      </c>
      <c r="AO117">
        <f>IF($B117="",0,COUNTIFS('UX Weekly'!$H$1:$CT$1,"&gt;="&amp;AO$1,'UX Weekly'!$H$1:$CT$1,"&lt;="&amp;EOMONTH(AO$1,0),'UX Weekly'!$H117:$CT117,"&lt;&gt;"))</f>
        <v>0</v>
      </c>
      <c r="AP117">
        <f>IF($B117="",0,COUNTIFS('UX Weekly'!$H$1:$CT$1,"&gt;="&amp;AP$1,'UX Weekly'!$H$1:$CT$1,"&lt;="&amp;EOMONTH(AP$1,0),'UX Weekly'!$H117:$CT117,"&lt;&gt;"))</f>
        <v>0</v>
      </c>
      <c r="AQ117">
        <f>IF($B117="",0,COUNTIFS('UX Weekly'!$H$1:$CT$1,"&gt;="&amp;AQ$1,'UX Weekly'!$H$1:$CT$1,"&lt;="&amp;EOMONTH(AQ$1,0),'UX Weekly'!$H117:$CT117,"&lt;&gt;"))</f>
        <v>0</v>
      </c>
      <c r="AR117">
        <f>IF($B117="",0,COUNTIFS('UX Weekly'!$H$1:$CT$1,"&gt;="&amp;AR$1,'UX Weekly'!$H$1:$CT$1,"&lt;="&amp;EOMONTH(AR$1,0),'UX Weekly'!$H117:$CT117,"&lt;&gt;"))</f>
        <v>0</v>
      </c>
      <c r="AS117">
        <f>IF($B117="",0,COUNTIFS('UX Weekly'!$H$1:$CT$1,"&gt;="&amp;AS$1,'UX Weekly'!$H$1:$CT$1,"&lt;="&amp;EOMONTH(AS$1,0),'UX Weekly'!$H117:$CT117,"&lt;&gt;"))</f>
        <v>0</v>
      </c>
      <c r="AT117">
        <f>IF($B117="",0,COUNTIFS('UX Weekly'!$H$1:$CT$1,"&gt;="&amp;AT$1,'UX Weekly'!$H$1:$CT$1,"&lt;="&amp;EOMONTH(AT$1,0),'UX Weekly'!$H117:$CT117,"&lt;&gt;"))</f>
        <v>0</v>
      </c>
      <c r="AU117">
        <f>IF($B117="",0,COUNTIFS('UX Weekly'!$H$1:$CT$1,"&gt;="&amp;AU$1,'UX Weekly'!$H$1:$CT$1,"&lt;="&amp;EOMONTH(AU$1,0),'UX Weekly'!$H117:$CT117,"&lt;&gt;"))</f>
        <v>0</v>
      </c>
      <c r="AV117">
        <f>IF($B117="",0,COUNTIFS('UX Weekly'!$H$1:$CT$1,"&gt;="&amp;AV$1,'UX Weekly'!$H$1:$CT$1,"&lt;="&amp;EOMONTH(AV$1,0),'UX Weekly'!$H117:$CT117,"&lt;&gt;"))</f>
        <v>0</v>
      </c>
      <c r="AW117">
        <f>IF($B117="",0,COUNTIFS('UX Weekly'!$H$1:$CT$1,"&gt;="&amp;AW$1,'UX Weekly'!$H$1:$CT$1,"&lt;="&amp;EOMONTH(AW$1,0),'UX Weekly'!$H117:$CT117,"&lt;&gt;"))</f>
        <v>0</v>
      </c>
      <c r="AX117">
        <f>IF($B117="",0,COUNTIFS('UX Weekly'!$H$1:$CT$1,"&gt;="&amp;AX$1,'UX Weekly'!$H$1:$CT$1,"&lt;="&amp;EOMONTH(AX$1,0),'UX Weekly'!$H117:$CT117,"&lt;&gt;"))</f>
        <v>0</v>
      </c>
    </row>
    <row r="118" spans="1:50" x14ac:dyDescent="0.2">
      <c r="A118" s="152">
        <v>118</v>
      </c>
      <c r="B118" s="152" t="str">
        <f>IF(TRIM('UX Weekly'!E118)="","",TRIM('UX Weekly'!E118))</f>
        <v/>
      </c>
      <c r="C118" s="152" t="str">
        <f>IF($B118="","",'UX Weekly'!B118)</f>
        <v/>
      </c>
      <c r="D118" s="152" t="str">
        <f>IF($B118="","",IF(TRIM('UX Weekly'!C118)="","(No theme assigned)",TRIM('UX Weekly'!C118)))</f>
        <v/>
      </c>
      <c r="E118" s="152" t="str">
        <f>IF($B118="","",TRIM('UX Weekly'!F118))</f>
        <v/>
      </c>
      <c r="F118" s="152" t="str">
        <f>IF($B118="","",'UX Weekly'!G118)</f>
        <v/>
      </c>
      <c r="G118" s="153" t="str">
        <f t="array" ref="G118">IF($B118="","",IF($T118=0,"",IFERROR(MIN(IF('UX Weekly'!$H118:$CT118&lt;&gt;"",'UX Weekly'!$H$1:$CT$1)),"")))</f>
        <v/>
      </c>
      <c r="H118" s="153" t="str">
        <f t="array" ref="H118">IF($B118="","",IF($T118=0,"",IFERROR(MAX(IF('UX Weekly'!$H118:$CT118&lt;&gt;"",'UX Weekly'!$H$1:$CT$1)),"")))</f>
        <v/>
      </c>
      <c r="I118" s="154" t="str">
        <f t="shared" ca="1" si="21"/>
        <v/>
      </c>
      <c r="J118" s="154" t="str">
        <f t="shared" ca="1" si="22"/>
        <v/>
      </c>
      <c r="K118" s="152" t="str">
        <f>IF($B118="","",IF(COUNTA('Dev Tracker'!L118)=0,"",TRIM('Dev Tracker'!L118)))</f>
        <v/>
      </c>
      <c r="L118" s="152" t="str">
        <f>IF($B118="","",IFERROR(MATCH($D118,Control!$E$4:$E$30,0),99))</f>
        <v/>
      </c>
      <c r="M118" s="152" t="str">
        <f>IF($B118="","",IFERROR(MATCH($F118,Control!$B$4:$B$30,0),99))</f>
        <v/>
      </c>
      <c r="N118" s="152" t="str">
        <f>IF($V118&lt;&gt;1,"",IF('Roadmap (Auto)'!$D$3="Status, then Theme",$M118*1000000+$L118*10000+ROW(),IF('Roadmap (Auto)'!$D$3="Dev start (earliest)",IF($I118="",99999999,$I118)*10000+ROW(),IF('Roadmap (Auto)'!$D$3="UX start (earliest)",IF($G118="",99999999,$G118)*10000+ROW(),IF('Roadmap (Auto)'!$D$3="Deliverable A-Z",$W118*10000+ROW(),$L118*1000000+$M118*10000+ROW())))))</f>
        <v/>
      </c>
      <c r="O118" s="152" t="str">
        <f t="shared" si="23"/>
        <v/>
      </c>
      <c r="P118" s="152" t="str">
        <f>IF($B118="","",IF(COUNTA('Dev Tracker'!I118)=0,"",'Dev Tracker'!I118))</f>
        <v/>
      </c>
      <c r="Q118" s="152" t="str">
        <f>IF($B118="","",IF(COUNTA('Dev Tracker'!J118)=0,"",'Dev Tracker'!J118))</f>
        <v/>
      </c>
      <c r="R118" s="154" t="str">
        <f t="shared" ca="1" si="24"/>
        <v/>
      </c>
      <c r="S118" s="154" t="str">
        <f t="shared" ca="1" si="25"/>
        <v/>
      </c>
      <c r="T118" s="152" t="str">
        <f>IF($B118="","",COUNTA('UX Weekly'!$H118:$CT118))</f>
        <v/>
      </c>
      <c r="U118" s="152" t="str">
        <f>IF($B118="","",IFERROR(MATCH($D118,Control!$E$4:$E$30,0)+3,0))</f>
        <v/>
      </c>
      <c r="V118" s="152" t="str">
        <f>IF($B118="","",IF(AND(OR('Roadmap (Auto)'!$A$3="",'Roadmap (Auto)'!$A$3="(All)",ISNUMBER(SEARCH('Roadmap (Auto)'!$A$3,$C118&amp;""))),OR('Roadmap (Auto)'!$B$3="",'Roadmap (Auto)'!$B$3="(All)",$D118='Roadmap (Auto)'!$B$3,$X118='Roadmap (Auto)'!$B$3),OR('Roadmap (Auto)'!$C$3="",'Roadmap (Auto)'!$C$3="(All)",$F118='Roadmap (Auto)'!$C$3)),1,0))</f>
        <v/>
      </c>
      <c r="W118" s="152" t="str">
        <f t="shared" si="26"/>
        <v/>
      </c>
      <c r="X118" s="152" t="str">
        <f>IF($B118="","",IF(TRIM('UX Weekly'!D118)="","",TRIM('UX Weekly'!D118)))</f>
        <v/>
      </c>
      <c r="Y118" s="152" t="str">
        <f t="shared" si="27"/>
        <v/>
      </c>
      <c r="AA118">
        <f>IF($B118="",0,COUNTIFS('UX Weekly'!$H$1:$CT$1,"&gt;="&amp;AA$1,'UX Weekly'!$H$1:$CT$1,"&lt;="&amp;EOMONTH(AA$1,0),'UX Weekly'!$H118:$CT118,"&lt;&gt;"))</f>
        <v>0</v>
      </c>
      <c r="AB118">
        <f>IF($B118="",0,COUNTIFS('UX Weekly'!$H$1:$CT$1,"&gt;="&amp;AB$1,'UX Weekly'!$H$1:$CT$1,"&lt;="&amp;EOMONTH(AB$1,0),'UX Weekly'!$H118:$CT118,"&lt;&gt;"))</f>
        <v>0</v>
      </c>
      <c r="AC118">
        <f>IF($B118="",0,COUNTIFS('UX Weekly'!$H$1:$CT$1,"&gt;="&amp;AC$1,'UX Weekly'!$H$1:$CT$1,"&lt;="&amp;EOMONTH(AC$1,0),'UX Weekly'!$H118:$CT118,"&lt;&gt;"))</f>
        <v>0</v>
      </c>
      <c r="AD118">
        <f>IF($B118="",0,COUNTIFS('UX Weekly'!$H$1:$CT$1,"&gt;="&amp;AD$1,'UX Weekly'!$H$1:$CT$1,"&lt;="&amp;EOMONTH(AD$1,0),'UX Weekly'!$H118:$CT118,"&lt;&gt;"))</f>
        <v>0</v>
      </c>
      <c r="AE118">
        <f>IF($B118="",0,COUNTIFS('UX Weekly'!$H$1:$CT$1,"&gt;="&amp;AE$1,'UX Weekly'!$H$1:$CT$1,"&lt;="&amp;EOMONTH(AE$1,0),'UX Weekly'!$H118:$CT118,"&lt;&gt;"))</f>
        <v>0</v>
      </c>
      <c r="AF118">
        <f>IF($B118="",0,COUNTIFS('UX Weekly'!$H$1:$CT$1,"&gt;="&amp;AF$1,'UX Weekly'!$H$1:$CT$1,"&lt;="&amp;EOMONTH(AF$1,0),'UX Weekly'!$H118:$CT118,"&lt;&gt;"))</f>
        <v>0</v>
      </c>
      <c r="AG118">
        <f>IF($B118="",0,COUNTIFS('UX Weekly'!$H$1:$CT$1,"&gt;="&amp;AG$1,'UX Weekly'!$H$1:$CT$1,"&lt;="&amp;EOMONTH(AG$1,0),'UX Weekly'!$H118:$CT118,"&lt;&gt;"))</f>
        <v>0</v>
      </c>
      <c r="AH118">
        <f>IF($B118="",0,COUNTIFS('UX Weekly'!$H$1:$CT$1,"&gt;="&amp;AH$1,'UX Weekly'!$H$1:$CT$1,"&lt;="&amp;EOMONTH(AH$1,0),'UX Weekly'!$H118:$CT118,"&lt;&gt;"))</f>
        <v>0</v>
      </c>
      <c r="AI118">
        <f>IF($B118="",0,COUNTIFS('UX Weekly'!$H$1:$CT$1,"&gt;="&amp;AI$1,'UX Weekly'!$H$1:$CT$1,"&lt;="&amp;EOMONTH(AI$1,0),'UX Weekly'!$H118:$CT118,"&lt;&gt;"))</f>
        <v>0</v>
      </c>
      <c r="AJ118">
        <f>IF($B118="",0,COUNTIFS('UX Weekly'!$H$1:$CT$1,"&gt;="&amp;AJ$1,'UX Weekly'!$H$1:$CT$1,"&lt;="&amp;EOMONTH(AJ$1,0),'UX Weekly'!$H118:$CT118,"&lt;&gt;"))</f>
        <v>0</v>
      </c>
      <c r="AK118">
        <f>IF($B118="",0,COUNTIFS('UX Weekly'!$H$1:$CT$1,"&gt;="&amp;AK$1,'UX Weekly'!$H$1:$CT$1,"&lt;="&amp;EOMONTH(AK$1,0),'UX Weekly'!$H118:$CT118,"&lt;&gt;"))</f>
        <v>0</v>
      </c>
      <c r="AL118">
        <f>IF($B118="",0,COUNTIFS('UX Weekly'!$H$1:$CT$1,"&gt;="&amp;AL$1,'UX Weekly'!$H$1:$CT$1,"&lt;="&amp;EOMONTH(AL$1,0),'UX Weekly'!$H118:$CT118,"&lt;&gt;"))</f>
        <v>0</v>
      </c>
      <c r="AM118">
        <f>IF($B118="",0,COUNTIFS('UX Weekly'!$H$1:$CT$1,"&gt;="&amp;AM$1,'UX Weekly'!$H$1:$CT$1,"&lt;="&amp;EOMONTH(AM$1,0),'UX Weekly'!$H118:$CT118,"&lt;&gt;"))</f>
        <v>0</v>
      </c>
      <c r="AN118">
        <f>IF($B118="",0,COUNTIFS('UX Weekly'!$H$1:$CT$1,"&gt;="&amp;AN$1,'UX Weekly'!$H$1:$CT$1,"&lt;="&amp;EOMONTH(AN$1,0),'UX Weekly'!$H118:$CT118,"&lt;&gt;"))</f>
        <v>0</v>
      </c>
      <c r="AO118">
        <f>IF($B118="",0,COUNTIFS('UX Weekly'!$H$1:$CT$1,"&gt;="&amp;AO$1,'UX Weekly'!$H$1:$CT$1,"&lt;="&amp;EOMONTH(AO$1,0),'UX Weekly'!$H118:$CT118,"&lt;&gt;"))</f>
        <v>0</v>
      </c>
      <c r="AP118">
        <f>IF($B118="",0,COUNTIFS('UX Weekly'!$H$1:$CT$1,"&gt;="&amp;AP$1,'UX Weekly'!$H$1:$CT$1,"&lt;="&amp;EOMONTH(AP$1,0),'UX Weekly'!$H118:$CT118,"&lt;&gt;"))</f>
        <v>0</v>
      </c>
      <c r="AQ118">
        <f>IF($B118="",0,COUNTIFS('UX Weekly'!$H$1:$CT$1,"&gt;="&amp;AQ$1,'UX Weekly'!$H$1:$CT$1,"&lt;="&amp;EOMONTH(AQ$1,0),'UX Weekly'!$H118:$CT118,"&lt;&gt;"))</f>
        <v>0</v>
      </c>
      <c r="AR118">
        <f>IF($B118="",0,COUNTIFS('UX Weekly'!$H$1:$CT$1,"&gt;="&amp;AR$1,'UX Weekly'!$H$1:$CT$1,"&lt;="&amp;EOMONTH(AR$1,0),'UX Weekly'!$H118:$CT118,"&lt;&gt;"))</f>
        <v>0</v>
      </c>
      <c r="AS118">
        <f>IF($B118="",0,COUNTIFS('UX Weekly'!$H$1:$CT$1,"&gt;="&amp;AS$1,'UX Weekly'!$H$1:$CT$1,"&lt;="&amp;EOMONTH(AS$1,0),'UX Weekly'!$H118:$CT118,"&lt;&gt;"))</f>
        <v>0</v>
      </c>
      <c r="AT118">
        <f>IF($B118="",0,COUNTIFS('UX Weekly'!$H$1:$CT$1,"&gt;="&amp;AT$1,'UX Weekly'!$H$1:$CT$1,"&lt;="&amp;EOMONTH(AT$1,0),'UX Weekly'!$H118:$CT118,"&lt;&gt;"))</f>
        <v>0</v>
      </c>
      <c r="AU118">
        <f>IF($B118="",0,COUNTIFS('UX Weekly'!$H$1:$CT$1,"&gt;="&amp;AU$1,'UX Weekly'!$H$1:$CT$1,"&lt;="&amp;EOMONTH(AU$1,0),'UX Weekly'!$H118:$CT118,"&lt;&gt;"))</f>
        <v>0</v>
      </c>
      <c r="AV118">
        <f>IF($B118="",0,COUNTIFS('UX Weekly'!$H$1:$CT$1,"&gt;="&amp;AV$1,'UX Weekly'!$H$1:$CT$1,"&lt;="&amp;EOMONTH(AV$1,0),'UX Weekly'!$H118:$CT118,"&lt;&gt;"))</f>
        <v>0</v>
      </c>
      <c r="AW118">
        <f>IF($B118="",0,COUNTIFS('UX Weekly'!$H$1:$CT$1,"&gt;="&amp;AW$1,'UX Weekly'!$H$1:$CT$1,"&lt;="&amp;EOMONTH(AW$1,0),'UX Weekly'!$H118:$CT118,"&lt;&gt;"))</f>
        <v>0</v>
      </c>
      <c r="AX118">
        <f>IF($B118="",0,COUNTIFS('UX Weekly'!$H$1:$CT$1,"&gt;="&amp;AX$1,'UX Weekly'!$H$1:$CT$1,"&lt;="&amp;EOMONTH(AX$1,0),'UX Weekly'!$H118:$CT118,"&lt;&gt;"))</f>
        <v>0</v>
      </c>
    </row>
    <row r="119" spans="1:50" x14ac:dyDescent="0.2">
      <c r="A119" s="152">
        <v>119</v>
      </c>
      <c r="B119" s="152" t="str">
        <f>IF(TRIM('UX Weekly'!E119)="","",TRIM('UX Weekly'!E119))</f>
        <v/>
      </c>
      <c r="C119" s="152" t="str">
        <f>IF($B119="","",'UX Weekly'!B119)</f>
        <v/>
      </c>
      <c r="D119" s="152" t="str">
        <f>IF($B119="","",IF(TRIM('UX Weekly'!C119)="","(No theme assigned)",TRIM('UX Weekly'!C119)))</f>
        <v/>
      </c>
      <c r="E119" s="152" t="str">
        <f>IF($B119="","",TRIM('UX Weekly'!F119))</f>
        <v/>
      </c>
      <c r="F119" s="152" t="str">
        <f>IF($B119="","",'UX Weekly'!G119)</f>
        <v/>
      </c>
      <c r="G119" s="153" t="str">
        <f t="array" ref="G119">IF($B119="","",IF($T119=0,"",IFERROR(MIN(IF('UX Weekly'!$H119:$CT119&lt;&gt;"",'UX Weekly'!$H$1:$CT$1)),"")))</f>
        <v/>
      </c>
      <c r="H119" s="153" t="str">
        <f t="array" ref="H119">IF($B119="","",IF($T119=0,"",IFERROR(MAX(IF('UX Weekly'!$H119:$CT119&lt;&gt;"",'UX Weekly'!$H$1:$CT$1)),"")))</f>
        <v/>
      </c>
      <c r="I119" s="154" t="str">
        <f t="shared" ca="1" si="21"/>
        <v/>
      </c>
      <c r="J119" s="154" t="str">
        <f t="shared" ca="1" si="22"/>
        <v/>
      </c>
      <c r="K119" s="152" t="str">
        <f>IF($B119="","",IF(COUNTA('Dev Tracker'!L119)=0,"",TRIM('Dev Tracker'!L119)))</f>
        <v/>
      </c>
      <c r="L119" s="152" t="str">
        <f>IF($B119="","",IFERROR(MATCH($D119,Control!$E$4:$E$30,0),99))</f>
        <v/>
      </c>
      <c r="M119" s="152" t="str">
        <f>IF($B119="","",IFERROR(MATCH($F119,Control!$B$4:$B$30,0),99))</f>
        <v/>
      </c>
      <c r="N119" s="152" t="str">
        <f>IF($V119&lt;&gt;1,"",IF('Roadmap (Auto)'!$D$3="Status, then Theme",$M119*1000000+$L119*10000+ROW(),IF('Roadmap (Auto)'!$D$3="Dev start (earliest)",IF($I119="",99999999,$I119)*10000+ROW(),IF('Roadmap (Auto)'!$D$3="UX start (earliest)",IF($G119="",99999999,$G119)*10000+ROW(),IF('Roadmap (Auto)'!$D$3="Deliverable A-Z",$W119*10000+ROW(),$L119*1000000+$M119*10000+ROW())))))</f>
        <v/>
      </c>
      <c r="O119" s="152" t="str">
        <f t="shared" si="23"/>
        <v/>
      </c>
      <c r="P119" s="152" t="str">
        <f>IF($B119="","",IF(COUNTA('Dev Tracker'!I119)=0,"",'Dev Tracker'!I119))</f>
        <v/>
      </c>
      <c r="Q119" s="152" t="str">
        <f>IF($B119="","",IF(COUNTA('Dev Tracker'!J119)=0,"",'Dev Tracker'!J119))</f>
        <v/>
      </c>
      <c r="R119" s="154" t="str">
        <f t="shared" ca="1" si="24"/>
        <v/>
      </c>
      <c r="S119" s="154" t="str">
        <f t="shared" ca="1" si="25"/>
        <v/>
      </c>
      <c r="T119" s="152" t="str">
        <f>IF($B119="","",COUNTA('UX Weekly'!$H119:$CT119))</f>
        <v/>
      </c>
      <c r="U119" s="152" t="str">
        <f>IF($B119="","",IFERROR(MATCH($D119,Control!$E$4:$E$30,0)+3,0))</f>
        <v/>
      </c>
      <c r="V119" s="152" t="str">
        <f>IF($B119="","",IF(AND(OR('Roadmap (Auto)'!$A$3="",'Roadmap (Auto)'!$A$3="(All)",ISNUMBER(SEARCH('Roadmap (Auto)'!$A$3,$C119&amp;""))),OR('Roadmap (Auto)'!$B$3="",'Roadmap (Auto)'!$B$3="(All)",$D119='Roadmap (Auto)'!$B$3,$X119='Roadmap (Auto)'!$B$3),OR('Roadmap (Auto)'!$C$3="",'Roadmap (Auto)'!$C$3="(All)",$F119='Roadmap (Auto)'!$C$3)),1,0))</f>
        <v/>
      </c>
      <c r="W119" s="152" t="str">
        <f t="shared" si="26"/>
        <v/>
      </c>
      <c r="X119" s="152" t="str">
        <f>IF($B119="","",IF(TRIM('UX Weekly'!D119)="","",TRIM('UX Weekly'!D119)))</f>
        <v/>
      </c>
      <c r="Y119" s="152" t="str">
        <f t="shared" si="27"/>
        <v/>
      </c>
      <c r="AA119">
        <f>IF($B119="",0,COUNTIFS('UX Weekly'!$H$1:$CT$1,"&gt;="&amp;AA$1,'UX Weekly'!$H$1:$CT$1,"&lt;="&amp;EOMONTH(AA$1,0),'UX Weekly'!$H119:$CT119,"&lt;&gt;"))</f>
        <v>0</v>
      </c>
      <c r="AB119">
        <f>IF($B119="",0,COUNTIFS('UX Weekly'!$H$1:$CT$1,"&gt;="&amp;AB$1,'UX Weekly'!$H$1:$CT$1,"&lt;="&amp;EOMONTH(AB$1,0),'UX Weekly'!$H119:$CT119,"&lt;&gt;"))</f>
        <v>0</v>
      </c>
      <c r="AC119">
        <f>IF($B119="",0,COUNTIFS('UX Weekly'!$H$1:$CT$1,"&gt;="&amp;AC$1,'UX Weekly'!$H$1:$CT$1,"&lt;="&amp;EOMONTH(AC$1,0),'UX Weekly'!$H119:$CT119,"&lt;&gt;"))</f>
        <v>0</v>
      </c>
      <c r="AD119">
        <f>IF($B119="",0,COUNTIFS('UX Weekly'!$H$1:$CT$1,"&gt;="&amp;AD$1,'UX Weekly'!$H$1:$CT$1,"&lt;="&amp;EOMONTH(AD$1,0),'UX Weekly'!$H119:$CT119,"&lt;&gt;"))</f>
        <v>0</v>
      </c>
      <c r="AE119">
        <f>IF($B119="",0,COUNTIFS('UX Weekly'!$H$1:$CT$1,"&gt;="&amp;AE$1,'UX Weekly'!$H$1:$CT$1,"&lt;="&amp;EOMONTH(AE$1,0),'UX Weekly'!$H119:$CT119,"&lt;&gt;"))</f>
        <v>0</v>
      </c>
      <c r="AF119">
        <f>IF($B119="",0,COUNTIFS('UX Weekly'!$H$1:$CT$1,"&gt;="&amp;AF$1,'UX Weekly'!$H$1:$CT$1,"&lt;="&amp;EOMONTH(AF$1,0),'UX Weekly'!$H119:$CT119,"&lt;&gt;"))</f>
        <v>0</v>
      </c>
      <c r="AG119">
        <f>IF($B119="",0,COUNTIFS('UX Weekly'!$H$1:$CT$1,"&gt;="&amp;AG$1,'UX Weekly'!$H$1:$CT$1,"&lt;="&amp;EOMONTH(AG$1,0),'UX Weekly'!$H119:$CT119,"&lt;&gt;"))</f>
        <v>0</v>
      </c>
      <c r="AH119">
        <f>IF($B119="",0,COUNTIFS('UX Weekly'!$H$1:$CT$1,"&gt;="&amp;AH$1,'UX Weekly'!$H$1:$CT$1,"&lt;="&amp;EOMONTH(AH$1,0),'UX Weekly'!$H119:$CT119,"&lt;&gt;"))</f>
        <v>0</v>
      </c>
      <c r="AI119">
        <f>IF($B119="",0,COUNTIFS('UX Weekly'!$H$1:$CT$1,"&gt;="&amp;AI$1,'UX Weekly'!$H$1:$CT$1,"&lt;="&amp;EOMONTH(AI$1,0),'UX Weekly'!$H119:$CT119,"&lt;&gt;"))</f>
        <v>0</v>
      </c>
      <c r="AJ119">
        <f>IF($B119="",0,COUNTIFS('UX Weekly'!$H$1:$CT$1,"&gt;="&amp;AJ$1,'UX Weekly'!$H$1:$CT$1,"&lt;="&amp;EOMONTH(AJ$1,0),'UX Weekly'!$H119:$CT119,"&lt;&gt;"))</f>
        <v>0</v>
      </c>
      <c r="AK119">
        <f>IF($B119="",0,COUNTIFS('UX Weekly'!$H$1:$CT$1,"&gt;="&amp;AK$1,'UX Weekly'!$H$1:$CT$1,"&lt;="&amp;EOMONTH(AK$1,0),'UX Weekly'!$H119:$CT119,"&lt;&gt;"))</f>
        <v>0</v>
      </c>
      <c r="AL119">
        <f>IF($B119="",0,COUNTIFS('UX Weekly'!$H$1:$CT$1,"&gt;="&amp;AL$1,'UX Weekly'!$H$1:$CT$1,"&lt;="&amp;EOMONTH(AL$1,0),'UX Weekly'!$H119:$CT119,"&lt;&gt;"))</f>
        <v>0</v>
      </c>
      <c r="AM119">
        <f>IF($B119="",0,COUNTIFS('UX Weekly'!$H$1:$CT$1,"&gt;="&amp;AM$1,'UX Weekly'!$H$1:$CT$1,"&lt;="&amp;EOMONTH(AM$1,0),'UX Weekly'!$H119:$CT119,"&lt;&gt;"))</f>
        <v>0</v>
      </c>
      <c r="AN119">
        <f>IF($B119="",0,COUNTIFS('UX Weekly'!$H$1:$CT$1,"&gt;="&amp;AN$1,'UX Weekly'!$H$1:$CT$1,"&lt;="&amp;EOMONTH(AN$1,0),'UX Weekly'!$H119:$CT119,"&lt;&gt;"))</f>
        <v>0</v>
      </c>
      <c r="AO119">
        <f>IF($B119="",0,COUNTIFS('UX Weekly'!$H$1:$CT$1,"&gt;="&amp;AO$1,'UX Weekly'!$H$1:$CT$1,"&lt;="&amp;EOMONTH(AO$1,0),'UX Weekly'!$H119:$CT119,"&lt;&gt;"))</f>
        <v>0</v>
      </c>
      <c r="AP119">
        <f>IF($B119="",0,COUNTIFS('UX Weekly'!$H$1:$CT$1,"&gt;="&amp;AP$1,'UX Weekly'!$H$1:$CT$1,"&lt;="&amp;EOMONTH(AP$1,0),'UX Weekly'!$H119:$CT119,"&lt;&gt;"))</f>
        <v>0</v>
      </c>
      <c r="AQ119">
        <f>IF($B119="",0,COUNTIFS('UX Weekly'!$H$1:$CT$1,"&gt;="&amp;AQ$1,'UX Weekly'!$H$1:$CT$1,"&lt;="&amp;EOMONTH(AQ$1,0),'UX Weekly'!$H119:$CT119,"&lt;&gt;"))</f>
        <v>0</v>
      </c>
      <c r="AR119">
        <f>IF($B119="",0,COUNTIFS('UX Weekly'!$H$1:$CT$1,"&gt;="&amp;AR$1,'UX Weekly'!$H$1:$CT$1,"&lt;="&amp;EOMONTH(AR$1,0),'UX Weekly'!$H119:$CT119,"&lt;&gt;"))</f>
        <v>0</v>
      </c>
      <c r="AS119">
        <f>IF($B119="",0,COUNTIFS('UX Weekly'!$H$1:$CT$1,"&gt;="&amp;AS$1,'UX Weekly'!$H$1:$CT$1,"&lt;="&amp;EOMONTH(AS$1,0),'UX Weekly'!$H119:$CT119,"&lt;&gt;"))</f>
        <v>0</v>
      </c>
      <c r="AT119">
        <f>IF($B119="",0,COUNTIFS('UX Weekly'!$H$1:$CT$1,"&gt;="&amp;AT$1,'UX Weekly'!$H$1:$CT$1,"&lt;="&amp;EOMONTH(AT$1,0),'UX Weekly'!$H119:$CT119,"&lt;&gt;"))</f>
        <v>0</v>
      </c>
      <c r="AU119">
        <f>IF($B119="",0,COUNTIFS('UX Weekly'!$H$1:$CT$1,"&gt;="&amp;AU$1,'UX Weekly'!$H$1:$CT$1,"&lt;="&amp;EOMONTH(AU$1,0),'UX Weekly'!$H119:$CT119,"&lt;&gt;"))</f>
        <v>0</v>
      </c>
      <c r="AV119">
        <f>IF($B119="",0,COUNTIFS('UX Weekly'!$H$1:$CT$1,"&gt;="&amp;AV$1,'UX Weekly'!$H$1:$CT$1,"&lt;="&amp;EOMONTH(AV$1,0),'UX Weekly'!$H119:$CT119,"&lt;&gt;"))</f>
        <v>0</v>
      </c>
      <c r="AW119">
        <f>IF($B119="",0,COUNTIFS('UX Weekly'!$H$1:$CT$1,"&gt;="&amp;AW$1,'UX Weekly'!$H$1:$CT$1,"&lt;="&amp;EOMONTH(AW$1,0),'UX Weekly'!$H119:$CT119,"&lt;&gt;"))</f>
        <v>0</v>
      </c>
      <c r="AX119">
        <f>IF($B119="",0,COUNTIFS('UX Weekly'!$H$1:$CT$1,"&gt;="&amp;AX$1,'UX Weekly'!$H$1:$CT$1,"&lt;="&amp;EOMONTH(AX$1,0),'UX Weekly'!$H119:$CT119,"&lt;&gt;"))</f>
        <v>0</v>
      </c>
    </row>
    <row r="120" spans="1:50" x14ac:dyDescent="0.2">
      <c r="A120" s="152">
        <v>120</v>
      </c>
      <c r="B120" s="152" t="str">
        <f>IF(TRIM('UX Weekly'!E120)="","",TRIM('UX Weekly'!E120))</f>
        <v/>
      </c>
      <c r="C120" s="152" t="str">
        <f>IF($B120="","",'UX Weekly'!B120)</f>
        <v/>
      </c>
      <c r="D120" s="152" t="str">
        <f>IF($B120="","",IF(TRIM('UX Weekly'!C120)="","(No theme assigned)",TRIM('UX Weekly'!C120)))</f>
        <v/>
      </c>
      <c r="E120" s="152" t="str">
        <f>IF($B120="","",TRIM('UX Weekly'!F120))</f>
        <v/>
      </c>
      <c r="F120" s="152" t="str">
        <f>IF($B120="","",'UX Weekly'!G120)</f>
        <v/>
      </c>
      <c r="G120" s="153" t="str">
        <f t="array" ref="G120">IF($B120="","",IF($T120=0,"",IFERROR(MIN(IF('UX Weekly'!$H120:$CT120&lt;&gt;"",'UX Weekly'!$H$1:$CT$1)),"")))</f>
        <v/>
      </c>
      <c r="H120" s="153" t="str">
        <f t="array" ref="H120">IF($B120="","",IF($T120=0,"",IFERROR(MAX(IF('UX Weekly'!$H120:$CT120&lt;&gt;"",'UX Weekly'!$H$1:$CT$1)),"")))</f>
        <v/>
      </c>
      <c r="I120" s="154" t="str">
        <f t="shared" ca="1" si="21"/>
        <v/>
      </c>
      <c r="J120" s="154" t="str">
        <f t="shared" ca="1" si="22"/>
        <v/>
      </c>
      <c r="K120" s="152" t="str">
        <f>IF($B120="","",IF(COUNTA('Dev Tracker'!L120)=0,"",TRIM('Dev Tracker'!L120)))</f>
        <v/>
      </c>
      <c r="L120" s="152" t="str">
        <f>IF($B120="","",IFERROR(MATCH($D120,Control!$E$4:$E$30,0),99))</f>
        <v/>
      </c>
      <c r="M120" s="152" t="str">
        <f>IF($B120="","",IFERROR(MATCH($F120,Control!$B$4:$B$30,0),99))</f>
        <v/>
      </c>
      <c r="N120" s="152" t="str">
        <f>IF($V120&lt;&gt;1,"",IF('Roadmap (Auto)'!$D$3="Status, then Theme",$M120*1000000+$L120*10000+ROW(),IF('Roadmap (Auto)'!$D$3="Dev start (earliest)",IF($I120="",99999999,$I120)*10000+ROW(),IF('Roadmap (Auto)'!$D$3="UX start (earliest)",IF($G120="",99999999,$G120)*10000+ROW(),IF('Roadmap (Auto)'!$D$3="Deliverable A-Z",$W120*10000+ROW(),$L120*1000000+$M120*10000+ROW())))))</f>
        <v/>
      </c>
      <c r="O120" s="152" t="str">
        <f t="shared" si="23"/>
        <v/>
      </c>
      <c r="P120" s="152" t="str">
        <f>IF($B120="","",IF(COUNTA('Dev Tracker'!I120)=0,"",'Dev Tracker'!I120))</f>
        <v/>
      </c>
      <c r="Q120" s="152" t="str">
        <f>IF($B120="","",IF(COUNTA('Dev Tracker'!J120)=0,"",'Dev Tracker'!J120))</f>
        <v/>
      </c>
      <c r="R120" s="154" t="str">
        <f t="shared" ca="1" si="24"/>
        <v/>
      </c>
      <c r="S120" s="154" t="str">
        <f t="shared" ca="1" si="25"/>
        <v/>
      </c>
      <c r="T120" s="152" t="str">
        <f>IF($B120="","",COUNTA('UX Weekly'!$H120:$CT120))</f>
        <v/>
      </c>
      <c r="U120" s="152" t="str">
        <f>IF($B120="","",IFERROR(MATCH($D120,Control!$E$4:$E$30,0)+3,0))</f>
        <v/>
      </c>
      <c r="V120" s="152" t="str">
        <f>IF($B120="","",IF(AND(OR('Roadmap (Auto)'!$A$3="",'Roadmap (Auto)'!$A$3="(All)",ISNUMBER(SEARCH('Roadmap (Auto)'!$A$3,$C120&amp;""))),OR('Roadmap (Auto)'!$B$3="",'Roadmap (Auto)'!$B$3="(All)",$D120='Roadmap (Auto)'!$B$3,$X120='Roadmap (Auto)'!$B$3),OR('Roadmap (Auto)'!$C$3="",'Roadmap (Auto)'!$C$3="(All)",$F120='Roadmap (Auto)'!$C$3)),1,0))</f>
        <v/>
      </c>
      <c r="W120" s="152" t="str">
        <f t="shared" si="26"/>
        <v/>
      </c>
      <c r="X120" s="152" t="str">
        <f>IF($B120="","",IF(TRIM('UX Weekly'!D120)="","",TRIM('UX Weekly'!D120)))</f>
        <v/>
      </c>
      <c r="Y120" s="152" t="str">
        <f t="shared" si="27"/>
        <v/>
      </c>
      <c r="AA120">
        <f>IF($B120="",0,COUNTIFS('UX Weekly'!$H$1:$CT$1,"&gt;="&amp;AA$1,'UX Weekly'!$H$1:$CT$1,"&lt;="&amp;EOMONTH(AA$1,0),'UX Weekly'!$H120:$CT120,"&lt;&gt;"))</f>
        <v>0</v>
      </c>
      <c r="AB120">
        <f>IF($B120="",0,COUNTIFS('UX Weekly'!$H$1:$CT$1,"&gt;="&amp;AB$1,'UX Weekly'!$H$1:$CT$1,"&lt;="&amp;EOMONTH(AB$1,0),'UX Weekly'!$H120:$CT120,"&lt;&gt;"))</f>
        <v>0</v>
      </c>
      <c r="AC120">
        <f>IF($B120="",0,COUNTIFS('UX Weekly'!$H$1:$CT$1,"&gt;="&amp;AC$1,'UX Weekly'!$H$1:$CT$1,"&lt;="&amp;EOMONTH(AC$1,0),'UX Weekly'!$H120:$CT120,"&lt;&gt;"))</f>
        <v>0</v>
      </c>
      <c r="AD120">
        <f>IF($B120="",0,COUNTIFS('UX Weekly'!$H$1:$CT$1,"&gt;="&amp;AD$1,'UX Weekly'!$H$1:$CT$1,"&lt;="&amp;EOMONTH(AD$1,0),'UX Weekly'!$H120:$CT120,"&lt;&gt;"))</f>
        <v>0</v>
      </c>
      <c r="AE120">
        <f>IF($B120="",0,COUNTIFS('UX Weekly'!$H$1:$CT$1,"&gt;="&amp;AE$1,'UX Weekly'!$H$1:$CT$1,"&lt;="&amp;EOMONTH(AE$1,0),'UX Weekly'!$H120:$CT120,"&lt;&gt;"))</f>
        <v>0</v>
      </c>
      <c r="AF120">
        <f>IF($B120="",0,COUNTIFS('UX Weekly'!$H$1:$CT$1,"&gt;="&amp;AF$1,'UX Weekly'!$H$1:$CT$1,"&lt;="&amp;EOMONTH(AF$1,0),'UX Weekly'!$H120:$CT120,"&lt;&gt;"))</f>
        <v>0</v>
      </c>
      <c r="AG120">
        <f>IF($B120="",0,COUNTIFS('UX Weekly'!$H$1:$CT$1,"&gt;="&amp;AG$1,'UX Weekly'!$H$1:$CT$1,"&lt;="&amp;EOMONTH(AG$1,0),'UX Weekly'!$H120:$CT120,"&lt;&gt;"))</f>
        <v>0</v>
      </c>
      <c r="AH120">
        <f>IF($B120="",0,COUNTIFS('UX Weekly'!$H$1:$CT$1,"&gt;="&amp;AH$1,'UX Weekly'!$H$1:$CT$1,"&lt;="&amp;EOMONTH(AH$1,0),'UX Weekly'!$H120:$CT120,"&lt;&gt;"))</f>
        <v>0</v>
      </c>
      <c r="AI120">
        <f>IF($B120="",0,COUNTIFS('UX Weekly'!$H$1:$CT$1,"&gt;="&amp;AI$1,'UX Weekly'!$H$1:$CT$1,"&lt;="&amp;EOMONTH(AI$1,0),'UX Weekly'!$H120:$CT120,"&lt;&gt;"))</f>
        <v>0</v>
      </c>
      <c r="AJ120">
        <f>IF($B120="",0,COUNTIFS('UX Weekly'!$H$1:$CT$1,"&gt;="&amp;AJ$1,'UX Weekly'!$H$1:$CT$1,"&lt;="&amp;EOMONTH(AJ$1,0),'UX Weekly'!$H120:$CT120,"&lt;&gt;"))</f>
        <v>0</v>
      </c>
      <c r="AK120">
        <f>IF($B120="",0,COUNTIFS('UX Weekly'!$H$1:$CT$1,"&gt;="&amp;AK$1,'UX Weekly'!$H$1:$CT$1,"&lt;="&amp;EOMONTH(AK$1,0),'UX Weekly'!$H120:$CT120,"&lt;&gt;"))</f>
        <v>0</v>
      </c>
      <c r="AL120">
        <f>IF($B120="",0,COUNTIFS('UX Weekly'!$H$1:$CT$1,"&gt;="&amp;AL$1,'UX Weekly'!$H$1:$CT$1,"&lt;="&amp;EOMONTH(AL$1,0),'UX Weekly'!$H120:$CT120,"&lt;&gt;"))</f>
        <v>0</v>
      </c>
      <c r="AM120">
        <f>IF($B120="",0,COUNTIFS('UX Weekly'!$H$1:$CT$1,"&gt;="&amp;AM$1,'UX Weekly'!$H$1:$CT$1,"&lt;="&amp;EOMONTH(AM$1,0),'UX Weekly'!$H120:$CT120,"&lt;&gt;"))</f>
        <v>0</v>
      </c>
      <c r="AN120">
        <f>IF($B120="",0,COUNTIFS('UX Weekly'!$H$1:$CT$1,"&gt;="&amp;AN$1,'UX Weekly'!$H$1:$CT$1,"&lt;="&amp;EOMONTH(AN$1,0),'UX Weekly'!$H120:$CT120,"&lt;&gt;"))</f>
        <v>0</v>
      </c>
      <c r="AO120">
        <f>IF($B120="",0,COUNTIFS('UX Weekly'!$H$1:$CT$1,"&gt;="&amp;AO$1,'UX Weekly'!$H$1:$CT$1,"&lt;="&amp;EOMONTH(AO$1,0),'UX Weekly'!$H120:$CT120,"&lt;&gt;"))</f>
        <v>0</v>
      </c>
      <c r="AP120">
        <f>IF($B120="",0,COUNTIFS('UX Weekly'!$H$1:$CT$1,"&gt;="&amp;AP$1,'UX Weekly'!$H$1:$CT$1,"&lt;="&amp;EOMONTH(AP$1,0),'UX Weekly'!$H120:$CT120,"&lt;&gt;"))</f>
        <v>0</v>
      </c>
      <c r="AQ120">
        <f>IF($B120="",0,COUNTIFS('UX Weekly'!$H$1:$CT$1,"&gt;="&amp;AQ$1,'UX Weekly'!$H$1:$CT$1,"&lt;="&amp;EOMONTH(AQ$1,0),'UX Weekly'!$H120:$CT120,"&lt;&gt;"))</f>
        <v>0</v>
      </c>
      <c r="AR120">
        <f>IF($B120="",0,COUNTIFS('UX Weekly'!$H$1:$CT$1,"&gt;="&amp;AR$1,'UX Weekly'!$H$1:$CT$1,"&lt;="&amp;EOMONTH(AR$1,0),'UX Weekly'!$H120:$CT120,"&lt;&gt;"))</f>
        <v>0</v>
      </c>
      <c r="AS120">
        <f>IF($B120="",0,COUNTIFS('UX Weekly'!$H$1:$CT$1,"&gt;="&amp;AS$1,'UX Weekly'!$H$1:$CT$1,"&lt;="&amp;EOMONTH(AS$1,0),'UX Weekly'!$H120:$CT120,"&lt;&gt;"))</f>
        <v>0</v>
      </c>
      <c r="AT120">
        <f>IF($B120="",0,COUNTIFS('UX Weekly'!$H$1:$CT$1,"&gt;="&amp;AT$1,'UX Weekly'!$H$1:$CT$1,"&lt;="&amp;EOMONTH(AT$1,0),'UX Weekly'!$H120:$CT120,"&lt;&gt;"))</f>
        <v>0</v>
      </c>
      <c r="AU120">
        <f>IF($B120="",0,COUNTIFS('UX Weekly'!$H$1:$CT$1,"&gt;="&amp;AU$1,'UX Weekly'!$H$1:$CT$1,"&lt;="&amp;EOMONTH(AU$1,0),'UX Weekly'!$H120:$CT120,"&lt;&gt;"))</f>
        <v>0</v>
      </c>
      <c r="AV120">
        <f>IF($B120="",0,COUNTIFS('UX Weekly'!$H$1:$CT$1,"&gt;="&amp;AV$1,'UX Weekly'!$H$1:$CT$1,"&lt;="&amp;EOMONTH(AV$1,0),'UX Weekly'!$H120:$CT120,"&lt;&gt;"))</f>
        <v>0</v>
      </c>
      <c r="AW120">
        <f>IF($B120="",0,COUNTIFS('UX Weekly'!$H$1:$CT$1,"&gt;="&amp;AW$1,'UX Weekly'!$H$1:$CT$1,"&lt;="&amp;EOMONTH(AW$1,0),'UX Weekly'!$H120:$CT120,"&lt;&gt;"))</f>
        <v>0</v>
      </c>
      <c r="AX120">
        <f>IF($B120="",0,COUNTIFS('UX Weekly'!$H$1:$CT$1,"&gt;="&amp;AX$1,'UX Weekly'!$H$1:$CT$1,"&lt;="&amp;EOMONTH(AX$1,0),'UX Weekly'!$H120:$CT120,"&lt;&gt;"))</f>
        <v>0</v>
      </c>
    </row>
    <row r="121" spans="1:50" x14ac:dyDescent="0.2">
      <c r="A121" s="152">
        <v>121</v>
      </c>
      <c r="B121" s="152" t="str">
        <f>IF(TRIM('UX Weekly'!E121)="","",TRIM('UX Weekly'!E121))</f>
        <v/>
      </c>
      <c r="C121" s="152" t="str">
        <f>IF($B121="","",'UX Weekly'!B121)</f>
        <v/>
      </c>
      <c r="D121" s="152" t="str">
        <f>IF($B121="","",IF(TRIM('UX Weekly'!C121)="","(No theme assigned)",TRIM('UX Weekly'!C121)))</f>
        <v/>
      </c>
      <c r="E121" s="152" t="str">
        <f>IF($B121="","",TRIM('UX Weekly'!F121))</f>
        <v/>
      </c>
      <c r="F121" s="152" t="str">
        <f>IF($B121="","",'UX Weekly'!G121)</f>
        <v/>
      </c>
      <c r="G121" s="153" t="str">
        <f t="array" ref="G121">IF($B121="","",IF($T121=0,"",IFERROR(MIN(IF('UX Weekly'!$H121:$CT121&lt;&gt;"",'UX Weekly'!$H$1:$CT$1)),"")))</f>
        <v/>
      </c>
      <c r="H121" s="153" t="str">
        <f t="array" ref="H121">IF($B121="","",IF($T121=0,"",IFERROR(MAX(IF('UX Weekly'!$H121:$CT121&lt;&gt;"",'UX Weekly'!$H$1:$CT$1)),"")))</f>
        <v/>
      </c>
      <c r="I121" s="154" t="str">
        <f t="shared" ca="1" si="21"/>
        <v/>
      </c>
      <c r="J121" s="154" t="str">
        <f t="shared" ca="1" si="22"/>
        <v/>
      </c>
      <c r="K121" s="152" t="str">
        <f>IF($B121="","",IF(COUNTA('Dev Tracker'!L121)=0,"",TRIM('Dev Tracker'!L121)))</f>
        <v/>
      </c>
      <c r="L121" s="152" t="str">
        <f>IF($B121="","",IFERROR(MATCH($D121,Control!$E$4:$E$30,0),99))</f>
        <v/>
      </c>
      <c r="M121" s="152" t="str">
        <f>IF($B121="","",IFERROR(MATCH($F121,Control!$B$4:$B$30,0),99))</f>
        <v/>
      </c>
      <c r="N121" s="152" t="str">
        <f>IF($V121&lt;&gt;1,"",IF('Roadmap (Auto)'!$D$3="Status, then Theme",$M121*1000000+$L121*10000+ROW(),IF('Roadmap (Auto)'!$D$3="Dev start (earliest)",IF($I121="",99999999,$I121)*10000+ROW(),IF('Roadmap (Auto)'!$D$3="UX start (earliest)",IF($G121="",99999999,$G121)*10000+ROW(),IF('Roadmap (Auto)'!$D$3="Deliverable A-Z",$W121*10000+ROW(),$L121*1000000+$M121*10000+ROW())))))</f>
        <v/>
      </c>
      <c r="O121" s="152" t="str">
        <f t="shared" si="23"/>
        <v/>
      </c>
      <c r="P121" s="152" t="str">
        <f>IF($B121="","",IF(COUNTA('Dev Tracker'!I121)=0,"",'Dev Tracker'!I121))</f>
        <v/>
      </c>
      <c r="Q121" s="152" t="str">
        <f>IF($B121="","",IF(COUNTA('Dev Tracker'!J121)=0,"",'Dev Tracker'!J121))</f>
        <v/>
      </c>
      <c r="R121" s="154" t="str">
        <f t="shared" ca="1" si="24"/>
        <v/>
      </c>
      <c r="S121" s="154" t="str">
        <f t="shared" ca="1" si="25"/>
        <v/>
      </c>
      <c r="T121" s="152" t="str">
        <f>IF($B121="","",COUNTA('UX Weekly'!$H121:$CT121))</f>
        <v/>
      </c>
      <c r="U121" s="152" t="str">
        <f>IF($B121="","",IFERROR(MATCH($D121,Control!$E$4:$E$30,0)+3,0))</f>
        <v/>
      </c>
      <c r="V121" s="152" t="str">
        <f>IF($B121="","",IF(AND(OR('Roadmap (Auto)'!$A$3="",'Roadmap (Auto)'!$A$3="(All)",ISNUMBER(SEARCH('Roadmap (Auto)'!$A$3,$C121&amp;""))),OR('Roadmap (Auto)'!$B$3="",'Roadmap (Auto)'!$B$3="(All)",$D121='Roadmap (Auto)'!$B$3,$X121='Roadmap (Auto)'!$B$3),OR('Roadmap (Auto)'!$C$3="",'Roadmap (Auto)'!$C$3="(All)",$F121='Roadmap (Auto)'!$C$3)),1,0))</f>
        <v/>
      </c>
      <c r="W121" s="152" t="str">
        <f t="shared" si="26"/>
        <v/>
      </c>
      <c r="X121" s="152" t="str">
        <f>IF($B121="","",IF(TRIM('UX Weekly'!D121)="","",TRIM('UX Weekly'!D121)))</f>
        <v/>
      </c>
      <c r="Y121" s="152" t="str">
        <f t="shared" si="27"/>
        <v/>
      </c>
      <c r="AA121">
        <f>IF($B121="",0,COUNTIFS('UX Weekly'!$H$1:$CT$1,"&gt;="&amp;AA$1,'UX Weekly'!$H$1:$CT$1,"&lt;="&amp;EOMONTH(AA$1,0),'UX Weekly'!$H121:$CT121,"&lt;&gt;"))</f>
        <v>0</v>
      </c>
      <c r="AB121">
        <f>IF($B121="",0,COUNTIFS('UX Weekly'!$H$1:$CT$1,"&gt;="&amp;AB$1,'UX Weekly'!$H$1:$CT$1,"&lt;="&amp;EOMONTH(AB$1,0),'UX Weekly'!$H121:$CT121,"&lt;&gt;"))</f>
        <v>0</v>
      </c>
      <c r="AC121">
        <f>IF($B121="",0,COUNTIFS('UX Weekly'!$H$1:$CT$1,"&gt;="&amp;AC$1,'UX Weekly'!$H$1:$CT$1,"&lt;="&amp;EOMONTH(AC$1,0),'UX Weekly'!$H121:$CT121,"&lt;&gt;"))</f>
        <v>0</v>
      </c>
      <c r="AD121">
        <f>IF($B121="",0,COUNTIFS('UX Weekly'!$H$1:$CT$1,"&gt;="&amp;AD$1,'UX Weekly'!$H$1:$CT$1,"&lt;="&amp;EOMONTH(AD$1,0),'UX Weekly'!$H121:$CT121,"&lt;&gt;"))</f>
        <v>0</v>
      </c>
      <c r="AE121">
        <f>IF($B121="",0,COUNTIFS('UX Weekly'!$H$1:$CT$1,"&gt;="&amp;AE$1,'UX Weekly'!$H$1:$CT$1,"&lt;="&amp;EOMONTH(AE$1,0),'UX Weekly'!$H121:$CT121,"&lt;&gt;"))</f>
        <v>0</v>
      </c>
      <c r="AF121">
        <f>IF($B121="",0,COUNTIFS('UX Weekly'!$H$1:$CT$1,"&gt;="&amp;AF$1,'UX Weekly'!$H$1:$CT$1,"&lt;="&amp;EOMONTH(AF$1,0),'UX Weekly'!$H121:$CT121,"&lt;&gt;"))</f>
        <v>0</v>
      </c>
      <c r="AG121">
        <f>IF($B121="",0,COUNTIFS('UX Weekly'!$H$1:$CT$1,"&gt;="&amp;AG$1,'UX Weekly'!$H$1:$CT$1,"&lt;="&amp;EOMONTH(AG$1,0),'UX Weekly'!$H121:$CT121,"&lt;&gt;"))</f>
        <v>0</v>
      </c>
      <c r="AH121">
        <f>IF($B121="",0,COUNTIFS('UX Weekly'!$H$1:$CT$1,"&gt;="&amp;AH$1,'UX Weekly'!$H$1:$CT$1,"&lt;="&amp;EOMONTH(AH$1,0),'UX Weekly'!$H121:$CT121,"&lt;&gt;"))</f>
        <v>0</v>
      </c>
      <c r="AI121">
        <f>IF($B121="",0,COUNTIFS('UX Weekly'!$H$1:$CT$1,"&gt;="&amp;AI$1,'UX Weekly'!$H$1:$CT$1,"&lt;="&amp;EOMONTH(AI$1,0),'UX Weekly'!$H121:$CT121,"&lt;&gt;"))</f>
        <v>0</v>
      </c>
      <c r="AJ121">
        <f>IF($B121="",0,COUNTIFS('UX Weekly'!$H$1:$CT$1,"&gt;="&amp;AJ$1,'UX Weekly'!$H$1:$CT$1,"&lt;="&amp;EOMONTH(AJ$1,0),'UX Weekly'!$H121:$CT121,"&lt;&gt;"))</f>
        <v>0</v>
      </c>
      <c r="AK121">
        <f>IF($B121="",0,COUNTIFS('UX Weekly'!$H$1:$CT$1,"&gt;="&amp;AK$1,'UX Weekly'!$H$1:$CT$1,"&lt;="&amp;EOMONTH(AK$1,0),'UX Weekly'!$H121:$CT121,"&lt;&gt;"))</f>
        <v>0</v>
      </c>
      <c r="AL121">
        <f>IF($B121="",0,COUNTIFS('UX Weekly'!$H$1:$CT$1,"&gt;="&amp;AL$1,'UX Weekly'!$H$1:$CT$1,"&lt;="&amp;EOMONTH(AL$1,0),'UX Weekly'!$H121:$CT121,"&lt;&gt;"))</f>
        <v>0</v>
      </c>
      <c r="AM121">
        <f>IF($B121="",0,COUNTIFS('UX Weekly'!$H$1:$CT$1,"&gt;="&amp;AM$1,'UX Weekly'!$H$1:$CT$1,"&lt;="&amp;EOMONTH(AM$1,0),'UX Weekly'!$H121:$CT121,"&lt;&gt;"))</f>
        <v>0</v>
      </c>
      <c r="AN121">
        <f>IF($B121="",0,COUNTIFS('UX Weekly'!$H$1:$CT$1,"&gt;="&amp;AN$1,'UX Weekly'!$H$1:$CT$1,"&lt;="&amp;EOMONTH(AN$1,0),'UX Weekly'!$H121:$CT121,"&lt;&gt;"))</f>
        <v>0</v>
      </c>
      <c r="AO121">
        <f>IF($B121="",0,COUNTIFS('UX Weekly'!$H$1:$CT$1,"&gt;="&amp;AO$1,'UX Weekly'!$H$1:$CT$1,"&lt;="&amp;EOMONTH(AO$1,0),'UX Weekly'!$H121:$CT121,"&lt;&gt;"))</f>
        <v>0</v>
      </c>
      <c r="AP121">
        <f>IF($B121="",0,COUNTIFS('UX Weekly'!$H$1:$CT$1,"&gt;="&amp;AP$1,'UX Weekly'!$H$1:$CT$1,"&lt;="&amp;EOMONTH(AP$1,0),'UX Weekly'!$H121:$CT121,"&lt;&gt;"))</f>
        <v>0</v>
      </c>
      <c r="AQ121">
        <f>IF($B121="",0,COUNTIFS('UX Weekly'!$H$1:$CT$1,"&gt;="&amp;AQ$1,'UX Weekly'!$H$1:$CT$1,"&lt;="&amp;EOMONTH(AQ$1,0),'UX Weekly'!$H121:$CT121,"&lt;&gt;"))</f>
        <v>0</v>
      </c>
      <c r="AR121">
        <f>IF($B121="",0,COUNTIFS('UX Weekly'!$H$1:$CT$1,"&gt;="&amp;AR$1,'UX Weekly'!$H$1:$CT$1,"&lt;="&amp;EOMONTH(AR$1,0),'UX Weekly'!$H121:$CT121,"&lt;&gt;"))</f>
        <v>0</v>
      </c>
      <c r="AS121">
        <f>IF($B121="",0,COUNTIFS('UX Weekly'!$H$1:$CT$1,"&gt;="&amp;AS$1,'UX Weekly'!$H$1:$CT$1,"&lt;="&amp;EOMONTH(AS$1,0),'UX Weekly'!$H121:$CT121,"&lt;&gt;"))</f>
        <v>0</v>
      </c>
      <c r="AT121">
        <f>IF($B121="",0,COUNTIFS('UX Weekly'!$H$1:$CT$1,"&gt;="&amp;AT$1,'UX Weekly'!$H$1:$CT$1,"&lt;="&amp;EOMONTH(AT$1,0),'UX Weekly'!$H121:$CT121,"&lt;&gt;"))</f>
        <v>0</v>
      </c>
      <c r="AU121">
        <f>IF($B121="",0,COUNTIFS('UX Weekly'!$H$1:$CT$1,"&gt;="&amp;AU$1,'UX Weekly'!$H$1:$CT$1,"&lt;="&amp;EOMONTH(AU$1,0),'UX Weekly'!$H121:$CT121,"&lt;&gt;"))</f>
        <v>0</v>
      </c>
      <c r="AV121">
        <f>IF($B121="",0,COUNTIFS('UX Weekly'!$H$1:$CT$1,"&gt;="&amp;AV$1,'UX Weekly'!$H$1:$CT$1,"&lt;="&amp;EOMONTH(AV$1,0),'UX Weekly'!$H121:$CT121,"&lt;&gt;"))</f>
        <v>0</v>
      </c>
      <c r="AW121">
        <f>IF($B121="",0,COUNTIFS('UX Weekly'!$H$1:$CT$1,"&gt;="&amp;AW$1,'UX Weekly'!$H$1:$CT$1,"&lt;="&amp;EOMONTH(AW$1,0),'UX Weekly'!$H121:$CT121,"&lt;&gt;"))</f>
        <v>0</v>
      </c>
      <c r="AX121">
        <f>IF($B121="",0,COUNTIFS('UX Weekly'!$H$1:$CT$1,"&gt;="&amp;AX$1,'UX Weekly'!$H$1:$CT$1,"&lt;="&amp;EOMONTH(AX$1,0),'UX Weekly'!$H121:$CT121,"&lt;&gt;"))</f>
        <v>0</v>
      </c>
    </row>
    <row r="122" spans="1:50" x14ac:dyDescent="0.2">
      <c r="A122" s="152">
        <v>122</v>
      </c>
      <c r="B122" s="152" t="str">
        <f>IF(TRIM('UX Weekly'!E122)="","",TRIM('UX Weekly'!E122))</f>
        <v/>
      </c>
      <c r="C122" s="152" t="str">
        <f>IF($B122="","",'UX Weekly'!B122)</f>
        <v/>
      </c>
      <c r="D122" s="152" t="str">
        <f>IF($B122="","",IF(TRIM('UX Weekly'!C122)="","(No theme assigned)",TRIM('UX Weekly'!C122)))</f>
        <v/>
      </c>
      <c r="E122" s="152" t="str">
        <f>IF($B122="","",TRIM('UX Weekly'!F122))</f>
        <v/>
      </c>
      <c r="F122" s="152" t="str">
        <f>IF($B122="","",'UX Weekly'!G122)</f>
        <v/>
      </c>
      <c r="G122" s="153" t="str">
        <f t="array" ref="G122">IF($B122="","",IF($T122=0,"",IFERROR(MIN(IF('UX Weekly'!$H122:$CT122&lt;&gt;"",'UX Weekly'!$H$1:$CT$1)),"")))</f>
        <v/>
      </c>
      <c r="H122" s="153" t="str">
        <f t="array" ref="H122">IF($B122="","",IF($T122=0,"",IFERROR(MAX(IF('UX Weekly'!$H122:$CT122&lt;&gt;"",'UX Weekly'!$H$1:$CT$1)),"")))</f>
        <v/>
      </c>
      <c r="I122" s="154" t="str">
        <f t="shared" ca="1" si="21"/>
        <v/>
      </c>
      <c r="J122" s="154" t="str">
        <f t="shared" ca="1" si="22"/>
        <v/>
      </c>
      <c r="K122" s="152" t="str">
        <f>IF($B122="","",IF(COUNTA('Dev Tracker'!L122)=0,"",TRIM('Dev Tracker'!L122)))</f>
        <v/>
      </c>
      <c r="L122" s="152" t="str">
        <f>IF($B122="","",IFERROR(MATCH($D122,Control!$E$4:$E$30,0),99))</f>
        <v/>
      </c>
      <c r="M122" s="152" t="str">
        <f>IF($B122="","",IFERROR(MATCH($F122,Control!$B$4:$B$30,0),99))</f>
        <v/>
      </c>
      <c r="N122" s="152" t="str">
        <f>IF($V122&lt;&gt;1,"",IF('Roadmap (Auto)'!$D$3="Status, then Theme",$M122*1000000+$L122*10000+ROW(),IF('Roadmap (Auto)'!$D$3="Dev start (earliest)",IF($I122="",99999999,$I122)*10000+ROW(),IF('Roadmap (Auto)'!$D$3="UX start (earliest)",IF($G122="",99999999,$G122)*10000+ROW(),IF('Roadmap (Auto)'!$D$3="Deliverable A-Z",$W122*10000+ROW(),$L122*1000000+$M122*10000+ROW())))))</f>
        <v/>
      </c>
      <c r="O122" s="152" t="str">
        <f t="shared" si="23"/>
        <v/>
      </c>
      <c r="P122" s="152" t="str">
        <f>IF($B122="","",IF(COUNTA('Dev Tracker'!I122)=0,"",'Dev Tracker'!I122))</f>
        <v/>
      </c>
      <c r="Q122" s="152" t="str">
        <f>IF($B122="","",IF(COUNTA('Dev Tracker'!J122)=0,"",'Dev Tracker'!J122))</f>
        <v/>
      </c>
      <c r="R122" s="154" t="str">
        <f t="shared" ca="1" si="24"/>
        <v/>
      </c>
      <c r="S122" s="154" t="str">
        <f t="shared" ca="1" si="25"/>
        <v/>
      </c>
      <c r="T122" s="152" t="str">
        <f>IF($B122="","",COUNTA('UX Weekly'!$H122:$CT122))</f>
        <v/>
      </c>
      <c r="U122" s="152" t="str">
        <f>IF($B122="","",IFERROR(MATCH($D122,Control!$E$4:$E$30,0)+3,0))</f>
        <v/>
      </c>
      <c r="V122" s="152" t="str">
        <f>IF($B122="","",IF(AND(OR('Roadmap (Auto)'!$A$3="",'Roadmap (Auto)'!$A$3="(All)",ISNUMBER(SEARCH('Roadmap (Auto)'!$A$3,$C122&amp;""))),OR('Roadmap (Auto)'!$B$3="",'Roadmap (Auto)'!$B$3="(All)",$D122='Roadmap (Auto)'!$B$3,$X122='Roadmap (Auto)'!$B$3),OR('Roadmap (Auto)'!$C$3="",'Roadmap (Auto)'!$C$3="(All)",$F122='Roadmap (Auto)'!$C$3)),1,0))</f>
        <v/>
      </c>
      <c r="W122" s="152" t="str">
        <f t="shared" si="26"/>
        <v/>
      </c>
      <c r="X122" s="152" t="str">
        <f>IF($B122="","",IF(TRIM('UX Weekly'!D122)="","",TRIM('UX Weekly'!D122)))</f>
        <v/>
      </c>
      <c r="Y122" s="152" t="str">
        <f t="shared" si="27"/>
        <v/>
      </c>
      <c r="AA122">
        <f>IF($B122="",0,COUNTIFS('UX Weekly'!$H$1:$CT$1,"&gt;="&amp;AA$1,'UX Weekly'!$H$1:$CT$1,"&lt;="&amp;EOMONTH(AA$1,0),'UX Weekly'!$H122:$CT122,"&lt;&gt;"))</f>
        <v>0</v>
      </c>
      <c r="AB122">
        <f>IF($B122="",0,COUNTIFS('UX Weekly'!$H$1:$CT$1,"&gt;="&amp;AB$1,'UX Weekly'!$H$1:$CT$1,"&lt;="&amp;EOMONTH(AB$1,0),'UX Weekly'!$H122:$CT122,"&lt;&gt;"))</f>
        <v>0</v>
      </c>
      <c r="AC122">
        <f>IF($B122="",0,COUNTIFS('UX Weekly'!$H$1:$CT$1,"&gt;="&amp;AC$1,'UX Weekly'!$H$1:$CT$1,"&lt;="&amp;EOMONTH(AC$1,0),'UX Weekly'!$H122:$CT122,"&lt;&gt;"))</f>
        <v>0</v>
      </c>
      <c r="AD122">
        <f>IF($B122="",0,COUNTIFS('UX Weekly'!$H$1:$CT$1,"&gt;="&amp;AD$1,'UX Weekly'!$H$1:$CT$1,"&lt;="&amp;EOMONTH(AD$1,0),'UX Weekly'!$H122:$CT122,"&lt;&gt;"))</f>
        <v>0</v>
      </c>
      <c r="AE122">
        <f>IF($B122="",0,COUNTIFS('UX Weekly'!$H$1:$CT$1,"&gt;="&amp;AE$1,'UX Weekly'!$H$1:$CT$1,"&lt;="&amp;EOMONTH(AE$1,0),'UX Weekly'!$H122:$CT122,"&lt;&gt;"))</f>
        <v>0</v>
      </c>
      <c r="AF122">
        <f>IF($B122="",0,COUNTIFS('UX Weekly'!$H$1:$CT$1,"&gt;="&amp;AF$1,'UX Weekly'!$H$1:$CT$1,"&lt;="&amp;EOMONTH(AF$1,0),'UX Weekly'!$H122:$CT122,"&lt;&gt;"))</f>
        <v>0</v>
      </c>
      <c r="AG122">
        <f>IF($B122="",0,COUNTIFS('UX Weekly'!$H$1:$CT$1,"&gt;="&amp;AG$1,'UX Weekly'!$H$1:$CT$1,"&lt;="&amp;EOMONTH(AG$1,0),'UX Weekly'!$H122:$CT122,"&lt;&gt;"))</f>
        <v>0</v>
      </c>
      <c r="AH122">
        <f>IF($B122="",0,COUNTIFS('UX Weekly'!$H$1:$CT$1,"&gt;="&amp;AH$1,'UX Weekly'!$H$1:$CT$1,"&lt;="&amp;EOMONTH(AH$1,0),'UX Weekly'!$H122:$CT122,"&lt;&gt;"))</f>
        <v>0</v>
      </c>
      <c r="AI122">
        <f>IF($B122="",0,COUNTIFS('UX Weekly'!$H$1:$CT$1,"&gt;="&amp;AI$1,'UX Weekly'!$H$1:$CT$1,"&lt;="&amp;EOMONTH(AI$1,0),'UX Weekly'!$H122:$CT122,"&lt;&gt;"))</f>
        <v>0</v>
      </c>
      <c r="AJ122">
        <f>IF($B122="",0,COUNTIFS('UX Weekly'!$H$1:$CT$1,"&gt;="&amp;AJ$1,'UX Weekly'!$H$1:$CT$1,"&lt;="&amp;EOMONTH(AJ$1,0),'UX Weekly'!$H122:$CT122,"&lt;&gt;"))</f>
        <v>0</v>
      </c>
      <c r="AK122">
        <f>IF($B122="",0,COUNTIFS('UX Weekly'!$H$1:$CT$1,"&gt;="&amp;AK$1,'UX Weekly'!$H$1:$CT$1,"&lt;="&amp;EOMONTH(AK$1,0),'UX Weekly'!$H122:$CT122,"&lt;&gt;"))</f>
        <v>0</v>
      </c>
      <c r="AL122">
        <f>IF($B122="",0,COUNTIFS('UX Weekly'!$H$1:$CT$1,"&gt;="&amp;AL$1,'UX Weekly'!$H$1:$CT$1,"&lt;="&amp;EOMONTH(AL$1,0),'UX Weekly'!$H122:$CT122,"&lt;&gt;"))</f>
        <v>0</v>
      </c>
      <c r="AM122">
        <f>IF($B122="",0,COUNTIFS('UX Weekly'!$H$1:$CT$1,"&gt;="&amp;AM$1,'UX Weekly'!$H$1:$CT$1,"&lt;="&amp;EOMONTH(AM$1,0),'UX Weekly'!$H122:$CT122,"&lt;&gt;"))</f>
        <v>0</v>
      </c>
      <c r="AN122">
        <f>IF($B122="",0,COUNTIFS('UX Weekly'!$H$1:$CT$1,"&gt;="&amp;AN$1,'UX Weekly'!$H$1:$CT$1,"&lt;="&amp;EOMONTH(AN$1,0),'UX Weekly'!$H122:$CT122,"&lt;&gt;"))</f>
        <v>0</v>
      </c>
      <c r="AO122">
        <f>IF($B122="",0,COUNTIFS('UX Weekly'!$H$1:$CT$1,"&gt;="&amp;AO$1,'UX Weekly'!$H$1:$CT$1,"&lt;="&amp;EOMONTH(AO$1,0),'UX Weekly'!$H122:$CT122,"&lt;&gt;"))</f>
        <v>0</v>
      </c>
      <c r="AP122">
        <f>IF($B122="",0,COUNTIFS('UX Weekly'!$H$1:$CT$1,"&gt;="&amp;AP$1,'UX Weekly'!$H$1:$CT$1,"&lt;="&amp;EOMONTH(AP$1,0),'UX Weekly'!$H122:$CT122,"&lt;&gt;"))</f>
        <v>0</v>
      </c>
      <c r="AQ122">
        <f>IF($B122="",0,COUNTIFS('UX Weekly'!$H$1:$CT$1,"&gt;="&amp;AQ$1,'UX Weekly'!$H$1:$CT$1,"&lt;="&amp;EOMONTH(AQ$1,0),'UX Weekly'!$H122:$CT122,"&lt;&gt;"))</f>
        <v>0</v>
      </c>
      <c r="AR122">
        <f>IF($B122="",0,COUNTIFS('UX Weekly'!$H$1:$CT$1,"&gt;="&amp;AR$1,'UX Weekly'!$H$1:$CT$1,"&lt;="&amp;EOMONTH(AR$1,0),'UX Weekly'!$H122:$CT122,"&lt;&gt;"))</f>
        <v>0</v>
      </c>
      <c r="AS122">
        <f>IF($B122="",0,COUNTIFS('UX Weekly'!$H$1:$CT$1,"&gt;="&amp;AS$1,'UX Weekly'!$H$1:$CT$1,"&lt;="&amp;EOMONTH(AS$1,0),'UX Weekly'!$H122:$CT122,"&lt;&gt;"))</f>
        <v>0</v>
      </c>
      <c r="AT122">
        <f>IF($B122="",0,COUNTIFS('UX Weekly'!$H$1:$CT$1,"&gt;="&amp;AT$1,'UX Weekly'!$H$1:$CT$1,"&lt;="&amp;EOMONTH(AT$1,0),'UX Weekly'!$H122:$CT122,"&lt;&gt;"))</f>
        <v>0</v>
      </c>
      <c r="AU122">
        <f>IF($B122="",0,COUNTIFS('UX Weekly'!$H$1:$CT$1,"&gt;="&amp;AU$1,'UX Weekly'!$H$1:$CT$1,"&lt;="&amp;EOMONTH(AU$1,0),'UX Weekly'!$H122:$CT122,"&lt;&gt;"))</f>
        <v>0</v>
      </c>
      <c r="AV122">
        <f>IF($B122="",0,COUNTIFS('UX Weekly'!$H$1:$CT$1,"&gt;="&amp;AV$1,'UX Weekly'!$H$1:$CT$1,"&lt;="&amp;EOMONTH(AV$1,0),'UX Weekly'!$H122:$CT122,"&lt;&gt;"))</f>
        <v>0</v>
      </c>
      <c r="AW122">
        <f>IF($B122="",0,COUNTIFS('UX Weekly'!$H$1:$CT$1,"&gt;="&amp;AW$1,'UX Weekly'!$H$1:$CT$1,"&lt;="&amp;EOMONTH(AW$1,0),'UX Weekly'!$H122:$CT122,"&lt;&gt;"))</f>
        <v>0</v>
      </c>
      <c r="AX122">
        <f>IF($B122="",0,COUNTIFS('UX Weekly'!$H$1:$CT$1,"&gt;="&amp;AX$1,'UX Weekly'!$H$1:$CT$1,"&lt;="&amp;EOMONTH(AX$1,0),'UX Weekly'!$H122:$CT122,"&lt;&gt;"))</f>
        <v>0</v>
      </c>
    </row>
    <row r="123" spans="1:50" x14ac:dyDescent="0.2">
      <c r="A123" s="152">
        <v>123</v>
      </c>
      <c r="B123" s="152" t="str">
        <f>IF(TRIM('UX Weekly'!E123)="","",TRIM('UX Weekly'!E123))</f>
        <v/>
      </c>
      <c r="C123" s="152" t="str">
        <f>IF($B123="","",'UX Weekly'!B123)</f>
        <v/>
      </c>
      <c r="D123" s="152" t="str">
        <f>IF($B123="","",IF(TRIM('UX Weekly'!C123)="","(No theme assigned)",TRIM('UX Weekly'!C123)))</f>
        <v/>
      </c>
      <c r="E123" s="152" t="str">
        <f>IF($B123="","",TRIM('UX Weekly'!F123))</f>
        <v/>
      </c>
      <c r="F123" s="152" t="str">
        <f>IF($B123="","",'UX Weekly'!G123)</f>
        <v/>
      </c>
      <c r="G123" s="153" t="str">
        <f t="array" ref="G123">IF($B123="","",IF($T123=0,"",IFERROR(MIN(IF('UX Weekly'!$H123:$CT123&lt;&gt;"",'UX Weekly'!$H$1:$CT$1)),"")))</f>
        <v/>
      </c>
      <c r="H123" s="153" t="str">
        <f t="array" ref="H123">IF($B123="","",IF($T123=0,"",IFERROR(MAX(IF('UX Weekly'!$H123:$CT123&lt;&gt;"",'UX Weekly'!$H$1:$CT$1)),"")))</f>
        <v/>
      </c>
      <c r="I123" s="154" t="str">
        <f t="shared" ca="1" si="21"/>
        <v/>
      </c>
      <c r="J123" s="154" t="str">
        <f t="shared" ca="1" si="22"/>
        <v/>
      </c>
      <c r="K123" s="152" t="str">
        <f>IF($B123="","",IF(COUNTA('Dev Tracker'!L123)=0,"",TRIM('Dev Tracker'!L123)))</f>
        <v/>
      </c>
      <c r="L123" s="152" t="str">
        <f>IF($B123="","",IFERROR(MATCH($D123,Control!$E$4:$E$30,0),99))</f>
        <v/>
      </c>
      <c r="M123" s="152" t="str">
        <f>IF($B123="","",IFERROR(MATCH($F123,Control!$B$4:$B$30,0),99))</f>
        <v/>
      </c>
      <c r="N123" s="152" t="str">
        <f>IF($V123&lt;&gt;1,"",IF('Roadmap (Auto)'!$D$3="Status, then Theme",$M123*1000000+$L123*10000+ROW(),IF('Roadmap (Auto)'!$D$3="Dev start (earliest)",IF($I123="",99999999,$I123)*10000+ROW(),IF('Roadmap (Auto)'!$D$3="UX start (earliest)",IF($G123="",99999999,$G123)*10000+ROW(),IF('Roadmap (Auto)'!$D$3="Deliverable A-Z",$W123*10000+ROW(),$L123*1000000+$M123*10000+ROW())))))</f>
        <v/>
      </c>
      <c r="O123" s="152" t="str">
        <f t="shared" si="23"/>
        <v/>
      </c>
      <c r="P123" s="152" t="str">
        <f>IF($B123="","",IF(COUNTA('Dev Tracker'!I123)=0,"",'Dev Tracker'!I123))</f>
        <v/>
      </c>
      <c r="Q123" s="152" t="str">
        <f>IF($B123="","",IF(COUNTA('Dev Tracker'!J123)=0,"",'Dev Tracker'!J123))</f>
        <v/>
      </c>
      <c r="R123" s="154" t="str">
        <f t="shared" ca="1" si="24"/>
        <v/>
      </c>
      <c r="S123" s="154" t="str">
        <f t="shared" ca="1" si="25"/>
        <v/>
      </c>
      <c r="T123" s="152" t="str">
        <f>IF($B123="","",COUNTA('UX Weekly'!$H123:$CT123))</f>
        <v/>
      </c>
      <c r="U123" s="152" t="str">
        <f>IF($B123="","",IFERROR(MATCH($D123,Control!$E$4:$E$30,0)+3,0))</f>
        <v/>
      </c>
      <c r="V123" s="152" t="str">
        <f>IF($B123="","",IF(AND(OR('Roadmap (Auto)'!$A$3="",'Roadmap (Auto)'!$A$3="(All)",ISNUMBER(SEARCH('Roadmap (Auto)'!$A$3,$C123&amp;""))),OR('Roadmap (Auto)'!$B$3="",'Roadmap (Auto)'!$B$3="(All)",$D123='Roadmap (Auto)'!$B$3,$X123='Roadmap (Auto)'!$B$3),OR('Roadmap (Auto)'!$C$3="",'Roadmap (Auto)'!$C$3="(All)",$F123='Roadmap (Auto)'!$C$3)),1,0))</f>
        <v/>
      </c>
      <c r="W123" s="152" t="str">
        <f t="shared" si="26"/>
        <v/>
      </c>
      <c r="X123" s="152" t="str">
        <f>IF($B123="","",IF(TRIM('UX Weekly'!D123)="","",TRIM('UX Weekly'!D123)))</f>
        <v/>
      </c>
      <c r="Y123" s="152" t="str">
        <f t="shared" si="27"/>
        <v/>
      </c>
      <c r="AA123">
        <f>IF($B123="",0,COUNTIFS('UX Weekly'!$H$1:$CT$1,"&gt;="&amp;AA$1,'UX Weekly'!$H$1:$CT$1,"&lt;="&amp;EOMONTH(AA$1,0),'UX Weekly'!$H123:$CT123,"&lt;&gt;"))</f>
        <v>0</v>
      </c>
      <c r="AB123">
        <f>IF($B123="",0,COUNTIFS('UX Weekly'!$H$1:$CT$1,"&gt;="&amp;AB$1,'UX Weekly'!$H$1:$CT$1,"&lt;="&amp;EOMONTH(AB$1,0),'UX Weekly'!$H123:$CT123,"&lt;&gt;"))</f>
        <v>0</v>
      </c>
      <c r="AC123">
        <f>IF($B123="",0,COUNTIFS('UX Weekly'!$H$1:$CT$1,"&gt;="&amp;AC$1,'UX Weekly'!$H$1:$CT$1,"&lt;="&amp;EOMONTH(AC$1,0),'UX Weekly'!$H123:$CT123,"&lt;&gt;"))</f>
        <v>0</v>
      </c>
      <c r="AD123">
        <f>IF($B123="",0,COUNTIFS('UX Weekly'!$H$1:$CT$1,"&gt;="&amp;AD$1,'UX Weekly'!$H$1:$CT$1,"&lt;="&amp;EOMONTH(AD$1,0),'UX Weekly'!$H123:$CT123,"&lt;&gt;"))</f>
        <v>0</v>
      </c>
      <c r="AE123">
        <f>IF($B123="",0,COUNTIFS('UX Weekly'!$H$1:$CT$1,"&gt;="&amp;AE$1,'UX Weekly'!$H$1:$CT$1,"&lt;="&amp;EOMONTH(AE$1,0),'UX Weekly'!$H123:$CT123,"&lt;&gt;"))</f>
        <v>0</v>
      </c>
      <c r="AF123">
        <f>IF($B123="",0,COUNTIFS('UX Weekly'!$H$1:$CT$1,"&gt;="&amp;AF$1,'UX Weekly'!$H$1:$CT$1,"&lt;="&amp;EOMONTH(AF$1,0),'UX Weekly'!$H123:$CT123,"&lt;&gt;"))</f>
        <v>0</v>
      </c>
      <c r="AG123">
        <f>IF($B123="",0,COUNTIFS('UX Weekly'!$H$1:$CT$1,"&gt;="&amp;AG$1,'UX Weekly'!$H$1:$CT$1,"&lt;="&amp;EOMONTH(AG$1,0),'UX Weekly'!$H123:$CT123,"&lt;&gt;"))</f>
        <v>0</v>
      </c>
      <c r="AH123">
        <f>IF($B123="",0,COUNTIFS('UX Weekly'!$H$1:$CT$1,"&gt;="&amp;AH$1,'UX Weekly'!$H$1:$CT$1,"&lt;="&amp;EOMONTH(AH$1,0),'UX Weekly'!$H123:$CT123,"&lt;&gt;"))</f>
        <v>0</v>
      </c>
      <c r="AI123">
        <f>IF($B123="",0,COUNTIFS('UX Weekly'!$H$1:$CT$1,"&gt;="&amp;AI$1,'UX Weekly'!$H$1:$CT$1,"&lt;="&amp;EOMONTH(AI$1,0),'UX Weekly'!$H123:$CT123,"&lt;&gt;"))</f>
        <v>0</v>
      </c>
      <c r="AJ123">
        <f>IF($B123="",0,COUNTIFS('UX Weekly'!$H$1:$CT$1,"&gt;="&amp;AJ$1,'UX Weekly'!$H$1:$CT$1,"&lt;="&amp;EOMONTH(AJ$1,0),'UX Weekly'!$H123:$CT123,"&lt;&gt;"))</f>
        <v>0</v>
      </c>
      <c r="AK123">
        <f>IF($B123="",0,COUNTIFS('UX Weekly'!$H$1:$CT$1,"&gt;="&amp;AK$1,'UX Weekly'!$H$1:$CT$1,"&lt;="&amp;EOMONTH(AK$1,0),'UX Weekly'!$H123:$CT123,"&lt;&gt;"))</f>
        <v>0</v>
      </c>
      <c r="AL123">
        <f>IF($B123="",0,COUNTIFS('UX Weekly'!$H$1:$CT$1,"&gt;="&amp;AL$1,'UX Weekly'!$H$1:$CT$1,"&lt;="&amp;EOMONTH(AL$1,0),'UX Weekly'!$H123:$CT123,"&lt;&gt;"))</f>
        <v>0</v>
      </c>
      <c r="AM123">
        <f>IF($B123="",0,COUNTIFS('UX Weekly'!$H$1:$CT$1,"&gt;="&amp;AM$1,'UX Weekly'!$H$1:$CT$1,"&lt;="&amp;EOMONTH(AM$1,0),'UX Weekly'!$H123:$CT123,"&lt;&gt;"))</f>
        <v>0</v>
      </c>
      <c r="AN123">
        <f>IF($B123="",0,COUNTIFS('UX Weekly'!$H$1:$CT$1,"&gt;="&amp;AN$1,'UX Weekly'!$H$1:$CT$1,"&lt;="&amp;EOMONTH(AN$1,0),'UX Weekly'!$H123:$CT123,"&lt;&gt;"))</f>
        <v>0</v>
      </c>
      <c r="AO123">
        <f>IF($B123="",0,COUNTIFS('UX Weekly'!$H$1:$CT$1,"&gt;="&amp;AO$1,'UX Weekly'!$H$1:$CT$1,"&lt;="&amp;EOMONTH(AO$1,0),'UX Weekly'!$H123:$CT123,"&lt;&gt;"))</f>
        <v>0</v>
      </c>
      <c r="AP123">
        <f>IF($B123="",0,COUNTIFS('UX Weekly'!$H$1:$CT$1,"&gt;="&amp;AP$1,'UX Weekly'!$H$1:$CT$1,"&lt;="&amp;EOMONTH(AP$1,0),'UX Weekly'!$H123:$CT123,"&lt;&gt;"))</f>
        <v>0</v>
      </c>
      <c r="AQ123">
        <f>IF($B123="",0,COUNTIFS('UX Weekly'!$H$1:$CT$1,"&gt;="&amp;AQ$1,'UX Weekly'!$H$1:$CT$1,"&lt;="&amp;EOMONTH(AQ$1,0),'UX Weekly'!$H123:$CT123,"&lt;&gt;"))</f>
        <v>0</v>
      </c>
      <c r="AR123">
        <f>IF($B123="",0,COUNTIFS('UX Weekly'!$H$1:$CT$1,"&gt;="&amp;AR$1,'UX Weekly'!$H$1:$CT$1,"&lt;="&amp;EOMONTH(AR$1,0),'UX Weekly'!$H123:$CT123,"&lt;&gt;"))</f>
        <v>0</v>
      </c>
      <c r="AS123">
        <f>IF($B123="",0,COUNTIFS('UX Weekly'!$H$1:$CT$1,"&gt;="&amp;AS$1,'UX Weekly'!$H$1:$CT$1,"&lt;="&amp;EOMONTH(AS$1,0),'UX Weekly'!$H123:$CT123,"&lt;&gt;"))</f>
        <v>0</v>
      </c>
      <c r="AT123">
        <f>IF($B123="",0,COUNTIFS('UX Weekly'!$H$1:$CT$1,"&gt;="&amp;AT$1,'UX Weekly'!$H$1:$CT$1,"&lt;="&amp;EOMONTH(AT$1,0),'UX Weekly'!$H123:$CT123,"&lt;&gt;"))</f>
        <v>0</v>
      </c>
      <c r="AU123">
        <f>IF($B123="",0,COUNTIFS('UX Weekly'!$H$1:$CT$1,"&gt;="&amp;AU$1,'UX Weekly'!$H$1:$CT$1,"&lt;="&amp;EOMONTH(AU$1,0),'UX Weekly'!$H123:$CT123,"&lt;&gt;"))</f>
        <v>0</v>
      </c>
      <c r="AV123">
        <f>IF($B123="",0,COUNTIFS('UX Weekly'!$H$1:$CT$1,"&gt;="&amp;AV$1,'UX Weekly'!$H$1:$CT$1,"&lt;="&amp;EOMONTH(AV$1,0),'UX Weekly'!$H123:$CT123,"&lt;&gt;"))</f>
        <v>0</v>
      </c>
      <c r="AW123">
        <f>IF($B123="",0,COUNTIFS('UX Weekly'!$H$1:$CT$1,"&gt;="&amp;AW$1,'UX Weekly'!$H$1:$CT$1,"&lt;="&amp;EOMONTH(AW$1,0),'UX Weekly'!$H123:$CT123,"&lt;&gt;"))</f>
        <v>0</v>
      </c>
      <c r="AX123">
        <f>IF($B123="",0,COUNTIFS('UX Weekly'!$H$1:$CT$1,"&gt;="&amp;AX$1,'UX Weekly'!$H$1:$CT$1,"&lt;="&amp;EOMONTH(AX$1,0),'UX Weekly'!$H123:$CT123,"&lt;&gt;"))</f>
        <v>0</v>
      </c>
    </row>
    <row r="124" spans="1:50" x14ac:dyDescent="0.2">
      <c r="A124" s="152">
        <v>124</v>
      </c>
      <c r="B124" s="152" t="str">
        <f>IF(TRIM('UX Weekly'!E124)="","",TRIM('UX Weekly'!E124))</f>
        <v/>
      </c>
      <c r="C124" s="152" t="str">
        <f>IF($B124="","",'UX Weekly'!B124)</f>
        <v/>
      </c>
      <c r="D124" s="152" t="str">
        <f>IF($B124="","",IF(TRIM('UX Weekly'!C124)="","(No theme assigned)",TRIM('UX Weekly'!C124)))</f>
        <v/>
      </c>
      <c r="E124" s="152" t="str">
        <f>IF($B124="","",TRIM('UX Weekly'!F124))</f>
        <v/>
      </c>
      <c r="F124" s="152" t="str">
        <f>IF($B124="","",'UX Weekly'!G124)</f>
        <v/>
      </c>
      <c r="G124" s="153" t="str">
        <f t="array" ref="G124">IF($B124="","",IF($T124=0,"",IFERROR(MIN(IF('UX Weekly'!$H124:$CT124&lt;&gt;"",'UX Weekly'!$H$1:$CT$1)),"")))</f>
        <v/>
      </c>
      <c r="H124" s="153" t="str">
        <f t="array" ref="H124">IF($B124="","",IF($T124=0,"",IFERROR(MAX(IF('UX Weekly'!$H124:$CT124&lt;&gt;"",'UX Weekly'!$H$1:$CT$1)),"")))</f>
        <v/>
      </c>
      <c r="I124" s="154" t="str">
        <f t="shared" ca="1" si="21"/>
        <v/>
      </c>
      <c r="J124" s="154" t="str">
        <f t="shared" ca="1" si="22"/>
        <v/>
      </c>
      <c r="K124" s="152" t="str">
        <f>IF($B124="","",IF(COUNTA('Dev Tracker'!L124)=0,"",TRIM('Dev Tracker'!L124)))</f>
        <v/>
      </c>
      <c r="L124" s="152" t="str">
        <f>IF($B124="","",IFERROR(MATCH($D124,Control!$E$4:$E$30,0),99))</f>
        <v/>
      </c>
      <c r="M124" s="152" t="str">
        <f>IF($B124="","",IFERROR(MATCH($F124,Control!$B$4:$B$30,0),99))</f>
        <v/>
      </c>
      <c r="N124" s="152" t="str">
        <f>IF($V124&lt;&gt;1,"",IF('Roadmap (Auto)'!$D$3="Status, then Theme",$M124*1000000+$L124*10000+ROW(),IF('Roadmap (Auto)'!$D$3="Dev start (earliest)",IF($I124="",99999999,$I124)*10000+ROW(),IF('Roadmap (Auto)'!$D$3="UX start (earliest)",IF($G124="",99999999,$G124)*10000+ROW(),IF('Roadmap (Auto)'!$D$3="Deliverable A-Z",$W124*10000+ROW(),$L124*1000000+$M124*10000+ROW())))))</f>
        <v/>
      </c>
      <c r="O124" s="152" t="str">
        <f t="shared" si="23"/>
        <v/>
      </c>
      <c r="P124" s="152" t="str">
        <f>IF($B124="","",IF(COUNTA('Dev Tracker'!I124)=0,"",'Dev Tracker'!I124))</f>
        <v/>
      </c>
      <c r="Q124" s="152" t="str">
        <f>IF($B124="","",IF(COUNTA('Dev Tracker'!J124)=0,"",'Dev Tracker'!J124))</f>
        <v/>
      </c>
      <c r="R124" s="154" t="str">
        <f t="shared" ca="1" si="24"/>
        <v/>
      </c>
      <c r="S124" s="154" t="str">
        <f t="shared" ca="1" si="25"/>
        <v/>
      </c>
      <c r="T124" s="152" t="str">
        <f>IF($B124="","",COUNTA('UX Weekly'!$H124:$CT124))</f>
        <v/>
      </c>
      <c r="U124" s="152" t="str">
        <f>IF($B124="","",IFERROR(MATCH($D124,Control!$E$4:$E$30,0)+3,0))</f>
        <v/>
      </c>
      <c r="V124" s="152" t="str">
        <f>IF($B124="","",IF(AND(OR('Roadmap (Auto)'!$A$3="",'Roadmap (Auto)'!$A$3="(All)",ISNUMBER(SEARCH('Roadmap (Auto)'!$A$3,$C124&amp;""))),OR('Roadmap (Auto)'!$B$3="",'Roadmap (Auto)'!$B$3="(All)",$D124='Roadmap (Auto)'!$B$3,$X124='Roadmap (Auto)'!$B$3),OR('Roadmap (Auto)'!$C$3="",'Roadmap (Auto)'!$C$3="(All)",$F124='Roadmap (Auto)'!$C$3)),1,0))</f>
        <v/>
      </c>
      <c r="W124" s="152" t="str">
        <f t="shared" si="26"/>
        <v/>
      </c>
      <c r="X124" s="152" t="str">
        <f>IF($B124="","",IF(TRIM('UX Weekly'!D124)="","",TRIM('UX Weekly'!D124)))</f>
        <v/>
      </c>
      <c r="Y124" s="152" t="str">
        <f t="shared" si="27"/>
        <v/>
      </c>
      <c r="AA124">
        <f>IF($B124="",0,COUNTIFS('UX Weekly'!$H$1:$CT$1,"&gt;="&amp;AA$1,'UX Weekly'!$H$1:$CT$1,"&lt;="&amp;EOMONTH(AA$1,0),'UX Weekly'!$H124:$CT124,"&lt;&gt;"))</f>
        <v>0</v>
      </c>
      <c r="AB124">
        <f>IF($B124="",0,COUNTIFS('UX Weekly'!$H$1:$CT$1,"&gt;="&amp;AB$1,'UX Weekly'!$H$1:$CT$1,"&lt;="&amp;EOMONTH(AB$1,0),'UX Weekly'!$H124:$CT124,"&lt;&gt;"))</f>
        <v>0</v>
      </c>
      <c r="AC124">
        <f>IF($B124="",0,COUNTIFS('UX Weekly'!$H$1:$CT$1,"&gt;="&amp;AC$1,'UX Weekly'!$H$1:$CT$1,"&lt;="&amp;EOMONTH(AC$1,0),'UX Weekly'!$H124:$CT124,"&lt;&gt;"))</f>
        <v>0</v>
      </c>
      <c r="AD124">
        <f>IF($B124="",0,COUNTIFS('UX Weekly'!$H$1:$CT$1,"&gt;="&amp;AD$1,'UX Weekly'!$H$1:$CT$1,"&lt;="&amp;EOMONTH(AD$1,0),'UX Weekly'!$H124:$CT124,"&lt;&gt;"))</f>
        <v>0</v>
      </c>
      <c r="AE124">
        <f>IF($B124="",0,COUNTIFS('UX Weekly'!$H$1:$CT$1,"&gt;="&amp;AE$1,'UX Weekly'!$H$1:$CT$1,"&lt;="&amp;EOMONTH(AE$1,0),'UX Weekly'!$H124:$CT124,"&lt;&gt;"))</f>
        <v>0</v>
      </c>
      <c r="AF124">
        <f>IF($B124="",0,COUNTIFS('UX Weekly'!$H$1:$CT$1,"&gt;="&amp;AF$1,'UX Weekly'!$H$1:$CT$1,"&lt;="&amp;EOMONTH(AF$1,0),'UX Weekly'!$H124:$CT124,"&lt;&gt;"))</f>
        <v>0</v>
      </c>
      <c r="AG124">
        <f>IF($B124="",0,COUNTIFS('UX Weekly'!$H$1:$CT$1,"&gt;="&amp;AG$1,'UX Weekly'!$H$1:$CT$1,"&lt;="&amp;EOMONTH(AG$1,0),'UX Weekly'!$H124:$CT124,"&lt;&gt;"))</f>
        <v>0</v>
      </c>
      <c r="AH124">
        <f>IF($B124="",0,COUNTIFS('UX Weekly'!$H$1:$CT$1,"&gt;="&amp;AH$1,'UX Weekly'!$H$1:$CT$1,"&lt;="&amp;EOMONTH(AH$1,0),'UX Weekly'!$H124:$CT124,"&lt;&gt;"))</f>
        <v>0</v>
      </c>
      <c r="AI124">
        <f>IF($B124="",0,COUNTIFS('UX Weekly'!$H$1:$CT$1,"&gt;="&amp;AI$1,'UX Weekly'!$H$1:$CT$1,"&lt;="&amp;EOMONTH(AI$1,0),'UX Weekly'!$H124:$CT124,"&lt;&gt;"))</f>
        <v>0</v>
      </c>
      <c r="AJ124">
        <f>IF($B124="",0,COUNTIFS('UX Weekly'!$H$1:$CT$1,"&gt;="&amp;AJ$1,'UX Weekly'!$H$1:$CT$1,"&lt;="&amp;EOMONTH(AJ$1,0),'UX Weekly'!$H124:$CT124,"&lt;&gt;"))</f>
        <v>0</v>
      </c>
      <c r="AK124">
        <f>IF($B124="",0,COUNTIFS('UX Weekly'!$H$1:$CT$1,"&gt;="&amp;AK$1,'UX Weekly'!$H$1:$CT$1,"&lt;="&amp;EOMONTH(AK$1,0),'UX Weekly'!$H124:$CT124,"&lt;&gt;"))</f>
        <v>0</v>
      </c>
      <c r="AL124">
        <f>IF($B124="",0,COUNTIFS('UX Weekly'!$H$1:$CT$1,"&gt;="&amp;AL$1,'UX Weekly'!$H$1:$CT$1,"&lt;="&amp;EOMONTH(AL$1,0),'UX Weekly'!$H124:$CT124,"&lt;&gt;"))</f>
        <v>0</v>
      </c>
      <c r="AM124">
        <f>IF($B124="",0,COUNTIFS('UX Weekly'!$H$1:$CT$1,"&gt;="&amp;AM$1,'UX Weekly'!$H$1:$CT$1,"&lt;="&amp;EOMONTH(AM$1,0),'UX Weekly'!$H124:$CT124,"&lt;&gt;"))</f>
        <v>0</v>
      </c>
      <c r="AN124">
        <f>IF($B124="",0,COUNTIFS('UX Weekly'!$H$1:$CT$1,"&gt;="&amp;AN$1,'UX Weekly'!$H$1:$CT$1,"&lt;="&amp;EOMONTH(AN$1,0),'UX Weekly'!$H124:$CT124,"&lt;&gt;"))</f>
        <v>0</v>
      </c>
      <c r="AO124">
        <f>IF($B124="",0,COUNTIFS('UX Weekly'!$H$1:$CT$1,"&gt;="&amp;AO$1,'UX Weekly'!$H$1:$CT$1,"&lt;="&amp;EOMONTH(AO$1,0),'UX Weekly'!$H124:$CT124,"&lt;&gt;"))</f>
        <v>0</v>
      </c>
      <c r="AP124">
        <f>IF($B124="",0,COUNTIFS('UX Weekly'!$H$1:$CT$1,"&gt;="&amp;AP$1,'UX Weekly'!$H$1:$CT$1,"&lt;="&amp;EOMONTH(AP$1,0),'UX Weekly'!$H124:$CT124,"&lt;&gt;"))</f>
        <v>0</v>
      </c>
      <c r="AQ124">
        <f>IF($B124="",0,COUNTIFS('UX Weekly'!$H$1:$CT$1,"&gt;="&amp;AQ$1,'UX Weekly'!$H$1:$CT$1,"&lt;="&amp;EOMONTH(AQ$1,0),'UX Weekly'!$H124:$CT124,"&lt;&gt;"))</f>
        <v>0</v>
      </c>
      <c r="AR124">
        <f>IF($B124="",0,COUNTIFS('UX Weekly'!$H$1:$CT$1,"&gt;="&amp;AR$1,'UX Weekly'!$H$1:$CT$1,"&lt;="&amp;EOMONTH(AR$1,0),'UX Weekly'!$H124:$CT124,"&lt;&gt;"))</f>
        <v>0</v>
      </c>
      <c r="AS124">
        <f>IF($B124="",0,COUNTIFS('UX Weekly'!$H$1:$CT$1,"&gt;="&amp;AS$1,'UX Weekly'!$H$1:$CT$1,"&lt;="&amp;EOMONTH(AS$1,0),'UX Weekly'!$H124:$CT124,"&lt;&gt;"))</f>
        <v>0</v>
      </c>
      <c r="AT124">
        <f>IF($B124="",0,COUNTIFS('UX Weekly'!$H$1:$CT$1,"&gt;="&amp;AT$1,'UX Weekly'!$H$1:$CT$1,"&lt;="&amp;EOMONTH(AT$1,0),'UX Weekly'!$H124:$CT124,"&lt;&gt;"))</f>
        <v>0</v>
      </c>
      <c r="AU124">
        <f>IF($B124="",0,COUNTIFS('UX Weekly'!$H$1:$CT$1,"&gt;="&amp;AU$1,'UX Weekly'!$H$1:$CT$1,"&lt;="&amp;EOMONTH(AU$1,0),'UX Weekly'!$H124:$CT124,"&lt;&gt;"))</f>
        <v>0</v>
      </c>
      <c r="AV124">
        <f>IF($B124="",0,COUNTIFS('UX Weekly'!$H$1:$CT$1,"&gt;="&amp;AV$1,'UX Weekly'!$H$1:$CT$1,"&lt;="&amp;EOMONTH(AV$1,0),'UX Weekly'!$H124:$CT124,"&lt;&gt;"))</f>
        <v>0</v>
      </c>
      <c r="AW124">
        <f>IF($B124="",0,COUNTIFS('UX Weekly'!$H$1:$CT$1,"&gt;="&amp;AW$1,'UX Weekly'!$H$1:$CT$1,"&lt;="&amp;EOMONTH(AW$1,0),'UX Weekly'!$H124:$CT124,"&lt;&gt;"))</f>
        <v>0</v>
      </c>
      <c r="AX124">
        <f>IF($B124="",0,COUNTIFS('UX Weekly'!$H$1:$CT$1,"&gt;="&amp;AX$1,'UX Weekly'!$H$1:$CT$1,"&lt;="&amp;EOMONTH(AX$1,0),'UX Weekly'!$H124:$CT124,"&lt;&gt;"))</f>
        <v>0</v>
      </c>
    </row>
    <row r="125" spans="1:50" x14ac:dyDescent="0.2">
      <c r="A125" s="152">
        <v>125</v>
      </c>
      <c r="B125" s="152" t="str">
        <f>IF(TRIM('UX Weekly'!E125)="","",TRIM('UX Weekly'!E125))</f>
        <v/>
      </c>
      <c r="C125" s="152" t="str">
        <f>IF($B125="","",'UX Weekly'!B125)</f>
        <v/>
      </c>
      <c r="D125" s="152" t="str">
        <f>IF($B125="","",IF(TRIM('UX Weekly'!C125)="","(No theme assigned)",TRIM('UX Weekly'!C125)))</f>
        <v/>
      </c>
      <c r="E125" s="152" t="str">
        <f>IF($B125="","",TRIM('UX Weekly'!F125))</f>
        <v/>
      </c>
      <c r="F125" s="152" t="str">
        <f>IF($B125="","",'UX Weekly'!G125)</f>
        <v/>
      </c>
      <c r="G125" s="153" t="str">
        <f t="array" ref="G125">IF($B125="","",IF($T125=0,"",IFERROR(MIN(IF('UX Weekly'!$H125:$CT125&lt;&gt;"",'UX Weekly'!$H$1:$CT$1)),"")))</f>
        <v/>
      </c>
      <c r="H125" s="153" t="str">
        <f t="array" ref="H125">IF($B125="","",IF($T125=0,"",IFERROR(MAX(IF('UX Weekly'!$H125:$CT125&lt;&gt;"",'UX Weekly'!$H$1:$CT$1)),"")))</f>
        <v/>
      </c>
      <c r="I125" s="154" t="str">
        <f t="shared" ca="1" si="21"/>
        <v/>
      </c>
      <c r="J125" s="154" t="str">
        <f t="shared" ca="1" si="22"/>
        <v/>
      </c>
      <c r="K125" s="152" t="str">
        <f>IF($B125="","",IF(COUNTA('Dev Tracker'!L125)=0,"",TRIM('Dev Tracker'!L125)))</f>
        <v/>
      </c>
      <c r="L125" s="152" t="str">
        <f>IF($B125="","",IFERROR(MATCH($D125,Control!$E$4:$E$30,0),99))</f>
        <v/>
      </c>
      <c r="M125" s="152" t="str">
        <f>IF($B125="","",IFERROR(MATCH($F125,Control!$B$4:$B$30,0),99))</f>
        <v/>
      </c>
      <c r="N125" s="152" t="str">
        <f>IF($V125&lt;&gt;1,"",IF('Roadmap (Auto)'!$D$3="Status, then Theme",$M125*1000000+$L125*10000+ROW(),IF('Roadmap (Auto)'!$D$3="Dev start (earliest)",IF($I125="",99999999,$I125)*10000+ROW(),IF('Roadmap (Auto)'!$D$3="UX start (earliest)",IF($G125="",99999999,$G125)*10000+ROW(),IF('Roadmap (Auto)'!$D$3="Deliverable A-Z",$W125*10000+ROW(),$L125*1000000+$M125*10000+ROW())))))</f>
        <v/>
      </c>
      <c r="O125" s="152" t="str">
        <f t="shared" si="23"/>
        <v/>
      </c>
      <c r="P125" s="152" t="str">
        <f>IF($B125="","",IF(COUNTA('Dev Tracker'!I125)=0,"",'Dev Tracker'!I125))</f>
        <v/>
      </c>
      <c r="Q125" s="152" t="str">
        <f>IF($B125="","",IF(COUNTA('Dev Tracker'!J125)=0,"",'Dev Tracker'!J125))</f>
        <v/>
      </c>
      <c r="R125" s="154" t="str">
        <f t="shared" ca="1" si="24"/>
        <v/>
      </c>
      <c r="S125" s="154" t="str">
        <f t="shared" ca="1" si="25"/>
        <v/>
      </c>
      <c r="T125" s="152" t="str">
        <f>IF($B125="","",COUNTA('UX Weekly'!$H125:$CT125))</f>
        <v/>
      </c>
      <c r="U125" s="152" t="str">
        <f>IF($B125="","",IFERROR(MATCH($D125,Control!$E$4:$E$30,0)+3,0))</f>
        <v/>
      </c>
      <c r="V125" s="152" t="str">
        <f>IF($B125="","",IF(AND(OR('Roadmap (Auto)'!$A$3="",'Roadmap (Auto)'!$A$3="(All)",ISNUMBER(SEARCH('Roadmap (Auto)'!$A$3,$C125&amp;""))),OR('Roadmap (Auto)'!$B$3="",'Roadmap (Auto)'!$B$3="(All)",$D125='Roadmap (Auto)'!$B$3,$X125='Roadmap (Auto)'!$B$3),OR('Roadmap (Auto)'!$C$3="",'Roadmap (Auto)'!$C$3="(All)",$F125='Roadmap (Auto)'!$C$3)),1,0))</f>
        <v/>
      </c>
      <c r="W125" s="152" t="str">
        <f t="shared" si="26"/>
        <v/>
      </c>
      <c r="X125" s="152" t="str">
        <f>IF($B125="","",IF(TRIM('UX Weekly'!D125)="","",TRIM('UX Weekly'!D125)))</f>
        <v/>
      </c>
      <c r="Y125" s="152" t="str">
        <f t="shared" si="27"/>
        <v/>
      </c>
      <c r="AA125">
        <f>IF($B125="",0,COUNTIFS('UX Weekly'!$H$1:$CT$1,"&gt;="&amp;AA$1,'UX Weekly'!$H$1:$CT$1,"&lt;="&amp;EOMONTH(AA$1,0),'UX Weekly'!$H125:$CT125,"&lt;&gt;"))</f>
        <v>0</v>
      </c>
      <c r="AB125">
        <f>IF($B125="",0,COUNTIFS('UX Weekly'!$H$1:$CT$1,"&gt;="&amp;AB$1,'UX Weekly'!$H$1:$CT$1,"&lt;="&amp;EOMONTH(AB$1,0),'UX Weekly'!$H125:$CT125,"&lt;&gt;"))</f>
        <v>0</v>
      </c>
      <c r="AC125">
        <f>IF($B125="",0,COUNTIFS('UX Weekly'!$H$1:$CT$1,"&gt;="&amp;AC$1,'UX Weekly'!$H$1:$CT$1,"&lt;="&amp;EOMONTH(AC$1,0),'UX Weekly'!$H125:$CT125,"&lt;&gt;"))</f>
        <v>0</v>
      </c>
      <c r="AD125">
        <f>IF($B125="",0,COUNTIFS('UX Weekly'!$H$1:$CT$1,"&gt;="&amp;AD$1,'UX Weekly'!$H$1:$CT$1,"&lt;="&amp;EOMONTH(AD$1,0),'UX Weekly'!$H125:$CT125,"&lt;&gt;"))</f>
        <v>0</v>
      </c>
      <c r="AE125">
        <f>IF($B125="",0,COUNTIFS('UX Weekly'!$H$1:$CT$1,"&gt;="&amp;AE$1,'UX Weekly'!$H$1:$CT$1,"&lt;="&amp;EOMONTH(AE$1,0),'UX Weekly'!$H125:$CT125,"&lt;&gt;"))</f>
        <v>0</v>
      </c>
      <c r="AF125">
        <f>IF($B125="",0,COUNTIFS('UX Weekly'!$H$1:$CT$1,"&gt;="&amp;AF$1,'UX Weekly'!$H$1:$CT$1,"&lt;="&amp;EOMONTH(AF$1,0),'UX Weekly'!$H125:$CT125,"&lt;&gt;"))</f>
        <v>0</v>
      </c>
      <c r="AG125">
        <f>IF($B125="",0,COUNTIFS('UX Weekly'!$H$1:$CT$1,"&gt;="&amp;AG$1,'UX Weekly'!$H$1:$CT$1,"&lt;="&amp;EOMONTH(AG$1,0),'UX Weekly'!$H125:$CT125,"&lt;&gt;"))</f>
        <v>0</v>
      </c>
      <c r="AH125">
        <f>IF($B125="",0,COUNTIFS('UX Weekly'!$H$1:$CT$1,"&gt;="&amp;AH$1,'UX Weekly'!$H$1:$CT$1,"&lt;="&amp;EOMONTH(AH$1,0),'UX Weekly'!$H125:$CT125,"&lt;&gt;"))</f>
        <v>0</v>
      </c>
      <c r="AI125">
        <f>IF($B125="",0,COUNTIFS('UX Weekly'!$H$1:$CT$1,"&gt;="&amp;AI$1,'UX Weekly'!$H$1:$CT$1,"&lt;="&amp;EOMONTH(AI$1,0),'UX Weekly'!$H125:$CT125,"&lt;&gt;"))</f>
        <v>0</v>
      </c>
      <c r="AJ125">
        <f>IF($B125="",0,COUNTIFS('UX Weekly'!$H$1:$CT$1,"&gt;="&amp;AJ$1,'UX Weekly'!$H$1:$CT$1,"&lt;="&amp;EOMONTH(AJ$1,0),'UX Weekly'!$H125:$CT125,"&lt;&gt;"))</f>
        <v>0</v>
      </c>
      <c r="AK125">
        <f>IF($B125="",0,COUNTIFS('UX Weekly'!$H$1:$CT$1,"&gt;="&amp;AK$1,'UX Weekly'!$H$1:$CT$1,"&lt;="&amp;EOMONTH(AK$1,0),'UX Weekly'!$H125:$CT125,"&lt;&gt;"))</f>
        <v>0</v>
      </c>
      <c r="AL125">
        <f>IF($B125="",0,COUNTIFS('UX Weekly'!$H$1:$CT$1,"&gt;="&amp;AL$1,'UX Weekly'!$H$1:$CT$1,"&lt;="&amp;EOMONTH(AL$1,0),'UX Weekly'!$H125:$CT125,"&lt;&gt;"))</f>
        <v>0</v>
      </c>
      <c r="AM125">
        <f>IF($B125="",0,COUNTIFS('UX Weekly'!$H$1:$CT$1,"&gt;="&amp;AM$1,'UX Weekly'!$H$1:$CT$1,"&lt;="&amp;EOMONTH(AM$1,0),'UX Weekly'!$H125:$CT125,"&lt;&gt;"))</f>
        <v>0</v>
      </c>
      <c r="AN125">
        <f>IF($B125="",0,COUNTIFS('UX Weekly'!$H$1:$CT$1,"&gt;="&amp;AN$1,'UX Weekly'!$H$1:$CT$1,"&lt;="&amp;EOMONTH(AN$1,0),'UX Weekly'!$H125:$CT125,"&lt;&gt;"))</f>
        <v>0</v>
      </c>
      <c r="AO125">
        <f>IF($B125="",0,COUNTIFS('UX Weekly'!$H$1:$CT$1,"&gt;="&amp;AO$1,'UX Weekly'!$H$1:$CT$1,"&lt;="&amp;EOMONTH(AO$1,0),'UX Weekly'!$H125:$CT125,"&lt;&gt;"))</f>
        <v>0</v>
      </c>
      <c r="AP125">
        <f>IF($B125="",0,COUNTIFS('UX Weekly'!$H$1:$CT$1,"&gt;="&amp;AP$1,'UX Weekly'!$H$1:$CT$1,"&lt;="&amp;EOMONTH(AP$1,0),'UX Weekly'!$H125:$CT125,"&lt;&gt;"))</f>
        <v>0</v>
      </c>
      <c r="AQ125">
        <f>IF($B125="",0,COUNTIFS('UX Weekly'!$H$1:$CT$1,"&gt;="&amp;AQ$1,'UX Weekly'!$H$1:$CT$1,"&lt;="&amp;EOMONTH(AQ$1,0),'UX Weekly'!$H125:$CT125,"&lt;&gt;"))</f>
        <v>0</v>
      </c>
      <c r="AR125">
        <f>IF($B125="",0,COUNTIFS('UX Weekly'!$H$1:$CT$1,"&gt;="&amp;AR$1,'UX Weekly'!$H$1:$CT$1,"&lt;="&amp;EOMONTH(AR$1,0),'UX Weekly'!$H125:$CT125,"&lt;&gt;"))</f>
        <v>0</v>
      </c>
      <c r="AS125">
        <f>IF($B125="",0,COUNTIFS('UX Weekly'!$H$1:$CT$1,"&gt;="&amp;AS$1,'UX Weekly'!$H$1:$CT$1,"&lt;="&amp;EOMONTH(AS$1,0),'UX Weekly'!$H125:$CT125,"&lt;&gt;"))</f>
        <v>0</v>
      </c>
      <c r="AT125">
        <f>IF($B125="",0,COUNTIFS('UX Weekly'!$H$1:$CT$1,"&gt;="&amp;AT$1,'UX Weekly'!$H$1:$CT$1,"&lt;="&amp;EOMONTH(AT$1,0),'UX Weekly'!$H125:$CT125,"&lt;&gt;"))</f>
        <v>0</v>
      </c>
      <c r="AU125">
        <f>IF($B125="",0,COUNTIFS('UX Weekly'!$H$1:$CT$1,"&gt;="&amp;AU$1,'UX Weekly'!$H$1:$CT$1,"&lt;="&amp;EOMONTH(AU$1,0),'UX Weekly'!$H125:$CT125,"&lt;&gt;"))</f>
        <v>0</v>
      </c>
      <c r="AV125">
        <f>IF($B125="",0,COUNTIFS('UX Weekly'!$H$1:$CT$1,"&gt;="&amp;AV$1,'UX Weekly'!$H$1:$CT$1,"&lt;="&amp;EOMONTH(AV$1,0),'UX Weekly'!$H125:$CT125,"&lt;&gt;"))</f>
        <v>0</v>
      </c>
      <c r="AW125">
        <f>IF($B125="",0,COUNTIFS('UX Weekly'!$H$1:$CT$1,"&gt;="&amp;AW$1,'UX Weekly'!$H$1:$CT$1,"&lt;="&amp;EOMONTH(AW$1,0),'UX Weekly'!$H125:$CT125,"&lt;&gt;"))</f>
        <v>0</v>
      </c>
      <c r="AX125">
        <f>IF($B125="",0,COUNTIFS('UX Weekly'!$H$1:$CT$1,"&gt;="&amp;AX$1,'UX Weekly'!$H$1:$CT$1,"&lt;="&amp;EOMONTH(AX$1,0),'UX Weekly'!$H125:$CT125,"&lt;&gt;"))</f>
        <v>0</v>
      </c>
    </row>
    <row r="126" spans="1:50" x14ac:dyDescent="0.2">
      <c r="A126" s="152">
        <v>126</v>
      </c>
      <c r="B126" s="152" t="str">
        <f>IF(TRIM('UX Weekly'!E126)="","",TRIM('UX Weekly'!E126))</f>
        <v/>
      </c>
      <c r="C126" s="152" t="str">
        <f>IF($B126="","",'UX Weekly'!B126)</f>
        <v/>
      </c>
      <c r="D126" s="152" t="str">
        <f>IF($B126="","",IF(TRIM('UX Weekly'!C126)="","(No theme assigned)",TRIM('UX Weekly'!C126)))</f>
        <v/>
      </c>
      <c r="E126" s="152" t="str">
        <f>IF($B126="","",TRIM('UX Weekly'!F126))</f>
        <v/>
      </c>
      <c r="F126" s="152" t="str">
        <f>IF($B126="","",'UX Weekly'!G126)</f>
        <v/>
      </c>
      <c r="G126" s="153" t="str">
        <f t="array" ref="G126">IF($B126="","",IF($T126=0,"",IFERROR(MIN(IF('UX Weekly'!$H126:$CT126&lt;&gt;"",'UX Weekly'!$H$1:$CT$1)),"")))</f>
        <v/>
      </c>
      <c r="H126" s="153" t="str">
        <f t="array" ref="H126">IF($B126="","",IF($T126=0,"",IFERROR(MAX(IF('UX Weekly'!$H126:$CT126&lt;&gt;"",'UX Weekly'!$H$1:$CT$1)),"")))</f>
        <v/>
      </c>
      <c r="I126" s="154" t="str">
        <f t="shared" ca="1" si="21"/>
        <v/>
      </c>
      <c r="J126" s="154" t="str">
        <f t="shared" ca="1" si="22"/>
        <v/>
      </c>
      <c r="K126" s="152" t="str">
        <f>IF($B126="","",IF(COUNTA('Dev Tracker'!L126)=0,"",TRIM('Dev Tracker'!L126)))</f>
        <v/>
      </c>
      <c r="L126" s="152" t="str">
        <f>IF($B126="","",IFERROR(MATCH($D126,Control!$E$4:$E$30,0),99))</f>
        <v/>
      </c>
      <c r="M126" s="152" t="str">
        <f>IF($B126="","",IFERROR(MATCH($F126,Control!$B$4:$B$30,0),99))</f>
        <v/>
      </c>
      <c r="N126" s="152" t="str">
        <f>IF($V126&lt;&gt;1,"",IF('Roadmap (Auto)'!$D$3="Status, then Theme",$M126*1000000+$L126*10000+ROW(),IF('Roadmap (Auto)'!$D$3="Dev start (earliest)",IF($I126="",99999999,$I126)*10000+ROW(),IF('Roadmap (Auto)'!$D$3="UX start (earliest)",IF($G126="",99999999,$G126)*10000+ROW(),IF('Roadmap (Auto)'!$D$3="Deliverable A-Z",$W126*10000+ROW(),$L126*1000000+$M126*10000+ROW())))))</f>
        <v/>
      </c>
      <c r="O126" s="152" t="str">
        <f t="shared" si="23"/>
        <v/>
      </c>
      <c r="P126" s="152" t="str">
        <f>IF($B126="","",IF(COUNTA('Dev Tracker'!I126)=0,"",'Dev Tracker'!I126))</f>
        <v/>
      </c>
      <c r="Q126" s="152" t="str">
        <f>IF($B126="","",IF(COUNTA('Dev Tracker'!J126)=0,"",'Dev Tracker'!J126))</f>
        <v/>
      </c>
      <c r="R126" s="154" t="str">
        <f t="shared" ca="1" si="24"/>
        <v/>
      </c>
      <c r="S126" s="154" t="str">
        <f t="shared" ca="1" si="25"/>
        <v/>
      </c>
      <c r="T126" s="152" t="str">
        <f>IF($B126="","",COUNTA('UX Weekly'!$H126:$CT126))</f>
        <v/>
      </c>
      <c r="U126" s="152" t="str">
        <f>IF($B126="","",IFERROR(MATCH($D126,Control!$E$4:$E$30,0)+3,0))</f>
        <v/>
      </c>
      <c r="V126" s="152" t="str">
        <f>IF($B126="","",IF(AND(OR('Roadmap (Auto)'!$A$3="",'Roadmap (Auto)'!$A$3="(All)",ISNUMBER(SEARCH('Roadmap (Auto)'!$A$3,$C126&amp;""))),OR('Roadmap (Auto)'!$B$3="",'Roadmap (Auto)'!$B$3="(All)",$D126='Roadmap (Auto)'!$B$3,$X126='Roadmap (Auto)'!$B$3),OR('Roadmap (Auto)'!$C$3="",'Roadmap (Auto)'!$C$3="(All)",$F126='Roadmap (Auto)'!$C$3)),1,0))</f>
        <v/>
      </c>
      <c r="W126" s="152" t="str">
        <f t="shared" si="26"/>
        <v/>
      </c>
      <c r="X126" s="152" t="str">
        <f>IF($B126="","",IF(TRIM('UX Weekly'!D126)="","",TRIM('UX Weekly'!D126)))</f>
        <v/>
      </c>
      <c r="Y126" s="152" t="str">
        <f t="shared" si="27"/>
        <v/>
      </c>
      <c r="AA126">
        <f>IF($B126="",0,COUNTIFS('UX Weekly'!$H$1:$CT$1,"&gt;="&amp;AA$1,'UX Weekly'!$H$1:$CT$1,"&lt;="&amp;EOMONTH(AA$1,0),'UX Weekly'!$H126:$CT126,"&lt;&gt;"))</f>
        <v>0</v>
      </c>
      <c r="AB126">
        <f>IF($B126="",0,COUNTIFS('UX Weekly'!$H$1:$CT$1,"&gt;="&amp;AB$1,'UX Weekly'!$H$1:$CT$1,"&lt;="&amp;EOMONTH(AB$1,0),'UX Weekly'!$H126:$CT126,"&lt;&gt;"))</f>
        <v>0</v>
      </c>
      <c r="AC126">
        <f>IF($B126="",0,COUNTIFS('UX Weekly'!$H$1:$CT$1,"&gt;="&amp;AC$1,'UX Weekly'!$H$1:$CT$1,"&lt;="&amp;EOMONTH(AC$1,0),'UX Weekly'!$H126:$CT126,"&lt;&gt;"))</f>
        <v>0</v>
      </c>
      <c r="AD126">
        <f>IF($B126="",0,COUNTIFS('UX Weekly'!$H$1:$CT$1,"&gt;="&amp;AD$1,'UX Weekly'!$H$1:$CT$1,"&lt;="&amp;EOMONTH(AD$1,0),'UX Weekly'!$H126:$CT126,"&lt;&gt;"))</f>
        <v>0</v>
      </c>
      <c r="AE126">
        <f>IF($B126="",0,COUNTIFS('UX Weekly'!$H$1:$CT$1,"&gt;="&amp;AE$1,'UX Weekly'!$H$1:$CT$1,"&lt;="&amp;EOMONTH(AE$1,0),'UX Weekly'!$H126:$CT126,"&lt;&gt;"))</f>
        <v>0</v>
      </c>
      <c r="AF126">
        <f>IF($B126="",0,COUNTIFS('UX Weekly'!$H$1:$CT$1,"&gt;="&amp;AF$1,'UX Weekly'!$H$1:$CT$1,"&lt;="&amp;EOMONTH(AF$1,0),'UX Weekly'!$H126:$CT126,"&lt;&gt;"))</f>
        <v>0</v>
      </c>
      <c r="AG126">
        <f>IF($B126="",0,COUNTIFS('UX Weekly'!$H$1:$CT$1,"&gt;="&amp;AG$1,'UX Weekly'!$H$1:$CT$1,"&lt;="&amp;EOMONTH(AG$1,0),'UX Weekly'!$H126:$CT126,"&lt;&gt;"))</f>
        <v>0</v>
      </c>
      <c r="AH126">
        <f>IF($B126="",0,COUNTIFS('UX Weekly'!$H$1:$CT$1,"&gt;="&amp;AH$1,'UX Weekly'!$H$1:$CT$1,"&lt;="&amp;EOMONTH(AH$1,0),'UX Weekly'!$H126:$CT126,"&lt;&gt;"))</f>
        <v>0</v>
      </c>
      <c r="AI126">
        <f>IF($B126="",0,COUNTIFS('UX Weekly'!$H$1:$CT$1,"&gt;="&amp;AI$1,'UX Weekly'!$H$1:$CT$1,"&lt;="&amp;EOMONTH(AI$1,0),'UX Weekly'!$H126:$CT126,"&lt;&gt;"))</f>
        <v>0</v>
      </c>
      <c r="AJ126">
        <f>IF($B126="",0,COUNTIFS('UX Weekly'!$H$1:$CT$1,"&gt;="&amp;AJ$1,'UX Weekly'!$H$1:$CT$1,"&lt;="&amp;EOMONTH(AJ$1,0),'UX Weekly'!$H126:$CT126,"&lt;&gt;"))</f>
        <v>0</v>
      </c>
      <c r="AK126">
        <f>IF($B126="",0,COUNTIFS('UX Weekly'!$H$1:$CT$1,"&gt;="&amp;AK$1,'UX Weekly'!$H$1:$CT$1,"&lt;="&amp;EOMONTH(AK$1,0),'UX Weekly'!$H126:$CT126,"&lt;&gt;"))</f>
        <v>0</v>
      </c>
      <c r="AL126">
        <f>IF($B126="",0,COUNTIFS('UX Weekly'!$H$1:$CT$1,"&gt;="&amp;AL$1,'UX Weekly'!$H$1:$CT$1,"&lt;="&amp;EOMONTH(AL$1,0),'UX Weekly'!$H126:$CT126,"&lt;&gt;"))</f>
        <v>0</v>
      </c>
      <c r="AM126">
        <f>IF($B126="",0,COUNTIFS('UX Weekly'!$H$1:$CT$1,"&gt;="&amp;AM$1,'UX Weekly'!$H$1:$CT$1,"&lt;="&amp;EOMONTH(AM$1,0),'UX Weekly'!$H126:$CT126,"&lt;&gt;"))</f>
        <v>0</v>
      </c>
      <c r="AN126">
        <f>IF($B126="",0,COUNTIFS('UX Weekly'!$H$1:$CT$1,"&gt;="&amp;AN$1,'UX Weekly'!$H$1:$CT$1,"&lt;="&amp;EOMONTH(AN$1,0),'UX Weekly'!$H126:$CT126,"&lt;&gt;"))</f>
        <v>0</v>
      </c>
      <c r="AO126">
        <f>IF($B126="",0,COUNTIFS('UX Weekly'!$H$1:$CT$1,"&gt;="&amp;AO$1,'UX Weekly'!$H$1:$CT$1,"&lt;="&amp;EOMONTH(AO$1,0),'UX Weekly'!$H126:$CT126,"&lt;&gt;"))</f>
        <v>0</v>
      </c>
      <c r="AP126">
        <f>IF($B126="",0,COUNTIFS('UX Weekly'!$H$1:$CT$1,"&gt;="&amp;AP$1,'UX Weekly'!$H$1:$CT$1,"&lt;="&amp;EOMONTH(AP$1,0),'UX Weekly'!$H126:$CT126,"&lt;&gt;"))</f>
        <v>0</v>
      </c>
      <c r="AQ126">
        <f>IF($B126="",0,COUNTIFS('UX Weekly'!$H$1:$CT$1,"&gt;="&amp;AQ$1,'UX Weekly'!$H$1:$CT$1,"&lt;="&amp;EOMONTH(AQ$1,0),'UX Weekly'!$H126:$CT126,"&lt;&gt;"))</f>
        <v>0</v>
      </c>
      <c r="AR126">
        <f>IF($B126="",0,COUNTIFS('UX Weekly'!$H$1:$CT$1,"&gt;="&amp;AR$1,'UX Weekly'!$H$1:$CT$1,"&lt;="&amp;EOMONTH(AR$1,0),'UX Weekly'!$H126:$CT126,"&lt;&gt;"))</f>
        <v>0</v>
      </c>
      <c r="AS126">
        <f>IF($B126="",0,COUNTIFS('UX Weekly'!$H$1:$CT$1,"&gt;="&amp;AS$1,'UX Weekly'!$H$1:$CT$1,"&lt;="&amp;EOMONTH(AS$1,0),'UX Weekly'!$H126:$CT126,"&lt;&gt;"))</f>
        <v>0</v>
      </c>
      <c r="AT126">
        <f>IF($B126="",0,COUNTIFS('UX Weekly'!$H$1:$CT$1,"&gt;="&amp;AT$1,'UX Weekly'!$H$1:$CT$1,"&lt;="&amp;EOMONTH(AT$1,0),'UX Weekly'!$H126:$CT126,"&lt;&gt;"))</f>
        <v>0</v>
      </c>
      <c r="AU126">
        <f>IF($B126="",0,COUNTIFS('UX Weekly'!$H$1:$CT$1,"&gt;="&amp;AU$1,'UX Weekly'!$H$1:$CT$1,"&lt;="&amp;EOMONTH(AU$1,0),'UX Weekly'!$H126:$CT126,"&lt;&gt;"))</f>
        <v>0</v>
      </c>
      <c r="AV126">
        <f>IF($B126="",0,COUNTIFS('UX Weekly'!$H$1:$CT$1,"&gt;="&amp;AV$1,'UX Weekly'!$H$1:$CT$1,"&lt;="&amp;EOMONTH(AV$1,0),'UX Weekly'!$H126:$CT126,"&lt;&gt;"))</f>
        <v>0</v>
      </c>
      <c r="AW126">
        <f>IF($B126="",0,COUNTIFS('UX Weekly'!$H$1:$CT$1,"&gt;="&amp;AW$1,'UX Weekly'!$H$1:$CT$1,"&lt;="&amp;EOMONTH(AW$1,0),'UX Weekly'!$H126:$CT126,"&lt;&gt;"))</f>
        <v>0</v>
      </c>
      <c r="AX126">
        <f>IF($B126="",0,COUNTIFS('UX Weekly'!$H$1:$CT$1,"&gt;="&amp;AX$1,'UX Weekly'!$H$1:$CT$1,"&lt;="&amp;EOMONTH(AX$1,0),'UX Weekly'!$H126:$CT126,"&lt;&gt;"))</f>
        <v>0</v>
      </c>
    </row>
    <row r="127" spans="1:50" x14ac:dyDescent="0.2">
      <c r="A127" s="152">
        <v>127</v>
      </c>
      <c r="B127" s="152" t="str">
        <f>IF(TRIM('UX Weekly'!E127)="","",TRIM('UX Weekly'!E127))</f>
        <v/>
      </c>
      <c r="C127" s="152" t="str">
        <f>IF($B127="","",'UX Weekly'!B127)</f>
        <v/>
      </c>
      <c r="D127" s="152" t="str">
        <f>IF($B127="","",IF(TRIM('UX Weekly'!C127)="","(No theme assigned)",TRIM('UX Weekly'!C127)))</f>
        <v/>
      </c>
      <c r="E127" s="152" t="str">
        <f>IF($B127="","",TRIM('UX Weekly'!F127))</f>
        <v/>
      </c>
      <c r="F127" s="152" t="str">
        <f>IF($B127="","",'UX Weekly'!G127)</f>
        <v/>
      </c>
      <c r="G127" s="153" t="str">
        <f t="array" ref="G127">IF($B127="","",IF($T127=0,"",IFERROR(MIN(IF('UX Weekly'!$H127:$CT127&lt;&gt;"",'UX Weekly'!$H$1:$CT$1)),"")))</f>
        <v/>
      </c>
      <c r="H127" s="153" t="str">
        <f t="array" ref="H127">IF($B127="","",IF($T127=0,"",IFERROR(MAX(IF('UX Weekly'!$H127:$CT127&lt;&gt;"",'UX Weekly'!$H$1:$CT$1)),"")))</f>
        <v/>
      </c>
      <c r="I127" s="154" t="str">
        <f t="shared" ca="1" si="21"/>
        <v/>
      </c>
      <c r="J127" s="154" t="str">
        <f t="shared" ca="1" si="22"/>
        <v/>
      </c>
      <c r="K127" s="152" t="str">
        <f>IF($B127="","",IF(COUNTA('Dev Tracker'!L127)=0,"",TRIM('Dev Tracker'!L127)))</f>
        <v/>
      </c>
      <c r="L127" s="152" t="str">
        <f>IF($B127="","",IFERROR(MATCH($D127,Control!$E$4:$E$30,0),99))</f>
        <v/>
      </c>
      <c r="M127" s="152" t="str">
        <f>IF($B127="","",IFERROR(MATCH($F127,Control!$B$4:$B$30,0),99))</f>
        <v/>
      </c>
      <c r="N127" s="152" t="str">
        <f>IF($V127&lt;&gt;1,"",IF('Roadmap (Auto)'!$D$3="Status, then Theme",$M127*1000000+$L127*10000+ROW(),IF('Roadmap (Auto)'!$D$3="Dev start (earliest)",IF($I127="",99999999,$I127)*10000+ROW(),IF('Roadmap (Auto)'!$D$3="UX start (earliest)",IF($G127="",99999999,$G127)*10000+ROW(),IF('Roadmap (Auto)'!$D$3="Deliverable A-Z",$W127*10000+ROW(),$L127*1000000+$M127*10000+ROW())))))</f>
        <v/>
      </c>
      <c r="O127" s="152" t="str">
        <f t="shared" si="23"/>
        <v/>
      </c>
      <c r="P127" s="152" t="str">
        <f>IF($B127="","",IF(COUNTA('Dev Tracker'!I127)=0,"",'Dev Tracker'!I127))</f>
        <v/>
      </c>
      <c r="Q127" s="152" t="str">
        <f>IF($B127="","",IF(COUNTA('Dev Tracker'!J127)=0,"",'Dev Tracker'!J127))</f>
        <v/>
      </c>
      <c r="R127" s="154" t="str">
        <f t="shared" ca="1" si="24"/>
        <v/>
      </c>
      <c r="S127" s="154" t="str">
        <f t="shared" ca="1" si="25"/>
        <v/>
      </c>
      <c r="T127" s="152" t="str">
        <f>IF($B127="","",COUNTA('UX Weekly'!$H127:$CT127))</f>
        <v/>
      </c>
      <c r="U127" s="152" t="str">
        <f>IF($B127="","",IFERROR(MATCH($D127,Control!$E$4:$E$30,0)+3,0))</f>
        <v/>
      </c>
      <c r="V127" s="152" t="str">
        <f>IF($B127="","",IF(AND(OR('Roadmap (Auto)'!$A$3="",'Roadmap (Auto)'!$A$3="(All)",ISNUMBER(SEARCH('Roadmap (Auto)'!$A$3,$C127&amp;""))),OR('Roadmap (Auto)'!$B$3="",'Roadmap (Auto)'!$B$3="(All)",$D127='Roadmap (Auto)'!$B$3,$X127='Roadmap (Auto)'!$B$3),OR('Roadmap (Auto)'!$C$3="",'Roadmap (Auto)'!$C$3="(All)",$F127='Roadmap (Auto)'!$C$3)),1,0))</f>
        <v/>
      </c>
      <c r="W127" s="152" t="str">
        <f t="shared" si="26"/>
        <v/>
      </c>
      <c r="X127" s="152" t="str">
        <f>IF($B127="","",IF(TRIM('UX Weekly'!D127)="","",TRIM('UX Weekly'!D127)))</f>
        <v/>
      </c>
      <c r="Y127" s="152" t="str">
        <f t="shared" si="27"/>
        <v/>
      </c>
      <c r="AA127">
        <f>IF($B127="",0,COUNTIFS('UX Weekly'!$H$1:$CT$1,"&gt;="&amp;AA$1,'UX Weekly'!$H$1:$CT$1,"&lt;="&amp;EOMONTH(AA$1,0),'UX Weekly'!$H127:$CT127,"&lt;&gt;"))</f>
        <v>0</v>
      </c>
      <c r="AB127">
        <f>IF($B127="",0,COUNTIFS('UX Weekly'!$H$1:$CT$1,"&gt;="&amp;AB$1,'UX Weekly'!$H$1:$CT$1,"&lt;="&amp;EOMONTH(AB$1,0),'UX Weekly'!$H127:$CT127,"&lt;&gt;"))</f>
        <v>0</v>
      </c>
      <c r="AC127">
        <f>IF($B127="",0,COUNTIFS('UX Weekly'!$H$1:$CT$1,"&gt;="&amp;AC$1,'UX Weekly'!$H$1:$CT$1,"&lt;="&amp;EOMONTH(AC$1,0),'UX Weekly'!$H127:$CT127,"&lt;&gt;"))</f>
        <v>0</v>
      </c>
      <c r="AD127">
        <f>IF($B127="",0,COUNTIFS('UX Weekly'!$H$1:$CT$1,"&gt;="&amp;AD$1,'UX Weekly'!$H$1:$CT$1,"&lt;="&amp;EOMONTH(AD$1,0),'UX Weekly'!$H127:$CT127,"&lt;&gt;"))</f>
        <v>0</v>
      </c>
      <c r="AE127">
        <f>IF($B127="",0,COUNTIFS('UX Weekly'!$H$1:$CT$1,"&gt;="&amp;AE$1,'UX Weekly'!$H$1:$CT$1,"&lt;="&amp;EOMONTH(AE$1,0),'UX Weekly'!$H127:$CT127,"&lt;&gt;"))</f>
        <v>0</v>
      </c>
      <c r="AF127">
        <f>IF($B127="",0,COUNTIFS('UX Weekly'!$H$1:$CT$1,"&gt;="&amp;AF$1,'UX Weekly'!$H$1:$CT$1,"&lt;="&amp;EOMONTH(AF$1,0),'UX Weekly'!$H127:$CT127,"&lt;&gt;"))</f>
        <v>0</v>
      </c>
      <c r="AG127">
        <f>IF($B127="",0,COUNTIFS('UX Weekly'!$H$1:$CT$1,"&gt;="&amp;AG$1,'UX Weekly'!$H$1:$CT$1,"&lt;="&amp;EOMONTH(AG$1,0),'UX Weekly'!$H127:$CT127,"&lt;&gt;"))</f>
        <v>0</v>
      </c>
      <c r="AH127">
        <f>IF($B127="",0,COUNTIFS('UX Weekly'!$H$1:$CT$1,"&gt;="&amp;AH$1,'UX Weekly'!$H$1:$CT$1,"&lt;="&amp;EOMONTH(AH$1,0),'UX Weekly'!$H127:$CT127,"&lt;&gt;"))</f>
        <v>0</v>
      </c>
      <c r="AI127">
        <f>IF($B127="",0,COUNTIFS('UX Weekly'!$H$1:$CT$1,"&gt;="&amp;AI$1,'UX Weekly'!$H$1:$CT$1,"&lt;="&amp;EOMONTH(AI$1,0),'UX Weekly'!$H127:$CT127,"&lt;&gt;"))</f>
        <v>0</v>
      </c>
      <c r="AJ127">
        <f>IF($B127="",0,COUNTIFS('UX Weekly'!$H$1:$CT$1,"&gt;="&amp;AJ$1,'UX Weekly'!$H$1:$CT$1,"&lt;="&amp;EOMONTH(AJ$1,0),'UX Weekly'!$H127:$CT127,"&lt;&gt;"))</f>
        <v>0</v>
      </c>
      <c r="AK127">
        <f>IF($B127="",0,COUNTIFS('UX Weekly'!$H$1:$CT$1,"&gt;="&amp;AK$1,'UX Weekly'!$H$1:$CT$1,"&lt;="&amp;EOMONTH(AK$1,0),'UX Weekly'!$H127:$CT127,"&lt;&gt;"))</f>
        <v>0</v>
      </c>
      <c r="AL127">
        <f>IF($B127="",0,COUNTIFS('UX Weekly'!$H$1:$CT$1,"&gt;="&amp;AL$1,'UX Weekly'!$H$1:$CT$1,"&lt;="&amp;EOMONTH(AL$1,0),'UX Weekly'!$H127:$CT127,"&lt;&gt;"))</f>
        <v>0</v>
      </c>
      <c r="AM127">
        <f>IF($B127="",0,COUNTIFS('UX Weekly'!$H$1:$CT$1,"&gt;="&amp;AM$1,'UX Weekly'!$H$1:$CT$1,"&lt;="&amp;EOMONTH(AM$1,0),'UX Weekly'!$H127:$CT127,"&lt;&gt;"))</f>
        <v>0</v>
      </c>
      <c r="AN127">
        <f>IF($B127="",0,COUNTIFS('UX Weekly'!$H$1:$CT$1,"&gt;="&amp;AN$1,'UX Weekly'!$H$1:$CT$1,"&lt;="&amp;EOMONTH(AN$1,0),'UX Weekly'!$H127:$CT127,"&lt;&gt;"))</f>
        <v>0</v>
      </c>
      <c r="AO127">
        <f>IF($B127="",0,COUNTIFS('UX Weekly'!$H$1:$CT$1,"&gt;="&amp;AO$1,'UX Weekly'!$H$1:$CT$1,"&lt;="&amp;EOMONTH(AO$1,0),'UX Weekly'!$H127:$CT127,"&lt;&gt;"))</f>
        <v>0</v>
      </c>
      <c r="AP127">
        <f>IF($B127="",0,COUNTIFS('UX Weekly'!$H$1:$CT$1,"&gt;="&amp;AP$1,'UX Weekly'!$H$1:$CT$1,"&lt;="&amp;EOMONTH(AP$1,0),'UX Weekly'!$H127:$CT127,"&lt;&gt;"))</f>
        <v>0</v>
      </c>
      <c r="AQ127">
        <f>IF($B127="",0,COUNTIFS('UX Weekly'!$H$1:$CT$1,"&gt;="&amp;AQ$1,'UX Weekly'!$H$1:$CT$1,"&lt;="&amp;EOMONTH(AQ$1,0),'UX Weekly'!$H127:$CT127,"&lt;&gt;"))</f>
        <v>0</v>
      </c>
      <c r="AR127">
        <f>IF($B127="",0,COUNTIFS('UX Weekly'!$H$1:$CT$1,"&gt;="&amp;AR$1,'UX Weekly'!$H$1:$CT$1,"&lt;="&amp;EOMONTH(AR$1,0),'UX Weekly'!$H127:$CT127,"&lt;&gt;"))</f>
        <v>0</v>
      </c>
      <c r="AS127">
        <f>IF($B127="",0,COUNTIFS('UX Weekly'!$H$1:$CT$1,"&gt;="&amp;AS$1,'UX Weekly'!$H$1:$CT$1,"&lt;="&amp;EOMONTH(AS$1,0),'UX Weekly'!$H127:$CT127,"&lt;&gt;"))</f>
        <v>0</v>
      </c>
      <c r="AT127">
        <f>IF($B127="",0,COUNTIFS('UX Weekly'!$H$1:$CT$1,"&gt;="&amp;AT$1,'UX Weekly'!$H$1:$CT$1,"&lt;="&amp;EOMONTH(AT$1,0),'UX Weekly'!$H127:$CT127,"&lt;&gt;"))</f>
        <v>0</v>
      </c>
      <c r="AU127">
        <f>IF($B127="",0,COUNTIFS('UX Weekly'!$H$1:$CT$1,"&gt;="&amp;AU$1,'UX Weekly'!$H$1:$CT$1,"&lt;="&amp;EOMONTH(AU$1,0),'UX Weekly'!$H127:$CT127,"&lt;&gt;"))</f>
        <v>0</v>
      </c>
      <c r="AV127">
        <f>IF($B127="",0,COUNTIFS('UX Weekly'!$H$1:$CT$1,"&gt;="&amp;AV$1,'UX Weekly'!$H$1:$CT$1,"&lt;="&amp;EOMONTH(AV$1,0),'UX Weekly'!$H127:$CT127,"&lt;&gt;"))</f>
        <v>0</v>
      </c>
      <c r="AW127">
        <f>IF($B127="",0,COUNTIFS('UX Weekly'!$H$1:$CT$1,"&gt;="&amp;AW$1,'UX Weekly'!$H$1:$CT$1,"&lt;="&amp;EOMONTH(AW$1,0),'UX Weekly'!$H127:$CT127,"&lt;&gt;"))</f>
        <v>0</v>
      </c>
      <c r="AX127">
        <f>IF($B127="",0,COUNTIFS('UX Weekly'!$H$1:$CT$1,"&gt;="&amp;AX$1,'UX Weekly'!$H$1:$CT$1,"&lt;="&amp;EOMONTH(AX$1,0),'UX Weekly'!$H127:$CT127,"&lt;&gt;"))</f>
        <v>0</v>
      </c>
    </row>
    <row r="128" spans="1:50" x14ac:dyDescent="0.2">
      <c r="A128" s="152">
        <v>128</v>
      </c>
      <c r="B128" s="152" t="str">
        <f>IF(TRIM('UX Weekly'!E128)="","",TRIM('UX Weekly'!E128))</f>
        <v/>
      </c>
      <c r="C128" s="152" t="str">
        <f>IF($B128="","",'UX Weekly'!B128)</f>
        <v/>
      </c>
      <c r="D128" s="152" t="str">
        <f>IF($B128="","",IF(TRIM('UX Weekly'!C128)="","(No theme assigned)",TRIM('UX Weekly'!C128)))</f>
        <v/>
      </c>
      <c r="E128" s="152" t="str">
        <f>IF($B128="","",TRIM('UX Weekly'!F128))</f>
        <v/>
      </c>
      <c r="F128" s="152" t="str">
        <f>IF($B128="","",'UX Weekly'!G128)</f>
        <v/>
      </c>
      <c r="G128" s="153" t="str">
        <f t="array" ref="G128">IF($B128="","",IF($T128=0,"",IFERROR(MIN(IF('UX Weekly'!$H128:$CT128&lt;&gt;"",'UX Weekly'!$H$1:$CT$1)),"")))</f>
        <v/>
      </c>
      <c r="H128" s="153" t="str">
        <f t="array" ref="H128">IF($B128="","",IF($T128=0,"",IFERROR(MAX(IF('UX Weekly'!$H128:$CT128&lt;&gt;"",'UX Weekly'!$H$1:$CT$1)),"")))</f>
        <v/>
      </c>
      <c r="I128" s="154" t="str">
        <f t="shared" ca="1" si="21"/>
        <v/>
      </c>
      <c r="J128" s="154" t="str">
        <f t="shared" ca="1" si="22"/>
        <v/>
      </c>
      <c r="K128" s="152" t="str">
        <f>IF($B128="","",IF(COUNTA('Dev Tracker'!L128)=0,"",TRIM('Dev Tracker'!L128)))</f>
        <v/>
      </c>
      <c r="L128" s="152" t="str">
        <f>IF($B128="","",IFERROR(MATCH($D128,Control!$E$4:$E$30,0),99))</f>
        <v/>
      </c>
      <c r="M128" s="152" t="str">
        <f>IF($B128="","",IFERROR(MATCH($F128,Control!$B$4:$B$30,0),99))</f>
        <v/>
      </c>
      <c r="N128" s="152" t="str">
        <f>IF($V128&lt;&gt;1,"",IF('Roadmap (Auto)'!$D$3="Status, then Theme",$M128*1000000+$L128*10000+ROW(),IF('Roadmap (Auto)'!$D$3="Dev start (earliest)",IF($I128="",99999999,$I128)*10000+ROW(),IF('Roadmap (Auto)'!$D$3="UX start (earliest)",IF($G128="",99999999,$G128)*10000+ROW(),IF('Roadmap (Auto)'!$D$3="Deliverable A-Z",$W128*10000+ROW(),$L128*1000000+$M128*10000+ROW())))))</f>
        <v/>
      </c>
      <c r="O128" s="152" t="str">
        <f t="shared" si="23"/>
        <v/>
      </c>
      <c r="P128" s="152" t="str">
        <f>IF($B128="","",IF(COUNTA('Dev Tracker'!I128)=0,"",'Dev Tracker'!I128))</f>
        <v/>
      </c>
      <c r="Q128" s="152" t="str">
        <f>IF($B128="","",IF(COUNTA('Dev Tracker'!J128)=0,"",'Dev Tracker'!J128))</f>
        <v/>
      </c>
      <c r="R128" s="154" t="str">
        <f t="shared" ca="1" si="24"/>
        <v/>
      </c>
      <c r="S128" s="154" t="str">
        <f t="shared" ca="1" si="25"/>
        <v/>
      </c>
      <c r="T128" s="152" t="str">
        <f>IF($B128="","",COUNTA('UX Weekly'!$H128:$CT128))</f>
        <v/>
      </c>
      <c r="U128" s="152" t="str">
        <f>IF($B128="","",IFERROR(MATCH($D128,Control!$E$4:$E$30,0)+3,0))</f>
        <v/>
      </c>
      <c r="V128" s="152" t="str">
        <f>IF($B128="","",IF(AND(OR('Roadmap (Auto)'!$A$3="",'Roadmap (Auto)'!$A$3="(All)",ISNUMBER(SEARCH('Roadmap (Auto)'!$A$3,$C128&amp;""))),OR('Roadmap (Auto)'!$B$3="",'Roadmap (Auto)'!$B$3="(All)",$D128='Roadmap (Auto)'!$B$3,$X128='Roadmap (Auto)'!$B$3),OR('Roadmap (Auto)'!$C$3="",'Roadmap (Auto)'!$C$3="(All)",$F128='Roadmap (Auto)'!$C$3)),1,0))</f>
        <v/>
      </c>
      <c r="W128" s="152" t="str">
        <f t="shared" si="26"/>
        <v/>
      </c>
      <c r="X128" s="152" t="str">
        <f>IF($B128="","",IF(TRIM('UX Weekly'!D128)="","",TRIM('UX Weekly'!D128)))</f>
        <v/>
      </c>
      <c r="Y128" s="152" t="str">
        <f t="shared" si="27"/>
        <v/>
      </c>
      <c r="AA128">
        <f>IF($B128="",0,COUNTIFS('UX Weekly'!$H$1:$CT$1,"&gt;="&amp;AA$1,'UX Weekly'!$H$1:$CT$1,"&lt;="&amp;EOMONTH(AA$1,0),'UX Weekly'!$H128:$CT128,"&lt;&gt;"))</f>
        <v>0</v>
      </c>
      <c r="AB128">
        <f>IF($B128="",0,COUNTIFS('UX Weekly'!$H$1:$CT$1,"&gt;="&amp;AB$1,'UX Weekly'!$H$1:$CT$1,"&lt;="&amp;EOMONTH(AB$1,0),'UX Weekly'!$H128:$CT128,"&lt;&gt;"))</f>
        <v>0</v>
      </c>
      <c r="AC128">
        <f>IF($B128="",0,COUNTIFS('UX Weekly'!$H$1:$CT$1,"&gt;="&amp;AC$1,'UX Weekly'!$H$1:$CT$1,"&lt;="&amp;EOMONTH(AC$1,0),'UX Weekly'!$H128:$CT128,"&lt;&gt;"))</f>
        <v>0</v>
      </c>
      <c r="AD128">
        <f>IF($B128="",0,COUNTIFS('UX Weekly'!$H$1:$CT$1,"&gt;="&amp;AD$1,'UX Weekly'!$H$1:$CT$1,"&lt;="&amp;EOMONTH(AD$1,0),'UX Weekly'!$H128:$CT128,"&lt;&gt;"))</f>
        <v>0</v>
      </c>
      <c r="AE128">
        <f>IF($B128="",0,COUNTIFS('UX Weekly'!$H$1:$CT$1,"&gt;="&amp;AE$1,'UX Weekly'!$H$1:$CT$1,"&lt;="&amp;EOMONTH(AE$1,0),'UX Weekly'!$H128:$CT128,"&lt;&gt;"))</f>
        <v>0</v>
      </c>
      <c r="AF128">
        <f>IF($B128="",0,COUNTIFS('UX Weekly'!$H$1:$CT$1,"&gt;="&amp;AF$1,'UX Weekly'!$H$1:$CT$1,"&lt;="&amp;EOMONTH(AF$1,0),'UX Weekly'!$H128:$CT128,"&lt;&gt;"))</f>
        <v>0</v>
      </c>
      <c r="AG128">
        <f>IF($B128="",0,COUNTIFS('UX Weekly'!$H$1:$CT$1,"&gt;="&amp;AG$1,'UX Weekly'!$H$1:$CT$1,"&lt;="&amp;EOMONTH(AG$1,0),'UX Weekly'!$H128:$CT128,"&lt;&gt;"))</f>
        <v>0</v>
      </c>
      <c r="AH128">
        <f>IF($B128="",0,COUNTIFS('UX Weekly'!$H$1:$CT$1,"&gt;="&amp;AH$1,'UX Weekly'!$H$1:$CT$1,"&lt;="&amp;EOMONTH(AH$1,0),'UX Weekly'!$H128:$CT128,"&lt;&gt;"))</f>
        <v>0</v>
      </c>
      <c r="AI128">
        <f>IF($B128="",0,COUNTIFS('UX Weekly'!$H$1:$CT$1,"&gt;="&amp;AI$1,'UX Weekly'!$H$1:$CT$1,"&lt;="&amp;EOMONTH(AI$1,0),'UX Weekly'!$H128:$CT128,"&lt;&gt;"))</f>
        <v>0</v>
      </c>
      <c r="AJ128">
        <f>IF($B128="",0,COUNTIFS('UX Weekly'!$H$1:$CT$1,"&gt;="&amp;AJ$1,'UX Weekly'!$H$1:$CT$1,"&lt;="&amp;EOMONTH(AJ$1,0),'UX Weekly'!$H128:$CT128,"&lt;&gt;"))</f>
        <v>0</v>
      </c>
      <c r="AK128">
        <f>IF($B128="",0,COUNTIFS('UX Weekly'!$H$1:$CT$1,"&gt;="&amp;AK$1,'UX Weekly'!$H$1:$CT$1,"&lt;="&amp;EOMONTH(AK$1,0),'UX Weekly'!$H128:$CT128,"&lt;&gt;"))</f>
        <v>0</v>
      </c>
      <c r="AL128">
        <f>IF($B128="",0,COUNTIFS('UX Weekly'!$H$1:$CT$1,"&gt;="&amp;AL$1,'UX Weekly'!$H$1:$CT$1,"&lt;="&amp;EOMONTH(AL$1,0),'UX Weekly'!$H128:$CT128,"&lt;&gt;"))</f>
        <v>0</v>
      </c>
      <c r="AM128">
        <f>IF($B128="",0,COUNTIFS('UX Weekly'!$H$1:$CT$1,"&gt;="&amp;AM$1,'UX Weekly'!$H$1:$CT$1,"&lt;="&amp;EOMONTH(AM$1,0),'UX Weekly'!$H128:$CT128,"&lt;&gt;"))</f>
        <v>0</v>
      </c>
      <c r="AN128">
        <f>IF($B128="",0,COUNTIFS('UX Weekly'!$H$1:$CT$1,"&gt;="&amp;AN$1,'UX Weekly'!$H$1:$CT$1,"&lt;="&amp;EOMONTH(AN$1,0),'UX Weekly'!$H128:$CT128,"&lt;&gt;"))</f>
        <v>0</v>
      </c>
      <c r="AO128">
        <f>IF($B128="",0,COUNTIFS('UX Weekly'!$H$1:$CT$1,"&gt;="&amp;AO$1,'UX Weekly'!$H$1:$CT$1,"&lt;="&amp;EOMONTH(AO$1,0),'UX Weekly'!$H128:$CT128,"&lt;&gt;"))</f>
        <v>0</v>
      </c>
      <c r="AP128">
        <f>IF($B128="",0,COUNTIFS('UX Weekly'!$H$1:$CT$1,"&gt;="&amp;AP$1,'UX Weekly'!$H$1:$CT$1,"&lt;="&amp;EOMONTH(AP$1,0),'UX Weekly'!$H128:$CT128,"&lt;&gt;"))</f>
        <v>0</v>
      </c>
      <c r="AQ128">
        <f>IF($B128="",0,COUNTIFS('UX Weekly'!$H$1:$CT$1,"&gt;="&amp;AQ$1,'UX Weekly'!$H$1:$CT$1,"&lt;="&amp;EOMONTH(AQ$1,0),'UX Weekly'!$H128:$CT128,"&lt;&gt;"))</f>
        <v>0</v>
      </c>
      <c r="AR128">
        <f>IF($B128="",0,COUNTIFS('UX Weekly'!$H$1:$CT$1,"&gt;="&amp;AR$1,'UX Weekly'!$H$1:$CT$1,"&lt;="&amp;EOMONTH(AR$1,0),'UX Weekly'!$H128:$CT128,"&lt;&gt;"))</f>
        <v>0</v>
      </c>
      <c r="AS128">
        <f>IF($B128="",0,COUNTIFS('UX Weekly'!$H$1:$CT$1,"&gt;="&amp;AS$1,'UX Weekly'!$H$1:$CT$1,"&lt;="&amp;EOMONTH(AS$1,0),'UX Weekly'!$H128:$CT128,"&lt;&gt;"))</f>
        <v>0</v>
      </c>
      <c r="AT128">
        <f>IF($B128="",0,COUNTIFS('UX Weekly'!$H$1:$CT$1,"&gt;="&amp;AT$1,'UX Weekly'!$H$1:$CT$1,"&lt;="&amp;EOMONTH(AT$1,0),'UX Weekly'!$H128:$CT128,"&lt;&gt;"))</f>
        <v>0</v>
      </c>
      <c r="AU128">
        <f>IF($B128="",0,COUNTIFS('UX Weekly'!$H$1:$CT$1,"&gt;="&amp;AU$1,'UX Weekly'!$H$1:$CT$1,"&lt;="&amp;EOMONTH(AU$1,0),'UX Weekly'!$H128:$CT128,"&lt;&gt;"))</f>
        <v>0</v>
      </c>
      <c r="AV128">
        <f>IF($B128="",0,COUNTIFS('UX Weekly'!$H$1:$CT$1,"&gt;="&amp;AV$1,'UX Weekly'!$H$1:$CT$1,"&lt;="&amp;EOMONTH(AV$1,0),'UX Weekly'!$H128:$CT128,"&lt;&gt;"))</f>
        <v>0</v>
      </c>
      <c r="AW128">
        <f>IF($B128="",0,COUNTIFS('UX Weekly'!$H$1:$CT$1,"&gt;="&amp;AW$1,'UX Weekly'!$H$1:$CT$1,"&lt;="&amp;EOMONTH(AW$1,0),'UX Weekly'!$H128:$CT128,"&lt;&gt;"))</f>
        <v>0</v>
      </c>
      <c r="AX128">
        <f>IF($B128="",0,COUNTIFS('UX Weekly'!$H$1:$CT$1,"&gt;="&amp;AX$1,'UX Weekly'!$H$1:$CT$1,"&lt;="&amp;EOMONTH(AX$1,0),'UX Weekly'!$H128:$CT128,"&lt;&gt;"))</f>
        <v>0</v>
      </c>
    </row>
    <row r="129" spans="1:50" x14ac:dyDescent="0.2">
      <c r="A129" s="152">
        <v>129</v>
      </c>
      <c r="B129" s="152" t="str">
        <f>IF(TRIM('UX Weekly'!E129)="","",TRIM('UX Weekly'!E129))</f>
        <v/>
      </c>
      <c r="C129" s="152" t="str">
        <f>IF($B129="","",'UX Weekly'!B129)</f>
        <v/>
      </c>
      <c r="D129" s="152" t="str">
        <f>IF($B129="","",IF(TRIM('UX Weekly'!C129)="","(No theme assigned)",TRIM('UX Weekly'!C129)))</f>
        <v/>
      </c>
      <c r="E129" s="152" t="str">
        <f>IF($B129="","",TRIM('UX Weekly'!F129))</f>
        <v/>
      </c>
      <c r="F129" s="152" t="str">
        <f>IF($B129="","",'UX Weekly'!G129)</f>
        <v/>
      </c>
      <c r="G129" s="153" t="str">
        <f t="array" ref="G129">IF($B129="","",IF($T129=0,"",IFERROR(MIN(IF('UX Weekly'!$H129:$CT129&lt;&gt;"",'UX Weekly'!$H$1:$CT$1)),"")))</f>
        <v/>
      </c>
      <c r="H129" s="153" t="str">
        <f t="array" ref="H129">IF($B129="","",IF($T129=0,"",IFERROR(MAX(IF('UX Weekly'!$H129:$CT129&lt;&gt;"",'UX Weekly'!$H$1:$CT$1)),"")))</f>
        <v/>
      </c>
      <c r="I129" s="154" t="str">
        <f t="shared" ca="1" si="21"/>
        <v/>
      </c>
      <c r="J129" s="154" t="str">
        <f t="shared" ca="1" si="22"/>
        <v/>
      </c>
      <c r="K129" s="152" t="str">
        <f>IF($B129="","",IF(COUNTA('Dev Tracker'!L129)=0,"",TRIM('Dev Tracker'!L129)))</f>
        <v/>
      </c>
      <c r="L129" s="152" t="str">
        <f>IF($B129="","",IFERROR(MATCH($D129,Control!$E$4:$E$30,0),99))</f>
        <v/>
      </c>
      <c r="M129" s="152" t="str">
        <f>IF($B129="","",IFERROR(MATCH($F129,Control!$B$4:$B$30,0),99))</f>
        <v/>
      </c>
      <c r="N129" s="152" t="str">
        <f>IF($V129&lt;&gt;1,"",IF('Roadmap (Auto)'!$D$3="Status, then Theme",$M129*1000000+$L129*10000+ROW(),IF('Roadmap (Auto)'!$D$3="Dev start (earliest)",IF($I129="",99999999,$I129)*10000+ROW(),IF('Roadmap (Auto)'!$D$3="UX start (earliest)",IF($G129="",99999999,$G129)*10000+ROW(),IF('Roadmap (Auto)'!$D$3="Deliverable A-Z",$W129*10000+ROW(),$L129*1000000+$M129*10000+ROW())))))</f>
        <v/>
      </c>
      <c r="O129" s="152" t="str">
        <f t="shared" si="23"/>
        <v/>
      </c>
      <c r="P129" s="152" t="str">
        <f>IF($B129="","",IF(COUNTA('Dev Tracker'!I129)=0,"",'Dev Tracker'!I129))</f>
        <v/>
      </c>
      <c r="Q129" s="152" t="str">
        <f>IF($B129="","",IF(COUNTA('Dev Tracker'!J129)=0,"",'Dev Tracker'!J129))</f>
        <v/>
      </c>
      <c r="R129" s="154" t="str">
        <f t="shared" ca="1" si="24"/>
        <v/>
      </c>
      <c r="S129" s="154" t="str">
        <f t="shared" ca="1" si="25"/>
        <v/>
      </c>
      <c r="T129" s="152" t="str">
        <f>IF($B129="","",COUNTA('UX Weekly'!$H129:$CT129))</f>
        <v/>
      </c>
      <c r="U129" s="152" t="str">
        <f>IF($B129="","",IFERROR(MATCH($D129,Control!$E$4:$E$30,0)+3,0))</f>
        <v/>
      </c>
      <c r="V129" s="152" t="str">
        <f>IF($B129="","",IF(AND(OR('Roadmap (Auto)'!$A$3="",'Roadmap (Auto)'!$A$3="(All)",ISNUMBER(SEARCH('Roadmap (Auto)'!$A$3,$C129&amp;""))),OR('Roadmap (Auto)'!$B$3="",'Roadmap (Auto)'!$B$3="(All)",$D129='Roadmap (Auto)'!$B$3,$X129='Roadmap (Auto)'!$B$3),OR('Roadmap (Auto)'!$C$3="",'Roadmap (Auto)'!$C$3="(All)",$F129='Roadmap (Auto)'!$C$3)),1,0))</f>
        <v/>
      </c>
      <c r="W129" s="152" t="str">
        <f t="shared" si="26"/>
        <v/>
      </c>
      <c r="X129" s="152" t="str">
        <f>IF($B129="","",IF(TRIM('UX Weekly'!D129)="","",TRIM('UX Weekly'!D129)))</f>
        <v/>
      </c>
      <c r="Y129" s="152" t="str">
        <f t="shared" si="27"/>
        <v/>
      </c>
      <c r="AA129">
        <f>IF($B129="",0,COUNTIFS('UX Weekly'!$H$1:$CT$1,"&gt;="&amp;AA$1,'UX Weekly'!$H$1:$CT$1,"&lt;="&amp;EOMONTH(AA$1,0),'UX Weekly'!$H129:$CT129,"&lt;&gt;"))</f>
        <v>0</v>
      </c>
      <c r="AB129">
        <f>IF($B129="",0,COUNTIFS('UX Weekly'!$H$1:$CT$1,"&gt;="&amp;AB$1,'UX Weekly'!$H$1:$CT$1,"&lt;="&amp;EOMONTH(AB$1,0),'UX Weekly'!$H129:$CT129,"&lt;&gt;"))</f>
        <v>0</v>
      </c>
      <c r="AC129">
        <f>IF($B129="",0,COUNTIFS('UX Weekly'!$H$1:$CT$1,"&gt;="&amp;AC$1,'UX Weekly'!$H$1:$CT$1,"&lt;="&amp;EOMONTH(AC$1,0),'UX Weekly'!$H129:$CT129,"&lt;&gt;"))</f>
        <v>0</v>
      </c>
      <c r="AD129">
        <f>IF($B129="",0,COUNTIFS('UX Weekly'!$H$1:$CT$1,"&gt;="&amp;AD$1,'UX Weekly'!$H$1:$CT$1,"&lt;="&amp;EOMONTH(AD$1,0),'UX Weekly'!$H129:$CT129,"&lt;&gt;"))</f>
        <v>0</v>
      </c>
      <c r="AE129">
        <f>IF($B129="",0,COUNTIFS('UX Weekly'!$H$1:$CT$1,"&gt;="&amp;AE$1,'UX Weekly'!$H$1:$CT$1,"&lt;="&amp;EOMONTH(AE$1,0),'UX Weekly'!$H129:$CT129,"&lt;&gt;"))</f>
        <v>0</v>
      </c>
      <c r="AF129">
        <f>IF($B129="",0,COUNTIFS('UX Weekly'!$H$1:$CT$1,"&gt;="&amp;AF$1,'UX Weekly'!$H$1:$CT$1,"&lt;="&amp;EOMONTH(AF$1,0),'UX Weekly'!$H129:$CT129,"&lt;&gt;"))</f>
        <v>0</v>
      </c>
      <c r="AG129">
        <f>IF($B129="",0,COUNTIFS('UX Weekly'!$H$1:$CT$1,"&gt;="&amp;AG$1,'UX Weekly'!$H$1:$CT$1,"&lt;="&amp;EOMONTH(AG$1,0),'UX Weekly'!$H129:$CT129,"&lt;&gt;"))</f>
        <v>0</v>
      </c>
      <c r="AH129">
        <f>IF($B129="",0,COUNTIFS('UX Weekly'!$H$1:$CT$1,"&gt;="&amp;AH$1,'UX Weekly'!$H$1:$CT$1,"&lt;="&amp;EOMONTH(AH$1,0),'UX Weekly'!$H129:$CT129,"&lt;&gt;"))</f>
        <v>0</v>
      </c>
      <c r="AI129">
        <f>IF($B129="",0,COUNTIFS('UX Weekly'!$H$1:$CT$1,"&gt;="&amp;AI$1,'UX Weekly'!$H$1:$CT$1,"&lt;="&amp;EOMONTH(AI$1,0),'UX Weekly'!$H129:$CT129,"&lt;&gt;"))</f>
        <v>0</v>
      </c>
      <c r="AJ129">
        <f>IF($B129="",0,COUNTIFS('UX Weekly'!$H$1:$CT$1,"&gt;="&amp;AJ$1,'UX Weekly'!$H$1:$CT$1,"&lt;="&amp;EOMONTH(AJ$1,0),'UX Weekly'!$H129:$CT129,"&lt;&gt;"))</f>
        <v>0</v>
      </c>
      <c r="AK129">
        <f>IF($B129="",0,COUNTIFS('UX Weekly'!$H$1:$CT$1,"&gt;="&amp;AK$1,'UX Weekly'!$H$1:$CT$1,"&lt;="&amp;EOMONTH(AK$1,0),'UX Weekly'!$H129:$CT129,"&lt;&gt;"))</f>
        <v>0</v>
      </c>
      <c r="AL129">
        <f>IF($B129="",0,COUNTIFS('UX Weekly'!$H$1:$CT$1,"&gt;="&amp;AL$1,'UX Weekly'!$H$1:$CT$1,"&lt;="&amp;EOMONTH(AL$1,0),'UX Weekly'!$H129:$CT129,"&lt;&gt;"))</f>
        <v>0</v>
      </c>
      <c r="AM129">
        <f>IF($B129="",0,COUNTIFS('UX Weekly'!$H$1:$CT$1,"&gt;="&amp;AM$1,'UX Weekly'!$H$1:$CT$1,"&lt;="&amp;EOMONTH(AM$1,0),'UX Weekly'!$H129:$CT129,"&lt;&gt;"))</f>
        <v>0</v>
      </c>
      <c r="AN129">
        <f>IF($B129="",0,COUNTIFS('UX Weekly'!$H$1:$CT$1,"&gt;="&amp;AN$1,'UX Weekly'!$H$1:$CT$1,"&lt;="&amp;EOMONTH(AN$1,0),'UX Weekly'!$H129:$CT129,"&lt;&gt;"))</f>
        <v>0</v>
      </c>
      <c r="AO129">
        <f>IF($B129="",0,COUNTIFS('UX Weekly'!$H$1:$CT$1,"&gt;="&amp;AO$1,'UX Weekly'!$H$1:$CT$1,"&lt;="&amp;EOMONTH(AO$1,0),'UX Weekly'!$H129:$CT129,"&lt;&gt;"))</f>
        <v>0</v>
      </c>
      <c r="AP129">
        <f>IF($B129="",0,COUNTIFS('UX Weekly'!$H$1:$CT$1,"&gt;="&amp;AP$1,'UX Weekly'!$H$1:$CT$1,"&lt;="&amp;EOMONTH(AP$1,0),'UX Weekly'!$H129:$CT129,"&lt;&gt;"))</f>
        <v>0</v>
      </c>
      <c r="AQ129">
        <f>IF($B129="",0,COUNTIFS('UX Weekly'!$H$1:$CT$1,"&gt;="&amp;AQ$1,'UX Weekly'!$H$1:$CT$1,"&lt;="&amp;EOMONTH(AQ$1,0),'UX Weekly'!$H129:$CT129,"&lt;&gt;"))</f>
        <v>0</v>
      </c>
      <c r="AR129">
        <f>IF($B129="",0,COUNTIFS('UX Weekly'!$H$1:$CT$1,"&gt;="&amp;AR$1,'UX Weekly'!$H$1:$CT$1,"&lt;="&amp;EOMONTH(AR$1,0),'UX Weekly'!$H129:$CT129,"&lt;&gt;"))</f>
        <v>0</v>
      </c>
      <c r="AS129">
        <f>IF($B129="",0,COUNTIFS('UX Weekly'!$H$1:$CT$1,"&gt;="&amp;AS$1,'UX Weekly'!$H$1:$CT$1,"&lt;="&amp;EOMONTH(AS$1,0),'UX Weekly'!$H129:$CT129,"&lt;&gt;"))</f>
        <v>0</v>
      </c>
      <c r="AT129">
        <f>IF($B129="",0,COUNTIFS('UX Weekly'!$H$1:$CT$1,"&gt;="&amp;AT$1,'UX Weekly'!$H$1:$CT$1,"&lt;="&amp;EOMONTH(AT$1,0),'UX Weekly'!$H129:$CT129,"&lt;&gt;"))</f>
        <v>0</v>
      </c>
      <c r="AU129">
        <f>IF($B129="",0,COUNTIFS('UX Weekly'!$H$1:$CT$1,"&gt;="&amp;AU$1,'UX Weekly'!$H$1:$CT$1,"&lt;="&amp;EOMONTH(AU$1,0),'UX Weekly'!$H129:$CT129,"&lt;&gt;"))</f>
        <v>0</v>
      </c>
      <c r="AV129">
        <f>IF($B129="",0,COUNTIFS('UX Weekly'!$H$1:$CT$1,"&gt;="&amp;AV$1,'UX Weekly'!$H$1:$CT$1,"&lt;="&amp;EOMONTH(AV$1,0),'UX Weekly'!$H129:$CT129,"&lt;&gt;"))</f>
        <v>0</v>
      </c>
      <c r="AW129">
        <f>IF($B129="",0,COUNTIFS('UX Weekly'!$H$1:$CT$1,"&gt;="&amp;AW$1,'UX Weekly'!$H$1:$CT$1,"&lt;="&amp;EOMONTH(AW$1,0),'UX Weekly'!$H129:$CT129,"&lt;&gt;"))</f>
        <v>0</v>
      </c>
      <c r="AX129">
        <f>IF($B129="",0,COUNTIFS('UX Weekly'!$H$1:$CT$1,"&gt;="&amp;AX$1,'UX Weekly'!$H$1:$CT$1,"&lt;="&amp;EOMONTH(AX$1,0),'UX Weekly'!$H129:$CT129,"&lt;&gt;"))</f>
        <v>0</v>
      </c>
    </row>
    <row r="130" spans="1:50" x14ac:dyDescent="0.2">
      <c r="A130" s="152">
        <v>130</v>
      </c>
      <c r="B130" s="152" t="str">
        <f>IF(TRIM('UX Weekly'!E130)="","",TRIM('UX Weekly'!E130))</f>
        <v/>
      </c>
      <c r="C130" s="152" t="str">
        <f>IF($B130="","",'UX Weekly'!B130)</f>
        <v/>
      </c>
      <c r="D130" s="152" t="str">
        <f>IF($B130="","",IF(TRIM('UX Weekly'!C130)="","(No theme assigned)",TRIM('UX Weekly'!C130)))</f>
        <v/>
      </c>
      <c r="E130" s="152" t="str">
        <f>IF($B130="","",TRIM('UX Weekly'!F130))</f>
        <v/>
      </c>
      <c r="F130" s="152" t="str">
        <f>IF($B130="","",'UX Weekly'!G130)</f>
        <v/>
      </c>
      <c r="G130" s="153" t="str">
        <f t="array" ref="G130">IF($B130="","",IF($T130=0,"",IFERROR(MIN(IF('UX Weekly'!$H130:$CT130&lt;&gt;"",'UX Weekly'!$H$1:$CT$1)),"")))</f>
        <v/>
      </c>
      <c r="H130" s="153" t="str">
        <f t="array" ref="H130">IF($B130="","",IF($T130=0,"",IFERROR(MAX(IF('UX Weekly'!$H130:$CT130&lt;&gt;"",'UX Weekly'!$H$1:$CT$1)),"")))</f>
        <v/>
      </c>
      <c r="I130" s="154" t="str">
        <f t="shared" ref="I130:I151" ca="1" si="28">IF($R130&lt;&gt;"",$R130,IF($S130&lt;&gt;"",$S130,""))</f>
        <v/>
      </c>
      <c r="J130" s="154" t="str">
        <f t="shared" ref="J130:J151" ca="1" si="29">IF($S130&lt;&gt;"",EOMONTH($S130,0),IF($R130&lt;&gt;"",EOMONTH($R130,0),""))</f>
        <v/>
      </c>
      <c r="K130" s="152" t="str">
        <f>IF($B130="","",IF(COUNTA('Dev Tracker'!L130)=0,"",TRIM('Dev Tracker'!L130)))</f>
        <v/>
      </c>
      <c r="L130" s="152" t="str">
        <f>IF($B130="","",IFERROR(MATCH($D130,Control!$E$4:$E$30,0),99))</f>
        <v/>
      </c>
      <c r="M130" s="152" t="str">
        <f>IF($B130="","",IFERROR(MATCH($F130,Control!$B$4:$B$30,0),99))</f>
        <v/>
      </c>
      <c r="N130" s="152" t="str">
        <f>IF($V130&lt;&gt;1,"",IF('Roadmap (Auto)'!$D$3="Status, then Theme",$M130*1000000+$L130*10000+ROW(),IF('Roadmap (Auto)'!$D$3="Dev start (earliest)",IF($I130="",99999999,$I130)*10000+ROW(),IF('Roadmap (Auto)'!$D$3="UX start (earliest)",IF($G130="",99999999,$G130)*10000+ROW(),IF('Roadmap (Auto)'!$D$3="Deliverable A-Z",$W130*10000+ROW(),$L130*1000000+$M130*10000+ROW())))))</f>
        <v/>
      </c>
      <c r="O130" s="152" t="str">
        <f t="shared" ref="O130:O151" si="30">IF($N130="","",COUNTIF($N$2:$N$151,"&lt;"&amp;$N130)+1)</f>
        <v/>
      </c>
      <c r="P130" s="152" t="str">
        <f>IF($B130="","",IF(COUNTA('Dev Tracker'!I130)=0,"",'Dev Tracker'!I130))</f>
        <v/>
      </c>
      <c r="Q130" s="152" t="str">
        <f>IF($B130="","",IF(COUNTA('Dev Tracker'!J130)=0,"",'Dev Tracker'!J130))</f>
        <v/>
      </c>
      <c r="R130" s="154" t="str">
        <f t="shared" ref="R130:R151" ca="1" si="31">IF($P130="","",IF(ISNUMBER($P130),DATE(YEAR($P130),MONTH($P130),1),IFERROR(DATE(IFERROR(VALUE(RIGHT(TRIM($P130),4)),YEAR(TODAY())),(SEARCH(LEFT(TRIM($P130),3),"JanFebMarAprMayJunJulAugSepOctNovDec")+2)/3,1),"")))</f>
        <v/>
      </c>
      <c r="S130" s="154" t="str">
        <f t="shared" ref="S130:S151" ca="1" si="32">IF($Q130="","",IF(ISNUMBER($Q130),DATE(YEAR($Q130),MONTH($Q130),1),IFERROR(DATE(IFERROR(VALUE(RIGHT(TRIM($Q130),4)),YEAR(TODAY())),(SEARCH(LEFT(TRIM($Q130),3),"JanFebMarAprMayJunJulAugSepOctNovDec")+2)/3,1),"")))</f>
        <v/>
      </c>
      <c r="T130" s="152" t="str">
        <f>IF($B130="","",COUNTA('UX Weekly'!$H130:$CT130))</f>
        <v/>
      </c>
      <c r="U130" s="152" t="str">
        <f>IF($B130="","",IFERROR(MATCH($D130,Control!$E$4:$E$30,0)+3,0))</f>
        <v/>
      </c>
      <c r="V130" s="152" t="str">
        <f>IF($B130="","",IF(AND(OR('Roadmap (Auto)'!$A$3="",'Roadmap (Auto)'!$A$3="(All)",ISNUMBER(SEARCH('Roadmap (Auto)'!$A$3,$C130&amp;""))),OR('Roadmap (Auto)'!$B$3="",'Roadmap (Auto)'!$B$3="(All)",$D130='Roadmap (Auto)'!$B$3,$X130='Roadmap (Auto)'!$B$3),OR('Roadmap (Auto)'!$C$3="",'Roadmap (Auto)'!$C$3="(All)",$F130='Roadmap (Auto)'!$C$3)),1,0))</f>
        <v/>
      </c>
      <c r="W130" s="152" t="str">
        <f t="shared" ref="W130:W151" si="33">IF($B130="","",COUNTIF($Y$2:$Y$151,"&lt;"&amp;$Y130)+1)</f>
        <v/>
      </c>
      <c r="X130" s="152" t="str">
        <f>IF($B130="","",IF(TRIM('UX Weekly'!D130)="","",TRIM('UX Weekly'!D130)))</f>
        <v/>
      </c>
      <c r="Y130" s="152" t="str">
        <f t="shared" ref="Y130:Y151" si="34">IF($B130="","",SUBSTITUTE(SUBSTITUTE(SUBSTITUTE(SUBSTITUTE(SUBSTITUTE(SUBSTITUTE(SUBSTITUTE(SUBSTITUTE(SUBSTITUTE(SUBSTITUTE(SUBSTITUTE(SUBSTITUTE(SUBSTITUTE(SUBSTITUTE(SUBSTITUTE(SUBSTITUTE(SUBSTITUTE(SUBSTITUTE(SUBSTITUTE(SUBSTITUTE(SUBSTITUTE(SUBSTITUTE(SUBSTITUTE(SUBSTITUTE(SUBSTITUTE(UPPER($B130)," ",""),"-",""),":",""),"/",""),"&amp;",""),"|",""),"'",""),"’",""),"&lt;",""),"&gt;",""),",",""),"$",""),".",""),"(",""),")",""),"*",""),"?",""),"~",""),"_",""),"+",""),"#",""),";",""),"!",""),"%",""),"@",""))</f>
        <v/>
      </c>
      <c r="AA130">
        <f>IF($B130="",0,COUNTIFS('UX Weekly'!$H$1:$CT$1,"&gt;="&amp;AA$1,'UX Weekly'!$H$1:$CT$1,"&lt;="&amp;EOMONTH(AA$1,0),'UX Weekly'!$H130:$CT130,"&lt;&gt;"))</f>
        <v>0</v>
      </c>
      <c r="AB130">
        <f>IF($B130="",0,COUNTIFS('UX Weekly'!$H$1:$CT$1,"&gt;="&amp;AB$1,'UX Weekly'!$H$1:$CT$1,"&lt;="&amp;EOMONTH(AB$1,0),'UX Weekly'!$H130:$CT130,"&lt;&gt;"))</f>
        <v>0</v>
      </c>
      <c r="AC130">
        <f>IF($B130="",0,COUNTIFS('UX Weekly'!$H$1:$CT$1,"&gt;="&amp;AC$1,'UX Weekly'!$H$1:$CT$1,"&lt;="&amp;EOMONTH(AC$1,0),'UX Weekly'!$H130:$CT130,"&lt;&gt;"))</f>
        <v>0</v>
      </c>
      <c r="AD130">
        <f>IF($B130="",0,COUNTIFS('UX Weekly'!$H$1:$CT$1,"&gt;="&amp;AD$1,'UX Weekly'!$H$1:$CT$1,"&lt;="&amp;EOMONTH(AD$1,0),'UX Weekly'!$H130:$CT130,"&lt;&gt;"))</f>
        <v>0</v>
      </c>
      <c r="AE130">
        <f>IF($B130="",0,COUNTIFS('UX Weekly'!$H$1:$CT$1,"&gt;="&amp;AE$1,'UX Weekly'!$H$1:$CT$1,"&lt;="&amp;EOMONTH(AE$1,0),'UX Weekly'!$H130:$CT130,"&lt;&gt;"))</f>
        <v>0</v>
      </c>
      <c r="AF130">
        <f>IF($B130="",0,COUNTIFS('UX Weekly'!$H$1:$CT$1,"&gt;="&amp;AF$1,'UX Weekly'!$H$1:$CT$1,"&lt;="&amp;EOMONTH(AF$1,0),'UX Weekly'!$H130:$CT130,"&lt;&gt;"))</f>
        <v>0</v>
      </c>
      <c r="AG130">
        <f>IF($B130="",0,COUNTIFS('UX Weekly'!$H$1:$CT$1,"&gt;="&amp;AG$1,'UX Weekly'!$H$1:$CT$1,"&lt;="&amp;EOMONTH(AG$1,0),'UX Weekly'!$H130:$CT130,"&lt;&gt;"))</f>
        <v>0</v>
      </c>
      <c r="AH130">
        <f>IF($B130="",0,COUNTIFS('UX Weekly'!$H$1:$CT$1,"&gt;="&amp;AH$1,'UX Weekly'!$H$1:$CT$1,"&lt;="&amp;EOMONTH(AH$1,0),'UX Weekly'!$H130:$CT130,"&lt;&gt;"))</f>
        <v>0</v>
      </c>
      <c r="AI130">
        <f>IF($B130="",0,COUNTIFS('UX Weekly'!$H$1:$CT$1,"&gt;="&amp;AI$1,'UX Weekly'!$H$1:$CT$1,"&lt;="&amp;EOMONTH(AI$1,0),'UX Weekly'!$H130:$CT130,"&lt;&gt;"))</f>
        <v>0</v>
      </c>
      <c r="AJ130">
        <f>IF($B130="",0,COUNTIFS('UX Weekly'!$H$1:$CT$1,"&gt;="&amp;AJ$1,'UX Weekly'!$H$1:$CT$1,"&lt;="&amp;EOMONTH(AJ$1,0),'UX Weekly'!$H130:$CT130,"&lt;&gt;"))</f>
        <v>0</v>
      </c>
      <c r="AK130">
        <f>IF($B130="",0,COUNTIFS('UX Weekly'!$H$1:$CT$1,"&gt;="&amp;AK$1,'UX Weekly'!$H$1:$CT$1,"&lt;="&amp;EOMONTH(AK$1,0),'UX Weekly'!$H130:$CT130,"&lt;&gt;"))</f>
        <v>0</v>
      </c>
      <c r="AL130">
        <f>IF($B130="",0,COUNTIFS('UX Weekly'!$H$1:$CT$1,"&gt;="&amp;AL$1,'UX Weekly'!$H$1:$CT$1,"&lt;="&amp;EOMONTH(AL$1,0),'UX Weekly'!$H130:$CT130,"&lt;&gt;"))</f>
        <v>0</v>
      </c>
      <c r="AM130">
        <f>IF($B130="",0,COUNTIFS('UX Weekly'!$H$1:$CT$1,"&gt;="&amp;AM$1,'UX Weekly'!$H$1:$CT$1,"&lt;="&amp;EOMONTH(AM$1,0),'UX Weekly'!$H130:$CT130,"&lt;&gt;"))</f>
        <v>0</v>
      </c>
      <c r="AN130">
        <f>IF($B130="",0,COUNTIFS('UX Weekly'!$H$1:$CT$1,"&gt;="&amp;AN$1,'UX Weekly'!$H$1:$CT$1,"&lt;="&amp;EOMONTH(AN$1,0),'UX Weekly'!$H130:$CT130,"&lt;&gt;"))</f>
        <v>0</v>
      </c>
      <c r="AO130">
        <f>IF($B130="",0,COUNTIFS('UX Weekly'!$H$1:$CT$1,"&gt;="&amp;AO$1,'UX Weekly'!$H$1:$CT$1,"&lt;="&amp;EOMONTH(AO$1,0),'UX Weekly'!$H130:$CT130,"&lt;&gt;"))</f>
        <v>0</v>
      </c>
      <c r="AP130">
        <f>IF($B130="",0,COUNTIFS('UX Weekly'!$H$1:$CT$1,"&gt;="&amp;AP$1,'UX Weekly'!$H$1:$CT$1,"&lt;="&amp;EOMONTH(AP$1,0),'UX Weekly'!$H130:$CT130,"&lt;&gt;"))</f>
        <v>0</v>
      </c>
      <c r="AQ130">
        <f>IF($B130="",0,COUNTIFS('UX Weekly'!$H$1:$CT$1,"&gt;="&amp;AQ$1,'UX Weekly'!$H$1:$CT$1,"&lt;="&amp;EOMONTH(AQ$1,0),'UX Weekly'!$H130:$CT130,"&lt;&gt;"))</f>
        <v>0</v>
      </c>
      <c r="AR130">
        <f>IF($B130="",0,COUNTIFS('UX Weekly'!$H$1:$CT$1,"&gt;="&amp;AR$1,'UX Weekly'!$H$1:$CT$1,"&lt;="&amp;EOMONTH(AR$1,0),'UX Weekly'!$H130:$CT130,"&lt;&gt;"))</f>
        <v>0</v>
      </c>
      <c r="AS130">
        <f>IF($B130="",0,COUNTIFS('UX Weekly'!$H$1:$CT$1,"&gt;="&amp;AS$1,'UX Weekly'!$H$1:$CT$1,"&lt;="&amp;EOMONTH(AS$1,0),'UX Weekly'!$H130:$CT130,"&lt;&gt;"))</f>
        <v>0</v>
      </c>
      <c r="AT130">
        <f>IF($B130="",0,COUNTIFS('UX Weekly'!$H$1:$CT$1,"&gt;="&amp;AT$1,'UX Weekly'!$H$1:$CT$1,"&lt;="&amp;EOMONTH(AT$1,0),'UX Weekly'!$H130:$CT130,"&lt;&gt;"))</f>
        <v>0</v>
      </c>
      <c r="AU130">
        <f>IF($B130="",0,COUNTIFS('UX Weekly'!$H$1:$CT$1,"&gt;="&amp;AU$1,'UX Weekly'!$H$1:$CT$1,"&lt;="&amp;EOMONTH(AU$1,0),'UX Weekly'!$H130:$CT130,"&lt;&gt;"))</f>
        <v>0</v>
      </c>
      <c r="AV130">
        <f>IF($B130="",0,COUNTIFS('UX Weekly'!$H$1:$CT$1,"&gt;="&amp;AV$1,'UX Weekly'!$H$1:$CT$1,"&lt;="&amp;EOMONTH(AV$1,0),'UX Weekly'!$H130:$CT130,"&lt;&gt;"))</f>
        <v>0</v>
      </c>
      <c r="AW130">
        <f>IF($B130="",0,COUNTIFS('UX Weekly'!$H$1:$CT$1,"&gt;="&amp;AW$1,'UX Weekly'!$H$1:$CT$1,"&lt;="&amp;EOMONTH(AW$1,0),'UX Weekly'!$H130:$CT130,"&lt;&gt;"))</f>
        <v>0</v>
      </c>
      <c r="AX130">
        <f>IF($B130="",0,COUNTIFS('UX Weekly'!$H$1:$CT$1,"&gt;="&amp;AX$1,'UX Weekly'!$H$1:$CT$1,"&lt;="&amp;EOMONTH(AX$1,0),'UX Weekly'!$H130:$CT130,"&lt;&gt;"))</f>
        <v>0</v>
      </c>
    </row>
    <row r="131" spans="1:50" x14ac:dyDescent="0.2">
      <c r="A131" s="152">
        <v>131</v>
      </c>
      <c r="B131" s="152" t="str">
        <f>IF(TRIM('UX Weekly'!E131)="","",TRIM('UX Weekly'!E131))</f>
        <v/>
      </c>
      <c r="C131" s="152" t="str">
        <f>IF($B131="","",'UX Weekly'!B131)</f>
        <v/>
      </c>
      <c r="D131" s="152" t="str">
        <f>IF($B131="","",IF(TRIM('UX Weekly'!C131)="","(No theme assigned)",TRIM('UX Weekly'!C131)))</f>
        <v/>
      </c>
      <c r="E131" s="152" t="str">
        <f>IF($B131="","",TRIM('UX Weekly'!F131))</f>
        <v/>
      </c>
      <c r="F131" s="152" t="str">
        <f>IF($B131="","",'UX Weekly'!G131)</f>
        <v/>
      </c>
      <c r="G131" s="153" t="str">
        <f t="array" ref="G131">IF($B131="","",IF($T131=0,"",IFERROR(MIN(IF('UX Weekly'!$H131:$CT131&lt;&gt;"",'UX Weekly'!$H$1:$CT$1)),"")))</f>
        <v/>
      </c>
      <c r="H131" s="153" t="str">
        <f t="array" ref="H131">IF($B131="","",IF($T131=0,"",IFERROR(MAX(IF('UX Weekly'!$H131:$CT131&lt;&gt;"",'UX Weekly'!$H$1:$CT$1)),"")))</f>
        <v/>
      </c>
      <c r="I131" s="154" t="str">
        <f t="shared" ca="1" si="28"/>
        <v/>
      </c>
      <c r="J131" s="154" t="str">
        <f t="shared" ca="1" si="29"/>
        <v/>
      </c>
      <c r="K131" s="152" t="str">
        <f>IF($B131="","",IF(COUNTA('Dev Tracker'!L131)=0,"",TRIM('Dev Tracker'!L131)))</f>
        <v/>
      </c>
      <c r="L131" s="152" t="str">
        <f>IF($B131="","",IFERROR(MATCH($D131,Control!$E$4:$E$30,0),99))</f>
        <v/>
      </c>
      <c r="M131" s="152" t="str">
        <f>IF($B131="","",IFERROR(MATCH($F131,Control!$B$4:$B$30,0),99))</f>
        <v/>
      </c>
      <c r="N131" s="152" t="str">
        <f>IF($V131&lt;&gt;1,"",IF('Roadmap (Auto)'!$D$3="Status, then Theme",$M131*1000000+$L131*10000+ROW(),IF('Roadmap (Auto)'!$D$3="Dev start (earliest)",IF($I131="",99999999,$I131)*10000+ROW(),IF('Roadmap (Auto)'!$D$3="UX start (earliest)",IF($G131="",99999999,$G131)*10000+ROW(),IF('Roadmap (Auto)'!$D$3="Deliverable A-Z",$W131*10000+ROW(),$L131*1000000+$M131*10000+ROW())))))</f>
        <v/>
      </c>
      <c r="O131" s="152" t="str">
        <f t="shared" si="30"/>
        <v/>
      </c>
      <c r="P131" s="152" t="str">
        <f>IF($B131="","",IF(COUNTA('Dev Tracker'!I131)=0,"",'Dev Tracker'!I131))</f>
        <v/>
      </c>
      <c r="Q131" s="152" t="str">
        <f>IF($B131="","",IF(COUNTA('Dev Tracker'!J131)=0,"",'Dev Tracker'!J131))</f>
        <v/>
      </c>
      <c r="R131" s="154" t="str">
        <f t="shared" ca="1" si="31"/>
        <v/>
      </c>
      <c r="S131" s="154" t="str">
        <f t="shared" ca="1" si="32"/>
        <v/>
      </c>
      <c r="T131" s="152" t="str">
        <f>IF($B131="","",COUNTA('UX Weekly'!$H131:$CT131))</f>
        <v/>
      </c>
      <c r="U131" s="152" t="str">
        <f>IF($B131="","",IFERROR(MATCH($D131,Control!$E$4:$E$30,0)+3,0))</f>
        <v/>
      </c>
      <c r="V131" s="152" t="str">
        <f>IF($B131="","",IF(AND(OR('Roadmap (Auto)'!$A$3="",'Roadmap (Auto)'!$A$3="(All)",ISNUMBER(SEARCH('Roadmap (Auto)'!$A$3,$C131&amp;""))),OR('Roadmap (Auto)'!$B$3="",'Roadmap (Auto)'!$B$3="(All)",$D131='Roadmap (Auto)'!$B$3,$X131='Roadmap (Auto)'!$B$3),OR('Roadmap (Auto)'!$C$3="",'Roadmap (Auto)'!$C$3="(All)",$F131='Roadmap (Auto)'!$C$3)),1,0))</f>
        <v/>
      </c>
      <c r="W131" s="152" t="str">
        <f t="shared" si="33"/>
        <v/>
      </c>
      <c r="X131" s="152" t="str">
        <f>IF($B131="","",IF(TRIM('UX Weekly'!D131)="","",TRIM('UX Weekly'!D131)))</f>
        <v/>
      </c>
      <c r="Y131" s="152" t="str">
        <f t="shared" si="34"/>
        <v/>
      </c>
      <c r="AA131">
        <f>IF($B131="",0,COUNTIFS('UX Weekly'!$H$1:$CT$1,"&gt;="&amp;AA$1,'UX Weekly'!$H$1:$CT$1,"&lt;="&amp;EOMONTH(AA$1,0),'UX Weekly'!$H131:$CT131,"&lt;&gt;"))</f>
        <v>0</v>
      </c>
      <c r="AB131">
        <f>IF($B131="",0,COUNTIFS('UX Weekly'!$H$1:$CT$1,"&gt;="&amp;AB$1,'UX Weekly'!$H$1:$CT$1,"&lt;="&amp;EOMONTH(AB$1,0),'UX Weekly'!$H131:$CT131,"&lt;&gt;"))</f>
        <v>0</v>
      </c>
      <c r="AC131">
        <f>IF($B131="",0,COUNTIFS('UX Weekly'!$H$1:$CT$1,"&gt;="&amp;AC$1,'UX Weekly'!$H$1:$CT$1,"&lt;="&amp;EOMONTH(AC$1,0),'UX Weekly'!$H131:$CT131,"&lt;&gt;"))</f>
        <v>0</v>
      </c>
      <c r="AD131">
        <f>IF($B131="",0,COUNTIFS('UX Weekly'!$H$1:$CT$1,"&gt;="&amp;AD$1,'UX Weekly'!$H$1:$CT$1,"&lt;="&amp;EOMONTH(AD$1,0),'UX Weekly'!$H131:$CT131,"&lt;&gt;"))</f>
        <v>0</v>
      </c>
      <c r="AE131">
        <f>IF($B131="",0,COUNTIFS('UX Weekly'!$H$1:$CT$1,"&gt;="&amp;AE$1,'UX Weekly'!$H$1:$CT$1,"&lt;="&amp;EOMONTH(AE$1,0),'UX Weekly'!$H131:$CT131,"&lt;&gt;"))</f>
        <v>0</v>
      </c>
      <c r="AF131">
        <f>IF($B131="",0,COUNTIFS('UX Weekly'!$H$1:$CT$1,"&gt;="&amp;AF$1,'UX Weekly'!$H$1:$CT$1,"&lt;="&amp;EOMONTH(AF$1,0),'UX Weekly'!$H131:$CT131,"&lt;&gt;"))</f>
        <v>0</v>
      </c>
      <c r="AG131">
        <f>IF($B131="",0,COUNTIFS('UX Weekly'!$H$1:$CT$1,"&gt;="&amp;AG$1,'UX Weekly'!$H$1:$CT$1,"&lt;="&amp;EOMONTH(AG$1,0),'UX Weekly'!$H131:$CT131,"&lt;&gt;"))</f>
        <v>0</v>
      </c>
      <c r="AH131">
        <f>IF($B131="",0,COUNTIFS('UX Weekly'!$H$1:$CT$1,"&gt;="&amp;AH$1,'UX Weekly'!$H$1:$CT$1,"&lt;="&amp;EOMONTH(AH$1,0),'UX Weekly'!$H131:$CT131,"&lt;&gt;"))</f>
        <v>0</v>
      </c>
      <c r="AI131">
        <f>IF($B131="",0,COUNTIFS('UX Weekly'!$H$1:$CT$1,"&gt;="&amp;AI$1,'UX Weekly'!$H$1:$CT$1,"&lt;="&amp;EOMONTH(AI$1,0),'UX Weekly'!$H131:$CT131,"&lt;&gt;"))</f>
        <v>0</v>
      </c>
      <c r="AJ131">
        <f>IF($B131="",0,COUNTIFS('UX Weekly'!$H$1:$CT$1,"&gt;="&amp;AJ$1,'UX Weekly'!$H$1:$CT$1,"&lt;="&amp;EOMONTH(AJ$1,0),'UX Weekly'!$H131:$CT131,"&lt;&gt;"))</f>
        <v>0</v>
      </c>
      <c r="AK131">
        <f>IF($B131="",0,COUNTIFS('UX Weekly'!$H$1:$CT$1,"&gt;="&amp;AK$1,'UX Weekly'!$H$1:$CT$1,"&lt;="&amp;EOMONTH(AK$1,0),'UX Weekly'!$H131:$CT131,"&lt;&gt;"))</f>
        <v>0</v>
      </c>
      <c r="AL131">
        <f>IF($B131="",0,COUNTIFS('UX Weekly'!$H$1:$CT$1,"&gt;="&amp;AL$1,'UX Weekly'!$H$1:$CT$1,"&lt;="&amp;EOMONTH(AL$1,0),'UX Weekly'!$H131:$CT131,"&lt;&gt;"))</f>
        <v>0</v>
      </c>
      <c r="AM131">
        <f>IF($B131="",0,COUNTIFS('UX Weekly'!$H$1:$CT$1,"&gt;="&amp;AM$1,'UX Weekly'!$H$1:$CT$1,"&lt;="&amp;EOMONTH(AM$1,0),'UX Weekly'!$H131:$CT131,"&lt;&gt;"))</f>
        <v>0</v>
      </c>
      <c r="AN131">
        <f>IF($B131="",0,COUNTIFS('UX Weekly'!$H$1:$CT$1,"&gt;="&amp;AN$1,'UX Weekly'!$H$1:$CT$1,"&lt;="&amp;EOMONTH(AN$1,0),'UX Weekly'!$H131:$CT131,"&lt;&gt;"))</f>
        <v>0</v>
      </c>
      <c r="AO131">
        <f>IF($B131="",0,COUNTIFS('UX Weekly'!$H$1:$CT$1,"&gt;="&amp;AO$1,'UX Weekly'!$H$1:$CT$1,"&lt;="&amp;EOMONTH(AO$1,0),'UX Weekly'!$H131:$CT131,"&lt;&gt;"))</f>
        <v>0</v>
      </c>
      <c r="AP131">
        <f>IF($B131="",0,COUNTIFS('UX Weekly'!$H$1:$CT$1,"&gt;="&amp;AP$1,'UX Weekly'!$H$1:$CT$1,"&lt;="&amp;EOMONTH(AP$1,0),'UX Weekly'!$H131:$CT131,"&lt;&gt;"))</f>
        <v>0</v>
      </c>
      <c r="AQ131">
        <f>IF($B131="",0,COUNTIFS('UX Weekly'!$H$1:$CT$1,"&gt;="&amp;AQ$1,'UX Weekly'!$H$1:$CT$1,"&lt;="&amp;EOMONTH(AQ$1,0),'UX Weekly'!$H131:$CT131,"&lt;&gt;"))</f>
        <v>0</v>
      </c>
      <c r="AR131">
        <f>IF($B131="",0,COUNTIFS('UX Weekly'!$H$1:$CT$1,"&gt;="&amp;AR$1,'UX Weekly'!$H$1:$CT$1,"&lt;="&amp;EOMONTH(AR$1,0),'UX Weekly'!$H131:$CT131,"&lt;&gt;"))</f>
        <v>0</v>
      </c>
      <c r="AS131">
        <f>IF($B131="",0,COUNTIFS('UX Weekly'!$H$1:$CT$1,"&gt;="&amp;AS$1,'UX Weekly'!$H$1:$CT$1,"&lt;="&amp;EOMONTH(AS$1,0),'UX Weekly'!$H131:$CT131,"&lt;&gt;"))</f>
        <v>0</v>
      </c>
      <c r="AT131">
        <f>IF($B131="",0,COUNTIFS('UX Weekly'!$H$1:$CT$1,"&gt;="&amp;AT$1,'UX Weekly'!$H$1:$CT$1,"&lt;="&amp;EOMONTH(AT$1,0),'UX Weekly'!$H131:$CT131,"&lt;&gt;"))</f>
        <v>0</v>
      </c>
      <c r="AU131">
        <f>IF($B131="",0,COUNTIFS('UX Weekly'!$H$1:$CT$1,"&gt;="&amp;AU$1,'UX Weekly'!$H$1:$CT$1,"&lt;="&amp;EOMONTH(AU$1,0),'UX Weekly'!$H131:$CT131,"&lt;&gt;"))</f>
        <v>0</v>
      </c>
      <c r="AV131">
        <f>IF($B131="",0,COUNTIFS('UX Weekly'!$H$1:$CT$1,"&gt;="&amp;AV$1,'UX Weekly'!$H$1:$CT$1,"&lt;="&amp;EOMONTH(AV$1,0),'UX Weekly'!$H131:$CT131,"&lt;&gt;"))</f>
        <v>0</v>
      </c>
      <c r="AW131">
        <f>IF($B131="",0,COUNTIFS('UX Weekly'!$H$1:$CT$1,"&gt;="&amp;AW$1,'UX Weekly'!$H$1:$CT$1,"&lt;="&amp;EOMONTH(AW$1,0),'UX Weekly'!$H131:$CT131,"&lt;&gt;"))</f>
        <v>0</v>
      </c>
      <c r="AX131">
        <f>IF($B131="",0,COUNTIFS('UX Weekly'!$H$1:$CT$1,"&gt;="&amp;AX$1,'UX Weekly'!$H$1:$CT$1,"&lt;="&amp;EOMONTH(AX$1,0),'UX Weekly'!$H131:$CT131,"&lt;&gt;"))</f>
        <v>0</v>
      </c>
    </row>
    <row r="132" spans="1:50" x14ac:dyDescent="0.2">
      <c r="A132" s="152">
        <v>132</v>
      </c>
      <c r="B132" s="152" t="str">
        <f>IF(TRIM('UX Weekly'!E132)="","",TRIM('UX Weekly'!E132))</f>
        <v/>
      </c>
      <c r="C132" s="152" t="str">
        <f>IF($B132="","",'UX Weekly'!B132)</f>
        <v/>
      </c>
      <c r="D132" s="152" t="str">
        <f>IF($B132="","",IF(TRIM('UX Weekly'!C132)="","(No theme assigned)",TRIM('UX Weekly'!C132)))</f>
        <v/>
      </c>
      <c r="E132" s="152" t="str">
        <f>IF($B132="","",TRIM('UX Weekly'!F132))</f>
        <v/>
      </c>
      <c r="F132" s="152" t="str">
        <f>IF($B132="","",'UX Weekly'!G132)</f>
        <v/>
      </c>
      <c r="G132" s="153" t="str">
        <f t="array" ref="G132">IF($B132="","",IF($T132=0,"",IFERROR(MIN(IF('UX Weekly'!$H132:$CT132&lt;&gt;"",'UX Weekly'!$H$1:$CT$1)),"")))</f>
        <v/>
      </c>
      <c r="H132" s="153" t="str">
        <f t="array" ref="H132">IF($B132="","",IF($T132=0,"",IFERROR(MAX(IF('UX Weekly'!$H132:$CT132&lt;&gt;"",'UX Weekly'!$H$1:$CT$1)),"")))</f>
        <v/>
      </c>
      <c r="I132" s="154" t="str">
        <f t="shared" ca="1" si="28"/>
        <v/>
      </c>
      <c r="J132" s="154" t="str">
        <f t="shared" ca="1" si="29"/>
        <v/>
      </c>
      <c r="K132" s="152" t="str">
        <f>IF($B132="","",IF(COUNTA('Dev Tracker'!L132)=0,"",TRIM('Dev Tracker'!L132)))</f>
        <v/>
      </c>
      <c r="L132" s="152" t="str">
        <f>IF($B132="","",IFERROR(MATCH($D132,Control!$E$4:$E$30,0),99))</f>
        <v/>
      </c>
      <c r="M132" s="152" t="str">
        <f>IF($B132="","",IFERROR(MATCH($F132,Control!$B$4:$B$30,0),99))</f>
        <v/>
      </c>
      <c r="N132" s="152" t="str">
        <f>IF($V132&lt;&gt;1,"",IF('Roadmap (Auto)'!$D$3="Status, then Theme",$M132*1000000+$L132*10000+ROW(),IF('Roadmap (Auto)'!$D$3="Dev start (earliest)",IF($I132="",99999999,$I132)*10000+ROW(),IF('Roadmap (Auto)'!$D$3="UX start (earliest)",IF($G132="",99999999,$G132)*10000+ROW(),IF('Roadmap (Auto)'!$D$3="Deliverable A-Z",$W132*10000+ROW(),$L132*1000000+$M132*10000+ROW())))))</f>
        <v/>
      </c>
      <c r="O132" s="152" t="str">
        <f t="shared" si="30"/>
        <v/>
      </c>
      <c r="P132" s="152" t="str">
        <f>IF($B132="","",IF(COUNTA('Dev Tracker'!I132)=0,"",'Dev Tracker'!I132))</f>
        <v/>
      </c>
      <c r="Q132" s="152" t="str">
        <f>IF($B132="","",IF(COUNTA('Dev Tracker'!J132)=0,"",'Dev Tracker'!J132))</f>
        <v/>
      </c>
      <c r="R132" s="154" t="str">
        <f t="shared" ca="1" si="31"/>
        <v/>
      </c>
      <c r="S132" s="154" t="str">
        <f t="shared" ca="1" si="32"/>
        <v/>
      </c>
      <c r="T132" s="152" t="str">
        <f>IF($B132="","",COUNTA('UX Weekly'!$H132:$CT132))</f>
        <v/>
      </c>
      <c r="U132" s="152" t="str">
        <f>IF($B132="","",IFERROR(MATCH($D132,Control!$E$4:$E$30,0)+3,0))</f>
        <v/>
      </c>
      <c r="V132" s="152" t="str">
        <f>IF($B132="","",IF(AND(OR('Roadmap (Auto)'!$A$3="",'Roadmap (Auto)'!$A$3="(All)",ISNUMBER(SEARCH('Roadmap (Auto)'!$A$3,$C132&amp;""))),OR('Roadmap (Auto)'!$B$3="",'Roadmap (Auto)'!$B$3="(All)",$D132='Roadmap (Auto)'!$B$3,$X132='Roadmap (Auto)'!$B$3),OR('Roadmap (Auto)'!$C$3="",'Roadmap (Auto)'!$C$3="(All)",$F132='Roadmap (Auto)'!$C$3)),1,0))</f>
        <v/>
      </c>
      <c r="W132" s="152" t="str">
        <f t="shared" si="33"/>
        <v/>
      </c>
      <c r="X132" s="152" t="str">
        <f>IF($B132="","",IF(TRIM('UX Weekly'!D132)="","",TRIM('UX Weekly'!D132)))</f>
        <v/>
      </c>
      <c r="Y132" s="152" t="str">
        <f t="shared" si="34"/>
        <v/>
      </c>
      <c r="AA132">
        <f>IF($B132="",0,COUNTIFS('UX Weekly'!$H$1:$CT$1,"&gt;="&amp;AA$1,'UX Weekly'!$H$1:$CT$1,"&lt;="&amp;EOMONTH(AA$1,0),'UX Weekly'!$H132:$CT132,"&lt;&gt;"))</f>
        <v>0</v>
      </c>
      <c r="AB132">
        <f>IF($B132="",0,COUNTIFS('UX Weekly'!$H$1:$CT$1,"&gt;="&amp;AB$1,'UX Weekly'!$H$1:$CT$1,"&lt;="&amp;EOMONTH(AB$1,0),'UX Weekly'!$H132:$CT132,"&lt;&gt;"))</f>
        <v>0</v>
      </c>
      <c r="AC132">
        <f>IF($B132="",0,COUNTIFS('UX Weekly'!$H$1:$CT$1,"&gt;="&amp;AC$1,'UX Weekly'!$H$1:$CT$1,"&lt;="&amp;EOMONTH(AC$1,0),'UX Weekly'!$H132:$CT132,"&lt;&gt;"))</f>
        <v>0</v>
      </c>
      <c r="AD132">
        <f>IF($B132="",0,COUNTIFS('UX Weekly'!$H$1:$CT$1,"&gt;="&amp;AD$1,'UX Weekly'!$H$1:$CT$1,"&lt;="&amp;EOMONTH(AD$1,0),'UX Weekly'!$H132:$CT132,"&lt;&gt;"))</f>
        <v>0</v>
      </c>
      <c r="AE132">
        <f>IF($B132="",0,COUNTIFS('UX Weekly'!$H$1:$CT$1,"&gt;="&amp;AE$1,'UX Weekly'!$H$1:$CT$1,"&lt;="&amp;EOMONTH(AE$1,0),'UX Weekly'!$H132:$CT132,"&lt;&gt;"))</f>
        <v>0</v>
      </c>
      <c r="AF132">
        <f>IF($B132="",0,COUNTIFS('UX Weekly'!$H$1:$CT$1,"&gt;="&amp;AF$1,'UX Weekly'!$H$1:$CT$1,"&lt;="&amp;EOMONTH(AF$1,0),'UX Weekly'!$H132:$CT132,"&lt;&gt;"))</f>
        <v>0</v>
      </c>
      <c r="AG132">
        <f>IF($B132="",0,COUNTIFS('UX Weekly'!$H$1:$CT$1,"&gt;="&amp;AG$1,'UX Weekly'!$H$1:$CT$1,"&lt;="&amp;EOMONTH(AG$1,0),'UX Weekly'!$H132:$CT132,"&lt;&gt;"))</f>
        <v>0</v>
      </c>
      <c r="AH132">
        <f>IF($B132="",0,COUNTIFS('UX Weekly'!$H$1:$CT$1,"&gt;="&amp;AH$1,'UX Weekly'!$H$1:$CT$1,"&lt;="&amp;EOMONTH(AH$1,0),'UX Weekly'!$H132:$CT132,"&lt;&gt;"))</f>
        <v>0</v>
      </c>
      <c r="AI132">
        <f>IF($B132="",0,COUNTIFS('UX Weekly'!$H$1:$CT$1,"&gt;="&amp;AI$1,'UX Weekly'!$H$1:$CT$1,"&lt;="&amp;EOMONTH(AI$1,0),'UX Weekly'!$H132:$CT132,"&lt;&gt;"))</f>
        <v>0</v>
      </c>
      <c r="AJ132">
        <f>IF($B132="",0,COUNTIFS('UX Weekly'!$H$1:$CT$1,"&gt;="&amp;AJ$1,'UX Weekly'!$H$1:$CT$1,"&lt;="&amp;EOMONTH(AJ$1,0),'UX Weekly'!$H132:$CT132,"&lt;&gt;"))</f>
        <v>0</v>
      </c>
      <c r="AK132">
        <f>IF($B132="",0,COUNTIFS('UX Weekly'!$H$1:$CT$1,"&gt;="&amp;AK$1,'UX Weekly'!$H$1:$CT$1,"&lt;="&amp;EOMONTH(AK$1,0),'UX Weekly'!$H132:$CT132,"&lt;&gt;"))</f>
        <v>0</v>
      </c>
      <c r="AL132">
        <f>IF($B132="",0,COUNTIFS('UX Weekly'!$H$1:$CT$1,"&gt;="&amp;AL$1,'UX Weekly'!$H$1:$CT$1,"&lt;="&amp;EOMONTH(AL$1,0),'UX Weekly'!$H132:$CT132,"&lt;&gt;"))</f>
        <v>0</v>
      </c>
      <c r="AM132">
        <f>IF($B132="",0,COUNTIFS('UX Weekly'!$H$1:$CT$1,"&gt;="&amp;AM$1,'UX Weekly'!$H$1:$CT$1,"&lt;="&amp;EOMONTH(AM$1,0),'UX Weekly'!$H132:$CT132,"&lt;&gt;"))</f>
        <v>0</v>
      </c>
      <c r="AN132">
        <f>IF($B132="",0,COUNTIFS('UX Weekly'!$H$1:$CT$1,"&gt;="&amp;AN$1,'UX Weekly'!$H$1:$CT$1,"&lt;="&amp;EOMONTH(AN$1,0),'UX Weekly'!$H132:$CT132,"&lt;&gt;"))</f>
        <v>0</v>
      </c>
      <c r="AO132">
        <f>IF($B132="",0,COUNTIFS('UX Weekly'!$H$1:$CT$1,"&gt;="&amp;AO$1,'UX Weekly'!$H$1:$CT$1,"&lt;="&amp;EOMONTH(AO$1,0),'UX Weekly'!$H132:$CT132,"&lt;&gt;"))</f>
        <v>0</v>
      </c>
      <c r="AP132">
        <f>IF($B132="",0,COUNTIFS('UX Weekly'!$H$1:$CT$1,"&gt;="&amp;AP$1,'UX Weekly'!$H$1:$CT$1,"&lt;="&amp;EOMONTH(AP$1,0),'UX Weekly'!$H132:$CT132,"&lt;&gt;"))</f>
        <v>0</v>
      </c>
      <c r="AQ132">
        <f>IF($B132="",0,COUNTIFS('UX Weekly'!$H$1:$CT$1,"&gt;="&amp;AQ$1,'UX Weekly'!$H$1:$CT$1,"&lt;="&amp;EOMONTH(AQ$1,0),'UX Weekly'!$H132:$CT132,"&lt;&gt;"))</f>
        <v>0</v>
      </c>
      <c r="AR132">
        <f>IF($B132="",0,COUNTIFS('UX Weekly'!$H$1:$CT$1,"&gt;="&amp;AR$1,'UX Weekly'!$H$1:$CT$1,"&lt;="&amp;EOMONTH(AR$1,0),'UX Weekly'!$H132:$CT132,"&lt;&gt;"))</f>
        <v>0</v>
      </c>
      <c r="AS132">
        <f>IF($B132="",0,COUNTIFS('UX Weekly'!$H$1:$CT$1,"&gt;="&amp;AS$1,'UX Weekly'!$H$1:$CT$1,"&lt;="&amp;EOMONTH(AS$1,0),'UX Weekly'!$H132:$CT132,"&lt;&gt;"))</f>
        <v>0</v>
      </c>
      <c r="AT132">
        <f>IF($B132="",0,COUNTIFS('UX Weekly'!$H$1:$CT$1,"&gt;="&amp;AT$1,'UX Weekly'!$H$1:$CT$1,"&lt;="&amp;EOMONTH(AT$1,0),'UX Weekly'!$H132:$CT132,"&lt;&gt;"))</f>
        <v>0</v>
      </c>
      <c r="AU132">
        <f>IF($B132="",0,COUNTIFS('UX Weekly'!$H$1:$CT$1,"&gt;="&amp;AU$1,'UX Weekly'!$H$1:$CT$1,"&lt;="&amp;EOMONTH(AU$1,0),'UX Weekly'!$H132:$CT132,"&lt;&gt;"))</f>
        <v>0</v>
      </c>
      <c r="AV132">
        <f>IF($B132="",0,COUNTIFS('UX Weekly'!$H$1:$CT$1,"&gt;="&amp;AV$1,'UX Weekly'!$H$1:$CT$1,"&lt;="&amp;EOMONTH(AV$1,0),'UX Weekly'!$H132:$CT132,"&lt;&gt;"))</f>
        <v>0</v>
      </c>
      <c r="AW132">
        <f>IF($B132="",0,COUNTIFS('UX Weekly'!$H$1:$CT$1,"&gt;="&amp;AW$1,'UX Weekly'!$H$1:$CT$1,"&lt;="&amp;EOMONTH(AW$1,0),'UX Weekly'!$H132:$CT132,"&lt;&gt;"))</f>
        <v>0</v>
      </c>
      <c r="AX132">
        <f>IF($B132="",0,COUNTIFS('UX Weekly'!$H$1:$CT$1,"&gt;="&amp;AX$1,'UX Weekly'!$H$1:$CT$1,"&lt;="&amp;EOMONTH(AX$1,0),'UX Weekly'!$H132:$CT132,"&lt;&gt;"))</f>
        <v>0</v>
      </c>
    </row>
    <row r="133" spans="1:50" x14ac:dyDescent="0.2">
      <c r="A133" s="152">
        <v>133</v>
      </c>
      <c r="B133" s="152" t="str">
        <f>IF(TRIM('UX Weekly'!E133)="","",TRIM('UX Weekly'!E133))</f>
        <v/>
      </c>
      <c r="C133" s="152" t="str">
        <f>IF($B133="","",'UX Weekly'!B133)</f>
        <v/>
      </c>
      <c r="D133" s="152" t="str">
        <f>IF($B133="","",IF(TRIM('UX Weekly'!C133)="","(No theme assigned)",TRIM('UX Weekly'!C133)))</f>
        <v/>
      </c>
      <c r="E133" s="152" t="str">
        <f>IF($B133="","",TRIM('UX Weekly'!F133))</f>
        <v/>
      </c>
      <c r="F133" s="152" t="str">
        <f>IF($B133="","",'UX Weekly'!G133)</f>
        <v/>
      </c>
      <c r="G133" s="153" t="str">
        <f t="array" ref="G133">IF($B133="","",IF($T133=0,"",IFERROR(MIN(IF('UX Weekly'!$H133:$CT133&lt;&gt;"",'UX Weekly'!$H$1:$CT$1)),"")))</f>
        <v/>
      </c>
      <c r="H133" s="153" t="str">
        <f t="array" ref="H133">IF($B133="","",IF($T133=0,"",IFERROR(MAX(IF('UX Weekly'!$H133:$CT133&lt;&gt;"",'UX Weekly'!$H$1:$CT$1)),"")))</f>
        <v/>
      </c>
      <c r="I133" s="154" t="str">
        <f t="shared" ca="1" si="28"/>
        <v/>
      </c>
      <c r="J133" s="154" t="str">
        <f t="shared" ca="1" si="29"/>
        <v/>
      </c>
      <c r="K133" s="152" t="str">
        <f>IF($B133="","",IF(COUNTA('Dev Tracker'!L133)=0,"",TRIM('Dev Tracker'!L133)))</f>
        <v/>
      </c>
      <c r="L133" s="152" t="str">
        <f>IF($B133="","",IFERROR(MATCH($D133,Control!$E$4:$E$30,0),99))</f>
        <v/>
      </c>
      <c r="M133" s="152" t="str">
        <f>IF($B133="","",IFERROR(MATCH($F133,Control!$B$4:$B$30,0),99))</f>
        <v/>
      </c>
      <c r="N133" s="152" t="str">
        <f>IF($V133&lt;&gt;1,"",IF('Roadmap (Auto)'!$D$3="Status, then Theme",$M133*1000000+$L133*10000+ROW(),IF('Roadmap (Auto)'!$D$3="Dev start (earliest)",IF($I133="",99999999,$I133)*10000+ROW(),IF('Roadmap (Auto)'!$D$3="UX start (earliest)",IF($G133="",99999999,$G133)*10000+ROW(),IF('Roadmap (Auto)'!$D$3="Deliverable A-Z",$W133*10000+ROW(),$L133*1000000+$M133*10000+ROW())))))</f>
        <v/>
      </c>
      <c r="O133" s="152" t="str">
        <f t="shared" si="30"/>
        <v/>
      </c>
      <c r="P133" s="152" t="str">
        <f>IF($B133="","",IF(COUNTA('Dev Tracker'!I133)=0,"",'Dev Tracker'!I133))</f>
        <v/>
      </c>
      <c r="Q133" s="152" t="str">
        <f>IF($B133="","",IF(COUNTA('Dev Tracker'!J133)=0,"",'Dev Tracker'!J133))</f>
        <v/>
      </c>
      <c r="R133" s="154" t="str">
        <f t="shared" ca="1" si="31"/>
        <v/>
      </c>
      <c r="S133" s="154" t="str">
        <f t="shared" ca="1" si="32"/>
        <v/>
      </c>
      <c r="T133" s="152" t="str">
        <f>IF($B133="","",COUNTA('UX Weekly'!$H133:$CT133))</f>
        <v/>
      </c>
      <c r="U133" s="152" t="str">
        <f>IF($B133="","",IFERROR(MATCH($D133,Control!$E$4:$E$30,0)+3,0))</f>
        <v/>
      </c>
      <c r="V133" s="152" t="str">
        <f>IF($B133="","",IF(AND(OR('Roadmap (Auto)'!$A$3="",'Roadmap (Auto)'!$A$3="(All)",ISNUMBER(SEARCH('Roadmap (Auto)'!$A$3,$C133&amp;""))),OR('Roadmap (Auto)'!$B$3="",'Roadmap (Auto)'!$B$3="(All)",$D133='Roadmap (Auto)'!$B$3,$X133='Roadmap (Auto)'!$B$3),OR('Roadmap (Auto)'!$C$3="",'Roadmap (Auto)'!$C$3="(All)",$F133='Roadmap (Auto)'!$C$3)),1,0))</f>
        <v/>
      </c>
      <c r="W133" s="152" t="str">
        <f t="shared" si="33"/>
        <v/>
      </c>
      <c r="X133" s="152" t="str">
        <f>IF($B133="","",IF(TRIM('UX Weekly'!D133)="","",TRIM('UX Weekly'!D133)))</f>
        <v/>
      </c>
      <c r="Y133" s="152" t="str">
        <f t="shared" si="34"/>
        <v/>
      </c>
      <c r="AA133">
        <f>IF($B133="",0,COUNTIFS('UX Weekly'!$H$1:$CT$1,"&gt;="&amp;AA$1,'UX Weekly'!$H$1:$CT$1,"&lt;="&amp;EOMONTH(AA$1,0),'UX Weekly'!$H133:$CT133,"&lt;&gt;"))</f>
        <v>0</v>
      </c>
      <c r="AB133">
        <f>IF($B133="",0,COUNTIFS('UX Weekly'!$H$1:$CT$1,"&gt;="&amp;AB$1,'UX Weekly'!$H$1:$CT$1,"&lt;="&amp;EOMONTH(AB$1,0),'UX Weekly'!$H133:$CT133,"&lt;&gt;"))</f>
        <v>0</v>
      </c>
      <c r="AC133">
        <f>IF($B133="",0,COUNTIFS('UX Weekly'!$H$1:$CT$1,"&gt;="&amp;AC$1,'UX Weekly'!$H$1:$CT$1,"&lt;="&amp;EOMONTH(AC$1,0),'UX Weekly'!$H133:$CT133,"&lt;&gt;"))</f>
        <v>0</v>
      </c>
      <c r="AD133">
        <f>IF($B133="",0,COUNTIFS('UX Weekly'!$H$1:$CT$1,"&gt;="&amp;AD$1,'UX Weekly'!$H$1:$CT$1,"&lt;="&amp;EOMONTH(AD$1,0),'UX Weekly'!$H133:$CT133,"&lt;&gt;"))</f>
        <v>0</v>
      </c>
      <c r="AE133">
        <f>IF($B133="",0,COUNTIFS('UX Weekly'!$H$1:$CT$1,"&gt;="&amp;AE$1,'UX Weekly'!$H$1:$CT$1,"&lt;="&amp;EOMONTH(AE$1,0),'UX Weekly'!$H133:$CT133,"&lt;&gt;"))</f>
        <v>0</v>
      </c>
      <c r="AF133">
        <f>IF($B133="",0,COUNTIFS('UX Weekly'!$H$1:$CT$1,"&gt;="&amp;AF$1,'UX Weekly'!$H$1:$CT$1,"&lt;="&amp;EOMONTH(AF$1,0),'UX Weekly'!$H133:$CT133,"&lt;&gt;"))</f>
        <v>0</v>
      </c>
      <c r="AG133">
        <f>IF($B133="",0,COUNTIFS('UX Weekly'!$H$1:$CT$1,"&gt;="&amp;AG$1,'UX Weekly'!$H$1:$CT$1,"&lt;="&amp;EOMONTH(AG$1,0),'UX Weekly'!$H133:$CT133,"&lt;&gt;"))</f>
        <v>0</v>
      </c>
      <c r="AH133">
        <f>IF($B133="",0,COUNTIFS('UX Weekly'!$H$1:$CT$1,"&gt;="&amp;AH$1,'UX Weekly'!$H$1:$CT$1,"&lt;="&amp;EOMONTH(AH$1,0),'UX Weekly'!$H133:$CT133,"&lt;&gt;"))</f>
        <v>0</v>
      </c>
      <c r="AI133">
        <f>IF($B133="",0,COUNTIFS('UX Weekly'!$H$1:$CT$1,"&gt;="&amp;AI$1,'UX Weekly'!$H$1:$CT$1,"&lt;="&amp;EOMONTH(AI$1,0),'UX Weekly'!$H133:$CT133,"&lt;&gt;"))</f>
        <v>0</v>
      </c>
      <c r="AJ133">
        <f>IF($B133="",0,COUNTIFS('UX Weekly'!$H$1:$CT$1,"&gt;="&amp;AJ$1,'UX Weekly'!$H$1:$CT$1,"&lt;="&amp;EOMONTH(AJ$1,0),'UX Weekly'!$H133:$CT133,"&lt;&gt;"))</f>
        <v>0</v>
      </c>
      <c r="AK133">
        <f>IF($B133="",0,COUNTIFS('UX Weekly'!$H$1:$CT$1,"&gt;="&amp;AK$1,'UX Weekly'!$H$1:$CT$1,"&lt;="&amp;EOMONTH(AK$1,0),'UX Weekly'!$H133:$CT133,"&lt;&gt;"))</f>
        <v>0</v>
      </c>
      <c r="AL133">
        <f>IF($B133="",0,COUNTIFS('UX Weekly'!$H$1:$CT$1,"&gt;="&amp;AL$1,'UX Weekly'!$H$1:$CT$1,"&lt;="&amp;EOMONTH(AL$1,0),'UX Weekly'!$H133:$CT133,"&lt;&gt;"))</f>
        <v>0</v>
      </c>
      <c r="AM133">
        <f>IF($B133="",0,COUNTIFS('UX Weekly'!$H$1:$CT$1,"&gt;="&amp;AM$1,'UX Weekly'!$H$1:$CT$1,"&lt;="&amp;EOMONTH(AM$1,0),'UX Weekly'!$H133:$CT133,"&lt;&gt;"))</f>
        <v>0</v>
      </c>
      <c r="AN133">
        <f>IF($B133="",0,COUNTIFS('UX Weekly'!$H$1:$CT$1,"&gt;="&amp;AN$1,'UX Weekly'!$H$1:$CT$1,"&lt;="&amp;EOMONTH(AN$1,0),'UX Weekly'!$H133:$CT133,"&lt;&gt;"))</f>
        <v>0</v>
      </c>
      <c r="AO133">
        <f>IF($B133="",0,COUNTIFS('UX Weekly'!$H$1:$CT$1,"&gt;="&amp;AO$1,'UX Weekly'!$H$1:$CT$1,"&lt;="&amp;EOMONTH(AO$1,0),'UX Weekly'!$H133:$CT133,"&lt;&gt;"))</f>
        <v>0</v>
      </c>
      <c r="AP133">
        <f>IF($B133="",0,COUNTIFS('UX Weekly'!$H$1:$CT$1,"&gt;="&amp;AP$1,'UX Weekly'!$H$1:$CT$1,"&lt;="&amp;EOMONTH(AP$1,0),'UX Weekly'!$H133:$CT133,"&lt;&gt;"))</f>
        <v>0</v>
      </c>
      <c r="AQ133">
        <f>IF($B133="",0,COUNTIFS('UX Weekly'!$H$1:$CT$1,"&gt;="&amp;AQ$1,'UX Weekly'!$H$1:$CT$1,"&lt;="&amp;EOMONTH(AQ$1,0),'UX Weekly'!$H133:$CT133,"&lt;&gt;"))</f>
        <v>0</v>
      </c>
      <c r="AR133">
        <f>IF($B133="",0,COUNTIFS('UX Weekly'!$H$1:$CT$1,"&gt;="&amp;AR$1,'UX Weekly'!$H$1:$CT$1,"&lt;="&amp;EOMONTH(AR$1,0),'UX Weekly'!$H133:$CT133,"&lt;&gt;"))</f>
        <v>0</v>
      </c>
      <c r="AS133">
        <f>IF($B133="",0,COUNTIFS('UX Weekly'!$H$1:$CT$1,"&gt;="&amp;AS$1,'UX Weekly'!$H$1:$CT$1,"&lt;="&amp;EOMONTH(AS$1,0),'UX Weekly'!$H133:$CT133,"&lt;&gt;"))</f>
        <v>0</v>
      </c>
      <c r="AT133">
        <f>IF($B133="",0,COUNTIFS('UX Weekly'!$H$1:$CT$1,"&gt;="&amp;AT$1,'UX Weekly'!$H$1:$CT$1,"&lt;="&amp;EOMONTH(AT$1,0),'UX Weekly'!$H133:$CT133,"&lt;&gt;"))</f>
        <v>0</v>
      </c>
      <c r="AU133">
        <f>IF($B133="",0,COUNTIFS('UX Weekly'!$H$1:$CT$1,"&gt;="&amp;AU$1,'UX Weekly'!$H$1:$CT$1,"&lt;="&amp;EOMONTH(AU$1,0),'UX Weekly'!$H133:$CT133,"&lt;&gt;"))</f>
        <v>0</v>
      </c>
      <c r="AV133">
        <f>IF($B133="",0,COUNTIFS('UX Weekly'!$H$1:$CT$1,"&gt;="&amp;AV$1,'UX Weekly'!$H$1:$CT$1,"&lt;="&amp;EOMONTH(AV$1,0),'UX Weekly'!$H133:$CT133,"&lt;&gt;"))</f>
        <v>0</v>
      </c>
      <c r="AW133">
        <f>IF($B133="",0,COUNTIFS('UX Weekly'!$H$1:$CT$1,"&gt;="&amp;AW$1,'UX Weekly'!$H$1:$CT$1,"&lt;="&amp;EOMONTH(AW$1,0),'UX Weekly'!$H133:$CT133,"&lt;&gt;"))</f>
        <v>0</v>
      </c>
      <c r="AX133">
        <f>IF($B133="",0,COUNTIFS('UX Weekly'!$H$1:$CT$1,"&gt;="&amp;AX$1,'UX Weekly'!$H$1:$CT$1,"&lt;="&amp;EOMONTH(AX$1,0),'UX Weekly'!$H133:$CT133,"&lt;&gt;"))</f>
        <v>0</v>
      </c>
    </row>
    <row r="134" spans="1:50" x14ac:dyDescent="0.2">
      <c r="A134" s="152">
        <v>134</v>
      </c>
      <c r="B134" s="152" t="str">
        <f>IF(TRIM('UX Weekly'!E134)="","",TRIM('UX Weekly'!E134))</f>
        <v/>
      </c>
      <c r="C134" s="152" t="str">
        <f>IF($B134="","",'UX Weekly'!B134)</f>
        <v/>
      </c>
      <c r="D134" s="152" t="str">
        <f>IF($B134="","",IF(TRIM('UX Weekly'!C134)="","(No theme assigned)",TRIM('UX Weekly'!C134)))</f>
        <v/>
      </c>
      <c r="E134" s="152" t="str">
        <f>IF($B134="","",TRIM('UX Weekly'!F134))</f>
        <v/>
      </c>
      <c r="F134" s="152" t="str">
        <f>IF($B134="","",'UX Weekly'!G134)</f>
        <v/>
      </c>
      <c r="G134" s="153" t="str">
        <f t="array" ref="G134">IF($B134="","",IF($T134=0,"",IFERROR(MIN(IF('UX Weekly'!$H134:$CT134&lt;&gt;"",'UX Weekly'!$H$1:$CT$1)),"")))</f>
        <v/>
      </c>
      <c r="H134" s="153" t="str">
        <f t="array" ref="H134">IF($B134="","",IF($T134=0,"",IFERROR(MAX(IF('UX Weekly'!$H134:$CT134&lt;&gt;"",'UX Weekly'!$H$1:$CT$1)),"")))</f>
        <v/>
      </c>
      <c r="I134" s="154" t="str">
        <f t="shared" ca="1" si="28"/>
        <v/>
      </c>
      <c r="J134" s="154" t="str">
        <f t="shared" ca="1" si="29"/>
        <v/>
      </c>
      <c r="K134" s="152" t="str">
        <f>IF($B134="","",IF(COUNTA('Dev Tracker'!L134)=0,"",TRIM('Dev Tracker'!L134)))</f>
        <v/>
      </c>
      <c r="L134" s="152" t="str">
        <f>IF($B134="","",IFERROR(MATCH($D134,Control!$E$4:$E$30,0),99))</f>
        <v/>
      </c>
      <c r="M134" s="152" t="str">
        <f>IF($B134="","",IFERROR(MATCH($F134,Control!$B$4:$B$30,0),99))</f>
        <v/>
      </c>
      <c r="N134" s="152" t="str">
        <f>IF($V134&lt;&gt;1,"",IF('Roadmap (Auto)'!$D$3="Status, then Theme",$M134*1000000+$L134*10000+ROW(),IF('Roadmap (Auto)'!$D$3="Dev start (earliest)",IF($I134="",99999999,$I134)*10000+ROW(),IF('Roadmap (Auto)'!$D$3="UX start (earliest)",IF($G134="",99999999,$G134)*10000+ROW(),IF('Roadmap (Auto)'!$D$3="Deliverable A-Z",$W134*10000+ROW(),$L134*1000000+$M134*10000+ROW())))))</f>
        <v/>
      </c>
      <c r="O134" s="152" t="str">
        <f t="shared" si="30"/>
        <v/>
      </c>
      <c r="P134" s="152" t="str">
        <f>IF($B134="","",IF(COUNTA('Dev Tracker'!I134)=0,"",'Dev Tracker'!I134))</f>
        <v/>
      </c>
      <c r="Q134" s="152" t="str">
        <f>IF($B134="","",IF(COUNTA('Dev Tracker'!J134)=0,"",'Dev Tracker'!J134))</f>
        <v/>
      </c>
      <c r="R134" s="154" t="str">
        <f t="shared" ca="1" si="31"/>
        <v/>
      </c>
      <c r="S134" s="154" t="str">
        <f t="shared" ca="1" si="32"/>
        <v/>
      </c>
      <c r="T134" s="152" t="str">
        <f>IF($B134="","",COUNTA('UX Weekly'!$H134:$CT134))</f>
        <v/>
      </c>
      <c r="U134" s="152" t="str">
        <f>IF($B134="","",IFERROR(MATCH($D134,Control!$E$4:$E$30,0)+3,0))</f>
        <v/>
      </c>
      <c r="V134" s="152" t="str">
        <f>IF($B134="","",IF(AND(OR('Roadmap (Auto)'!$A$3="",'Roadmap (Auto)'!$A$3="(All)",ISNUMBER(SEARCH('Roadmap (Auto)'!$A$3,$C134&amp;""))),OR('Roadmap (Auto)'!$B$3="",'Roadmap (Auto)'!$B$3="(All)",$D134='Roadmap (Auto)'!$B$3,$X134='Roadmap (Auto)'!$B$3),OR('Roadmap (Auto)'!$C$3="",'Roadmap (Auto)'!$C$3="(All)",$F134='Roadmap (Auto)'!$C$3)),1,0))</f>
        <v/>
      </c>
      <c r="W134" s="152" t="str">
        <f t="shared" si="33"/>
        <v/>
      </c>
      <c r="X134" s="152" t="str">
        <f>IF($B134="","",IF(TRIM('UX Weekly'!D134)="","",TRIM('UX Weekly'!D134)))</f>
        <v/>
      </c>
      <c r="Y134" s="152" t="str">
        <f t="shared" si="34"/>
        <v/>
      </c>
      <c r="AA134">
        <f>IF($B134="",0,COUNTIFS('UX Weekly'!$H$1:$CT$1,"&gt;="&amp;AA$1,'UX Weekly'!$H$1:$CT$1,"&lt;="&amp;EOMONTH(AA$1,0),'UX Weekly'!$H134:$CT134,"&lt;&gt;"))</f>
        <v>0</v>
      </c>
      <c r="AB134">
        <f>IF($B134="",0,COUNTIFS('UX Weekly'!$H$1:$CT$1,"&gt;="&amp;AB$1,'UX Weekly'!$H$1:$CT$1,"&lt;="&amp;EOMONTH(AB$1,0),'UX Weekly'!$H134:$CT134,"&lt;&gt;"))</f>
        <v>0</v>
      </c>
      <c r="AC134">
        <f>IF($B134="",0,COUNTIFS('UX Weekly'!$H$1:$CT$1,"&gt;="&amp;AC$1,'UX Weekly'!$H$1:$CT$1,"&lt;="&amp;EOMONTH(AC$1,0),'UX Weekly'!$H134:$CT134,"&lt;&gt;"))</f>
        <v>0</v>
      </c>
      <c r="AD134">
        <f>IF($B134="",0,COUNTIFS('UX Weekly'!$H$1:$CT$1,"&gt;="&amp;AD$1,'UX Weekly'!$H$1:$CT$1,"&lt;="&amp;EOMONTH(AD$1,0),'UX Weekly'!$H134:$CT134,"&lt;&gt;"))</f>
        <v>0</v>
      </c>
      <c r="AE134">
        <f>IF($B134="",0,COUNTIFS('UX Weekly'!$H$1:$CT$1,"&gt;="&amp;AE$1,'UX Weekly'!$H$1:$CT$1,"&lt;="&amp;EOMONTH(AE$1,0),'UX Weekly'!$H134:$CT134,"&lt;&gt;"))</f>
        <v>0</v>
      </c>
      <c r="AF134">
        <f>IF($B134="",0,COUNTIFS('UX Weekly'!$H$1:$CT$1,"&gt;="&amp;AF$1,'UX Weekly'!$H$1:$CT$1,"&lt;="&amp;EOMONTH(AF$1,0),'UX Weekly'!$H134:$CT134,"&lt;&gt;"))</f>
        <v>0</v>
      </c>
      <c r="AG134">
        <f>IF($B134="",0,COUNTIFS('UX Weekly'!$H$1:$CT$1,"&gt;="&amp;AG$1,'UX Weekly'!$H$1:$CT$1,"&lt;="&amp;EOMONTH(AG$1,0),'UX Weekly'!$H134:$CT134,"&lt;&gt;"))</f>
        <v>0</v>
      </c>
      <c r="AH134">
        <f>IF($B134="",0,COUNTIFS('UX Weekly'!$H$1:$CT$1,"&gt;="&amp;AH$1,'UX Weekly'!$H$1:$CT$1,"&lt;="&amp;EOMONTH(AH$1,0),'UX Weekly'!$H134:$CT134,"&lt;&gt;"))</f>
        <v>0</v>
      </c>
      <c r="AI134">
        <f>IF($B134="",0,COUNTIFS('UX Weekly'!$H$1:$CT$1,"&gt;="&amp;AI$1,'UX Weekly'!$H$1:$CT$1,"&lt;="&amp;EOMONTH(AI$1,0),'UX Weekly'!$H134:$CT134,"&lt;&gt;"))</f>
        <v>0</v>
      </c>
      <c r="AJ134">
        <f>IF($B134="",0,COUNTIFS('UX Weekly'!$H$1:$CT$1,"&gt;="&amp;AJ$1,'UX Weekly'!$H$1:$CT$1,"&lt;="&amp;EOMONTH(AJ$1,0),'UX Weekly'!$H134:$CT134,"&lt;&gt;"))</f>
        <v>0</v>
      </c>
      <c r="AK134">
        <f>IF($B134="",0,COUNTIFS('UX Weekly'!$H$1:$CT$1,"&gt;="&amp;AK$1,'UX Weekly'!$H$1:$CT$1,"&lt;="&amp;EOMONTH(AK$1,0),'UX Weekly'!$H134:$CT134,"&lt;&gt;"))</f>
        <v>0</v>
      </c>
      <c r="AL134">
        <f>IF($B134="",0,COUNTIFS('UX Weekly'!$H$1:$CT$1,"&gt;="&amp;AL$1,'UX Weekly'!$H$1:$CT$1,"&lt;="&amp;EOMONTH(AL$1,0),'UX Weekly'!$H134:$CT134,"&lt;&gt;"))</f>
        <v>0</v>
      </c>
      <c r="AM134">
        <f>IF($B134="",0,COUNTIFS('UX Weekly'!$H$1:$CT$1,"&gt;="&amp;AM$1,'UX Weekly'!$H$1:$CT$1,"&lt;="&amp;EOMONTH(AM$1,0),'UX Weekly'!$H134:$CT134,"&lt;&gt;"))</f>
        <v>0</v>
      </c>
      <c r="AN134">
        <f>IF($B134="",0,COUNTIFS('UX Weekly'!$H$1:$CT$1,"&gt;="&amp;AN$1,'UX Weekly'!$H$1:$CT$1,"&lt;="&amp;EOMONTH(AN$1,0),'UX Weekly'!$H134:$CT134,"&lt;&gt;"))</f>
        <v>0</v>
      </c>
      <c r="AO134">
        <f>IF($B134="",0,COUNTIFS('UX Weekly'!$H$1:$CT$1,"&gt;="&amp;AO$1,'UX Weekly'!$H$1:$CT$1,"&lt;="&amp;EOMONTH(AO$1,0),'UX Weekly'!$H134:$CT134,"&lt;&gt;"))</f>
        <v>0</v>
      </c>
      <c r="AP134">
        <f>IF($B134="",0,COUNTIFS('UX Weekly'!$H$1:$CT$1,"&gt;="&amp;AP$1,'UX Weekly'!$H$1:$CT$1,"&lt;="&amp;EOMONTH(AP$1,0),'UX Weekly'!$H134:$CT134,"&lt;&gt;"))</f>
        <v>0</v>
      </c>
      <c r="AQ134">
        <f>IF($B134="",0,COUNTIFS('UX Weekly'!$H$1:$CT$1,"&gt;="&amp;AQ$1,'UX Weekly'!$H$1:$CT$1,"&lt;="&amp;EOMONTH(AQ$1,0),'UX Weekly'!$H134:$CT134,"&lt;&gt;"))</f>
        <v>0</v>
      </c>
      <c r="AR134">
        <f>IF($B134="",0,COUNTIFS('UX Weekly'!$H$1:$CT$1,"&gt;="&amp;AR$1,'UX Weekly'!$H$1:$CT$1,"&lt;="&amp;EOMONTH(AR$1,0),'UX Weekly'!$H134:$CT134,"&lt;&gt;"))</f>
        <v>0</v>
      </c>
      <c r="AS134">
        <f>IF($B134="",0,COUNTIFS('UX Weekly'!$H$1:$CT$1,"&gt;="&amp;AS$1,'UX Weekly'!$H$1:$CT$1,"&lt;="&amp;EOMONTH(AS$1,0),'UX Weekly'!$H134:$CT134,"&lt;&gt;"))</f>
        <v>0</v>
      </c>
      <c r="AT134">
        <f>IF($B134="",0,COUNTIFS('UX Weekly'!$H$1:$CT$1,"&gt;="&amp;AT$1,'UX Weekly'!$H$1:$CT$1,"&lt;="&amp;EOMONTH(AT$1,0),'UX Weekly'!$H134:$CT134,"&lt;&gt;"))</f>
        <v>0</v>
      </c>
      <c r="AU134">
        <f>IF($B134="",0,COUNTIFS('UX Weekly'!$H$1:$CT$1,"&gt;="&amp;AU$1,'UX Weekly'!$H$1:$CT$1,"&lt;="&amp;EOMONTH(AU$1,0),'UX Weekly'!$H134:$CT134,"&lt;&gt;"))</f>
        <v>0</v>
      </c>
      <c r="AV134">
        <f>IF($B134="",0,COUNTIFS('UX Weekly'!$H$1:$CT$1,"&gt;="&amp;AV$1,'UX Weekly'!$H$1:$CT$1,"&lt;="&amp;EOMONTH(AV$1,0),'UX Weekly'!$H134:$CT134,"&lt;&gt;"))</f>
        <v>0</v>
      </c>
      <c r="AW134">
        <f>IF($B134="",0,COUNTIFS('UX Weekly'!$H$1:$CT$1,"&gt;="&amp;AW$1,'UX Weekly'!$H$1:$CT$1,"&lt;="&amp;EOMONTH(AW$1,0),'UX Weekly'!$H134:$CT134,"&lt;&gt;"))</f>
        <v>0</v>
      </c>
      <c r="AX134">
        <f>IF($B134="",0,COUNTIFS('UX Weekly'!$H$1:$CT$1,"&gt;="&amp;AX$1,'UX Weekly'!$H$1:$CT$1,"&lt;="&amp;EOMONTH(AX$1,0),'UX Weekly'!$H134:$CT134,"&lt;&gt;"))</f>
        <v>0</v>
      </c>
    </row>
    <row r="135" spans="1:50" x14ac:dyDescent="0.2">
      <c r="A135" s="152">
        <v>135</v>
      </c>
      <c r="B135" s="152" t="str">
        <f>IF(TRIM('UX Weekly'!E135)="","",TRIM('UX Weekly'!E135))</f>
        <v/>
      </c>
      <c r="C135" s="152" t="str">
        <f>IF($B135="","",'UX Weekly'!B135)</f>
        <v/>
      </c>
      <c r="D135" s="152" t="str">
        <f>IF($B135="","",IF(TRIM('UX Weekly'!C135)="","(No theme assigned)",TRIM('UX Weekly'!C135)))</f>
        <v/>
      </c>
      <c r="E135" s="152" t="str">
        <f>IF($B135="","",TRIM('UX Weekly'!F135))</f>
        <v/>
      </c>
      <c r="F135" s="152" t="str">
        <f>IF($B135="","",'UX Weekly'!G135)</f>
        <v/>
      </c>
      <c r="G135" s="153" t="str">
        <f t="array" ref="G135">IF($B135="","",IF($T135=0,"",IFERROR(MIN(IF('UX Weekly'!$H135:$CT135&lt;&gt;"",'UX Weekly'!$H$1:$CT$1)),"")))</f>
        <v/>
      </c>
      <c r="H135" s="153" t="str">
        <f t="array" ref="H135">IF($B135="","",IF($T135=0,"",IFERROR(MAX(IF('UX Weekly'!$H135:$CT135&lt;&gt;"",'UX Weekly'!$H$1:$CT$1)),"")))</f>
        <v/>
      </c>
      <c r="I135" s="154" t="str">
        <f t="shared" ca="1" si="28"/>
        <v/>
      </c>
      <c r="J135" s="154" t="str">
        <f t="shared" ca="1" si="29"/>
        <v/>
      </c>
      <c r="K135" s="152" t="str">
        <f>IF($B135="","",IF(COUNTA('Dev Tracker'!L135)=0,"",TRIM('Dev Tracker'!L135)))</f>
        <v/>
      </c>
      <c r="L135" s="152" t="str">
        <f>IF($B135="","",IFERROR(MATCH($D135,Control!$E$4:$E$30,0),99))</f>
        <v/>
      </c>
      <c r="M135" s="152" t="str">
        <f>IF($B135="","",IFERROR(MATCH($F135,Control!$B$4:$B$30,0),99))</f>
        <v/>
      </c>
      <c r="N135" s="152" t="str">
        <f>IF($V135&lt;&gt;1,"",IF('Roadmap (Auto)'!$D$3="Status, then Theme",$M135*1000000+$L135*10000+ROW(),IF('Roadmap (Auto)'!$D$3="Dev start (earliest)",IF($I135="",99999999,$I135)*10000+ROW(),IF('Roadmap (Auto)'!$D$3="UX start (earliest)",IF($G135="",99999999,$G135)*10000+ROW(),IF('Roadmap (Auto)'!$D$3="Deliverable A-Z",$W135*10000+ROW(),$L135*1000000+$M135*10000+ROW())))))</f>
        <v/>
      </c>
      <c r="O135" s="152" t="str">
        <f t="shared" si="30"/>
        <v/>
      </c>
      <c r="P135" s="152" t="str">
        <f>IF($B135="","",IF(COUNTA('Dev Tracker'!I135)=0,"",'Dev Tracker'!I135))</f>
        <v/>
      </c>
      <c r="Q135" s="152" t="str">
        <f>IF($B135="","",IF(COUNTA('Dev Tracker'!J135)=0,"",'Dev Tracker'!J135))</f>
        <v/>
      </c>
      <c r="R135" s="154" t="str">
        <f t="shared" ca="1" si="31"/>
        <v/>
      </c>
      <c r="S135" s="154" t="str">
        <f t="shared" ca="1" si="32"/>
        <v/>
      </c>
      <c r="T135" s="152" t="str">
        <f>IF($B135="","",COUNTA('UX Weekly'!$H135:$CT135))</f>
        <v/>
      </c>
      <c r="U135" s="152" t="str">
        <f>IF($B135="","",IFERROR(MATCH($D135,Control!$E$4:$E$30,0)+3,0))</f>
        <v/>
      </c>
      <c r="V135" s="152" t="str">
        <f>IF($B135="","",IF(AND(OR('Roadmap (Auto)'!$A$3="",'Roadmap (Auto)'!$A$3="(All)",ISNUMBER(SEARCH('Roadmap (Auto)'!$A$3,$C135&amp;""))),OR('Roadmap (Auto)'!$B$3="",'Roadmap (Auto)'!$B$3="(All)",$D135='Roadmap (Auto)'!$B$3,$X135='Roadmap (Auto)'!$B$3),OR('Roadmap (Auto)'!$C$3="",'Roadmap (Auto)'!$C$3="(All)",$F135='Roadmap (Auto)'!$C$3)),1,0))</f>
        <v/>
      </c>
      <c r="W135" s="152" t="str">
        <f t="shared" si="33"/>
        <v/>
      </c>
      <c r="X135" s="152" t="str">
        <f>IF($B135="","",IF(TRIM('UX Weekly'!D135)="","",TRIM('UX Weekly'!D135)))</f>
        <v/>
      </c>
      <c r="Y135" s="152" t="str">
        <f t="shared" si="34"/>
        <v/>
      </c>
      <c r="AA135">
        <f>IF($B135="",0,COUNTIFS('UX Weekly'!$H$1:$CT$1,"&gt;="&amp;AA$1,'UX Weekly'!$H$1:$CT$1,"&lt;="&amp;EOMONTH(AA$1,0),'UX Weekly'!$H135:$CT135,"&lt;&gt;"))</f>
        <v>0</v>
      </c>
      <c r="AB135">
        <f>IF($B135="",0,COUNTIFS('UX Weekly'!$H$1:$CT$1,"&gt;="&amp;AB$1,'UX Weekly'!$H$1:$CT$1,"&lt;="&amp;EOMONTH(AB$1,0),'UX Weekly'!$H135:$CT135,"&lt;&gt;"))</f>
        <v>0</v>
      </c>
      <c r="AC135">
        <f>IF($B135="",0,COUNTIFS('UX Weekly'!$H$1:$CT$1,"&gt;="&amp;AC$1,'UX Weekly'!$H$1:$CT$1,"&lt;="&amp;EOMONTH(AC$1,0),'UX Weekly'!$H135:$CT135,"&lt;&gt;"))</f>
        <v>0</v>
      </c>
      <c r="AD135">
        <f>IF($B135="",0,COUNTIFS('UX Weekly'!$H$1:$CT$1,"&gt;="&amp;AD$1,'UX Weekly'!$H$1:$CT$1,"&lt;="&amp;EOMONTH(AD$1,0),'UX Weekly'!$H135:$CT135,"&lt;&gt;"))</f>
        <v>0</v>
      </c>
      <c r="AE135">
        <f>IF($B135="",0,COUNTIFS('UX Weekly'!$H$1:$CT$1,"&gt;="&amp;AE$1,'UX Weekly'!$H$1:$CT$1,"&lt;="&amp;EOMONTH(AE$1,0),'UX Weekly'!$H135:$CT135,"&lt;&gt;"))</f>
        <v>0</v>
      </c>
      <c r="AF135">
        <f>IF($B135="",0,COUNTIFS('UX Weekly'!$H$1:$CT$1,"&gt;="&amp;AF$1,'UX Weekly'!$H$1:$CT$1,"&lt;="&amp;EOMONTH(AF$1,0),'UX Weekly'!$H135:$CT135,"&lt;&gt;"))</f>
        <v>0</v>
      </c>
      <c r="AG135">
        <f>IF($B135="",0,COUNTIFS('UX Weekly'!$H$1:$CT$1,"&gt;="&amp;AG$1,'UX Weekly'!$H$1:$CT$1,"&lt;="&amp;EOMONTH(AG$1,0),'UX Weekly'!$H135:$CT135,"&lt;&gt;"))</f>
        <v>0</v>
      </c>
      <c r="AH135">
        <f>IF($B135="",0,COUNTIFS('UX Weekly'!$H$1:$CT$1,"&gt;="&amp;AH$1,'UX Weekly'!$H$1:$CT$1,"&lt;="&amp;EOMONTH(AH$1,0),'UX Weekly'!$H135:$CT135,"&lt;&gt;"))</f>
        <v>0</v>
      </c>
      <c r="AI135">
        <f>IF($B135="",0,COUNTIFS('UX Weekly'!$H$1:$CT$1,"&gt;="&amp;AI$1,'UX Weekly'!$H$1:$CT$1,"&lt;="&amp;EOMONTH(AI$1,0),'UX Weekly'!$H135:$CT135,"&lt;&gt;"))</f>
        <v>0</v>
      </c>
      <c r="AJ135">
        <f>IF($B135="",0,COUNTIFS('UX Weekly'!$H$1:$CT$1,"&gt;="&amp;AJ$1,'UX Weekly'!$H$1:$CT$1,"&lt;="&amp;EOMONTH(AJ$1,0),'UX Weekly'!$H135:$CT135,"&lt;&gt;"))</f>
        <v>0</v>
      </c>
      <c r="AK135">
        <f>IF($B135="",0,COUNTIFS('UX Weekly'!$H$1:$CT$1,"&gt;="&amp;AK$1,'UX Weekly'!$H$1:$CT$1,"&lt;="&amp;EOMONTH(AK$1,0),'UX Weekly'!$H135:$CT135,"&lt;&gt;"))</f>
        <v>0</v>
      </c>
      <c r="AL135">
        <f>IF($B135="",0,COUNTIFS('UX Weekly'!$H$1:$CT$1,"&gt;="&amp;AL$1,'UX Weekly'!$H$1:$CT$1,"&lt;="&amp;EOMONTH(AL$1,0),'UX Weekly'!$H135:$CT135,"&lt;&gt;"))</f>
        <v>0</v>
      </c>
      <c r="AM135">
        <f>IF($B135="",0,COUNTIFS('UX Weekly'!$H$1:$CT$1,"&gt;="&amp;AM$1,'UX Weekly'!$H$1:$CT$1,"&lt;="&amp;EOMONTH(AM$1,0),'UX Weekly'!$H135:$CT135,"&lt;&gt;"))</f>
        <v>0</v>
      </c>
      <c r="AN135">
        <f>IF($B135="",0,COUNTIFS('UX Weekly'!$H$1:$CT$1,"&gt;="&amp;AN$1,'UX Weekly'!$H$1:$CT$1,"&lt;="&amp;EOMONTH(AN$1,0),'UX Weekly'!$H135:$CT135,"&lt;&gt;"))</f>
        <v>0</v>
      </c>
      <c r="AO135">
        <f>IF($B135="",0,COUNTIFS('UX Weekly'!$H$1:$CT$1,"&gt;="&amp;AO$1,'UX Weekly'!$H$1:$CT$1,"&lt;="&amp;EOMONTH(AO$1,0),'UX Weekly'!$H135:$CT135,"&lt;&gt;"))</f>
        <v>0</v>
      </c>
      <c r="AP135">
        <f>IF($B135="",0,COUNTIFS('UX Weekly'!$H$1:$CT$1,"&gt;="&amp;AP$1,'UX Weekly'!$H$1:$CT$1,"&lt;="&amp;EOMONTH(AP$1,0),'UX Weekly'!$H135:$CT135,"&lt;&gt;"))</f>
        <v>0</v>
      </c>
      <c r="AQ135">
        <f>IF($B135="",0,COUNTIFS('UX Weekly'!$H$1:$CT$1,"&gt;="&amp;AQ$1,'UX Weekly'!$H$1:$CT$1,"&lt;="&amp;EOMONTH(AQ$1,0),'UX Weekly'!$H135:$CT135,"&lt;&gt;"))</f>
        <v>0</v>
      </c>
      <c r="AR135">
        <f>IF($B135="",0,COUNTIFS('UX Weekly'!$H$1:$CT$1,"&gt;="&amp;AR$1,'UX Weekly'!$H$1:$CT$1,"&lt;="&amp;EOMONTH(AR$1,0),'UX Weekly'!$H135:$CT135,"&lt;&gt;"))</f>
        <v>0</v>
      </c>
      <c r="AS135">
        <f>IF($B135="",0,COUNTIFS('UX Weekly'!$H$1:$CT$1,"&gt;="&amp;AS$1,'UX Weekly'!$H$1:$CT$1,"&lt;="&amp;EOMONTH(AS$1,0),'UX Weekly'!$H135:$CT135,"&lt;&gt;"))</f>
        <v>0</v>
      </c>
      <c r="AT135">
        <f>IF($B135="",0,COUNTIFS('UX Weekly'!$H$1:$CT$1,"&gt;="&amp;AT$1,'UX Weekly'!$H$1:$CT$1,"&lt;="&amp;EOMONTH(AT$1,0),'UX Weekly'!$H135:$CT135,"&lt;&gt;"))</f>
        <v>0</v>
      </c>
      <c r="AU135">
        <f>IF($B135="",0,COUNTIFS('UX Weekly'!$H$1:$CT$1,"&gt;="&amp;AU$1,'UX Weekly'!$H$1:$CT$1,"&lt;="&amp;EOMONTH(AU$1,0),'UX Weekly'!$H135:$CT135,"&lt;&gt;"))</f>
        <v>0</v>
      </c>
      <c r="AV135">
        <f>IF($B135="",0,COUNTIFS('UX Weekly'!$H$1:$CT$1,"&gt;="&amp;AV$1,'UX Weekly'!$H$1:$CT$1,"&lt;="&amp;EOMONTH(AV$1,0),'UX Weekly'!$H135:$CT135,"&lt;&gt;"))</f>
        <v>0</v>
      </c>
      <c r="AW135">
        <f>IF($B135="",0,COUNTIFS('UX Weekly'!$H$1:$CT$1,"&gt;="&amp;AW$1,'UX Weekly'!$H$1:$CT$1,"&lt;="&amp;EOMONTH(AW$1,0),'UX Weekly'!$H135:$CT135,"&lt;&gt;"))</f>
        <v>0</v>
      </c>
      <c r="AX135">
        <f>IF($B135="",0,COUNTIFS('UX Weekly'!$H$1:$CT$1,"&gt;="&amp;AX$1,'UX Weekly'!$H$1:$CT$1,"&lt;="&amp;EOMONTH(AX$1,0),'UX Weekly'!$H135:$CT135,"&lt;&gt;"))</f>
        <v>0</v>
      </c>
    </row>
    <row r="136" spans="1:50" x14ac:dyDescent="0.2">
      <c r="A136" s="152">
        <v>136</v>
      </c>
      <c r="B136" s="152" t="str">
        <f>IF(TRIM('UX Weekly'!E136)="","",TRIM('UX Weekly'!E136))</f>
        <v/>
      </c>
      <c r="C136" s="152" t="str">
        <f>IF($B136="","",'UX Weekly'!B136)</f>
        <v/>
      </c>
      <c r="D136" s="152" t="str">
        <f>IF($B136="","",IF(TRIM('UX Weekly'!C136)="","(No theme assigned)",TRIM('UX Weekly'!C136)))</f>
        <v/>
      </c>
      <c r="E136" s="152" t="str">
        <f>IF($B136="","",TRIM('UX Weekly'!F136))</f>
        <v/>
      </c>
      <c r="F136" s="152" t="str">
        <f>IF($B136="","",'UX Weekly'!G136)</f>
        <v/>
      </c>
      <c r="G136" s="153" t="str">
        <f t="array" ref="G136">IF($B136="","",IF($T136=0,"",IFERROR(MIN(IF('UX Weekly'!$H136:$CT136&lt;&gt;"",'UX Weekly'!$H$1:$CT$1)),"")))</f>
        <v/>
      </c>
      <c r="H136" s="153" t="str">
        <f t="array" ref="H136">IF($B136="","",IF($T136=0,"",IFERROR(MAX(IF('UX Weekly'!$H136:$CT136&lt;&gt;"",'UX Weekly'!$H$1:$CT$1)),"")))</f>
        <v/>
      </c>
      <c r="I136" s="154" t="str">
        <f t="shared" ca="1" si="28"/>
        <v/>
      </c>
      <c r="J136" s="154" t="str">
        <f t="shared" ca="1" si="29"/>
        <v/>
      </c>
      <c r="K136" s="152" t="str">
        <f>IF($B136="","",IF(COUNTA('Dev Tracker'!L136)=0,"",TRIM('Dev Tracker'!L136)))</f>
        <v/>
      </c>
      <c r="L136" s="152" t="str">
        <f>IF($B136="","",IFERROR(MATCH($D136,Control!$E$4:$E$30,0),99))</f>
        <v/>
      </c>
      <c r="M136" s="152" t="str">
        <f>IF($B136="","",IFERROR(MATCH($F136,Control!$B$4:$B$30,0),99))</f>
        <v/>
      </c>
      <c r="N136" s="152" t="str">
        <f>IF($V136&lt;&gt;1,"",IF('Roadmap (Auto)'!$D$3="Status, then Theme",$M136*1000000+$L136*10000+ROW(),IF('Roadmap (Auto)'!$D$3="Dev start (earliest)",IF($I136="",99999999,$I136)*10000+ROW(),IF('Roadmap (Auto)'!$D$3="UX start (earliest)",IF($G136="",99999999,$G136)*10000+ROW(),IF('Roadmap (Auto)'!$D$3="Deliverable A-Z",$W136*10000+ROW(),$L136*1000000+$M136*10000+ROW())))))</f>
        <v/>
      </c>
      <c r="O136" s="152" t="str">
        <f t="shared" si="30"/>
        <v/>
      </c>
      <c r="P136" s="152" t="str">
        <f>IF($B136="","",IF(COUNTA('Dev Tracker'!I136)=0,"",'Dev Tracker'!I136))</f>
        <v/>
      </c>
      <c r="Q136" s="152" t="str">
        <f>IF($B136="","",IF(COUNTA('Dev Tracker'!J136)=0,"",'Dev Tracker'!J136))</f>
        <v/>
      </c>
      <c r="R136" s="154" t="str">
        <f t="shared" ca="1" si="31"/>
        <v/>
      </c>
      <c r="S136" s="154" t="str">
        <f t="shared" ca="1" si="32"/>
        <v/>
      </c>
      <c r="T136" s="152" t="str">
        <f>IF($B136="","",COUNTA('UX Weekly'!$H136:$CT136))</f>
        <v/>
      </c>
      <c r="U136" s="152" t="str">
        <f>IF($B136="","",IFERROR(MATCH($D136,Control!$E$4:$E$30,0)+3,0))</f>
        <v/>
      </c>
      <c r="V136" s="152" t="str">
        <f>IF($B136="","",IF(AND(OR('Roadmap (Auto)'!$A$3="",'Roadmap (Auto)'!$A$3="(All)",ISNUMBER(SEARCH('Roadmap (Auto)'!$A$3,$C136&amp;""))),OR('Roadmap (Auto)'!$B$3="",'Roadmap (Auto)'!$B$3="(All)",$D136='Roadmap (Auto)'!$B$3,$X136='Roadmap (Auto)'!$B$3),OR('Roadmap (Auto)'!$C$3="",'Roadmap (Auto)'!$C$3="(All)",$F136='Roadmap (Auto)'!$C$3)),1,0))</f>
        <v/>
      </c>
      <c r="W136" s="152" t="str">
        <f t="shared" si="33"/>
        <v/>
      </c>
      <c r="X136" s="152" t="str">
        <f>IF($B136="","",IF(TRIM('UX Weekly'!D136)="","",TRIM('UX Weekly'!D136)))</f>
        <v/>
      </c>
      <c r="Y136" s="152" t="str">
        <f t="shared" si="34"/>
        <v/>
      </c>
      <c r="AA136">
        <f>IF($B136="",0,COUNTIFS('UX Weekly'!$H$1:$CT$1,"&gt;="&amp;AA$1,'UX Weekly'!$H$1:$CT$1,"&lt;="&amp;EOMONTH(AA$1,0),'UX Weekly'!$H136:$CT136,"&lt;&gt;"))</f>
        <v>0</v>
      </c>
      <c r="AB136">
        <f>IF($B136="",0,COUNTIFS('UX Weekly'!$H$1:$CT$1,"&gt;="&amp;AB$1,'UX Weekly'!$H$1:$CT$1,"&lt;="&amp;EOMONTH(AB$1,0),'UX Weekly'!$H136:$CT136,"&lt;&gt;"))</f>
        <v>0</v>
      </c>
      <c r="AC136">
        <f>IF($B136="",0,COUNTIFS('UX Weekly'!$H$1:$CT$1,"&gt;="&amp;AC$1,'UX Weekly'!$H$1:$CT$1,"&lt;="&amp;EOMONTH(AC$1,0),'UX Weekly'!$H136:$CT136,"&lt;&gt;"))</f>
        <v>0</v>
      </c>
      <c r="AD136">
        <f>IF($B136="",0,COUNTIFS('UX Weekly'!$H$1:$CT$1,"&gt;="&amp;AD$1,'UX Weekly'!$H$1:$CT$1,"&lt;="&amp;EOMONTH(AD$1,0),'UX Weekly'!$H136:$CT136,"&lt;&gt;"))</f>
        <v>0</v>
      </c>
      <c r="AE136">
        <f>IF($B136="",0,COUNTIFS('UX Weekly'!$H$1:$CT$1,"&gt;="&amp;AE$1,'UX Weekly'!$H$1:$CT$1,"&lt;="&amp;EOMONTH(AE$1,0),'UX Weekly'!$H136:$CT136,"&lt;&gt;"))</f>
        <v>0</v>
      </c>
      <c r="AF136">
        <f>IF($B136="",0,COUNTIFS('UX Weekly'!$H$1:$CT$1,"&gt;="&amp;AF$1,'UX Weekly'!$H$1:$CT$1,"&lt;="&amp;EOMONTH(AF$1,0),'UX Weekly'!$H136:$CT136,"&lt;&gt;"))</f>
        <v>0</v>
      </c>
      <c r="AG136">
        <f>IF($B136="",0,COUNTIFS('UX Weekly'!$H$1:$CT$1,"&gt;="&amp;AG$1,'UX Weekly'!$H$1:$CT$1,"&lt;="&amp;EOMONTH(AG$1,0),'UX Weekly'!$H136:$CT136,"&lt;&gt;"))</f>
        <v>0</v>
      </c>
      <c r="AH136">
        <f>IF($B136="",0,COUNTIFS('UX Weekly'!$H$1:$CT$1,"&gt;="&amp;AH$1,'UX Weekly'!$H$1:$CT$1,"&lt;="&amp;EOMONTH(AH$1,0),'UX Weekly'!$H136:$CT136,"&lt;&gt;"))</f>
        <v>0</v>
      </c>
      <c r="AI136">
        <f>IF($B136="",0,COUNTIFS('UX Weekly'!$H$1:$CT$1,"&gt;="&amp;AI$1,'UX Weekly'!$H$1:$CT$1,"&lt;="&amp;EOMONTH(AI$1,0),'UX Weekly'!$H136:$CT136,"&lt;&gt;"))</f>
        <v>0</v>
      </c>
      <c r="AJ136">
        <f>IF($B136="",0,COUNTIFS('UX Weekly'!$H$1:$CT$1,"&gt;="&amp;AJ$1,'UX Weekly'!$H$1:$CT$1,"&lt;="&amp;EOMONTH(AJ$1,0),'UX Weekly'!$H136:$CT136,"&lt;&gt;"))</f>
        <v>0</v>
      </c>
      <c r="AK136">
        <f>IF($B136="",0,COUNTIFS('UX Weekly'!$H$1:$CT$1,"&gt;="&amp;AK$1,'UX Weekly'!$H$1:$CT$1,"&lt;="&amp;EOMONTH(AK$1,0),'UX Weekly'!$H136:$CT136,"&lt;&gt;"))</f>
        <v>0</v>
      </c>
      <c r="AL136">
        <f>IF($B136="",0,COUNTIFS('UX Weekly'!$H$1:$CT$1,"&gt;="&amp;AL$1,'UX Weekly'!$H$1:$CT$1,"&lt;="&amp;EOMONTH(AL$1,0),'UX Weekly'!$H136:$CT136,"&lt;&gt;"))</f>
        <v>0</v>
      </c>
      <c r="AM136">
        <f>IF($B136="",0,COUNTIFS('UX Weekly'!$H$1:$CT$1,"&gt;="&amp;AM$1,'UX Weekly'!$H$1:$CT$1,"&lt;="&amp;EOMONTH(AM$1,0),'UX Weekly'!$H136:$CT136,"&lt;&gt;"))</f>
        <v>0</v>
      </c>
      <c r="AN136">
        <f>IF($B136="",0,COUNTIFS('UX Weekly'!$H$1:$CT$1,"&gt;="&amp;AN$1,'UX Weekly'!$H$1:$CT$1,"&lt;="&amp;EOMONTH(AN$1,0),'UX Weekly'!$H136:$CT136,"&lt;&gt;"))</f>
        <v>0</v>
      </c>
      <c r="AO136">
        <f>IF($B136="",0,COUNTIFS('UX Weekly'!$H$1:$CT$1,"&gt;="&amp;AO$1,'UX Weekly'!$H$1:$CT$1,"&lt;="&amp;EOMONTH(AO$1,0),'UX Weekly'!$H136:$CT136,"&lt;&gt;"))</f>
        <v>0</v>
      </c>
      <c r="AP136">
        <f>IF($B136="",0,COUNTIFS('UX Weekly'!$H$1:$CT$1,"&gt;="&amp;AP$1,'UX Weekly'!$H$1:$CT$1,"&lt;="&amp;EOMONTH(AP$1,0),'UX Weekly'!$H136:$CT136,"&lt;&gt;"))</f>
        <v>0</v>
      </c>
      <c r="AQ136">
        <f>IF($B136="",0,COUNTIFS('UX Weekly'!$H$1:$CT$1,"&gt;="&amp;AQ$1,'UX Weekly'!$H$1:$CT$1,"&lt;="&amp;EOMONTH(AQ$1,0),'UX Weekly'!$H136:$CT136,"&lt;&gt;"))</f>
        <v>0</v>
      </c>
      <c r="AR136">
        <f>IF($B136="",0,COUNTIFS('UX Weekly'!$H$1:$CT$1,"&gt;="&amp;AR$1,'UX Weekly'!$H$1:$CT$1,"&lt;="&amp;EOMONTH(AR$1,0),'UX Weekly'!$H136:$CT136,"&lt;&gt;"))</f>
        <v>0</v>
      </c>
      <c r="AS136">
        <f>IF($B136="",0,COUNTIFS('UX Weekly'!$H$1:$CT$1,"&gt;="&amp;AS$1,'UX Weekly'!$H$1:$CT$1,"&lt;="&amp;EOMONTH(AS$1,0),'UX Weekly'!$H136:$CT136,"&lt;&gt;"))</f>
        <v>0</v>
      </c>
      <c r="AT136">
        <f>IF($B136="",0,COUNTIFS('UX Weekly'!$H$1:$CT$1,"&gt;="&amp;AT$1,'UX Weekly'!$H$1:$CT$1,"&lt;="&amp;EOMONTH(AT$1,0),'UX Weekly'!$H136:$CT136,"&lt;&gt;"))</f>
        <v>0</v>
      </c>
      <c r="AU136">
        <f>IF($B136="",0,COUNTIFS('UX Weekly'!$H$1:$CT$1,"&gt;="&amp;AU$1,'UX Weekly'!$H$1:$CT$1,"&lt;="&amp;EOMONTH(AU$1,0),'UX Weekly'!$H136:$CT136,"&lt;&gt;"))</f>
        <v>0</v>
      </c>
      <c r="AV136">
        <f>IF($B136="",0,COUNTIFS('UX Weekly'!$H$1:$CT$1,"&gt;="&amp;AV$1,'UX Weekly'!$H$1:$CT$1,"&lt;="&amp;EOMONTH(AV$1,0),'UX Weekly'!$H136:$CT136,"&lt;&gt;"))</f>
        <v>0</v>
      </c>
      <c r="AW136">
        <f>IF($B136="",0,COUNTIFS('UX Weekly'!$H$1:$CT$1,"&gt;="&amp;AW$1,'UX Weekly'!$H$1:$CT$1,"&lt;="&amp;EOMONTH(AW$1,0),'UX Weekly'!$H136:$CT136,"&lt;&gt;"))</f>
        <v>0</v>
      </c>
      <c r="AX136">
        <f>IF($B136="",0,COUNTIFS('UX Weekly'!$H$1:$CT$1,"&gt;="&amp;AX$1,'UX Weekly'!$H$1:$CT$1,"&lt;="&amp;EOMONTH(AX$1,0),'UX Weekly'!$H136:$CT136,"&lt;&gt;"))</f>
        <v>0</v>
      </c>
    </row>
    <row r="137" spans="1:50" x14ac:dyDescent="0.2">
      <c r="A137" s="152">
        <v>137</v>
      </c>
      <c r="B137" s="152" t="str">
        <f>IF(TRIM('UX Weekly'!E137)="","",TRIM('UX Weekly'!E137))</f>
        <v/>
      </c>
      <c r="C137" s="152" t="str">
        <f>IF($B137="","",'UX Weekly'!B137)</f>
        <v/>
      </c>
      <c r="D137" s="152" t="str">
        <f>IF($B137="","",IF(TRIM('UX Weekly'!C137)="","(No theme assigned)",TRIM('UX Weekly'!C137)))</f>
        <v/>
      </c>
      <c r="E137" s="152" t="str">
        <f>IF($B137="","",TRIM('UX Weekly'!F137))</f>
        <v/>
      </c>
      <c r="F137" s="152" t="str">
        <f>IF($B137="","",'UX Weekly'!G137)</f>
        <v/>
      </c>
      <c r="G137" s="153" t="str">
        <f t="array" ref="G137">IF($B137="","",IF($T137=0,"",IFERROR(MIN(IF('UX Weekly'!$H137:$CT137&lt;&gt;"",'UX Weekly'!$H$1:$CT$1)),"")))</f>
        <v/>
      </c>
      <c r="H137" s="153" t="str">
        <f t="array" ref="H137">IF($B137="","",IF($T137=0,"",IFERROR(MAX(IF('UX Weekly'!$H137:$CT137&lt;&gt;"",'UX Weekly'!$H$1:$CT$1)),"")))</f>
        <v/>
      </c>
      <c r="I137" s="154" t="str">
        <f t="shared" ca="1" si="28"/>
        <v/>
      </c>
      <c r="J137" s="154" t="str">
        <f t="shared" ca="1" si="29"/>
        <v/>
      </c>
      <c r="K137" s="152" t="str">
        <f>IF($B137="","",IF(COUNTA('Dev Tracker'!L137)=0,"",TRIM('Dev Tracker'!L137)))</f>
        <v/>
      </c>
      <c r="L137" s="152" t="str">
        <f>IF($B137="","",IFERROR(MATCH($D137,Control!$E$4:$E$30,0),99))</f>
        <v/>
      </c>
      <c r="M137" s="152" t="str">
        <f>IF($B137="","",IFERROR(MATCH($F137,Control!$B$4:$B$30,0),99))</f>
        <v/>
      </c>
      <c r="N137" s="152" t="str">
        <f>IF($V137&lt;&gt;1,"",IF('Roadmap (Auto)'!$D$3="Status, then Theme",$M137*1000000+$L137*10000+ROW(),IF('Roadmap (Auto)'!$D$3="Dev start (earliest)",IF($I137="",99999999,$I137)*10000+ROW(),IF('Roadmap (Auto)'!$D$3="UX start (earliest)",IF($G137="",99999999,$G137)*10000+ROW(),IF('Roadmap (Auto)'!$D$3="Deliverable A-Z",$W137*10000+ROW(),$L137*1000000+$M137*10000+ROW())))))</f>
        <v/>
      </c>
      <c r="O137" s="152" t="str">
        <f t="shared" si="30"/>
        <v/>
      </c>
      <c r="P137" s="152" t="str">
        <f>IF($B137="","",IF(COUNTA('Dev Tracker'!I137)=0,"",'Dev Tracker'!I137))</f>
        <v/>
      </c>
      <c r="Q137" s="152" t="str">
        <f>IF($B137="","",IF(COUNTA('Dev Tracker'!J137)=0,"",'Dev Tracker'!J137))</f>
        <v/>
      </c>
      <c r="R137" s="154" t="str">
        <f t="shared" ca="1" si="31"/>
        <v/>
      </c>
      <c r="S137" s="154" t="str">
        <f t="shared" ca="1" si="32"/>
        <v/>
      </c>
      <c r="T137" s="152" t="str">
        <f>IF($B137="","",COUNTA('UX Weekly'!$H137:$CT137))</f>
        <v/>
      </c>
      <c r="U137" s="152" t="str">
        <f>IF($B137="","",IFERROR(MATCH($D137,Control!$E$4:$E$30,0)+3,0))</f>
        <v/>
      </c>
      <c r="V137" s="152" t="str">
        <f>IF($B137="","",IF(AND(OR('Roadmap (Auto)'!$A$3="",'Roadmap (Auto)'!$A$3="(All)",ISNUMBER(SEARCH('Roadmap (Auto)'!$A$3,$C137&amp;""))),OR('Roadmap (Auto)'!$B$3="",'Roadmap (Auto)'!$B$3="(All)",$D137='Roadmap (Auto)'!$B$3,$X137='Roadmap (Auto)'!$B$3),OR('Roadmap (Auto)'!$C$3="",'Roadmap (Auto)'!$C$3="(All)",$F137='Roadmap (Auto)'!$C$3)),1,0))</f>
        <v/>
      </c>
      <c r="W137" s="152" t="str">
        <f t="shared" si="33"/>
        <v/>
      </c>
      <c r="X137" s="152" t="str">
        <f>IF($B137="","",IF(TRIM('UX Weekly'!D137)="","",TRIM('UX Weekly'!D137)))</f>
        <v/>
      </c>
      <c r="Y137" s="152" t="str">
        <f t="shared" si="34"/>
        <v/>
      </c>
      <c r="AA137">
        <f>IF($B137="",0,COUNTIFS('UX Weekly'!$H$1:$CT$1,"&gt;="&amp;AA$1,'UX Weekly'!$H$1:$CT$1,"&lt;="&amp;EOMONTH(AA$1,0),'UX Weekly'!$H137:$CT137,"&lt;&gt;"))</f>
        <v>0</v>
      </c>
      <c r="AB137">
        <f>IF($B137="",0,COUNTIFS('UX Weekly'!$H$1:$CT$1,"&gt;="&amp;AB$1,'UX Weekly'!$H$1:$CT$1,"&lt;="&amp;EOMONTH(AB$1,0),'UX Weekly'!$H137:$CT137,"&lt;&gt;"))</f>
        <v>0</v>
      </c>
      <c r="AC137">
        <f>IF($B137="",0,COUNTIFS('UX Weekly'!$H$1:$CT$1,"&gt;="&amp;AC$1,'UX Weekly'!$H$1:$CT$1,"&lt;="&amp;EOMONTH(AC$1,0),'UX Weekly'!$H137:$CT137,"&lt;&gt;"))</f>
        <v>0</v>
      </c>
      <c r="AD137">
        <f>IF($B137="",0,COUNTIFS('UX Weekly'!$H$1:$CT$1,"&gt;="&amp;AD$1,'UX Weekly'!$H$1:$CT$1,"&lt;="&amp;EOMONTH(AD$1,0),'UX Weekly'!$H137:$CT137,"&lt;&gt;"))</f>
        <v>0</v>
      </c>
      <c r="AE137">
        <f>IF($B137="",0,COUNTIFS('UX Weekly'!$H$1:$CT$1,"&gt;="&amp;AE$1,'UX Weekly'!$H$1:$CT$1,"&lt;="&amp;EOMONTH(AE$1,0),'UX Weekly'!$H137:$CT137,"&lt;&gt;"))</f>
        <v>0</v>
      </c>
      <c r="AF137">
        <f>IF($B137="",0,COUNTIFS('UX Weekly'!$H$1:$CT$1,"&gt;="&amp;AF$1,'UX Weekly'!$H$1:$CT$1,"&lt;="&amp;EOMONTH(AF$1,0),'UX Weekly'!$H137:$CT137,"&lt;&gt;"))</f>
        <v>0</v>
      </c>
      <c r="AG137">
        <f>IF($B137="",0,COUNTIFS('UX Weekly'!$H$1:$CT$1,"&gt;="&amp;AG$1,'UX Weekly'!$H$1:$CT$1,"&lt;="&amp;EOMONTH(AG$1,0),'UX Weekly'!$H137:$CT137,"&lt;&gt;"))</f>
        <v>0</v>
      </c>
      <c r="AH137">
        <f>IF($B137="",0,COUNTIFS('UX Weekly'!$H$1:$CT$1,"&gt;="&amp;AH$1,'UX Weekly'!$H$1:$CT$1,"&lt;="&amp;EOMONTH(AH$1,0),'UX Weekly'!$H137:$CT137,"&lt;&gt;"))</f>
        <v>0</v>
      </c>
      <c r="AI137">
        <f>IF($B137="",0,COUNTIFS('UX Weekly'!$H$1:$CT$1,"&gt;="&amp;AI$1,'UX Weekly'!$H$1:$CT$1,"&lt;="&amp;EOMONTH(AI$1,0),'UX Weekly'!$H137:$CT137,"&lt;&gt;"))</f>
        <v>0</v>
      </c>
      <c r="AJ137">
        <f>IF($B137="",0,COUNTIFS('UX Weekly'!$H$1:$CT$1,"&gt;="&amp;AJ$1,'UX Weekly'!$H$1:$CT$1,"&lt;="&amp;EOMONTH(AJ$1,0),'UX Weekly'!$H137:$CT137,"&lt;&gt;"))</f>
        <v>0</v>
      </c>
      <c r="AK137">
        <f>IF($B137="",0,COUNTIFS('UX Weekly'!$H$1:$CT$1,"&gt;="&amp;AK$1,'UX Weekly'!$H$1:$CT$1,"&lt;="&amp;EOMONTH(AK$1,0),'UX Weekly'!$H137:$CT137,"&lt;&gt;"))</f>
        <v>0</v>
      </c>
      <c r="AL137">
        <f>IF($B137="",0,COUNTIFS('UX Weekly'!$H$1:$CT$1,"&gt;="&amp;AL$1,'UX Weekly'!$H$1:$CT$1,"&lt;="&amp;EOMONTH(AL$1,0),'UX Weekly'!$H137:$CT137,"&lt;&gt;"))</f>
        <v>0</v>
      </c>
      <c r="AM137">
        <f>IF($B137="",0,COUNTIFS('UX Weekly'!$H$1:$CT$1,"&gt;="&amp;AM$1,'UX Weekly'!$H$1:$CT$1,"&lt;="&amp;EOMONTH(AM$1,0),'UX Weekly'!$H137:$CT137,"&lt;&gt;"))</f>
        <v>0</v>
      </c>
      <c r="AN137">
        <f>IF($B137="",0,COUNTIFS('UX Weekly'!$H$1:$CT$1,"&gt;="&amp;AN$1,'UX Weekly'!$H$1:$CT$1,"&lt;="&amp;EOMONTH(AN$1,0),'UX Weekly'!$H137:$CT137,"&lt;&gt;"))</f>
        <v>0</v>
      </c>
      <c r="AO137">
        <f>IF($B137="",0,COUNTIFS('UX Weekly'!$H$1:$CT$1,"&gt;="&amp;AO$1,'UX Weekly'!$H$1:$CT$1,"&lt;="&amp;EOMONTH(AO$1,0),'UX Weekly'!$H137:$CT137,"&lt;&gt;"))</f>
        <v>0</v>
      </c>
      <c r="AP137">
        <f>IF($B137="",0,COUNTIFS('UX Weekly'!$H$1:$CT$1,"&gt;="&amp;AP$1,'UX Weekly'!$H$1:$CT$1,"&lt;="&amp;EOMONTH(AP$1,0),'UX Weekly'!$H137:$CT137,"&lt;&gt;"))</f>
        <v>0</v>
      </c>
      <c r="AQ137">
        <f>IF($B137="",0,COUNTIFS('UX Weekly'!$H$1:$CT$1,"&gt;="&amp;AQ$1,'UX Weekly'!$H$1:$CT$1,"&lt;="&amp;EOMONTH(AQ$1,0),'UX Weekly'!$H137:$CT137,"&lt;&gt;"))</f>
        <v>0</v>
      </c>
      <c r="AR137">
        <f>IF($B137="",0,COUNTIFS('UX Weekly'!$H$1:$CT$1,"&gt;="&amp;AR$1,'UX Weekly'!$H$1:$CT$1,"&lt;="&amp;EOMONTH(AR$1,0),'UX Weekly'!$H137:$CT137,"&lt;&gt;"))</f>
        <v>0</v>
      </c>
      <c r="AS137">
        <f>IF($B137="",0,COUNTIFS('UX Weekly'!$H$1:$CT$1,"&gt;="&amp;AS$1,'UX Weekly'!$H$1:$CT$1,"&lt;="&amp;EOMONTH(AS$1,0),'UX Weekly'!$H137:$CT137,"&lt;&gt;"))</f>
        <v>0</v>
      </c>
      <c r="AT137">
        <f>IF($B137="",0,COUNTIFS('UX Weekly'!$H$1:$CT$1,"&gt;="&amp;AT$1,'UX Weekly'!$H$1:$CT$1,"&lt;="&amp;EOMONTH(AT$1,0),'UX Weekly'!$H137:$CT137,"&lt;&gt;"))</f>
        <v>0</v>
      </c>
      <c r="AU137">
        <f>IF($B137="",0,COUNTIFS('UX Weekly'!$H$1:$CT$1,"&gt;="&amp;AU$1,'UX Weekly'!$H$1:$CT$1,"&lt;="&amp;EOMONTH(AU$1,0),'UX Weekly'!$H137:$CT137,"&lt;&gt;"))</f>
        <v>0</v>
      </c>
      <c r="AV137">
        <f>IF($B137="",0,COUNTIFS('UX Weekly'!$H$1:$CT$1,"&gt;="&amp;AV$1,'UX Weekly'!$H$1:$CT$1,"&lt;="&amp;EOMONTH(AV$1,0),'UX Weekly'!$H137:$CT137,"&lt;&gt;"))</f>
        <v>0</v>
      </c>
      <c r="AW137">
        <f>IF($B137="",0,COUNTIFS('UX Weekly'!$H$1:$CT$1,"&gt;="&amp;AW$1,'UX Weekly'!$H$1:$CT$1,"&lt;="&amp;EOMONTH(AW$1,0),'UX Weekly'!$H137:$CT137,"&lt;&gt;"))</f>
        <v>0</v>
      </c>
      <c r="AX137">
        <f>IF($B137="",0,COUNTIFS('UX Weekly'!$H$1:$CT$1,"&gt;="&amp;AX$1,'UX Weekly'!$H$1:$CT$1,"&lt;="&amp;EOMONTH(AX$1,0),'UX Weekly'!$H137:$CT137,"&lt;&gt;"))</f>
        <v>0</v>
      </c>
    </row>
    <row r="138" spans="1:50" x14ac:dyDescent="0.2">
      <c r="A138" s="152">
        <v>138</v>
      </c>
      <c r="B138" s="152" t="str">
        <f>IF(TRIM('UX Weekly'!E138)="","",TRIM('UX Weekly'!E138))</f>
        <v/>
      </c>
      <c r="C138" s="152" t="str">
        <f>IF($B138="","",'UX Weekly'!B138)</f>
        <v/>
      </c>
      <c r="D138" s="152" t="str">
        <f>IF($B138="","",IF(TRIM('UX Weekly'!C138)="","(No theme assigned)",TRIM('UX Weekly'!C138)))</f>
        <v/>
      </c>
      <c r="E138" s="152" t="str">
        <f>IF($B138="","",TRIM('UX Weekly'!F138))</f>
        <v/>
      </c>
      <c r="F138" s="152" t="str">
        <f>IF($B138="","",'UX Weekly'!G138)</f>
        <v/>
      </c>
      <c r="G138" s="153" t="str">
        <f t="array" ref="G138">IF($B138="","",IF($T138=0,"",IFERROR(MIN(IF('UX Weekly'!$H138:$CT138&lt;&gt;"",'UX Weekly'!$H$1:$CT$1)),"")))</f>
        <v/>
      </c>
      <c r="H138" s="153" t="str">
        <f t="array" ref="H138">IF($B138="","",IF($T138=0,"",IFERROR(MAX(IF('UX Weekly'!$H138:$CT138&lt;&gt;"",'UX Weekly'!$H$1:$CT$1)),"")))</f>
        <v/>
      </c>
      <c r="I138" s="154" t="str">
        <f t="shared" ca="1" si="28"/>
        <v/>
      </c>
      <c r="J138" s="154" t="str">
        <f t="shared" ca="1" si="29"/>
        <v/>
      </c>
      <c r="K138" s="152" t="str">
        <f>IF($B138="","",IF(COUNTA('Dev Tracker'!L138)=0,"",TRIM('Dev Tracker'!L138)))</f>
        <v/>
      </c>
      <c r="L138" s="152" t="str">
        <f>IF($B138="","",IFERROR(MATCH($D138,Control!$E$4:$E$30,0),99))</f>
        <v/>
      </c>
      <c r="M138" s="152" t="str">
        <f>IF($B138="","",IFERROR(MATCH($F138,Control!$B$4:$B$30,0),99))</f>
        <v/>
      </c>
      <c r="N138" s="152" t="str">
        <f>IF($V138&lt;&gt;1,"",IF('Roadmap (Auto)'!$D$3="Status, then Theme",$M138*1000000+$L138*10000+ROW(),IF('Roadmap (Auto)'!$D$3="Dev start (earliest)",IF($I138="",99999999,$I138)*10000+ROW(),IF('Roadmap (Auto)'!$D$3="UX start (earliest)",IF($G138="",99999999,$G138)*10000+ROW(),IF('Roadmap (Auto)'!$D$3="Deliverable A-Z",$W138*10000+ROW(),$L138*1000000+$M138*10000+ROW())))))</f>
        <v/>
      </c>
      <c r="O138" s="152" t="str">
        <f t="shared" si="30"/>
        <v/>
      </c>
      <c r="P138" s="152" t="str">
        <f>IF($B138="","",IF(COUNTA('Dev Tracker'!I138)=0,"",'Dev Tracker'!I138))</f>
        <v/>
      </c>
      <c r="Q138" s="152" t="str">
        <f>IF($B138="","",IF(COUNTA('Dev Tracker'!J138)=0,"",'Dev Tracker'!J138))</f>
        <v/>
      </c>
      <c r="R138" s="154" t="str">
        <f t="shared" ca="1" si="31"/>
        <v/>
      </c>
      <c r="S138" s="154" t="str">
        <f t="shared" ca="1" si="32"/>
        <v/>
      </c>
      <c r="T138" s="152" t="str">
        <f>IF($B138="","",COUNTA('UX Weekly'!$H138:$CT138))</f>
        <v/>
      </c>
      <c r="U138" s="152" t="str">
        <f>IF($B138="","",IFERROR(MATCH($D138,Control!$E$4:$E$30,0)+3,0))</f>
        <v/>
      </c>
      <c r="V138" s="152" t="str">
        <f>IF($B138="","",IF(AND(OR('Roadmap (Auto)'!$A$3="",'Roadmap (Auto)'!$A$3="(All)",ISNUMBER(SEARCH('Roadmap (Auto)'!$A$3,$C138&amp;""))),OR('Roadmap (Auto)'!$B$3="",'Roadmap (Auto)'!$B$3="(All)",$D138='Roadmap (Auto)'!$B$3,$X138='Roadmap (Auto)'!$B$3),OR('Roadmap (Auto)'!$C$3="",'Roadmap (Auto)'!$C$3="(All)",$F138='Roadmap (Auto)'!$C$3)),1,0))</f>
        <v/>
      </c>
      <c r="W138" s="152" t="str">
        <f t="shared" si="33"/>
        <v/>
      </c>
      <c r="X138" s="152" t="str">
        <f>IF($B138="","",IF(TRIM('UX Weekly'!D138)="","",TRIM('UX Weekly'!D138)))</f>
        <v/>
      </c>
      <c r="Y138" s="152" t="str">
        <f t="shared" si="34"/>
        <v/>
      </c>
      <c r="AA138">
        <f>IF($B138="",0,COUNTIFS('UX Weekly'!$H$1:$CT$1,"&gt;="&amp;AA$1,'UX Weekly'!$H$1:$CT$1,"&lt;="&amp;EOMONTH(AA$1,0),'UX Weekly'!$H138:$CT138,"&lt;&gt;"))</f>
        <v>0</v>
      </c>
      <c r="AB138">
        <f>IF($B138="",0,COUNTIFS('UX Weekly'!$H$1:$CT$1,"&gt;="&amp;AB$1,'UX Weekly'!$H$1:$CT$1,"&lt;="&amp;EOMONTH(AB$1,0),'UX Weekly'!$H138:$CT138,"&lt;&gt;"))</f>
        <v>0</v>
      </c>
      <c r="AC138">
        <f>IF($B138="",0,COUNTIFS('UX Weekly'!$H$1:$CT$1,"&gt;="&amp;AC$1,'UX Weekly'!$H$1:$CT$1,"&lt;="&amp;EOMONTH(AC$1,0),'UX Weekly'!$H138:$CT138,"&lt;&gt;"))</f>
        <v>0</v>
      </c>
      <c r="AD138">
        <f>IF($B138="",0,COUNTIFS('UX Weekly'!$H$1:$CT$1,"&gt;="&amp;AD$1,'UX Weekly'!$H$1:$CT$1,"&lt;="&amp;EOMONTH(AD$1,0),'UX Weekly'!$H138:$CT138,"&lt;&gt;"))</f>
        <v>0</v>
      </c>
      <c r="AE138">
        <f>IF($B138="",0,COUNTIFS('UX Weekly'!$H$1:$CT$1,"&gt;="&amp;AE$1,'UX Weekly'!$H$1:$CT$1,"&lt;="&amp;EOMONTH(AE$1,0),'UX Weekly'!$H138:$CT138,"&lt;&gt;"))</f>
        <v>0</v>
      </c>
      <c r="AF138">
        <f>IF($B138="",0,COUNTIFS('UX Weekly'!$H$1:$CT$1,"&gt;="&amp;AF$1,'UX Weekly'!$H$1:$CT$1,"&lt;="&amp;EOMONTH(AF$1,0),'UX Weekly'!$H138:$CT138,"&lt;&gt;"))</f>
        <v>0</v>
      </c>
      <c r="AG138">
        <f>IF($B138="",0,COUNTIFS('UX Weekly'!$H$1:$CT$1,"&gt;="&amp;AG$1,'UX Weekly'!$H$1:$CT$1,"&lt;="&amp;EOMONTH(AG$1,0),'UX Weekly'!$H138:$CT138,"&lt;&gt;"))</f>
        <v>0</v>
      </c>
      <c r="AH138">
        <f>IF($B138="",0,COUNTIFS('UX Weekly'!$H$1:$CT$1,"&gt;="&amp;AH$1,'UX Weekly'!$H$1:$CT$1,"&lt;="&amp;EOMONTH(AH$1,0),'UX Weekly'!$H138:$CT138,"&lt;&gt;"))</f>
        <v>0</v>
      </c>
      <c r="AI138">
        <f>IF($B138="",0,COUNTIFS('UX Weekly'!$H$1:$CT$1,"&gt;="&amp;AI$1,'UX Weekly'!$H$1:$CT$1,"&lt;="&amp;EOMONTH(AI$1,0),'UX Weekly'!$H138:$CT138,"&lt;&gt;"))</f>
        <v>0</v>
      </c>
      <c r="AJ138">
        <f>IF($B138="",0,COUNTIFS('UX Weekly'!$H$1:$CT$1,"&gt;="&amp;AJ$1,'UX Weekly'!$H$1:$CT$1,"&lt;="&amp;EOMONTH(AJ$1,0),'UX Weekly'!$H138:$CT138,"&lt;&gt;"))</f>
        <v>0</v>
      </c>
      <c r="AK138">
        <f>IF($B138="",0,COUNTIFS('UX Weekly'!$H$1:$CT$1,"&gt;="&amp;AK$1,'UX Weekly'!$H$1:$CT$1,"&lt;="&amp;EOMONTH(AK$1,0),'UX Weekly'!$H138:$CT138,"&lt;&gt;"))</f>
        <v>0</v>
      </c>
      <c r="AL138">
        <f>IF($B138="",0,COUNTIFS('UX Weekly'!$H$1:$CT$1,"&gt;="&amp;AL$1,'UX Weekly'!$H$1:$CT$1,"&lt;="&amp;EOMONTH(AL$1,0),'UX Weekly'!$H138:$CT138,"&lt;&gt;"))</f>
        <v>0</v>
      </c>
      <c r="AM138">
        <f>IF($B138="",0,COUNTIFS('UX Weekly'!$H$1:$CT$1,"&gt;="&amp;AM$1,'UX Weekly'!$H$1:$CT$1,"&lt;="&amp;EOMONTH(AM$1,0),'UX Weekly'!$H138:$CT138,"&lt;&gt;"))</f>
        <v>0</v>
      </c>
      <c r="AN138">
        <f>IF($B138="",0,COUNTIFS('UX Weekly'!$H$1:$CT$1,"&gt;="&amp;AN$1,'UX Weekly'!$H$1:$CT$1,"&lt;="&amp;EOMONTH(AN$1,0),'UX Weekly'!$H138:$CT138,"&lt;&gt;"))</f>
        <v>0</v>
      </c>
      <c r="AO138">
        <f>IF($B138="",0,COUNTIFS('UX Weekly'!$H$1:$CT$1,"&gt;="&amp;AO$1,'UX Weekly'!$H$1:$CT$1,"&lt;="&amp;EOMONTH(AO$1,0),'UX Weekly'!$H138:$CT138,"&lt;&gt;"))</f>
        <v>0</v>
      </c>
      <c r="AP138">
        <f>IF($B138="",0,COUNTIFS('UX Weekly'!$H$1:$CT$1,"&gt;="&amp;AP$1,'UX Weekly'!$H$1:$CT$1,"&lt;="&amp;EOMONTH(AP$1,0),'UX Weekly'!$H138:$CT138,"&lt;&gt;"))</f>
        <v>0</v>
      </c>
      <c r="AQ138">
        <f>IF($B138="",0,COUNTIFS('UX Weekly'!$H$1:$CT$1,"&gt;="&amp;AQ$1,'UX Weekly'!$H$1:$CT$1,"&lt;="&amp;EOMONTH(AQ$1,0),'UX Weekly'!$H138:$CT138,"&lt;&gt;"))</f>
        <v>0</v>
      </c>
      <c r="AR138">
        <f>IF($B138="",0,COUNTIFS('UX Weekly'!$H$1:$CT$1,"&gt;="&amp;AR$1,'UX Weekly'!$H$1:$CT$1,"&lt;="&amp;EOMONTH(AR$1,0),'UX Weekly'!$H138:$CT138,"&lt;&gt;"))</f>
        <v>0</v>
      </c>
      <c r="AS138">
        <f>IF($B138="",0,COUNTIFS('UX Weekly'!$H$1:$CT$1,"&gt;="&amp;AS$1,'UX Weekly'!$H$1:$CT$1,"&lt;="&amp;EOMONTH(AS$1,0),'UX Weekly'!$H138:$CT138,"&lt;&gt;"))</f>
        <v>0</v>
      </c>
      <c r="AT138">
        <f>IF($B138="",0,COUNTIFS('UX Weekly'!$H$1:$CT$1,"&gt;="&amp;AT$1,'UX Weekly'!$H$1:$CT$1,"&lt;="&amp;EOMONTH(AT$1,0),'UX Weekly'!$H138:$CT138,"&lt;&gt;"))</f>
        <v>0</v>
      </c>
      <c r="AU138">
        <f>IF($B138="",0,COUNTIFS('UX Weekly'!$H$1:$CT$1,"&gt;="&amp;AU$1,'UX Weekly'!$H$1:$CT$1,"&lt;="&amp;EOMONTH(AU$1,0),'UX Weekly'!$H138:$CT138,"&lt;&gt;"))</f>
        <v>0</v>
      </c>
      <c r="AV138">
        <f>IF($B138="",0,COUNTIFS('UX Weekly'!$H$1:$CT$1,"&gt;="&amp;AV$1,'UX Weekly'!$H$1:$CT$1,"&lt;="&amp;EOMONTH(AV$1,0),'UX Weekly'!$H138:$CT138,"&lt;&gt;"))</f>
        <v>0</v>
      </c>
      <c r="AW138">
        <f>IF($B138="",0,COUNTIFS('UX Weekly'!$H$1:$CT$1,"&gt;="&amp;AW$1,'UX Weekly'!$H$1:$CT$1,"&lt;="&amp;EOMONTH(AW$1,0),'UX Weekly'!$H138:$CT138,"&lt;&gt;"))</f>
        <v>0</v>
      </c>
      <c r="AX138">
        <f>IF($B138="",0,COUNTIFS('UX Weekly'!$H$1:$CT$1,"&gt;="&amp;AX$1,'UX Weekly'!$H$1:$CT$1,"&lt;="&amp;EOMONTH(AX$1,0),'UX Weekly'!$H138:$CT138,"&lt;&gt;"))</f>
        <v>0</v>
      </c>
    </row>
    <row r="139" spans="1:50" x14ac:dyDescent="0.2">
      <c r="A139" s="152">
        <v>139</v>
      </c>
      <c r="B139" s="152" t="str">
        <f>IF(TRIM('UX Weekly'!E139)="","",TRIM('UX Weekly'!E139))</f>
        <v/>
      </c>
      <c r="C139" s="152" t="str">
        <f>IF($B139="","",'UX Weekly'!B139)</f>
        <v/>
      </c>
      <c r="D139" s="152" t="str">
        <f>IF($B139="","",IF(TRIM('UX Weekly'!C139)="","(No theme assigned)",TRIM('UX Weekly'!C139)))</f>
        <v/>
      </c>
      <c r="E139" s="152" t="str">
        <f>IF($B139="","",TRIM('UX Weekly'!F139))</f>
        <v/>
      </c>
      <c r="F139" s="152" t="str">
        <f>IF($B139="","",'UX Weekly'!G139)</f>
        <v/>
      </c>
      <c r="G139" s="153" t="str">
        <f t="array" ref="G139">IF($B139="","",IF($T139=0,"",IFERROR(MIN(IF('UX Weekly'!$H139:$CT139&lt;&gt;"",'UX Weekly'!$H$1:$CT$1)),"")))</f>
        <v/>
      </c>
      <c r="H139" s="153" t="str">
        <f t="array" ref="H139">IF($B139="","",IF($T139=0,"",IFERROR(MAX(IF('UX Weekly'!$H139:$CT139&lt;&gt;"",'UX Weekly'!$H$1:$CT$1)),"")))</f>
        <v/>
      </c>
      <c r="I139" s="154" t="str">
        <f t="shared" ca="1" si="28"/>
        <v/>
      </c>
      <c r="J139" s="154" t="str">
        <f t="shared" ca="1" si="29"/>
        <v/>
      </c>
      <c r="K139" s="152" t="str">
        <f>IF($B139="","",IF(COUNTA('Dev Tracker'!L139)=0,"",TRIM('Dev Tracker'!L139)))</f>
        <v/>
      </c>
      <c r="L139" s="152" t="str">
        <f>IF($B139="","",IFERROR(MATCH($D139,Control!$E$4:$E$30,0),99))</f>
        <v/>
      </c>
      <c r="M139" s="152" t="str">
        <f>IF($B139="","",IFERROR(MATCH($F139,Control!$B$4:$B$30,0),99))</f>
        <v/>
      </c>
      <c r="N139" s="152" t="str">
        <f>IF($V139&lt;&gt;1,"",IF('Roadmap (Auto)'!$D$3="Status, then Theme",$M139*1000000+$L139*10000+ROW(),IF('Roadmap (Auto)'!$D$3="Dev start (earliest)",IF($I139="",99999999,$I139)*10000+ROW(),IF('Roadmap (Auto)'!$D$3="UX start (earliest)",IF($G139="",99999999,$G139)*10000+ROW(),IF('Roadmap (Auto)'!$D$3="Deliverable A-Z",$W139*10000+ROW(),$L139*1000000+$M139*10000+ROW())))))</f>
        <v/>
      </c>
      <c r="O139" s="152" t="str">
        <f t="shared" si="30"/>
        <v/>
      </c>
      <c r="P139" s="152" t="str">
        <f>IF($B139="","",IF(COUNTA('Dev Tracker'!I139)=0,"",'Dev Tracker'!I139))</f>
        <v/>
      </c>
      <c r="Q139" s="152" t="str">
        <f>IF($B139="","",IF(COUNTA('Dev Tracker'!J139)=0,"",'Dev Tracker'!J139))</f>
        <v/>
      </c>
      <c r="R139" s="154" t="str">
        <f t="shared" ca="1" si="31"/>
        <v/>
      </c>
      <c r="S139" s="154" t="str">
        <f t="shared" ca="1" si="32"/>
        <v/>
      </c>
      <c r="T139" s="152" t="str">
        <f>IF($B139="","",COUNTA('UX Weekly'!$H139:$CT139))</f>
        <v/>
      </c>
      <c r="U139" s="152" t="str">
        <f>IF($B139="","",IFERROR(MATCH($D139,Control!$E$4:$E$30,0)+3,0))</f>
        <v/>
      </c>
      <c r="V139" s="152" t="str">
        <f>IF($B139="","",IF(AND(OR('Roadmap (Auto)'!$A$3="",'Roadmap (Auto)'!$A$3="(All)",ISNUMBER(SEARCH('Roadmap (Auto)'!$A$3,$C139&amp;""))),OR('Roadmap (Auto)'!$B$3="",'Roadmap (Auto)'!$B$3="(All)",$D139='Roadmap (Auto)'!$B$3,$X139='Roadmap (Auto)'!$B$3),OR('Roadmap (Auto)'!$C$3="",'Roadmap (Auto)'!$C$3="(All)",$F139='Roadmap (Auto)'!$C$3)),1,0))</f>
        <v/>
      </c>
      <c r="W139" s="152" t="str">
        <f t="shared" si="33"/>
        <v/>
      </c>
      <c r="X139" s="152" t="str">
        <f>IF($B139="","",IF(TRIM('UX Weekly'!D139)="","",TRIM('UX Weekly'!D139)))</f>
        <v/>
      </c>
      <c r="Y139" s="152" t="str">
        <f t="shared" si="34"/>
        <v/>
      </c>
      <c r="AA139">
        <f>IF($B139="",0,COUNTIFS('UX Weekly'!$H$1:$CT$1,"&gt;="&amp;AA$1,'UX Weekly'!$H$1:$CT$1,"&lt;="&amp;EOMONTH(AA$1,0),'UX Weekly'!$H139:$CT139,"&lt;&gt;"))</f>
        <v>0</v>
      </c>
      <c r="AB139">
        <f>IF($B139="",0,COUNTIFS('UX Weekly'!$H$1:$CT$1,"&gt;="&amp;AB$1,'UX Weekly'!$H$1:$CT$1,"&lt;="&amp;EOMONTH(AB$1,0),'UX Weekly'!$H139:$CT139,"&lt;&gt;"))</f>
        <v>0</v>
      </c>
      <c r="AC139">
        <f>IF($B139="",0,COUNTIFS('UX Weekly'!$H$1:$CT$1,"&gt;="&amp;AC$1,'UX Weekly'!$H$1:$CT$1,"&lt;="&amp;EOMONTH(AC$1,0),'UX Weekly'!$H139:$CT139,"&lt;&gt;"))</f>
        <v>0</v>
      </c>
      <c r="AD139">
        <f>IF($B139="",0,COUNTIFS('UX Weekly'!$H$1:$CT$1,"&gt;="&amp;AD$1,'UX Weekly'!$H$1:$CT$1,"&lt;="&amp;EOMONTH(AD$1,0),'UX Weekly'!$H139:$CT139,"&lt;&gt;"))</f>
        <v>0</v>
      </c>
      <c r="AE139">
        <f>IF($B139="",0,COUNTIFS('UX Weekly'!$H$1:$CT$1,"&gt;="&amp;AE$1,'UX Weekly'!$H$1:$CT$1,"&lt;="&amp;EOMONTH(AE$1,0),'UX Weekly'!$H139:$CT139,"&lt;&gt;"))</f>
        <v>0</v>
      </c>
      <c r="AF139">
        <f>IF($B139="",0,COUNTIFS('UX Weekly'!$H$1:$CT$1,"&gt;="&amp;AF$1,'UX Weekly'!$H$1:$CT$1,"&lt;="&amp;EOMONTH(AF$1,0),'UX Weekly'!$H139:$CT139,"&lt;&gt;"))</f>
        <v>0</v>
      </c>
      <c r="AG139">
        <f>IF($B139="",0,COUNTIFS('UX Weekly'!$H$1:$CT$1,"&gt;="&amp;AG$1,'UX Weekly'!$H$1:$CT$1,"&lt;="&amp;EOMONTH(AG$1,0),'UX Weekly'!$H139:$CT139,"&lt;&gt;"))</f>
        <v>0</v>
      </c>
      <c r="AH139">
        <f>IF($B139="",0,COUNTIFS('UX Weekly'!$H$1:$CT$1,"&gt;="&amp;AH$1,'UX Weekly'!$H$1:$CT$1,"&lt;="&amp;EOMONTH(AH$1,0),'UX Weekly'!$H139:$CT139,"&lt;&gt;"))</f>
        <v>0</v>
      </c>
      <c r="AI139">
        <f>IF($B139="",0,COUNTIFS('UX Weekly'!$H$1:$CT$1,"&gt;="&amp;AI$1,'UX Weekly'!$H$1:$CT$1,"&lt;="&amp;EOMONTH(AI$1,0),'UX Weekly'!$H139:$CT139,"&lt;&gt;"))</f>
        <v>0</v>
      </c>
      <c r="AJ139">
        <f>IF($B139="",0,COUNTIFS('UX Weekly'!$H$1:$CT$1,"&gt;="&amp;AJ$1,'UX Weekly'!$H$1:$CT$1,"&lt;="&amp;EOMONTH(AJ$1,0),'UX Weekly'!$H139:$CT139,"&lt;&gt;"))</f>
        <v>0</v>
      </c>
      <c r="AK139">
        <f>IF($B139="",0,COUNTIFS('UX Weekly'!$H$1:$CT$1,"&gt;="&amp;AK$1,'UX Weekly'!$H$1:$CT$1,"&lt;="&amp;EOMONTH(AK$1,0),'UX Weekly'!$H139:$CT139,"&lt;&gt;"))</f>
        <v>0</v>
      </c>
      <c r="AL139">
        <f>IF($B139="",0,COUNTIFS('UX Weekly'!$H$1:$CT$1,"&gt;="&amp;AL$1,'UX Weekly'!$H$1:$CT$1,"&lt;="&amp;EOMONTH(AL$1,0),'UX Weekly'!$H139:$CT139,"&lt;&gt;"))</f>
        <v>0</v>
      </c>
      <c r="AM139">
        <f>IF($B139="",0,COUNTIFS('UX Weekly'!$H$1:$CT$1,"&gt;="&amp;AM$1,'UX Weekly'!$H$1:$CT$1,"&lt;="&amp;EOMONTH(AM$1,0),'UX Weekly'!$H139:$CT139,"&lt;&gt;"))</f>
        <v>0</v>
      </c>
      <c r="AN139">
        <f>IF($B139="",0,COUNTIFS('UX Weekly'!$H$1:$CT$1,"&gt;="&amp;AN$1,'UX Weekly'!$H$1:$CT$1,"&lt;="&amp;EOMONTH(AN$1,0),'UX Weekly'!$H139:$CT139,"&lt;&gt;"))</f>
        <v>0</v>
      </c>
      <c r="AO139">
        <f>IF($B139="",0,COUNTIFS('UX Weekly'!$H$1:$CT$1,"&gt;="&amp;AO$1,'UX Weekly'!$H$1:$CT$1,"&lt;="&amp;EOMONTH(AO$1,0),'UX Weekly'!$H139:$CT139,"&lt;&gt;"))</f>
        <v>0</v>
      </c>
      <c r="AP139">
        <f>IF($B139="",0,COUNTIFS('UX Weekly'!$H$1:$CT$1,"&gt;="&amp;AP$1,'UX Weekly'!$H$1:$CT$1,"&lt;="&amp;EOMONTH(AP$1,0),'UX Weekly'!$H139:$CT139,"&lt;&gt;"))</f>
        <v>0</v>
      </c>
      <c r="AQ139">
        <f>IF($B139="",0,COUNTIFS('UX Weekly'!$H$1:$CT$1,"&gt;="&amp;AQ$1,'UX Weekly'!$H$1:$CT$1,"&lt;="&amp;EOMONTH(AQ$1,0),'UX Weekly'!$H139:$CT139,"&lt;&gt;"))</f>
        <v>0</v>
      </c>
      <c r="AR139">
        <f>IF($B139="",0,COUNTIFS('UX Weekly'!$H$1:$CT$1,"&gt;="&amp;AR$1,'UX Weekly'!$H$1:$CT$1,"&lt;="&amp;EOMONTH(AR$1,0),'UX Weekly'!$H139:$CT139,"&lt;&gt;"))</f>
        <v>0</v>
      </c>
      <c r="AS139">
        <f>IF($B139="",0,COUNTIFS('UX Weekly'!$H$1:$CT$1,"&gt;="&amp;AS$1,'UX Weekly'!$H$1:$CT$1,"&lt;="&amp;EOMONTH(AS$1,0),'UX Weekly'!$H139:$CT139,"&lt;&gt;"))</f>
        <v>0</v>
      </c>
      <c r="AT139">
        <f>IF($B139="",0,COUNTIFS('UX Weekly'!$H$1:$CT$1,"&gt;="&amp;AT$1,'UX Weekly'!$H$1:$CT$1,"&lt;="&amp;EOMONTH(AT$1,0),'UX Weekly'!$H139:$CT139,"&lt;&gt;"))</f>
        <v>0</v>
      </c>
      <c r="AU139">
        <f>IF($B139="",0,COUNTIFS('UX Weekly'!$H$1:$CT$1,"&gt;="&amp;AU$1,'UX Weekly'!$H$1:$CT$1,"&lt;="&amp;EOMONTH(AU$1,0),'UX Weekly'!$H139:$CT139,"&lt;&gt;"))</f>
        <v>0</v>
      </c>
      <c r="AV139">
        <f>IF($B139="",0,COUNTIFS('UX Weekly'!$H$1:$CT$1,"&gt;="&amp;AV$1,'UX Weekly'!$H$1:$CT$1,"&lt;="&amp;EOMONTH(AV$1,0),'UX Weekly'!$H139:$CT139,"&lt;&gt;"))</f>
        <v>0</v>
      </c>
      <c r="AW139">
        <f>IF($B139="",0,COUNTIFS('UX Weekly'!$H$1:$CT$1,"&gt;="&amp;AW$1,'UX Weekly'!$H$1:$CT$1,"&lt;="&amp;EOMONTH(AW$1,0),'UX Weekly'!$H139:$CT139,"&lt;&gt;"))</f>
        <v>0</v>
      </c>
      <c r="AX139">
        <f>IF($B139="",0,COUNTIFS('UX Weekly'!$H$1:$CT$1,"&gt;="&amp;AX$1,'UX Weekly'!$H$1:$CT$1,"&lt;="&amp;EOMONTH(AX$1,0),'UX Weekly'!$H139:$CT139,"&lt;&gt;"))</f>
        <v>0</v>
      </c>
    </row>
    <row r="140" spans="1:50" x14ac:dyDescent="0.2">
      <c r="A140" s="152">
        <v>140</v>
      </c>
      <c r="B140" s="152" t="str">
        <f>IF(TRIM('UX Weekly'!E140)="","",TRIM('UX Weekly'!E140))</f>
        <v/>
      </c>
      <c r="C140" s="152" t="str">
        <f>IF($B140="","",'UX Weekly'!B140)</f>
        <v/>
      </c>
      <c r="D140" s="152" t="str">
        <f>IF($B140="","",IF(TRIM('UX Weekly'!C140)="","(No theme assigned)",TRIM('UX Weekly'!C140)))</f>
        <v/>
      </c>
      <c r="E140" s="152" t="str">
        <f>IF($B140="","",TRIM('UX Weekly'!F140))</f>
        <v/>
      </c>
      <c r="F140" s="152" t="str">
        <f>IF($B140="","",'UX Weekly'!G140)</f>
        <v/>
      </c>
      <c r="G140" s="153" t="str">
        <f t="array" ref="G140">IF($B140="","",IF($T140=0,"",IFERROR(MIN(IF('UX Weekly'!$H140:$CT140&lt;&gt;"",'UX Weekly'!$H$1:$CT$1)),"")))</f>
        <v/>
      </c>
      <c r="H140" s="153" t="str">
        <f t="array" ref="H140">IF($B140="","",IF($T140=0,"",IFERROR(MAX(IF('UX Weekly'!$H140:$CT140&lt;&gt;"",'UX Weekly'!$H$1:$CT$1)),"")))</f>
        <v/>
      </c>
      <c r="I140" s="154" t="str">
        <f t="shared" ca="1" si="28"/>
        <v/>
      </c>
      <c r="J140" s="154" t="str">
        <f t="shared" ca="1" si="29"/>
        <v/>
      </c>
      <c r="K140" s="152" t="str">
        <f>IF($B140="","",IF(COUNTA('Dev Tracker'!L140)=0,"",TRIM('Dev Tracker'!L140)))</f>
        <v/>
      </c>
      <c r="L140" s="152" t="str">
        <f>IF($B140="","",IFERROR(MATCH($D140,Control!$E$4:$E$30,0),99))</f>
        <v/>
      </c>
      <c r="M140" s="152" t="str">
        <f>IF($B140="","",IFERROR(MATCH($F140,Control!$B$4:$B$30,0),99))</f>
        <v/>
      </c>
      <c r="N140" s="152" t="str">
        <f>IF($V140&lt;&gt;1,"",IF('Roadmap (Auto)'!$D$3="Status, then Theme",$M140*1000000+$L140*10000+ROW(),IF('Roadmap (Auto)'!$D$3="Dev start (earliest)",IF($I140="",99999999,$I140)*10000+ROW(),IF('Roadmap (Auto)'!$D$3="UX start (earliest)",IF($G140="",99999999,$G140)*10000+ROW(),IF('Roadmap (Auto)'!$D$3="Deliverable A-Z",$W140*10000+ROW(),$L140*1000000+$M140*10000+ROW())))))</f>
        <v/>
      </c>
      <c r="O140" s="152" t="str">
        <f t="shared" si="30"/>
        <v/>
      </c>
      <c r="P140" s="152" t="str">
        <f>IF($B140="","",IF(COUNTA('Dev Tracker'!I140)=0,"",'Dev Tracker'!I140))</f>
        <v/>
      </c>
      <c r="Q140" s="152" t="str">
        <f>IF($B140="","",IF(COUNTA('Dev Tracker'!J140)=0,"",'Dev Tracker'!J140))</f>
        <v/>
      </c>
      <c r="R140" s="154" t="str">
        <f t="shared" ca="1" si="31"/>
        <v/>
      </c>
      <c r="S140" s="154" t="str">
        <f t="shared" ca="1" si="32"/>
        <v/>
      </c>
      <c r="T140" s="152" t="str">
        <f>IF($B140="","",COUNTA('UX Weekly'!$H140:$CT140))</f>
        <v/>
      </c>
      <c r="U140" s="152" t="str">
        <f>IF($B140="","",IFERROR(MATCH($D140,Control!$E$4:$E$30,0)+3,0))</f>
        <v/>
      </c>
      <c r="V140" s="152" t="str">
        <f>IF($B140="","",IF(AND(OR('Roadmap (Auto)'!$A$3="",'Roadmap (Auto)'!$A$3="(All)",ISNUMBER(SEARCH('Roadmap (Auto)'!$A$3,$C140&amp;""))),OR('Roadmap (Auto)'!$B$3="",'Roadmap (Auto)'!$B$3="(All)",$D140='Roadmap (Auto)'!$B$3,$X140='Roadmap (Auto)'!$B$3),OR('Roadmap (Auto)'!$C$3="",'Roadmap (Auto)'!$C$3="(All)",$F140='Roadmap (Auto)'!$C$3)),1,0))</f>
        <v/>
      </c>
      <c r="W140" s="152" t="str">
        <f t="shared" si="33"/>
        <v/>
      </c>
      <c r="X140" s="152" t="str">
        <f>IF($B140="","",IF(TRIM('UX Weekly'!D140)="","",TRIM('UX Weekly'!D140)))</f>
        <v/>
      </c>
      <c r="Y140" s="152" t="str">
        <f t="shared" si="34"/>
        <v/>
      </c>
      <c r="AA140">
        <f>IF($B140="",0,COUNTIFS('UX Weekly'!$H$1:$CT$1,"&gt;="&amp;AA$1,'UX Weekly'!$H$1:$CT$1,"&lt;="&amp;EOMONTH(AA$1,0),'UX Weekly'!$H140:$CT140,"&lt;&gt;"))</f>
        <v>0</v>
      </c>
      <c r="AB140">
        <f>IF($B140="",0,COUNTIFS('UX Weekly'!$H$1:$CT$1,"&gt;="&amp;AB$1,'UX Weekly'!$H$1:$CT$1,"&lt;="&amp;EOMONTH(AB$1,0),'UX Weekly'!$H140:$CT140,"&lt;&gt;"))</f>
        <v>0</v>
      </c>
      <c r="AC140">
        <f>IF($B140="",0,COUNTIFS('UX Weekly'!$H$1:$CT$1,"&gt;="&amp;AC$1,'UX Weekly'!$H$1:$CT$1,"&lt;="&amp;EOMONTH(AC$1,0),'UX Weekly'!$H140:$CT140,"&lt;&gt;"))</f>
        <v>0</v>
      </c>
      <c r="AD140">
        <f>IF($B140="",0,COUNTIFS('UX Weekly'!$H$1:$CT$1,"&gt;="&amp;AD$1,'UX Weekly'!$H$1:$CT$1,"&lt;="&amp;EOMONTH(AD$1,0),'UX Weekly'!$H140:$CT140,"&lt;&gt;"))</f>
        <v>0</v>
      </c>
      <c r="AE140">
        <f>IF($B140="",0,COUNTIFS('UX Weekly'!$H$1:$CT$1,"&gt;="&amp;AE$1,'UX Weekly'!$H$1:$CT$1,"&lt;="&amp;EOMONTH(AE$1,0),'UX Weekly'!$H140:$CT140,"&lt;&gt;"))</f>
        <v>0</v>
      </c>
      <c r="AF140">
        <f>IF($B140="",0,COUNTIFS('UX Weekly'!$H$1:$CT$1,"&gt;="&amp;AF$1,'UX Weekly'!$H$1:$CT$1,"&lt;="&amp;EOMONTH(AF$1,0),'UX Weekly'!$H140:$CT140,"&lt;&gt;"))</f>
        <v>0</v>
      </c>
      <c r="AG140">
        <f>IF($B140="",0,COUNTIFS('UX Weekly'!$H$1:$CT$1,"&gt;="&amp;AG$1,'UX Weekly'!$H$1:$CT$1,"&lt;="&amp;EOMONTH(AG$1,0),'UX Weekly'!$H140:$CT140,"&lt;&gt;"))</f>
        <v>0</v>
      </c>
      <c r="AH140">
        <f>IF($B140="",0,COUNTIFS('UX Weekly'!$H$1:$CT$1,"&gt;="&amp;AH$1,'UX Weekly'!$H$1:$CT$1,"&lt;="&amp;EOMONTH(AH$1,0),'UX Weekly'!$H140:$CT140,"&lt;&gt;"))</f>
        <v>0</v>
      </c>
      <c r="AI140">
        <f>IF($B140="",0,COUNTIFS('UX Weekly'!$H$1:$CT$1,"&gt;="&amp;AI$1,'UX Weekly'!$H$1:$CT$1,"&lt;="&amp;EOMONTH(AI$1,0),'UX Weekly'!$H140:$CT140,"&lt;&gt;"))</f>
        <v>0</v>
      </c>
      <c r="AJ140">
        <f>IF($B140="",0,COUNTIFS('UX Weekly'!$H$1:$CT$1,"&gt;="&amp;AJ$1,'UX Weekly'!$H$1:$CT$1,"&lt;="&amp;EOMONTH(AJ$1,0),'UX Weekly'!$H140:$CT140,"&lt;&gt;"))</f>
        <v>0</v>
      </c>
      <c r="AK140">
        <f>IF($B140="",0,COUNTIFS('UX Weekly'!$H$1:$CT$1,"&gt;="&amp;AK$1,'UX Weekly'!$H$1:$CT$1,"&lt;="&amp;EOMONTH(AK$1,0),'UX Weekly'!$H140:$CT140,"&lt;&gt;"))</f>
        <v>0</v>
      </c>
      <c r="AL140">
        <f>IF($B140="",0,COUNTIFS('UX Weekly'!$H$1:$CT$1,"&gt;="&amp;AL$1,'UX Weekly'!$H$1:$CT$1,"&lt;="&amp;EOMONTH(AL$1,0),'UX Weekly'!$H140:$CT140,"&lt;&gt;"))</f>
        <v>0</v>
      </c>
      <c r="AM140">
        <f>IF($B140="",0,COUNTIFS('UX Weekly'!$H$1:$CT$1,"&gt;="&amp;AM$1,'UX Weekly'!$H$1:$CT$1,"&lt;="&amp;EOMONTH(AM$1,0),'UX Weekly'!$H140:$CT140,"&lt;&gt;"))</f>
        <v>0</v>
      </c>
      <c r="AN140">
        <f>IF($B140="",0,COUNTIFS('UX Weekly'!$H$1:$CT$1,"&gt;="&amp;AN$1,'UX Weekly'!$H$1:$CT$1,"&lt;="&amp;EOMONTH(AN$1,0),'UX Weekly'!$H140:$CT140,"&lt;&gt;"))</f>
        <v>0</v>
      </c>
      <c r="AO140">
        <f>IF($B140="",0,COUNTIFS('UX Weekly'!$H$1:$CT$1,"&gt;="&amp;AO$1,'UX Weekly'!$H$1:$CT$1,"&lt;="&amp;EOMONTH(AO$1,0),'UX Weekly'!$H140:$CT140,"&lt;&gt;"))</f>
        <v>0</v>
      </c>
      <c r="AP140">
        <f>IF($B140="",0,COUNTIFS('UX Weekly'!$H$1:$CT$1,"&gt;="&amp;AP$1,'UX Weekly'!$H$1:$CT$1,"&lt;="&amp;EOMONTH(AP$1,0),'UX Weekly'!$H140:$CT140,"&lt;&gt;"))</f>
        <v>0</v>
      </c>
      <c r="AQ140">
        <f>IF($B140="",0,COUNTIFS('UX Weekly'!$H$1:$CT$1,"&gt;="&amp;AQ$1,'UX Weekly'!$H$1:$CT$1,"&lt;="&amp;EOMONTH(AQ$1,0),'UX Weekly'!$H140:$CT140,"&lt;&gt;"))</f>
        <v>0</v>
      </c>
      <c r="AR140">
        <f>IF($B140="",0,COUNTIFS('UX Weekly'!$H$1:$CT$1,"&gt;="&amp;AR$1,'UX Weekly'!$H$1:$CT$1,"&lt;="&amp;EOMONTH(AR$1,0),'UX Weekly'!$H140:$CT140,"&lt;&gt;"))</f>
        <v>0</v>
      </c>
      <c r="AS140">
        <f>IF($B140="",0,COUNTIFS('UX Weekly'!$H$1:$CT$1,"&gt;="&amp;AS$1,'UX Weekly'!$H$1:$CT$1,"&lt;="&amp;EOMONTH(AS$1,0),'UX Weekly'!$H140:$CT140,"&lt;&gt;"))</f>
        <v>0</v>
      </c>
      <c r="AT140">
        <f>IF($B140="",0,COUNTIFS('UX Weekly'!$H$1:$CT$1,"&gt;="&amp;AT$1,'UX Weekly'!$H$1:$CT$1,"&lt;="&amp;EOMONTH(AT$1,0),'UX Weekly'!$H140:$CT140,"&lt;&gt;"))</f>
        <v>0</v>
      </c>
      <c r="AU140">
        <f>IF($B140="",0,COUNTIFS('UX Weekly'!$H$1:$CT$1,"&gt;="&amp;AU$1,'UX Weekly'!$H$1:$CT$1,"&lt;="&amp;EOMONTH(AU$1,0),'UX Weekly'!$H140:$CT140,"&lt;&gt;"))</f>
        <v>0</v>
      </c>
      <c r="AV140">
        <f>IF($B140="",0,COUNTIFS('UX Weekly'!$H$1:$CT$1,"&gt;="&amp;AV$1,'UX Weekly'!$H$1:$CT$1,"&lt;="&amp;EOMONTH(AV$1,0),'UX Weekly'!$H140:$CT140,"&lt;&gt;"))</f>
        <v>0</v>
      </c>
      <c r="AW140">
        <f>IF($B140="",0,COUNTIFS('UX Weekly'!$H$1:$CT$1,"&gt;="&amp;AW$1,'UX Weekly'!$H$1:$CT$1,"&lt;="&amp;EOMONTH(AW$1,0),'UX Weekly'!$H140:$CT140,"&lt;&gt;"))</f>
        <v>0</v>
      </c>
      <c r="AX140">
        <f>IF($B140="",0,COUNTIFS('UX Weekly'!$H$1:$CT$1,"&gt;="&amp;AX$1,'UX Weekly'!$H$1:$CT$1,"&lt;="&amp;EOMONTH(AX$1,0),'UX Weekly'!$H140:$CT140,"&lt;&gt;"))</f>
        <v>0</v>
      </c>
    </row>
    <row r="141" spans="1:50" x14ac:dyDescent="0.2">
      <c r="A141" s="152">
        <v>141</v>
      </c>
      <c r="B141" s="152" t="str">
        <f>IF(TRIM('UX Weekly'!E141)="","",TRIM('UX Weekly'!E141))</f>
        <v/>
      </c>
      <c r="C141" s="152" t="str">
        <f>IF($B141="","",'UX Weekly'!B141)</f>
        <v/>
      </c>
      <c r="D141" s="152" t="str">
        <f>IF($B141="","",IF(TRIM('UX Weekly'!C141)="","(No theme assigned)",TRIM('UX Weekly'!C141)))</f>
        <v/>
      </c>
      <c r="E141" s="152" t="str">
        <f>IF($B141="","",TRIM('UX Weekly'!F141))</f>
        <v/>
      </c>
      <c r="F141" s="152" t="str">
        <f>IF($B141="","",'UX Weekly'!G141)</f>
        <v/>
      </c>
      <c r="G141" s="153" t="str">
        <f t="array" ref="G141">IF($B141="","",IF($T141=0,"",IFERROR(MIN(IF('UX Weekly'!$H141:$CT141&lt;&gt;"",'UX Weekly'!$H$1:$CT$1)),"")))</f>
        <v/>
      </c>
      <c r="H141" s="153" t="str">
        <f t="array" ref="H141">IF($B141="","",IF($T141=0,"",IFERROR(MAX(IF('UX Weekly'!$H141:$CT141&lt;&gt;"",'UX Weekly'!$H$1:$CT$1)),"")))</f>
        <v/>
      </c>
      <c r="I141" s="154" t="str">
        <f t="shared" ca="1" si="28"/>
        <v/>
      </c>
      <c r="J141" s="154" t="str">
        <f t="shared" ca="1" si="29"/>
        <v/>
      </c>
      <c r="K141" s="152" t="str">
        <f>IF($B141="","",IF(COUNTA('Dev Tracker'!L141)=0,"",TRIM('Dev Tracker'!L141)))</f>
        <v/>
      </c>
      <c r="L141" s="152" t="str">
        <f>IF($B141="","",IFERROR(MATCH($D141,Control!$E$4:$E$30,0),99))</f>
        <v/>
      </c>
      <c r="M141" s="152" t="str">
        <f>IF($B141="","",IFERROR(MATCH($F141,Control!$B$4:$B$30,0),99))</f>
        <v/>
      </c>
      <c r="N141" s="152" t="str">
        <f>IF($V141&lt;&gt;1,"",IF('Roadmap (Auto)'!$D$3="Status, then Theme",$M141*1000000+$L141*10000+ROW(),IF('Roadmap (Auto)'!$D$3="Dev start (earliest)",IF($I141="",99999999,$I141)*10000+ROW(),IF('Roadmap (Auto)'!$D$3="UX start (earliest)",IF($G141="",99999999,$G141)*10000+ROW(),IF('Roadmap (Auto)'!$D$3="Deliverable A-Z",$W141*10000+ROW(),$L141*1000000+$M141*10000+ROW())))))</f>
        <v/>
      </c>
      <c r="O141" s="152" t="str">
        <f t="shared" si="30"/>
        <v/>
      </c>
      <c r="P141" s="152" t="str">
        <f>IF($B141="","",IF(COUNTA('Dev Tracker'!I141)=0,"",'Dev Tracker'!I141))</f>
        <v/>
      </c>
      <c r="Q141" s="152" t="str">
        <f>IF($B141="","",IF(COUNTA('Dev Tracker'!J141)=0,"",'Dev Tracker'!J141))</f>
        <v/>
      </c>
      <c r="R141" s="154" t="str">
        <f t="shared" ca="1" si="31"/>
        <v/>
      </c>
      <c r="S141" s="154" t="str">
        <f t="shared" ca="1" si="32"/>
        <v/>
      </c>
      <c r="T141" s="152" t="str">
        <f>IF($B141="","",COUNTA('UX Weekly'!$H141:$CT141))</f>
        <v/>
      </c>
      <c r="U141" s="152" t="str">
        <f>IF($B141="","",IFERROR(MATCH($D141,Control!$E$4:$E$30,0)+3,0))</f>
        <v/>
      </c>
      <c r="V141" s="152" t="str">
        <f>IF($B141="","",IF(AND(OR('Roadmap (Auto)'!$A$3="",'Roadmap (Auto)'!$A$3="(All)",ISNUMBER(SEARCH('Roadmap (Auto)'!$A$3,$C141&amp;""))),OR('Roadmap (Auto)'!$B$3="",'Roadmap (Auto)'!$B$3="(All)",$D141='Roadmap (Auto)'!$B$3,$X141='Roadmap (Auto)'!$B$3),OR('Roadmap (Auto)'!$C$3="",'Roadmap (Auto)'!$C$3="(All)",$F141='Roadmap (Auto)'!$C$3)),1,0))</f>
        <v/>
      </c>
      <c r="W141" s="152" t="str">
        <f t="shared" si="33"/>
        <v/>
      </c>
      <c r="X141" s="152" t="str">
        <f>IF($B141="","",IF(TRIM('UX Weekly'!D141)="","",TRIM('UX Weekly'!D141)))</f>
        <v/>
      </c>
      <c r="Y141" s="152" t="str">
        <f t="shared" si="34"/>
        <v/>
      </c>
      <c r="AA141">
        <f>IF($B141="",0,COUNTIFS('UX Weekly'!$H$1:$CT$1,"&gt;="&amp;AA$1,'UX Weekly'!$H$1:$CT$1,"&lt;="&amp;EOMONTH(AA$1,0),'UX Weekly'!$H141:$CT141,"&lt;&gt;"))</f>
        <v>0</v>
      </c>
      <c r="AB141">
        <f>IF($B141="",0,COUNTIFS('UX Weekly'!$H$1:$CT$1,"&gt;="&amp;AB$1,'UX Weekly'!$H$1:$CT$1,"&lt;="&amp;EOMONTH(AB$1,0),'UX Weekly'!$H141:$CT141,"&lt;&gt;"))</f>
        <v>0</v>
      </c>
      <c r="AC141">
        <f>IF($B141="",0,COUNTIFS('UX Weekly'!$H$1:$CT$1,"&gt;="&amp;AC$1,'UX Weekly'!$H$1:$CT$1,"&lt;="&amp;EOMONTH(AC$1,0),'UX Weekly'!$H141:$CT141,"&lt;&gt;"))</f>
        <v>0</v>
      </c>
      <c r="AD141">
        <f>IF($B141="",0,COUNTIFS('UX Weekly'!$H$1:$CT$1,"&gt;="&amp;AD$1,'UX Weekly'!$H$1:$CT$1,"&lt;="&amp;EOMONTH(AD$1,0),'UX Weekly'!$H141:$CT141,"&lt;&gt;"))</f>
        <v>0</v>
      </c>
      <c r="AE141">
        <f>IF($B141="",0,COUNTIFS('UX Weekly'!$H$1:$CT$1,"&gt;="&amp;AE$1,'UX Weekly'!$H$1:$CT$1,"&lt;="&amp;EOMONTH(AE$1,0),'UX Weekly'!$H141:$CT141,"&lt;&gt;"))</f>
        <v>0</v>
      </c>
      <c r="AF141">
        <f>IF($B141="",0,COUNTIFS('UX Weekly'!$H$1:$CT$1,"&gt;="&amp;AF$1,'UX Weekly'!$H$1:$CT$1,"&lt;="&amp;EOMONTH(AF$1,0),'UX Weekly'!$H141:$CT141,"&lt;&gt;"))</f>
        <v>0</v>
      </c>
      <c r="AG141">
        <f>IF($B141="",0,COUNTIFS('UX Weekly'!$H$1:$CT$1,"&gt;="&amp;AG$1,'UX Weekly'!$H$1:$CT$1,"&lt;="&amp;EOMONTH(AG$1,0),'UX Weekly'!$H141:$CT141,"&lt;&gt;"))</f>
        <v>0</v>
      </c>
      <c r="AH141">
        <f>IF($B141="",0,COUNTIFS('UX Weekly'!$H$1:$CT$1,"&gt;="&amp;AH$1,'UX Weekly'!$H$1:$CT$1,"&lt;="&amp;EOMONTH(AH$1,0),'UX Weekly'!$H141:$CT141,"&lt;&gt;"))</f>
        <v>0</v>
      </c>
      <c r="AI141">
        <f>IF($B141="",0,COUNTIFS('UX Weekly'!$H$1:$CT$1,"&gt;="&amp;AI$1,'UX Weekly'!$H$1:$CT$1,"&lt;="&amp;EOMONTH(AI$1,0),'UX Weekly'!$H141:$CT141,"&lt;&gt;"))</f>
        <v>0</v>
      </c>
      <c r="AJ141">
        <f>IF($B141="",0,COUNTIFS('UX Weekly'!$H$1:$CT$1,"&gt;="&amp;AJ$1,'UX Weekly'!$H$1:$CT$1,"&lt;="&amp;EOMONTH(AJ$1,0),'UX Weekly'!$H141:$CT141,"&lt;&gt;"))</f>
        <v>0</v>
      </c>
      <c r="AK141">
        <f>IF($B141="",0,COUNTIFS('UX Weekly'!$H$1:$CT$1,"&gt;="&amp;AK$1,'UX Weekly'!$H$1:$CT$1,"&lt;="&amp;EOMONTH(AK$1,0),'UX Weekly'!$H141:$CT141,"&lt;&gt;"))</f>
        <v>0</v>
      </c>
      <c r="AL141">
        <f>IF($B141="",0,COUNTIFS('UX Weekly'!$H$1:$CT$1,"&gt;="&amp;AL$1,'UX Weekly'!$H$1:$CT$1,"&lt;="&amp;EOMONTH(AL$1,0),'UX Weekly'!$H141:$CT141,"&lt;&gt;"))</f>
        <v>0</v>
      </c>
      <c r="AM141">
        <f>IF($B141="",0,COUNTIFS('UX Weekly'!$H$1:$CT$1,"&gt;="&amp;AM$1,'UX Weekly'!$H$1:$CT$1,"&lt;="&amp;EOMONTH(AM$1,0),'UX Weekly'!$H141:$CT141,"&lt;&gt;"))</f>
        <v>0</v>
      </c>
      <c r="AN141">
        <f>IF($B141="",0,COUNTIFS('UX Weekly'!$H$1:$CT$1,"&gt;="&amp;AN$1,'UX Weekly'!$H$1:$CT$1,"&lt;="&amp;EOMONTH(AN$1,0),'UX Weekly'!$H141:$CT141,"&lt;&gt;"))</f>
        <v>0</v>
      </c>
      <c r="AO141">
        <f>IF($B141="",0,COUNTIFS('UX Weekly'!$H$1:$CT$1,"&gt;="&amp;AO$1,'UX Weekly'!$H$1:$CT$1,"&lt;="&amp;EOMONTH(AO$1,0),'UX Weekly'!$H141:$CT141,"&lt;&gt;"))</f>
        <v>0</v>
      </c>
      <c r="AP141">
        <f>IF($B141="",0,COUNTIFS('UX Weekly'!$H$1:$CT$1,"&gt;="&amp;AP$1,'UX Weekly'!$H$1:$CT$1,"&lt;="&amp;EOMONTH(AP$1,0),'UX Weekly'!$H141:$CT141,"&lt;&gt;"))</f>
        <v>0</v>
      </c>
      <c r="AQ141">
        <f>IF($B141="",0,COUNTIFS('UX Weekly'!$H$1:$CT$1,"&gt;="&amp;AQ$1,'UX Weekly'!$H$1:$CT$1,"&lt;="&amp;EOMONTH(AQ$1,0),'UX Weekly'!$H141:$CT141,"&lt;&gt;"))</f>
        <v>0</v>
      </c>
      <c r="AR141">
        <f>IF($B141="",0,COUNTIFS('UX Weekly'!$H$1:$CT$1,"&gt;="&amp;AR$1,'UX Weekly'!$H$1:$CT$1,"&lt;="&amp;EOMONTH(AR$1,0),'UX Weekly'!$H141:$CT141,"&lt;&gt;"))</f>
        <v>0</v>
      </c>
      <c r="AS141">
        <f>IF($B141="",0,COUNTIFS('UX Weekly'!$H$1:$CT$1,"&gt;="&amp;AS$1,'UX Weekly'!$H$1:$CT$1,"&lt;="&amp;EOMONTH(AS$1,0),'UX Weekly'!$H141:$CT141,"&lt;&gt;"))</f>
        <v>0</v>
      </c>
      <c r="AT141">
        <f>IF($B141="",0,COUNTIFS('UX Weekly'!$H$1:$CT$1,"&gt;="&amp;AT$1,'UX Weekly'!$H$1:$CT$1,"&lt;="&amp;EOMONTH(AT$1,0),'UX Weekly'!$H141:$CT141,"&lt;&gt;"))</f>
        <v>0</v>
      </c>
      <c r="AU141">
        <f>IF($B141="",0,COUNTIFS('UX Weekly'!$H$1:$CT$1,"&gt;="&amp;AU$1,'UX Weekly'!$H$1:$CT$1,"&lt;="&amp;EOMONTH(AU$1,0),'UX Weekly'!$H141:$CT141,"&lt;&gt;"))</f>
        <v>0</v>
      </c>
      <c r="AV141">
        <f>IF($B141="",0,COUNTIFS('UX Weekly'!$H$1:$CT$1,"&gt;="&amp;AV$1,'UX Weekly'!$H$1:$CT$1,"&lt;="&amp;EOMONTH(AV$1,0),'UX Weekly'!$H141:$CT141,"&lt;&gt;"))</f>
        <v>0</v>
      </c>
      <c r="AW141">
        <f>IF($B141="",0,COUNTIFS('UX Weekly'!$H$1:$CT$1,"&gt;="&amp;AW$1,'UX Weekly'!$H$1:$CT$1,"&lt;="&amp;EOMONTH(AW$1,0),'UX Weekly'!$H141:$CT141,"&lt;&gt;"))</f>
        <v>0</v>
      </c>
      <c r="AX141">
        <f>IF($B141="",0,COUNTIFS('UX Weekly'!$H$1:$CT$1,"&gt;="&amp;AX$1,'UX Weekly'!$H$1:$CT$1,"&lt;="&amp;EOMONTH(AX$1,0),'UX Weekly'!$H141:$CT141,"&lt;&gt;"))</f>
        <v>0</v>
      </c>
    </row>
    <row r="142" spans="1:50" x14ac:dyDescent="0.2">
      <c r="A142" s="152">
        <v>142</v>
      </c>
      <c r="B142" s="152" t="str">
        <f>IF(TRIM('UX Weekly'!E142)="","",TRIM('UX Weekly'!E142))</f>
        <v/>
      </c>
      <c r="C142" s="152" t="str">
        <f>IF($B142="","",'UX Weekly'!B142)</f>
        <v/>
      </c>
      <c r="D142" s="152" t="str">
        <f>IF($B142="","",IF(TRIM('UX Weekly'!C142)="","(No theme assigned)",TRIM('UX Weekly'!C142)))</f>
        <v/>
      </c>
      <c r="E142" s="152" t="str">
        <f>IF($B142="","",TRIM('UX Weekly'!F142))</f>
        <v/>
      </c>
      <c r="F142" s="152" t="str">
        <f>IF($B142="","",'UX Weekly'!G142)</f>
        <v/>
      </c>
      <c r="G142" s="153" t="str">
        <f t="array" ref="G142">IF($B142="","",IF($T142=0,"",IFERROR(MIN(IF('UX Weekly'!$H142:$CT142&lt;&gt;"",'UX Weekly'!$H$1:$CT$1)),"")))</f>
        <v/>
      </c>
      <c r="H142" s="153" t="str">
        <f t="array" ref="H142">IF($B142="","",IF($T142=0,"",IFERROR(MAX(IF('UX Weekly'!$H142:$CT142&lt;&gt;"",'UX Weekly'!$H$1:$CT$1)),"")))</f>
        <v/>
      </c>
      <c r="I142" s="154" t="str">
        <f t="shared" ca="1" si="28"/>
        <v/>
      </c>
      <c r="J142" s="154" t="str">
        <f t="shared" ca="1" si="29"/>
        <v/>
      </c>
      <c r="K142" s="152" t="str">
        <f>IF($B142="","",IF(COUNTA('Dev Tracker'!L142)=0,"",TRIM('Dev Tracker'!L142)))</f>
        <v/>
      </c>
      <c r="L142" s="152" t="str">
        <f>IF($B142="","",IFERROR(MATCH($D142,Control!$E$4:$E$30,0),99))</f>
        <v/>
      </c>
      <c r="M142" s="152" t="str">
        <f>IF($B142="","",IFERROR(MATCH($F142,Control!$B$4:$B$30,0),99))</f>
        <v/>
      </c>
      <c r="N142" s="152" t="str">
        <f>IF($V142&lt;&gt;1,"",IF('Roadmap (Auto)'!$D$3="Status, then Theme",$M142*1000000+$L142*10000+ROW(),IF('Roadmap (Auto)'!$D$3="Dev start (earliest)",IF($I142="",99999999,$I142)*10000+ROW(),IF('Roadmap (Auto)'!$D$3="UX start (earliest)",IF($G142="",99999999,$G142)*10000+ROW(),IF('Roadmap (Auto)'!$D$3="Deliverable A-Z",$W142*10000+ROW(),$L142*1000000+$M142*10000+ROW())))))</f>
        <v/>
      </c>
      <c r="O142" s="152" t="str">
        <f t="shared" si="30"/>
        <v/>
      </c>
      <c r="P142" s="152" t="str">
        <f>IF($B142="","",IF(COUNTA('Dev Tracker'!I142)=0,"",'Dev Tracker'!I142))</f>
        <v/>
      </c>
      <c r="Q142" s="152" t="str">
        <f>IF($B142="","",IF(COUNTA('Dev Tracker'!J142)=0,"",'Dev Tracker'!J142))</f>
        <v/>
      </c>
      <c r="R142" s="154" t="str">
        <f t="shared" ca="1" si="31"/>
        <v/>
      </c>
      <c r="S142" s="154" t="str">
        <f t="shared" ca="1" si="32"/>
        <v/>
      </c>
      <c r="T142" s="152" t="str">
        <f>IF($B142="","",COUNTA('UX Weekly'!$H142:$CT142))</f>
        <v/>
      </c>
      <c r="U142" s="152" t="str">
        <f>IF($B142="","",IFERROR(MATCH($D142,Control!$E$4:$E$30,0)+3,0))</f>
        <v/>
      </c>
      <c r="V142" s="152" t="str">
        <f>IF($B142="","",IF(AND(OR('Roadmap (Auto)'!$A$3="",'Roadmap (Auto)'!$A$3="(All)",ISNUMBER(SEARCH('Roadmap (Auto)'!$A$3,$C142&amp;""))),OR('Roadmap (Auto)'!$B$3="",'Roadmap (Auto)'!$B$3="(All)",$D142='Roadmap (Auto)'!$B$3,$X142='Roadmap (Auto)'!$B$3),OR('Roadmap (Auto)'!$C$3="",'Roadmap (Auto)'!$C$3="(All)",$F142='Roadmap (Auto)'!$C$3)),1,0))</f>
        <v/>
      </c>
      <c r="W142" s="152" t="str">
        <f t="shared" si="33"/>
        <v/>
      </c>
      <c r="X142" s="152" t="str">
        <f>IF($B142="","",IF(TRIM('UX Weekly'!D142)="","",TRIM('UX Weekly'!D142)))</f>
        <v/>
      </c>
      <c r="Y142" s="152" t="str">
        <f t="shared" si="34"/>
        <v/>
      </c>
      <c r="AA142">
        <f>IF($B142="",0,COUNTIFS('UX Weekly'!$H$1:$CT$1,"&gt;="&amp;AA$1,'UX Weekly'!$H$1:$CT$1,"&lt;="&amp;EOMONTH(AA$1,0),'UX Weekly'!$H142:$CT142,"&lt;&gt;"))</f>
        <v>0</v>
      </c>
      <c r="AB142">
        <f>IF($B142="",0,COUNTIFS('UX Weekly'!$H$1:$CT$1,"&gt;="&amp;AB$1,'UX Weekly'!$H$1:$CT$1,"&lt;="&amp;EOMONTH(AB$1,0),'UX Weekly'!$H142:$CT142,"&lt;&gt;"))</f>
        <v>0</v>
      </c>
      <c r="AC142">
        <f>IF($B142="",0,COUNTIFS('UX Weekly'!$H$1:$CT$1,"&gt;="&amp;AC$1,'UX Weekly'!$H$1:$CT$1,"&lt;="&amp;EOMONTH(AC$1,0),'UX Weekly'!$H142:$CT142,"&lt;&gt;"))</f>
        <v>0</v>
      </c>
      <c r="AD142">
        <f>IF($B142="",0,COUNTIFS('UX Weekly'!$H$1:$CT$1,"&gt;="&amp;AD$1,'UX Weekly'!$H$1:$CT$1,"&lt;="&amp;EOMONTH(AD$1,0),'UX Weekly'!$H142:$CT142,"&lt;&gt;"))</f>
        <v>0</v>
      </c>
      <c r="AE142">
        <f>IF($B142="",0,COUNTIFS('UX Weekly'!$H$1:$CT$1,"&gt;="&amp;AE$1,'UX Weekly'!$H$1:$CT$1,"&lt;="&amp;EOMONTH(AE$1,0),'UX Weekly'!$H142:$CT142,"&lt;&gt;"))</f>
        <v>0</v>
      </c>
      <c r="AF142">
        <f>IF($B142="",0,COUNTIFS('UX Weekly'!$H$1:$CT$1,"&gt;="&amp;AF$1,'UX Weekly'!$H$1:$CT$1,"&lt;="&amp;EOMONTH(AF$1,0),'UX Weekly'!$H142:$CT142,"&lt;&gt;"))</f>
        <v>0</v>
      </c>
      <c r="AG142">
        <f>IF($B142="",0,COUNTIFS('UX Weekly'!$H$1:$CT$1,"&gt;="&amp;AG$1,'UX Weekly'!$H$1:$CT$1,"&lt;="&amp;EOMONTH(AG$1,0),'UX Weekly'!$H142:$CT142,"&lt;&gt;"))</f>
        <v>0</v>
      </c>
      <c r="AH142">
        <f>IF($B142="",0,COUNTIFS('UX Weekly'!$H$1:$CT$1,"&gt;="&amp;AH$1,'UX Weekly'!$H$1:$CT$1,"&lt;="&amp;EOMONTH(AH$1,0),'UX Weekly'!$H142:$CT142,"&lt;&gt;"))</f>
        <v>0</v>
      </c>
      <c r="AI142">
        <f>IF($B142="",0,COUNTIFS('UX Weekly'!$H$1:$CT$1,"&gt;="&amp;AI$1,'UX Weekly'!$H$1:$CT$1,"&lt;="&amp;EOMONTH(AI$1,0),'UX Weekly'!$H142:$CT142,"&lt;&gt;"))</f>
        <v>0</v>
      </c>
      <c r="AJ142">
        <f>IF($B142="",0,COUNTIFS('UX Weekly'!$H$1:$CT$1,"&gt;="&amp;AJ$1,'UX Weekly'!$H$1:$CT$1,"&lt;="&amp;EOMONTH(AJ$1,0),'UX Weekly'!$H142:$CT142,"&lt;&gt;"))</f>
        <v>0</v>
      </c>
      <c r="AK142">
        <f>IF($B142="",0,COUNTIFS('UX Weekly'!$H$1:$CT$1,"&gt;="&amp;AK$1,'UX Weekly'!$H$1:$CT$1,"&lt;="&amp;EOMONTH(AK$1,0),'UX Weekly'!$H142:$CT142,"&lt;&gt;"))</f>
        <v>0</v>
      </c>
      <c r="AL142">
        <f>IF($B142="",0,COUNTIFS('UX Weekly'!$H$1:$CT$1,"&gt;="&amp;AL$1,'UX Weekly'!$H$1:$CT$1,"&lt;="&amp;EOMONTH(AL$1,0),'UX Weekly'!$H142:$CT142,"&lt;&gt;"))</f>
        <v>0</v>
      </c>
      <c r="AM142">
        <f>IF($B142="",0,COUNTIFS('UX Weekly'!$H$1:$CT$1,"&gt;="&amp;AM$1,'UX Weekly'!$H$1:$CT$1,"&lt;="&amp;EOMONTH(AM$1,0),'UX Weekly'!$H142:$CT142,"&lt;&gt;"))</f>
        <v>0</v>
      </c>
      <c r="AN142">
        <f>IF($B142="",0,COUNTIFS('UX Weekly'!$H$1:$CT$1,"&gt;="&amp;AN$1,'UX Weekly'!$H$1:$CT$1,"&lt;="&amp;EOMONTH(AN$1,0),'UX Weekly'!$H142:$CT142,"&lt;&gt;"))</f>
        <v>0</v>
      </c>
      <c r="AO142">
        <f>IF($B142="",0,COUNTIFS('UX Weekly'!$H$1:$CT$1,"&gt;="&amp;AO$1,'UX Weekly'!$H$1:$CT$1,"&lt;="&amp;EOMONTH(AO$1,0),'UX Weekly'!$H142:$CT142,"&lt;&gt;"))</f>
        <v>0</v>
      </c>
      <c r="AP142">
        <f>IF($B142="",0,COUNTIFS('UX Weekly'!$H$1:$CT$1,"&gt;="&amp;AP$1,'UX Weekly'!$H$1:$CT$1,"&lt;="&amp;EOMONTH(AP$1,0),'UX Weekly'!$H142:$CT142,"&lt;&gt;"))</f>
        <v>0</v>
      </c>
      <c r="AQ142">
        <f>IF($B142="",0,COUNTIFS('UX Weekly'!$H$1:$CT$1,"&gt;="&amp;AQ$1,'UX Weekly'!$H$1:$CT$1,"&lt;="&amp;EOMONTH(AQ$1,0),'UX Weekly'!$H142:$CT142,"&lt;&gt;"))</f>
        <v>0</v>
      </c>
      <c r="AR142">
        <f>IF($B142="",0,COUNTIFS('UX Weekly'!$H$1:$CT$1,"&gt;="&amp;AR$1,'UX Weekly'!$H$1:$CT$1,"&lt;="&amp;EOMONTH(AR$1,0),'UX Weekly'!$H142:$CT142,"&lt;&gt;"))</f>
        <v>0</v>
      </c>
      <c r="AS142">
        <f>IF($B142="",0,COUNTIFS('UX Weekly'!$H$1:$CT$1,"&gt;="&amp;AS$1,'UX Weekly'!$H$1:$CT$1,"&lt;="&amp;EOMONTH(AS$1,0),'UX Weekly'!$H142:$CT142,"&lt;&gt;"))</f>
        <v>0</v>
      </c>
      <c r="AT142">
        <f>IF($B142="",0,COUNTIFS('UX Weekly'!$H$1:$CT$1,"&gt;="&amp;AT$1,'UX Weekly'!$H$1:$CT$1,"&lt;="&amp;EOMONTH(AT$1,0),'UX Weekly'!$H142:$CT142,"&lt;&gt;"))</f>
        <v>0</v>
      </c>
      <c r="AU142">
        <f>IF($B142="",0,COUNTIFS('UX Weekly'!$H$1:$CT$1,"&gt;="&amp;AU$1,'UX Weekly'!$H$1:$CT$1,"&lt;="&amp;EOMONTH(AU$1,0),'UX Weekly'!$H142:$CT142,"&lt;&gt;"))</f>
        <v>0</v>
      </c>
      <c r="AV142">
        <f>IF($B142="",0,COUNTIFS('UX Weekly'!$H$1:$CT$1,"&gt;="&amp;AV$1,'UX Weekly'!$H$1:$CT$1,"&lt;="&amp;EOMONTH(AV$1,0),'UX Weekly'!$H142:$CT142,"&lt;&gt;"))</f>
        <v>0</v>
      </c>
      <c r="AW142">
        <f>IF($B142="",0,COUNTIFS('UX Weekly'!$H$1:$CT$1,"&gt;="&amp;AW$1,'UX Weekly'!$H$1:$CT$1,"&lt;="&amp;EOMONTH(AW$1,0),'UX Weekly'!$H142:$CT142,"&lt;&gt;"))</f>
        <v>0</v>
      </c>
      <c r="AX142">
        <f>IF($B142="",0,COUNTIFS('UX Weekly'!$H$1:$CT$1,"&gt;="&amp;AX$1,'UX Weekly'!$H$1:$CT$1,"&lt;="&amp;EOMONTH(AX$1,0),'UX Weekly'!$H142:$CT142,"&lt;&gt;"))</f>
        <v>0</v>
      </c>
    </row>
    <row r="143" spans="1:50" x14ac:dyDescent="0.2">
      <c r="A143" s="152">
        <v>143</v>
      </c>
      <c r="B143" s="152" t="str">
        <f>IF(TRIM('UX Weekly'!E143)="","",TRIM('UX Weekly'!E143))</f>
        <v/>
      </c>
      <c r="C143" s="152" t="str">
        <f>IF($B143="","",'UX Weekly'!B143)</f>
        <v/>
      </c>
      <c r="D143" s="152" t="str">
        <f>IF($B143="","",IF(TRIM('UX Weekly'!C143)="","(No theme assigned)",TRIM('UX Weekly'!C143)))</f>
        <v/>
      </c>
      <c r="E143" s="152" t="str">
        <f>IF($B143="","",TRIM('UX Weekly'!F143))</f>
        <v/>
      </c>
      <c r="F143" s="152" t="str">
        <f>IF($B143="","",'UX Weekly'!G143)</f>
        <v/>
      </c>
      <c r="G143" s="153" t="str">
        <f t="array" ref="G143">IF($B143="","",IF($T143=0,"",IFERROR(MIN(IF('UX Weekly'!$H143:$CT143&lt;&gt;"",'UX Weekly'!$H$1:$CT$1)),"")))</f>
        <v/>
      </c>
      <c r="H143" s="153" t="str">
        <f t="array" ref="H143">IF($B143="","",IF($T143=0,"",IFERROR(MAX(IF('UX Weekly'!$H143:$CT143&lt;&gt;"",'UX Weekly'!$H$1:$CT$1)),"")))</f>
        <v/>
      </c>
      <c r="I143" s="154" t="str">
        <f t="shared" ca="1" si="28"/>
        <v/>
      </c>
      <c r="J143" s="154" t="str">
        <f t="shared" ca="1" si="29"/>
        <v/>
      </c>
      <c r="K143" s="152" t="str">
        <f>IF($B143="","",IF(COUNTA('Dev Tracker'!L143)=0,"",TRIM('Dev Tracker'!L143)))</f>
        <v/>
      </c>
      <c r="L143" s="152" t="str">
        <f>IF($B143="","",IFERROR(MATCH($D143,Control!$E$4:$E$30,0),99))</f>
        <v/>
      </c>
      <c r="M143" s="152" t="str">
        <f>IF($B143="","",IFERROR(MATCH($F143,Control!$B$4:$B$30,0),99))</f>
        <v/>
      </c>
      <c r="N143" s="152" t="str">
        <f>IF($V143&lt;&gt;1,"",IF('Roadmap (Auto)'!$D$3="Status, then Theme",$M143*1000000+$L143*10000+ROW(),IF('Roadmap (Auto)'!$D$3="Dev start (earliest)",IF($I143="",99999999,$I143)*10000+ROW(),IF('Roadmap (Auto)'!$D$3="UX start (earliest)",IF($G143="",99999999,$G143)*10000+ROW(),IF('Roadmap (Auto)'!$D$3="Deliverable A-Z",$W143*10000+ROW(),$L143*1000000+$M143*10000+ROW())))))</f>
        <v/>
      </c>
      <c r="O143" s="152" t="str">
        <f t="shared" si="30"/>
        <v/>
      </c>
      <c r="P143" s="152" t="str">
        <f>IF($B143="","",IF(COUNTA('Dev Tracker'!I143)=0,"",'Dev Tracker'!I143))</f>
        <v/>
      </c>
      <c r="Q143" s="152" t="str">
        <f>IF($B143="","",IF(COUNTA('Dev Tracker'!J143)=0,"",'Dev Tracker'!J143))</f>
        <v/>
      </c>
      <c r="R143" s="154" t="str">
        <f t="shared" ca="1" si="31"/>
        <v/>
      </c>
      <c r="S143" s="154" t="str">
        <f t="shared" ca="1" si="32"/>
        <v/>
      </c>
      <c r="T143" s="152" t="str">
        <f>IF($B143="","",COUNTA('UX Weekly'!$H143:$CT143))</f>
        <v/>
      </c>
      <c r="U143" s="152" t="str">
        <f>IF($B143="","",IFERROR(MATCH($D143,Control!$E$4:$E$30,0)+3,0))</f>
        <v/>
      </c>
      <c r="V143" s="152" t="str">
        <f>IF($B143="","",IF(AND(OR('Roadmap (Auto)'!$A$3="",'Roadmap (Auto)'!$A$3="(All)",ISNUMBER(SEARCH('Roadmap (Auto)'!$A$3,$C143&amp;""))),OR('Roadmap (Auto)'!$B$3="",'Roadmap (Auto)'!$B$3="(All)",$D143='Roadmap (Auto)'!$B$3,$X143='Roadmap (Auto)'!$B$3),OR('Roadmap (Auto)'!$C$3="",'Roadmap (Auto)'!$C$3="(All)",$F143='Roadmap (Auto)'!$C$3)),1,0))</f>
        <v/>
      </c>
      <c r="W143" s="152" t="str">
        <f t="shared" si="33"/>
        <v/>
      </c>
      <c r="X143" s="152" t="str">
        <f>IF($B143="","",IF(TRIM('UX Weekly'!D143)="","",TRIM('UX Weekly'!D143)))</f>
        <v/>
      </c>
      <c r="Y143" s="152" t="str">
        <f t="shared" si="34"/>
        <v/>
      </c>
      <c r="AA143">
        <f>IF($B143="",0,COUNTIFS('UX Weekly'!$H$1:$CT$1,"&gt;="&amp;AA$1,'UX Weekly'!$H$1:$CT$1,"&lt;="&amp;EOMONTH(AA$1,0),'UX Weekly'!$H143:$CT143,"&lt;&gt;"))</f>
        <v>0</v>
      </c>
      <c r="AB143">
        <f>IF($B143="",0,COUNTIFS('UX Weekly'!$H$1:$CT$1,"&gt;="&amp;AB$1,'UX Weekly'!$H$1:$CT$1,"&lt;="&amp;EOMONTH(AB$1,0),'UX Weekly'!$H143:$CT143,"&lt;&gt;"))</f>
        <v>0</v>
      </c>
      <c r="AC143">
        <f>IF($B143="",0,COUNTIFS('UX Weekly'!$H$1:$CT$1,"&gt;="&amp;AC$1,'UX Weekly'!$H$1:$CT$1,"&lt;="&amp;EOMONTH(AC$1,0),'UX Weekly'!$H143:$CT143,"&lt;&gt;"))</f>
        <v>0</v>
      </c>
      <c r="AD143">
        <f>IF($B143="",0,COUNTIFS('UX Weekly'!$H$1:$CT$1,"&gt;="&amp;AD$1,'UX Weekly'!$H$1:$CT$1,"&lt;="&amp;EOMONTH(AD$1,0),'UX Weekly'!$H143:$CT143,"&lt;&gt;"))</f>
        <v>0</v>
      </c>
      <c r="AE143">
        <f>IF($B143="",0,COUNTIFS('UX Weekly'!$H$1:$CT$1,"&gt;="&amp;AE$1,'UX Weekly'!$H$1:$CT$1,"&lt;="&amp;EOMONTH(AE$1,0),'UX Weekly'!$H143:$CT143,"&lt;&gt;"))</f>
        <v>0</v>
      </c>
      <c r="AF143">
        <f>IF($B143="",0,COUNTIFS('UX Weekly'!$H$1:$CT$1,"&gt;="&amp;AF$1,'UX Weekly'!$H$1:$CT$1,"&lt;="&amp;EOMONTH(AF$1,0),'UX Weekly'!$H143:$CT143,"&lt;&gt;"))</f>
        <v>0</v>
      </c>
      <c r="AG143">
        <f>IF($B143="",0,COUNTIFS('UX Weekly'!$H$1:$CT$1,"&gt;="&amp;AG$1,'UX Weekly'!$H$1:$CT$1,"&lt;="&amp;EOMONTH(AG$1,0),'UX Weekly'!$H143:$CT143,"&lt;&gt;"))</f>
        <v>0</v>
      </c>
      <c r="AH143">
        <f>IF($B143="",0,COUNTIFS('UX Weekly'!$H$1:$CT$1,"&gt;="&amp;AH$1,'UX Weekly'!$H$1:$CT$1,"&lt;="&amp;EOMONTH(AH$1,0),'UX Weekly'!$H143:$CT143,"&lt;&gt;"))</f>
        <v>0</v>
      </c>
      <c r="AI143">
        <f>IF($B143="",0,COUNTIFS('UX Weekly'!$H$1:$CT$1,"&gt;="&amp;AI$1,'UX Weekly'!$H$1:$CT$1,"&lt;="&amp;EOMONTH(AI$1,0),'UX Weekly'!$H143:$CT143,"&lt;&gt;"))</f>
        <v>0</v>
      </c>
      <c r="AJ143">
        <f>IF($B143="",0,COUNTIFS('UX Weekly'!$H$1:$CT$1,"&gt;="&amp;AJ$1,'UX Weekly'!$H$1:$CT$1,"&lt;="&amp;EOMONTH(AJ$1,0),'UX Weekly'!$H143:$CT143,"&lt;&gt;"))</f>
        <v>0</v>
      </c>
      <c r="AK143">
        <f>IF($B143="",0,COUNTIFS('UX Weekly'!$H$1:$CT$1,"&gt;="&amp;AK$1,'UX Weekly'!$H$1:$CT$1,"&lt;="&amp;EOMONTH(AK$1,0),'UX Weekly'!$H143:$CT143,"&lt;&gt;"))</f>
        <v>0</v>
      </c>
      <c r="AL143">
        <f>IF($B143="",0,COUNTIFS('UX Weekly'!$H$1:$CT$1,"&gt;="&amp;AL$1,'UX Weekly'!$H$1:$CT$1,"&lt;="&amp;EOMONTH(AL$1,0),'UX Weekly'!$H143:$CT143,"&lt;&gt;"))</f>
        <v>0</v>
      </c>
      <c r="AM143">
        <f>IF($B143="",0,COUNTIFS('UX Weekly'!$H$1:$CT$1,"&gt;="&amp;AM$1,'UX Weekly'!$H$1:$CT$1,"&lt;="&amp;EOMONTH(AM$1,0),'UX Weekly'!$H143:$CT143,"&lt;&gt;"))</f>
        <v>0</v>
      </c>
      <c r="AN143">
        <f>IF($B143="",0,COUNTIFS('UX Weekly'!$H$1:$CT$1,"&gt;="&amp;AN$1,'UX Weekly'!$H$1:$CT$1,"&lt;="&amp;EOMONTH(AN$1,0),'UX Weekly'!$H143:$CT143,"&lt;&gt;"))</f>
        <v>0</v>
      </c>
      <c r="AO143">
        <f>IF($B143="",0,COUNTIFS('UX Weekly'!$H$1:$CT$1,"&gt;="&amp;AO$1,'UX Weekly'!$H$1:$CT$1,"&lt;="&amp;EOMONTH(AO$1,0),'UX Weekly'!$H143:$CT143,"&lt;&gt;"))</f>
        <v>0</v>
      </c>
      <c r="AP143">
        <f>IF($B143="",0,COUNTIFS('UX Weekly'!$H$1:$CT$1,"&gt;="&amp;AP$1,'UX Weekly'!$H$1:$CT$1,"&lt;="&amp;EOMONTH(AP$1,0),'UX Weekly'!$H143:$CT143,"&lt;&gt;"))</f>
        <v>0</v>
      </c>
      <c r="AQ143">
        <f>IF($B143="",0,COUNTIFS('UX Weekly'!$H$1:$CT$1,"&gt;="&amp;AQ$1,'UX Weekly'!$H$1:$CT$1,"&lt;="&amp;EOMONTH(AQ$1,0),'UX Weekly'!$H143:$CT143,"&lt;&gt;"))</f>
        <v>0</v>
      </c>
      <c r="AR143">
        <f>IF($B143="",0,COUNTIFS('UX Weekly'!$H$1:$CT$1,"&gt;="&amp;AR$1,'UX Weekly'!$H$1:$CT$1,"&lt;="&amp;EOMONTH(AR$1,0),'UX Weekly'!$H143:$CT143,"&lt;&gt;"))</f>
        <v>0</v>
      </c>
      <c r="AS143">
        <f>IF($B143="",0,COUNTIFS('UX Weekly'!$H$1:$CT$1,"&gt;="&amp;AS$1,'UX Weekly'!$H$1:$CT$1,"&lt;="&amp;EOMONTH(AS$1,0),'UX Weekly'!$H143:$CT143,"&lt;&gt;"))</f>
        <v>0</v>
      </c>
      <c r="AT143">
        <f>IF($B143="",0,COUNTIFS('UX Weekly'!$H$1:$CT$1,"&gt;="&amp;AT$1,'UX Weekly'!$H$1:$CT$1,"&lt;="&amp;EOMONTH(AT$1,0),'UX Weekly'!$H143:$CT143,"&lt;&gt;"))</f>
        <v>0</v>
      </c>
      <c r="AU143">
        <f>IF($B143="",0,COUNTIFS('UX Weekly'!$H$1:$CT$1,"&gt;="&amp;AU$1,'UX Weekly'!$H$1:$CT$1,"&lt;="&amp;EOMONTH(AU$1,0),'UX Weekly'!$H143:$CT143,"&lt;&gt;"))</f>
        <v>0</v>
      </c>
      <c r="AV143">
        <f>IF($B143="",0,COUNTIFS('UX Weekly'!$H$1:$CT$1,"&gt;="&amp;AV$1,'UX Weekly'!$H$1:$CT$1,"&lt;="&amp;EOMONTH(AV$1,0),'UX Weekly'!$H143:$CT143,"&lt;&gt;"))</f>
        <v>0</v>
      </c>
      <c r="AW143">
        <f>IF($B143="",0,COUNTIFS('UX Weekly'!$H$1:$CT$1,"&gt;="&amp;AW$1,'UX Weekly'!$H$1:$CT$1,"&lt;="&amp;EOMONTH(AW$1,0),'UX Weekly'!$H143:$CT143,"&lt;&gt;"))</f>
        <v>0</v>
      </c>
      <c r="AX143">
        <f>IF($B143="",0,COUNTIFS('UX Weekly'!$H$1:$CT$1,"&gt;="&amp;AX$1,'UX Weekly'!$H$1:$CT$1,"&lt;="&amp;EOMONTH(AX$1,0),'UX Weekly'!$H143:$CT143,"&lt;&gt;"))</f>
        <v>0</v>
      </c>
    </row>
    <row r="144" spans="1:50" x14ac:dyDescent="0.2">
      <c r="A144" s="152">
        <v>144</v>
      </c>
      <c r="B144" s="152" t="str">
        <f>IF(TRIM('UX Weekly'!E144)="","",TRIM('UX Weekly'!E144))</f>
        <v/>
      </c>
      <c r="C144" s="152" t="str">
        <f>IF($B144="","",'UX Weekly'!B144)</f>
        <v/>
      </c>
      <c r="D144" s="152" t="str">
        <f>IF($B144="","",IF(TRIM('UX Weekly'!C144)="","(No theme assigned)",TRIM('UX Weekly'!C144)))</f>
        <v/>
      </c>
      <c r="E144" s="152" t="str">
        <f>IF($B144="","",TRIM('UX Weekly'!F144))</f>
        <v/>
      </c>
      <c r="F144" s="152" t="str">
        <f>IF($B144="","",'UX Weekly'!G144)</f>
        <v/>
      </c>
      <c r="G144" s="153" t="str">
        <f t="array" ref="G144">IF($B144="","",IF($T144=0,"",IFERROR(MIN(IF('UX Weekly'!$H144:$CT144&lt;&gt;"",'UX Weekly'!$H$1:$CT$1)),"")))</f>
        <v/>
      </c>
      <c r="H144" s="153" t="str">
        <f t="array" ref="H144">IF($B144="","",IF($T144=0,"",IFERROR(MAX(IF('UX Weekly'!$H144:$CT144&lt;&gt;"",'UX Weekly'!$H$1:$CT$1)),"")))</f>
        <v/>
      </c>
      <c r="I144" s="154" t="str">
        <f t="shared" ca="1" si="28"/>
        <v/>
      </c>
      <c r="J144" s="154" t="str">
        <f t="shared" ca="1" si="29"/>
        <v/>
      </c>
      <c r="K144" s="152" t="str">
        <f>IF($B144="","",IF(COUNTA('Dev Tracker'!L144)=0,"",TRIM('Dev Tracker'!L144)))</f>
        <v/>
      </c>
      <c r="L144" s="152" t="str">
        <f>IF($B144="","",IFERROR(MATCH($D144,Control!$E$4:$E$30,0),99))</f>
        <v/>
      </c>
      <c r="M144" s="152" t="str">
        <f>IF($B144="","",IFERROR(MATCH($F144,Control!$B$4:$B$30,0),99))</f>
        <v/>
      </c>
      <c r="N144" s="152" t="str">
        <f>IF($V144&lt;&gt;1,"",IF('Roadmap (Auto)'!$D$3="Status, then Theme",$M144*1000000+$L144*10000+ROW(),IF('Roadmap (Auto)'!$D$3="Dev start (earliest)",IF($I144="",99999999,$I144)*10000+ROW(),IF('Roadmap (Auto)'!$D$3="UX start (earliest)",IF($G144="",99999999,$G144)*10000+ROW(),IF('Roadmap (Auto)'!$D$3="Deliverable A-Z",$W144*10000+ROW(),$L144*1000000+$M144*10000+ROW())))))</f>
        <v/>
      </c>
      <c r="O144" s="152" t="str">
        <f t="shared" si="30"/>
        <v/>
      </c>
      <c r="P144" s="152" t="str">
        <f>IF($B144="","",IF(COUNTA('Dev Tracker'!I144)=0,"",'Dev Tracker'!I144))</f>
        <v/>
      </c>
      <c r="Q144" s="152" t="str">
        <f>IF($B144="","",IF(COUNTA('Dev Tracker'!J144)=0,"",'Dev Tracker'!J144))</f>
        <v/>
      </c>
      <c r="R144" s="154" t="str">
        <f t="shared" ca="1" si="31"/>
        <v/>
      </c>
      <c r="S144" s="154" t="str">
        <f t="shared" ca="1" si="32"/>
        <v/>
      </c>
      <c r="T144" s="152" t="str">
        <f>IF($B144="","",COUNTA('UX Weekly'!$H144:$CT144))</f>
        <v/>
      </c>
      <c r="U144" s="152" t="str">
        <f>IF($B144="","",IFERROR(MATCH($D144,Control!$E$4:$E$30,0)+3,0))</f>
        <v/>
      </c>
      <c r="V144" s="152" t="str">
        <f>IF($B144="","",IF(AND(OR('Roadmap (Auto)'!$A$3="",'Roadmap (Auto)'!$A$3="(All)",ISNUMBER(SEARCH('Roadmap (Auto)'!$A$3,$C144&amp;""))),OR('Roadmap (Auto)'!$B$3="",'Roadmap (Auto)'!$B$3="(All)",$D144='Roadmap (Auto)'!$B$3,$X144='Roadmap (Auto)'!$B$3),OR('Roadmap (Auto)'!$C$3="",'Roadmap (Auto)'!$C$3="(All)",$F144='Roadmap (Auto)'!$C$3)),1,0))</f>
        <v/>
      </c>
      <c r="W144" s="152" t="str">
        <f t="shared" si="33"/>
        <v/>
      </c>
      <c r="X144" s="152" t="str">
        <f>IF($B144="","",IF(TRIM('UX Weekly'!D144)="","",TRIM('UX Weekly'!D144)))</f>
        <v/>
      </c>
      <c r="Y144" s="152" t="str">
        <f t="shared" si="34"/>
        <v/>
      </c>
      <c r="AA144">
        <f>IF($B144="",0,COUNTIFS('UX Weekly'!$H$1:$CT$1,"&gt;="&amp;AA$1,'UX Weekly'!$H$1:$CT$1,"&lt;="&amp;EOMONTH(AA$1,0),'UX Weekly'!$H144:$CT144,"&lt;&gt;"))</f>
        <v>0</v>
      </c>
      <c r="AB144">
        <f>IF($B144="",0,COUNTIFS('UX Weekly'!$H$1:$CT$1,"&gt;="&amp;AB$1,'UX Weekly'!$H$1:$CT$1,"&lt;="&amp;EOMONTH(AB$1,0),'UX Weekly'!$H144:$CT144,"&lt;&gt;"))</f>
        <v>0</v>
      </c>
      <c r="AC144">
        <f>IF($B144="",0,COUNTIFS('UX Weekly'!$H$1:$CT$1,"&gt;="&amp;AC$1,'UX Weekly'!$H$1:$CT$1,"&lt;="&amp;EOMONTH(AC$1,0),'UX Weekly'!$H144:$CT144,"&lt;&gt;"))</f>
        <v>0</v>
      </c>
      <c r="AD144">
        <f>IF($B144="",0,COUNTIFS('UX Weekly'!$H$1:$CT$1,"&gt;="&amp;AD$1,'UX Weekly'!$H$1:$CT$1,"&lt;="&amp;EOMONTH(AD$1,0),'UX Weekly'!$H144:$CT144,"&lt;&gt;"))</f>
        <v>0</v>
      </c>
      <c r="AE144">
        <f>IF($B144="",0,COUNTIFS('UX Weekly'!$H$1:$CT$1,"&gt;="&amp;AE$1,'UX Weekly'!$H$1:$CT$1,"&lt;="&amp;EOMONTH(AE$1,0),'UX Weekly'!$H144:$CT144,"&lt;&gt;"))</f>
        <v>0</v>
      </c>
      <c r="AF144">
        <f>IF($B144="",0,COUNTIFS('UX Weekly'!$H$1:$CT$1,"&gt;="&amp;AF$1,'UX Weekly'!$H$1:$CT$1,"&lt;="&amp;EOMONTH(AF$1,0),'UX Weekly'!$H144:$CT144,"&lt;&gt;"))</f>
        <v>0</v>
      </c>
      <c r="AG144">
        <f>IF($B144="",0,COUNTIFS('UX Weekly'!$H$1:$CT$1,"&gt;="&amp;AG$1,'UX Weekly'!$H$1:$CT$1,"&lt;="&amp;EOMONTH(AG$1,0),'UX Weekly'!$H144:$CT144,"&lt;&gt;"))</f>
        <v>0</v>
      </c>
      <c r="AH144">
        <f>IF($B144="",0,COUNTIFS('UX Weekly'!$H$1:$CT$1,"&gt;="&amp;AH$1,'UX Weekly'!$H$1:$CT$1,"&lt;="&amp;EOMONTH(AH$1,0),'UX Weekly'!$H144:$CT144,"&lt;&gt;"))</f>
        <v>0</v>
      </c>
      <c r="AI144">
        <f>IF($B144="",0,COUNTIFS('UX Weekly'!$H$1:$CT$1,"&gt;="&amp;AI$1,'UX Weekly'!$H$1:$CT$1,"&lt;="&amp;EOMONTH(AI$1,0),'UX Weekly'!$H144:$CT144,"&lt;&gt;"))</f>
        <v>0</v>
      </c>
      <c r="AJ144">
        <f>IF($B144="",0,COUNTIFS('UX Weekly'!$H$1:$CT$1,"&gt;="&amp;AJ$1,'UX Weekly'!$H$1:$CT$1,"&lt;="&amp;EOMONTH(AJ$1,0),'UX Weekly'!$H144:$CT144,"&lt;&gt;"))</f>
        <v>0</v>
      </c>
      <c r="AK144">
        <f>IF($B144="",0,COUNTIFS('UX Weekly'!$H$1:$CT$1,"&gt;="&amp;AK$1,'UX Weekly'!$H$1:$CT$1,"&lt;="&amp;EOMONTH(AK$1,0),'UX Weekly'!$H144:$CT144,"&lt;&gt;"))</f>
        <v>0</v>
      </c>
      <c r="AL144">
        <f>IF($B144="",0,COUNTIFS('UX Weekly'!$H$1:$CT$1,"&gt;="&amp;AL$1,'UX Weekly'!$H$1:$CT$1,"&lt;="&amp;EOMONTH(AL$1,0),'UX Weekly'!$H144:$CT144,"&lt;&gt;"))</f>
        <v>0</v>
      </c>
      <c r="AM144">
        <f>IF($B144="",0,COUNTIFS('UX Weekly'!$H$1:$CT$1,"&gt;="&amp;AM$1,'UX Weekly'!$H$1:$CT$1,"&lt;="&amp;EOMONTH(AM$1,0),'UX Weekly'!$H144:$CT144,"&lt;&gt;"))</f>
        <v>0</v>
      </c>
      <c r="AN144">
        <f>IF($B144="",0,COUNTIFS('UX Weekly'!$H$1:$CT$1,"&gt;="&amp;AN$1,'UX Weekly'!$H$1:$CT$1,"&lt;="&amp;EOMONTH(AN$1,0),'UX Weekly'!$H144:$CT144,"&lt;&gt;"))</f>
        <v>0</v>
      </c>
      <c r="AO144">
        <f>IF($B144="",0,COUNTIFS('UX Weekly'!$H$1:$CT$1,"&gt;="&amp;AO$1,'UX Weekly'!$H$1:$CT$1,"&lt;="&amp;EOMONTH(AO$1,0),'UX Weekly'!$H144:$CT144,"&lt;&gt;"))</f>
        <v>0</v>
      </c>
      <c r="AP144">
        <f>IF($B144="",0,COUNTIFS('UX Weekly'!$H$1:$CT$1,"&gt;="&amp;AP$1,'UX Weekly'!$H$1:$CT$1,"&lt;="&amp;EOMONTH(AP$1,0),'UX Weekly'!$H144:$CT144,"&lt;&gt;"))</f>
        <v>0</v>
      </c>
      <c r="AQ144">
        <f>IF($B144="",0,COUNTIFS('UX Weekly'!$H$1:$CT$1,"&gt;="&amp;AQ$1,'UX Weekly'!$H$1:$CT$1,"&lt;="&amp;EOMONTH(AQ$1,0),'UX Weekly'!$H144:$CT144,"&lt;&gt;"))</f>
        <v>0</v>
      </c>
      <c r="AR144">
        <f>IF($B144="",0,COUNTIFS('UX Weekly'!$H$1:$CT$1,"&gt;="&amp;AR$1,'UX Weekly'!$H$1:$CT$1,"&lt;="&amp;EOMONTH(AR$1,0),'UX Weekly'!$H144:$CT144,"&lt;&gt;"))</f>
        <v>0</v>
      </c>
      <c r="AS144">
        <f>IF($B144="",0,COUNTIFS('UX Weekly'!$H$1:$CT$1,"&gt;="&amp;AS$1,'UX Weekly'!$H$1:$CT$1,"&lt;="&amp;EOMONTH(AS$1,0),'UX Weekly'!$H144:$CT144,"&lt;&gt;"))</f>
        <v>0</v>
      </c>
      <c r="AT144">
        <f>IF($B144="",0,COUNTIFS('UX Weekly'!$H$1:$CT$1,"&gt;="&amp;AT$1,'UX Weekly'!$H$1:$CT$1,"&lt;="&amp;EOMONTH(AT$1,0),'UX Weekly'!$H144:$CT144,"&lt;&gt;"))</f>
        <v>0</v>
      </c>
      <c r="AU144">
        <f>IF($B144="",0,COUNTIFS('UX Weekly'!$H$1:$CT$1,"&gt;="&amp;AU$1,'UX Weekly'!$H$1:$CT$1,"&lt;="&amp;EOMONTH(AU$1,0),'UX Weekly'!$H144:$CT144,"&lt;&gt;"))</f>
        <v>0</v>
      </c>
      <c r="AV144">
        <f>IF($B144="",0,COUNTIFS('UX Weekly'!$H$1:$CT$1,"&gt;="&amp;AV$1,'UX Weekly'!$H$1:$CT$1,"&lt;="&amp;EOMONTH(AV$1,0),'UX Weekly'!$H144:$CT144,"&lt;&gt;"))</f>
        <v>0</v>
      </c>
      <c r="AW144">
        <f>IF($B144="",0,COUNTIFS('UX Weekly'!$H$1:$CT$1,"&gt;="&amp;AW$1,'UX Weekly'!$H$1:$CT$1,"&lt;="&amp;EOMONTH(AW$1,0),'UX Weekly'!$H144:$CT144,"&lt;&gt;"))</f>
        <v>0</v>
      </c>
      <c r="AX144">
        <f>IF($B144="",0,COUNTIFS('UX Weekly'!$H$1:$CT$1,"&gt;="&amp;AX$1,'UX Weekly'!$H$1:$CT$1,"&lt;="&amp;EOMONTH(AX$1,0),'UX Weekly'!$H144:$CT144,"&lt;&gt;"))</f>
        <v>0</v>
      </c>
    </row>
    <row r="145" spans="1:50" x14ac:dyDescent="0.2">
      <c r="A145" s="152">
        <v>145</v>
      </c>
      <c r="B145" s="152" t="str">
        <f>IF(TRIM('UX Weekly'!E145)="","",TRIM('UX Weekly'!E145))</f>
        <v/>
      </c>
      <c r="C145" s="152" t="str">
        <f>IF($B145="","",'UX Weekly'!B145)</f>
        <v/>
      </c>
      <c r="D145" s="152" t="str">
        <f>IF($B145="","",IF(TRIM('UX Weekly'!C145)="","(No theme assigned)",TRIM('UX Weekly'!C145)))</f>
        <v/>
      </c>
      <c r="E145" s="152" t="str">
        <f>IF($B145="","",TRIM('UX Weekly'!F145))</f>
        <v/>
      </c>
      <c r="F145" s="152" t="str">
        <f>IF($B145="","",'UX Weekly'!G145)</f>
        <v/>
      </c>
      <c r="G145" s="153" t="str">
        <f t="array" ref="G145">IF($B145="","",IF($T145=0,"",IFERROR(MIN(IF('UX Weekly'!$H145:$CT145&lt;&gt;"",'UX Weekly'!$H$1:$CT$1)),"")))</f>
        <v/>
      </c>
      <c r="H145" s="153" t="str">
        <f t="array" ref="H145">IF($B145="","",IF($T145=0,"",IFERROR(MAX(IF('UX Weekly'!$H145:$CT145&lt;&gt;"",'UX Weekly'!$H$1:$CT$1)),"")))</f>
        <v/>
      </c>
      <c r="I145" s="154" t="str">
        <f t="shared" ca="1" si="28"/>
        <v/>
      </c>
      <c r="J145" s="154" t="str">
        <f t="shared" ca="1" si="29"/>
        <v/>
      </c>
      <c r="K145" s="152" t="str">
        <f>IF($B145="","",IF(COUNTA('Dev Tracker'!L145)=0,"",TRIM('Dev Tracker'!L145)))</f>
        <v/>
      </c>
      <c r="L145" s="152" t="str">
        <f>IF($B145="","",IFERROR(MATCH($D145,Control!$E$4:$E$30,0),99))</f>
        <v/>
      </c>
      <c r="M145" s="152" t="str">
        <f>IF($B145="","",IFERROR(MATCH($F145,Control!$B$4:$B$30,0),99))</f>
        <v/>
      </c>
      <c r="N145" s="152" t="str">
        <f>IF($V145&lt;&gt;1,"",IF('Roadmap (Auto)'!$D$3="Status, then Theme",$M145*1000000+$L145*10000+ROW(),IF('Roadmap (Auto)'!$D$3="Dev start (earliest)",IF($I145="",99999999,$I145)*10000+ROW(),IF('Roadmap (Auto)'!$D$3="UX start (earliest)",IF($G145="",99999999,$G145)*10000+ROW(),IF('Roadmap (Auto)'!$D$3="Deliverable A-Z",$W145*10000+ROW(),$L145*1000000+$M145*10000+ROW())))))</f>
        <v/>
      </c>
      <c r="O145" s="152" t="str">
        <f t="shared" si="30"/>
        <v/>
      </c>
      <c r="P145" s="152" t="str">
        <f>IF($B145="","",IF(COUNTA('Dev Tracker'!I145)=0,"",'Dev Tracker'!I145))</f>
        <v/>
      </c>
      <c r="Q145" s="152" t="str">
        <f>IF($B145="","",IF(COUNTA('Dev Tracker'!J145)=0,"",'Dev Tracker'!J145))</f>
        <v/>
      </c>
      <c r="R145" s="154" t="str">
        <f t="shared" ca="1" si="31"/>
        <v/>
      </c>
      <c r="S145" s="154" t="str">
        <f t="shared" ca="1" si="32"/>
        <v/>
      </c>
      <c r="T145" s="152" t="str">
        <f>IF($B145="","",COUNTA('UX Weekly'!$H145:$CT145))</f>
        <v/>
      </c>
      <c r="U145" s="152" t="str">
        <f>IF($B145="","",IFERROR(MATCH($D145,Control!$E$4:$E$30,0)+3,0))</f>
        <v/>
      </c>
      <c r="V145" s="152" t="str">
        <f>IF($B145="","",IF(AND(OR('Roadmap (Auto)'!$A$3="",'Roadmap (Auto)'!$A$3="(All)",ISNUMBER(SEARCH('Roadmap (Auto)'!$A$3,$C145&amp;""))),OR('Roadmap (Auto)'!$B$3="",'Roadmap (Auto)'!$B$3="(All)",$D145='Roadmap (Auto)'!$B$3,$X145='Roadmap (Auto)'!$B$3),OR('Roadmap (Auto)'!$C$3="",'Roadmap (Auto)'!$C$3="(All)",$F145='Roadmap (Auto)'!$C$3)),1,0))</f>
        <v/>
      </c>
      <c r="W145" s="152" t="str">
        <f t="shared" si="33"/>
        <v/>
      </c>
      <c r="X145" s="152" t="str">
        <f>IF($B145="","",IF(TRIM('UX Weekly'!D145)="","",TRIM('UX Weekly'!D145)))</f>
        <v/>
      </c>
      <c r="Y145" s="152" t="str">
        <f t="shared" si="34"/>
        <v/>
      </c>
      <c r="AA145">
        <f>IF($B145="",0,COUNTIFS('UX Weekly'!$H$1:$CT$1,"&gt;="&amp;AA$1,'UX Weekly'!$H$1:$CT$1,"&lt;="&amp;EOMONTH(AA$1,0),'UX Weekly'!$H145:$CT145,"&lt;&gt;"))</f>
        <v>0</v>
      </c>
      <c r="AB145">
        <f>IF($B145="",0,COUNTIFS('UX Weekly'!$H$1:$CT$1,"&gt;="&amp;AB$1,'UX Weekly'!$H$1:$CT$1,"&lt;="&amp;EOMONTH(AB$1,0),'UX Weekly'!$H145:$CT145,"&lt;&gt;"))</f>
        <v>0</v>
      </c>
      <c r="AC145">
        <f>IF($B145="",0,COUNTIFS('UX Weekly'!$H$1:$CT$1,"&gt;="&amp;AC$1,'UX Weekly'!$H$1:$CT$1,"&lt;="&amp;EOMONTH(AC$1,0),'UX Weekly'!$H145:$CT145,"&lt;&gt;"))</f>
        <v>0</v>
      </c>
      <c r="AD145">
        <f>IF($B145="",0,COUNTIFS('UX Weekly'!$H$1:$CT$1,"&gt;="&amp;AD$1,'UX Weekly'!$H$1:$CT$1,"&lt;="&amp;EOMONTH(AD$1,0),'UX Weekly'!$H145:$CT145,"&lt;&gt;"))</f>
        <v>0</v>
      </c>
      <c r="AE145">
        <f>IF($B145="",0,COUNTIFS('UX Weekly'!$H$1:$CT$1,"&gt;="&amp;AE$1,'UX Weekly'!$H$1:$CT$1,"&lt;="&amp;EOMONTH(AE$1,0),'UX Weekly'!$H145:$CT145,"&lt;&gt;"))</f>
        <v>0</v>
      </c>
      <c r="AF145">
        <f>IF($B145="",0,COUNTIFS('UX Weekly'!$H$1:$CT$1,"&gt;="&amp;AF$1,'UX Weekly'!$H$1:$CT$1,"&lt;="&amp;EOMONTH(AF$1,0),'UX Weekly'!$H145:$CT145,"&lt;&gt;"))</f>
        <v>0</v>
      </c>
      <c r="AG145">
        <f>IF($B145="",0,COUNTIFS('UX Weekly'!$H$1:$CT$1,"&gt;="&amp;AG$1,'UX Weekly'!$H$1:$CT$1,"&lt;="&amp;EOMONTH(AG$1,0),'UX Weekly'!$H145:$CT145,"&lt;&gt;"))</f>
        <v>0</v>
      </c>
      <c r="AH145">
        <f>IF($B145="",0,COUNTIFS('UX Weekly'!$H$1:$CT$1,"&gt;="&amp;AH$1,'UX Weekly'!$H$1:$CT$1,"&lt;="&amp;EOMONTH(AH$1,0),'UX Weekly'!$H145:$CT145,"&lt;&gt;"))</f>
        <v>0</v>
      </c>
      <c r="AI145">
        <f>IF($B145="",0,COUNTIFS('UX Weekly'!$H$1:$CT$1,"&gt;="&amp;AI$1,'UX Weekly'!$H$1:$CT$1,"&lt;="&amp;EOMONTH(AI$1,0),'UX Weekly'!$H145:$CT145,"&lt;&gt;"))</f>
        <v>0</v>
      </c>
      <c r="AJ145">
        <f>IF($B145="",0,COUNTIFS('UX Weekly'!$H$1:$CT$1,"&gt;="&amp;AJ$1,'UX Weekly'!$H$1:$CT$1,"&lt;="&amp;EOMONTH(AJ$1,0),'UX Weekly'!$H145:$CT145,"&lt;&gt;"))</f>
        <v>0</v>
      </c>
      <c r="AK145">
        <f>IF($B145="",0,COUNTIFS('UX Weekly'!$H$1:$CT$1,"&gt;="&amp;AK$1,'UX Weekly'!$H$1:$CT$1,"&lt;="&amp;EOMONTH(AK$1,0),'UX Weekly'!$H145:$CT145,"&lt;&gt;"))</f>
        <v>0</v>
      </c>
      <c r="AL145">
        <f>IF($B145="",0,COUNTIFS('UX Weekly'!$H$1:$CT$1,"&gt;="&amp;AL$1,'UX Weekly'!$H$1:$CT$1,"&lt;="&amp;EOMONTH(AL$1,0),'UX Weekly'!$H145:$CT145,"&lt;&gt;"))</f>
        <v>0</v>
      </c>
      <c r="AM145">
        <f>IF($B145="",0,COUNTIFS('UX Weekly'!$H$1:$CT$1,"&gt;="&amp;AM$1,'UX Weekly'!$H$1:$CT$1,"&lt;="&amp;EOMONTH(AM$1,0),'UX Weekly'!$H145:$CT145,"&lt;&gt;"))</f>
        <v>0</v>
      </c>
      <c r="AN145">
        <f>IF($B145="",0,COUNTIFS('UX Weekly'!$H$1:$CT$1,"&gt;="&amp;AN$1,'UX Weekly'!$H$1:$CT$1,"&lt;="&amp;EOMONTH(AN$1,0),'UX Weekly'!$H145:$CT145,"&lt;&gt;"))</f>
        <v>0</v>
      </c>
      <c r="AO145">
        <f>IF($B145="",0,COUNTIFS('UX Weekly'!$H$1:$CT$1,"&gt;="&amp;AO$1,'UX Weekly'!$H$1:$CT$1,"&lt;="&amp;EOMONTH(AO$1,0),'UX Weekly'!$H145:$CT145,"&lt;&gt;"))</f>
        <v>0</v>
      </c>
      <c r="AP145">
        <f>IF($B145="",0,COUNTIFS('UX Weekly'!$H$1:$CT$1,"&gt;="&amp;AP$1,'UX Weekly'!$H$1:$CT$1,"&lt;="&amp;EOMONTH(AP$1,0),'UX Weekly'!$H145:$CT145,"&lt;&gt;"))</f>
        <v>0</v>
      </c>
      <c r="AQ145">
        <f>IF($B145="",0,COUNTIFS('UX Weekly'!$H$1:$CT$1,"&gt;="&amp;AQ$1,'UX Weekly'!$H$1:$CT$1,"&lt;="&amp;EOMONTH(AQ$1,0),'UX Weekly'!$H145:$CT145,"&lt;&gt;"))</f>
        <v>0</v>
      </c>
      <c r="AR145">
        <f>IF($B145="",0,COUNTIFS('UX Weekly'!$H$1:$CT$1,"&gt;="&amp;AR$1,'UX Weekly'!$H$1:$CT$1,"&lt;="&amp;EOMONTH(AR$1,0),'UX Weekly'!$H145:$CT145,"&lt;&gt;"))</f>
        <v>0</v>
      </c>
      <c r="AS145">
        <f>IF($B145="",0,COUNTIFS('UX Weekly'!$H$1:$CT$1,"&gt;="&amp;AS$1,'UX Weekly'!$H$1:$CT$1,"&lt;="&amp;EOMONTH(AS$1,0),'UX Weekly'!$H145:$CT145,"&lt;&gt;"))</f>
        <v>0</v>
      </c>
      <c r="AT145">
        <f>IF($B145="",0,COUNTIFS('UX Weekly'!$H$1:$CT$1,"&gt;="&amp;AT$1,'UX Weekly'!$H$1:$CT$1,"&lt;="&amp;EOMONTH(AT$1,0),'UX Weekly'!$H145:$CT145,"&lt;&gt;"))</f>
        <v>0</v>
      </c>
      <c r="AU145">
        <f>IF($B145="",0,COUNTIFS('UX Weekly'!$H$1:$CT$1,"&gt;="&amp;AU$1,'UX Weekly'!$H$1:$CT$1,"&lt;="&amp;EOMONTH(AU$1,0),'UX Weekly'!$H145:$CT145,"&lt;&gt;"))</f>
        <v>0</v>
      </c>
      <c r="AV145">
        <f>IF($B145="",0,COUNTIFS('UX Weekly'!$H$1:$CT$1,"&gt;="&amp;AV$1,'UX Weekly'!$H$1:$CT$1,"&lt;="&amp;EOMONTH(AV$1,0),'UX Weekly'!$H145:$CT145,"&lt;&gt;"))</f>
        <v>0</v>
      </c>
      <c r="AW145">
        <f>IF($B145="",0,COUNTIFS('UX Weekly'!$H$1:$CT$1,"&gt;="&amp;AW$1,'UX Weekly'!$H$1:$CT$1,"&lt;="&amp;EOMONTH(AW$1,0),'UX Weekly'!$H145:$CT145,"&lt;&gt;"))</f>
        <v>0</v>
      </c>
      <c r="AX145">
        <f>IF($B145="",0,COUNTIFS('UX Weekly'!$H$1:$CT$1,"&gt;="&amp;AX$1,'UX Weekly'!$H$1:$CT$1,"&lt;="&amp;EOMONTH(AX$1,0),'UX Weekly'!$H145:$CT145,"&lt;&gt;"))</f>
        <v>0</v>
      </c>
    </row>
    <row r="146" spans="1:50" x14ac:dyDescent="0.2">
      <c r="A146" s="152">
        <v>146</v>
      </c>
      <c r="B146" s="152" t="str">
        <f>IF(TRIM('UX Weekly'!E146)="","",TRIM('UX Weekly'!E146))</f>
        <v/>
      </c>
      <c r="C146" s="152" t="str">
        <f>IF($B146="","",'UX Weekly'!B146)</f>
        <v/>
      </c>
      <c r="D146" s="152" t="str">
        <f>IF($B146="","",IF(TRIM('UX Weekly'!C146)="","(No theme assigned)",TRIM('UX Weekly'!C146)))</f>
        <v/>
      </c>
      <c r="E146" s="152" t="str">
        <f>IF($B146="","",TRIM('UX Weekly'!F146))</f>
        <v/>
      </c>
      <c r="F146" s="152" t="str">
        <f>IF($B146="","",'UX Weekly'!G146)</f>
        <v/>
      </c>
      <c r="G146" s="153" t="str">
        <f t="array" ref="G146">IF($B146="","",IF($T146=0,"",IFERROR(MIN(IF('UX Weekly'!$H146:$CT146&lt;&gt;"",'UX Weekly'!$H$1:$CT$1)),"")))</f>
        <v/>
      </c>
      <c r="H146" s="153" t="str">
        <f t="array" ref="H146">IF($B146="","",IF($T146=0,"",IFERROR(MAX(IF('UX Weekly'!$H146:$CT146&lt;&gt;"",'UX Weekly'!$H$1:$CT$1)),"")))</f>
        <v/>
      </c>
      <c r="I146" s="154" t="str">
        <f t="shared" ca="1" si="28"/>
        <v/>
      </c>
      <c r="J146" s="154" t="str">
        <f t="shared" ca="1" si="29"/>
        <v/>
      </c>
      <c r="K146" s="152" t="str">
        <f>IF($B146="","",IF(COUNTA('Dev Tracker'!L146)=0,"",TRIM('Dev Tracker'!L146)))</f>
        <v/>
      </c>
      <c r="L146" s="152" t="str">
        <f>IF($B146="","",IFERROR(MATCH($D146,Control!$E$4:$E$30,0),99))</f>
        <v/>
      </c>
      <c r="M146" s="152" t="str">
        <f>IF($B146="","",IFERROR(MATCH($F146,Control!$B$4:$B$30,0),99))</f>
        <v/>
      </c>
      <c r="N146" s="152" t="str">
        <f>IF($V146&lt;&gt;1,"",IF('Roadmap (Auto)'!$D$3="Status, then Theme",$M146*1000000+$L146*10000+ROW(),IF('Roadmap (Auto)'!$D$3="Dev start (earliest)",IF($I146="",99999999,$I146)*10000+ROW(),IF('Roadmap (Auto)'!$D$3="UX start (earliest)",IF($G146="",99999999,$G146)*10000+ROW(),IF('Roadmap (Auto)'!$D$3="Deliverable A-Z",$W146*10000+ROW(),$L146*1000000+$M146*10000+ROW())))))</f>
        <v/>
      </c>
      <c r="O146" s="152" t="str">
        <f t="shared" si="30"/>
        <v/>
      </c>
      <c r="P146" s="152" t="str">
        <f>IF($B146="","",IF(COUNTA('Dev Tracker'!I146)=0,"",'Dev Tracker'!I146))</f>
        <v/>
      </c>
      <c r="Q146" s="152" t="str">
        <f>IF($B146="","",IF(COUNTA('Dev Tracker'!J146)=0,"",'Dev Tracker'!J146))</f>
        <v/>
      </c>
      <c r="R146" s="154" t="str">
        <f t="shared" ca="1" si="31"/>
        <v/>
      </c>
      <c r="S146" s="154" t="str">
        <f t="shared" ca="1" si="32"/>
        <v/>
      </c>
      <c r="T146" s="152" t="str">
        <f>IF($B146="","",COUNTA('UX Weekly'!$H146:$CT146))</f>
        <v/>
      </c>
      <c r="U146" s="152" t="str">
        <f>IF($B146="","",IFERROR(MATCH($D146,Control!$E$4:$E$30,0)+3,0))</f>
        <v/>
      </c>
      <c r="V146" s="152" t="str">
        <f>IF($B146="","",IF(AND(OR('Roadmap (Auto)'!$A$3="",'Roadmap (Auto)'!$A$3="(All)",ISNUMBER(SEARCH('Roadmap (Auto)'!$A$3,$C146&amp;""))),OR('Roadmap (Auto)'!$B$3="",'Roadmap (Auto)'!$B$3="(All)",$D146='Roadmap (Auto)'!$B$3,$X146='Roadmap (Auto)'!$B$3),OR('Roadmap (Auto)'!$C$3="",'Roadmap (Auto)'!$C$3="(All)",$F146='Roadmap (Auto)'!$C$3)),1,0))</f>
        <v/>
      </c>
      <c r="W146" s="152" t="str">
        <f t="shared" si="33"/>
        <v/>
      </c>
      <c r="X146" s="152" t="str">
        <f>IF($B146="","",IF(TRIM('UX Weekly'!D146)="","",TRIM('UX Weekly'!D146)))</f>
        <v/>
      </c>
      <c r="Y146" s="152" t="str">
        <f t="shared" si="34"/>
        <v/>
      </c>
      <c r="AA146">
        <f>IF($B146="",0,COUNTIFS('UX Weekly'!$H$1:$CT$1,"&gt;="&amp;AA$1,'UX Weekly'!$H$1:$CT$1,"&lt;="&amp;EOMONTH(AA$1,0),'UX Weekly'!$H146:$CT146,"&lt;&gt;"))</f>
        <v>0</v>
      </c>
      <c r="AB146">
        <f>IF($B146="",0,COUNTIFS('UX Weekly'!$H$1:$CT$1,"&gt;="&amp;AB$1,'UX Weekly'!$H$1:$CT$1,"&lt;="&amp;EOMONTH(AB$1,0),'UX Weekly'!$H146:$CT146,"&lt;&gt;"))</f>
        <v>0</v>
      </c>
      <c r="AC146">
        <f>IF($B146="",0,COUNTIFS('UX Weekly'!$H$1:$CT$1,"&gt;="&amp;AC$1,'UX Weekly'!$H$1:$CT$1,"&lt;="&amp;EOMONTH(AC$1,0),'UX Weekly'!$H146:$CT146,"&lt;&gt;"))</f>
        <v>0</v>
      </c>
      <c r="AD146">
        <f>IF($B146="",0,COUNTIFS('UX Weekly'!$H$1:$CT$1,"&gt;="&amp;AD$1,'UX Weekly'!$H$1:$CT$1,"&lt;="&amp;EOMONTH(AD$1,0),'UX Weekly'!$H146:$CT146,"&lt;&gt;"))</f>
        <v>0</v>
      </c>
      <c r="AE146">
        <f>IF($B146="",0,COUNTIFS('UX Weekly'!$H$1:$CT$1,"&gt;="&amp;AE$1,'UX Weekly'!$H$1:$CT$1,"&lt;="&amp;EOMONTH(AE$1,0),'UX Weekly'!$H146:$CT146,"&lt;&gt;"))</f>
        <v>0</v>
      </c>
      <c r="AF146">
        <f>IF($B146="",0,COUNTIFS('UX Weekly'!$H$1:$CT$1,"&gt;="&amp;AF$1,'UX Weekly'!$H$1:$CT$1,"&lt;="&amp;EOMONTH(AF$1,0),'UX Weekly'!$H146:$CT146,"&lt;&gt;"))</f>
        <v>0</v>
      </c>
      <c r="AG146">
        <f>IF($B146="",0,COUNTIFS('UX Weekly'!$H$1:$CT$1,"&gt;="&amp;AG$1,'UX Weekly'!$H$1:$CT$1,"&lt;="&amp;EOMONTH(AG$1,0),'UX Weekly'!$H146:$CT146,"&lt;&gt;"))</f>
        <v>0</v>
      </c>
      <c r="AH146">
        <f>IF($B146="",0,COUNTIFS('UX Weekly'!$H$1:$CT$1,"&gt;="&amp;AH$1,'UX Weekly'!$H$1:$CT$1,"&lt;="&amp;EOMONTH(AH$1,0),'UX Weekly'!$H146:$CT146,"&lt;&gt;"))</f>
        <v>0</v>
      </c>
      <c r="AI146">
        <f>IF($B146="",0,COUNTIFS('UX Weekly'!$H$1:$CT$1,"&gt;="&amp;AI$1,'UX Weekly'!$H$1:$CT$1,"&lt;="&amp;EOMONTH(AI$1,0),'UX Weekly'!$H146:$CT146,"&lt;&gt;"))</f>
        <v>0</v>
      </c>
      <c r="AJ146">
        <f>IF($B146="",0,COUNTIFS('UX Weekly'!$H$1:$CT$1,"&gt;="&amp;AJ$1,'UX Weekly'!$H$1:$CT$1,"&lt;="&amp;EOMONTH(AJ$1,0),'UX Weekly'!$H146:$CT146,"&lt;&gt;"))</f>
        <v>0</v>
      </c>
      <c r="AK146">
        <f>IF($B146="",0,COUNTIFS('UX Weekly'!$H$1:$CT$1,"&gt;="&amp;AK$1,'UX Weekly'!$H$1:$CT$1,"&lt;="&amp;EOMONTH(AK$1,0),'UX Weekly'!$H146:$CT146,"&lt;&gt;"))</f>
        <v>0</v>
      </c>
      <c r="AL146">
        <f>IF($B146="",0,COUNTIFS('UX Weekly'!$H$1:$CT$1,"&gt;="&amp;AL$1,'UX Weekly'!$H$1:$CT$1,"&lt;="&amp;EOMONTH(AL$1,0),'UX Weekly'!$H146:$CT146,"&lt;&gt;"))</f>
        <v>0</v>
      </c>
      <c r="AM146">
        <f>IF($B146="",0,COUNTIFS('UX Weekly'!$H$1:$CT$1,"&gt;="&amp;AM$1,'UX Weekly'!$H$1:$CT$1,"&lt;="&amp;EOMONTH(AM$1,0),'UX Weekly'!$H146:$CT146,"&lt;&gt;"))</f>
        <v>0</v>
      </c>
      <c r="AN146">
        <f>IF($B146="",0,COUNTIFS('UX Weekly'!$H$1:$CT$1,"&gt;="&amp;AN$1,'UX Weekly'!$H$1:$CT$1,"&lt;="&amp;EOMONTH(AN$1,0),'UX Weekly'!$H146:$CT146,"&lt;&gt;"))</f>
        <v>0</v>
      </c>
      <c r="AO146">
        <f>IF($B146="",0,COUNTIFS('UX Weekly'!$H$1:$CT$1,"&gt;="&amp;AO$1,'UX Weekly'!$H$1:$CT$1,"&lt;="&amp;EOMONTH(AO$1,0),'UX Weekly'!$H146:$CT146,"&lt;&gt;"))</f>
        <v>0</v>
      </c>
      <c r="AP146">
        <f>IF($B146="",0,COUNTIFS('UX Weekly'!$H$1:$CT$1,"&gt;="&amp;AP$1,'UX Weekly'!$H$1:$CT$1,"&lt;="&amp;EOMONTH(AP$1,0),'UX Weekly'!$H146:$CT146,"&lt;&gt;"))</f>
        <v>0</v>
      </c>
      <c r="AQ146">
        <f>IF($B146="",0,COUNTIFS('UX Weekly'!$H$1:$CT$1,"&gt;="&amp;AQ$1,'UX Weekly'!$H$1:$CT$1,"&lt;="&amp;EOMONTH(AQ$1,0),'UX Weekly'!$H146:$CT146,"&lt;&gt;"))</f>
        <v>0</v>
      </c>
      <c r="AR146">
        <f>IF($B146="",0,COUNTIFS('UX Weekly'!$H$1:$CT$1,"&gt;="&amp;AR$1,'UX Weekly'!$H$1:$CT$1,"&lt;="&amp;EOMONTH(AR$1,0),'UX Weekly'!$H146:$CT146,"&lt;&gt;"))</f>
        <v>0</v>
      </c>
      <c r="AS146">
        <f>IF($B146="",0,COUNTIFS('UX Weekly'!$H$1:$CT$1,"&gt;="&amp;AS$1,'UX Weekly'!$H$1:$CT$1,"&lt;="&amp;EOMONTH(AS$1,0),'UX Weekly'!$H146:$CT146,"&lt;&gt;"))</f>
        <v>0</v>
      </c>
      <c r="AT146">
        <f>IF($B146="",0,COUNTIFS('UX Weekly'!$H$1:$CT$1,"&gt;="&amp;AT$1,'UX Weekly'!$H$1:$CT$1,"&lt;="&amp;EOMONTH(AT$1,0),'UX Weekly'!$H146:$CT146,"&lt;&gt;"))</f>
        <v>0</v>
      </c>
      <c r="AU146">
        <f>IF($B146="",0,COUNTIFS('UX Weekly'!$H$1:$CT$1,"&gt;="&amp;AU$1,'UX Weekly'!$H$1:$CT$1,"&lt;="&amp;EOMONTH(AU$1,0),'UX Weekly'!$H146:$CT146,"&lt;&gt;"))</f>
        <v>0</v>
      </c>
      <c r="AV146">
        <f>IF($B146="",0,COUNTIFS('UX Weekly'!$H$1:$CT$1,"&gt;="&amp;AV$1,'UX Weekly'!$H$1:$CT$1,"&lt;="&amp;EOMONTH(AV$1,0),'UX Weekly'!$H146:$CT146,"&lt;&gt;"))</f>
        <v>0</v>
      </c>
      <c r="AW146">
        <f>IF($B146="",0,COUNTIFS('UX Weekly'!$H$1:$CT$1,"&gt;="&amp;AW$1,'UX Weekly'!$H$1:$CT$1,"&lt;="&amp;EOMONTH(AW$1,0),'UX Weekly'!$H146:$CT146,"&lt;&gt;"))</f>
        <v>0</v>
      </c>
      <c r="AX146">
        <f>IF($B146="",0,COUNTIFS('UX Weekly'!$H$1:$CT$1,"&gt;="&amp;AX$1,'UX Weekly'!$H$1:$CT$1,"&lt;="&amp;EOMONTH(AX$1,0),'UX Weekly'!$H146:$CT146,"&lt;&gt;"))</f>
        <v>0</v>
      </c>
    </row>
    <row r="147" spans="1:50" x14ac:dyDescent="0.2">
      <c r="A147" s="152">
        <v>147</v>
      </c>
      <c r="B147" s="152" t="str">
        <f>IF(TRIM('UX Weekly'!E147)="","",TRIM('UX Weekly'!E147))</f>
        <v/>
      </c>
      <c r="C147" s="152" t="str">
        <f>IF($B147="","",'UX Weekly'!B147)</f>
        <v/>
      </c>
      <c r="D147" s="152" t="str">
        <f>IF($B147="","",IF(TRIM('UX Weekly'!C147)="","(No theme assigned)",TRIM('UX Weekly'!C147)))</f>
        <v/>
      </c>
      <c r="E147" s="152" t="str">
        <f>IF($B147="","",TRIM('UX Weekly'!F147))</f>
        <v/>
      </c>
      <c r="F147" s="152" t="str">
        <f>IF($B147="","",'UX Weekly'!G147)</f>
        <v/>
      </c>
      <c r="G147" s="153" t="str">
        <f t="array" ref="G147">IF($B147="","",IF($T147=0,"",IFERROR(MIN(IF('UX Weekly'!$H147:$CT147&lt;&gt;"",'UX Weekly'!$H$1:$CT$1)),"")))</f>
        <v/>
      </c>
      <c r="H147" s="153" t="str">
        <f t="array" ref="H147">IF($B147="","",IF($T147=0,"",IFERROR(MAX(IF('UX Weekly'!$H147:$CT147&lt;&gt;"",'UX Weekly'!$H$1:$CT$1)),"")))</f>
        <v/>
      </c>
      <c r="I147" s="154" t="str">
        <f t="shared" ca="1" si="28"/>
        <v/>
      </c>
      <c r="J147" s="154" t="str">
        <f t="shared" ca="1" si="29"/>
        <v/>
      </c>
      <c r="K147" s="152" t="str">
        <f>IF($B147="","",IF(COUNTA('Dev Tracker'!L147)=0,"",TRIM('Dev Tracker'!L147)))</f>
        <v/>
      </c>
      <c r="L147" s="152" t="str">
        <f>IF($B147="","",IFERROR(MATCH($D147,Control!$E$4:$E$30,0),99))</f>
        <v/>
      </c>
      <c r="M147" s="152" t="str">
        <f>IF($B147="","",IFERROR(MATCH($F147,Control!$B$4:$B$30,0),99))</f>
        <v/>
      </c>
      <c r="N147" s="152" t="str">
        <f>IF($V147&lt;&gt;1,"",IF('Roadmap (Auto)'!$D$3="Status, then Theme",$M147*1000000+$L147*10000+ROW(),IF('Roadmap (Auto)'!$D$3="Dev start (earliest)",IF($I147="",99999999,$I147)*10000+ROW(),IF('Roadmap (Auto)'!$D$3="UX start (earliest)",IF($G147="",99999999,$G147)*10000+ROW(),IF('Roadmap (Auto)'!$D$3="Deliverable A-Z",$W147*10000+ROW(),$L147*1000000+$M147*10000+ROW())))))</f>
        <v/>
      </c>
      <c r="O147" s="152" t="str">
        <f t="shared" si="30"/>
        <v/>
      </c>
      <c r="P147" s="152" t="str">
        <f>IF($B147="","",IF(COUNTA('Dev Tracker'!I147)=0,"",'Dev Tracker'!I147))</f>
        <v/>
      </c>
      <c r="Q147" s="152" t="str">
        <f>IF($B147="","",IF(COUNTA('Dev Tracker'!J147)=0,"",'Dev Tracker'!J147))</f>
        <v/>
      </c>
      <c r="R147" s="154" t="str">
        <f t="shared" ca="1" si="31"/>
        <v/>
      </c>
      <c r="S147" s="154" t="str">
        <f t="shared" ca="1" si="32"/>
        <v/>
      </c>
      <c r="T147" s="152" t="str">
        <f>IF($B147="","",COUNTA('UX Weekly'!$H147:$CT147))</f>
        <v/>
      </c>
      <c r="U147" s="152" t="str">
        <f>IF($B147="","",IFERROR(MATCH($D147,Control!$E$4:$E$30,0)+3,0))</f>
        <v/>
      </c>
      <c r="V147" s="152" t="str">
        <f>IF($B147="","",IF(AND(OR('Roadmap (Auto)'!$A$3="",'Roadmap (Auto)'!$A$3="(All)",ISNUMBER(SEARCH('Roadmap (Auto)'!$A$3,$C147&amp;""))),OR('Roadmap (Auto)'!$B$3="",'Roadmap (Auto)'!$B$3="(All)",$D147='Roadmap (Auto)'!$B$3,$X147='Roadmap (Auto)'!$B$3),OR('Roadmap (Auto)'!$C$3="",'Roadmap (Auto)'!$C$3="(All)",$F147='Roadmap (Auto)'!$C$3)),1,0))</f>
        <v/>
      </c>
      <c r="W147" s="152" t="str">
        <f t="shared" si="33"/>
        <v/>
      </c>
      <c r="X147" s="152" t="str">
        <f>IF($B147="","",IF(TRIM('UX Weekly'!D147)="","",TRIM('UX Weekly'!D147)))</f>
        <v/>
      </c>
      <c r="Y147" s="152" t="str">
        <f t="shared" si="34"/>
        <v/>
      </c>
      <c r="AA147">
        <f>IF($B147="",0,COUNTIFS('UX Weekly'!$H$1:$CT$1,"&gt;="&amp;AA$1,'UX Weekly'!$H$1:$CT$1,"&lt;="&amp;EOMONTH(AA$1,0),'UX Weekly'!$H147:$CT147,"&lt;&gt;"))</f>
        <v>0</v>
      </c>
      <c r="AB147">
        <f>IF($B147="",0,COUNTIFS('UX Weekly'!$H$1:$CT$1,"&gt;="&amp;AB$1,'UX Weekly'!$H$1:$CT$1,"&lt;="&amp;EOMONTH(AB$1,0),'UX Weekly'!$H147:$CT147,"&lt;&gt;"))</f>
        <v>0</v>
      </c>
      <c r="AC147">
        <f>IF($B147="",0,COUNTIFS('UX Weekly'!$H$1:$CT$1,"&gt;="&amp;AC$1,'UX Weekly'!$H$1:$CT$1,"&lt;="&amp;EOMONTH(AC$1,0),'UX Weekly'!$H147:$CT147,"&lt;&gt;"))</f>
        <v>0</v>
      </c>
      <c r="AD147">
        <f>IF($B147="",0,COUNTIFS('UX Weekly'!$H$1:$CT$1,"&gt;="&amp;AD$1,'UX Weekly'!$H$1:$CT$1,"&lt;="&amp;EOMONTH(AD$1,0),'UX Weekly'!$H147:$CT147,"&lt;&gt;"))</f>
        <v>0</v>
      </c>
      <c r="AE147">
        <f>IF($B147="",0,COUNTIFS('UX Weekly'!$H$1:$CT$1,"&gt;="&amp;AE$1,'UX Weekly'!$H$1:$CT$1,"&lt;="&amp;EOMONTH(AE$1,0),'UX Weekly'!$H147:$CT147,"&lt;&gt;"))</f>
        <v>0</v>
      </c>
      <c r="AF147">
        <f>IF($B147="",0,COUNTIFS('UX Weekly'!$H$1:$CT$1,"&gt;="&amp;AF$1,'UX Weekly'!$H$1:$CT$1,"&lt;="&amp;EOMONTH(AF$1,0),'UX Weekly'!$H147:$CT147,"&lt;&gt;"))</f>
        <v>0</v>
      </c>
      <c r="AG147">
        <f>IF($B147="",0,COUNTIFS('UX Weekly'!$H$1:$CT$1,"&gt;="&amp;AG$1,'UX Weekly'!$H$1:$CT$1,"&lt;="&amp;EOMONTH(AG$1,0),'UX Weekly'!$H147:$CT147,"&lt;&gt;"))</f>
        <v>0</v>
      </c>
      <c r="AH147">
        <f>IF($B147="",0,COUNTIFS('UX Weekly'!$H$1:$CT$1,"&gt;="&amp;AH$1,'UX Weekly'!$H$1:$CT$1,"&lt;="&amp;EOMONTH(AH$1,0),'UX Weekly'!$H147:$CT147,"&lt;&gt;"))</f>
        <v>0</v>
      </c>
      <c r="AI147">
        <f>IF($B147="",0,COUNTIFS('UX Weekly'!$H$1:$CT$1,"&gt;="&amp;AI$1,'UX Weekly'!$H$1:$CT$1,"&lt;="&amp;EOMONTH(AI$1,0),'UX Weekly'!$H147:$CT147,"&lt;&gt;"))</f>
        <v>0</v>
      </c>
      <c r="AJ147">
        <f>IF($B147="",0,COUNTIFS('UX Weekly'!$H$1:$CT$1,"&gt;="&amp;AJ$1,'UX Weekly'!$H$1:$CT$1,"&lt;="&amp;EOMONTH(AJ$1,0),'UX Weekly'!$H147:$CT147,"&lt;&gt;"))</f>
        <v>0</v>
      </c>
      <c r="AK147">
        <f>IF($B147="",0,COUNTIFS('UX Weekly'!$H$1:$CT$1,"&gt;="&amp;AK$1,'UX Weekly'!$H$1:$CT$1,"&lt;="&amp;EOMONTH(AK$1,0),'UX Weekly'!$H147:$CT147,"&lt;&gt;"))</f>
        <v>0</v>
      </c>
      <c r="AL147">
        <f>IF($B147="",0,COUNTIFS('UX Weekly'!$H$1:$CT$1,"&gt;="&amp;AL$1,'UX Weekly'!$H$1:$CT$1,"&lt;="&amp;EOMONTH(AL$1,0),'UX Weekly'!$H147:$CT147,"&lt;&gt;"))</f>
        <v>0</v>
      </c>
      <c r="AM147">
        <f>IF($B147="",0,COUNTIFS('UX Weekly'!$H$1:$CT$1,"&gt;="&amp;AM$1,'UX Weekly'!$H$1:$CT$1,"&lt;="&amp;EOMONTH(AM$1,0),'UX Weekly'!$H147:$CT147,"&lt;&gt;"))</f>
        <v>0</v>
      </c>
      <c r="AN147">
        <f>IF($B147="",0,COUNTIFS('UX Weekly'!$H$1:$CT$1,"&gt;="&amp;AN$1,'UX Weekly'!$H$1:$CT$1,"&lt;="&amp;EOMONTH(AN$1,0),'UX Weekly'!$H147:$CT147,"&lt;&gt;"))</f>
        <v>0</v>
      </c>
      <c r="AO147">
        <f>IF($B147="",0,COUNTIFS('UX Weekly'!$H$1:$CT$1,"&gt;="&amp;AO$1,'UX Weekly'!$H$1:$CT$1,"&lt;="&amp;EOMONTH(AO$1,0),'UX Weekly'!$H147:$CT147,"&lt;&gt;"))</f>
        <v>0</v>
      </c>
      <c r="AP147">
        <f>IF($B147="",0,COUNTIFS('UX Weekly'!$H$1:$CT$1,"&gt;="&amp;AP$1,'UX Weekly'!$H$1:$CT$1,"&lt;="&amp;EOMONTH(AP$1,0),'UX Weekly'!$H147:$CT147,"&lt;&gt;"))</f>
        <v>0</v>
      </c>
      <c r="AQ147">
        <f>IF($B147="",0,COUNTIFS('UX Weekly'!$H$1:$CT$1,"&gt;="&amp;AQ$1,'UX Weekly'!$H$1:$CT$1,"&lt;="&amp;EOMONTH(AQ$1,0),'UX Weekly'!$H147:$CT147,"&lt;&gt;"))</f>
        <v>0</v>
      </c>
      <c r="AR147">
        <f>IF($B147="",0,COUNTIFS('UX Weekly'!$H$1:$CT$1,"&gt;="&amp;AR$1,'UX Weekly'!$H$1:$CT$1,"&lt;="&amp;EOMONTH(AR$1,0),'UX Weekly'!$H147:$CT147,"&lt;&gt;"))</f>
        <v>0</v>
      </c>
      <c r="AS147">
        <f>IF($B147="",0,COUNTIFS('UX Weekly'!$H$1:$CT$1,"&gt;="&amp;AS$1,'UX Weekly'!$H$1:$CT$1,"&lt;="&amp;EOMONTH(AS$1,0),'UX Weekly'!$H147:$CT147,"&lt;&gt;"))</f>
        <v>0</v>
      </c>
      <c r="AT147">
        <f>IF($B147="",0,COUNTIFS('UX Weekly'!$H$1:$CT$1,"&gt;="&amp;AT$1,'UX Weekly'!$H$1:$CT$1,"&lt;="&amp;EOMONTH(AT$1,0),'UX Weekly'!$H147:$CT147,"&lt;&gt;"))</f>
        <v>0</v>
      </c>
      <c r="AU147">
        <f>IF($B147="",0,COUNTIFS('UX Weekly'!$H$1:$CT$1,"&gt;="&amp;AU$1,'UX Weekly'!$H$1:$CT$1,"&lt;="&amp;EOMONTH(AU$1,0),'UX Weekly'!$H147:$CT147,"&lt;&gt;"))</f>
        <v>0</v>
      </c>
      <c r="AV147">
        <f>IF($B147="",0,COUNTIFS('UX Weekly'!$H$1:$CT$1,"&gt;="&amp;AV$1,'UX Weekly'!$H$1:$CT$1,"&lt;="&amp;EOMONTH(AV$1,0),'UX Weekly'!$H147:$CT147,"&lt;&gt;"))</f>
        <v>0</v>
      </c>
      <c r="AW147">
        <f>IF($B147="",0,COUNTIFS('UX Weekly'!$H$1:$CT$1,"&gt;="&amp;AW$1,'UX Weekly'!$H$1:$CT$1,"&lt;="&amp;EOMONTH(AW$1,0),'UX Weekly'!$H147:$CT147,"&lt;&gt;"))</f>
        <v>0</v>
      </c>
      <c r="AX147">
        <f>IF($B147="",0,COUNTIFS('UX Weekly'!$H$1:$CT$1,"&gt;="&amp;AX$1,'UX Weekly'!$H$1:$CT$1,"&lt;="&amp;EOMONTH(AX$1,0),'UX Weekly'!$H147:$CT147,"&lt;&gt;"))</f>
        <v>0</v>
      </c>
    </row>
    <row r="148" spans="1:50" x14ac:dyDescent="0.2">
      <c r="A148" s="152">
        <v>148</v>
      </c>
      <c r="B148" s="152" t="str">
        <f>IF(TRIM('UX Weekly'!E148)="","",TRIM('UX Weekly'!E148))</f>
        <v/>
      </c>
      <c r="C148" s="152" t="str">
        <f>IF($B148="","",'UX Weekly'!B148)</f>
        <v/>
      </c>
      <c r="D148" s="152" t="str">
        <f>IF($B148="","",IF(TRIM('UX Weekly'!C148)="","(No theme assigned)",TRIM('UX Weekly'!C148)))</f>
        <v/>
      </c>
      <c r="E148" s="152" t="str">
        <f>IF($B148="","",TRIM('UX Weekly'!F148))</f>
        <v/>
      </c>
      <c r="F148" s="152" t="str">
        <f>IF($B148="","",'UX Weekly'!G148)</f>
        <v/>
      </c>
      <c r="G148" s="153" t="str">
        <f t="array" ref="G148">IF($B148="","",IF($T148=0,"",IFERROR(MIN(IF('UX Weekly'!$H148:$CT148&lt;&gt;"",'UX Weekly'!$H$1:$CT$1)),"")))</f>
        <v/>
      </c>
      <c r="H148" s="153" t="str">
        <f t="array" ref="H148">IF($B148="","",IF($T148=0,"",IFERROR(MAX(IF('UX Weekly'!$H148:$CT148&lt;&gt;"",'UX Weekly'!$H$1:$CT$1)),"")))</f>
        <v/>
      </c>
      <c r="I148" s="154" t="str">
        <f t="shared" ca="1" si="28"/>
        <v/>
      </c>
      <c r="J148" s="154" t="str">
        <f t="shared" ca="1" si="29"/>
        <v/>
      </c>
      <c r="K148" s="152" t="str">
        <f>IF($B148="","",IF(COUNTA('Dev Tracker'!L148)=0,"",TRIM('Dev Tracker'!L148)))</f>
        <v/>
      </c>
      <c r="L148" s="152" t="str">
        <f>IF($B148="","",IFERROR(MATCH($D148,Control!$E$4:$E$30,0),99))</f>
        <v/>
      </c>
      <c r="M148" s="152" t="str">
        <f>IF($B148="","",IFERROR(MATCH($F148,Control!$B$4:$B$30,0),99))</f>
        <v/>
      </c>
      <c r="N148" s="152" t="str">
        <f>IF($V148&lt;&gt;1,"",IF('Roadmap (Auto)'!$D$3="Status, then Theme",$M148*1000000+$L148*10000+ROW(),IF('Roadmap (Auto)'!$D$3="Dev start (earliest)",IF($I148="",99999999,$I148)*10000+ROW(),IF('Roadmap (Auto)'!$D$3="UX start (earliest)",IF($G148="",99999999,$G148)*10000+ROW(),IF('Roadmap (Auto)'!$D$3="Deliverable A-Z",$W148*10000+ROW(),$L148*1000000+$M148*10000+ROW())))))</f>
        <v/>
      </c>
      <c r="O148" s="152" t="str">
        <f t="shared" si="30"/>
        <v/>
      </c>
      <c r="P148" s="152" t="str">
        <f>IF($B148="","",IF(COUNTA('Dev Tracker'!I148)=0,"",'Dev Tracker'!I148))</f>
        <v/>
      </c>
      <c r="Q148" s="152" t="str">
        <f>IF($B148="","",IF(COUNTA('Dev Tracker'!J148)=0,"",'Dev Tracker'!J148))</f>
        <v/>
      </c>
      <c r="R148" s="154" t="str">
        <f t="shared" ca="1" si="31"/>
        <v/>
      </c>
      <c r="S148" s="154" t="str">
        <f t="shared" ca="1" si="32"/>
        <v/>
      </c>
      <c r="T148" s="152" t="str">
        <f>IF($B148="","",COUNTA('UX Weekly'!$H148:$CT148))</f>
        <v/>
      </c>
      <c r="U148" s="152" t="str">
        <f>IF($B148="","",IFERROR(MATCH($D148,Control!$E$4:$E$30,0)+3,0))</f>
        <v/>
      </c>
      <c r="V148" s="152" t="str">
        <f>IF($B148="","",IF(AND(OR('Roadmap (Auto)'!$A$3="",'Roadmap (Auto)'!$A$3="(All)",ISNUMBER(SEARCH('Roadmap (Auto)'!$A$3,$C148&amp;""))),OR('Roadmap (Auto)'!$B$3="",'Roadmap (Auto)'!$B$3="(All)",$D148='Roadmap (Auto)'!$B$3,$X148='Roadmap (Auto)'!$B$3),OR('Roadmap (Auto)'!$C$3="",'Roadmap (Auto)'!$C$3="(All)",$F148='Roadmap (Auto)'!$C$3)),1,0))</f>
        <v/>
      </c>
      <c r="W148" s="152" t="str">
        <f t="shared" si="33"/>
        <v/>
      </c>
      <c r="X148" s="152" t="str">
        <f>IF($B148="","",IF(TRIM('UX Weekly'!D148)="","",TRIM('UX Weekly'!D148)))</f>
        <v/>
      </c>
      <c r="Y148" s="152" t="str">
        <f t="shared" si="34"/>
        <v/>
      </c>
      <c r="AA148">
        <f>IF($B148="",0,COUNTIFS('UX Weekly'!$H$1:$CT$1,"&gt;="&amp;AA$1,'UX Weekly'!$H$1:$CT$1,"&lt;="&amp;EOMONTH(AA$1,0),'UX Weekly'!$H148:$CT148,"&lt;&gt;"))</f>
        <v>0</v>
      </c>
      <c r="AB148">
        <f>IF($B148="",0,COUNTIFS('UX Weekly'!$H$1:$CT$1,"&gt;="&amp;AB$1,'UX Weekly'!$H$1:$CT$1,"&lt;="&amp;EOMONTH(AB$1,0),'UX Weekly'!$H148:$CT148,"&lt;&gt;"))</f>
        <v>0</v>
      </c>
      <c r="AC148">
        <f>IF($B148="",0,COUNTIFS('UX Weekly'!$H$1:$CT$1,"&gt;="&amp;AC$1,'UX Weekly'!$H$1:$CT$1,"&lt;="&amp;EOMONTH(AC$1,0),'UX Weekly'!$H148:$CT148,"&lt;&gt;"))</f>
        <v>0</v>
      </c>
      <c r="AD148">
        <f>IF($B148="",0,COUNTIFS('UX Weekly'!$H$1:$CT$1,"&gt;="&amp;AD$1,'UX Weekly'!$H$1:$CT$1,"&lt;="&amp;EOMONTH(AD$1,0),'UX Weekly'!$H148:$CT148,"&lt;&gt;"))</f>
        <v>0</v>
      </c>
      <c r="AE148">
        <f>IF($B148="",0,COUNTIFS('UX Weekly'!$H$1:$CT$1,"&gt;="&amp;AE$1,'UX Weekly'!$H$1:$CT$1,"&lt;="&amp;EOMONTH(AE$1,0),'UX Weekly'!$H148:$CT148,"&lt;&gt;"))</f>
        <v>0</v>
      </c>
      <c r="AF148">
        <f>IF($B148="",0,COUNTIFS('UX Weekly'!$H$1:$CT$1,"&gt;="&amp;AF$1,'UX Weekly'!$H$1:$CT$1,"&lt;="&amp;EOMONTH(AF$1,0),'UX Weekly'!$H148:$CT148,"&lt;&gt;"))</f>
        <v>0</v>
      </c>
      <c r="AG148">
        <f>IF($B148="",0,COUNTIFS('UX Weekly'!$H$1:$CT$1,"&gt;="&amp;AG$1,'UX Weekly'!$H$1:$CT$1,"&lt;="&amp;EOMONTH(AG$1,0),'UX Weekly'!$H148:$CT148,"&lt;&gt;"))</f>
        <v>0</v>
      </c>
      <c r="AH148">
        <f>IF($B148="",0,COUNTIFS('UX Weekly'!$H$1:$CT$1,"&gt;="&amp;AH$1,'UX Weekly'!$H$1:$CT$1,"&lt;="&amp;EOMONTH(AH$1,0),'UX Weekly'!$H148:$CT148,"&lt;&gt;"))</f>
        <v>0</v>
      </c>
      <c r="AI148">
        <f>IF($B148="",0,COUNTIFS('UX Weekly'!$H$1:$CT$1,"&gt;="&amp;AI$1,'UX Weekly'!$H$1:$CT$1,"&lt;="&amp;EOMONTH(AI$1,0),'UX Weekly'!$H148:$CT148,"&lt;&gt;"))</f>
        <v>0</v>
      </c>
      <c r="AJ148">
        <f>IF($B148="",0,COUNTIFS('UX Weekly'!$H$1:$CT$1,"&gt;="&amp;AJ$1,'UX Weekly'!$H$1:$CT$1,"&lt;="&amp;EOMONTH(AJ$1,0),'UX Weekly'!$H148:$CT148,"&lt;&gt;"))</f>
        <v>0</v>
      </c>
      <c r="AK148">
        <f>IF($B148="",0,COUNTIFS('UX Weekly'!$H$1:$CT$1,"&gt;="&amp;AK$1,'UX Weekly'!$H$1:$CT$1,"&lt;="&amp;EOMONTH(AK$1,0),'UX Weekly'!$H148:$CT148,"&lt;&gt;"))</f>
        <v>0</v>
      </c>
      <c r="AL148">
        <f>IF($B148="",0,COUNTIFS('UX Weekly'!$H$1:$CT$1,"&gt;="&amp;AL$1,'UX Weekly'!$H$1:$CT$1,"&lt;="&amp;EOMONTH(AL$1,0),'UX Weekly'!$H148:$CT148,"&lt;&gt;"))</f>
        <v>0</v>
      </c>
      <c r="AM148">
        <f>IF($B148="",0,COUNTIFS('UX Weekly'!$H$1:$CT$1,"&gt;="&amp;AM$1,'UX Weekly'!$H$1:$CT$1,"&lt;="&amp;EOMONTH(AM$1,0),'UX Weekly'!$H148:$CT148,"&lt;&gt;"))</f>
        <v>0</v>
      </c>
      <c r="AN148">
        <f>IF($B148="",0,COUNTIFS('UX Weekly'!$H$1:$CT$1,"&gt;="&amp;AN$1,'UX Weekly'!$H$1:$CT$1,"&lt;="&amp;EOMONTH(AN$1,0),'UX Weekly'!$H148:$CT148,"&lt;&gt;"))</f>
        <v>0</v>
      </c>
      <c r="AO148">
        <f>IF($B148="",0,COUNTIFS('UX Weekly'!$H$1:$CT$1,"&gt;="&amp;AO$1,'UX Weekly'!$H$1:$CT$1,"&lt;="&amp;EOMONTH(AO$1,0),'UX Weekly'!$H148:$CT148,"&lt;&gt;"))</f>
        <v>0</v>
      </c>
      <c r="AP148">
        <f>IF($B148="",0,COUNTIFS('UX Weekly'!$H$1:$CT$1,"&gt;="&amp;AP$1,'UX Weekly'!$H$1:$CT$1,"&lt;="&amp;EOMONTH(AP$1,0),'UX Weekly'!$H148:$CT148,"&lt;&gt;"))</f>
        <v>0</v>
      </c>
      <c r="AQ148">
        <f>IF($B148="",0,COUNTIFS('UX Weekly'!$H$1:$CT$1,"&gt;="&amp;AQ$1,'UX Weekly'!$H$1:$CT$1,"&lt;="&amp;EOMONTH(AQ$1,0),'UX Weekly'!$H148:$CT148,"&lt;&gt;"))</f>
        <v>0</v>
      </c>
      <c r="AR148">
        <f>IF($B148="",0,COUNTIFS('UX Weekly'!$H$1:$CT$1,"&gt;="&amp;AR$1,'UX Weekly'!$H$1:$CT$1,"&lt;="&amp;EOMONTH(AR$1,0),'UX Weekly'!$H148:$CT148,"&lt;&gt;"))</f>
        <v>0</v>
      </c>
      <c r="AS148">
        <f>IF($B148="",0,COUNTIFS('UX Weekly'!$H$1:$CT$1,"&gt;="&amp;AS$1,'UX Weekly'!$H$1:$CT$1,"&lt;="&amp;EOMONTH(AS$1,0),'UX Weekly'!$H148:$CT148,"&lt;&gt;"))</f>
        <v>0</v>
      </c>
      <c r="AT148">
        <f>IF($B148="",0,COUNTIFS('UX Weekly'!$H$1:$CT$1,"&gt;="&amp;AT$1,'UX Weekly'!$H$1:$CT$1,"&lt;="&amp;EOMONTH(AT$1,0),'UX Weekly'!$H148:$CT148,"&lt;&gt;"))</f>
        <v>0</v>
      </c>
      <c r="AU148">
        <f>IF($B148="",0,COUNTIFS('UX Weekly'!$H$1:$CT$1,"&gt;="&amp;AU$1,'UX Weekly'!$H$1:$CT$1,"&lt;="&amp;EOMONTH(AU$1,0),'UX Weekly'!$H148:$CT148,"&lt;&gt;"))</f>
        <v>0</v>
      </c>
      <c r="AV148">
        <f>IF($B148="",0,COUNTIFS('UX Weekly'!$H$1:$CT$1,"&gt;="&amp;AV$1,'UX Weekly'!$H$1:$CT$1,"&lt;="&amp;EOMONTH(AV$1,0),'UX Weekly'!$H148:$CT148,"&lt;&gt;"))</f>
        <v>0</v>
      </c>
      <c r="AW148">
        <f>IF($B148="",0,COUNTIFS('UX Weekly'!$H$1:$CT$1,"&gt;="&amp;AW$1,'UX Weekly'!$H$1:$CT$1,"&lt;="&amp;EOMONTH(AW$1,0),'UX Weekly'!$H148:$CT148,"&lt;&gt;"))</f>
        <v>0</v>
      </c>
      <c r="AX148">
        <f>IF($B148="",0,COUNTIFS('UX Weekly'!$H$1:$CT$1,"&gt;="&amp;AX$1,'UX Weekly'!$H$1:$CT$1,"&lt;="&amp;EOMONTH(AX$1,0),'UX Weekly'!$H148:$CT148,"&lt;&gt;"))</f>
        <v>0</v>
      </c>
    </row>
    <row r="149" spans="1:50" x14ac:dyDescent="0.2">
      <c r="A149" s="152">
        <v>149</v>
      </c>
      <c r="B149" s="152" t="str">
        <f>IF(TRIM('UX Weekly'!E149)="","",TRIM('UX Weekly'!E149))</f>
        <v/>
      </c>
      <c r="C149" s="152" t="str">
        <f>IF($B149="","",'UX Weekly'!B149)</f>
        <v/>
      </c>
      <c r="D149" s="152" t="str">
        <f>IF($B149="","",IF(TRIM('UX Weekly'!C149)="","(No theme assigned)",TRIM('UX Weekly'!C149)))</f>
        <v/>
      </c>
      <c r="E149" s="152" t="str">
        <f>IF($B149="","",TRIM('UX Weekly'!F149))</f>
        <v/>
      </c>
      <c r="F149" s="152" t="str">
        <f>IF($B149="","",'UX Weekly'!G149)</f>
        <v/>
      </c>
      <c r="G149" s="153" t="str">
        <f t="array" ref="G149">IF($B149="","",IF($T149=0,"",IFERROR(MIN(IF('UX Weekly'!$H149:$CT149&lt;&gt;"",'UX Weekly'!$H$1:$CT$1)),"")))</f>
        <v/>
      </c>
      <c r="H149" s="153" t="str">
        <f t="array" ref="H149">IF($B149="","",IF($T149=0,"",IFERROR(MAX(IF('UX Weekly'!$H149:$CT149&lt;&gt;"",'UX Weekly'!$H$1:$CT$1)),"")))</f>
        <v/>
      </c>
      <c r="I149" s="154" t="str">
        <f t="shared" ca="1" si="28"/>
        <v/>
      </c>
      <c r="J149" s="154" t="str">
        <f t="shared" ca="1" si="29"/>
        <v/>
      </c>
      <c r="K149" s="152" t="str">
        <f>IF($B149="","",IF(COUNTA('Dev Tracker'!L149)=0,"",TRIM('Dev Tracker'!L149)))</f>
        <v/>
      </c>
      <c r="L149" s="152" t="str">
        <f>IF($B149="","",IFERROR(MATCH($D149,Control!$E$4:$E$30,0),99))</f>
        <v/>
      </c>
      <c r="M149" s="152" t="str">
        <f>IF($B149="","",IFERROR(MATCH($F149,Control!$B$4:$B$30,0),99))</f>
        <v/>
      </c>
      <c r="N149" s="152" t="str">
        <f>IF($V149&lt;&gt;1,"",IF('Roadmap (Auto)'!$D$3="Status, then Theme",$M149*1000000+$L149*10000+ROW(),IF('Roadmap (Auto)'!$D$3="Dev start (earliest)",IF($I149="",99999999,$I149)*10000+ROW(),IF('Roadmap (Auto)'!$D$3="UX start (earliest)",IF($G149="",99999999,$G149)*10000+ROW(),IF('Roadmap (Auto)'!$D$3="Deliverable A-Z",$W149*10000+ROW(),$L149*1000000+$M149*10000+ROW())))))</f>
        <v/>
      </c>
      <c r="O149" s="152" t="str">
        <f t="shared" si="30"/>
        <v/>
      </c>
      <c r="P149" s="152" t="str">
        <f>IF($B149="","",IF(COUNTA('Dev Tracker'!I149)=0,"",'Dev Tracker'!I149))</f>
        <v/>
      </c>
      <c r="Q149" s="152" t="str">
        <f>IF($B149="","",IF(COUNTA('Dev Tracker'!J149)=0,"",'Dev Tracker'!J149))</f>
        <v/>
      </c>
      <c r="R149" s="154" t="str">
        <f t="shared" ca="1" si="31"/>
        <v/>
      </c>
      <c r="S149" s="154" t="str">
        <f t="shared" ca="1" si="32"/>
        <v/>
      </c>
      <c r="T149" s="152" t="str">
        <f>IF($B149="","",COUNTA('UX Weekly'!$H149:$CT149))</f>
        <v/>
      </c>
      <c r="U149" s="152" t="str">
        <f>IF($B149="","",IFERROR(MATCH($D149,Control!$E$4:$E$30,0)+3,0))</f>
        <v/>
      </c>
      <c r="V149" s="152" t="str">
        <f>IF($B149="","",IF(AND(OR('Roadmap (Auto)'!$A$3="",'Roadmap (Auto)'!$A$3="(All)",ISNUMBER(SEARCH('Roadmap (Auto)'!$A$3,$C149&amp;""))),OR('Roadmap (Auto)'!$B$3="",'Roadmap (Auto)'!$B$3="(All)",$D149='Roadmap (Auto)'!$B$3,$X149='Roadmap (Auto)'!$B$3),OR('Roadmap (Auto)'!$C$3="",'Roadmap (Auto)'!$C$3="(All)",$F149='Roadmap (Auto)'!$C$3)),1,0))</f>
        <v/>
      </c>
      <c r="W149" s="152" t="str">
        <f t="shared" si="33"/>
        <v/>
      </c>
      <c r="X149" s="152" t="str">
        <f>IF($B149="","",IF(TRIM('UX Weekly'!D149)="","",TRIM('UX Weekly'!D149)))</f>
        <v/>
      </c>
      <c r="Y149" s="152" t="str">
        <f t="shared" si="34"/>
        <v/>
      </c>
      <c r="AA149">
        <f>IF($B149="",0,COUNTIFS('UX Weekly'!$H$1:$CT$1,"&gt;="&amp;AA$1,'UX Weekly'!$H$1:$CT$1,"&lt;="&amp;EOMONTH(AA$1,0),'UX Weekly'!$H149:$CT149,"&lt;&gt;"))</f>
        <v>0</v>
      </c>
      <c r="AB149">
        <f>IF($B149="",0,COUNTIFS('UX Weekly'!$H$1:$CT$1,"&gt;="&amp;AB$1,'UX Weekly'!$H$1:$CT$1,"&lt;="&amp;EOMONTH(AB$1,0),'UX Weekly'!$H149:$CT149,"&lt;&gt;"))</f>
        <v>0</v>
      </c>
      <c r="AC149">
        <f>IF($B149="",0,COUNTIFS('UX Weekly'!$H$1:$CT$1,"&gt;="&amp;AC$1,'UX Weekly'!$H$1:$CT$1,"&lt;="&amp;EOMONTH(AC$1,0),'UX Weekly'!$H149:$CT149,"&lt;&gt;"))</f>
        <v>0</v>
      </c>
      <c r="AD149">
        <f>IF($B149="",0,COUNTIFS('UX Weekly'!$H$1:$CT$1,"&gt;="&amp;AD$1,'UX Weekly'!$H$1:$CT$1,"&lt;="&amp;EOMONTH(AD$1,0),'UX Weekly'!$H149:$CT149,"&lt;&gt;"))</f>
        <v>0</v>
      </c>
      <c r="AE149">
        <f>IF($B149="",0,COUNTIFS('UX Weekly'!$H$1:$CT$1,"&gt;="&amp;AE$1,'UX Weekly'!$H$1:$CT$1,"&lt;="&amp;EOMONTH(AE$1,0),'UX Weekly'!$H149:$CT149,"&lt;&gt;"))</f>
        <v>0</v>
      </c>
      <c r="AF149">
        <f>IF($B149="",0,COUNTIFS('UX Weekly'!$H$1:$CT$1,"&gt;="&amp;AF$1,'UX Weekly'!$H$1:$CT$1,"&lt;="&amp;EOMONTH(AF$1,0),'UX Weekly'!$H149:$CT149,"&lt;&gt;"))</f>
        <v>0</v>
      </c>
      <c r="AG149">
        <f>IF($B149="",0,COUNTIFS('UX Weekly'!$H$1:$CT$1,"&gt;="&amp;AG$1,'UX Weekly'!$H$1:$CT$1,"&lt;="&amp;EOMONTH(AG$1,0),'UX Weekly'!$H149:$CT149,"&lt;&gt;"))</f>
        <v>0</v>
      </c>
      <c r="AH149">
        <f>IF($B149="",0,COUNTIFS('UX Weekly'!$H$1:$CT$1,"&gt;="&amp;AH$1,'UX Weekly'!$H$1:$CT$1,"&lt;="&amp;EOMONTH(AH$1,0),'UX Weekly'!$H149:$CT149,"&lt;&gt;"))</f>
        <v>0</v>
      </c>
      <c r="AI149">
        <f>IF($B149="",0,COUNTIFS('UX Weekly'!$H$1:$CT$1,"&gt;="&amp;AI$1,'UX Weekly'!$H$1:$CT$1,"&lt;="&amp;EOMONTH(AI$1,0),'UX Weekly'!$H149:$CT149,"&lt;&gt;"))</f>
        <v>0</v>
      </c>
      <c r="AJ149">
        <f>IF($B149="",0,COUNTIFS('UX Weekly'!$H$1:$CT$1,"&gt;="&amp;AJ$1,'UX Weekly'!$H$1:$CT$1,"&lt;="&amp;EOMONTH(AJ$1,0),'UX Weekly'!$H149:$CT149,"&lt;&gt;"))</f>
        <v>0</v>
      </c>
      <c r="AK149">
        <f>IF($B149="",0,COUNTIFS('UX Weekly'!$H$1:$CT$1,"&gt;="&amp;AK$1,'UX Weekly'!$H$1:$CT$1,"&lt;="&amp;EOMONTH(AK$1,0),'UX Weekly'!$H149:$CT149,"&lt;&gt;"))</f>
        <v>0</v>
      </c>
      <c r="AL149">
        <f>IF($B149="",0,COUNTIFS('UX Weekly'!$H$1:$CT$1,"&gt;="&amp;AL$1,'UX Weekly'!$H$1:$CT$1,"&lt;="&amp;EOMONTH(AL$1,0),'UX Weekly'!$H149:$CT149,"&lt;&gt;"))</f>
        <v>0</v>
      </c>
      <c r="AM149">
        <f>IF($B149="",0,COUNTIFS('UX Weekly'!$H$1:$CT$1,"&gt;="&amp;AM$1,'UX Weekly'!$H$1:$CT$1,"&lt;="&amp;EOMONTH(AM$1,0),'UX Weekly'!$H149:$CT149,"&lt;&gt;"))</f>
        <v>0</v>
      </c>
      <c r="AN149">
        <f>IF($B149="",0,COUNTIFS('UX Weekly'!$H$1:$CT$1,"&gt;="&amp;AN$1,'UX Weekly'!$H$1:$CT$1,"&lt;="&amp;EOMONTH(AN$1,0),'UX Weekly'!$H149:$CT149,"&lt;&gt;"))</f>
        <v>0</v>
      </c>
      <c r="AO149">
        <f>IF($B149="",0,COUNTIFS('UX Weekly'!$H$1:$CT$1,"&gt;="&amp;AO$1,'UX Weekly'!$H$1:$CT$1,"&lt;="&amp;EOMONTH(AO$1,0),'UX Weekly'!$H149:$CT149,"&lt;&gt;"))</f>
        <v>0</v>
      </c>
      <c r="AP149">
        <f>IF($B149="",0,COUNTIFS('UX Weekly'!$H$1:$CT$1,"&gt;="&amp;AP$1,'UX Weekly'!$H$1:$CT$1,"&lt;="&amp;EOMONTH(AP$1,0),'UX Weekly'!$H149:$CT149,"&lt;&gt;"))</f>
        <v>0</v>
      </c>
      <c r="AQ149">
        <f>IF($B149="",0,COUNTIFS('UX Weekly'!$H$1:$CT$1,"&gt;="&amp;AQ$1,'UX Weekly'!$H$1:$CT$1,"&lt;="&amp;EOMONTH(AQ$1,0),'UX Weekly'!$H149:$CT149,"&lt;&gt;"))</f>
        <v>0</v>
      </c>
      <c r="AR149">
        <f>IF($B149="",0,COUNTIFS('UX Weekly'!$H$1:$CT$1,"&gt;="&amp;AR$1,'UX Weekly'!$H$1:$CT$1,"&lt;="&amp;EOMONTH(AR$1,0),'UX Weekly'!$H149:$CT149,"&lt;&gt;"))</f>
        <v>0</v>
      </c>
      <c r="AS149">
        <f>IF($B149="",0,COUNTIFS('UX Weekly'!$H$1:$CT$1,"&gt;="&amp;AS$1,'UX Weekly'!$H$1:$CT$1,"&lt;="&amp;EOMONTH(AS$1,0),'UX Weekly'!$H149:$CT149,"&lt;&gt;"))</f>
        <v>0</v>
      </c>
      <c r="AT149">
        <f>IF($B149="",0,COUNTIFS('UX Weekly'!$H$1:$CT$1,"&gt;="&amp;AT$1,'UX Weekly'!$H$1:$CT$1,"&lt;="&amp;EOMONTH(AT$1,0),'UX Weekly'!$H149:$CT149,"&lt;&gt;"))</f>
        <v>0</v>
      </c>
      <c r="AU149">
        <f>IF($B149="",0,COUNTIFS('UX Weekly'!$H$1:$CT$1,"&gt;="&amp;AU$1,'UX Weekly'!$H$1:$CT$1,"&lt;="&amp;EOMONTH(AU$1,0),'UX Weekly'!$H149:$CT149,"&lt;&gt;"))</f>
        <v>0</v>
      </c>
      <c r="AV149">
        <f>IF($B149="",0,COUNTIFS('UX Weekly'!$H$1:$CT$1,"&gt;="&amp;AV$1,'UX Weekly'!$H$1:$CT$1,"&lt;="&amp;EOMONTH(AV$1,0),'UX Weekly'!$H149:$CT149,"&lt;&gt;"))</f>
        <v>0</v>
      </c>
      <c r="AW149">
        <f>IF($B149="",0,COUNTIFS('UX Weekly'!$H$1:$CT$1,"&gt;="&amp;AW$1,'UX Weekly'!$H$1:$CT$1,"&lt;="&amp;EOMONTH(AW$1,0),'UX Weekly'!$H149:$CT149,"&lt;&gt;"))</f>
        <v>0</v>
      </c>
      <c r="AX149">
        <f>IF($B149="",0,COUNTIFS('UX Weekly'!$H$1:$CT$1,"&gt;="&amp;AX$1,'UX Weekly'!$H$1:$CT$1,"&lt;="&amp;EOMONTH(AX$1,0),'UX Weekly'!$H149:$CT149,"&lt;&gt;"))</f>
        <v>0</v>
      </c>
    </row>
    <row r="150" spans="1:50" x14ac:dyDescent="0.2">
      <c r="A150" s="152">
        <v>150</v>
      </c>
      <c r="B150" s="152" t="str">
        <f>IF(TRIM('UX Weekly'!E150)="","",TRIM('UX Weekly'!E150))</f>
        <v/>
      </c>
      <c r="C150" s="152" t="str">
        <f>IF($B150="","",'UX Weekly'!B150)</f>
        <v/>
      </c>
      <c r="D150" s="152" t="str">
        <f>IF($B150="","",IF(TRIM('UX Weekly'!C150)="","(No theme assigned)",TRIM('UX Weekly'!C150)))</f>
        <v/>
      </c>
      <c r="E150" s="152" t="str">
        <f>IF($B150="","",TRIM('UX Weekly'!F150))</f>
        <v/>
      </c>
      <c r="F150" s="152" t="str">
        <f>IF($B150="","",'UX Weekly'!G150)</f>
        <v/>
      </c>
      <c r="G150" s="153" t="str">
        <f t="array" ref="G150">IF($B150="","",IF($T150=0,"",IFERROR(MIN(IF('UX Weekly'!$H150:$CT150&lt;&gt;"",'UX Weekly'!$H$1:$CT$1)),"")))</f>
        <v/>
      </c>
      <c r="H150" s="153" t="str">
        <f t="array" ref="H150">IF($B150="","",IF($T150=0,"",IFERROR(MAX(IF('UX Weekly'!$H150:$CT150&lt;&gt;"",'UX Weekly'!$H$1:$CT$1)),"")))</f>
        <v/>
      </c>
      <c r="I150" s="154" t="str">
        <f t="shared" ca="1" si="28"/>
        <v/>
      </c>
      <c r="J150" s="154" t="str">
        <f t="shared" ca="1" si="29"/>
        <v/>
      </c>
      <c r="K150" s="152" t="str">
        <f>IF($B150="","",IF(COUNTA('Dev Tracker'!L150)=0,"",TRIM('Dev Tracker'!L150)))</f>
        <v/>
      </c>
      <c r="L150" s="152" t="str">
        <f>IF($B150="","",IFERROR(MATCH($D150,Control!$E$4:$E$30,0),99))</f>
        <v/>
      </c>
      <c r="M150" s="152" t="str">
        <f>IF($B150="","",IFERROR(MATCH($F150,Control!$B$4:$B$30,0),99))</f>
        <v/>
      </c>
      <c r="N150" s="152" t="str">
        <f>IF($V150&lt;&gt;1,"",IF('Roadmap (Auto)'!$D$3="Status, then Theme",$M150*1000000+$L150*10000+ROW(),IF('Roadmap (Auto)'!$D$3="Dev start (earliest)",IF($I150="",99999999,$I150)*10000+ROW(),IF('Roadmap (Auto)'!$D$3="UX start (earliest)",IF($G150="",99999999,$G150)*10000+ROW(),IF('Roadmap (Auto)'!$D$3="Deliverable A-Z",$W150*10000+ROW(),$L150*1000000+$M150*10000+ROW())))))</f>
        <v/>
      </c>
      <c r="O150" s="152" t="str">
        <f t="shared" si="30"/>
        <v/>
      </c>
      <c r="P150" s="152" t="str">
        <f>IF($B150="","",IF(COUNTA('Dev Tracker'!I150)=0,"",'Dev Tracker'!I150))</f>
        <v/>
      </c>
      <c r="Q150" s="152" t="str">
        <f>IF($B150="","",IF(COUNTA('Dev Tracker'!J150)=0,"",'Dev Tracker'!J150))</f>
        <v/>
      </c>
      <c r="R150" s="154" t="str">
        <f t="shared" ca="1" si="31"/>
        <v/>
      </c>
      <c r="S150" s="154" t="str">
        <f t="shared" ca="1" si="32"/>
        <v/>
      </c>
      <c r="T150" s="152" t="str">
        <f>IF($B150="","",COUNTA('UX Weekly'!$H150:$CT150))</f>
        <v/>
      </c>
      <c r="U150" s="152" t="str">
        <f>IF($B150="","",IFERROR(MATCH($D150,Control!$E$4:$E$30,0)+3,0))</f>
        <v/>
      </c>
      <c r="V150" s="152" t="str">
        <f>IF($B150="","",IF(AND(OR('Roadmap (Auto)'!$A$3="",'Roadmap (Auto)'!$A$3="(All)",ISNUMBER(SEARCH('Roadmap (Auto)'!$A$3,$C150&amp;""))),OR('Roadmap (Auto)'!$B$3="",'Roadmap (Auto)'!$B$3="(All)",$D150='Roadmap (Auto)'!$B$3,$X150='Roadmap (Auto)'!$B$3),OR('Roadmap (Auto)'!$C$3="",'Roadmap (Auto)'!$C$3="(All)",$F150='Roadmap (Auto)'!$C$3)),1,0))</f>
        <v/>
      </c>
      <c r="W150" s="152" t="str">
        <f t="shared" si="33"/>
        <v/>
      </c>
      <c r="X150" s="152" t="str">
        <f>IF($B150="","",IF(TRIM('UX Weekly'!D150)="","",TRIM('UX Weekly'!D150)))</f>
        <v/>
      </c>
      <c r="Y150" s="152" t="str">
        <f t="shared" si="34"/>
        <v/>
      </c>
      <c r="AA150">
        <f>IF($B150="",0,COUNTIFS('UX Weekly'!$H$1:$CT$1,"&gt;="&amp;AA$1,'UX Weekly'!$H$1:$CT$1,"&lt;="&amp;EOMONTH(AA$1,0),'UX Weekly'!$H150:$CT150,"&lt;&gt;"))</f>
        <v>0</v>
      </c>
      <c r="AB150">
        <f>IF($B150="",0,COUNTIFS('UX Weekly'!$H$1:$CT$1,"&gt;="&amp;AB$1,'UX Weekly'!$H$1:$CT$1,"&lt;="&amp;EOMONTH(AB$1,0),'UX Weekly'!$H150:$CT150,"&lt;&gt;"))</f>
        <v>0</v>
      </c>
      <c r="AC150">
        <f>IF($B150="",0,COUNTIFS('UX Weekly'!$H$1:$CT$1,"&gt;="&amp;AC$1,'UX Weekly'!$H$1:$CT$1,"&lt;="&amp;EOMONTH(AC$1,0),'UX Weekly'!$H150:$CT150,"&lt;&gt;"))</f>
        <v>0</v>
      </c>
      <c r="AD150">
        <f>IF($B150="",0,COUNTIFS('UX Weekly'!$H$1:$CT$1,"&gt;="&amp;AD$1,'UX Weekly'!$H$1:$CT$1,"&lt;="&amp;EOMONTH(AD$1,0),'UX Weekly'!$H150:$CT150,"&lt;&gt;"))</f>
        <v>0</v>
      </c>
      <c r="AE150">
        <f>IF($B150="",0,COUNTIFS('UX Weekly'!$H$1:$CT$1,"&gt;="&amp;AE$1,'UX Weekly'!$H$1:$CT$1,"&lt;="&amp;EOMONTH(AE$1,0),'UX Weekly'!$H150:$CT150,"&lt;&gt;"))</f>
        <v>0</v>
      </c>
      <c r="AF150">
        <f>IF($B150="",0,COUNTIFS('UX Weekly'!$H$1:$CT$1,"&gt;="&amp;AF$1,'UX Weekly'!$H$1:$CT$1,"&lt;="&amp;EOMONTH(AF$1,0),'UX Weekly'!$H150:$CT150,"&lt;&gt;"))</f>
        <v>0</v>
      </c>
      <c r="AG150">
        <f>IF($B150="",0,COUNTIFS('UX Weekly'!$H$1:$CT$1,"&gt;="&amp;AG$1,'UX Weekly'!$H$1:$CT$1,"&lt;="&amp;EOMONTH(AG$1,0),'UX Weekly'!$H150:$CT150,"&lt;&gt;"))</f>
        <v>0</v>
      </c>
      <c r="AH150">
        <f>IF($B150="",0,COUNTIFS('UX Weekly'!$H$1:$CT$1,"&gt;="&amp;AH$1,'UX Weekly'!$H$1:$CT$1,"&lt;="&amp;EOMONTH(AH$1,0),'UX Weekly'!$H150:$CT150,"&lt;&gt;"))</f>
        <v>0</v>
      </c>
      <c r="AI150">
        <f>IF($B150="",0,COUNTIFS('UX Weekly'!$H$1:$CT$1,"&gt;="&amp;AI$1,'UX Weekly'!$H$1:$CT$1,"&lt;="&amp;EOMONTH(AI$1,0),'UX Weekly'!$H150:$CT150,"&lt;&gt;"))</f>
        <v>0</v>
      </c>
      <c r="AJ150">
        <f>IF($B150="",0,COUNTIFS('UX Weekly'!$H$1:$CT$1,"&gt;="&amp;AJ$1,'UX Weekly'!$H$1:$CT$1,"&lt;="&amp;EOMONTH(AJ$1,0),'UX Weekly'!$H150:$CT150,"&lt;&gt;"))</f>
        <v>0</v>
      </c>
      <c r="AK150">
        <f>IF($B150="",0,COUNTIFS('UX Weekly'!$H$1:$CT$1,"&gt;="&amp;AK$1,'UX Weekly'!$H$1:$CT$1,"&lt;="&amp;EOMONTH(AK$1,0),'UX Weekly'!$H150:$CT150,"&lt;&gt;"))</f>
        <v>0</v>
      </c>
      <c r="AL150">
        <f>IF($B150="",0,COUNTIFS('UX Weekly'!$H$1:$CT$1,"&gt;="&amp;AL$1,'UX Weekly'!$H$1:$CT$1,"&lt;="&amp;EOMONTH(AL$1,0),'UX Weekly'!$H150:$CT150,"&lt;&gt;"))</f>
        <v>0</v>
      </c>
      <c r="AM150">
        <f>IF($B150="",0,COUNTIFS('UX Weekly'!$H$1:$CT$1,"&gt;="&amp;AM$1,'UX Weekly'!$H$1:$CT$1,"&lt;="&amp;EOMONTH(AM$1,0),'UX Weekly'!$H150:$CT150,"&lt;&gt;"))</f>
        <v>0</v>
      </c>
      <c r="AN150">
        <f>IF($B150="",0,COUNTIFS('UX Weekly'!$H$1:$CT$1,"&gt;="&amp;AN$1,'UX Weekly'!$H$1:$CT$1,"&lt;="&amp;EOMONTH(AN$1,0),'UX Weekly'!$H150:$CT150,"&lt;&gt;"))</f>
        <v>0</v>
      </c>
      <c r="AO150">
        <f>IF($B150="",0,COUNTIFS('UX Weekly'!$H$1:$CT$1,"&gt;="&amp;AO$1,'UX Weekly'!$H$1:$CT$1,"&lt;="&amp;EOMONTH(AO$1,0),'UX Weekly'!$H150:$CT150,"&lt;&gt;"))</f>
        <v>0</v>
      </c>
      <c r="AP150">
        <f>IF($B150="",0,COUNTIFS('UX Weekly'!$H$1:$CT$1,"&gt;="&amp;AP$1,'UX Weekly'!$H$1:$CT$1,"&lt;="&amp;EOMONTH(AP$1,0),'UX Weekly'!$H150:$CT150,"&lt;&gt;"))</f>
        <v>0</v>
      </c>
      <c r="AQ150">
        <f>IF($B150="",0,COUNTIFS('UX Weekly'!$H$1:$CT$1,"&gt;="&amp;AQ$1,'UX Weekly'!$H$1:$CT$1,"&lt;="&amp;EOMONTH(AQ$1,0),'UX Weekly'!$H150:$CT150,"&lt;&gt;"))</f>
        <v>0</v>
      </c>
      <c r="AR150">
        <f>IF($B150="",0,COUNTIFS('UX Weekly'!$H$1:$CT$1,"&gt;="&amp;AR$1,'UX Weekly'!$H$1:$CT$1,"&lt;="&amp;EOMONTH(AR$1,0),'UX Weekly'!$H150:$CT150,"&lt;&gt;"))</f>
        <v>0</v>
      </c>
      <c r="AS150">
        <f>IF($B150="",0,COUNTIFS('UX Weekly'!$H$1:$CT$1,"&gt;="&amp;AS$1,'UX Weekly'!$H$1:$CT$1,"&lt;="&amp;EOMONTH(AS$1,0),'UX Weekly'!$H150:$CT150,"&lt;&gt;"))</f>
        <v>0</v>
      </c>
      <c r="AT150">
        <f>IF($B150="",0,COUNTIFS('UX Weekly'!$H$1:$CT$1,"&gt;="&amp;AT$1,'UX Weekly'!$H$1:$CT$1,"&lt;="&amp;EOMONTH(AT$1,0),'UX Weekly'!$H150:$CT150,"&lt;&gt;"))</f>
        <v>0</v>
      </c>
      <c r="AU150">
        <f>IF($B150="",0,COUNTIFS('UX Weekly'!$H$1:$CT$1,"&gt;="&amp;AU$1,'UX Weekly'!$H$1:$CT$1,"&lt;="&amp;EOMONTH(AU$1,0),'UX Weekly'!$H150:$CT150,"&lt;&gt;"))</f>
        <v>0</v>
      </c>
      <c r="AV150">
        <f>IF($B150="",0,COUNTIFS('UX Weekly'!$H$1:$CT$1,"&gt;="&amp;AV$1,'UX Weekly'!$H$1:$CT$1,"&lt;="&amp;EOMONTH(AV$1,0),'UX Weekly'!$H150:$CT150,"&lt;&gt;"))</f>
        <v>0</v>
      </c>
      <c r="AW150">
        <f>IF($B150="",0,COUNTIFS('UX Weekly'!$H$1:$CT$1,"&gt;="&amp;AW$1,'UX Weekly'!$H$1:$CT$1,"&lt;="&amp;EOMONTH(AW$1,0),'UX Weekly'!$H150:$CT150,"&lt;&gt;"))</f>
        <v>0</v>
      </c>
      <c r="AX150">
        <f>IF($B150="",0,COUNTIFS('UX Weekly'!$H$1:$CT$1,"&gt;="&amp;AX$1,'UX Weekly'!$H$1:$CT$1,"&lt;="&amp;EOMONTH(AX$1,0),'UX Weekly'!$H150:$CT150,"&lt;&gt;"))</f>
        <v>0</v>
      </c>
    </row>
    <row r="151" spans="1:50" x14ac:dyDescent="0.2">
      <c r="A151" s="152">
        <v>151</v>
      </c>
      <c r="B151" s="152" t="str">
        <f>IF(TRIM('UX Weekly'!E151)="","",TRIM('UX Weekly'!E151))</f>
        <v/>
      </c>
      <c r="C151" s="152" t="str">
        <f>IF($B151="","",'UX Weekly'!B151)</f>
        <v/>
      </c>
      <c r="D151" s="152" t="str">
        <f>IF($B151="","",IF(TRIM('UX Weekly'!C151)="","(No theme assigned)",TRIM('UX Weekly'!C151)))</f>
        <v/>
      </c>
      <c r="E151" s="152" t="str">
        <f>IF($B151="","",TRIM('UX Weekly'!F151))</f>
        <v/>
      </c>
      <c r="F151" s="152" t="str">
        <f>IF($B151="","",'UX Weekly'!G151)</f>
        <v/>
      </c>
      <c r="G151" s="153" t="str">
        <f t="array" ref="G151">IF($B151="","",IF($T151=0,"",IFERROR(MIN(IF('UX Weekly'!$H151:$CT151&lt;&gt;"",'UX Weekly'!$H$1:$CT$1)),"")))</f>
        <v/>
      </c>
      <c r="H151" s="153" t="str">
        <f t="array" ref="H151">IF($B151="","",IF($T151=0,"",IFERROR(MAX(IF('UX Weekly'!$H151:$CT151&lt;&gt;"",'UX Weekly'!$H$1:$CT$1)),"")))</f>
        <v/>
      </c>
      <c r="I151" s="154" t="str">
        <f t="shared" ca="1" si="28"/>
        <v/>
      </c>
      <c r="J151" s="154" t="str">
        <f t="shared" ca="1" si="29"/>
        <v/>
      </c>
      <c r="K151" s="152" t="str">
        <f>IF($B151="","",IF(COUNTA('Dev Tracker'!L151)=0,"",TRIM('Dev Tracker'!L151)))</f>
        <v/>
      </c>
      <c r="L151" s="152" t="str">
        <f>IF($B151="","",IFERROR(MATCH($D151,Control!$E$4:$E$30,0),99))</f>
        <v/>
      </c>
      <c r="M151" s="152" t="str">
        <f>IF($B151="","",IFERROR(MATCH($F151,Control!$B$4:$B$30,0),99))</f>
        <v/>
      </c>
      <c r="N151" s="152" t="str">
        <f>IF($V151&lt;&gt;1,"",IF('Roadmap (Auto)'!$D$3="Status, then Theme",$M151*1000000+$L151*10000+ROW(),IF('Roadmap (Auto)'!$D$3="Dev start (earliest)",IF($I151="",99999999,$I151)*10000+ROW(),IF('Roadmap (Auto)'!$D$3="UX start (earliest)",IF($G151="",99999999,$G151)*10000+ROW(),IF('Roadmap (Auto)'!$D$3="Deliverable A-Z",$W151*10000+ROW(),$L151*1000000+$M151*10000+ROW())))))</f>
        <v/>
      </c>
      <c r="O151" s="152" t="str">
        <f t="shared" si="30"/>
        <v/>
      </c>
      <c r="P151" s="152" t="str">
        <f>IF($B151="","",IF(COUNTA('Dev Tracker'!I151)=0,"",'Dev Tracker'!I151))</f>
        <v/>
      </c>
      <c r="Q151" s="152" t="str">
        <f>IF($B151="","",IF(COUNTA('Dev Tracker'!J151)=0,"",'Dev Tracker'!J151))</f>
        <v/>
      </c>
      <c r="R151" s="154" t="str">
        <f t="shared" ca="1" si="31"/>
        <v/>
      </c>
      <c r="S151" s="154" t="str">
        <f t="shared" ca="1" si="32"/>
        <v/>
      </c>
      <c r="T151" s="152" t="str">
        <f>IF($B151="","",COUNTA('UX Weekly'!$H151:$CT151))</f>
        <v/>
      </c>
      <c r="U151" s="152" t="str">
        <f>IF($B151="","",IFERROR(MATCH($D151,Control!$E$4:$E$30,0)+3,0))</f>
        <v/>
      </c>
      <c r="V151" s="152" t="str">
        <f>IF($B151="","",IF(AND(OR('Roadmap (Auto)'!$A$3="",'Roadmap (Auto)'!$A$3="(All)",ISNUMBER(SEARCH('Roadmap (Auto)'!$A$3,$C151&amp;""))),OR('Roadmap (Auto)'!$B$3="",'Roadmap (Auto)'!$B$3="(All)",$D151='Roadmap (Auto)'!$B$3,$X151='Roadmap (Auto)'!$B$3),OR('Roadmap (Auto)'!$C$3="",'Roadmap (Auto)'!$C$3="(All)",$F151='Roadmap (Auto)'!$C$3)),1,0))</f>
        <v/>
      </c>
      <c r="W151" s="152" t="str">
        <f t="shared" si="33"/>
        <v/>
      </c>
      <c r="X151" s="152" t="str">
        <f>IF($B151="","",IF(TRIM('UX Weekly'!D151)="","",TRIM('UX Weekly'!D151)))</f>
        <v/>
      </c>
      <c r="Y151" s="152" t="str">
        <f t="shared" si="34"/>
        <v/>
      </c>
      <c r="AA151">
        <f>IF($B151="",0,COUNTIFS('UX Weekly'!$H$1:$CT$1,"&gt;="&amp;AA$1,'UX Weekly'!$H$1:$CT$1,"&lt;="&amp;EOMONTH(AA$1,0),'UX Weekly'!$H151:$CT151,"&lt;&gt;"))</f>
        <v>0</v>
      </c>
      <c r="AB151">
        <f>IF($B151="",0,COUNTIFS('UX Weekly'!$H$1:$CT$1,"&gt;="&amp;AB$1,'UX Weekly'!$H$1:$CT$1,"&lt;="&amp;EOMONTH(AB$1,0),'UX Weekly'!$H151:$CT151,"&lt;&gt;"))</f>
        <v>0</v>
      </c>
      <c r="AC151">
        <f>IF($B151="",0,COUNTIFS('UX Weekly'!$H$1:$CT$1,"&gt;="&amp;AC$1,'UX Weekly'!$H$1:$CT$1,"&lt;="&amp;EOMONTH(AC$1,0),'UX Weekly'!$H151:$CT151,"&lt;&gt;"))</f>
        <v>0</v>
      </c>
      <c r="AD151">
        <f>IF($B151="",0,COUNTIFS('UX Weekly'!$H$1:$CT$1,"&gt;="&amp;AD$1,'UX Weekly'!$H$1:$CT$1,"&lt;="&amp;EOMONTH(AD$1,0),'UX Weekly'!$H151:$CT151,"&lt;&gt;"))</f>
        <v>0</v>
      </c>
      <c r="AE151">
        <f>IF($B151="",0,COUNTIFS('UX Weekly'!$H$1:$CT$1,"&gt;="&amp;AE$1,'UX Weekly'!$H$1:$CT$1,"&lt;="&amp;EOMONTH(AE$1,0),'UX Weekly'!$H151:$CT151,"&lt;&gt;"))</f>
        <v>0</v>
      </c>
      <c r="AF151">
        <f>IF($B151="",0,COUNTIFS('UX Weekly'!$H$1:$CT$1,"&gt;="&amp;AF$1,'UX Weekly'!$H$1:$CT$1,"&lt;="&amp;EOMONTH(AF$1,0),'UX Weekly'!$H151:$CT151,"&lt;&gt;"))</f>
        <v>0</v>
      </c>
      <c r="AG151">
        <f>IF($B151="",0,COUNTIFS('UX Weekly'!$H$1:$CT$1,"&gt;="&amp;AG$1,'UX Weekly'!$H$1:$CT$1,"&lt;="&amp;EOMONTH(AG$1,0),'UX Weekly'!$H151:$CT151,"&lt;&gt;"))</f>
        <v>0</v>
      </c>
      <c r="AH151">
        <f>IF($B151="",0,COUNTIFS('UX Weekly'!$H$1:$CT$1,"&gt;="&amp;AH$1,'UX Weekly'!$H$1:$CT$1,"&lt;="&amp;EOMONTH(AH$1,0),'UX Weekly'!$H151:$CT151,"&lt;&gt;"))</f>
        <v>0</v>
      </c>
      <c r="AI151">
        <f>IF($B151="",0,COUNTIFS('UX Weekly'!$H$1:$CT$1,"&gt;="&amp;AI$1,'UX Weekly'!$H$1:$CT$1,"&lt;="&amp;EOMONTH(AI$1,0),'UX Weekly'!$H151:$CT151,"&lt;&gt;"))</f>
        <v>0</v>
      </c>
      <c r="AJ151">
        <f>IF($B151="",0,COUNTIFS('UX Weekly'!$H$1:$CT$1,"&gt;="&amp;AJ$1,'UX Weekly'!$H$1:$CT$1,"&lt;="&amp;EOMONTH(AJ$1,0),'UX Weekly'!$H151:$CT151,"&lt;&gt;"))</f>
        <v>0</v>
      </c>
      <c r="AK151">
        <f>IF($B151="",0,COUNTIFS('UX Weekly'!$H$1:$CT$1,"&gt;="&amp;AK$1,'UX Weekly'!$H$1:$CT$1,"&lt;="&amp;EOMONTH(AK$1,0),'UX Weekly'!$H151:$CT151,"&lt;&gt;"))</f>
        <v>0</v>
      </c>
      <c r="AL151">
        <f>IF($B151="",0,COUNTIFS('UX Weekly'!$H$1:$CT$1,"&gt;="&amp;AL$1,'UX Weekly'!$H$1:$CT$1,"&lt;="&amp;EOMONTH(AL$1,0),'UX Weekly'!$H151:$CT151,"&lt;&gt;"))</f>
        <v>0</v>
      </c>
      <c r="AM151">
        <f>IF($B151="",0,COUNTIFS('UX Weekly'!$H$1:$CT$1,"&gt;="&amp;AM$1,'UX Weekly'!$H$1:$CT$1,"&lt;="&amp;EOMONTH(AM$1,0),'UX Weekly'!$H151:$CT151,"&lt;&gt;"))</f>
        <v>0</v>
      </c>
      <c r="AN151">
        <f>IF($B151="",0,COUNTIFS('UX Weekly'!$H$1:$CT$1,"&gt;="&amp;AN$1,'UX Weekly'!$H$1:$CT$1,"&lt;="&amp;EOMONTH(AN$1,0),'UX Weekly'!$H151:$CT151,"&lt;&gt;"))</f>
        <v>0</v>
      </c>
      <c r="AO151">
        <f>IF($B151="",0,COUNTIFS('UX Weekly'!$H$1:$CT$1,"&gt;="&amp;AO$1,'UX Weekly'!$H$1:$CT$1,"&lt;="&amp;EOMONTH(AO$1,0),'UX Weekly'!$H151:$CT151,"&lt;&gt;"))</f>
        <v>0</v>
      </c>
      <c r="AP151">
        <f>IF($B151="",0,COUNTIFS('UX Weekly'!$H$1:$CT$1,"&gt;="&amp;AP$1,'UX Weekly'!$H$1:$CT$1,"&lt;="&amp;EOMONTH(AP$1,0),'UX Weekly'!$H151:$CT151,"&lt;&gt;"))</f>
        <v>0</v>
      </c>
      <c r="AQ151">
        <f>IF($B151="",0,COUNTIFS('UX Weekly'!$H$1:$CT$1,"&gt;="&amp;AQ$1,'UX Weekly'!$H$1:$CT$1,"&lt;="&amp;EOMONTH(AQ$1,0),'UX Weekly'!$H151:$CT151,"&lt;&gt;"))</f>
        <v>0</v>
      </c>
      <c r="AR151">
        <f>IF($B151="",0,COUNTIFS('UX Weekly'!$H$1:$CT$1,"&gt;="&amp;AR$1,'UX Weekly'!$H$1:$CT$1,"&lt;="&amp;EOMONTH(AR$1,0),'UX Weekly'!$H151:$CT151,"&lt;&gt;"))</f>
        <v>0</v>
      </c>
      <c r="AS151">
        <f>IF($B151="",0,COUNTIFS('UX Weekly'!$H$1:$CT$1,"&gt;="&amp;AS$1,'UX Weekly'!$H$1:$CT$1,"&lt;="&amp;EOMONTH(AS$1,0),'UX Weekly'!$H151:$CT151,"&lt;&gt;"))</f>
        <v>0</v>
      </c>
      <c r="AT151">
        <f>IF($B151="",0,COUNTIFS('UX Weekly'!$H$1:$CT$1,"&gt;="&amp;AT$1,'UX Weekly'!$H$1:$CT$1,"&lt;="&amp;EOMONTH(AT$1,0),'UX Weekly'!$H151:$CT151,"&lt;&gt;"))</f>
        <v>0</v>
      </c>
      <c r="AU151">
        <f>IF($B151="",0,COUNTIFS('UX Weekly'!$H$1:$CT$1,"&gt;="&amp;AU$1,'UX Weekly'!$H$1:$CT$1,"&lt;="&amp;EOMONTH(AU$1,0),'UX Weekly'!$H151:$CT151,"&lt;&gt;"))</f>
        <v>0</v>
      </c>
      <c r="AV151">
        <f>IF($B151="",0,COUNTIFS('UX Weekly'!$H$1:$CT$1,"&gt;="&amp;AV$1,'UX Weekly'!$H$1:$CT$1,"&lt;="&amp;EOMONTH(AV$1,0),'UX Weekly'!$H151:$CT151,"&lt;&gt;"))</f>
        <v>0</v>
      </c>
      <c r="AW151">
        <f>IF($B151="",0,COUNTIFS('UX Weekly'!$H$1:$CT$1,"&gt;="&amp;AW$1,'UX Weekly'!$H$1:$CT$1,"&lt;="&amp;EOMONTH(AW$1,0),'UX Weekly'!$H151:$CT151,"&lt;&gt;"))</f>
        <v>0</v>
      </c>
      <c r="AX151">
        <f>IF($B151="",0,COUNTIFS('UX Weekly'!$H$1:$CT$1,"&gt;="&amp;AX$1,'UX Weekly'!$H$1:$CT$1,"&lt;="&amp;EOMONTH(AX$1,0),'UX Weekly'!$H151:$CT151,"&lt;&gt;"))</f>
        <v>0</v>
      </c>
    </row>
  </sheetData>
  <pageMargins left="0.75" right="0.75" top="1" bottom="1" header="0.5" footer="0.5"/>
</worksheet>
</file>

<file path=docMetadata/LabelInfo.xml><?xml version="1.0" encoding="utf-8"?>
<clbl:labelList xmlns:clbl="http://schemas.microsoft.com/office/2020/mipLabelMetadata">
  <clbl:label id="{b05f3be6-62da-4a58-8444-aeed42041336}" enabled="0" method="" siteId="{b05f3be6-62da-4a58-8444-aeed4204133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Roadmap (Auto)</vt:lpstr>
      <vt:lpstr>Quaterly</vt:lpstr>
      <vt:lpstr>Monthly</vt:lpstr>
      <vt:lpstr>UX Weekly</vt:lpstr>
      <vt:lpstr>Dev Tracker</vt:lpstr>
      <vt:lpstr>Model (Don't Touch)</vt:lpstr>
      <vt:lpstr>Obsolete</vt:lpstr>
      <vt:lpstr>Control</vt:lpstr>
      <vt:lpstr>Metrics</vt:lpstr>
      <vt:lpstr>GA4</vt:lpstr>
      <vt:lpstr>Roadmap Calc (Don’t Touch)</vt:lpstr>
      <vt:lpstr>'UX Weekly'!Print_Area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Jerel Smith</dc:creator>
  <cp:keywords/>
  <dc:description/>
  <cp:lastModifiedBy>Jerel Smith</cp:lastModifiedBy>
  <cp:revision/>
  <dcterms:created xsi:type="dcterms:W3CDTF">2026-03-13T16:05:32Z</dcterms:created>
  <dcterms:modified xsi:type="dcterms:W3CDTF">2026-08-26T15:56:45Z</dcterms:modified>
  <cp:category/>
  <cp:contentStatus/>
</cp:coreProperties>
</file>