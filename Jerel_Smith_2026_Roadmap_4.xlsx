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relscs/Downloads/"/>
    </mc:Choice>
  </mc:AlternateContent>
  <xr:revisionPtr revIDLastSave="0" documentId="13_ncr:1_{C77354B1-7CBD-6547-AD9D-BFE59FEC7AF6}" xr6:coauthVersionLast="47" xr6:coauthVersionMax="47" xr10:uidLastSave="{00000000-0000-0000-0000-000000000000}"/>
  <bookViews>
    <workbookView xWindow="22560" yWindow="7820" windowWidth="38400" windowHeight="21000" activeTab="4" xr2:uid="{A076985F-6CFB-DB49-A7AE-C6E23E578DA1}"/>
  </bookViews>
  <sheets>
    <sheet name="Roadmap (Auto)" sheetId="13" r:id="rId1"/>
    <sheet name="Quaterly" sheetId="2" state="hidden" r:id="rId2"/>
    <sheet name="Monthly" sheetId="3" state="hidden" r:id="rId3"/>
    <sheet name="UX Weekly" sheetId="4" r:id="rId4"/>
    <sheet name="Dev Tracker" sheetId="5" r:id="rId5"/>
    <sheet name="Model (Don't Touch)" sheetId="11" r:id="rId6"/>
    <sheet name="Obsolete" sheetId="7" state="hidden" r:id="rId7"/>
    <sheet name="Control (Don’t Touch)" sheetId="6" r:id="rId8"/>
    <sheet name="Metrics (Don't Touch)" sheetId="9" r:id="rId9"/>
    <sheet name="GA4 (Don't Touch)" sheetId="10" r:id="rId10"/>
    <sheet name="Roadmap Calc (Don’t Touch)" sheetId="14" r:id="rId11"/>
  </sheets>
  <definedNames>
    <definedName name="_xlnm._FilterDatabase" localSheetId="4" hidden="1">'Dev Tracker'!$A$1:$K$1</definedName>
    <definedName name="_xlnm._FilterDatabase" localSheetId="3" hidden="1">'UX Weekly'!$A$1:$AS$46</definedName>
    <definedName name="_xlnm.Print_Area" localSheetId="3">'UX Weekly'!$A$1:$AC$32</definedName>
  </definedNames>
  <calcPr calcId="191029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4" l="1"/>
  <c r="Q6" i="14"/>
  <c r="P7" i="14"/>
  <c r="Q7" i="14"/>
  <c r="A1" i="5"/>
  <c r="B1" i="5"/>
  <c r="C1" i="5"/>
  <c r="A3" i="5"/>
  <c r="B3" i="5"/>
  <c r="C3" i="5"/>
  <c r="A4" i="5"/>
  <c r="B4" i="5"/>
  <c r="C4" i="5"/>
  <c r="A5" i="5"/>
  <c r="B5" i="5"/>
  <c r="C5" i="5"/>
  <c r="A6" i="5"/>
  <c r="B6" i="5"/>
  <c r="C6" i="5"/>
  <c r="A7" i="5"/>
  <c r="B7" i="5"/>
  <c r="C7" i="5"/>
  <c r="A8" i="5"/>
  <c r="B8" i="5"/>
  <c r="C8" i="5"/>
  <c r="A9" i="5"/>
  <c r="B9" i="5"/>
  <c r="C9" i="5"/>
  <c r="A10" i="5"/>
  <c r="B10" i="5"/>
  <c r="C10" i="5"/>
  <c r="A11" i="5"/>
  <c r="B11" i="5"/>
  <c r="C11" i="5"/>
  <c r="A12" i="5"/>
  <c r="B12" i="5"/>
  <c r="C12" i="5"/>
  <c r="A13" i="5"/>
  <c r="B13" i="5"/>
  <c r="C13" i="5"/>
  <c r="A14" i="5"/>
  <c r="B14" i="5"/>
  <c r="C14" i="5"/>
  <c r="A15" i="5"/>
  <c r="B15" i="5"/>
  <c r="C15" i="5"/>
  <c r="A16" i="5"/>
  <c r="B16" i="5"/>
  <c r="C16" i="5"/>
  <c r="A17" i="5"/>
  <c r="B17" i="5"/>
  <c r="C17" i="5"/>
  <c r="A18" i="5"/>
  <c r="B18" i="5"/>
  <c r="C18" i="5"/>
  <c r="A19" i="5"/>
  <c r="B19" i="5"/>
  <c r="C19" i="5"/>
  <c r="A20" i="5"/>
  <c r="B20" i="5"/>
  <c r="C20" i="5"/>
  <c r="A21" i="5"/>
  <c r="B21" i="5"/>
  <c r="C21" i="5"/>
  <c r="A22" i="5"/>
  <c r="B22" i="5"/>
  <c r="C22" i="5"/>
  <c r="A23" i="5"/>
  <c r="B23" i="5"/>
  <c r="C23" i="5"/>
  <c r="A24" i="5"/>
  <c r="B24" i="5"/>
  <c r="C24" i="5"/>
  <c r="A25" i="5"/>
  <c r="B25" i="5"/>
  <c r="C25" i="5"/>
  <c r="A26" i="5"/>
  <c r="B26" i="5"/>
  <c r="C26" i="5"/>
  <c r="A27" i="5"/>
  <c r="B27" i="5"/>
  <c r="C27" i="5"/>
  <c r="A28" i="5"/>
  <c r="B28" i="5"/>
  <c r="C28" i="5"/>
  <c r="A29" i="5"/>
  <c r="B29" i="5"/>
  <c r="C29" i="5"/>
  <c r="A30" i="5"/>
  <c r="B30" i="5"/>
  <c r="C30" i="5"/>
  <c r="A31" i="5"/>
  <c r="B31" i="5"/>
  <c r="C31" i="5"/>
  <c r="A32" i="5"/>
  <c r="B32" i="5"/>
  <c r="C32" i="5"/>
  <c r="A33" i="5"/>
  <c r="B33" i="5"/>
  <c r="C33" i="5"/>
  <c r="A34" i="5"/>
  <c r="B34" i="5"/>
  <c r="C34" i="5"/>
  <c r="A35" i="5"/>
  <c r="B35" i="5"/>
  <c r="C35" i="5"/>
  <c r="A36" i="5"/>
  <c r="B36" i="5"/>
  <c r="C36" i="5"/>
  <c r="A37" i="5"/>
  <c r="B37" i="5"/>
  <c r="C37" i="5"/>
  <c r="A38" i="5"/>
  <c r="B38" i="5"/>
  <c r="C38" i="5"/>
  <c r="A39" i="5"/>
  <c r="B39" i="5"/>
  <c r="C39" i="5"/>
  <c r="A40" i="5"/>
  <c r="B40" i="5"/>
  <c r="C40" i="5"/>
  <c r="A41" i="5"/>
  <c r="B41" i="5"/>
  <c r="C41" i="5"/>
  <c r="A42" i="5"/>
  <c r="B42" i="5"/>
  <c r="C42" i="5"/>
  <c r="A43" i="5"/>
  <c r="B43" i="5"/>
  <c r="C43" i="5"/>
  <c r="A44" i="5"/>
  <c r="B44" i="5"/>
  <c r="C44" i="5"/>
  <c r="A45" i="5"/>
  <c r="B45" i="5"/>
  <c r="C45" i="5"/>
  <c r="A46" i="5"/>
  <c r="B46" i="5"/>
  <c r="C46" i="5"/>
  <c r="A2" i="5"/>
  <c r="B2" i="5"/>
  <c r="C2" i="5"/>
  <c r="D3" i="5"/>
  <c r="E3" i="5"/>
  <c r="F3" i="5"/>
  <c r="D4" i="5"/>
  <c r="E4" i="5"/>
  <c r="F4" i="5"/>
  <c r="D5" i="5"/>
  <c r="E5" i="5"/>
  <c r="F5" i="5"/>
  <c r="D6" i="5"/>
  <c r="E6" i="5"/>
  <c r="F6" i="5"/>
  <c r="D7" i="5"/>
  <c r="E7" i="5"/>
  <c r="F7" i="5"/>
  <c r="D8" i="5"/>
  <c r="E8" i="5"/>
  <c r="F8" i="5"/>
  <c r="D9" i="5"/>
  <c r="E9" i="5"/>
  <c r="F9" i="5"/>
  <c r="D10" i="5"/>
  <c r="E10" i="5"/>
  <c r="F10" i="5"/>
  <c r="D11" i="5"/>
  <c r="E11" i="5"/>
  <c r="F11" i="5"/>
  <c r="D12" i="5"/>
  <c r="E12" i="5"/>
  <c r="F12" i="5"/>
  <c r="D13" i="5"/>
  <c r="E13" i="5"/>
  <c r="F13" i="5"/>
  <c r="D14" i="5"/>
  <c r="E14" i="5"/>
  <c r="F14" i="5"/>
  <c r="D15" i="5"/>
  <c r="E15" i="5"/>
  <c r="F15" i="5"/>
  <c r="D16" i="5"/>
  <c r="E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E21" i="5"/>
  <c r="F21" i="5"/>
  <c r="D22" i="5"/>
  <c r="E22" i="5"/>
  <c r="F22" i="5"/>
  <c r="D23" i="5"/>
  <c r="E23" i="5"/>
  <c r="F23" i="5"/>
  <c r="D24" i="5"/>
  <c r="E24" i="5"/>
  <c r="F24" i="5"/>
  <c r="D25" i="5"/>
  <c r="E25" i="5"/>
  <c r="F25" i="5"/>
  <c r="D26" i="5"/>
  <c r="E26" i="5"/>
  <c r="F26" i="5"/>
  <c r="D27" i="5"/>
  <c r="E27" i="5"/>
  <c r="F27" i="5"/>
  <c r="D28" i="5"/>
  <c r="E28" i="5"/>
  <c r="F28" i="5"/>
  <c r="D29" i="5"/>
  <c r="E29" i="5"/>
  <c r="F29" i="5"/>
  <c r="D30" i="5"/>
  <c r="E30" i="5"/>
  <c r="F30" i="5"/>
  <c r="D31" i="5"/>
  <c r="E31" i="5"/>
  <c r="F31" i="5"/>
  <c r="D32" i="5"/>
  <c r="E32" i="5"/>
  <c r="F32" i="5"/>
  <c r="D33" i="5"/>
  <c r="E33" i="5"/>
  <c r="F33" i="5"/>
  <c r="D34" i="5"/>
  <c r="E34" i="5"/>
  <c r="F34" i="5"/>
  <c r="D35" i="5"/>
  <c r="E35" i="5"/>
  <c r="F35" i="5"/>
  <c r="D36" i="5"/>
  <c r="E36" i="5"/>
  <c r="F36" i="5"/>
  <c r="D37" i="5"/>
  <c r="E37" i="5"/>
  <c r="F37" i="5"/>
  <c r="D38" i="5"/>
  <c r="E38" i="5"/>
  <c r="F38" i="5"/>
  <c r="D39" i="5"/>
  <c r="E39" i="5"/>
  <c r="F39" i="5"/>
  <c r="D40" i="5"/>
  <c r="E40" i="5"/>
  <c r="F40" i="5"/>
  <c r="D41" i="5"/>
  <c r="E41" i="5"/>
  <c r="F41" i="5"/>
  <c r="D42" i="5"/>
  <c r="E42" i="5"/>
  <c r="F42" i="5"/>
  <c r="D43" i="5"/>
  <c r="E43" i="5"/>
  <c r="F43" i="5"/>
  <c r="D44" i="5"/>
  <c r="E44" i="5"/>
  <c r="F44" i="5"/>
  <c r="D45" i="5"/>
  <c r="E45" i="5"/>
  <c r="F45" i="5"/>
  <c r="D46" i="5"/>
  <c r="E46" i="5"/>
  <c r="F46" i="5"/>
  <c r="D47" i="5"/>
  <c r="E47" i="5"/>
  <c r="F47" i="5"/>
  <c r="D48" i="5"/>
  <c r="E48" i="5"/>
  <c r="F48" i="5"/>
  <c r="D49" i="5"/>
  <c r="E49" i="5"/>
  <c r="F49" i="5"/>
  <c r="E2" i="5"/>
  <c r="F2" i="5"/>
  <c r="D2" i="5"/>
  <c r="S204" i="14"/>
  <c r="B2" i="14"/>
  <c r="K2" i="14"/>
  <c r="B3" i="14"/>
  <c r="K3" i="14"/>
  <c r="B4" i="14"/>
  <c r="K4" i="14"/>
  <c r="B5" i="14"/>
  <c r="K5" i="14"/>
  <c r="B150" i="14"/>
  <c r="K150" i="14"/>
  <c r="B149" i="14"/>
  <c r="K149" i="14"/>
  <c r="B148" i="14"/>
  <c r="K148" i="14"/>
  <c r="B147" i="14"/>
  <c r="K147" i="14"/>
  <c r="B146" i="14"/>
  <c r="K146" i="14"/>
  <c r="B145" i="14"/>
  <c r="K145" i="14"/>
  <c r="B144" i="14"/>
  <c r="K144" i="14"/>
  <c r="B143" i="14"/>
  <c r="K143" i="14"/>
  <c r="B142" i="14"/>
  <c r="K142" i="14"/>
  <c r="B141" i="14"/>
  <c r="K141" i="14"/>
  <c r="B140" i="14"/>
  <c r="K140" i="14"/>
  <c r="B139" i="14"/>
  <c r="K139" i="14"/>
  <c r="B138" i="14"/>
  <c r="K138" i="14"/>
  <c r="B137" i="14"/>
  <c r="K137" i="14"/>
  <c r="B136" i="14"/>
  <c r="K136" i="14"/>
  <c r="B135" i="14"/>
  <c r="K135" i="14"/>
  <c r="B134" i="14"/>
  <c r="K134" i="14"/>
  <c r="B133" i="14"/>
  <c r="K133" i="14"/>
  <c r="B132" i="14"/>
  <c r="K132" i="14"/>
  <c r="B131" i="14"/>
  <c r="K131" i="14"/>
  <c r="B130" i="14"/>
  <c r="K130" i="14"/>
  <c r="B129" i="14"/>
  <c r="K129" i="14"/>
  <c r="B128" i="14"/>
  <c r="K128" i="14"/>
  <c r="B127" i="14"/>
  <c r="K127" i="14"/>
  <c r="B126" i="14"/>
  <c r="K126" i="14"/>
  <c r="B125" i="14"/>
  <c r="K125" i="14"/>
  <c r="B124" i="14"/>
  <c r="K124" i="14"/>
  <c r="B123" i="14"/>
  <c r="K123" i="14"/>
  <c r="B122" i="14"/>
  <c r="K122" i="14"/>
  <c r="B121" i="14"/>
  <c r="K121" i="14"/>
  <c r="B120" i="14"/>
  <c r="K120" i="14"/>
  <c r="B119" i="14"/>
  <c r="K119" i="14"/>
  <c r="B118" i="14"/>
  <c r="K118" i="14"/>
  <c r="B117" i="14"/>
  <c r="K117" i="14"/>
  <c r="B116" i="14"/>
  <c r="K116" i="14"/>
  <c r="B115" i="14"/>
  <c r="K115" i="14"/>
  <c r="B114" i="14"/>
  <c r="K114" i="14"/>
  <c r="B113" i="14"/>
  <c r="K113" i="14"/>
  <c r="B112" i="14"/>
  <c r="K112" i="14"/>
  <c r="B111" i="14"/>
  <c r="K111" i="14"/>
  <c r="B110" i="14"/>
  <c r="K110" i="14"/>
  <c r="B109" i="14"/>
  <c r="K109" i="14"/>
  <c r="B108" i="14"/>
  <c r="K108" i="14"/>
  <c r="B107" i="14"/>
  <c r="K107" i="14"/>
  <c r="B106" i="14"/>
  <c r="K106" i="14"/>
  <c r="B105" i="14"/>
  <c r="K105" i="14"/>
  <c r="B104" i="14"/>
  <c r="K104" i="14"/>
  <c r="B103" i="14"/>
  <c r="K103" i="14"/>
  <c r="B102" i="14"/>
  <c r="K102" i="14"/>
  <c r="B101" i="14"/>
  <c r="K101" i="14"/>
  <c r="B100" i="14"/>
  <c r="K100" i="14"/>
  <c r="B99" i="14"/>
  <c r="K99" i="14"/>
  <c r="B98" i="14"/>
  <c r="K98" i="14"/>
  <c r="B97" i="14"/>
  <c r="K97" i="14"/>
  <c r="B96" i="14"/>
  <c r="K96" i="14"/>
  <c r="B95" i="14"/>
  <c r="K95" i="14"/>
  <c r="B94" i="14"/>
  <c r="K94" i="14"/>
  <c r="B93" i="14"/>
  <c r="K93" i="14"/>
  <c r="B92" i="14"/>
  <c r="K92" i="14"/>
  <c r="B91" i="14"/>
  <c r="K91" i="14"/>
  <c r="B90" i="14"/>
  <c r="K90" i="14"/>
  <c r="B89" i="14"/>
  <c r="K89" i="14"/>
  <c r="B88" i="14"/>
  <c r="K88" i="14"/>
  <c r="B87" i="14"/>
  <c r="K87" i="14"/>
  <c r="B86" i="14"/>
  <c r="K86" i="14"/>
  <c r="B85" i="14"/>
  <c r="K85" i="14"/>
  <c r="B84" i="14"/>
  <c r="K84" i="14"/>
  <c r="B83" i="14"/>
  <c r="K83" i="14"/>
  <c r="B82" i="14"/>
  <c r="K82" i="14"/>
  <c r="B81" i="14"/>
  <c r="K81" i="14"/>
  <c r="B80" i="14"/>
  <c r="K80" i="14"/>
  <c r="B79" i="14"/>
  <c r="K79" i="14"/>
  <c r="B78" i="14"/>
  <c r="K78" i="14"/>
  <c r="B77" i="14"/>
  <c r="K77" i="14"/>
  <c r="B76" i="14"/>
  <c r="K76" i="14"/>
  <c r="B75" i="14"/>
  <c r="K75" i="14"/>
  <c r="B74" i="14"/>
  <c r="K74" i="14"/>
  <c r="B73" i="14"/>
  <c r="K73" i="14"/>
  <c r="B72" i="14"/>
  <c r="K72" i="14"/>
  <c r="B71" i="14"/>
  <c r="K71" i="14"/>
  <c r="B70" i="14"/>
  <c r="K70" i="14"/>
  <c r="B69" i="14"/>
  <c r="K69" i="14"/>
  <c r="B68" i="14"/>
  <c r="K68" i="14"/>
  <c r="B67" i="14"/>
  <c r="K67" i="14"/>
  <c r="B66" i="14"/>
  <c r="K66" i="14"/>
  <c r="B65" i="14"/>
  <c r="K65" i="14"/>
  <c r="B64" i="14"/>
  <c r="K64" i="14"/>
  <c r="B63" i="14"/>
  <c r="K63" i="14"/>
  <c r="B62" i="14"/>
  <c r="K62" i="14"/>
  <c r="B61" i="14"/>
  <c r="K61" i="14"/>
  <c r="B60" i="14"/>
  <c r="K60" i="14"/>
  <c r="B59" i="14"/>
  <c r="K59" i="14"/>
  <c r="B58" i="14"/>
  <c r="K58" i="14"/>
  <c r="B57" i="14"/>
  <c r="K57" i="14"/>
  <c r="B56" i="14"/>
  <c r="K56" i="14"/>
  <c r="B55" i="14"/>
  <c r="K55" i="14"/>
  <c r="B54" i="14"/>
  <c r="K54" i="14"/>
  <c r="B53" i="14"/>
  <c r="K53" i="14"/>
  <c r="B52" i="14"/>
  <c r="K52" i="14"/>
  <c r="B51" i="14"/>
  <c r="K51" i="14"/>
  <c r="B50" i="14"/>
  <c r="K50" i="14"/>
  <c r="B49" i="14"/>
  <c r="K49" i="14"/>
  <c r="B48" i="14"/>
  <c r="K48" i="14"/>
  <c r="B47" i="14"/>
  <c r="K47" i="14"/>
  <c r="B46" i="14"/>
  <c r="K46" i="14"/>
  <c r="B45" i="14"/>
  <c r="K45" i="14"/>
  <c r="B44" i="14"/>
  <c r="K44" i="14"/>
  <c r="B43" i="14"/>
  <c r="K43" i="14"/>
  <c r="B42" i="14"/>
  <c r="K42" i="14"/>
  <c r="B41" i="14"/>
  <c r="K41" i="14"/>
  <c r="B40" i="14"/>
  <c r="K40" i="14"/>
  <c r="B39" i="14"/>
  <c r="K39" i="14"/>
  <c r="B38" i="14"/>
  <c r="K38" i="14"/>
  <c r="B37" i="14"/>
  <c r="K37" i="14"/>
  <c r="B36" i="14"/>
  <c r="K36" i="14"/>
  <c r="B35" i="14"/>
  <c r="K35" i="14"/>
  <c r="B34" i="14"/>
  <c r="K34" i="14"/>
  <c r="B33" i="14"/>
  <c r="K33" i="14"/>
  <c r="B32" i="14"/>
  <c r="K32" i="14"/>
  <c r="B31" i="14"/>
  <c r="K31" i="14"/>
  <c r="B30" i="14"/>
  <c r="K30" i="14"/>
  <c r="B29" i="14"/>
  <c r="K29" i="14"/>
  <c r="B28" i="14"/>
  <c r="K28" i="14"/>
  <c r="B27" i="14"/>
  <c r="K27" i="14"/>
  <c r="B26" i="14"/>
  <c r="K26" i="14"/>
  <c r="B25" i="14"/>
  <c r="K25" i="14"/>
  <c r="B24" i="14"/>
  <c r="K24" i="14"/>
  <c r="B23" i="14"/>
  <c r="K23" i="14"/>
  <c r="B22" i="14"/>
  <c r="K22" i="14"/>
  <c r="B21" i="14"/>
  <c r="K21" i="14"/>
  <c r="B20" i="14"/>
  <c r="K20" i="14"/>
  <c r="B19" i="14"/>
  <c r="K19" i="14"/>
  <c r="B18" i="14"/>
  <c r="K18" i="14"/>
  <c r="B17" i="14"/>
  <c r="K17" i="14"/>
  <c r="B16" i="14"/>
  <c r="K16" i="14"/>
  <c r="B15" i="14"/>
  <c r="K15" i="14"/>
  <c r="B14" i="14"/>
  <c r="K14" i="14"/>
  <c r="B13" i="14"/>
  <c r="K13" i="14"/>
  <c r="B12" i="14"/>
  <c r="K12" i="14"/>
  <c r="B11" i="14"/>
  <c r="K11" i="14"/>
  <c r="B10" i="14"/>
  <c r="K10" i="14"/>
  <c r="B9" i="14"/>
  <c r="K9" i="14"/>
  <c r="B8" i="14"/>
  <c r="K8" i="14"/>
  <c r="B7" i="14"/>
  <c r="K7" i="14"/>
  <c r="B6" i="14"/>
  <c r="K6" i="14"/>
  <c r="B204" i="14"/>
  <c r="Q204" i="14"/>
  <c r="P204" i="14"/>
  <c r="L204" i="14"/>
  <c r="F204" i="14"/>
  <c r="M204" i="14"/>
  <c r="N204" i="14"/>
  <c r="B154" i="14"/>
  <c r="N154" i="14"/>
  <c r="B155" i="14"/>
  <c r="N155" i="14"/>
  <c r="B156" i="14"/>
  <c r="N156" i="14"/>
  <c r="B203" i="14"/>
  <c r="L203" i="14"/>
  <c r="F203" i="14"/>
  <c r="M203" i="14"/>
  <c r="N203" i="14"/>
  <c r="B202" i="14"/>
  <c r="L202" i="14"/>
  <c r="F202" i="14"/>
  <c r="M202" i="14"/>
  <c r="N202" i="14"/>
  <c r="B201" i="14"/>
  <c r="L201" i="14"/>
  <c r="F201" i="14"/>
  <c r="M201" i="14"/>
  <c r="N201" i="14"/>
  <c r="B200" i="14"/>
  <c r="L200" i="14"/>
  <c r="F200" i="14"/>
  <c r="M200" i="14"/>
  <c r="N200" i="14"/>
  <c r="B199" i="14"/>
  <c r="L199" i="14"/>
  <c r="F199" i="14"/>
  <c r="M199" i="14"/>
  <c r="N199" i="14"/>
  <c r="B198" i="14"/>
  <c r="N198" i="14"/>
  <c r="B197" i="14"/>
  <c r="N197" i="14"/>
  <c r="B196" i="14"/>
  <c r="N196" i="14"/>
  <c r="B195" i="14"/>
  <c r="N195" i="14"/>
  <c r="B194" i="14"/>
  <c r="N194" i="14"/>
  <c r="B193" i="14"/>
  <c r="N193" i="14"/>
  <c r="B192" i="14"/>
  <c r="N192" i="14"/>
  <c r="B191" i="14"/>
  <c r="N191" i="14"/>
  <c r="B190" i="14"/>
  <c r="N190" i="14"/>
  <c r="B189" i="14"/>
  <c r="N189" i="14"/>
  <c r="B188" i="14"/>
  <c r="N188" i="14"/>
  <c r="B187" i="14"/>
  <c r="N187" i="14"/>
  <c r="B186" i="14"/>
  <c r="N186" i="14"/>
  <c r="B185" i="14"/>
  <c r="N185" i="14"/>
  <c r="B184" i="14"/>
  <c r="N184" i="14"/>
  <c r="B183" i="14"/>
  <c r="N183" i="14"/>
  <c r="B182" i="14"/>
  <c r="N182" i="14"/>
  <c r="B181" i="14"/>
  <c r="N181" i="14"/>
  <c r="B180" i="14"/>
  <c r="N180" i="14"/>
  <c r="B179" i="14"/>
  <c r="N179" i="14"/>
  <c r="B178" i="14"/>
  <c r="N178" i="14"/>
  <c r="B177" i="14"/>
  <c r="N177" i="14"/>
  <c r="B176" i="14"/>
  <c r="N176" i="14"/>
  <c r="B175" i="14"/>
  <c r="N175" i="14"/>
  <c r="B174" i="14"/>
  <c r="N174" i="14"/>
  <c r="B173" i="14"/>
  <c r="N173" i="14"/>
  <c r="B172" i="14"/>
  <c r="N172" i="14"/>
  <c r="B171" i="14"/>
  <c r="N171" i="14"/>
  <c r="B170" i="14"/>
  <c r="N170" i="14"/>
  <c r="B169" i="14"/>
  <c r="N169" i="14"/>
  <c r="B168" i="14"/>
  <c r="N168" i="14"/>
  <c r="B167" i="14"/>
  <c r="N167" i="14"/>
  <c r="B166" i="14"/>
  <c r="N166" i="14"/>
  <c r="B165" i="14"/>
  <c r="N165" i="14"/>
  <c r="B164" i="14"/>
  <c r="N164" i="14"/>
  <c r="B163" i="14"/>
  <c r="N163" i="14"/>
  <c r="B162" i="14"/>
  <c r="N162" i="14"/>
  <c r="B161" i="14"/>
  <c r="N161" i="14"/>
  <c r="B160" i="14"/>
  <c r="N160" i="14"/>
  <c r="B159" i="14"/>
  <c r="N159" i="14"/>
  <c r="B158" i="14"/>
  <c r="N158" i="14"/>
  <c r="B157" i="14"/>
  <c r="N157" i="14"/>
  <c r="O204" i="14"/>
  <c r="K204" i="14"/>
  <c r="J204" i="14"/>
  <c r="I204" i="14"/>
  <c r="H204" i="14"/>
  <c r="G204" i="14"/>
  <c r="E204" i="14"/>
  <c r="D204" i="14"/>
  <c r="C204" i="14"/>
  <c r="S203" i="14"/>
  <c r="Q203" i="14"/>
  <c r="P203" i="14"/>
  <c r="O203" i="14"/>
  <c r="K203" i="14"/>
  <c r="J203" i="14"/>
  <c r="I203" i="14"/>
  <c r="H203" i="14"/>
  <c r="G203" i="14"/>
  <c r="E203" i="14"/>
  <c r="D203" i="14"/>
  <c r="C203" i="14"/>
  <c r="S202" i="14"/>
  <c r="Q202" i="14"/>
  <c r="P202" i="14"/>
  <c r="D2" i="14"/>
  <c r="L2" i="14"/>
  <c r="F2" i="14"/>
  <c r="M2" i="14"/>
  <c r="N2" i="14"/>
  <c r="D3" i="14"/>
  <c r="L3" i="14"/>
  <c r="F3" i="14"/>
  <c r="M3" i="14"/>
  <c r="N3" i="14"/>
  <c r="D4" i="14"/>
  <c r="L4" i="14"/>
  <c r="F4" i="14"/>
  <c r="M4" i="14"/>
  <c r="N4" i="14"/>
  <c r="D5" i="14"/>
  <c r="L5" i="14"/>
  <c r="F5" i="14"/>
  <c r="M5" i="14"/>
  <c r="N5" i="14"/>
  <c r="N150" i="14"/>
  <c r="N149" i="14"/>
  <c r="N148" i="14"/>
  <c r="N147" i="14"/>
  <c r="N146" i="14"/>
  <c r="N145" i="14"/>
  <c r="N144" i="14"/>
  <c r="N143" i="14"/>
  <c r="N142" i="14"/>
  <c r="N141" i="14"/>
  <c r="N140" i="14"/>
  <c r="N139" i="14"/>
  <c r="N138" i="14"/>
  <c r="N137" i="14"/>
  <c r="N136" i="14"/>
  <c r="N135" i="14"/>
  <c r="N134" i="14"/>
  <c r="N133" i="14"/>
  <c r="N132" i="14"/>
  <c r="N131" i="14"/>
  <c r="N130" i="14"/>
  <c r="N129" i="14"/>
  <c r="N128" i="14"/>
  <c r="N127" i="14"/>
  <c r="N126" i="14"/>
  <c r="N125" i="14"/>
  <c r="N124" i="14"/>
  <c r="N123" i="14"/>
  <c r="N122" i="14"/>
  <c r="N121" i="14"/>
  <c r="N120" i="14"/>
  <c r="N119" i="14"/>
  <c r="N118" i="14"/>
  <c r="N117" i="14"/>
  <c r="N116" i="14"/>
  <c r="N115" i="14"/>
  <c r="N114" i="14"/>
  <c r="N113" i="14"/>
  <c r="N112" i="14"/>
  <c r="N111" i="14"/>
  <c r="N110" i="14"/>
  <c r="N109" i="14"/>
  <c r="N108" i="14"/>
  <c r="N107" i="14"/>
  <c r="N106" i="14"/>
  <c r="N105" i="14"/>
  <c r="N104" i="14"/>
  <c r="N103" i="14"/>
  <c r="N102" i="14"/>
  <c r="N101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5" i="14"/>
  <c r="N54" i="14"/>
  <c r="N53" i="14"/>
  <c r="N52" i="14"/>
  <c r="N51" i="14"/>
  <c r="N50" i="14"/>
  <c r="N49" i="14"/>
  <c r="N48" i="14"/>
  <c r="N47" i="14"/>
  <c r="D46" i="14"/>
  <c r="L46" i="14"/>
  <c r="F46" i="14"/>
  <c r="M46" i="14"/>
  <c r="N46" i="14"/>
  <c r="D45" i="14"/>
  <c r="L45" i="14"/>
  <c r="F45" i="14"/>
  <c r="M45" i="14"/>
  <c r="N45" i="14"/>
  <c r="D44" i="14"/>
  <c r="L44" i="14"/>
  <c r="F44" i="14"/>
  <c r="M44" i="14"/>
  <c r="N44" i="14"/>
  <c r="D43" i="14"/>
  <c r="L43" i="14"/>
  <c r="F43" i="14"/>
  <c r="M43" i="14"/>
  <c r="N43" i="14"/>
  <c r="D42" i="14"/>
  <c r="L42" i="14"/>
  <c r="F42" i="14"/>
  <c r="M42" i="14"/>
  <c r="N42" i="14"/>
  <c r="D41" i="14"/>
  <c r="L41" i="14"/>
  <c r="F41" i="14"/>
  <c r="M41" i="14"/>
  <c r="N41" i="14"/>
  <c r="D40" i="14"/>
  <c r="L40" i="14"/>
  <c r="F40" i="14"/>
  <c r="M40" i="14"/>
  <c r="N40" i="14"/>
  <c r="D39" i="14"/>
  <c r="L39" i="14"/>
  <c r="F39" i="14"/>
  <c r="M39" i="14"/>
  <c r="N39" i="14"/>
  <c r="D38" i="14"/>
  <c r="L38" i="14"/>
  <c r="F38" i="14"/>
  <c r="M38" i="14"/>
  <c r="N38" i="14"/>
  <c r="D37" i="14"/>
  <c r="L37" i="14"/>
  <c r="F37" i="14"/>
  <c r="M37" i="14"/>
  <c r="N37" i="14"/>
  <c r="D36" i="14"/>
  <c r="L36" i="14"/>
  <c r="F36" i="14"/>
  <c r="M36" i="14"/>
  <c r="N36" i="14"/>
  <c r="D35" i="14"/>
  <c r="L35" i="14"/>
  <c r="F35" i="14"/>
  <c r="M35" i="14"/>
  <c r="N35" i="14"/>
  <c r="D34" i="14"/>
  <c r="L34" i="14"/>
  <c r="F34" i="14"/>
  <c r="M34" i="14"/>
  <c r="N34" i="14"/>
  <c r="D33" i="14"/>
  <c r="L33" i="14"/>
  <c r="F33" i="14"/>
  <c r="M33" i="14"/>
  <c r="N33" i="14"/>
  <c r="D32" i="14"/>
  <c r="L32" i="14"/>
  <c r="F32" i="14"/>
  <c r="M32" i="14"/>
  <c r="N32" i="14"/>
  <c r="D31" i="14"/>
  <c r="L31" i="14"/>
  <c r="F31" i="14"/>
  <c r="M31" i="14"/>
  <c r="N31" i="14"/>
  <c r="D30" i="14"/>
  <c r="L30" i="14"/>
  <c r="F30" i="14"/>
  <c r="M30" i="14"/>
  <c r="N30" i="14"/>
  <c r="D29" i="14"/>
  <c r="L29" i="14"/>
  <c r="F29" i="14"/>
  <c r="M29" i="14"/>
  <c r="N29" i="14"/>
  <c r="D28" i="14"/>
  <c r="L28" i="14"/>
  <c r="F28" i="14"/>
  <c r="M28" i="14"/>
  <c r="N28" i="14"/>
  <c r="D27" i="14"/>
  <c r="L27" i="14"/>
  <c r="F27" i="14"/>
  <c r="M27" i="14"/>
  <c r="N27" i="14"/>
  <c r="D26" i="14"/>
  <c r="L26" i="14"/>
  <c r="F26" i="14"/>
  <c r="M26" i="14"/>
  <c r="N26" i="14"/>
  <c r="D25" i="14"/>
  <c r="L25" i="14"/>
  <c r="F25" i="14"/>
  <c r="M25" i="14"/>
  <c r="N25" i="14"/>
  <c r="D24" i="14"/>
  <c r="L24" i="14"/>
  <c r="F24" i="14"/>
  <c r="M24" i="14"/>
  <c r="N24" i="14"/>
  <c r="D23" i="14"/>
  <c r="L23" i="14"/>
  <c r="F23" i="14"/>
  <c r="M23" i="14"/>
  <c r="N23" i="14"/>
  <c r="D22" i="14"/>
  <c r="L22" i="14"/>
  <c r="F22" i="14"/>
  <c r="M22" i="14"/>
  <c r="N22" i="14"/>
  <c r="D21" i="14"/>
  <c r="L21" i="14"/>
  <c r="F21" i="14"/>
  <c r="M21" i="14"/>
  <c r="N21" i="14"/>
  <c r="D20" i="14"/>
  <c r="L20" i="14"/>
  <c r="F20" i="14"/>
  <c r="M20" i="14"/>
  <c r="N20" i="14"/>
  <c r="D19" i="14"/>
  <c r="L19" i="14"/>
  <c r="F19" i="14"/>
  <c r="M19" i="14"/>
  <c r="N19" i="14"/>
  <c r="D18" i="14"/>
  <c r="L18" i="14"/>
  <c r="F18" i="14"/>
  <c r="M18" i="14"/>
  <c r="N18" i="14"/>
  <c r="D17" i="14"/>
  <c r="L17" i="14"/>
  <c r="F17" i="14"/>
  <c r="M17" i="14"/>
  <c r="N17" i="14"/>
  <c r="D16" i="14"/>
  <c r="L16" i="14"/>
  <c r="F16" i="14"/>
  <c r="M16" i="14"/>
  <c r="N16" i="14"/>
  <c r="D15" i="14"/>
  <c r="L15" i="14"/>
  <c r="F15" i="14"/>
  <c r="M15" i="14"/>
  <c r="N15" i="14"/>
  <c r="D14" i="14"/>
  <c r="L14" i="14"/>
  <c r="F14" i="14"/>
  <c r="M14" i="14"/>
  <c r="N14" i="14"/>
  <c r="D13" i="14"/>
  <c r="L13" i="14"/>
  <c r="F13" i="14"/>
  <c r="M13" i="14"/>
  <c r="N13" i="14"/>
  <c r="D12" i="14"/>
  <c r="L12" i="14"/>
  <c r="F12" i="14"/>
  <c r="M12" i="14"/>
  <c r="N12" i="14"/>
  <c r="D11" i="14"/>
  <c r="L11" i="14"/>
  <c r="F11" i="14"/>
  <c r="M11" i="14"/>
  <c r="N11" i="14"/>
  <c r="D10" i="14"/>
  <c r="L10" i="14"/>
  <c r="F10" i="14"/>
  <c r="M10" i="14"/>
  <c r="N10" i="14"/>
  <c r="D9" i="14"/>
  <c r="L9" i="14"/>
  <c r="F9" i="14"/>
  <c r="M9" i="14"/>
  <c r="N9" i="14"/>
  <c r="D8" i="14"/>
  <c r="L8" i="14"/>
  <c r="F8" i="14"/>
  <c r="M8" i="14"/>
  <c r="N8" i="14"/>
  <c r="D7" i="14"/>
  <c r="L7" i="14"/>
  <c r="F7" i="14"/>
  <c r="M7" i="14"/>
  <c r="N7" i="14"/>
  <c r="D6" i="14"/>
  <c r="L6" i="14"/>
  <c r="F6" i="14"/>
  <c r="M6" i="14"/>
  <c r="N6" i="14"/>
  <c r="O202" i="14"/>
  <c r="K202" i="14"/>
  <c r="J202" i="14"/>
  <c r="I202" i="14"/>
  <c r="H202" i="14"/>
  <c r="G202" i="14"/>
  <c r="E202" i="14"/>
  <c r="D202" i="14"/>
  <c r="C202" i="14"/>
  <c r="S201" i="14"/>
  <c r="Q201" i="14"/>
  <c r="P201" i="14"/>
  <c r="O201" i="14"/>
  <c r="K201" i="14"/>
  <c r="J201" i="14"/>
  <c r="I201" i="14"/>
  <c r="H201" i="14"/>
  <c r="G201" i="14"/>
  <c r="E201" i="14"/>
  <c r="D201" i="14"/>
  <c r="C201" i="14"/>
  <c r="S200" i="14"/>
  <c r="Q200" i="14"/>
  <c r="P200" i="14"/>
  <c r="O200" i="14"/>
  <c r="K200" i="14"/>
  <c r="J200" i="14"/>
  <c r="I200" i="14"/>
  <c r="H200" i="14"/>
  <c r="G200" i="14"/>
  <c r="E200" i="14"/>
  <c r="D200" i="14"/>
  <c r="C200" i="14"/>
  <c r="S199" i="14"/>
  <c r="Q199" i="14"/>
  <c r="P199" i="14"/>
  <c r="O199" i="14"/>
  <c r="K199" i="14"/>
  <c r="J199" i="14"/>
  <c r="I199" i="14"/>
  <c r="H199" i="14"/>
  <c r="G199" i="14"/>
  <c r="E199" i="14"/>
  <c r="D199" i="14"/>
  <c r="C199" i="14"/>
  <c r="S198" i="14"/>
  <c r="Q198" i="14"/>
  <c r="P198" i="14"/>
  <c r="O198" i="14"/>
  <c r="M198" i="14"/>
  <c r="L198" i="14"/>
  <c r="K198" i="14"/>
  <c r="J198" i="14"/>
  <c r="I198" i="14"/>
  <c r="H198" i="14"/>
  <c r="G198" i="14"/>
  <c r="F198" i="14"/>
  <c r="E198" i="14"/>
  <c r="D198" i="14"/>
  <c r="C198" i="14"/>
  <c r="S197" i="14"/>
  <c r="Q197" i="14"/>
  <c r="P197" i="14"/>
  <c r="O197" i="14"/>
  <c r="M197" i="14"/>
  <c r="L197" i="14"/>
  <c r="K197" i="14"/>
  <c r="J197" i="14"/>
  <c r="I197" i="14"/>
  <c r="H197" i="14"/>
  <c r="G197" i="14"/>
  <c r="F197" i="14"/>
  <c r="E197" i="14"/>
  <c r="D197" i="14"/>
  <c r="C197" i="14"/>
  <c r="S196" i="14"/>
  <c r="Q196" i="14"/>
  <c r="P196" i="14"/>
  <c r="O196" i="14"/>
  <c r="M196" i="14"/>
  <c r="L196" i="14"/>
  <c r="K196" i="14"/>
  <c r="J196" i="14"/>
  <c r="I196" i="14"/>
  <c r="H196" i="14"/>
  <c r="G196" i="14"/>
  <c r="F196" i="14"/>
  <c r="E196" i="14"/>
  <c r="D196" i="14"/>
  <c r="C196" i="14"/>
  <c r="S195" i="14"/>
  <c r="Q195" i="14"/>
  <c r="P195" i="14"/>
  <c r="O195" i="14"/>
  <c r="M195" i="14"/>
  <c r="L195" i="14"/>
  <c r="K195" i="14"/>
  <c r="J195" i="14"/>
  <c r="I195" i="14"/>
  <c r="H195" i="14"/>
  <c r="G195" i="14"/>
  <c r="F195" i="14"/>
  <c r="E195" i="14"/>
  <c r="D195" i="14"/>
  <c r="C195" i="14"/>
  <c r="S194" i="14"/>
  <c r="Q194" i="14"/>
  <c r="P194" i="14"/>
  <c r="O194" i="14"/>
  <c r="M194" i="14"/>
  <c r="L194" i="14"/>
  <c r="K194" i="14"/>
  <c r="J194" i="14"/>
  <c r="I194" i="14"/>
  <c r="H194" i="14"/>
  <c r="G194" i="14"/>
  <c r="F194" i="14"/>
  <c r="E194" i="14"/>
  <c r="D194" i="14"/>
  <c r="C194" i="14"/>
  <c r="S193" i="14"/>
  <c r="Q193" i="14"/>
  <c r="P193" i="14"/>
  <c r="O193" i="14"/>
  <c r="M193" i="14"/>
  <c r="L193" i="14"/>
  <c r="K193" i="14"/>
  <c r="J193" i="14"/>
  <c r="I193" i="14"/>
  <c r="H193" i="14"/>
  <c r="G193" i="14"/>
  <c r="F193" i="14"/>
  <c r="E193" i="14"/>
  <c r="D193" i="14"/>
  <c r="C193" i="14"/>
  <c r="S192" i="14"/>
  <c r="Q192" i="14"/>
  <c r="P192" i="14"/>
  <c r="O192" i="14"/>
  <c r="M192" i="14"/>
  <c r="L192" i="14"/>
  <c r="K192" i="14"/>
  <c r="J192" i="14"/>
  <c r="I192" i="14"/>
  <c r="H192" i="14"/>
  <c r="G192" i="14"/>
  <c r="F192" i="14"/>
  <c r="E192" i="14"/>
  <c r="D192" i="14"/>
  <c r="C192" i="14"/>
  <c r="S191" i="14"/>
  <c r="Q191" i="14"/>
  <c r="P191" i="14"/>
  <c r="O191" i="14"/>
  <c r="M191" i="14"/>
  <c r="L191" i="14"/>
  <c r="K191" i="14"/>
  <c r="J191" i="14"/>
  <c r="I191" i="14"/>
  <c r="H191" i="14"/>
  <c r="G191" i="14"/>
  <c r="F191" i="14"/>
  <c r="E191" i="14"/>
  <c r="D191" i="14"/>
  <c r="C191" i="14"/>
  <c r="S190" i="14"/>
  <c r="Q190" i="14"/>
  <c r="P190" i="14"/>
  <c r="O190" i="14"/>
  <c r="M190" i="14"/>
  <c r="L190" i="14"/>
  <c r="K190" i="14"/>
  <c r="J190" i="14"/>
  <c r="I190" i="14"/>
  <c r="H190" i="14"/>
  <c r="G190" i="14"/>
  <c r="F190" i="14"/>
  <c r="E190" i="14"/>
  <c r="D190" i="14"/>
  <c r="C190" i="14"/>
  <c r="S189" i="14"/>
  <c r="Q189" i="14"/>
  <c r="P189" i="14"/>
  <c r="O189" i="14"/>
  <c r="M189" i="14"/>
  <c r="L189" i="14"/>
  <c r="K189" i="14"/>
  <c r="J189" i="14"/>
  <c r="I189" i="14"/>
  <c r="H189" i="14"/>
  <c r="G189" i="14"/>
  <c r="F189" i="14"/>
  <c r="E189" i="14"/>
  <c r="D189" i="14"/>
  <c r="C189" i="14"/>
  <c r="S188" i="14"/>
  <c r="Q188" i="14"/>
  <c r="P188" i="14"/>
  <c r="O188" i="14"/>
  <c r="M188" i="14"/>
  <c r="L188" i="14"/>
  <c r="K188" i="14"/>
  <c r="J188" i="14"/>
  <c r="I188" i="14"/>
  <c r="H188" i="14"/>
  <c r="G188" i="14"/>
  <c r="F188" i="14"/>
  <c r="E188" i="14"/>
  <c r="D188" i="14"/>
  <c r="C188" i="14"/>
  <c r="S187" i="14"/>
  <c r="Q187" i="14"/>
  <c r="P187" i="14"/>
  <c r="O187" i="14"/>
  <c r="M187" i="14"/>
  <c r="L187" i="14"/>
  <c r="K187" i="14"/>
  <c r="J187" i="14"/>
  <c r="I187" i="14"/>
  <c r="H187" i="14"/>
  <c r="G187" i="14"/>
  <c r="F187" i="14"/>
  <c r="E187" i="14"/>
  <c r="D187" i="14"/>
  <c r="C187" i="14"/>
  <c r="S186" i="14"/>
  <c r="Q186" i="14"/>
  <c r="P186" i="14"/>
  <c r="O186" i="14"/>
  <c r="M186" i="14"/>
  <c r="L186" i="14"/>
  <c r="K186" i="14"/>
  <c r="J186" i="14"/>
  <c r="I186" i="14"/>
  <c r="H186" i="14"/>
  <c r="G186" i="14"/>
  <c r="F186" i="14"/>
  <c r="E186" i="14"/>
  <c r="D186" i="14"/>
  <c r="C186" i="14"/>
  <c r="S185" i="14"/>
  <c r="Q185" i="14"/>
  <c r="P185" i="14"/>
  <c r="O185" i="14"/>
  <c r="M185" i="14"/>
  <c r="L185" i="14"/>
  <c r="K185" i="14"/>
  <c r="J185" i="14"/>
  <c r="I185" i="14"/>
  <c r="H185" i="14"/>
  <c r="G185" i="14"/>
  <c r="F185" i="14"/>
  <c r="E185" i="14"/>
  <c r="D185" i="14"/>
  <c r="C185" i="14"/>
  <c r="S184" i="14"/>
  <c r="Q184" i="14"/>
  <c r="P184" i="14"/>
  <c r="O184" i="14"/>
  <c r="M184" i="14"/>
  <c r="L184" i="14"/>
  <c r="K184" i="14"/>
  <c r="J184" i="14"/>
  <c r="I184" i="14"/>
  <c r="H184" i="14"/>
  <c r="G184" i="14"/>
  <c r="F184" i="14"/>
  <c r="E184" i="14"/>
  <c r="D184" i="14"/>
  <c r="C184" i="14"/>
  <c r="S183" i="14"/>
  <c r="Q183" i="14"/>
  <c r="P183" i="14"/>
  <c r="O183" i="14"/>
  <c r="M183" i="14"/>
  <c r="L183" i="14"/>
  <c r="K183" i="14"/>
  <c r="J183" i="14"/>
  <c r="I183" i="14"/>
  <c r="H183" i="14"/>
  <c r="G183" i="14"/>
  <c r="F183" i="14"/>
  <c r="E183" i="14"/>
  <c r="D183" i="14"/>
  <c r="C183" i="14"/>
  <c r="S182" i="14"/>
  <c r="E3" i="14"/>
  <c r="E4" i="14"/>
  <c r="E46" i="14"/>
  <c r="E42" i="14"/>
  <c r="E41" i="14"/>
  <c r="E40" i="14"/>
  <c r="E39" i="14"/>
  <c r="E38" i="14"/>
  <c r="E37" i="14"/>
  <c r="E36" i="14"/>
  <c r="E35" i="14"/>
  <c r="E33" i="14"/>
  <c r="E32" i="14"/>
  <c r="E31" i="14"/>
  <c r="E30" i="14"/>
  <c r="E26" i="14"/>
  <c r="E25" i="14"/>
  <c r="E24" i="14"/>
  <c r="E23" i="14"/>
  <c r="E22" i="14"/>
  <c r="E21" i="14"/>
  <c r="E20" i="14"/>
  <c r="E19" i="14"/>
  <c r="E17" i="14"/>
  <c r="E15" i="14"/>
  <c r="E11" i="14"/>
  <c r="E7" i="14"/>
  <c r="Q182" i="14"/>
  <c r="P182" i="14"/>
  <c r="O182" i="14"/>
  <c r="M182" i="14"/>
  <c r="L182" i="14"/>
  <c r="K182" i="14"/>
  <c r="J182" i="14"/>
  <c r="I182" i="14"/>
  <c r="H182" i="14"/>
  <c r="G182" i="14"/>
  <c r="F182" i="14"/>
  <c r="E182" i="14"/>
  <c r="D182" i="14"/>
  <c r="C182" i="14"/>
  <c r="S181" i="14"/>
  <c r="Q181" i="14"/>
  <c r="P181" i="14"/>
  <c r="O181" i="14"/>
  <c r="M181" i="14"/>
  <c r="L181" i="14"/>
  <c r="K181" i="14"/>
  <c r="J181" i="14"/>
  <c r="I181" i="14"/>
  <c r="H181" i="14"/>
  <c r="G181" i="14"/>
  <c r="F181" i="14"/>
  <c r="E181" i="14"/>
  <c r="D181" i="14"/>
  <c r="C181" i="14"/>
  <c r="S180" i="14"/>
  <c r="Q180" i="14"/>
  <c r="P180" i="14"/>
  <c r="O180" i="14"/>
  <c r="M180" i="14"/>
  <c r="L180" i="14"/>
  <c r="K180" i="14"/>
  <c r="J180" i="14"/>
  <c r="I180" i="14"/>
  <c r="H180" i="14"/>
  <c r="G180" i="14"/>
  <c r="F180" i="14"/>
  <c r="E180" i="14"/>
  <c r="D180" i="14"/>
  <c r="C180" i="14"/>
  <c r="S179" i="14"/>
  <c r="Q179" i="14"/>
  <c r="P179" i="14"/>
  <c r="O179" i="14"/>
  <c r="M179" i="14"/>
  <c r="L179" i="14"/>
  <c r="K179" i="14"/>
  <c r="J179" i="14"/>
  <c r="I179" i="14"/>
  <c r="H179" i="14"/>
  <c r="G179" i="14"/>
  <c r="F179" i="14"/>
  <c r="E179" i="14"/>
  <c r="D179" i="14"/>
  <c r="C179" i="14"/>
  <c r="S178" i="14"/>
  <c r="Q178" i="14"/>
  <c r="P178" i="14"/>
  <c r="O178" i="14"/>
  <c r="M178" i="14"/>
  <c r="L178" i="14"/>
  <c r="K178" i="14"/>
  <c r="J178" i="14"/>
  <c r="I178" i="14"/>
  <c r="H178" i="14"/>
  <c r="G178" i="14"/>
  <c r="F178" i="14"/>
  <c r="E178" i="14"/>
  <c r="D178" i="14"/>
  <c r="C178" i="14"/>
  <c r="S177" i="14"/>
  <c r="Q177" i="14"/>
  <c r="P177" i="14"/>
  <c r="O177" i="14"/>
  <c r="M177" i="14"/>
  <c r="L177" i="14"/>
  <c r="K177" i="14"/>
  <c r="J177" i="14"/>
  <c r="I177" i="14"/>
  <c r="H177" i="14"/>
  <c r="G177" i="14"/>
  <c r="F177" i="14"/>
  <c r="E177" i="14"/>
  <c r="D177" i="14"/>
  <c r="C177" i="14"/>
  <c r="S176" i="14"/>
  <c r="Q176" i="14"/>
  <c r="P176" i="14"/>
  <c r="O176" i="14"/>
  <c r="M176" i="14"/>
  <c r="L176" i="14"/>
  <c r="K176" i="14"/>
  <c r="J176" i="14"/>
  <c r="I176" i="14"/>
  <c r="H176" i="14"/>
  <c r="G176" i="14"/>
  <c r="F176" i="14"/>
  <c r="E176" i="14"/>
  <c r="D176" i="14"/>
  <c r="C176" i="14"/>
  <c r="S175" i="14"/>
  <c r="Q175" i="14"/>
  <c r="P175" i="14"/>
  <c r="O175" i="14"/>
  <c r="M175" i="14"/>
  <c r="L175" i="14"/>
  <c r="K175" i="14"/>
  <c r="J175" i="14"/>
  <c r="I175" i="14"/>
  <c r="H175" i="14"/>
  <c r="G175" i="14"/>
  <c r="F175" i="14"/>
  <c r="E175" i="14"/>
  <c r="D175" i="14"/>
  <c r="C175" i="14"/>
  <c r="S174" i="14"/>
  <c r="Q174" i="14"/>
  <c r="P174" i="14"/>
  <c r="O174" i="14"/>
  <c r="M174" i="14"/>
  <c r="L174" i="14"/>
  <c r="K174" i="14"/>
  <c r="J174" i="14"/>
  <c r="I174" i="14"/>
  <c r="H174" i="14"/>
  <c r="G174" i="14"/>
  <c r="F174" i="14"/>
  <c r="E174" i="14"/>
  <c r="D174" i="14"/>
  <c r="C174" i="14"/>
  <c r="S173" i="14"/>
  <c r="Q173" i="14"/>
  <c r="P173" i="14"/>
  <c r="O173" i="14"/>
  <c r="M173" i="14"/>
  <c r="L173" i="14"/>
  <c r="K173" i="14"/>
  <c r="J173" i="14"/>
  <c r="I173" i="14"/>
  <c r="H173" i="14"/>
  <c r="G173" i="14"/>
  <c r="F173" i="14"/>
  <c r="E173" i="14"/>
  <c r="D173" i="14"/>
  <c r="C173" i="14"/>
  <c r="S172" i="14"/>
  <c r="Q172" i="14"/>
  <c r="P172" i="14"/>
  <c r="O172" i="14"/>
  <c r="M172" i="14"/>
  <c r="L172" i="14"/>
  <c r="K172" i="14"/>
  <c r="J172" i="14"/>
  <c r="I172" i="14"/>
  <c r="H172" i="14"/>
  <c r="G172" i="14"/>
  <c r="F172" i="14"/>
  <c r="E172" i="14"/>
  <c r="D172" i="14"/>
  <c r="C172" i="14"/>
  <c r="S171" i="14"/>
  <c r="Q171" i="14"/>
  <c r="P171" i="14"/>
  <c r="L171" i="14"/>
  <c r="F171" i="14"/>
  <c r="M171" i="14"/>
  <c r="L170" i="14"/>
  <c r="F170" i="14"/>
  <c r="M170" i="14"/>
  <c r="L169" i="14"/>
  <c r="F169" i="14"/>
  <c r="M169" i="14"/>
  <c r="L168" i="14"/>
  <c r="F168" i="14"/>
  <c r="M168" i="14"/>
  <c r="L166" i="14"/>
  <c r="F166" i="14"/>
  <c r="M166" i="14"/>
  <c r="L165" i="14"/>
  <c r="F165" i="14"/>
  <c r="M165" i="14"/>
  <c r="L163" i="14"/>
  <c r="F163" i="14"/>
  <c r="M163" i="14"/>
  <c r="L162" i="14"/>
  <c r="F162" i="14"/>
  <c r="M162" i="14"/>
  <c r="L161" i="14"/>
  <c r="F161" i="14"/>
  <c r="M161" i="14"/>
  <c r="L158" i="14"/>
  <c r="F158" i="14"/>
  <c r="M158" i="14"/>
  <c r="L157" i="14"/>
  <c r="F157" i="14"/>
  <c r="M157" i="14"/>
  <c r="O171" i="14"/>
  <c r="K171" i="14"/>
  <c r="J171" i="14"/>
  <c r="I171" i="14"/>
  <c r="H171" i="14"/>
  <c r="G171" i="14"/>
  <c r="E171" i="14"/>
  <c r="D171" i="14"/>
  <c r="C171" i="14"/>
  <c r="S170" i="14"/>
  <c r="Q170" i="14"/>
  <c r="P170" i="14"/>
  <c r="O170" i="14"/>
  <c r="K170" i="14"/>
  <c r="J170" i="14"/>
  <c r="I170" i="14"/>
  <c r="H170" i="14"/>
  <c r="G170" i="14"/>
  <c r="E170" i="14"/>
  <c r="D170" i="14"/>
  <c r="C170" i="14"/>
  <c r="S169" i="14"/>
  <c r="Q169" i="14"/>
  <c r="P169" i="14"/>
  <c r="O169" i="14"/>
  <c r="K169" i="14"/>
  <c r="J169" i="14"/>
  <c r="I169" i="14"/>
  <c r="H169" i="14"/>
  <c r="G169" i="14"/>
  <c r="E169" i="14"/>
  <c r="D169" i="14"/>
  <c r="C169" i="14"/>
  <c r="S168" i="14"/>
  <c r="Q168" i="14"/>
  <c r="P168" i="14"/>
  <c r="O168" i="14"/>
  <c r="K168" i="14"/>
  <c r="J168" i="14"/>
  <c r="I168" i="14"/>
  <c r="H168" i="14"/>
  <c r="G168" i="14"/>
  <c r="E168" i="14"/>
  <c r="D168" i="14"/>
  <c r="C168" i="14"/>
  <c r="S167" i="14"/>
  <c r="Q167" i="14"/>
  <c r="P167" i="14"/>
  <c r="O167" i="14"/>
  <c r="M167" i="14"/>
  <c r="L167" i="14"/>
  <c r="K167" i="14"/>
  <c r="J167" i="14"/>
  <c r="I167" i="14"/>
  <c r="H167" i="14"/>
  <c r="G167" i="14"/>
  <c r="F167" i="14"/>
  <c r="E167" i="14"/>
  <c r="D167" i="14"/>
  <c r="C167" i="14"/>
  <c r="S166" i="14"/>
  <c r="Q166" i="14"/>
  <c r="P166" i="14"/>
  <c r="O166" i="14"/>
  <c r="K166" i="14"/>
  <c r="J166" i="14"/>
  <c r="I166" i="14"/>
  <c r="H166" i="14"/>
  <c r="G166" i="14"/>
  <c r="E166" i="14"/>
  <c r="D166" i="14"/>
  <c r="C166" i="14"/>
  <c r="S165" i="14"/>
  <c r="Q165" i="14"/>
  <c r="P165" i="14"/>
  <c r="O165" i="14"/>
  <c r="K165" i="14"/>
  <c r="J165" i="14"/>
  <c r="I165" i="14"/>
  <c r="H165" i="14"/>
  <c r="G165" i="14"/>
  <c r="E165" i="14"/>
  <c r="D165" i="14"/>
  <c r="C165" i="14"/>
  <c r="S164" i="14"/>
  <c r="Q164" i="14"/>
  <c r="P164" i="14"/>
  <c r="O164" i="14"/>
  <c r="M164" i="14"/>
  <c r="L164" i="14"/>
  <c r="K164" i="14"/>
  <c r="J164" i="14"/>
  <c r="I164" i="14"/>
  <c r="H164" i="14"/>
  <c r="G164" i="14"/>
  <c r="F164" i="14"/>
  <c r="E164" i="14"/>
  <c r="D164" i="14"/>
  <c r="C164" i="14"/>
  <c r="S163" i="14"/>
  <c r="Q163" i="14"/>
  <c r="P163" i="14"/>
  <c r="O163" i="14"/>
  <c r="K163" i="14"/>
  <c r="J163" i="14"/>
  <c r="I163" i="14"/>
  <c r="H163" i="14"/>
  <c r="G163" i="14"/>
  <c r="E163" i="14"/>
  <c r="D163" i="14"/>
  <c r="C163" i="14"/>
  <c r="S162" i="14"/>
  <c r="Q162" i="14"/>
  <c r="P162" i="14"/>
  <c r="O162" i="14"/>
  <c r="K162" i="14"/>
  <c r="J162" i="14"/>
  <c r="I162" i="14"/>
  <c r="H162" i="14"/>
  <c r="G162" i="14"/>
  <c r="E162" i="14"/>
  <c r="D162" i="14"/>
  <c r="C162" i="14"/>
  <c r="S161" i="14"/>
  <c r="Q161" i="14"/>
  <c r="P161" i="14"/>
  <c r="O161" i="14"/>
  <c r="K161" i="14"/>
  <c r="J161" i="14"/>
  <c r="I161" i="14"/>
  <c r="H161" i="14"/>
  <c r="G161" i="14"/>
  <c r="E161" i="14"/>
  <c r="D161" i="14"/>
  <c r="C161" i="14"/>
  <c r="S160" i="14"/>
  <c r="Q160" i="14"/>
  <c r="P160" i="14"/>
  <c r="O160" i="14"/>
  <c r="M160" i="14"/>
  <c r="L160" i="14"/>
  <c r="K160" i="14"/>
  <c r="J160" i="14"/>
  <c r="I160" i="14"/>
  <c r="H160" i="14"/>
  <c r="G160" i="14"/>
  <c r="F160" i="14"/>
  <c r="E160" i="14"/>
  <c r="D160" i="14"/>
  <c r="C160" i="14"/>
  <c r="S159" i="14"/>
  <c r="Q159" i="14"/>
  <c r="P159" i="14"/>
  <c r="O159" i="14"/>
  <c r="M159" i="14"/>
  <c r="L159" i="14"/>
  <c r="K159" i="14"/>
  <c r="J159" i="14"/>
  <c r="I159" i="14"/>
  <c r="H159" i="14"/>
  <c r="G159" i="14"/>
  <c r="F159" i="14"/>
  <c r="E159" i="14"/>
  <c r="D159" i="14"/>
  <c r="C159" i="14"/>
  <c r="S158" i="14"/>
  <c r="Q158" i="14"/>
  <c r="P158" i="14"/>
  <c r="O158" i="14"/>
  <c r="K158" i="14"/>
  <c r="J158" i="14"/>
  <c r="I158" i="14"/>
  <c r="H158" i="14"/>
  <c r="G158" i="14"/>
  <c r="E158" i="14"/>
  <c r="D158" i="14"/>
  <c r="C158" i="14"/>
  <c r="S157" i="14"/>
  <c r="Q157" i="14"/>
  <c r="P157" i="14"/>
  <c r="O157" i="14"/>
  <c r="K157" i="14"/>
  <c r="J157" i="14"/>
  <c r="I157" i="14"/>
  <c r="H157" i="14"/>
  <c r="G157" i="14"/>
  <c r="E157" i="14"/>
  <c r="D157" i="14"/>
  <c r="C157" i="14"/>
  <c r="S156" i="14"/>
  <c r="Q156" i="14"/>
  <c r="P156" i="14"/>
  <c r="O156" i="14"/>
  <c r="M156" i="14"/>
  <c r="L156" i="14"/>
  <c r="K156" i="14"/>
  <c r="J156" i="14"/>
  <c r="I156" i="14"/>
  <c r="H156" i="14"/>
  <c r="G156" i="14"/>
  <c r="F156" i="14"/>
  <c r="E156" i="14"/>
  <c r="D156" i="14"/>
  <c r="C156" i="14"/>
  <c r="S155" i="14"/>
  <c r="Q155" i="14"/>
  <c r="P155" i="14"/>
  <c r="O155" i="14"/>
  <c r="M155" i="14"/>
  <c r="L155" i="14"/>
  <c r="K155" i="14"/>
  <c r="J155" i="14"/>
  <c r="I155" i="14"/>
  <c r="H155" i="14"/>
  <c r="G155" i="14"/>
  <c r="F155" i="14"/>
  <c r="E155" i="14"/>
  <c r="D155" i="14"/>
  <c r="C155" i="14"/>
  <c r="S154" i="14"/>
  <c r="Q154" i="14"/>
  <c r="P154" i="14"/>
  <c r="O154" i="14"/>
  <c r="M154" i="14"/>
  <c r="L154" i="14"/>
  <c r="K154" i="14"/>
  <c r="J154" i="14"/>
  <c r="I154" i="14"/>
  <c r="H154" i="14"/>
  <c r="G154" i="14"/>
  <c r="F154" i="14"/>
  <c r="E154" i="14"/>
  <c r="D154" i="14"/>
  <c r="C154" i="14"/>
  <c r="AT150" i="14"/>
  <c r="AS150" i="14"/>
  <c r="AR150" i="14"/>
  <c r="AQ150" i="14"/>
  <c r="AP150" i="14"/>
  <c r="AO150" i="14"/>
  <c r="AN150" i="14"/>
  <c r="AM150" i="14"/>
  <c r="AL150" i="14"/>
  <c r="AK150" i="14"/>
  <c r="AJ150" i="14"/>
  <c r="AI150" i="14"/>
  <c r="AH150" i="14"/>
  <c r="AG150" i="14"/>
  <c r="AF150" i="14"/>
  <c r="AE150" i="14"/>
  <c r="AD150" i="14"/>
  <c r="AC150" i="14"/>
  <c r="AB150" i="14"/>
  <c r="AA150" i="14"/>
  <c r="Z150" i="14"/>
  <c r="Y150" i="14"/>
  <c r="X150" i="14"/>
  <c r="W150" i="14"/>
  <c r="S150" i="14"/>
  <c r="Q150" i="14"/>
  <c r="P150" i="14"/>
  <c r="O150" i="14"/>
  <c r="M150" i="14"/>
  <c r="L150" i="14"/>
  <c r="J150" i="14"/>
  <c r="I150" i="14"/>
  <c r="H150" i="14" a="1"/>
  <c r="H150" i="14"/>
  <c r="G150" i="14" a="1"/>
  <c r="G150" i="14"/>
  <c r="F150" i="14"/>
  <c r="E150" i="14"/>
  <c r="D150" i="14"/>
  <c r="C150" i="14"/>
  <c r="AT149" i="14"/>
  <c r="AS149" i="14"/>
  <c r="AR149" i="14"/>
  <c r="AQ149" i="14"/>
  <c r="AP149" i="14"/>
  <c r="AO149" i="14"/>
  <c r="AN149" i="14"/>
  <c r="AM149" i="14"/>
  <c r="AL149" i="14"/>
  <c r="AK149" i="14"/>
  <c r="AJ149" i="14"/>
  <c r="AI149" i="14"/>
  <c r="AH149" i="14"/>
  <c r="AG149" i="14"/>
  <c r="AF149" i="14"/>
  <c r="AE149" i="14"/>
  <c r="AD149" i="14"/>
  <c r="AC149" i="14"/>
  <c r="AB149" i="14"/>
  <c r="AA149" i="14"/>
  <c r="Z149" i="14"/>
  <c r="Y149" i="14"/>
  <c r="X149" i="14"/>
  <c r="W149" i="14"/>
  <c r="S149" i="14"/>
  <c r="Q149" i="14"/>
  <c r="P149" i="14"/>
  <c r="O149" i="14"/>
  <c r="M149" i="14"/>
  <c r="L149" i="14"/>
  <c r="J149" i="14"/>
  <c r="I149" i="14"/>
  <c r="H149" i="14" a="1"/>
  <c r="H149" i="14"/>
  <c r="G149" i="14" a="1"/>
  <c r="G149" i="14"/>
  <c r="F149" i="14"/>
  <c r="E149" i="14"/>
  <c r="D149" i="14"/>
  <c r="C149" i="14"/>
  <c r="AT148" i="14"/>
  <c r="AS148" i="14"/>
  <c r="AR148" i="14"/>
  <c r="AQ148" i="14"/>
  <c r="AP148" i="14"/>
  <c r="AO148" i="14"/>
  <c r="AN148" i="14"/>
  <c r="AM148" i="14"/>
  <c r="AL148" i="14"/>
  <c r="AK148" i="14"/>
  <c r="AJ148" i="14"/>
  <c r="AI148" i="14"/>
  <c r="AH148" i="14"/>
  <c r="AG148" i="14"/>
  <c r="AF148" i="14"/>
  <c r="AE148" i="14"/>
  <c r="AD148" i="14"/>
  <c r="AC148" i="14"/>
  <c r="AB148" i="14"/>
  <c r="AA148" i="14"/>
  <c r="Z148" i="14"/>
  <c r="Y148" i="14"/>
  <c r="X148" i="14"/>
  <c r="W148" i="14"/>
  <c r="S148" i="14"/>
  <c r="Q148" i="14"/>
  <c r="P148" i="14"/>
  <c r="O148" i="14"/>
  <c r="M148" i="14"/>
  <c r="L148" i="14"/>
  <c r="J148" i="14"/>
  <c r="I148" i="14"/>
  <c r="H148" i="14" a="1"/>
  <c r="H148" i="14"/>
  <c r="G148" i="14" a="1"/>
  <c r="G148" i="14"/>
  <c r="F148" i="14"/>
  <c r="E148" i="14"/>
  <c r="D148" i="14"/>
  <c r="C148" i="14"/>
  <c r="AT147" i="14"/>
  <c r="AS147" i="14"/>
  <c r="AR147" i="14"/>
  <c r="AQ147" i="14"/>
  <c r="AP147" i="14"/>
  <c r="AO147" i="14"/>
  <c r="AN147" i="14"/>
  <c r="AM147" i="14"/>
  <c r="AL147" i="14"/>
  <c r="AK147" i="14"/>
  <c r="AJ147" i="14"/>
  <c r="AI147" i="14"/>
  <c r="AH147" i="14"/>
  <c r="AG147" i="14"/>
  <c r="AF147" i="14"/>
  <c r="AE147" i="14"/>
  <c r="AD147" i="14"/>
  <c r="AC147" i="14"/>
  <c r="AB147" i="14"/>
  <c r="AA147" i="14"/>
  <c r="Z147" i="14"/>
  <c r="Y147" i="14"/>
  <c r="X147" i="14"/>
  <c r="W147" i="14"/>
  <c r="S147" i="14"/>
  <c r="Q147" i="14"/>
  <c r="P147" i="14"/>
  <c r="O147" i="14"/>
  <c r="M147" i="14"/>
  <c r="L147" i="14"/>
  <c r="J147" i="14"/>
  <c r="I147" i="14"/>
  <c r="H147" i="14" a="1"/>
  <c r="H147" i="14"/>
  <c r="G147" i="14" a="1"/>
  <c r="G147" i="14"/>
  <c r="F147" i="14"/>
  <c r="E147" i="14"/>
  <c r="D147" i="14"/>
  <c r="C147" i="14"/>
  <c r="AT146" i="14"/>
  <c r="AS146" i="14"/>
  <c r="AR146" i="14"/>
  <c r="AQ146" i="14"/>
  <c r="AP146" i="14"/>
  <c r="AO146" i="14"/>
  <c r="AN146" i="14"/>
  <c r="AM146" i="14"/>
  <c r="AL146" i="14"/>
  <c r="AK146" i="14"/>
  <c r="AJ146" i="14"/>
  <c r="AI146" i="14"/>
  <c r="AH146" i="14"/>
  <c r="AG146" i="14"/>
  <c r="AF146" i="14"/>
  <c r="AE146" i="14"/>
  <c r="AD146" i="14"/>
  <c r="AC146" i="14"/>
  <c r="AB146" i="14"/>
  <c r="AA146" i="14"/>
  <c r="Z146" i="14"/>
  <c r="Y146" i="14"/>
  <c r="X146" i="14"/>
  <c r="W146" i="14"/>
  <c r="S146" i="14"/>
  <c r="Q146" i="14"/>
  <c r="P146" i="14"/>
  <c r="O146" i="14"/>
  <c r="M146" i="14"/>
  <c r="L146" i="14"/>
  <c r="J146" i="14"/>
  <c r="I146" i="14"/>
  <c r="H146" i="14" a="1"/>
  <c r="H146" i="14"/>
  <c r="G146" i="14" a="1"/>
  <c r="G146" i="14"/>
  <c r="F146" i="14"/>
  <c r="E146" i="14"/>
  <c r="D146" i="14"/>
  <c r="C146" i="14"/>
  <c r="AT145" i="14"/>
  <c r="AS145" i="14"/>
  <c r="AR145" i="14"/>
  <c r="AQ145" i="14"/>
  <c r="AP145" i="14"/>
  <c r="AO145" i="14"/>
  <c r="AN145" i="14"/>
  <c r="AM145" i="14"/>
  <c r="AL145" i="14"/>
  <c r="AK145" i="14"/>
  <c r="AJ145" i="14"/>
  <c r="AI145" i="14"/>
  <c r="AH145" i="14"/>
  <c r="AG145" i="14"/>
  <c r="AF145" i="14"/>
  <c r="AE145" i="14"/>
  <c r="AD145" i="14"/>
  <c r="AC145" i="14"/>
  <c r="AB145" i="14"/>
  <c r="AA145" i="14"/>
  <c r="Z145" i="14"/>
  <c r="Y145" i="14"/>
  <c r="X145" i="14"/>
  <c r="W145" i="14"/>
  <c r="S145" i="14"/>
  <c r="Q145" i="14"/>
  <c r="P145" i="14"/>
  <c r="O145" i="14"/>
  <c r="M145" i="14"/>
  <c r="L145" i="14"/>
  <c r="J145" i="14"/>
  <c r="I145" i="14"/>
  <c r="H145" i="14" a="1"/>
  <c r="H145" i="14"/>
  <c r="G145" i="14" a="1"/>
  <c r="G145" i="14"/>
  <c r="F145" i="14"/>
  <c r="E145" i="14"/>
  <c r="D145" i="14"/>
  <c r="C145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S144" i="14"/>
  <c r="Q144" i="14"/>
  <c r="P144" i="14"/>
  <c r="O144" i="14"/>
  <c r="M144" i="14"/>
  <c r="L144" i="14"/>
  <c r="J144" i="14"/>
  <c r="I144" i="14"/>
  <c r="H144" i="14" a="1"/>
  <c r="H144" i="14"/>
  <c r="G144" i="14" a="1"/>
  <c r="G144" i="14"/>
  <c r="F144" i="14"/>
  <c r="E144" i="14"/>
  <c r="D144" i="14"/>
  <c r="C144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S143" i="14"/>
  <c r="Q143" i="14"/>
  <c r="P143" i="14"/>
  <c r="O143" i="14"/>
  <c r="M143" i="14"/>
  <c r="L143" i="14"/>
  <c r="J143" i="14"/>
  <c r="I143" i="14"/>
  <c r="H143" i="14" a="1"/>
  <c r="H143" i="14"/>
  <c r="G143" i="14" a="1"/>
  <c r="G143" i="14"/>
  <c r="F143" i="14"/>
  <c r="E143" i="14"/>
  <c r="D143" i="14"/>
  <c r="C143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S142" i="14"/>
  <c r="Q142" i="14"/>
  <c r="P142" i="14"/>
  <c r="O142" i="14"/>
  <c r="M142" i="14"/>
  <c r="L142" i="14"/>
  <c r="J142" i="14"/>
  <c r="I142" i="14"/>
  <c r="H142" i="14" a="1"/>
  <c r="H142" i="14"/>
  <c r="G142" i="14" a="1"/>
  <c r="G142" i="14"/>
  <c r="F142" i="14"/>
  <c r="E142" i="14"/>
  <c r="D142" i="14"/>
  <c r="C142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S141" i="14"/>
  <c r="Q141" i="14"/>
  <c r="P141" i="14"/>
  <c r="O141" i="14"/>
  <c r="M141" i="14"/>
  <c r="L141" i="14"/>
  <c r="J141" i="14"/>
  <c r="I141" i="14"/>
  <c r="H141" i="14" a="1"/>
  <c r="H141" i="14"/>
  <c r="G141" i="14" a="1"/>
  <c r="G141" i="14"/>
  <c r="F141" i="14"/>
  <c r="E141" i="14"/>
  <c r="D141" i="14"/>
  <c r="C141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S140" i="14"/>
  <c r="Q140" i="14"/>
  <c r="P140" i="14"/>
  <c r="O140" i="14"/>
  <c r="M140" i="14"/>
  <c r="L140" i="14"/>
  <c r="J140" i="14"/>
  <c r="I140" i="14"/>
  <c r="H140" i="14" a="1"/>
  <c r="H140" i="14"/>
  <c r="G140" i="14" a="1"/>
  <c r="G140" i="14"/>
  <c r="F140" i="14"/>
  <c r="E140" i="14"/>
  <c r="D140" i="14"/>
  <c r="C140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S139" i="14"/>
  <c r="Q139" i="14"/>
  <c r="P139" i="14"/>
  <c r="O139" i="14"/>
  <c r="M139" i="14"/>
  <c r="L139" i="14"/>
  <c r="J139" i="14"/>
  <c r="I139" i="14"/>
  <c r="H139" i="14" a="1"/>
  <c r="H139" i="14"/>
  <c r="G139" i="14" a="1"/>
  <c r="G139" i="14"/>
  <c r="F139" i="14"/>
  <c r="E139" i="14"/>
  <c r="D139" i="14"/>
  <c r="C139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S138" i="14"/>
  <c r="Q138" i="14"/>
  <c r="P138" i="14"/>
  <c r="O138" i="14"/>
  <c r="M138" i="14"/>
  <c r="L138" i="14"/>
  <c r="J138" i="14"/>
  <c r="I138" i="14"/>
  <c r="H138" i="14" a="1"/>
  <c r="H138" i="14"/>
  <c r="G138" i="14" a="1"/>
  <c r="G138" i="14"/>
  <c r="F138" i="14"/>
  <c r="E138" i="14"/>
  <c r="D138" i="14"/>
  <c r="C138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S137" i="14"/>
  <c r="Q137" i="14"/>
  <c r="P137" i="14"/>
  <c r="O137" i="14"/>
  <c r="M137" i="14"/>
  <c r="L137" i="14"/>
  <c r="J137" i="14"/>
  <c r="I137" i="14"/>
  <c r="H137" i="14" a="1"/>
  <c r="H137" i="14"/>
  <c r="G137" i="14" a="1"/>
  <c r="G137" i="14"/>
  <c r="F137" i="14"/>
  <c r="E137" i="14"/>
  <c r="D137" i="14"/>
  <c r="C137" i="14"/>
  <c r="AT136" i="14"/>
  <c r="AS136" i="14"/>
  <c r="AR136" i="14"/>
  <c r="AQ136" i="14"/>
  <c r="AP136" i="14"/>
  <c r="AO136" i="14"/>
  <c r="AN136" i="14"/>
  <c r="AM136" i="14"/>
  <c r="AL136" i="14"/>
  <c r="AK136" i="14"/>
  <c r="AJ136" i="14"/>
  <c r="AI136" i="14"/>
  <c r="AH136" i="14"/>
  <c r="AG136" i="14"/>
  <c r="AF136" i="14"/>
  <c r="AE136" i="14"/>
  <c r="AD136" i="14"/>
  <c r="AC136" i="14"/>
  <c r="AB136" i="14"/>
  <c r="AA136" i="14"/>
  <c r="Z136" i="14"/>
  <c r="Y136" i="14"/>
  <c r="X136" i="14"/>
  <c r="W136" i="14"/>
  <c r="S136" i="14"/>
  <c r="Q136" i="14"/>
  <c r="P136" i="14"/>
  <c r="O136" i="14"/>
  <c r="M136" i="14"/>
  <c r="L136" i="14"/>
  <c r="J136" i="14"/>
  <c r="I136" i="14"/>
  <c r="H136" i="14" a="1"/>
  <c r="H136" i="14"/>
  <c r="G136" i="14" a="1"/>
  <c r="G136" i="14"/>
  <c r="F136" i="14"/>
  <c r="E136" i="14"/>
  <c r="D136" i="14"/>
  <c r="C136" i="14"/>
  <c r="AT135" i="14"/>
  <c r="AS135" i="14"/>
  <c r="AR135" i="14"/>
  <c r="AQ135" i="14"/>
  <c r="AP135" i="14"/>
  <c r="AO135" i="14"/>
  <c r="AN135" i="14"/>
  <c r="AM135" i="14"/>
  <c r="AL135" i="14"/>
  <c r="AK135" i="14"/>
  <c r="AJ135" i="14"/>
  <c r="AI135" i="14"/>
  <c r="AH135" i="14"/>
  <c r="AG135" i="14"/>
  <c r="AF135" i="14"/>
  <c r="AE135" i="14"/>
  <c r="AD135" i="14"/>
  <c r="AC135" i="14"/>
  <c r="AB135" i="14"/>
  <c r="AA135" i="14"/>
  <c r="Z135" i="14"/>
  <c r="Y135" i="14"/>
  <c r="X135" i="14"/>
  <c r="W135" i="14"/>
  <c r="S135" i="14"/>
  <c r="Q135" i="14"/>
  <c r="P135" i="14"/>
  <c r="O135" i="14"/>
  <c r="M135" i="14"/>
  <c r="L135" i="14"/>
  <c r="J135" i="14"/>
  <c r="I135" i="14"/>
  <c r="H135" i="14" a="1"/>
  <c r="H135" i="14"/>
  <c r="G135" i="14" a="1"/>
  <c r="G135" i="14"/>
  <c r="F135" i="14"/>
  <c r="E135" i="14"/>
  <c r="D135" i="14"/>
  <c r="C135" i="14"/>
  <c r="AT134" i="14"/>
  <c r="AS134" i="14"/>
  <c r="AR134" i="14"/>
  <c r="AQ134" i="14"/>
  <c r="AP134" i="14"/>
  <c r="AO134" i="14"/>
  <c r="AN134" i="14"/>
  <c r="AM134" i="14"/>
  <c r="AL134" i="14"/>
  <c r="AK134" i="14"/>
  <c r="AJ134" i="14"/>
  <c r="AI134" i="14"/>
  <c r="AH134" i="14"/>
  <c r="AG134" i="14"/>
  <c r="AF134" i="14"/>
  <c r="AE134" i="14"/>
  <c r="AD134" i="14"/>
  <c r="AC134" i="14"/>
  <c r="AB134" i="14"/>
  <c r="AA134" i="14"/>
  <c r="Z134" i="14"/>
  <c r="Y134" i="14"/>
  <c r="X134" i="14"/>
  <c r="W134" i="14"/>
  <c r="S134" i="14"/>
  <c r="Q134" i="14"/>
  <c r="P134" i="14"/>
  <c r="O134" i="14"/>
  <c r="M134" i="14"/>
  <c r="L134" i="14"/>
  <c r="J134" i="14"/>
  <c r="I134" i="14"/>
  <c r="H134" i="14" a="1"/>
  <c r="H134" i="14"/>
  <c r="G134" i="14" a="1"/>
  <c r="G134" i="14"/>
  <c r="F134" i="14"/>
  <c r="E134" i="14"/>
  <c r="D134" i="14"/>
  <c r="C134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S133" i="14"/>
  <c r="Q133" i="14"/>
  <c r="P133" i="14"/>
  <c r="O133" i="14"/>
  <c r="M133" i="14"/>
  <c r="L133" i="14"/>
  <c r="J133" i="14"/>
  <c r="I133" i="14"/>
  <c r="H133" i="14" a="1"/>
  <c r="H133" i="14"/>
  <c r="G133" i="14" a="1"/>
  <c r="G133" i="14"/>
  <c r="F133" i="14"/>
  <c r="E133" i="14"/>
  <c r="D133" i="14"/>
  <c r="C133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S132" i="14"/>
  <c r="Q132" i="14"/>
  <c r="P132" i="14"/>
  <c r="O132" i="14"/>
  <c r="M132" i="14"/>
  <c r="L132" i="14"/>
  <c r="J132" i="14"/>
  <c r="I132" i="14"/>
  <c r="H132" i="14" a="1"/>
  <c r="H132" i="14"/>
  <c r="G132" i="14" a="1"/>
  <c r="G132" i="14"/>
  <c r="F132" i="14"/>
  <c r="E132" i="14"/>
  <c r="D132" i="14"/>
  <c r="C132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S131" i="14"/>
  <c r="Q131" i="14"/>
  <c r="P131" i="14"/>
  <c r="O131" i="14"/>
  <c r="M131" i="14"/>
  <c r="L131" i="14"/>
  <c r="J131" i="14"/>
  <c r="I131" i="14"/>
  <c r="H131" i="14" a="1"/>
  <c r="H131" i="14"/>
  <c r="G131" i="14" a="1"/>
  <c r="G131" i="14"/>
  <c r="F131" i="14"/>
  <c r="E131" i="14"/>
  <c r="D131" i="14"/>
  <c r="C131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S130" i="14"/>
  <c r="Q130" i="14"/>
  <c r="P130" i="14"/>
  <c r="O130" i="14"/>
  <c r="M130" i="14"/>
  <c r="L130" i="14"/>
  <c r="J130" i="14"/>
  <c r="I130" i="14"/>
  <c r="H130" i="14" a="1"/>
  <c r="H130" i="14"/>
  <c r="G130" i="14" a="1"/>
  <c r="G130" i="14"/>
  <c r="F130" i="14"/>
  <c r="E130" i="14"/>
  <c r="D130" i="14"/>
  <c r="C130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S129" i="14"/>
  <c r="Q129" i="14"/>
  <c r="P129" i="14"/>
  <c r="O129" i="14"/>
  <c r="M129" i="14"/>
  <c r="L129" i="14"/>
  <c r="J129" i="14"/>
  <c r="I129" i="14"/>
  <c r="H129" i="14" a="1"/>
  <c r="H129" i="14"/>
  <c r="G129" i="14" a="1"/>
  <c r="G129" i="14"/>
  <c r="F129" i="14"/>
  <c r="E129" i="14"/>
  <c r="D129" i="14"/>
  <c r="C129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S128" i="14"/>
  <c r="Q128" i="14"/>
  <c r="P128" i="14"/>
  <c r="O128" i="14"/>
  <c r="M128" i="14"/>
  <c r="L128" i="14"/>
  <c r="J128" i="14"/>
  <c r="I128" i="14"/>
  <c r="H128" i="14" a="1"/>
  <c r="H128" i="14"/>
  <c r="G128" i="14" a="1"/>
  <c r="G128" i="14"/>
  <c r="F128" i="14"/>
  <c r="E128" i="14"/>
  <c r="D128" i="14"/>
  <c r="C128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S127" i="14"/>
  <c r="Q127" i="14"/>
  <c r="P127" i="14"/>
  <c r="O127" i="14"/>
  <c r="M127" i="14"/>
  <c r="L127" i="14"/>
  <c r="J127" i="14"/>
  <c r="I127" i="14"/>
  <c r="H127" i="14" a="1"/>
  <c r="H127" i="14"/>
  <c r="G127" i="14" a="1"/>
  <c r="G127" i="14"/>
  <c r="F127" i="14"/>
  <c r="E127" i="14"/>
  <c r="D127" i="14"/>
  <c r="C127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S126" i="14"/>
  <c r="Q126" i="14"/>
  <c r="P126" i="14"/>
  <c r="O126" i="14"/>
  <c r="M126" i="14"/>
  <c r="L126" i="14"/>
  <c r="J126" i="14"/>
  <c r="I126" i="14"/>
  <c r="H126" i="14" a="1"/>
  <c r="H126" i="14"/>
  <c r="G126" i="14" a="1"/>
  <c r="G126" i="14"/>
  <c r="F126" i="14"/>
  <c r="E126" i="14"/>
  <c r="D126" i="14"/>
  <c r="C126" i="14"/>
  <c r="AT125" i="14"/>
  <c r="AS125" i="14"/>
  <c r="AR125" i="14"/>
  <c r="AQ125" i="14"/>
  <c r="AP125" i="14"/>
  <c r="AO125" i="14"/>
  <c r="AN125" i="14"/>
  <c r="AM125" i="14"/>
  <c r="AL125" i="14"/>
  <c r="AK125" i="14"/>
  <c r="AJ125" i="14"/>
  <c r="AI125" i="14"/>
  <c r="AH125" i="14"/>
  <c r="AG125" i="14"/>
  <c r="AF125" i="14"/>
  <c r="AE125" i="14"/>
  <c r="AD125" i="14"/>
  <c r="AC125" i="14"/>
  <c r="AB125" i="14"/>
  <c r="AA125" i="14"/>
  <c r="Z125" i="14"/>
  <c r="Y125" i="14"/>
  <c r="X125" i="14"/>
  <c r="W125" i="14"/>
  <c r="S125" i="14"/>
  <c r="Q125" i="14"/>
  <c r="P125" i="14"/>
  <c r="O125" i="14"/>
  <c r="M125" i="14"/>
  <c r="L125" i="14"/>
  <c r="J125" i="14"/>
  <c r="I125" i="14"/>
  <c r="H125" i="14" a="1"/>
  <c r="H125" i="14"/>
  <c r="G125" i="14" a="1"/>
  <c r="G125" i="14"/>
  <c r="F125" i="14"/>
  <c r="E125" i="14"/>
  <c r="D125" i="14"/>
  <c r="C125" i="14"/>
  <c r="AT124" i="14"/>
  <c r="AS124" i="14"/>
  <c r="AR124" i="14"/>
  <c r="AQ124" i="14"/>
  <c r="AP124" i="14"/>
  <c r="AO124" i="14"/>
  <c r="AN124" i="14"/>
  <c r="AM124" i="14"/>
  <c r="AL124" i="14"/>
  <c r="AK124" i="14"/>
  <c r="AJ124" i="14"/>
  <c r="AI124" i="14"/>
  <c r="AH124" i="14"/>
  <c r="AG124" i="14"/>
  <c r="AF124" i="14"/>
  <c r="AE124" i="14"/>
  <c r="AD124" i="14"/>
  <c r="AC124" i="14"/>
  <c r="AB124" i="14"/>
  <c r="AA124" i="14"/>
  <c r="Z124" i="14"/>
  <c r="Y124" i="14"/>
  <c r="X124" i="14"/>
  <c r="W124" i="14"/>
  <c r="S124" i="14"/>
  <c r="Q124" i="14"/>
  <c r="P124" i="14"/>
  <c r="O124" i="14"/>
  <c r="M124" i="14"/>
  <c r="L124" i="14"/>
  <c r="J124" i="14"/>
  <c r="I124" i="14"/>
  <c r="H124" i="14" a="1"/>
  <c r="H124" i="14"/>
  <c r="G124" i="14" a="1"/>
  <c r="G124" i="14"/>
  <c r="F124" i="14"/>
  <c r="E124" i="14"/>
  <c r="D124" i="14"/>
  <c r="C124" i="14"/>
  <c r="AT123" i="14"/>
  <c r="AS123" i="14"/>
  <c r="AR123" i="14"/>
  <c r="AQ123" i="14"/>
  <c r="AP123" i="14"/>
  <c r="AO123" i="14"/>
  <c r="AN123" i="14"/>
  <c r="AM123" i="14"/>
  <c r="AL123" i="14"/>
  <c r="AK123" i="14"/>
  <c r="AJ123" i="14"/>
  <c r="AI123" i="14"/>
  <c r="AH123" i="14"/>
  <c r="AG123" i="14"/>
  <c r="AF123" i="14"/>
  <c r="AE123" i="14"/>
  <c r="AD123" i="14"/>
  <c r="AC123" i="14"/>
  <c r="AB123" i="14"/>
  <c r="AA123" i="14"/>
  <c r="Z123" i="14"/>
  <c r="Y123" i="14"/>
  <c r="X123" i="14"/>
  <c r="W123" i="14"/>
  <c r="S123" i="14"/>
  <c r="Q123" i="14"/>
  <c r="P123" i="14"/>
  <c r="O123" i="14"/>
  <c r="M123" i="14"/>
  <c r="L123" i="14"/>
  <c r="J123" i="14"/>
  <c r="I123" i="14"/>
  <c r="H123" i="14" a="1"/>
  <c r="H123" i="14"/>
  <c r="G123" i="14" a="1"/>
  <c r="G123" i="14"/>
  <c r="F123" i="14"/>
  <c r="E123" i="14"/>
  <c r="D123" i="14"/>
  <c r="C123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S122" i="14"/>
  <c r="Q122" i="14"/>
  <c r="P122" i="14"/>
  <c r="O122" i="14"/>
  <c r="M122" i="14"/>
  <c r="L122" i="14"/>
  <c r="J122" i="14"/>
  <c r="I122" i="14"/>
  <c r="H122" i="14" a="1"/>
  <c r="H122" i="14"/>
  <c r="G122" i="14" a="1"/>
  <c r="G122" i="14"/>
  <c r="F122" i="14"/>
  <c r="E122" i="14"/>
  <c r="D122" i="14"/>
  <c r="C122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S121" i="14"/>
  <c r="Q121" i="14"/>
  <c r="P121" i="14"/>
  <c r="O121" i="14"/>
  <c r="M121" i="14"/>
  <c r="L121" i="14"/>
  <c r="J121" i="14"/>
  <c r="I121" i="14"/>
  <c r="H121" i="14" a="1"/>
  <c r="H121" i="14"/>
  <c r="G121" i="14" a="1"/>
  <c r="G121" i="14"/>
  <c r="F121" i="14"/>
  <c r="E121" i="14"/>
  <c r="D121" i="14"/>
  <c r="C121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S120" i="14"/>
  <c r="Q120" i="14"/>
  <c r="P120" i="14"/>
  <c r="O120" i="14"/>
  <c r="M120" i="14"/>
  <c r="L120" i="14"/>
  <c r="J120" i="14"/>
  <c r="I120" i="14"/>
  <c r="H120" i="14" a="1"/>
  <c r="H120" i="14"/>
  <c r="G120" i="14" a="1"/>
  <c r="G120" i="14"/>
  <c r="F120" i="14"/>
  <c r="E120" i="14"/>
  <c r="D120" i="14"/>
  <c r="C120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S119" i="14"/>
  <c r="Q119" i="14"/>
  <c r="P119" i="14"/>
  <c r="O119" i="14"/>
  <c r="M119" i="14"/>
  <c r="L119" i="14"/>
  <c r="J119" i="14"/>
  <c r="I119" i="14"/>
  <c r="H119" i="14" a="1"/>
  <c r="H119" i="14"/>
  <c r="G119" i="14" a="1"/>
  <c r="G119" i="14"/>
  <c r="F119" i="14"/>
  <c r="E119" i="14"/>
  <c r="D119" i="14"/>
  <c r="C119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S118" i="14"/>
  <c r="Q118" i="14"/>
  <c r="P118" i="14"/>
  <c r="O118" i="14"/>
  <c r="M118" i="14"/>
  <c r="L118" i="14"/>
  <c r="J118" i="14"/>
  <c r="I118" i="14"/>
  <c r="H118" i="14" a="1"/>
  <c r="H118" i="14"/>
  <c r="G118" i="14" a="1"/>
  <c r="G118" i="14"/>
  <c r="F118" i="14"/>
  <c r="E118" i="14"/>
  <c r="D118" i="14"/>
  <c r="C118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S117" i="14"/>
  <c r="Q117" i="14"/>
  <c r="P117" i="14"/>
  <c r="O117" i="14"/>
  <c r="M117" i="14"/>
  <c r="L117" i="14"/>
  <c r="J117" i="14"/>
  <c r="I117" i="14"/>
  <c r="H117" i="14" a="1"/>
  <c r="H117" i="14"/>
  <c r="G117" i="14" a="1"/>
  <c r="G117" i="14"/>
  <c r="F117" i="14"/>
  <c r="E117" i="14"/>
  <c r="D117" i="14"/>
  <c r="C117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S116" i="14"/>
  <c r="Q116" i="14"/>
  <c r="P116" i="14"/>
  <c r="O116" i="14"/>
  <c r="M116" i="14"/>
  <c r="L116" i="14"/>
  <c r="J116" i="14"/>
  <c r="I116" i="14"/>
  <c r="H116" i="14" a="1"/>
  <c r="H116" i="14"/>
  <c r="G116" i="14" a="1"/>
  <c r="G116" i="14"/>
  <c r="F116" i="14"/>
  <c r="E116" i="14"/>
  <c r="D116" i="14"/>
  <c r="C116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S115" i="14"/>
  <c r="Q115" i="14"/>
  <c r="P115" i="14"/>
  <c r="O115" i="14"/>
  <c r="M115" i="14"/>
  <c r="L115" i="14"/>
  <c r="J115" i="14"/>
  <c r="I115" i="14"/>
  <c r="H115" i="14" a="1"/>
  <c r="H115" i="14"/>
  <c r="G115" i="14" a="1"/>
  <c r="G115" i="14"/>
  <c r="F115" i="14"/>
  <c r="E115" i="14"/>
  <c r="D115" i="14"/>
  <c r="C115" i="14"/>
  <c r="AT114" i="14"/>
  <c r="AS114" i="14"/>
  <c r="AR114" i="14"/>
  <c r="AQ114" i="14"/>
  <c r="AP114" i="14"/>
  <c r="AO114" i="14"/>
  <c r="AN114" i="14"/>
  <c r="AM114" i="14"/>
  <c r="AL114" i="14"/>
  <c r="AK114" i="14"/>
  <c r="AJ114" i="14"/>
  <c r="AI114" i="14"/>
  <c r="AH114" i="14"/>
  <c r="AG114" i="14"/>
  <c r="AF114" i="14"/>
  <c r="AE114" i="14"/>
  <c r="AD114" i="14"/>
  <c r="AC114" i="14"/>
  <c r="AB114" i="14"/>
  <c r="AA114" i="14"/>
  <c r="Z114" i="14"/>
  <c r="Y114" i="14"/>
  <c r="X114" i="14"/>
  <c r="W114" i="14"/>
  <c r="S114" i="14"/>
  <c r="Q114" i="14"/>
  <c r="P114" i="14"/>
  <c r="O114" i="14"/>
  <c r="M114" i="14"/>
  <c r="L114" i="14"/>
  <c r="J114" i="14"/>
  <c r="I114" i="14"/>
  <c r="H114" i="14" a="1"/>
  <c r="H114" i="14"/>
  <c r="G114" i="14" a="1"/>
  <c r="G114" i="14"/>
  <c r="F114" i="14"/>
  <c r="E114" i="14"/>
  <c r="D114" i="14"/>
  <c r="C114" i="14"/>
  <c r="AT113" i="14"/>
  <c r="AS113" i="14"/>
  <c r="AR113" i="14"/>
  <c r="AQ113" i="14"/>
  <c r="AP113" i="14"/>
  <c r="AO113" i="14"/>
  <c r="AN113" i="14"/>
  <c r="AM113" i="14"/>
  <c r="AL113" i="14"/>
  <c r="AK113" i="14"/>
  <c r="AJ113" i="14"/>
  <c r="AI113" i="14"/>
  <c r="AH113" i="14"/>
  <c r="AG113" i="14"/>
  <c r="AF113" i="14"/>
  <c r="AE113" i="14"/>
  <c r="AD113" i="14"/>
  <c r="AC113" i="14"/>
  <c r="AB113" i="14"/>
  <c r="AA113" i="14"/>
  <c r="Z113" i="14"/>
  <c r="Y113" i="14"/>
  <c r="X113" i="14"/>
  <c r="W113" i="14"/>
  <c r="S113" i="14"/>
  <c r="Q113" i="14"/>
  <c r="P113" i="14"/>
  <c r="O113" i="14"/>
  <c r="M113" i="14"/>
  <c r="L113" i="14"/>
  <c r="J113" i="14"/>
  <c r="I113" i="14"/>
  <c r="H113" i="14" a="1"/>
  <c r="H113" i="14"/>
  <c r="G113" i="14" a="1"/>
  <c r="G113" i="14"/>
  <c r="F113" i="14"/>
  <c r="E113" i="14"/>
  <c r="D113" i="14"/>
  <c r="C113" i="14"/>
  <c r="AT112" i="14"/>
  <c r="AS112" i="14"/>
  <c r="AR112" i="14"/>
  <c r="AQ112" i="14"/>
  <c r="AP112" i="14"/>
  <c r="AO112" i="14"/>
  <c r="AN112" i="14"/>
  <c r="AM112" i="14"/>
  <c r="AL112" i="14"/>
  <c r="AK112" i="14"/>
  <c r="AJ112" i="14"/>
  <c r="AI112" i="14"/>
  <c r="AH112" i="14"/>
  <c r="AG112" i="14"/>
  <c r="AF112" i="14"/>
  <c r="AE112" i="14"/>
  <c r="AD112" i="14"/>
  <c r="AC112" i="14"/>
  <c r="AB112" i="14"/>
  <c r="AA112" i="14"/>
  <c r="Z112" i="14"/>
  <c r="Y112" i="14"/>
  <c r="X112" i="14"/>
  <c r="W112" i="14"/>
  <c r="S112" i="14"/>
  <c r="Q112" i="14"/>
  <c r="P112" i="14"/>
  <c r="O112" i="14"/>
  <c r="M112" i="14"/>
  <c r="L112" i="14"/>
  <c r="J112" i="14"/>
  <c r="I112" i="14"/>
  <c r="H112" i="14" a="1"/>
  <c r="H112" i="14"/>
  <c r="G112" i="14" a="1"/>
  <c r="G112" i="14"/>
  <c r="F112" i="14"/>
  <c r="E112" i="14"/>
  <c r="D112" i="14"/>
  <c r="C112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S111" i="14"/>
  <c r="Q111" i="14"/>
  <c r="P111" i="14"/>
  <c r="O111" i="14"/>
  <c r="M111" i="14"/>
  <c r="L111" i="14"/>
  <c r="J111" i="14"/>
  <c r="I111" i="14"/>
  <c r="H111" i="14" a="1"/>
  <c r="H111" i="14"/>
  <c r="G111" i="14" a="1"/>
  <c r="G111" i="14"/>
  <c r="F111" i="14"/>
  <c r="E111" i="14"/>
  <c r="D111" i="14"/>
  <c r="C111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S110" i="14"/>
  <c r="Q110" i="14"/>
  <c r="P110" i="14"/>
  <c r="O110" i="14"/>
  <c r="M110" i="14"/>
  <c r="L110" i="14"/>
  <c r="J110" i="14"/>
  <c r="I110" i="14"/>
  <c r="H110" i="14" a="1"/>
  <c r="H110" i="14"/>
  <c r="G110" i="14" a="1"/>
  <c r="G110" i="14"/>
  <c r="F110" i="14"/>
  <c r="E110" i="14"/>
  <c r="D110" i="14"/>
  <c r="C110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S109" i="14"/>
  <c r="Q109" i="14"/>
  <c r="P109" i="14"/>
  <c r="O109" i="14"/>
  <c r="M109" i="14"/>
  <c r="L109" i="14"/>
  <c r="J109" i="14"/>
  <c r="I109" i="14"/>
  <c r="H109" i="14" a="1"/>
  <c r="H109" i="14"/>
  <c r="G109" i="14" a="1"/>
  <c r="G109" i="14"/>
  <c r="F109" i="14"/>
  <c r="E109" i="14"/>
  <c r="D109" i="14"/>
  <c r="C109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S108" i="14"/>
  <c r="Q108" i="14"/>
  <c r="P108" i="14"/>
  <c r="O108" i="14"/>
  <c r="M108" i="14"/>
  <c r="L108" i="14"/>
  <c r="J108" i="14"/>
  <c r="I108" i="14"/>
  <c r="H108" i="14" a="1"/>
  <c r="H108" i="14"/>
  <c r="G108" i="14" a="1"/>
  <c r="G108" i="14"/>
  <c r="F108" i="14"/>
  <c r="E108" i="14"/>
  <c r="D108" i="14"/>
  <c r="C108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S107" i="14"/>
  <c r="Q107" i="14"/>
  <c r="P107" i="14"/>
  <c r="O107" i="14"/>
  <c r="M107" i="14"/>
  <c r="L107" i="14"/>
  <c r="J107" i="14"/>
  <c r="I107" i="14"/>
  <c r="H107" i="14" a="1"/>
  <c r="H107" i="14"/>
  <c r="G107" i="14" a="1"/>
  <c r="G107" i="14"/>
  <c r="F107" i="14"/>
  <c r="E107" i="14"/>
  <c r="D107" i="14"/>
  <c r="C107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S106" i="14"/>
  <c r="Q106" i="14"/>
  <c r="P106" i="14"/>
  <c r="O106" i="14"/>
  <c r="M106" i="14"/>
  <c r="L106" i="14"/>
  <c r="J106" i="14"/>
  <c r="I106" i="14"/>
  <c r="H106" i="14" a="1"/>
  <c r="H106" i="14"/>
  <c r="G106" i="14" a="1"/>
  <c r="G106" i="14"/>
  <c r="F106" i="14"/>
  <c r="E106" i="14"/>
  <c r="D106" i="14"/>
  <c r="C106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S105" i="14"/>
  <c r="Q105" i="14"/>
  <c r="P105" i="14"/>
  <c r="O105" i="14"/>
  <c r="M105" i="14"/>
  <c r="L105" i="14"/>
  <c r="J105" i="14"/>
  <c r="I105" i="14"/>
  <c r="H105" i="14" a="1"/>
  <c r="H105" i="14"/>
  <c r="G105" i="14" a="1"/>
  <c r="G105" i="14"/>
  <c r="F105" i="14"/>
  <c r="E105" i="14"/>
  <c r="D105" i="14"/>
  <c r="C105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S104" i="14"/>
  <c r="Q104" i="14"/>
  <c r="P104" i="14"/>
  <c r="O104" i="14"/>
  <c r="M104" i="14"/>
  <c r="L104" i="14"/>
  <c r="J104" i="14"/>
  <c r="I104" i="14"/>
  <c r="H104" i="14" a="1"/>
  <c r="H104" i="14"/>
  <c r="G104" i="14" a="1"/>
  <c r="G104" i="14"/>
  <c r="F104" i="14"/>
  <c r="E104" i="14"/>
  <c r="D104" i="14"/>
  <c r="C104" i="14"/>
  <c r="AT103" i="14"/>
  <c r="AS103" i="14"/>
  <c r="AR103" i="14"/>
  <c r="AQ103" i="14"/>
  <c r="AP103" i="14"/>
  <c r="AO103" i="14"/>
  <c r="AN103" i="14"/>
  <c r="AM103" i="14"/>
  <c r="AL103" i="14"/>
  <c r="AK103" i="14"/>
  <c r="AJ103" i="14"/>
  <c r="AI103" i="14"/>
  <c r="AH103" i="14"/>
  <c r="AG103" i="14"/>
  <c r="AF103" i="14"/>
  <c r="AE103" i="14"/>
  <c r="AD103" i="14"/>
  <c r="AC103" i="14"/>
  <c r="AB103" i="14"/>
  <c r="AA103" i="14"/>
  <c r="Z103" i="14"/>
  <c r="Y103" i="14"/>
  <c r="X103" i="14"/>
  <c r="W103" i="14"/>
  <c r="S103" i="14"/>
  <c r="Q103" i="14"/>
  <c r="P103" i="14"/>
  <c r="O103" i="14"/>
  <c r="M103" i="14"/>
  <c r="L103" i="14"/>
  <c r="J103" i="14"/>
  <c r="I103" i="14"/>
  <c r="H103" i="14" a="1"/>
  <c r="H103" i="14"/>
  <c r="G103" i="14" a="1"/>
  <c r="G103" i="14"/>
  <c r="F103" i="14"/>
  <c r="E103" i="14"/>
  <c r="D103" i="14"/>
  <c r="C103" i="14"/>
  <c r="AT102" i="14"/>
  <c r="AS102" i="14"/>
  <c r="AR102" i="14"/>
  <c r="AQ102" i="14"/>
  <c r="AP102" i="14"/>
  <c r="AO102" i="14"/>
  <c r="AN102" i="14"/>
  <c r="AM102" i="14"/>
  <c r="AL102" i="14"/>
  <c r="AK102" i="14"/>
  <c r="AJ102" i="14"/>
  <c r="AI102" i="14"/>
  <c r="AH102" i="14"/>
  <c r="AG102" i="14"/>
  <c r="AF102" i="14"/>
  <c r="AE102" i="14"/>
  <c r="AD102" i="14"/>
  <c r="AC102" i="14"/>
  <c r="AB102" i="14"/>
  <c r="AA102" i="14"/>
  <c r="Z102" i="14"/>
  <c r="Y102" i="14"/>
  <c r="X102" i="14"/>
  <c r="W102" i="14"/>
  <c r="S102" i="14"/>
  <c r="Q102" i="14"/>
  <c r="P102" i="14"/>
  <c r="O102" i="14"/>
  <c r="M102" i="14"/>
  <c r="L102" i="14"/>
  <c r="J102" i="14"/>
  <c r="I102" i="14"/>
  <c r="H102" i="14" a="1"/>
  <c r="H102" i="14"/>
  <c r="G102" i="14" a="1"/>
  <c r="G102" i="14"/>
  <c r="F102" i="14"/>
  <c r="E102" i="14"/>
  <c r="D102" i="14"/>
  <c r="C102" i="14"/>
  <c r="AT101" i="14"/>
  <c r="AS101" i="14"/>
  <c r="AR101" i="14"/>
  <c r="AQ101" i="14"/>
  <c r="AP101" i="14"/>
  <c r="AO101" i="14"/>
  <c r="AN101" i="14"/>
  <c r="AM101" i="14"/>
  <c r="AL101" i="14"/>
  <c r="AK101" i="14"/>
  <c r="AJ101" i="14"/>
  <c r="AI101" i="14"/>
  <c r="AH101" i="14"/>
  <c r="AG101" i="14"/>
  <c r="AF101" i="14"/>
  <c r="AE101" i="14"/>
  <c r="AD101" i="14"/>
  <c r="AC101" i="14"/>
  <c r="AB101" i="14"/>
  <c r="AA101" i="14"/>
  <c r="Z101" i="14"/>
  <c r="Y101" i="14"/>
  <c r="X101" i="14"/>
  <c r="W101" i="14"/>
  <c r="S101" i="14"/>
  <c r="Q101" i="14"/>
  <c r="P101" i="14"/>
  <c r="O101" i="14"/>
  <c r="M101" i="14"/>
  <c r="L101" i="14"/>
  <c r="J101" i="14"/>
  <c r="I101" i="14"/>
  <c r="H101" i="14" a="1"/>
  <c r="H101" i="14"/>
  <c r="G101" i="14" a="1"/>
  <c r="G101" i="14"/>
  <c r="F101" i="14"/>
  <c r="E101" i="14"/>
  <c r="D101" i="14"/>
  <c r="C101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S100" i="14"/>
  <c r="Q100" i="14"/>
  <c r="P100" i="14"/>
  <c r="O100" i="14"/>
  <c r="M100" i="14"/>
  <c r="L100" i="14"/>
  <c r="J100" i="14"/>
  <c r="I100" i="14"/>
  <c r="H100" i="14" a="1"/>
  <c r="H100" i="14"/>
  <c r="G100" i="14" a="1"/>
  <c r="G100" i="14"/>
  <c r="F100" i="14"/>
  <c r="E100" i="14"/>
  <c r="D100" i="14"/>
  <c r="C100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S99" i="14"/>
  <c r="Q99" i="14"/>
  <c r="P99" i="14"/>
  <c r="O99" i="14"/>
  <c r="M99" i="14"/>
  <c r="L99" i="14"/>
  <c r="J99" i="14"/>
  <c r="I99" i="14"/>
  <c r="H99" i="14" a="1"/>
  <c r="H99" i="14"/>
  <c r="G99" i="14" a="1"/>
  <c r="G99" i="14"/>
  <c r="F99" i="14"/>
  <c r="E99" i="14"/>
  <c r="D99" i="14"/>
  <c r="C99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S98" i="14"/>
  <c r="Q98" i="14"/>
  <c r="P98" i="14"/>
  <c r="O98" i="14"/>
  <c r="M98" i="14"/>
  <c r="L98" i="14"/>
  <c r="J98" i="14"/>
  <c r="I98" i="14"/>
  <c r="H98" i="14" a="1"/>
  <c r="H98" i="14"/>
  <c r="G98" i="14" a="1"/>
  <c r="G98" i="14"/>
  <c r="F98" i="14"/>
  <c r="E98" i="14"/>
  <c r="D98" i="14"/>
  <c r="C98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S97" i="14"/>
  <c r="Q97" i="14"/>
  <c r="P97" i="14"/>
  <c r="O97" i="14"/>
  <c r="M97" i="14"/>
  <c r="L97" i="14"/>
  <c r="J97" i="14"/>
  <c r="I97" i="14"/>
  <c r="H97" i="14" a="1"/>
  <c r="H97" i="14"/>
  <c r="G97" i="14" a="1"/>
  <c r="G97" i="14"/>
  <c r="F97" i="14"/>
  <c r="E97" i="14"/>
  <c r="D97" i="14"/>
  <c r="C97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S96" i="14"/>
  <c r="Q96" i="14"/>
  <c r="P96" i="14"/>
  <c r="O96" i="14"/>
  <c r="M96" i="14"/>
  <c r="L96" i="14"/>
  <c r="J96" i="14"/>
  <c r="I96" i="14"/>
  <c r="H96" i="14" a="1"/>
  <c r="H96" i="14"/>
  <c r="G96" i="14" a="1"/>
  <c r="G96" i="14"/>
  <c r="F96" i="14"/>
  <c r="E96" i="14"/>
  <c r="D96" i="14"/>
  <c r="C96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S95" i="14"/>
  <c r="Q95" i="14"/>
  <c r="P95" i="14"/>
  <c r="O95" i="14"/>
  <c r="M95" i="14"/>
  <c r="L95" i="14"/>
  <c r="J95" i="14"/>
  <c r="I95" i="14"/>
  <c r="H95" i="14" a="1"/>
  <c r="H95" i="14"/>
  <c r="G95" i="14" a="1"/>
  <c r="G95" i="14"/>
  <c r="F95" i="14"/>
  <c r="E95" i="14"/>
  <c r="D95" i="14"/>
  <c r="C95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S94" i="14"/>
  <c r="Q94" i="14"/>
  <c r="P94" i="14"/>
  <c r="O94" i="14"/>
  <c r="M94" i="14"/>
  <c r="L94" i="14"/>
  <c r="J94" i="14"/>
  <c r="I94" i="14"/>
  <c r="H94" i="14" a="1"/>
  <c r="H94" i="14"/>
  <c r="G94" i="14" a="1"/>
  <c r="G94" i="14"/>
  <c r="F94" i="14"/>
  <c r="E94" i="14"/>
  <c r="D94" i="14"/>
  <c r="C94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S93" i="14"/>
  <c r="Q93" i="14"/>
  <c r="P93" i="14"/>
  <c r="O93" i="14"/>
  <c r="M93" i="14"/>
  <c r="L93" i="14"/>
  <c r="J93" i="14"/>
  <c r="I93" i="14"/>
  <c r="H93" i="14" a="1"/>
  <c r="H93" i="14"/>
  <c r="G93" i="14" a="1"/>
  <c r="G93" i="14"/>
  <c r="F93" i="14"/>
  <c r="E93" i="14"/>
  <c r="D93" i="14"/>
  <c r="C93" i="14"/>
  <c r="AT92" i="14"/>
  <c r="AS92" i="14"/>
  <c r="AR92" i="14"/>
  <c r="AQ92" i="14"/>
  <c r="AP92" i="14"/>
  <c r="AO92" i="14"/>
  <c r="AN92" i="14"/>
  <c r="AM92" i="14"/>
  <c r="AL92" i="14"/>
  <c r="AK92" i="14"/>
  <c r="AJ92" i="14"/>
  <c r="AI92" i="14"/>
  <c r="AH92" i="14"/>
  <c r="AG92" i="14"/>
  <c r="AF92" i="14"/>
  <c r="AE92" i="14"/>
  <c r="AD92" i="14"/>
  <c r="AC92" i="14"/>
  <c r="AB92" i="14"/>
  <c r="AA92" i="14"/>
  <c r="Z92" i="14"/>
  <c r="Y92" i="14"/>
  <c r="X92" i="14"/>
  <c r="W92" i="14"/>
  <c r="S92" i="14"/>
  <c r="Q92" i="14"/>
  <c r="P92" i="14"/>
  <c r="O92" i="14"/>
  <c r="M92" i="14"/>
  <c r="L92" i="14"/>
  <c r="J92" i="14"/>
  <c r="I92" i="14"/>
  <c r="H92" i="14" a="1"/>
  <c r="H92" i="14"/>
  <c r="G92" i="14" a="1"/>
  <c r="G92" i="14"/>
  <c r="F92" i="14"/>
  <c r="E92" i="14"/>
  <c r="D92" i="14"/>
  <c r="C92" i="14"/>
  <c r="AT91" i="14"/>
  <c r="AS91" i="14"/>
  <c r="AR91" i="14"/>
  <c r="AQ91" i="14"/>
  <c r="AP91" i="14"/>
  <c r="AO91" i="14"/>
  <c r="AN91" i="14"/>
  <c r="AM91" i="14"/>
  <c r="AL91" i="14"/>
  <c r="AK91" i="14"/>
  <c r="AJ91" i="14"/>
  <c r="AI91" i="14"/>
  <c r="AH91" i="14"/>
  <c r="AG91" i="14"/>
  <c r="AF91" i="14"/>
  <c r="AE91" i="14"/>
  <c r="AD91" i="14"/>
  <c r="AC91" i="14"/>
  <c r="AB91" i="14"/>
  <c r="AA91" i="14"/>
  <c r="Z91" i="14"/>
  <c r="Y91" i="14"/>
  <c r="X91" i="14"/>
  <c r="W91" i="14"/>
  <c r="S91" i="14"/>
  <c r="Q91" i="14"/>
  <c r="P91" i="14"/>
  <c r="O91" i="14"/>
  <c r="M91" i="14"/>
  <c r="L91" i="14"/>
  <c r="J91" i="14"/>
  <c r="I91" i="14"/>
  <c r="H91" i="14" a="1"/>
  <c r="H91" i="14"/>
  <c r="G91" i="14" a="1"/>
  <c r="G91" i="14"/>
  <c r="F91" i="14"/>
  <c r="E91" i="14"/>
  <c r="D91" i="14"/>
  <c r="C91" i="14"/>
  <c r="AT90" i="14"/>
  <c r="AS90" i="14"/>
  <c r="AR90" i="14"/>
  <c r="AQ90" i="14"/>
  <c r="AP90" i="14"/>
  <c r="AO90" i="14"/>
  <c r="AN90" i="14"/>
  <c r="AM90" i="14"/>
  <c r="AL90" i="14"/>
  <c r="AK90" i="14"/>
  <c r="AJ90" i="14"/>
  <c r="AI90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S90" i="14"/>
  <c r="Q90" i="14"/>
  <c r="P90" i="14"/>
  <c r="O90" i="14"/>
  <c r="M90" i="14"/>
  <c r="L90" i="14"/>
  <c r="J90" i="14"/>
  <c r="I90" i="14"/>
  <c r="H90" i="14" a="1"/>
  <c r="H90" i="14"/>
  <c r="G90" i="14" a="1"/>
  <c r="G90" i="14"/>
  <c r="F90" i="14"/>
  <c r="E90" i="14"/>
  <c r="D90" i="14"/>
  <c r="C90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S89" i="14"/>
  <c r="Q89" i="14"/>
  <c r="P89" i="14"/>
  <c r="O89" i="14"/>
  <c r="M89" i="14"/>
  <c r="L89" i="14"/>
  <c r="J89" i="14"/>
  <c r="I89" i="14"/>
  <c r="H89" i="14" a="1"/>
  <c r="H89" i="14"/>
  <c r="G89" i="14" a="1"/>
  <c r="G89" i="14"/>
  <c r="F89" i="14"/>
  <c r="E89" i="14"/>
  <c r="D89" i="14"/>
  <c r="C89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S88" i="14"/>
  <c r="Q88" i="14"/>
  <c r="P88" i="14"/>
  <c r="O88" i="14"/>
  <c r="M88" i="14"/>
  <c r="L88" i="14"/>
  <c r="J88" i="14"/>
  <c r="I88" i="14"/>
  <c r="H88" i="14" a="1"/>
  <c r="H88" i="14"/>
  <c r="G88" i="14" a="1"/>
  <c r="G88" i="14"/>
  <c r="F88" i="14"/>
  <c r="E88" i="14"/>
  <c r="D88" i="14"/>
  <c r="C88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S87" i="14"/>
  <c r="Q87" i="14"/>
  <c r="P87" i="14"/>
  <c r="O87" i="14"/>
  <c r="M87" i="14"/>
  <c r="L87" i="14"/>
  <c r="J87" i="14"/>
  <c r="I87" i="14"/>
  <c r="H87" i="14" a="1"/>
  <c r="H87" i="14"/>
  <c r="G87" i="14" a="1"/>
  <c r="G87" i="14"/>
  <c r="F87" i="14"/>
  <c r="E87" i="14"/>
  <c r="D87" i="14"/>
  <c r="C87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S86" i="14"/>
  <c r="Q86" i="14"/>
  <c r="P86" i="14"/>
  <c r="O86" i="14"/>
  <c r="M86" i="14"/>
  <c r="L86" i="14"/>
  <c r="J86" i="14"/>
  <c r="I86" i="14"/>
  <c r="H86" i="14" a="1"/>
  <c r="H86" i="14"/>
  <c r="G86" i="14" a="1"/>
  <c r="G86" i="14"/>
  <c r="F86" i="14"/>
  <c r="E86" i="14"/>
  <c r="D86" i="14"/>
  <c r="C86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S85" i="14"/>
  <c r="Q85" i="14"/>
  <c r="P85" i="14"/>
  <c r="O85" i="14"/>
  <c r="M85" i="14"/>
  <c r="L85" i="14"/>
  <c r="J85" i="14"/>
  <c r="I85" i="14"/>
  <c r="H85" i="14" a="1"/>
  <c r="H85" i="14"/>
  <c r="G85" i="14" a="1"/>
  <c r="G85" i="14"/>
  <c r="F85" i="14"/>
  <c r="E85" i="14"/>
  <c r="D85" i="14"/>
  <c r="C85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S84" i="14"/>
  <c r="Q84" i="14"/>
  <c r="P84" i="14"/>
  <c r="O84" i="14"/>
  <c r="M84" i="14"/>
  <c r="L84" i="14"/>
  <c r="J84" i="14"/>
  <c r="I84" i="14"/>
  <c r="H84" i="14" a="1"/>
  <c r="H84" i="14"/>
  <c r="G84" i="14" a="1"/>
  <c r="G84" i="14"/>
  <c r="F84" i="14"/>
  <c r="E84" i="14"/>
  <c r="D84" i="14"/>
  <c r="C84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S83" i="14"/>
  <c r="Q83" i="14"/>
  <c r="P83" i="14"/>
  <c r="O83" i="14"/>
  <c r="M83" i="14"/>
  <c r="L83" i="14"/>
  <c r="J83" i="14"/>
  <c r="I83" i="14"/>
  <c r="H83" i="14" a="1"/>
  <c r="H83" i="14"/>
  <c r="G83" i="14" a="1"/>
  <c r="G83" i="14"/>
  <c r="F83" i="14"/>
  <c r="E83" i="14"/>
  <c r="D83" i="14"/>
  <c r="C83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S82" i="14"/>
  <c r="Q82" i="14"/>
  <c r="P82" i="14"/>
  <c r="O82" i="14"/>
  <c r="M82" i="14"/>
  <c r="L82" i="14"/>
  <c r="J82" i="14"/>
  <c r="I82" i="14"/>
  <c r="H82" i="14" a="1"/>
  <c r="H82" i="14"/>
  <c r="G82" i="14" a="1"/>
  <c r="G82" i="14"/>
  <c r="F82" i="14"/>
  <c r="E82" i="14"/>
  <c r="D82" i="14"/>
  <c r="C82" i="14"/>
  <c r="AT81" i="14"/>
  <c r="AS81" i="14"/>
  <c r="AR81" i="14"/>
  <c r="AQ81" i="14"/>
  <c r="AP81" i="14"/>
  <c r="AO81" i="14"/>
  <c r="AN81" i="14"/>
  <c r="AM81" i="14"/>
  <c r="AL81" i="14"/>
  <c r="AK81" i="14"/>
  <c r="AJ81" i="14"/>
  <c r="AI81" i="14"/>
  <c r="AH81" i="14"/>
  <c r="AG81" i="14"/>
  <c r="AF81" i="14"/>
  <c r="AE81" i="14"/>
  <c r="AD81" i="14"/>
  <c r="AC81" i="14"/>
  <c r="AB81" i="14"/>
  <c r="AA81" i="14"/>
  <c r="Z81" i="14"/>
  <c r="Y81" i="14"/>
  <c r="X81" i="14"/>
  <c r="W81" i="14"/>
  <c r="S81" i="14"/>
  <c r="Q81" i="14"/>
  <c r="P81" i="14"/>
  <c r="O81" i="14"/>
  <c r="M81" i="14"/>
  <c r="L81" i="14"/>
  <c r="J81" i="14"/>
  <c r="I81" i="14"/>
  <c r="H81" i="14" a="1"/>
  <c r="H81" i="14"/>
  <c r="G81" i="14" a="1"/>
  <c r="G81" i="14"/>
  <c r="F81" i="14"/>
  <c r="E81" i="14"/>
  <c r="D81" i="14"/>
  <c r="C81" i="14"/>
  <c r="AT80" i="14"/>
  <c r="AS80" i="14"/>
  <c r="AR80" i="14"/>
  <c r="AQ80" i="14"/>
  <c r="AP80" i="14"/>
  <c r="AO80" i="14"/>
  <c r="AN80" i="14"/>
  <c r="AM80" i="14"/>
  <c r="AL80" i="14"/>
  <c r="AK80" i="14"/>
  <c r="AJ80" i="14"/>
  <c r="AI80" i="14"/>
  <c r="AH80" i="14"/>
  <c r="AG80" i="14"/>
  <c r="AF80" i="14"/>
  <c r="AE80" i="14"/>
  <c r="AD80" i="14"/>
  <c r="AC80" i="14"/>
  <c r="AB80" i="14"/>
  <c r="AA80" i="14"/>
  <c r="Z80" i="14"/>
  <c r="Y80" i="14"/>
  <c r="X80" i="14"/>
  <c r="W80" i="14"/>
  <c r="S80" i="14"/>
  <c r="Q80" i="14"/>
  <c r="P80" i="14"/>
  <c r="O80" i="14"/>
  <c r="M80" i="14"/>
  <c r="L80" i="14"/>
  <c r="J80" i="14"/>
  <c r="I80" i="14"/>
  <c r="H80" i="14" a="1"/>
  <c r="H80" i="14"/>
  <c r="G80" i="14" a="1"/>
  <c r="G80" i="14"/>
  <c r="F80" i="14"/>
  <c r="E80" i="14"/>
  <c r="D80" i="14"/>
  <c r="C80" i="14"/>
  <c r="AT79" i="14"/>
  <c r="AS79" i="14"/>
  <c r="AR79" i="14"/>
  <c r="AQ79" i="14"/>
  <c r="AP79" i="14"/>
  <c r="AO79" i="14"/>
  <c r="AN79" i="14"/>
  <c r="AM79" i="14"/>
  <c r="AL79" i="14"/>
  <c r="AK79" i="14"/>
  <c r="AJ79" i="14"/>
  <c r="AI79" i="14"/>
  <c r="AH79" i="14"/>
  <c r="AG79" i="14"/>
  <c r="AF79" i="14"/>
  <c r="AE79" i="14"/>
  <c r="AD79" i="14"/>
  <c r="AC79" i="14"/>
  <c r="AB79" i="14"/>
  <c r="AA79" i="14"/>
  <c r="Z79" i="14"/>
  <c r="Y79" i="14"/>
  <c r="X79" i="14"/>
  <c r="W79" i="14"/>
  <c r="S79" i="14"/>
  <c r="Q79" i="14"/>
  <c r="P79" i="14"/>
  <c r="O79" i="14"/>
  <c r="M79" i="14"/>
  <c r="L79" i="14"/>
  <c r="J79" i="14"/>
  <c r="I79" i="14"/>
  <c r="H79" i="14" a="1"/>
  <c r="H79" i="14"/>
  <c r="G79" i="14" a="1"/>
  <c r="G79" i="14"/>
  <c r="F79" i="14"/>
  <c r="E79" i="14"/>
  <c r="D79" i="14"/>
  <c r="C79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S78" i="14"/>
  <c r="Q78" i="14"/>
  <c r="P78" i="14"/>
  <c r="O78" i="14"/>
  <c r="M78" i="14"/>
  <c r="L78" i="14"/>
  <c r="J78" i="14"/>
  <c r="I78" i="14"/>
  <c r="H78" i="14" a="1"/>
  <c r="H78" i="14"/>
  <c r="G78" i="14" a="1"/>
  <c r="G78" i="14"/>
  <c r="F78" i="14"/>
  <c r="E78" i="14"/>
  <c r="D78" i="14"/>
  <c r="C78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S77" i="14"/>
  <c r="Q77" i="14"/>
  <c r="P77" i="14"/>
  <c r="O77" i="14"/>
  <c r="M77" i="14"/>
  <c r="L77" i="14"/>
  <c r="J77" i="14"/>
  <c r="I77" i="14"/>
  <c r="H77" i="14" a="1"/>
  <c r="H77" i="14"/>
  <c r="G77" i="14" a="1"/>
  <c r="G77" i="14"/>
  <c r="F77" i="14"/>
  <c r="E77" i="14"/>
  <c r="D77" i="14"/>
  <c r="C77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S76" i="14"/>
  <c r="Q76" i="14"/>
  <c r="P76" i="14"/>
  <c r="O76" i="14"/>
  <c r="M76" i="14"/>
  <c r="L76" i="14"/>
  <c r="J76" i="14"/>
  <c r="I76" i="14"/>
  <c r="H76" i="14" a="1"/>
  <c r="H76" i="14"/>
  <c r="G76" i="14" a="1"/>
  <c r="G76" i="14"/>
  <c r="F76" i="14"/>
  <c r="E76" i="14"/>
  <c r="D76" i="14"/>
  <c r="C76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S75" i="14"/>
  <c r="Q75" i="14"/>
  <c r="P75" i="14"/>
  <c r="O75" i="14"/>
  <c r="M75" i="14"/>
  <c r="L75" i="14"/>
  <c r="J75" i="14"/>
  <c r="I75" i="14"/>
  <c r="H75" i="14" a="1"/>
  <c r="H75" i="14"/>
  <c r="G75" i="14" a="1"/>
  <c r="G75" i="14"/>
  <c r="F75" i="14"/>
  <c r="E75" i="14"/>
  <c r="D75" i="14"/>
  <c r="C75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S74" i="14"/>
  <c r="Q74" i="14"/>
  <c r="P74" i="14"/>
  <c r="O74" i="14"/>
  <c r="M74" i="14"/>
  <c r="L74" i="14"/>
  <c r="J74" i="14"/>
  <c r="I74" i="14"/>
  <c r="H74" i="14" a="1"/>
  <c r="H74" i="14"/>
  <c r="G74" i="14" a="1"/>
  <c r="G74" i="14"/>
  <c r="F74" i="14"/>
  <c r="E74" i="14"/>
  <c r="D74" i="14"/>
  <c r="C74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S73" i="14"/>
  <c r="Q73" i="14"/>
  <c r="P73" i="14"/>
  <c r="O73" i="14"/>
  <c r="M73" i="14"/>
  <c r="L73" i="14"/>
  <c r="J73" i="14"/>
  <c r="I73" i="14"/>
  <c r="H73" i="14" a="1"/>
  <c r="H73" i="14"/>
  <c r="G73" i="14" a="1"/>
  <c r="G73" i="14"/>
  <c r="F73" i="14"/>
  <c r="E73" i="14"/>
  <c r="D73" i="14"/>
  <c r="C73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S72" i="14"/>
  <c r="Q72" i="14"/>
  <c r="P72" i="14"/>
  <c r="O72" i="14"/>
  <c r="M72" i="14"/>
  <c r="L72" i="14"/>
  <c r="J72" i="14"/>
  <c r="I72" i="14"/>
  <c r="H72" i="14" a="1"/>
  <c r="H72" i="14"/>
  <c r="G72" i="14" a="1"/>
  <c r="G72" i="14"/>
  <c r="F72" i="14"/>
  <c r="E72" i="14"/>
  <c r="D72" i="14"/>
  <c r="C72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S71" i="14"/>
  <c r="Q71" i="14"/>
  <c r="P71" i="14"/>
  <c r="O71" i="14"/>
  <c r="M71" i="14"/>
  <c r="L71" i="14"/>
  <c r="J71" i="14"/>
  <c r="I71" i="14"/>
  <c r="H71" i="14" a="1"/>
  <c r="H71" i="14"/>
  <c r="G71" i="14" a="1"/>
  <c r="G71" i="14"/>
  <c r="F71" i="14"/>
  <c r="E71" i="14"/>
  <c r="D71" i="14"/>
  <c r="C71" i="14"/>
  <c r="AT70" i="14"/>
  <c r="AS70" i="14"/>
  <c r="AR70" i="14"/>
  <c r="AQ70" i="14"/>
  <c r="AP70" i="14"/>
  <c r="AO70" i="14"/>
  <c r="AN70" i="14"/>
  <c r="AM70" i="14"/>
  <c r="AL70" i="14"/>
  <c r="AK70" i="14"/>
  <c r="AJ70" i="14"/>
  <c r="AI70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S70" i="14"/>
  <c r="Q70" i="14"/>
  <c r="P70" i="14"/>
  <c r="O70" i="14"/>
  <c r="M70" i="14"/>
  <c r="L70" i="14"/>
  <c r="J70" i="14"/>
  <c r="I70" i="14"/>
  <c r="H70" i="14" a="1"/>
  <c r="H70" i="14"/>
  <c r="G70" i="14" a="1"/>
  <c r="G70" i="14"/>
  <c r="F70" i="14"/>
  <c r="E70" i="14"/>
  <c r="D70" i="14"/>
  <c r="C70" i="14"/>
  <c r="AT69" i="14"/>
  <c r="AS69" i="14"/>
  <c r="AR69" i="14"/>
  <c r="AQ69" i="14"/>
  <c r="AP69" i="14"/>
  <c r="AO69" i="14"/>
  <c r="AN69" i="14"/>
  <c r="AM69" i="14"/>
  <c r="AL69" i="14"/>
  <c r="AK69" i="14"/>
  <c r="AJ69" i="14"/>
  <c r="AI69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S69" i="14"/>
  <c r="Q69" i="14"/>
  <c r="P69" i="14"/>
  <c r="O69" i="14"/>
  <c r="M69" i="14"/>
  <c r="L69" i="14"/>
  <c r="J69" i="14"/>
  <c r="I69" i="14"/>
  <c r="H69" i="14" a="1"/>
  <c r="H69" i="14"/>
  <c r="G69" i="14" a="1"/>
  <c r="G69" i="14"/>
  <c r="F69" i="14"/>
  <c r="E69" i="14"/>
  <c r="D69" i="14"/>
  <c r="C69" i="14"/>
  <c r="AT68" i="14"/>
  <c r="AS68" i="14"/>
  <c r="AR68" i="14"/>
  <c r="AQ68" i="14"/>
  <c r="AP68" i="14"/>
  <c r="AO68" i="14"/>
  <c r="AN68" i="14"/>
  <c r="AM68" i="14"/>
  <c r="AL68" i="14"/>
  <c r="AK68" i="14"/>
  <c r="AJ68" i="14"/>
  <c r="AI68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S68" i="14"/>
  <c r="Q68" i="14"/>
  <c r="P68" i="14"/>
  <c r="O68" i="14"/>
  <c r="M68" i="14"/>
  <c r="L68" i="14"/>
  <c r="J68" i="14"/>
  <c r="I68" i="14"/>
  <c r="H68" i="14" a="1"/>
  <c r="H68" i="14"/>
  <c r="G68" i="14" a="1"/>
  <c r="G68" i="14"/>
  <c r="F68" i="14"/>
  <c r="E68" i="14"/>
  <c r="D68" i="14"/>
  <c r="C68" i="14"/>
  <c r="AT67" i="14"/>
  <c r="AS67" i="14"/>
  <c r="AR67" i="14"/>
  <c r="AQ67" i="14"/>
  <c r="AP67" i="14"/>
  <c r="AO67" i="14"/>
  <c r="AN67" i="14"/>
  <c r="AM67" i="14"/>
  <c r="AL67" i="14"/>
  <c r="AK67" i="14"/>
  <c r="AJ67" i="14"/>
  <c r="AI67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S67" i="14"/>
  <c r="Q67" i="14"/>
  <c r="P67" i="14"/>
  <c r="O67" i="14"/>
  <c r="M67" i="14"/>
  <c r="L67" i="14"/>
  <c r="J67" i="14"/>
  <c r="I67" i="14"/>
  <c r="H67" i="14" a="1"/>
  <c r="H67" i="14"/>
  <c r="G67" i="14" a="1"/>
  <c r="G67" i="14"/>
  <c r="F67" i="14"/>
  <c r="E67" i="14"/>
  <c r="D67" i="14"/>
  <c r="C67" i="14"/>
  <c r="AT66" i="14"/>
  <c r="AS66" i="14"/>
  <c r="AR66" i="14"/>
  <c r="AQ66" i="14"/>
  <c r="AP66" i="14"/>
  <c r="AO66" i="14"/>
  <c r="AN66" i="14"/>
  <c r="AM66" i="14"/>
  <c r="AL66" i="14"/>
  <c r="AK66" i="14"/>
  <c r="AJ66" i="14"/>
  <c r="AI66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S66" i="14"/>
  <c r="Q66" i="14"/>
  <c r="P66" i="14"/>
  <c r="O66" i="14"/>
  <c r="M66" i="14"/>
  <c r="L66" i="14"/>
  <c r="J66" i="14"/>
  <c r="I66" i="14"/>
  <c r="H66" i="14" a="1"/>
  <c r="H66" i="14"/>
  <c r="G66" i="14" a="1"/>
  <c r="G66" i="14"/>
  <c r="F66" i="14"/>
  <c r="E66" i="14"/>
  <c r="D66" i="14"/>
  <c r="C66" i="14"/>
  <c r="AT65" i="14"/>
  <c r="AS65" i="14"/>
  <c r="AR65" i="14"/>
  <c r="AQ65" i="14"/>
  <c r="AP65" i="14"/>
  <c r="AO65" i="14"/>
  <c r="AN65" i="14"/>
  <c r="AM65" i="14"/>
  <c r="AL65" i="14"/>
  <c r="AK65" i="14"/>
  <c r="AJ65" i="14"/>
  <c r="AI65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S65" i="14"/>
  <c r="Q65" i="14"/>
  <c r="P65" i="14"/>
  <c r="O65" i="14"/>
  <c r="M65" i="14"/>
  <c r="L65" i="14"/>
  <c r="J65" i="14"/>
  <c r="I65" i="14"/>
  <c r="H65" i="14" a="1"/>
  <c r="H65" i="14"/>
  <c r="G65" i="14" a="1"/>
  <c r="G65" i="14"/>
  <c r="F65" i="14"/>
  <c r="E65" i="14"/>
  <c r="D65" i="14"/>
  <c r="C65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S64" i="14"/>
  <c r="Q64" i="14"/>
  <c r="P64" i="14"/>
  <c r="O64" i="14"/>
  <c r="M64" i="14"/>
  <c r="L64" i="14"/>
  <c r="J64" i="14"/>
  <c r="I64" i="14"/>
  <c r="H64" i="14" a="1"/>
  <c r="H64" i="14"/>
  <c r="G64" i="14" a="1"/>
  <c r="G64" i="14"/>
  <c r="F64" i="14"/>
  <c r="E64" i="14"/>
  <c r="D64" i="14"/>
  <c r="C64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S63" i="14"/>
  <c r="Q63" i="14"/>
  <c r="P63" i="14"/>
  <c r="O63" i="14"/>
  <c r="M63" i="14"/>
  <c r="L63" i="14"/>
  <c r="J63" i="14"/>
  <c r="I63" i="14"/>
  <c r="H63" i="14" a="1"/>
  <c r="H63" i="14"/>
  <c r="G63" i="14" a="1"/>
  <c r="G63" i="14"/>
  <c r="F63" i="14"/>
  <c r="E63" i="14"/>
  <c r="D63" i="14"/>
  <c r="C63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S62" i="14"/>
  <c r="Q62" i="14"/>
  <c r="P62" i="14"/>
  <c r="O62" i="14"/>
  <c r="M62" i="14"/>
  <c r="L62" i="14"/>
  <c r="J62" i="14"/>
  <c r="I62" i="14"/>
  <c r="H62" i="14" a="1"/>
  <c r="H62" i="14"/>
  <c r="G62" i="14" a="1"/>
  <c r="G62" i="14"/>
  <c r="F62" i="14"/>
  <c r="E62" i="14"/>
  <c r="D62" i="14"/>
  <c r="C62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S61" i="14"/>
  <c r="Q61" i="14"/>
  <c r="P61" i="14"/>
  <c r="O61" i="14"/>
  <c r="M61" i="14"/>
  <c r="L61" i="14"/>
  <c r="J61" i="14"/>
  <c r="I61" i="14"/>
  <c r="H61" i="14" a="1"/>
  <c r="H61" i="14"/>
  <c r="G61" i="14" a="1"/>
  <c r="G61" i="14"/>
  <c r="F61" i="14"/>
  <c r="E61" i="14"/>
  <c r="D61" i="14"/>
  <c r="C61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S60" i="14"/>
  <c r="Q60" i="14"/>
  <c r="P60" i="14"/>
  <c r="O60" i="14"/>
  <c r="M60" i="14"/>
  <c r="L60" i="14"/>
  <c r="J60" i="14"/>
  <c r="I60" i="14"/>
  <c r="H60" i="14" a="1"/>
  <c r="H60" i="14"/>
  <c r="G60" i="14" a="1"/>
  <c r="G60" i="14"/>
  <c r="F60" i="14"/>
  <c r="E60" i="14"/>
  <c r="D60" i="14"/>
  <c r="C60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S59" i="14"/>
  <c r="Q59" i="14"/>
  <c r="P59" i="14"/>
  <c r="O59" i="14"/>
  <c r="M59" i="14"/>
  <c r="L59" i="14"/>
  <c r="J59" i="14"/>
  <c r="I59" i="14"/>
  <c r="H59" i="14" a="1"/>
  <c r="H59" i="14"/>
  <c r="G59" i="14" a="1"/>
  <c r="G59" i="14"/>
  <c r="F59" i="14"/>
  <c r="E59" i="14"/>
  <c r="D59" i="14"/>
  <c r="C59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S58" i="14"/>
  <c r="Q58" i="14"/>
  <c r="P58" i="14"/>
  <c r="O58" i="14"/>
  <c r="M58" i="14"/>
  <c r="L58" i="14"/>
  <c r="J58" i="14"/>
  <c r="I58" i="14"/>
  <c r="H58" i="14" a="1"/>
  <c r="H58" i="14"/>
  <c r="G58" i="14" a="1"/>
  <c r="G58" i="14"/>
  <c r="F58" i="14"/>
  <c r="E58" i="14"/>
  <c r="D58" i="14"/>
  <c r="C58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S57" i="14"/>
  <c r="Q57" i="14"/>
  <c r="P57" i="14"/>
  <c r="O57" i="14"/>
  <c r="M57" i="14"/>
  <c r="L57" i="14"/>
  <c r="J57" i="14"/>
  <c r="I57" i="14"/>
  <c r="H57" i="14" a="1"/>
  <c r="H57" i="14"/>
  <c r="G57" i="14" a="1"/>
  <c r="G57" i="14"/>
  <c r="F57" i="14"/>
  <c r="E57" i="14"/>
  <c r="D57" i="14"/>
  <c r="C57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S56" i="14"/>
  <c r="Q56" i="14"/>
  <c r="P56" i="14"/>
  <c r="O56" i="14"/>
  <c r="M56" i="14"/>
  <c r="L56" i="14"/>
  <c r="J56" i="14"/>
  <c r="I56" i="14"/>
  <c r="H56" i="14" a="1"/>
  <c r="H56" i="14"/>
  <c r="G56" i="14" a="1"/>
  <c r="G56" i="14"/>
  <c r="F56" i="14"/>
  <c r="E56" i="14"/>
  <c r="D56" i="14"/>
  <c r="C56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S55" i="14"/>
  <c r="Q55" i="14"/>
  <c r="P55" i="14"/>
  <c r="O55" i="14"/>
  <c r="M55" i="14"/>
  <c r="L55" i="14"/>
  <c r="J55" i="14"/>
  <c r="I55" i="14"/>
  <c r="H55" i="14" a="1"/>
  <c r="H55" i="14"/>
  <c r="G55" i="14" a="1"/>
  <c r="G55" i="14"/>
  <c r="F55" i="14"/>
  <c r="E55" i="14"/>
  <c r="D55" i="14"/>
  <c r="C55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S54" i="14"/>
  <c r="Q54" i="14"/>
  <c r="P54" i="14"/>
  <c r="O54" i="14"/>
  <c r="M54" i="14"/>
  <c r="L54" i="14"/>
  <c r="J54" i="14"/>
  <c r="I54" i="14"/>
  <c r="H54" i="14" a="1"/>
  <c r="H54" i="14"/>
  <c r="G54" i="14" a="1"/>
  <c r="G54" i="14"/>
  <c r="F54" i="14"/>
  <c r="E54" i="14"/>
  <c r="D54" i="14"/>
  <c r="C54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S53" i="14"/>
  <c r="Q53" i="14"/>
  <c r="P53" i="14"/>
  <c r="O53" i="14"/>
  <c r="M53" i="14"/>
  <c r="L53" i="14"/>
  <c r="J53" i="14"/>
  <c r="I53" i="14"/>
  <c r="H53" i="14" a="1"/>
  <c r="H53" i="14"/>
  <c r="G53" i="14" a="1"/>
  <c r="G53" i="14"/>
  <c r="F53" i="14"/>
  <c r="E53" i="14"/>
  <c r="D53" i="14"/>
  <c r="C53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S52" i="14"/>
  <c r="Q52" i="14"/>
  <c r="P52" i="14"/>
  <c r="O52" i="14"/>
  <c r="M52" i="14"/>
  <c r="L52" i="14"/>
  <c r="J52" i="14"/>
  <c r="I52" i="14"/>
  <c r="H52" i="14" a="1"/>
  <c r="H52" i="14"/>
  <c r="G52" i="14" a="1"/>
  <c r="G52" i="14"/>
  <c r="F52" i="14"/>
  <c r="E52" i="14"/>
  <c r="D52" i="14"/>
  <c r="C52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S51" i="14"/>
  <c r="Q51" i="14"/>
  <c r="P51" i="14"/>
  <c r="O51" i="14"/>
  <c r="M51" i="14"/>
  <c r="L51" i="14"/>
  <c r="J51" i="14"/>
  <c r="I51" i="14"/>
  <c r="H51" i="14" a="1"/>
  <c r="H51" i="14"/>
  <c r="G51" i="14" a="1"/>
  <c r="G51" i="14"/>
  <c r="F51" i="14"/>
  <c r="E51" i="14"/>
  <c r="D51" i="14"/>
  <c r="C51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S50" i="14"/>
  <c r="Q50" i="14"/>
  <c r="P50" i="14"/>
  <c r="O50" i="14"/>
  <c r="M50" i="14"/>
  <c r="L50" i="14"/>
  <c r="J50" i="14"/>
  <c r="I50" i="14"/>
  <c r="H50" i="14" a="1"/>
  <c r="H50" i="14"/>
  <c r="G50" i="14" a="1"/>
  <c r="G50" i="14"/>
  <c r="F50" i="14"/>
  <c r="E50" i="14"/>
  <c r="D50" i="14"/>
  <c r="C50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S49" i="14"/>
  <c r="Q49" i="14"/>
  <c r="P49" i="14"/>
  <c r="O49" i="14"/>
  <c r="M49" i="14"/>
  <c r="L49" i="14"/>
  <c r="J49" i="14"/>
  <c r="I49" i="14"/>
  <c r="H49" i="14" a="1"/>
  <c r="H49" i="14"/>
  <c r="G49" i="14" a="1"/>
  <c r="G49" i="14"/>
  <c r="F49" i="14"/>
  <c r="E49" i="14"/>
  <c r="D49" i="14"/>
  <c r="C49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S48" i="14"/>
  <c r="Q48" i="14"/>
  <c r="P48" i="14"/>
  <c r="O48" i="14"/>
  <c r="M48" i="14"/>
  <c r="L48" i="14"/>
  <c r="J48" i="14"/>
  <c r="I48" i="14"/>
  <c r="H48" i="14" a="1"/>
  <c r="H48" i="14"/>
  <c r="G48" i="14" a="1"/>
  <c r="G48" i="14"/>
  <c r="F48" i="14"/>
  <c r="E48" i="14"/>
  <c r="D48" i="14"/>
  <c r="C48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S47" i="14"/>
  <c r="Q47" i="14"/>
  <c r="P47" i="14"/>
  <c r="O47" i="14"/>
  <c r="M47" i="14"/>
  <c r="L47" i="14"/>
  <c r="J47" i="14"/>
  <c r="I47" i="14"/>
  <c r="H47" i="14" a="1"/>
  <c r="H47" i="14"/>
  <c r="G47" i="14" a="1"/>
  <c r="G47" i="14"/>
  <c r="F47" i="14"/>
  <c r="E47" i="14"/>
  <c r="D47" i="14"/>
  <c r="C47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S46" i="14"/>
  <c r="Q46" i="14"/>
  <c r="P46" i="14"/>
  <c r="O46" i="14"/>
  <c r="J46" i="14"/>
  <c r="I46" i="14"/>
  <c r="H46" i="14" a="1"/>
  <c r="H46" i="14"/>
  <c r="G46" i="14" a="1"/>
  <c r="G46" i="14"/>
  <c r="C46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S45" i="14"/>
  <c r="Q45" i="14"/>
  <c r="P45" i="14"/>
  <c r="O45" i="14"/>
  <c r="J45" i="14"/>
  <c r="I45" i="14"/>
  <c r="H45" i="14" a="1"/>
  <c r="H45" i="14"/>
  <c r="G45" i="14" a="1"/>
  <c r="G45" i="14"/>
  <c r="E45" i="14"/>
  <c r="C45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S44" i="14"/>
  <c r="Q44" i="14"/>
  <c r="P44" i="14"/>
  <c r="O44" i="14"/>
  <c r="J44" i="14"/>
  <c r="I44" i="14"/>
  <c r="H44" i="14" a="1"/>
  <c r="H44" i="14"/>
  <c r="G44" i="14" a="1"/>
  <c r="G44" i="14"/>
  <c r="E44" i="14"/>
  <c r="C44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S43" i="14"/>
  <c r="Q43" i="14"/>
  <c r="P43" i="14"/>
  <c r="O43" i="14"/>
  <c r="J43" i="14"/>
  <c r="I43" i="14"/>
  <c r="H43" i="14" a="1"/>
  <c r="H43" i="14"/>
  <c r="G43" i="14" a="1"/>
  <c r="G43" i="14"/>
  <c r="E43" i="14"/>
  <c r="C43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S42" i="14"/>
  <c r="Q42" i="14"/>
  <c r="P42" i="14"/>
  <c r="O42" i="14"/>
  <c r="J42" i="14"/>
  <c r="I42" i="14"/>
  <c r="H42" i="14" a="1"/>
  <c r="H42" i="14"/>
  <c r="G42" i="14" a="1"/>
  <c r="G42" i="14"/>
  <c r="C42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S41" i="14"/>
  <c r="Q41" i="14"/>
  <c r="P41" i="14"/>
  <c r="O41" i="14"/>
  <c r="J41" i="14"/>
  <c r="I41" i="14"/>
  <c r="H41" i="14" a="1"/>
  <c r="H41" i="14"/>
  <c r="G41" i="14" a="1"/>
  <c r="G41" i="14"/>
  <c r="C41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S40" i="14"/>
  <c r="Q40" i="14"/>
  <c r="P40" i="14"/>
  <c r="O40" i="14"/>
  <c r="J40" i="14"/>
  <c r="I40" i="14"/>
  <c r="H40" i="14" a="1"/>
  <c r="H40" i="14"/>
  <c r="G40" i="14" a="1"/>
  <c r="G40" i="14"/>
  <c r="C40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S39" i="14"/>
  <c r="Q39" i="14"/>
  <c r="P39" i="14"/>
  <c r="O39" i="14"/>
  <c r="J39" i="14"/>
  <c r="I39" i="14"/>
  <c r="H39" i="14" a="1"/>
  <c r="H39" i="14"/>
  <c r="G39" i="14" a="1"/>
  <c r="G39" i="14"/>
  <c r="C39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S38" i="14"/>
  <c r="Q38" i="14"/>
  <c r="P38" i="14"/>
  <c r="O38" i="14"/>
  <c r="J38" i="14"/>
  <c r="I38" i="14"/>
  <c r="H38" i="14" a="1"/>
  <c r="H38" i="14"/>
  <c r="G38" i="14" a="1"/>
  <c r="G38" i="14"/>
  <c r="C38" i="14"/>
  <c r="AT37" i="14"/>
  <c r="AS37" i="14"/>
  <c r="AR37" i="14"/>
  <c r="AQ37" i="14"/>
  <c r="AP37" i="14"/>
  <c r="AO37" i="14"/>
  <c r="AN37" i="14"/>
  <c r="AM37" i="14"/>
  <c r="AL37" i="14"/>
  <c r="AK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S37" i="14"/>
  <c r="Q37" i="14"/>
  <c r="P37" i="14"/>
  <c r="O37" i="14"/>
  <c r="J37" i="14"/>
  <c r="I37" i="14"/>
  <c r="H37" i="14" a="1"/>
  <c r="H37" i="14"/>
  <c r="G37" i="14" a="1"/>
  <c r="G37" i="14"/>
  <c r="C37" i="14"/>
  <c r="AT36" i="14"/>
  <c r="AS36" i="14"/>
  <c r="AR36" i="14"/>
  <c r="AQ36" i="14"/>
  <c r="AP36" i="14"/>
  <c r="AO36" i="14"/>
  <c r="AN36" i="14"/>
  <c r="AM36" i="14"/>
  <c r="AL36" i="14"/>
  <c r="AK36" i="14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S36" i="14"/>
  <c r="Q36" i="14"/>
  <c r="P36" i="14"/>
  <c r="O36" i="14"/>
  <c r="J36" i="14"/>
  <c r="I36" i="14"/>
  <c r="H36" i="14" a="1"/>
  <c r="H36" i="14"/>
  <c r="G36" i="14" a="1"/>
  <c r="G36" i="14"/>
  <c r="C36" i="14"/>
  <c r="AT35" i="14"/>
  <c r="AS35" i="14"/>
  <c r="AR35" i="14"/>
  <c r="AQ35" i="14"/>
  <c r="AP35" i="14"/>
  <c r="AO35" i="14"/>
  <c r="AN35" i="14"/>
  <c r="AM35" i="14"/>
  <c r="AL35" i="14"/>
  <c r="AK35" i="14"/>
  <c r="AJ35" i="14"/>
  <c r="AI35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S35" i="14"/>
  <c r="Q35" i="14"/>
  <c r="P35" i="14"/>
  <c r="O35" i="14"/>
  <c r="J35" i="14"/>
  <c r="I35" i="14"/>
  <c r="H35" i="14" a="1"/>
  <c r="H35" i="14"/>
  <c r="G35" i="14" a="1"/>
  <c r="G35" i="14"/>
  <c r="C35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S34" i="14"/>
  <c r="Q34" i="14"/>
  <c r="P34" i="14"/>
  <c r="O34" i="14"/>
  <c r="J34" i="14"/>
  <c r="I34" i="14"/>
  <c r="H34" i="14" a="1"/>
  <c r="H34" i="14"/>
  <c r="G34" i="14" a="1"/>
  <c r="G34" i="14"/>
  <c r="E34" i="14"/>
  <c r="C34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S33" i="14"/>
  <c r="Q33" i="14"/>
  <c r="P33" i="14"/>
  <c r="O33" i="14"/>
  <c r="J33" i="14"/>
  <c r="I33" i="14"/>
  <c r="H33" i="14" a="1"/>
  <c r="H33" i="14"/>
  <c r="G33" i="14" a="1"/>
  <c r="G33" i="14"/>
  <c r="C33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S32" i="14"/>
  <c r="Q32" i="14"/>
  <c r="P32" i="14"/>
  <c r="O32" i="14"/>
  <c r="J32" i="14"/>
  <c r="I32" i="14"/>
  <c r="H32" i="14" a="1"/>
  <c r="H32" i="14"/>
  <c r="G32" i="14" a="1"/>
  <c r="G32" i="14"/>
  <c r="C32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S31" i="14"/>
  <c r="Q31" i="14"/>
  <c r="P31" i="14"/>
  <c r="O31" i="14"/>
  <c r="J31" i="14"/>
  <c r="I31" i="14"/>
  <c r="H31" i="14" a="1"/>
  <c r="H31" i="14"/>
  <c r="G31" i="14" a="1"/>
  <c r="G31" i="14"/>
  <c r="C31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S30" i="14"/>
  <c r="Q30" i="14"/>
  <c r="P30" i="14"/>
  <c r="O30" i="14"/>
  <c r="J30" i="14"/>
  <c r="I30" i="14"/>
  <c r="H30" i="14" a="1"/>
  <c r="H30" i="14"/>
  <c r="G30" i="14" a="1"/>
  <c r="G30" i="14"/>
  <c r="C30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S29" i="14"/>
  <c r="Q29" i="14"/>
  <c r="P29" i="14"/>
  <c r="O29" i="14"/>
  <c r="J29" i="14"/>
  <c r="I29" i="14"/>
  <c r="H29" i="14" a="1"/>
  <c r="H29" i="14"/>
  <c r="G29" i="14" a="1"/>
  <c r="G29" i="14"/>
  <c r="E29" i="14"/>
  <c r="C29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S28" i="14"/>
  <c r="Q28" i="14"/>
  <c r="P28" i="14"/>
  <c r="O28" i="14"/>
  <c r="J28" i="14"/>
  <c r="I28" i="14"/>
  <c r="H28" i="14" a="1"/>
  <c r="H28" i="14"/>
  <c r="G28" i="14" a="1"/>
  <c r="G28" i="14"/>
  <c r="E28" i="14"/>
  <c r="C28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S27" i="14"/>
  <c r="Q27" i="14"/>
  <c r="P27" i="14"/>
  <c r="O27" i="14"/>
  <c r="J27" i="14"/>
  <c r="I27" i="14"/>
  <c r="H27" i="14" a="1"/>
  <c r="H27" i="14"/>
  <c r="G27" i="14" a="1"/>
  <c r="G27" i="14"/>
  <c r="E27" i="14"/>
  <c r="C27" i="14"/>
  <c r="AT26" i="14"/>
  <c r="AS26" i="14"/>
  <c r="AR26" i="14"/>
  <c r="AQ26" i="14"/>
  <c r="AP26" i="14"/>
  <c r="AO26" i="14"/>
  <c r="AN26" i="14"/>
  <c r="AM26" i="14"/>
  <c r="AL26" i="14"/>
  <c r="AK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S26" i="14"/>
  <c r="Q26" i="14"/>
  <c r="P26" i="14"/>
  <c r="O26" i="14"/>
  <c r="J26" i="14"/>
  <c r="I26" i="14"/>
  <c r="H26" i="14" a="1"/>
  <c r="H26" i="14"/>
  <c r="G26" i="14" a="1"/>
  <c r="G26" i="14"/>
  <c r="C26" i="14"/>
  <c r="AT25" i="14"/>
  <c r="AS25" i="14"/>
  <c r="AR25" i="14"/>
  <c r="AQ25" i="14"/>
  <c r="AP25" i="14"/>
  <c r="AO25" i="14"/>
  <c r="AN25" i="14"/>
  <c r="AM25" i="14"/>
  <c r="AL25" i="14"/>
  <c r="AK25" i="14"/>
  <c r="AJ25" i="14"/>
  <c r="AI25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S25" i="14"/>
  <c r="Q25" i="14"/>
  <c r="P25" i="14"/>
  <c r="O25" i="14"/>
  <c r="J25" i="14"/>
  <c r="I25" i="14"/>
  <c r="H25" i="14" a="1"/>
  <c r="H25" i="14"/>
  <c r="G25" i="14" a="1"/>
  <c r="G25" i="14"/>
  <c r="C25" i="14"/>
  <c r="AT24" i="14"/>
  <c r="AS24" i="14"/>
  <c r="AR24" i="14"/>
  <c r="AQ24" i="14"/>
  <c r="AP24" i="14"/>
  <c r="AO24" i="14"/>
  <c r="AN24" i="14"/>
  <c r="AM24" i="14"/>
  <c r="AL24" i="14"/>
  <c r="AK24" i="14"/>
  <c r="AJ24" i="14"/>
  <c r="AI24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S24" i="14"/>
  <c r="Q24" i="14"/>
  <c r="P24" i="14"/>
  <c r="O24" i="14"/>
  <c r="J24" i="14"/>
  <c r="I24" i="14"/>
  <c r="H24" i="14" a="1"/>
  <c r="H24" i="14"/>
  <c r="G24" i="14" a="1"/>
  <c r="G24" i="14"/>
  <c r="C24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S23" i="14"/>
  <c r="Q23" i="14"/>
  <c r="P23" i="14"/>
  <c r="O23" i="14"/>
  <c r="J23" i="14"/>
  <c r="I23" i="14"/>
  <c r="H23" i="14" a="1"/>
  <c r="H23" i="14"/>
  <c r="G23" i="14" a="1"/>
  <c r="G23" i="14"/>
  <c r="C23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S22" i="14"/>
  <c r="Q22" i="14"/>
  <c r="P22" i="14"/>
  <c r="O22" i="14"/>
  <c r="J22" i="14"/>
  <c r="I22" i="14"/>
  <c r="H22" i="14" a="1"/>
  <c r="H22" i="14"/>
  <c r="G22" i="14" a="1"/>
  <c r="G22" i="14"/>
  <c r="C22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S21" i="14"/>
  <c r="Q21" i="14"/>
  <c r="P21" i="14"/>
  <c r="O21" i="14"/>
  <c r="J21" i="14"/>
  <c r="I21" i="14"/>
  <c r="H21" i="14" a="1"/>
  <c r="H21" i="14"/>
  <c r="G21" i="14" a="1"/>
  <c r="G21" i="14"/>
  <c r="C21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S20" i="14"/>
  <c r="Q20" i="14"/>
  <c r="P20" i="14"/>
  <c r="O20" i="14"/>
  <c r="J20" i="14"/>
  <c r="I20" i="14"/>
  <c r="H20" i="14" a="1"/>
  <c r="H20" i="14"/>
  <c r="G20" i="14" a="1"/>
  <c r="G20" i="14"/>
  <c r="C20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S19" i="14"/>
  <c r="Q19" i="14"/>
  <c r="P19" i="14"/>
  <c r="O19" i="14"/>
  <c r="J19" i="14"/>
  <c r="I19" i="14"/>
  <c r="H19" i="14" a="1"/>
  <c r="H19" i="14"/>
  <c r="G19" i="14" a="1"/>
  <c r="G19" i="14"/>
  <c r="C19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S18" i="14"/>
  <c r="Q18" i="14"/>
  <c r="P18" i="14"/>
  <c r="O18" i="14"/>
  <c r="J18" i="14"/>
  <c r="I18" i="14"/>
  <c r="H18" i="14" a="1"/>
  <c r="H18" i="14"/>
  <c r="G18" i="14" a="1"/>
  <c r="G18" i="14"/>
  <c r="E18" i="14"/>
  <c r="C18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S17" i="14"/>
  <c r="Q17" i="14"/>
  <c r="P17" i="14"/>
  <c r="O17" i="14"/>
  <c r="J17" i="14"/>
  <c r="I17" i="14"/>
  <c r="H17" i="14" a="1"/>
  <c r="H17" i="14"/>
  <c r="G17" i="14" a="1"/>
  <c r="G17" i="14"/>
  <c r="C17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S16" i="14"/>
  <c r="Q16" i="14"/>
  <c r="P16" i="14"/>
  <c r="O16" i="14"/>
  <c r="J16" i="14"/>
  <c r="I16" i="14"/>
  <c r="H16" i="14" a="1"/>
  <c r="H16" i="14"/>
  <c r="G16" i="14" a="1"/>
  <c r="G16" i="14"/>
  <c r="E16" i="14"/>
  <c r="C16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S15" i="14"/>
  <c r="Q15" i="14"/>
  <c r="P15" i="14"/>
  <c r="O15" i="14"/>
  <c r="J15" i="14"/>
  <c r="I15" i="14"/>
  <c r="H15" i="14" a="1"/>
  <c r="H15" i="14"/>
  <c r="G15" i="14" a="1"/>
  <c r="G15" i="14"/>
  <c r="C15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S14" i="14"/>
  <c r="Q14" i="14"/>
  <c r="P14" i="14"/>
  <c r="O14" i="14"/>
  <c r="J14" i="14"/>
  <c r="I14" i="14"/>
  <c r="H14" i="14" a="1"/>
  <c r="H14" i="14"/>
  <c r="G14" i="14" a="1"/>
  <c r="G14" i="14"/>
  <c r="E14" i="14"/>
  <c r="C14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S13" i="14"/>
  <c r="Q13" i="14"/>
  <c r="P13" i="14"/>
  <c r="O13" i="14"/>
  <c r="J13" i="14"/>
  <c r="I13" i="14"/>
  <c r="H13" i="14" a="1"/>
  <c r="H13" i="14"/>
  <c r="G13" i="14" a="1"/>
  <c r="G13" i="14"/>
  <c r="E13" i="14"/>
  <c r="C13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S12" i="14"/>
  <c r="Q12" i="14"/>
  <c r="P12" i="14"/>
  <c r="O12" i="14"/>
  <c r="J12" i="14"/>
  <c r="I12" i="14"/>
  <c r="H12" i="14" a="1"/>
  <c r="H12" i="14"/>
  <c r="G12" i="14" a="1"/>
  <c r="G12" i="14"/>
  <c r="E12" i="14"/>
  <c r="C12" i="14"/>
  <c r="AT11" i="14"/>
  <c r="AS11" i="14"/>
  <c r="AR11" i="14"/>
  <c r="AQ11" i="14"/>
  <c r="AP11" i="14"/>
  <c r="AO11" i="14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S11" i="14"/>
  <c r="Q11" i="14"/>
  <c r="P11" i="14"/>
  <c r="O11" i="14"/>
  <c r="J11" i="14"/>
  <c r="I11" i="14"/>
  <c r="H11" i="14" a="1"/>
  <c r="H11" i="14"/>
  <c r="G11" i="14" a="1"/>
  <c r="G11" i="14"/>
  <c r="C11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S10" i="14"/>
  <c r="Q10" i="14"/>
  <c r="P10" i="14"/>
  <c r="O10" i="14"/>
  <c r="J10" i="14"/>
  <c r="I10" i="14"/>
  <c r="H10" i="14" a="1"/>
  <c r="H10" i="14"/>
  <c r="G10" i="14" a="1"/>
  <c r="G10" i="14"/>
  <c r="E10" i="14"/>
  <c r="C10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S9" i="14"/>
  <c r="Q9" i="14"/>
  <c r="P9" i="14"/>
  <c r="O9" i="14"/>
  <c r="J9" i="14"/>
  <c r="I9" i="14"/>
  <c r="H9" i="14" a="1"/>
  <c r="H9" i="14"/>
  <c r="G9" i="14" a="1"/>
  <c r="G9" i="14"/>
  <c r="E9" i="14"/>
  <c r="C9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S8" i="14"/>
  <c r="Q8" i="14"/>
  <c r="P8" i="14"/>
  <c r="O8" i="14"/>
  <c r="J8" i="14"/>
  <c r="I8" i="14"/>
  <c r="H8" i="14" a="1"/>
  <c r="H8" i="14"/>
  <c r="G8" i="14" a="1"/>
  <c r="G8" i="14"/>
  <c r="E8" i="14"/>
  <c r="C8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S7" i="14"/>
  <c r="O7" i="14"/>
  <c r="J7" i="14"/>
  <c r="I7" i="14"/>
  <c r="H7" i="14" a="1"/>
  <c r="H7" i="14"/>
  <c r="G7" i="14" a="1"/>
  <c r="G7" i="14"/>
  <c r="C7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S6" i="14"/>
  <c r="O6" i="14"/>
  <c r="J6" i="14"/>
  <c r="I6" i="14"/>
  <c r="H6" i="14" a="1"/>
  <c r="H6" i="14"/>
  <c r="G6" i="14" a="1"/>
  <c r="G6" i="14"/>
  <c r="E6" i="14"/>
  <c r="C6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S5" i="14"/>
  <c r="Q5" i="14"/>
  <c r="P5" i="14"/>
  <c r="O5" i="14"/>
  <c r="J5" i="14"/>
  <c r="I5" i="14"/>
  <c r="H5" i="14" a="1"/>
  <c r="H5" i="14"/>
  <c r="G5" i="14" a="1"/>
  <c r="G5" i="14"/>
  <c r="E5" i="14"/>
  <c r="C5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S4" i="14"/>
  <c r="Q4" i="14"/>
  <c r="P4" i="14"/>
  <c r="O4" i="14"/>
  <c r="J4" i="14"/>
  <c r="I4" i="14"/>
  <c r="H4" i="14" a="1"/>
  <c r="H4" i="14"/>
  <c r="G4" i="14" a="1"/>
  <c r="G4" i="14"/>
  <c r="C4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S3" i="14"/>
  <c r="Q3" i="14"/>
  <c r="P3" i="14"/>
  <c r="O3" i="14"/>
  <c r="J3" i="14"/>
  <c r="I3" i="14"/>
  <c r="H3" i="14" a="1"/>
  <c r="H3" i="14"/>
  <c r="G3" i="14" a="1"/>
  <c r="G3" i="14"/>
  <c r="C3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S2" i="14"/>
  <c r="Q2" i="14"/>
  <c r="P2" i="14"/>
  <c r="O2" i="14"/>
  <c r="J2" i="14"/>
  <c r="I2" i="14"/>
  <c r="H2" i="14" a="1"/>
  <c r="H2" i="14"/>
  <c r="G2" i="14" a="1"/>
  <c r="G2" i="14"/>
  <c r="E2" i="14"/>
  <c r="C2" i="14"/>
  <c r="AI80" i="13"/>
  <c r="AH80" i="13"/>
  <c r="AG80" i="13"/>
  <c r="AF80" i="13"/>
  <c r="AE80" i="13"/>
  <c r="AD80" i="13"/>
  <c r="AC80" i="13"/>
  <c r="AB80" i="13"/>
  <c r="AA80" i="13"/>
  <c r="Z80" i="13"/>
  <c r="Y80" i="13"/>
  <c r="X80" i="13"/>
  <c r="W80" i="13"/>
  <c r="V80" i="13"/>
  <c r="U80" i="13"/>
  <c r="T80" i="13"/>
  <c r="S80" i="13"/>
  <c r="R80" i="13"/>
  <c r="Q80" i="13"/>
  <c r="P80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AI79" i="13"/>
  <c r="AH79" i="13"/>
  <c r="AG79" i="13"/>
  <c r="AF79" i="13"/>
  <c r="AE79" i="13"/>
  <c r="AD79" i="13"/>
  <c r="AC79" i="13"/>
  <c r="AB79" i="13"/>
  <c r="AA79" i="13"/>
  <c r="Z79" i="13"/>
  <c r="Y79" i="13"/>
  <c r="X79" i="13"/>
  <c r="W79" i="13"/>
  <c r="V79" i="13"/>
  <c r="U79" i="13"/>
  <c r="T79" i="13"/>
  <c r="S79" i="13"/>
  <c r="R79" i="13"/>
  <c r="Q79" i="13"/>
  <c r="P79" i="13"/>
  <c r="O79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A78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A77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A76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A75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A74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A73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A72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A71" i="13"/>
  <c r="AI70" i="13"/>
  <c r="AH70" i="13"/>
  <c r="AG70" i="13"/>
  <c r="AF70" i="13"/>
  <c r="AE70" i="13"/>
  <c r="AD70" i="13"/>
  <c r="AC70" i="13"/>
  <c r="AB70" i="13"/>
  <c r="AA70" i="13"/>
  <c r="Z70" i="13"/>
  <c r="Y70" i="13"/>
  <c r="X70" i="13"/>
  <c r="W70" i="13"/>
  <c r="V70" i="13"/>
  <c r="U70" i="13"/>
  <c r="T70" i="13"/>
  <c r="S70" i="13"/>
  <c r="R70" i="13"/>
  <c r="Q70" i="13"/>
  <c r="P70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A70" i="13"/>
  <c r="AI69" i="13"/>
  <c r="AH69" i="13"/>
  <c r="AG69" i="13"/>
  <c r="AF69" i="13"/>
  <c r="AE69" i="13"/>
  <c r="AD69" i="13"/>
  <c r="AC69" i="13"/>
  <c r="AB69" i="13"/>
  <c r="AA69" i="13"/>
  <c r="Z69" i="13"/>
  <c r="Y69" i="13"/>
  <c r="X69" i="13"/>
  <c r="W69" i="13"/>
  <c r="V69" i="13"/>
  <c r="U69" i="13"/>
  <c r="T69" i="13"/>
  <c r="S69" i="13"/>
  <c r="R69" i="13"/>
  <c r="Q69" i="13"/>
  <c r="P69" i="13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AI68" i="13"/>
  <c r="AH68" i="13"/>
  <c r="AG68" i="13"/>
  <c r="AF68" i="13"/>
  <c r="AE68" i="13"/>
  <c r="AD68" i="13"/>
  <c r="AC68" i="13"/>
  <c r="AB68" i="13"/>
  <c r="AA68" i="13"/>
  <c r="Z68" i="13"/>
  <c r="Y68" i="13"/>
  <c r="X68" i="13"/>
  <c r="W68" i="13"/>
  <c r="V68" i="13"/>
  <c r="U68" i="13"/>
  <c r="T68" i="13"/>
  <c r="S68" i="13"/>
  <c r="R68" i="13"/>
  <c r="Q68" i="13"/>
  <c r="P68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AI67" i="13"/>
  <c r="AH67" i="13"/>
  <c r="AG67" i="13"/>
  <c r="AF67" i="13"/>
  <c r="AE67" i="13"/>
  <c r="AD67" i="13"/>
  <c r="AC67" i="13"/>
  <c r="AB67" i="13"/>
  <c r="AA67" i="13"/>
  <c r="Z67" i="13"/>
  <c r="Y67" i="13"/>
  <c r="X67" i="13"/>
  <c r="W67" i="13"/>
  <c r="V67" i="13"/>
  <c r="U67" i="13"/>
  <c r="T67" i="13"/>
  <c r="S67" i="13"/>
  <c r="R67" i="13"/>
  <c r="Q67" i="13"/>
  <c r="P67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AI66" i="13"/>
  <c r="AH66" i="13"/>
  <c r="AG66" i="13"/>
  <c r="AF66" i="13"/>
  <c r="AE66" i="13"/>
  <c r="AD66" i="13"/>
  <c r="AC66" i="13"/>
  <c r="AB66" i="13"/>
  <c r="AA66" i="13"/>
  <c r="Z66" i="13"/>
  <c r="Y66" i="13"/>
  <c r="X66" i="13"/>
  <c r="W66" i="13"/>
  <c r="V66" i="13"/>
  <c r="U66" i="13"/>
  <c r="T66" i="13"/>
  <c r="S66" i="13"/>
  <c r="R66" i="13"/>
  <c r="Q66" i="13"/>
  <c r="P66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AI65" i="13"/>
  <c r="AH65" i="13"/>
  <c r="AG65" i="13"/>
  <c r="AF65" i="13"/>
  <c r="AE65" i="13"/>
  <c r="AD65" i="13"/>
  <c r="AC65" i="13"/>
  <c r="AB65" i="13"/>
  <c r="AA65" i="13"/>
  <c r="Z65" i="13"/>
  <c r="Y65" i="13"/>
  <c r="X65" i="13"/>
  <c r="W65" i="13"/>
  <c r="V65" i="13"/>
  <c r="U65" i="13"/>
  <c r="T65" i="13"/>
  <c r="S65" i="13"/>
  <c r="R65" i="13"/>
  <c r="Q65" i="13"/>
  <c r="P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AI64" i="13"/>
  <c r="AH64" i="13"/>
  <c r="AG64" i="13"/>
  <c r="AF64" i="13"/>
  <c r="AE64" i="13"/>
  <c r="AD64" i="13"/>
  <c r="AC64" i="13"/>
  <c r="AB64" i="13"/>
  <c r="AA64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AI63" i="13"/>
  <c r="AH63" i="13"/>
  <c r="H63" i="13"/>
  <c r="I63" i="13"/>
  <c r="AG63" i="13"/>
  <c r="AF63" i="13"/>
  <c r="AE63" i="13"/>
  <c r="AD63" i="13"/>
  <c r="AC63" i="13"/>
  <c r="AB63" i="13"/>
  <c r="AA63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L63" i="13"/>
  <c r="K63" i="13"/>
  <c r="J63" i="13"/>
  <c r="G63" i="13"/>
  <c r="F63" i="13"/>
  <c r="E63" i="13"/>
  <c r="D63" i="13"/>
  <c r="C63" i="13"/>
  <c r="B63" i="13"/>
  <c r="AI62" i="13"/>
  <c r="AH62" i="13"/>
  <c r="A63" i="13"/>
  <c r="H62" i="13"/>
  <c r="I62" i="13"/>
  <c r="AG62" i="13"/>
  <c r="AF62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L62" i="13"/>
  <c r="K62" i="13"/>
  <c r="J62" i="13"/>
  <c r="G62" i="13"/>
  <c r="F62" i="13"/>
  <c r="E62" i="13"/>
  <c r="D62" i="13"/>
  <c r="C62" i="13"/>
  <c r="B62" i="13"/>
  <c r="AI61" i="13"/>
  <c r="AH61" i="13"/>
  <c r="A62" i="13"/>
  <c r="H61" i="13"/>
  <c r="I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G61" i="13"/>
  <c r="F61" i="13"/>
  <c r="E61" i="13"/>
  <c r="D61" i="13"/>
  <c r="C61" i="13"/>
  <c r="B61" i="13"/>
  <c r="AI60" i="13"/>
  <c r="AH60" i="13"/>
  <c r="A61" i="13"/>
  <c r="H60" i="13"/>
  <c r="I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L60" i="13"/>
  <c r="K60" i="13"/>
  <c r="J60" i="13"/>
  <c r="G60" i="13"/>
  <c r="F60" i="13"/>
  <c r="E60" i="13"/>
  <c r="D60" i="13"/>
  <c r="C60" i="13"/>
  <c r="B60" i="13"/>
  <c r="AI59" i="13"/>
  <c r="AH59" i="13"/>
  <c r="A60" i="13"/>
  <c r="H59" i="13"/>
  <c r="I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G59" i="13"/>
  <c r="F59" i="13"/>
  <c r="E59" i="13"/>
  <c r="D59" i="13"/>
  <c r="C59" i="13"/>
  <c r="B59" i="13"/>
  <c r="AI58" i="13"/>
  <c r="AH58" i="13"/>
  <c r="A59" i="13"/>
  <c r="H58" i="13"/>
  <c r="I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G58" i="13"/>
  <c r="F58" i="13"/>
  <c r="E58" i="13"/>
  <c r="D58" i="13"/>
  <c r="C58" i="13"/>
  <c r="B58" i="13"/>
  <c r="AI57" i="13"/>
  <c r="AH57" i="13"/>
  <c r="A58" i="13"/>
  <c r="H57" i="13"/>
  <c r="I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G57" i="13"/>
  <c r="F57" i="13"/>
  <c r="E57" i="13"/>
  <c r="D57" i="13"/>
  <c r="C57" i="13"/>
  <c r="B57" i="13"/>
  <c r="AI56" i="13"/>
  <c r="AH56" i="13"/>
  <c r="A57" i="13"/>
  <c r="H56" i="13"/>
  <c r="I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G56" i="13"/>
  <c r="F56" i="13"/>
  <c r="E56" i="13"/>
  <c r="D56" i="13"/>
  <c r="C56" i="13"/>
  <c r="B56" i="13"/>
  <c r="AI55" i="13"/>
  <c r="AH55" i="13"/>
  <c r="A56" i="13"/>
  <c r="H55" i="13"/>
  <c r="I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G55" i="13"/>
  <c r="F55" i="13"/>
  <c r="E55" i="13"/>
  <c r="D55" i="13"/>
  <c r="C55" i="13"/>
  <c r="B55" i="13"/>
  <c r="AI54" i="13"/>
  <c r="AH54" i="13"/>
  <c r="A55" i="13"/>
  <c r="H54" i="13"/>
  <c r="I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G54" i="13"/>
  <c r="F54" i="13"/>
  <c r="E54" i="13"/>
  <c r="D54" i="13"/>
  <c r="C54" i="13"/>
  <c r="B54" i="13"/>
  <c r="AI53" i="13"/>
  <c r="AH53" i="13"/>
  <c r="A54" i="13"/>
  <c r="H53" i="13"/>
  <c r="I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G53" i="13"/>
  <c r="F53" i="13"/>
  <c r="E53" i="13"/>
  <c r="D53" i="13"/>
  <c r="C53" i="13"/>
  <c r="B53" i="13"/>
  <c r="AI52" i="13"/>
  <c r="AH52" i="13"/>
  <c r="A53" i="13"/>
  <c r="H52" i="13"/>
  <c r="I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G52" i="13"/>
  <c r="F52" i="13"/>
  <c r="E52" i="13"/>
  <c r="D52" i="13"/>
  <c r="C52" i="13"/>
  <c r="B52" i="13"/>
  <c r="AI51" i="13"/>
  <c r="AH51" i="13"/>
  <c r="A52" i="13"/>
  <c r="H51" i="13"/>
  <c r="I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G51" i="13"/>
  <c r="F51" i="13"/>
  <c r="E51" i="13"/>
  <c r="D51" i="13"/>
  <c r="C51" i="13"/>
  <c r="B51" i="13"/>
  <c r="AI50" i="13"/>
  <c r="AH50" i="13"/>
  <c r="A51" i="13"/>
  <c r="H50" i="13"/>
  <c r="I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G50" i="13"/>
  <c r="F50" i="13"/>
  <c r="E50" i="13"/>
  <c r="D50" i="13"/>
  <c r="C50" i="13"/>
  <c r="B50" i="13"/>
  <c r="AI49" i="13"/>
  <c r="AH49" i="13"/>
  <c r="A50" i="13"/>
  <c r="H49" i="13"/>
  <c r="I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G49" i="13"/>
  <c r="F49" i="13"/>
  <c r="E49" i="13"/>
  <c r="D49" i="13"/>
  <c r="C49" i="13"/>
  <c r="B49" i="13"/>
  <c r="AI48" i="13"/>
  <c r="AH48" i="13"/>
  <c r="A49" i="13"/>
  <c r="H48" i="13"/>
  <c r="I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G48" i="13"/>
  <c r="F48" i="13"/>
  <c r="E48" i="13"/>
  <c r="D48" i="13"/>
  <c r="C48" i="13"/>
  <c r="B48" i="13"/>
  <c r="AI47" i="13"/>
  <c r="AH47" i="13"/>
  <c r="A48" i="13"/>
  <c r="H47" i="13"/>
  <c r="I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G47" i="13"/>
  <c r="F47" i="13"/>
  <c r="E47" i="13"/>
  <c r="D47" i="13"/>
  <c r="C47" i="13"/>
  <c r="B47" i="13"/>
  <c r="AI46" i="13"/>
  <c r="AH46" i="13"/>
  <c r="A47" i="13"/>
  <c r="H46" i="13"/>
  <c r="I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G46" i="13"/>
  <c r="F46" i="13"/>
  <c r="E46" i="13"/>
  <c r="D46" i="13"/>
  <c r="C46" i="13"/>
  <c r="B46" i="13"/>
  <c r="AI45" i="13"/>
  <c r="AH45" i="13"/>
  <c r="A46" i="13"/>
  <c r="H45" i="13"/>
  <c r="I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G45" i="13"/>
  <c r="F45" i="13"/>
  <c r="E45" i="13"/>
  <c r="D45" i="13"/>
  <c r="C45" i="13"/>
  <c r="B45" i="13"/>
  <c r="AI44" i="13"/>
  <c r="AH44" i="13"/>
  <c r="A45" i="13"/>
  <c r="H44" i="13"/>
  <c r="I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G44" i="13"/>
  <c r="F44" i="13"/>
  <c r="E44" i="13"/>
  <c r="D44" i="13"/>
  <c r="C44" i="13"/>
  <c r="B44" i="13"/>
  <c r="AI43" i="13"/>
  <c r="AH43" i="13"/>
  <c r="A44" i="13"/>
  <c r="H43" i="13"/>
  <c r="I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G43" i="13"/>
  <c r="F43" i="13"/>
  <c r="E43" i="13"/>
  <c r="D43" i="13"/>
  <c r="C43" i="13"/>
  <c r="B43" i="13"/>
  <c r="AI42" i="13"/>
  <c r="AH42" i="13"/>
  <c r="A43" i="13"/>
  <c r="H42" i="13"/>
  <c r="I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G42" i="13"/>
  <c r="F42" i="13"/>
  <c r="E42" i="13"/>
  <c r="D42" i="13"/>
  <c r="C42" i="13"/>
  <c r="B42" i="13"/>
  <c r="AI41" i="13"/>
  <c r="AH41" i="13"/>
  <c r="A42" i="13"/>
  <c r="H41" i="13"/>
  <c r="I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G41" i="13"/>
  <c r="F41" i="13"/>
  <c r="E41" i="13"/>
  <c r="D41" i="13"/>
  <c r="C41" i="13"/>
  <c r="B41" i="13"/>
  <c r="AI40" i="13"/>
  <c r="AH40" i="13"/>
  <c r="A41" i="13"/>
  <c r="H40" i="13"/>
  <c r="I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G40" i="13"/>
  <c r="F40" i="13"/>
  <c r="E40" i="13"/>
  <c r="D40" i="13"/>
  <c r="C40" i="13"/>
  <c r="B40" i="13"/>
  <c r="AI39" i="13"/>
  <c r="AH39" i="13"/>
  <c r="A40" i="13"/>
  <c r="H39" i="13"/>
  <c r="I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G39" i="13"/>
  <c r="F39" i="13"/>
  <c r="E39" i="13"/>
  <c r="D39" i="13"/>
  <c r="C39" i="13"/>
  <c r="B39" i="13"/>
  <c r="AI38" i="13"/>
  <c r="AH38" i="13"/>
  <c r="A39" i="13"/>
  <c r="H38" i="13"/>
  <c r="I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G38" i="13"/>
  <c r="F38" i="13"/>
  <c r="E38" i="13"/>
  <c r="D38" i="13"/>
  <c r="C38" i="13"/>
  <c r="B38" i="13"/>
  <c r="AI37" i="13"/>
  <c r="AH37" i="13"/>
  <c r="A38" i="13"/>
  <c r="H37" i="13"/>
  <c r="I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G37" i="13"/>
  <c r="F37" i="13"/>
  <c r="E37" i="13"/>
  <c r="D37" i="13"/>
  <c r="C37" i="13"/>
  <c r="B37" i="13"/>
  <c r="AI36" i="13"/>
  <c r="AH36" i="13"/>
  <c r="A37" i="13"/>
  <c r="H36" i="13"/>
  <c r="I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G36" i="13"/>
  <c r="F36" i="13"/>
  <c r="E36" i="13"/>
  <c r="D36" i="13"/>
  <c r="C36" i="13"/>
  <c r="B36" i="13"/>
  <c r="AI35" i="13"/>
  <c r="AH35" i="13"/>
  <c r="A36" i="13"/>
  <c r="H35" i="13"/>
  <c r="I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G35" i="13"/>
  <c r="F35" i="13"/>
  <c r="E35" i="13"/>
  <c r="D35" i="13"/>
  <c r="C35" i="13"/>
  <c r="B35" i="13"/>
  <c r="AI34" i="13"/>
  <c r="AH34" i="13"/>
  <c r="A35" i="13"/>
  <c r="H34" i="13"/>
  <c r="I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G34" i="13"/>
  <c r="F34" i="13"/>
  <c r="E34" i="13"/>
  <c r="D34" i="13"/>
  <c r="C34" i="13"/>
  <c r="B34" i="13"/>
  <c r="AI33" i="13"/>
  <c r="AH33" i="13"/>
  <c r="A34" i="13"/>
  <c r="H33" i="13"/>
  <c r="I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G33" i="13"/>
  <c r="F33" i="13"/>
  <c r="E33" i="13"/>
  <c r="D33" i="13"/>
  <c r="C33" i="13"/>
  <c r="B33" i="13"/>
  <c r="AI32" i="13"/>
  <c r="AH32" i="13"/>
  <c r="A33" i="13"/>
  <c r="H32" i="13"/>
  <c r="I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G32" i="13"/>
  <c r="F32" i="13"/>
  <c r="E32" i="13"/>
  <c r="D32" i="13"/>
  <c r="C32" i="13"/>
  <c r="B32" i="13"/>
  <c r="AI31" i="13"/>
  <c r="AH31" i="13"/>
  <c r="A32" i="13"/>
  <c r="H31" i="13"/>
  <c r="I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G31" i="13"/>
  <c r="F31" i="13"/>
  <c r="E31" i="13"/>
  <c r="D31" i="13"/>
  <c r="C31" i="13"/>
  <c r="B31" i="13"/>
  <c r="AI30" i="13"/>
  <c r="AH30" i="13"/>
  <c r="A31" i="13"/>
  <c r="H30" i="13"/>
  <c r="I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G30" i="13"/>
  <c r="F30" i="13"/>
  <c r="E30" i="13"/>
  <c r="D30" i="13"/>
  <c r="C30" i="13"/>
  <c r="B30" i="13"/>
  <c r="AI29" i="13"/>
  <c r="AH29" i="13"/>
  <c r="A30" i="13"/>
  <c r="H29" i="13"/>
  <c r="I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G29" i="13"/>
  <c r="F29" i="13"/>
  <c r="E29" i="13"/>
  <c r="D29" i="13"/>
  <c r="C29" i="13"/>
  <c r="B29" i="13"/>
  <c r="AI28" i="13"/>
  <c r="AH28" i="13"/>
  <c r="A29" i="13"/>
  <c r="H28" i="13"/>
  <c r="I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G28" i="13"/>
  <c r="F28" i="13"/>
  <c r="E28" i="13"/>
  <c r="D28" i="13"/>
  <c r="C28" i="13"/>
  <c r="B28" i="13"/>
  <c r="AI27" i="13"/>
  <c r="AH27" i="13"/>
  <c r="A28" i="13"/>
  <c r="H27" i="13"/>
  <c r="I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G27" i="13"/>
  <c r="F27" i="13"/>
  <c r="E27" i="13"/>
  <c r="D27" i="13"/>
  <c r="C27" i="13"/>
  <c r="B27" i="13"/>
  <c r="AI26" i="13"/>
  <c r="AH26" i="13"/>
  <c r="A27" i="13"/>
  <c r="H26" i="13"/>
  <c r="I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G26" i="13"/>
  <c r="F26" i="13"/>
  <c r="E26" i="13"/>
  <c r="D26" i="13"/>
  <c r="C26" i="13"/>
  <c r="B26" i="13"/>
  <c r="AI25" i="13"/>
  <c r="AH25" i="13"/>
  <c r="A26" i="13"/>
  <c r="H25" i="13"/>
  <c r="I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G25" i="13"/>
  <c r="F25" i="13"/>
  <c r="E25" i="13"/>
  <c r="D25" i="13"/>
  <c r="C25" i="13"/>
  <c r="B25" i="13"/>
  <c r="AI24" i="13"/>
  <c r="AH24" i="13"/>
  <c r="A25" i="13"/>
  <c r="H24" i="13"/>
  <c r="I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G24" i="13"/>
  <c r="F24" i="13"/>
  <c r="E24" i="13"/>
  <c r="D24" i="13"/>
  <c r="C24" i="13"/>
  <c r="B24" i="13"/>
  <c r="AI23" i="13"/>
  <c r="AH23" i="13"/>
  <c r="A24" i="13"/>
  <c r="H23" i="13"/>
  <c r="I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G23" i="13"/>
  <c r="F23" i="13"/>
  <c r="E23" i="13"/>
  <c r="D23" i="13"/>
  <c r="C23" i="13"/>
  <c r="B23" i="13"/>
  <c r="AI22" i="13"/>
  <c r="AH22" i="13"/>
  <c r="A23" i="13"/>
  <c r="H22" i="13"/>
  <c r="I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G22" i="13"/>
  <c r="F22" i="13"/>
  <c r="E22" i="13"/>
  <c r="D22" i="13"/>
  <c r="C22" i="13"/>
  <c r="B22" i="13"/>
  <c r="AI21" i="13"/>
  <c r="AH21" i="13"/>
  <c r="A22" i="13"/>
  <c r="H21" i="13"/>
  <c r="I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G21" i="13"/>
  <c r="F21" i="13"/>
  <c r="E21" i="13"/>
  <c r="D21" i="13"/>
  <c r="C21" i="13"/>
  <c r="B21" i="13"/>
  <c r="AI20" i="13"/>
  <c r="AH20" i="13"/>
  <c r="A21" i="13"/>
  <c r="H20" i="13"/>
  <c r="I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G20" i="13"/>
  <c r="F20" i="13"/>
  <c r="E20" i="13"/>
  <c r="D20" i="13"/>
  <c r="C20" i="13"/>
  <c r="B20" i="13"/>
  <c r="AI19" i="13"/>
  <c r="AH19" i="13"/>
  <c r="A20" i="13"/>
  <c r="H19" i="13"/>
  <c r="I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G19" i="13"/>
  <c r="F19" i="13"/>
  <c r="E19" i="13"/>
  <c r="D19" i="13"/>
  <c r="C19" i="13"/>
  <c r="B19" i="13"/>
  <c r="AI18" i="13"/>
  <c r="AH18" i="13"/>
  <c r="A19" i="13"/>
  <c r="H18" i="13"/>
  <c r="I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G18" i="13"/>
  <c r="F18" i="13"/>
  <c r="E18" i="13"/>
  <c r="D18" i="13"/>
  <c r="C18" i="13"/>
  <c r="B18" i="13"/>
  <c r="AI17" i="13"/>
  <c r="AH17" i="13"/>
  <c r="A18" i="13"/>
  <c r="H17" i="13"/>
  <c r="I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G17" i="13"/>
  <c r="F17" i="13"/>
  <c r="E17" i="13"/>
  <c r="D17" i="13"/>
  <c r="C17" i="13"/>
  <c r="B17" i="13"/>
  <c r="AI16" i="13"/>
  <c r="AH16" i="13"/>
  <c r="A17" i="13"/>
  <c r="H16" i="13"/>
  <c r="I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G16" i="13"/>
  <c r="F16" i="13"/>
  <c r="E16" i="13"/>
  <c r="D16" i="13"/>
  <c r="C16" i="13"/>
  <c r="B16" i="13"/>
  <c r="AI15" i="13"/>
  <c r="AH15" i="13"/>
  <c r="A16" i="13"/>
  <c r="H15" i="13"/>
  <c r="I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G15" i="13"/>
  <c r="F15" i="13"/>
  <c r="E15" i="13"/>
  <c r="D15" i="13"/>
  <c r="C15" i="13"/>
  <c r="B15" i="13"/>
  <c r="AI14" i="13"/>
  <c r="AH14" i="13"/>
  <c r="A15" i="13"/>
  <c r="H14" i="13"/>
  <c r="I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G14" i="13"/>
  <c r="F14" i="13"/>
  <c r="E14" i="13"/>
  <c r="D14" i="13"/>
  <c r="C14" i="13"/>
  <c r="B14" i="13"/>
  <c r="AI13" i="13"/>
  <c r="AH13" i="13"/>
  <c r="A14" i="13"/>
  <c r="H13" i="13"/>
  <c r="I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G13" i="13"/>
  <c r="F13" i="13"/>
  <c r="E13" i="13"/>
  <c r="D13" i="13"/>
  <c r="C13" i="13"/>
  <c r="B13" i="13"/>
  <c r="AI12" i="13"/>
  <c r="AH12" i="13"/>
  <c r="A13" i="13"/>
  <c r="H12" i="13"/>
  <c r="I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G12" i="13"/>
  <c r="F12" i="13"/>
  <c r="E12" i="13"/>
  <c r="D12" i="13"/>
  <c r="C12" i="13"/>
  <c r="B12" i="13"/>
  <c r="AI11" i="13"/>
  <c r="AH11" i="13"/>
  <c r="A12" i="13"/>
  <c r="H11" i="13"/>
  <c r="I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I10" i="13"/>
  <c r="AH10" i="13"/>
  <c r="A11" i="13"/>
  <c r="H10" i="13"/>
  <c r="I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G10" i="13"/>
  <c r="F10" i="13"/>
  <c r="E10" i="13"/>
  <c r="D10" i="13"/>
  <c r="C10" i="13"/>
  <c r="B10" i="13"/>
  <c r="AI9" i="13"/>
  <c r="AH9" i="13"/>
  <c r="A10" i="13"/>
  <c r="H9" i="13"/>
  <c r="I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G9" i="13"/>
  <c r="F9" i="13"/>
  <c r="E9" i="13"/>
  <c r="D9" i="13"/>
  <c r="C9" i="13"/>
  <c r="B9" i="13"/>
  <c r="AI8" i="13"/>
  <c r="AH8" i="13"/>
  <c r="A9" i="13"/>
  <c r="H8" i="13"/>
  <c r="I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G8" i="13"/>
  <c r="F8" i="13"/>
  <c r="E8" i="13"/>
  <c r="D8" i="13"/>
  <c r="C8" i="13"/>
  <c r="B8" i="13"/>
  <c r="AI7" i="13"/>
  <c r="AH7" i="13"/>
  <c r="A8" i="13"/>
  <c r="H7" i="13"/>
  <c r="I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G7" i="13"/>
  <c r="F7" i="13"/>
  <c r="E7" i="13"/>
  <c r="D7" i="13"/>
  <c r="C7" i="13"/>
  <c r="B7" i="13"/>
  <c r="A7" i="13"/>
</calcChain>
</file>

<file path=xl/sharedStrings.xml><?xml version="1.0" encoding="utf-8"?>
<sst xmlns="http://schemas.openxmlformats.org/spreadsheetml/2006/main" count="2108" uniqueCount="866">
  <si>
    <t>2026 Roadmap - Jerel Smith</t>
  </si>
  <si>
    <t>Q1</t>
  </si>
  <si>
    <t>Q2</t>
  </si>
  <si>
    <t>Q3</t>
  </si>
  <si>
    <t>Q4</t>
  </si>
  <si>
    <t>1. B2B</t>
  </si>
  <si>
    <t>Freeze</t>
  </si>
  <si>
    <t>PMO-5000</t>
  </si>
  <si>
    <t>Discovery</t>
  </si>
  <si>
    <t>Research</t>
  </si>
  <si>
    <t>Design</t>
  </si>
  <si>
    <t>Dev</t>
  </si>
  <si>
    <t>Live</t>
  </si>
  <si>
    <t>&gt;CMS Lite</t>
  </si>
  <si>
    <t>Design + Dev</t>
  </si>
  <si>
    <t>Dev + Live</t>
  </si>
  <si>
    <t>Operationalize</t>
  </si>
  <si>
    <t>&gt;Sign Up</t>
  </si>
  <si>
    <t>Jaye</t>
  </si>
  <si>
    <t>&gt;Internal Pages</t>
  </si>
  <si>
    <t>Discovery + Research</t>
  </si>
  <si>
    <t>B2B Hub Health Dashboard</t>
  </si>
  <si>
    <t>All</t>
  </si>
  <si>
    <t>The Studio</t>
  </si>
  <si>
    <t>Categories</t>
  </si>
  <si>
    <t>Stakeholder Input</t>
  </si>
  <si>
    <t>Hilli</t>
  </si>
  <si>
    <t>&gt;Landing Page</t>
  </si>
  <si>
    <t>&gt;Multi-Page</t>
  </si>
  <si>
    <t>2. Used</t>
  </si>
  <si>
    <t>Sell Used/Trade In</t>
  </si>
  <si>
    <t>&gt;Sell Used Experience</t>
  </si>
  <si>
    <t>John</t>
  </si>
  <si>
    <t>&gt;Trade In Experience</t>
  </si>
  <si>
    <t>Trade In Emails</t>
  </si>
  <si>
    <t>…Live</t>
  </si>
  <si>
    <t>Used Hub Health Dashboard</t>
  </si>
  <si>
    <t>Condition Rating Scale</t>
  </si>
  <si>
    <t>&gt;New Condition Rating Scale</t>
  </si>
  <si>
    <t>Leo</t>
  </si>
  <si>
    <t>PDP - Group By Condition</t>
  </si>
  <si>
    <t>PLP - Roll Up By Condition</t>
  </si>
  <si>
    <t>Actual Used Images (Tim)</t>
  </si>
  <si>
    <t>3. Legacy Find (Submitting to Dev - Not Owning Afterwards)</t>
  </si>
  <si>
    <t>Mega Menu</t>
  </si>
  <si>
    <t>Laura</t>
  </si>
  <si>
    <t>Roll Up SKUs</t>
  </si>
  <si>
    <t>Design + Grooming</t>
  </si>
  <si>
    <t>Nested Refinements</t>
  </si>
  <si>
    <t>Discovery + Design</t>
  </si>
  <si>
    <t xml:space="preserve">Journey/Initiative </t>
  </si>
  <si>
    <t>Enterprise Platforms &amp; Used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</si>
  <si>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</si>
  <si>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</si>
  <si>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</si>
  <si>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</si>
  <si>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</si>
  <si>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</si>
  <si>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</si>
  <si>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</si>
  <si>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</si>
  <si>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</si>
  <si>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</si>
  <si>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</si>
  <si>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&gt;Weblogic-&gt; Apeture/JSON Led</t>
  </si>
  <si>
    <t>EDU</t>
  </si>
  <si>
    <t>Socialize</t>
  </si>
  <si>
    <t>Product</t>
  </si>
  <si>
    <t>Title</t>
  </si>
  <si>
    <t>Status</t>
  </si>
  <si>
    <t>Jira</t>
  </si>
  <si>
    <t>Jerel Smith</t>
  </si>
  <si>
    <t>B2B Hub Landing Page - redesign</t>
  </si>
  <si>
    <t>BHUX-26541 </t>
  </si>
  <si>
    <t>B2B Hub - Revisit Signup Flow</t>
  </si>
  <si>
    <t>BHUX-31874</t>
  </si>
  <si>
    <t>B2B Hub Redesign - Internal Pages</t>
  </si>
  <si>
    <t>BHUX-32257</t>
  </si>
  <si>
    <t>Brendan Bagley</t>
  </si>
  <si>
    <t>B2B Updated Expired Tax Exemption</t>
  </si>
  <si>
    <t>BHUX-33186</t>
  </si>
  <si>
    <t>Tax &amp; Net 30 Terms On CompanyID</t>
  </si>
  <si>
    <t>BHUX-33524</t>
  </si>
  <si>
    <t>Gradus equivalents in B2B Quotes</t>
  </si>
  <si>
    <t>Closed as later</t>
  </si>
  <si>
    <t>BHUX-33797</t>
  </si>
  <si>
    <t>B2B Hub - Logged In B2B Experience</t>
  </si>
  <si>
    <t>BHP-6901</t>
  </si>
  <si>
    <t>BHUX-34079</t>
  </si>
  <si>
    <t>Identify Users via the PunchoutSetupRequest and Give them Limited User-Based Features</t>
  </si>
  <si>
    <t>BHUX-33409</t>
  </si>
  <si>
    <t>Update Punch out Cart to match B2B/B2B cart/checkout</t>
  </si>
  <si>
    <t>BHUX-33526</t>
  </si>
  <si>
    <t>B2B - The Studio Categories</t>
  </si>
  <si>
    <t>BHUX-33434</t>
  </si>
  <si>
    <t>EDU Homepage</t>
  </si>
  <si>
    <t>BHUX-25601</t>
  </si>
  <si>
    <t>Used - Sell Used Experience</t>
  </si>
  <si>
    <t>BHUX-33009</t>
  </si>
  <si>
    <t>Condition Grouping</t>
  </si>
  <si>
    <t>BHUX-33519</t>
  </si>
  <si>
    <t>New Condition Rating Scale</t>
  </si>
  <si>
    <t>BHUX-33510</t>
  </si>
  <si>
    <t>BHUX-29580</t>
  </si>
  <si>
    <t>Sumit</t>
  </si>
  <si>
    <t>B2B &amp; Used Visibility in the Nav</t>
  </si>
  <si>
    <t>BHUX-34378</t>
  </si>
  <si>
    <t>School Safety Landing Page</t>
  </si>
  <si>
    <t>Sell Used User Flow Design Validation</t>
  </si>
  <si>
    <t>BHUR-133</t>
  </si>
  <si>
    <t>Hanna</t>
  </si>
  <si>
    <t>Used Status Email Update</t>
  </si>
  <si>
    <t>BHUX-34723</t>
  </si>
  <si>
    <t>Trade In Discrepancy Email Refresh (Copy Only)</t>
  </si>
  <si>
    <t>Add 'shop by popular brands' section to Used Homepage</t>
  </si>
  <si>
    <t>BHUX-34844</t>
  </si>
  <si>
    <t>Trade In Email - Comprehensive Refresh Discovery</t>
  </si>
  <si>
    <t>BHUX-34772</t>
  </si>
  <si>
    <t>BHUX-34845</t>
  </si>
  <si>
    <t>Used Just Added Page</t>
  </si>
  <si>
    <t>BHP-7230</t>
  </si>
  <si>
    <t>Nachman</t>
  </si>
  <si>
    <t>Out of stock Alerts for used products</t>
  </si>
  <si>
    <t>Mehek</t>
  </si>
  <si>
    <t>Used Hub - Just Added Component</t>
  </si>
  <si>
    <t>BHP-7229</t>
  </si>
  <si>
    <t>BHP-6444</t>
  </si>
  <si>
    <t>Sell Used Purchase Look Up</t>
  </si>
  <si>
    <t>BHP-7236</t>
  </si>
  <si>
    <t>PDP Purchased in 20XX, Trade In Value is $YYY.YY</t>
  </si>
  <si>
    <t>Used Activity Notification</t>
  </si>
  <si>
    <t>BHP-7237</t>
  </si>
  <si>
    <t>Ticket</t>
  </si>
  <si>
    <t>Portfolio</t>
  </si>
  <si>
    <t>Component</t>
  </si>
  <si>
    <t>Tech</t>
  </si>
  <si>
    <t>Start Sprint</t>
  </si>
  <si>
    <t>End Sprint</t>
  </si>
  <si>
    <t>Notes</t>
  </si>
  <si>
    <t>B2B</t>
  </si>
  <si>
    <t>B2B Hub</t>
  </si>
  <si>
    <t>BHJ</t>
  </si>
  <si>
    <t>B2B Hub Plus</t>
  </si>
  <si>
    <t>Navigation</t>
  </si>
  <si>
    <t>BHJ, BHIA, BIDW</t>
  </si>
  <si>
    <t>Highlighted Refinements</t>
  </si>
  <si>
    <t>PLP/Search</t>
  </si>
  <si>
    <t>BHJ, Search, BHIA</t>
  </si>
  <si>
    <t>Sell Used</t>
  </si>
  <si>
    <t>UNIX, BHJ, SEARCH</t>
  </si>
  <si>
    <t>PLP/PDP</t>
  </si>
  <si>
    <t>UNIX, BHJ</t>
  </si>
  <si>
    <t>Actual Used Images</t>
  </si>
  <si>
    <t>PDP/ Images</t>
  </si>
  <si>
    <t>BHJ, BHIA</t>
  </si>
  <si>
    <t>Trade In Email</t>
  </si>
  <si>
    <t>UNIX</t>
  </si>
  <si>
    <t>BIDW</t>
  </si>
  <si>
    <t>BHJ, BHIA, SEARCH</t>
  </si>
  <si>
    <t>Nov</t>
  </si>
  <si>
    <t>My Gear</t>
  </si>
  <si>
    <t>Category Landing Page</t>
  </si>
  <si>
    <t>Highlighted Refinements Enhancement</t>
  </si>
  <si>
    <t>Enable Editable Email Addresses in the ShipTo</t>
  </si>
  <si>
    <t>BHP-7274</t>
  </si>
  <si>
    <t>Homepage Header: B2B</t>
  </si>
  <si>
    <t>Used</t>
  </si>
  <si>
    <t>B2B/Used</t>
  </si>
  <si>
    <t>Find</t>
  </si>
  <si>
    <t>B2B Portals</t>
  </si>
  <si>
    <t>Site Support</t>
  </si>
  <si>
    <t>BHUX-35010</t>
  </si>
  <si>
    <t>BHP-7301</t>
  </si>
  <si>
    <t>BHP-6827</t>
  </si>
  <si>
    <t>Increase Awareness of Trade In Offers - Best Buy Inspiration/Competitive Effort</t>
  </si>
  <si>
    <t>BHUX-35020</t>
  </si>
  <si>
    <t>The Studio - Enhanced Landing Page</t>
  </si>
  <si>
    <t>The Studio - Stand Alone Website</t>
  </si>
  <si>
    <t>The Studio - Category Hybrid Page</t>
  </si>
  <si>
    <t>The Studio - B&amp;H Awareness on High Ticket Items</t>
  </si>
  <si>
    <t>Oct 2026</t>
  </si>
  <si>
    <t>Sep 2026</t>
  </si>
  <si>
    <t>Aug 2026</t>
  </si>
  <si>
    <t>Mar 2026</t>
  </si>
  <si>
    <t>Jun 2026</t>
  </si>
  <si>
    <t>Mar 2027</t>
  </si>
  <si>
    <t>Jan 2027</t>
  </si>
  <si>
    <t>Jul 2026</t>
  </si>
  <si>
    <t>Used Hub</t>
  </si>
  <si>
    <t>PDP</t>
  </si>
  <si>
    <t>BHJ, UNIX</t>
  </si>
  <si>
    <t>BHUX-34377</t>
  </si>
  <si>
    <t>BHUX-35303</t>
  </si>
  <si>
    <t>Add New | Used tab to all listing pages and search results pages</t>
  </si>
  <si>
    <t>BHUX-35304</t>
  </si>
  <si>
    <t>01. Prod Discovery</t>
  </si>
  <si>
    <t>04. UX Design</t>
  </si>
  <si>
    <t>02. UX Req</t>
  </si>
  <si>
    <t>03. UX Discovery</t>
  </si>
  <si>
    <t>04A. Research - Design Validation</t>
  </si>
  <si>
    <t>06. Architecutre</t>
  </si>
  <si>
    <t>07. Grooming</t>
  </si>
  <si>
    <t>00. Parking Lot</t>
  </si>
  <si>
    <t>BHUX-35302 </t>
  </si>
  <si>
    <t>Improve Trade In User Flow</t>
  </si>
  <si>
    <t>Improve The Studio B&amp;H Customer Experience</t>
  </si>
  <si>
    <t>Improve Buy Used Customer Experience</t>
  </si>
  <si>
    <t>Improve Discovery</t>
  </si>
  <si>
    <t>Increase Trade In Awareness</t>
  </si>
  <si>
    <t>Increase Buy Used Awareness</t>
  </si>
  <si>
    <t>Increase The Studio B&amp;H Awareness</t>
  </si>
  <si>
    <t>Increase B2B Acquisition</t>
  </si>
  <si>
    <t>Increase Trade In Reactivation</t>
  </si>
  <si>
    <t>05. Business Review</t>
  </si>
  <si>
    <t>09. In Dev</t>
  </si>
  <si>
    <t>BHUX-35309</t>
  </si>
  <si>
    <t>Theme</t>
  </si>
  <si>
    <t>New Condition Rating Scale (Intermediate Step)</t>
  </si>
  <si>
    <t>BHJ-121278</t>
  </si>
  <si>
    <t>BHUX-32621</t>
  </si>
  <si>
    <t>08. Ready for Dev</t>
  </si>
  <si>
    <t>Sunset Modals for Drawers</t>
  </si>
  <si>
    <t>BHUX-32543 </t>
  </si>
  <si>
    <t>01A. Research - Foundational</t>
  </si>
  <si>
    <t>06. Architecture</t>
  </si>
  <si>
    <t>Alice</t>
  </si>
  <si>
    <t>Sliders</t>
  </si>
  <si>
    <t>Refinement - Select All/Deselect All</t>
  </si>
  <si>
    <t>Used Hub Enhancements</t>
  </si>
  <si>
    <t>My Gear 2 - Tray</t>
  </si>
  <si>
    <t>BHUX-17615</t>
  </si>
  <si>
    <t>BHUX-23755</t>
  </si>
  <si>
    <t>BHUX-31354 </t>
  </si>
  <si>
    <t>BHUX-28124</t>
  </si>
  <si>
    <t>BHP-4563</t>
  </si>
  <si>
    <t>H2 on listing pages</t>
  </si>
  <si>
    <t>Sunset Dealzone</t>
  </si>
  <si>
    <t>BHUX-31245</t>
  </si>
  <si>
    <t>BHUX-32071</t>
  </si>
  <si>
    <t>BHUX-29921</t>
  </si>
  <si>
    <t>Description</t>
  </si>
  <si>
    <t>Measure Impact</t>
  </si>
  <si>
    <t>Shop By Popular Brand' Listing Pages Discovery</t>
  </si>
  <si>
    <t>My Account &gt; Trade In Awareness</t>
  </si>
  <si>
    <t>Grow discovery of the Used Hub and used inventory through SEO, brand listing pages, and internal linking so more shoppers know B&amp;H sells used gear.</t>
  </si>
  <si>
    <t>Re-engage past customers with unused eligible gear via triggered emails tied to purchase timing and inventory demand signals.</t>
  </si>
  <si>
    <t>Increase Buy Used Reactivation</t>
  </si>
  <si>
    <t>Measure Adoption</t>
  </si>
  <si>
    <t>Trade-in CTA Impressions (Order History/PDP), CTA Click through rate, % of eligible sessions exposed to CTA</t>
  </si>
  <si>
    <t>Organic sessions to Used Hub/brand pages, Search impressions &amp; CTR (used pages), Internal link CTR (New&gt;used cross links), Cross-sell CTA impressions (used alt. on New PDP)</t>
  </si>
  <si>
    <t>New-to-used buyer sessions, Used PDP views per session, Used share to total category traffic, cross sell attributed used PDP views/purchases</t>
  </si>
  <si>
    <t>% started quotes completed, Time to quote (median), Post-acceptance ststus engagement rate</t>
  </si>
  <si>
    <t>Quote-to-accepted-offer rate, Drop-off rate by flow step, sell-flow CSAT (isolated), Support contact rate per quote, Payout cycle time (accepted&gt;paid)</t>
  </si>
  <si>
    <t>Reactivation email open rate, reactivation email CTR, quote starts attributed to email</t>
  </si>
  <si>
    <t>Reactivated quote to completion rate, revenue from reactivated sellers, days since last purchase &gt; trade in (trend)</t>
  </si>
  <si>
    <t>PLP filter usage rate, used pdp engagement rate (photo/spec expansion), order status page engagement rate</t>
  </si>
  <si>
    <t>Used PDP-to-cart rate, Used cart-to-purchase rate, Post-Purchase CSAT (isolated)</t>
  </si>
  <si>
    <t>Win Back email open rate, win-back email CTR, Browse to used PDP rate from email</t>
  </si>
  <si>
    <t>Repeat used-purchase rate, Revenue from reactivated buyers, Time-since-last-purchase &gt; repurchase (trend)</t>
  </si>
  <si>
    <t>New to trade in quote starts, Quote start rate among CTA exposed users, Assisted trade-in revenue (CTA attributed)</t>
  </si>
  <si>
    <t>Theme #2</t>
  </si>
  <si>
    <t>Theme #1</t>
  </si>
  <si>
    <t>Increase Trust &amp; Condition Transparency</t>
  </si>
  <si>
    <t>13. Live</t>
  </si>
  <si>
    <t>12. Release</t>
  </si>
  <si>
    <t>11. UAT</t>
  </si>
  <si>
    <t>10. QA</t>
  </si>
  <si>
    <t>Cross-cutting theme spanning sell-side item search (finding what you own to quote it) and buy-side discovery (finding used inventory to purchase). Flagged as the single highest-priority friction point across VoC research on both sides.</t>
  </si>
  <si>
    <t>Cross-cutting theme covering whether customers believe the grading/condition information is accurate and complete, ties directly to condition rating scale and PDP condition grouping work, and carries COO-level visibility</t>
  </si>
  <si>
    <t>OG Find initaitives that Jerel still owns</t>
  </si>
  <si>
    <t>Q1 2026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</si>
  <si>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</si>
  <si>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</si>
  <si>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</si>
  <si>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</si>
  <si>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</si>
  <si>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</si>
  <si>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</si>
  <si>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</si>
  <si>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</si>
  <si>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</si>
  <si>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</si>
  <si>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Metric</t>
  </si>
  <si>
    <t>Trade-in CTA Impressions (Order History/PDP)</t>
  </si>
  <si>
    <t>CTA Click through rate</t>
  </si>
  <si>
    <t>% of eligible sessions exposed to CTA</t>
  </si>
  <si>
    <t>Type</t>
  </si>
  <si>
    <t>Adoption</t>
  </si>
  <si>
    <t>Source</t>
  </si>
  <si>
    <t>Available</t>
  </si>
  <si>
    <t>Assisted trade-in revenue (CTA attributed)</t>
  </si>
  <si>
    <t>New to trade in quote starts</t>
  </si>
  <si>
    <t>Quote start rate among CTA exposed users</t>
  </si>
  <si>
    <t>Impact</t>
  </si>
  <si>
    <t>Time to quote (median)</t>
  </si>
  <si>
    <t>% started quotes completed</t>
  </si>
  <si>
    <t>Post-acceptance status engagement rate</t>
  </si>
  <si>
    <t>Quote starts attributed to email</t>
  </si>
  <si>
    <t>Reactivation email open rate</t>
  </si>
  <si>
    <t>Payout cycle time (accepted&gt;paid)</t>
  </si>
  <si>
    <t>Support contact rate per quote</t>
  </si>
  <si>
    <t>Quote-to-accepted-offer rate</t>
  </si>
  <si>
    <t>Drop-off rate by flow step</t>
  </si>
  <si>
    <t>Sell-flow CSAT (isolated)</t>
  </si>
  <si>
    <t>GA4</t>
  </si>
  <si>
    <t>Days since last purchase &gt; trade in (trend)</t>
  </si>
  <si>
    <t>Reactivated quote to completion rate</t>
  </si>
  <si>
    <t>Revenue from reactivated sellers</t>
  </si>
  <si>
    <t>Cross-sell CTA impressions (used alt. on New PDP)</t>
  </si>
  <si>
    <t>Internal link CTR (New&gt;used cross links)</t>
  </si>
  <si>
    <t>Search impressions &amp; CTR (used pages)</t>
  </si>
  <si>
    <t>Organic sessions to Used Hub/brand pages</t>
  </si>
  <si>
    <t>Cross sell attributed used PDP views/purchases</t>
  </si>
  <si>
    <t>Used share to total category traffic</t>
  </si>
  <si>
    <t>New-to-used buyer sessions</t>
  </si>
  <si>
    <t>Used PDP views per session</t>
  </si>
  <si>
    <t>Order status page engagement rate</t>
  </si>
  <si>
    <t>PLP filter usage rate</t>
  </si>
  <si>
    <t>Used PDP engagement rate (photo/spec expansion)</t>
  </si>
  <si>
    <t>Post-Purchase CSAT (isolated)</t>
  </si>
  <si>
    <t>Used PDP-to-cart rate</t>
  </si>
  <si>
    <t>Used cart-to-purchase rate</t>
  </si>
  <si>
    <t>Reactivation email CTR</t>
  </si>
  <si>
    <t>Calculation</t>
  </si>
  <si>
    <t>Why it Matters</t>
  </si>
  <si>
    <t>Browse to used PDP rate from email</t>
  </si>
  <si>
    <t>Win-back email CTR</t>
  </si>
  <si>
    <t>Win-Back email open rate</t>
  </si>
  <si>
    <t>Time-since-last-purchase &gt; repurchase (trend)</t>
  </si>
  <si>
    <t>Repeat used-purchase rate</t>
  </si>
  <si>
    <t>Revenue from reactivated buyers</t>
  </si>
  <si>
    <t>DES eval + QA audit</t>
  </si>
  <si>
    <t>Traces trust problems back to their root cause, inaccurate grading upstream, rather than just a PDP/description-clarity issue.</t>
  </si>
  <si>
    <t>Re-grades matching original grade ÷ total items re-graded in the audit sample.</t>
  </si>
  <si>
    <t>How often an independent re-grade of a sampled item matches the original evaluator's condition grade.</t>
  </si>
  <si>
    <t>Grading accuracy / consistency (QA re-grade audit)</t>
  </si>
  <si>
    <t>Trust &amp; Condition Transparency</t>
  </si>
  <si>
    <t>Medallia</t>
  </si>
  <si>
    <t>A softer, earlier-warning companion to the return-rate metric, capturing dissatisfaction even among customers who keep the item.</t>
  </si>
  <si>
    <t>Medallia average/top-box % on the condition-trust survey question(s).</t>
  </si>
  <si>
    <t>Survey-based score measuring how satisfied/confident customers felt about the accuracy of condition information before and after receiving their item.</t>
  </si>
  <si>
    <t>Medallia condition-satisfaction / trust score</t>
  </si>
  <si>
    <t>Returns / CRM</t>
  </si>
  <si>
    <t>The clearest hard evidence of a trust failure. A rising rate means the condition info shown isn't matching what customers receive.</t>
  </si>
  <si>
    <t>Returns coded "not as described" ÷ total used orders.</t>
  </si>
  <si>
    <t>Share of used-order returns where the customer's stated reason is that the item didn't match its condition description.</t>
  </si>
  <si>
    <t>"Not as described" return rate</t>
  </si>
  <si>
    <t>Research / usability testing</t>
  </si>
  <si>
    <t>Adoption metrics from analytics can't tell you if customers actually understand the rating scale. This is the qualitative check that they do, tied directly to the new five-tier scale rollout.</t>
  </si>
  <si>
    <t>Correct interpretations ÷ total test participants, per study.</t>
  </si>
  <si>
    <t>In moderated or unmoderated usability testing, the share of participants who correctly interpret what a given condition rating (e.g. "Good," "Excellent") means for the product they're evaluating.</t>
  </si>
  <si>
    <t>Condition rating comprehension (usability test pass rate)</t>
  </si>
  <si>
    <t>Shows how much shoppers are actively seeking out condition information, the core evaluation input for a used purchase.</t>
  </si>
  <si>
    <t>Sessions with condition-tab-expand event ÷ used PDP sessions.</t>
  </si>
  <si>
    <t>Share of used PDP sessions where the customer opens/expands the condition detail tab or section.</t>
  </si>
  <si>
    <t>Condition-tab view rate</t>
  </si>
  <si>
    <t>GA4 + Solr logs</t>
  </si>
  <si>
    <t>The most direct "we lost them" signal. A search that doesn't even get a follow-up click or scroll is a clear failure.</t>
  </si>
  <si>
    <t>Sessions ending within N actions of a search event ÷ total search sessions.</t>
  </si>
  <si>
    <t>Share of search sessions (sell or buy) where the customer leaves the site shortly after searching, without further engagement.</t>
  </si>
  <si>
    <t>Search abandonment rate</t>
  </si>
  <si>
    <t>Search &amp; Findability</t>
  </si>
  <si>
    <t>Shows how much revenue depends on search working well, making the business case for search investment concrete.</t>
  </si>
  <si>
    <t>Purchases preceded by a used search-with-click event in the same session.</t>
  </si>
  <si>
    <t>Used purchases that began with a used-inventory search (as opposed to browsing/category navigation).</t>
  </si>
  <si>
    <t>Search-originated used purchases (buy side)</t>
  </si>
  <si>
    <t>Solr logs + Quote system</t>
  </si>
  <si>
    <t>Connects search quality directly to the acquisition funnel, not just to search-specific metrics.</t>
  </si>
  <si>
    <t>Quote starts preceded by a search-with-selection event.</t>
  </si>
  <si>
    <t>Quote starts that began with a successful sell-flow search.</t>
  </si>
  <si>
    <t>Search-originated quote starts (sell side)</t>
  </si>
  <si>
    <t>Distinguishes "no results" failures from "results shown but not relevant/appealing" failures.</t>
  </si>
  <si>
    <t>Searches with a result click ÷ total used-inventory searches.</t>
  </si>
  <si>
    <t>Share of used-inventory searches where the customer clicked a result.</t>
  </si>
  <si>
    <t>Used search-to-click rate</t>
  </si>
  <si>
    <t>Solr logs</t>
  </si>
  <si>
    <t>A hard failure signal. Every zero-result search is a shopper who couldn't find anything, regardless of whether inventory actually existed.</t>
  </si>
  <si>
    <t>Zero-result searches ÷ total used-inventory searches.</t>
  </si>
  <si>
    <t>Share of used-inventory searches that return no results.</t>
  </si>
  <si>
    <t>Used PLP/search zero-result rate</t>
  </si>
  <si>
    <t>Search friction is the #1 flagged issue in VoC research for the sell side specifically. This is the direct health check on it.</t>
  </si>
  <si>
    <t>Searches ending in item selection ÷ total sell-flow searches.</t>
  </si>
  <si>
    <t>Share of sell-flow item searches where the customer found and selected their item (vs. abandoning or falling back to manual entry).</t>
  </si>
  <si>
    <t>Sell-item search success rate (Solr)</t>
  </si>
  <si>
    <t>CRM</t>
  </si>
  <si>
    <t>A shortening trend suggests campaign timing/targeting is getting more effective at catching buyers when they're ready.</t>
  </si>
  <si>
    <t>Repurchase date − most recent prior purchase date, averaged/median, tracked quarter over quarter.</t>
  </si>
  <si>
    <t>How long, on average, it takes a past buyer to make another used purchase after being targeted, tracked as a trend over time.</t>
  </si>
  <si>
    <t>Finance + Order system</t>
  </si>
  <si>
    <t>The bottom-line business case, mirroring "Revenue from reactivated sellers" on the sell side.</t>
  </si>
  <si>
    <t>Sum of order value for email-attributed repeat purchases.</t>
  </si>
  <si>
    <t>Total $ revenue from purchases made by win-back-campaign-attributed customers.</t>
  </si>
  <si>
    <t>Order system</t>
  </si>
  <si>
    <t>The core outcome metric for this theme: did the campaign actually bring buyers back.</t>
  </si>
  <si>
    <t>Repeat used purchases (email-attributed) ÷ past used buyers targeted.</t>
  </si>
  <si>
    <t>Of past used buyers targeted by win-back campaigns, the share who complete another used purchase.</t>
  </si>
  <si>
    <t>GA4 + ESP</t>
  </si>
  <si>
    <t>Confirms the email is routing people to relevant used inventory, not just generic site traffic.</t>
  </si>
  <si>
    <t>Sessions with used PDP view ÷ sessions originating from win-back email click.</t>
  </si>
  <si>
    <t>Of customers who clicked into the site from a win-back email, the share who viewed a used PDP during that session.</t>
  </si>
  <si>
    <t>ESP</t>
  </si>
  <si>
    <t>Tests whether the specific inventory/offer surfaced in the email is relevant enough to act on.</t>
  </si>
  <si>
    <t>Unique clicks ÷ emails delivered (or ÷ opens for click-to-open).</t>
  </si>
  <si>
    <t>Share of sent win-back emails that resulted in a click.</t>
  </si>
  <si>
    <t>Same logic as trade-in reactivation, the entry checkpoint for the whole campaign.</t>
  </si>
  <si>
    <t>Unique opens ÷ emails delivered.</t>
  </si>
  <si>
    <t>Share of sent win-back emails that were opened.</t>
  </si>
  <si>
    <t>Captures whether the product matched expectations set on the PDP, the buy-side counterpart to sell-flow CSAT.</t>
  </si>
  <si>
    <t>Medallia CSAT average/top-box %, filtered to used post-purchase survey instance.</t>
  </si>
  <si>
    <t>Customer satisfaction score from a survey scoped specifically to the used buying experience after delivery.</t>
  </si>
  <si>
    <t>Isolates checkout-stage friction from PDP-stage persuasion, since the two have different fixes.</t>
  </si>
  <si>
    <t>Used purchases ÷ used add-to-cart events.</t>
  </si>
  <si>
    <t>Share of used add-to-cart events that result in a completed purchase.</t>
  </si>
  <si>
    <t>The core "does the PDP convince the shopper" metric, most sensitive to condition clarity and photography quality.</t>
  </si>
  <si>
    <t>Add-to-cart events on used PDPs ÷ used PDP sessions.</t>
  </si>
  <si>
    <t>Share of used PDP sessions that result in an add-to-cart.</t>
  </si>
  <si>
    <t>Post-purchase visibility affects trust and support load, mirroring the post-acceptance metric on the sell side.</t>
  </si>
  <si>
    <t>Unique order-status-page views ÷ used orders placed.</t>
  </si>
  <si>
    <t>Share of used-order customers who view their order status page after purchase.</t>
  </si>
  <si>
    <t>A proxy for how much evaluation effort shoppers are putting in, tied directly to the photography and condition-clarity investments underway.</t>
  </si>
  <si>
    <t>Sessions with photo-interaction or spec-expansion events ÷ used PDP sessions.</t>
  </si>
  <si>
    <t>Share of used PDP sessions where a customer interacts with photos (zoom/gallery) or expands spec/condition detail sections.</t>
  </si>
  <si>
    <t>Low usage can mean filters aren't helpful/discoverable; high usage with low downstream conversion can flag a filter/inventory mismatch.</t>
  </si>
  <si>
    <t>Sessions with a filter-applied event ÷ used PLP sessions.</t>
  </si>
  <si>
    <t>Share of used listing-page sessions where a customer applies at least one filter (price, brand, condition, etc.).</t>
  </si>
  <si>
    <t>Validates whether the New→Used cross-sell mechanism is actually converting, not just generating impressions.</t>
  </si>
  <si>
    <t>Used PDP views/purchases with a cross-sell CTA touchpoint in the preceding session(s).</t>
  </si>
  <si>
    <t>Used PDP views or purchases that followed a cross-sell CTA click on a New PDP.</t>
  </si>
  <si>
    <t>Shows whether used is growing its footprint relative to new, not just growing alongside site-wide traffic.</t>
  </si>
  <si>
    <t>Used-category sessions ÷ (used + new-category sessions), by category.</t>
  </si>
  <si>
    <t>Used PDP/category traffic as a percentage of all traffic (new + used) to the same product categories.</t>
  </si>
  <si>
    <t>A rough proxy for browsing depth/engagement once a shopper lands in the used ecosystem.</t>
  </si>
  <si>
    <t>Total used PDP views ÷ total sessions with at least one used PDP view.</t>
  </si>
  <si>
    <t>Average number of used product pages viewed within a single session.</t>
  </si>
  <si>
    <t>Awareness should be judged on growing the used buyer base, not just increasing traffic from existing used shoppers.</t>
  </si>
  <si>
    <t>Sessions with a used PDP view, matched against customer history for first-time-used flag.</t>
  </si>
  <si>
    <t>Sessions from customers who have never viewed or purchased a used product before.</t>
  </si>
  <si>
    <t>Catches price-sensitive shoppers already in a New PDP session, a distinct discovery channel from search/SEO.</t>
  </si>
  <si>
    <t>Count of CTA view events on New PDPs, deduped per session.</t>
  </si>
  <si>
    <t>Impressions of a "used alternative available" prompt shown on a new-gear product page.</t>
  </si>
  <si>
    <t>Internal linking is both an SEO signal and a direct discovery channel. This checks it's actually being used.</t>
  </si>
  <si>
    <t>Clicks on internal used-links ÷ impressions of those links.</t>
  </si>
  <si>
    <t>Click-through rate on links that point from new-gear pages (e.g. brand pages owned by Sammy) into used inventory.</t>
  </si>
  <si>
    <t>Google Search Console</t>
  </si>
  <si>
    <t>A leading indicator ahead of organic sessions, showing whether pages are being surfaced/ranked before traffic shows up.</t>
  </si>
  <si>
    <t>Pulled directly from Google Search Console, filtered to used-page URLs.</t>
  </si>
  <si>
    <t>How often used pages show up in Google search results, and what share of those impressions turn into a click.</t>
  </si>
  <si>
    <t>The core SEO health signal for the whole awareness theme, a direct read on whether the hybrid listing-page architecture is working.</t>
  </si>
  <si>
    <t>GA4 sessions filtered to organic-search channel + landing page = Used Hub/brand pages.</t>
  </si>
  <si>
    <t>Sessions landing on Used Hub or used brand listing pages via unpaid search.</t>
  </si>
  <si>
    <t>If this trend is shortening, it suggests the timing/targeting logic behind the campaign triggers is improving.</t>
  </si>
  <si>
    <t>Trade-in date − most recent prior purchase date, averaged/median across reactivated sellers, tracked quarter over quarter.</t>
  </si>
  <si>
    <t>How long, on average, it takes a past purchaser to trade in gear after their last purchase, tracked as a trend over time.</t>
  </si>
  <si>
    <t>Finance + Quote system</t>
  </si>
  <si>
    <t>The bottom-line business case for continuing to invest in reactivation campaigns.</t>
  </si>
  <si>
    <t>Sum of accepted-quote $ value for email-attributed reactivated sellers.</t>
  </si>
  <si>
    <t>Total $ value of inventory acquired from customers reactivated via this campaign.</t>
  </si>
  <si>
    <t>Quote system</t>
  </si>
  <si>
    <t>Checks whether reactivated sellers behave differently than new/organic sellers once in the flow.</t>
  </si>
  <si>
    <t>Completed quotes (email-attributed) ÷ quote starts (email-attributed).</t>
  </si>
  <si>
    <t>Of quotes started via reactivation email, the share that reach a completed/accepted quote.</t>
  </si>
  <si>
    <t>ESP + Quote system</t>
  </si>
  <si>
    <t>Bridges "they clicked" to "they actually engaged with the trade-in flow."</t>
  </si>
  <si>
    <t>Quote-start events with a reactivation-email click in the prior N days (window TBD).</t>
  </si>
  <si>
    <t>Quote flows started by a customer within a defined attribution window after clicking a reactivation email.</t>
  </si>
  <si>
    <t>Tests whether the email content/offer itself is compelling once someone opens it.</t>
  </si>
  <si>
    <t>Unique clicks ÷ emails delivered (or ÷ opens, for click-to-open rate).</t>
  </si>
  <si>
    <t>Share of sent reactivation emails that resulted in a click.</t>
  </si>
  <si>
    <t>The first checkpoint. If subject lines/targeting aren't landing, nothing downstream can work.</t>
  </si>
  <si>
    <t>Share of sent trade-in reactivation emails that were opened.</t>
  </si>
  <si>
    <t>Finance + WMS</t>
  </si>
  <si>
    <t>Payout speed is a top driver of seller trust and repeat behavior.</t>
  </si>
  <si>
    <t>Payout-issued timestamp − quote-accepted timestamp, median across accepted quotes.</t>
  </si>
  <si>
    <t>Time elapsed from a customer accepting a quote to the payout actually being issued.</t>
  </si>
  <si>
    <t>Support / CRM</t>
  </si>
  <si>
    <t>A proxy for hidden friction. High contact rates mean customers can't self-serve through confusion or problems in the flow.</t>
  </si>
  <si>
    <t>Support tickets tagged to a quote ID ÷ total quotes.</t>
  </si>
  <si>
    <t>How often a customer contacts support (chat, phone, email) in connection with a given quote.</t>
  </si>
  <si>
    <t>Site-wide CSAT would dilute sell-flow-specific pain; isolating it makes the score actionable for this theme.</t>
  </si>
  <si>
    <t>Medallia CSAT question average/top-box %, filtered to sell-flow survey instance.</t>
  </si>
  <si>
    <t>Customer satisfaction score from a survey specifically scoped to the sell/trade-in flow, kept separate from site-wide CSAT.</t>
  </si>
  <si>
    <t>Pinpoints exactly where in the flow friction is worst, so fixes can be targeted rather than guessed at.</t>
  </si>
  <si>
    <t>(Users entering step − users entering next step) ÷ users entering step, per step.</t>
  </si>
  <si>
    <t>The percentage of customers who exit at each individual step of the sell flow (e.g. item search, condition selection, shipping info).</t>
  </si>
  <si>
    <t>Distinguishes "the flow works but the price is wrong" (low acceptance) from "the flow itself is broken" (low completion, above).</t>
  </si>
  <si>
    <t>Accepted quotes ÷ quotes issued.</t>
  </si>
  <si>
    <t>Of quotes issued to customers, the share the customer actually accepted.</t>
  </si>
  <si>
    <t>ESP + GA4</t>
  </si>
  <si>
    <t>Checks whether status communications meant to reduce post-acceptance uncertainty are actually being read.</t>
  </si>
  <si>
    <t>Unique opens/views of post-acceptance status content ÷ accepted quotes.</t>
  </si>
  <si>
    <t>Of customers who accepted a quote, the share who opened a status update (email or status page) about shipping/payout progress.</t>
  </si>
  <si>
    <t>Slow quoting is a known drop-off driver; median avoids a few slow outliers skewing the picture.</t>
  </si>
  <si>
    <t>Median of (quote-received timestamp − flow-start timestamp) across completed quotes.</t>
  </si>
  <si>
    <t>How long it takes a customer to go from starting the flow to receiving a quote value, at the midpoint of the distribution.</t>
  </si>
  <si>
    <t>The single clearest signal of overall flow friction, the headline number for this theme.</t>
  </si>
  <si>
    <t>Completed quote submissions ÷ quote flows started.</t>
  </si>
  <si>
    <t>Of all quote flows a customer started (searched/selected at least one item), the share that reached a final submitted quote.</t>
  </si>
  <si>
    <t>GA4 + Quote system</t>
  </si>
  <si>
    <t>Tests whether pulling people out of the New funnel into trade-in actually works as an acquisition channel, distinct from Order History awareness.</t>
  </si>
  <si>
    <t>Quote-start events with a cross-sell CTA touchpoint in the preceding session(s).</t>
  </si>
  <si>
    <t>Quote starts that can be traced back to the cross-sell CTA shown on New PDP/brand pages.</t>
  </si>
  <si>
    <t>Cross-sell-attributed quote starts</t>
  </si>
  <si>
    <t>This is a different acquisition channel than Order History awareness. It reaches people who haven't bought from B&amp;H recently.</t>
  </si>
  <si>
    <t>Count of CTA view events on New PDP / brand pages, deduped per session.</t>
  </si>
  <si>
    <t>Impressions of a trade-in prompt shown while a customer is browsing new (not used) gear, e.g. "have an old one? trade it in."</t>
  </si>
  <si>
    <t>Cross-sell CTA impressions (New PDP / brand pages)</t>
  </si>
  <si>
    <t>GA4 + Finance</t>
  </si>
  <si>
    <t>Awareness surfaces often assist rather than directly convert. Last-touch attribution alone would undercount their value.</t>
  </si>
  <si>
    <t>Sum of accepted-quote $ value for quotes with a CTA touchpoint anywhere in the session/journey.</t>
  </si>
  <si>
    <t>Dollar value of inventory acquired through trade-ins where the CTA played a role in the customer's path, even if not the last touch before quoting.</t>
  </si>
  <si>
    <t>The real end-to-end conversion signal for the awareness surface, closer to business outcome than CTR alone.</t>
  </si>
  <si>
    <t>Quote starts among CTA-exposed users ÷ CTA-exposed users.</t>
  </si>
  <si>
    <t>Of customers exposed to the trade-in CTA, the share who went on to start a quote (not necessarily via the CTA itself, any path).</t>
  </si>
  <si>
    <t>Isolates net-new acquisition from repeat sellers, so the awareness theme is measured on bringing in new sellers, not just repeat activity.</t>
  </si>
  <si>
    <t>Count of first-ever quote-start events, matched against customer history in the Quote system.</t>
  </si>
  <si>
    <t>Quote submissions started by customers who have never started a trade-in quote before.</t>
  </si>
  <si>
    <t>Separates "the CTA doesn't work well" from "the CTA isn't reaching who it should," a targeting/eligibility-logic health check.</t>
  </si>
  <si>
    <t>Sessions with CTA impression ÷ sessions meeting eligibility criteria.</t>
  </si>
  <si>
    <t>Of all sessions where a customer has an eligible order/product (i.e. the CTA logic should have fired), the share that actually saw it.</t>
  </si>
  <si>
    <t>Tells you whether the CTA itself (copy, placement, design) is compelling, independent of how often it's shown.</t>
  </si>
  <si>
    <t>CTA clicks ÷ CTA impressions.</t>
  </si>
  <si>
    <t>Of the sessions where the CTA was shown, the share that clicked it.</t>
  </si>
  <si>
    <t>Impressions are the ceiling on everything downstream. If the CTA isn't being shown, nothing else in this theme can move.</t>
  </si>
  <si>
    <t>Count of CTA element view events, deduped per session.</t>
  </si>
  <si>
    <t>Improve Search &amp; Findability</t>
  </si>
  <si>
    <t>Components</t>
  </si>
  <si>
    <t>The number of times a trade-in call-to-action (button, banner, or module) was actually rendered and seen through out the site.</t>
  </si>
  <si>
    <t>Homepage Banner, PDP, PLP, My Account</t>
  </si>
  <si>
    <t>PLP</t>
  </si>
  <si>
    <t>Homepage Banner</t>
  </si>
  <si>
    <t>My Account</t>
  </si>
  <si>
    <t>Trade In Page</t>
  </si>
  <si>
    <t>Sell Used Landing Page</t>
  </si>
  <si>
    <t>Sell Used Detail Page</t>
  </si>
  <si>
    <t>Sell Used Review Page</t>
  </si>
  <si>
    <t>Used Category Landing Page</t>
  </si>
  <si>
    <t>Used Category Listing Page</t>
  </si>
  <si>
    <t>Used PDP</t>
  </si>
  <si>
    <t>Sell Used Search Box</t>
  </si>
  <si>
    <t>My Account Trade In Module</t>
  </si>
  <si>
    <t>Sell Used Search, My Account Trade In Module, Trade In Page</t>
  </si>
  <si>
    <t>New PDP Trade In Your Gear</t>
  </si>
  <si>
    <t>Site Search, Used Site Search, Sell Used Search</t>
  </si>
  <si>
    <t>Site Search, Used Site Search</t>
  </si>
  <si>
    <t>Site Search, Used Site Search, Used Product Card</t>
  </si>
  <si>
    <t>Sell Used Serach</t>
  </si>
  <si>
    <t>PDP Condition Rating Link, PDP Condition Rating Tray</t>
  </si>
  <si>
    <t>Sell Used Search Box, Sell Used Type Ahead, Sell Used Listing Page</t>
  </si>
  <si>
    <t>Email CTA, Used PDP</t>
  </si>
  <si>
    <t>Email CTA</t>
  </si>
  <si>
    <t>Sell Used Search Box, Sell Used Type Ahead, Sell Used Listing Page, Sell Used Detail Page, Sell Used Review Page</t>
  </si>
  <si>
    <t>Email Shipping Email, Trade in Quote Notification</t>
  </si>
  <si>
    <t>Used PDP, Used Category Landing Page, Used Category Listing Page, New PDP, New Category Landing Page, New Category Listing Page</t>
  </si>
  <si>
    <t>Used PDP, Used Check Out?, New Product Card Used From</t>
  </si>
  <si>
    <t>Used PLP, Used SRP, Used Filter</t>
  </si>
  <si>
    <t>Used Email, Used Email CTA</t>
  </si>
  <si>
    <t>Trade in email</t>
  </si>
  <si>
    <t>site_type</t>
  </si>
  <si>
    <t>page_type</t>
  </si>
  <si>
    <t>label_value</t>
  </si>
  <si>
    <t>label</t>
  </si>
  <si>
    <t>eventName</t>
  </si>
  <si>
    <t>category_page_clicks</t>
  </si>
  <si>
    <t>component_GA4</t>
  </si>
  <si>
    <t>Sell Used Listing Page</t>
  </si>
  <si>
    <t>select_promotion</t>
  </si>
  <si>
    <t>Product_Type</t>
  </si>
  <si>
    <t>New</t>
  </si>
  <si>
    <t>N/A</t>
  </si>
  <si>
    <t>New Item Category Landing Page</t>
  </si>
  <si>
    <t>New Item Category Listing Page</t>
  </si>
  <si>
    <t>New Item Category Listing Page Product Card</t>
  </si>
  <si>
    <t>New Site Search Box</t>
  </si>
  <si>
    <t>New Site Search Type Ahead</t>
  </si>
  <si>
    <t>Top Nav</t>
  </si>
  <si>
    <t>New Mega Menu</t>
  </si>
  <si>
    <t>New Item Category Listing Page Product Card Used From CTA</t>
  </si>
  <si>
    <t>New Item PDP Trade In Your Gear CTA</t>
  </si>
  <si>
    <t>Cart</t>
  </si>
  <si>
    <t>Check Out</t>
  </si>
  <si>
    <t xml:space="preserve">Used Hub </t>
  </si>
  <si>
    <t>Used Hub Switcher</t>
  </si>
  <si>
    <t>Used Hub Category Navigation</t>
  </si>
  <si>
    <t>Used Hub See Our Rating System</t>
  </si>
  <si>
    <t>Used Hub Sell Your Gear in 3 Easy Steps Video</t>
  </si>
  <si>
    <t>Used Hub Get Started Online CTA</t>
  </si>
  <si>
    <t>Link</t>
  </si>
  <si>
    <t>Video</t>
  </si>
  <si>
    <t>CTA</t>
  </si>
  <si>
    <t>Used Hub Visit Our Used Dept FAQ For Further Details</t>
  </si>
  <si>
    <t>Used Hub 90 Days Parts And Labor Warranty See Details</t>
  </si>
  <si>
    <t>Used Hub Free Shipping See Details</t>
  </si>
  <si>
    <t>Banner</t>
  </si>
  <si>
    <t>Product Card</t>
  </si>
  <si>
    <t>Search Field</t>
  </si>
  <si>
    <t>Landing Page</t>
  </si>
  <si>
    <t>Used Hub NYC SuperStore</t>
  </si>
  <si>
    <t>Carousel</t>
  </si>
  <si>
    <t>Used Hub Customer Reviews</t>
  </si>
  <si>
    <t>Used Hub FAQ Search</t>
  </si>
  <si>
    <t>Used Hub FAQ Title</t>
  </si>
  <si>
    <t>Used Hub FAQ Description</t>
  </si>
  <si>
    <t>Used Hub FAQ See All</t>
  </si>
  <si>
    <t>Used Hub Phone Number</t>
  </si>
  <si>
    <t>Used Hub Address</t>
  </si>
  <si>
    <t>Footer Trade In Your Gear</t>
  </si>
  <si>
    <t>Used Top Nav</t>
  </si>
  <si>
    <t>Used Mega Menu</t>
  </si>
  <si>
    <t>Used Mega Menu Category</t>
  </si>
  <si>
    <t>Used Mega Menu Sell Your Gear</t>
  </si>
  <si>
    <t>Used Site Search Box</t>
  </si>
  <si>
    <t>Used Site Search Type Ahead</t>
  </si>
  <si>
    <t>Used Category Listing Page Product Card</t>
  </si>
  <si>
    <t>Used Category Listing Page Product Card Used From CTA</t>
  </si>
  <si>
    <t>Surface trade-in as a clear, relevant option at high-intent moments, Order History, PDPs, post-purchase, so customers who own eligible gear know they can trade it in.</t>
  </si>
  <si>
    <t>Reduce friction in the sell/trade-in submission flow: search, quote, shipping/drop-off, to raise completion and quote-to-conversion rates.</t>
  </si>
  <si>
    <t>Make used PDPs and listing pages easier to evaluate, increase condition clarity, provide product photos, and filtering, so shoppers can confidently purchase used gear</t>
  </si>
  <si>
    <t>Win back past buyers with relevant used-inventory alerts and win-back offers matched to their purchase history</t>
  </si>
  <si>
    <t>Used Hub, Used Brand Listing Page</t>
  </si>
  <si>
    <t>Used Brand Listing Page</t>
  </si>
  <si>
    <t>Search Field Type Ahead</t>
  </si>
  <si>
    <t>Mega Menu Category</t>
  </si>
  <si>
    <t>BHP-7431</t>
  </si>
  <si>
    <t>Decouple Sell Used from Used Hub</t>
  </si>
  <si>
    <t>What are the ongoing high level efforts that create a positive impact on customer experience and revenue?</t>
  </si>
  <si>
    <t>Is the Component tagged? If so, is it tagged in a meaningful way?</t>
  </si>
  <si>
    <t>What elements are involved in this theme/request?</t>
  </si>
  <si>
    <t>Metrics</t>
  </si>
  <si>
    <t>Through which lens do we judge performance/success?</t>
  </si>
  <si>
    <t>Used PDP, Used PDP CTA</t>
  </si>
  <si>
    <t>Used PDP, Used PDP CTA, Used PLP, Used PLP CTA</t>
  </si>
  <si>
    <t>Medallia Survey</t>
  </si>
  <si>
    <t>My Orders</t>
  </si>
  <si>
    <t>New PDP, Used PDP</t>
  </si>
  <si>
    <t>Flag</t>
  </si>
  <si>
    <t>page_view</t>
  </si>
  <si>
    <t>—</t>
  </si>
  <si>
    <t>Desktop</t>
  </si>
  <si>
    <t>productList</t>
  </si>
  <si>
    <t>observed</t>
  </si>
  <si>
    <t>view_item_list</t>
  </si>
  <si>
    <t>absent</t>
  </si>
  <si>
    <t>by design</t>
  </si>
  <si>
    <t>view_promotion</t>
  </si>
  <si>
    <t>Refinements</t>
  </si>
  <si>
    <t>listing_page_clicks</t>
  </si>
  <si>
    <t>Filters</t>
  </si>
  <si>
    <t>F1</t>
  </si>
  <si>
    <t>Filter Labels</t>
  </si>
  <si>
    <t>Still Image Resolution</t>
  </si>
  <si>
    <t>Facet accordion expand/collapse — label carries the section name</t>
  </si>
  <si>
    <t>Listing See All Info</t>
  </si>
  <si>
    <t>left refinements</t>
  </si>
  <si>
    <t>"See all + 10" opens the full-facet modal — label carries placement, not which facet</t>
  </si>
  <si>
    <t>F3</t>
  </si>
  <si>
    <t>Listing See All Modal</t>
  </si>
  <si>
    <t>Clear All</t>
  </si>
  <si>
    <t>Clear All inside the modal — the only modal control that emits anything</t>
  </si>
  <si>
    <t>F2</t>
  </si>
  <si>
    <t>Sort By</t>
  </si>
  <si>
    <t>"" (empty)</t>
  </si>
  <si>
    <t>Opening the sort dropdown — fires with an empty label before any choice is made</t>
  </si>
  <si>
    <t>F4</t>
  </si>
  <si>
    <t>PRICE_LOW_TO_HIGH</t>
  </si>
  <si>
    <t>Sort selected — label is the enum, not the visible "Price: Low to High"</t>
  </si>
  <si>
    <t>View</t>
  </si>
  <si>
    <t>Grid View · List View</t>
  </si>
  <si>
    <t>Grid/list density toggle</t>
  </si>
  <si>
    <t>Paging</t>
  </si>
  <si>
    <t>page 2</t>
  </si>
  <si>
    <t>select_item</t>
  </si>
  <si>
    <t>Item List</t>
  </si>
  <si>
    <t>Other Buying Options</t>
  </si>
  <si>
    <t>1910936-REG</t>
  </si>
  <si>
    <t>Show More</t>
  </si>
  <si>
    <t>F5</t>
  </si>
  <si>
    <t>Add to Compare</t>
  </si>
  <si>
    <t>Compare checkbox on a tile — no label, no item identifier</t>
  </si>
  <si>
    <t>breadcrumbs</t>
  </si>
  <si>
    <t>Breadcrumb</t>
  </si>
  <si>
    <t>Used Category Listing Page Filter</t>
  </si>
  <si>
    <t>Left-rail facet checkboxfilter_value: Full Frame (35mm) · filter_section: Sensor Size · filter_n_value: fct_sensor-size_3087 · from: left refinements</t>
  </si>
  <si>
    <t>Left-rail Categories link (Mirrorless Cameras)filter_value: "undefined" · filter_section: Category · filter_n_value: Mirrorless Cameras · from: "undefined"</t>
  </si>
  <si>
    <t>Trigger &amp; Other Parameters</t>
  </si>
  <si>
    <t>component type</t>
  </si>
  <si>
    <t>Pagination control — label is the literal "page " prefix plus the number</t>
  </si>
  <si>
    <t>Listing Controls</t>
  </si>
  <si>
    <t>Product title click — GA4 ecommerce event, not a listing_page_clicksitems: [{ item_id }] · section_path: Category</t>
  </si>
  <si>
    <t>"Used for $39.95" link on a tile — the only component on this page that populates label_valuesection_path: Category · label = buying-option type · label_value = SKU</t>
  </si>
  <si>
    <t>Expanding a tile's Key Featuressection_path: Category — no item_id, so it cannot be tied to a product</t>
  </si>
  <si>
    <t>Element</t>
  </si>
  <si>
    <t>Promo &amp; Navigation</t>
  </si>
  <si>
    <t>Hero banner click — mirrors the view_promotion paramscreative_name: IO Image Banner · creative_slot: HERO · promotion_url: /a/trade-in/64435</t>
  </si>
  <si>
    <t>Breadcrumb link clickbreadcrumbs: Photography — destination in its own param rather than label</t>
  </si>
  <si>
    <t>Event Taxonomy</t>
  </si>
  <si>
    <t>detail_page_clicks</t>
  </si>
  <si>
    <t>header_clicks</t>
  </si>
  <si>
    <t>mega_menu_clicks</t>
  </si>
  <si>
    <t>typeahead_suggestion_clicks</t>
  </si>
  <si>
    <t>footer_clicks</t>
  </si>
  <si>
    <t>home_page_clicks</t>
  </si>
  <si>
    <t>nav_drawer_clicks</t>
  </si>
  <si>
    <t>cart_page_clicks</t>
  </si>
  <si>
    <t>checkout_page_clicks</t>
  </si>
  <si>
    <t>checkout_impression</t>
  </si>
  <si>
    <t>login_layer_clicks</t>
  </si>
  <si>
    <t>profile_menu_clicks</t>
  </si>
  <si>
    <t>my_account_clicks</t>
  </si>
  <si>
    <t>order_history_detail_clicks</t>
  </si>
  <si>
    <t>modify_order_page_clicks</t>
  </si>
  <si>
    <t>static_pages_clicks</t>
  </si>
  <si>
    <t>gift_ideas_clicks</t>
  </si>
  <si>
    <t>leasing_page_clicks</t>
  </si>
  <si>
    <t>payboo_page_clicks</t>
  </si>
  <si>
    <t>payboo_sdk_clicks</t>
  </si>
  <si>
    <t>Product Title</t>
  </si>
  <si>
    <t>Initial render and every filter/sort/paging change (pushState)content_group: productList · site_langauge: E · bi: NoValue · pwa_source: NoValue · bh_user_id · category_page_id: 9811</t>
  </si>
  <si>
    <t>Results grid rendered — 28 items in one senditems[]: item_id, item_code, item_list_name, index, sales_comment · position_index: 1</t>
  </si>
  <si>
    <t>Google Ads remarketing duplicate — separate send, not the GA4 propertysend_to: google_ads · ecomm_pagetype: productList · ecomm_prodid[] · tag: AW-1056059933</t>
  </si>
  <si>
    <t>Hero banner impression — the Nikon trade-in unitcreative_name: IO Image Banner · creative_slot: HERO · promotion_name: 3385025 - BHUX 35089 Nikon Z6III Listing Page · promotion_url: /a/trade-in/64435</t>
  </si>
  <si>
    <t>Sponsored carousel — one event per slotcreative_name: spotfront list item · creative_slot: TOP · promotion_position: 1, 2, 3 · promotion_id (uuid) · promotion_url</t>
  </si>
  <si>
    <t>Email slide-out and mega-menu banner impressionscreative_name: Email Slideout Signup / IO Banner · creative_slot: SLIDER / Top Nav · promotion_id: ESS</t>
  </si>
  <si>
    <t>Page Load</t>
  </si>
  <si>
    <t>Typeahead Suggestions</t>
  </si>
  <si>
    <t>Search</t>
  </si>
  <si>
    <t>Enter Search</t>
  </si>
  <si>
    <t>home</t>
  </si>
  <si>
    <t>Computers</t>
  </si>
  <si>
    <t>Navigation - Mega Menu</t>
  </si>
  <si>
    <t>Pro Audio menu</t>
  </si>
  <si>
    <t>Live sound</t>
  </si>
  <si>
    <t>category</t>
  </si>
  <si>
    <t>Why are we doing this?</t>
  </si>
  <si>
    <t>What's the bigger picture?</t>
  </si>
  <si>
    <t>How do we know if it worked?</t>
  </si>
  <si>
    <t>Where will the customer encounter this experience?</t>
  </si>
  <si>
    <t>Category Groups</t>
  </si>
  <si>
    <t>Cameras &amp; Lenses</t>
  </si>
  <si>
    <t>Digital Cameras</t>
  </si>
  <si>
    <t>model</t>
  </si>
  <si>
    <t>Accessories</t>
  </si>
  <si>
    <t>Lens Accessories</t>
  </si>
  <si>
    <t>Same component, second section — the convention holds across the page</t>
  </si>
  <si>
    <t>Applications</t>
  </si>
  <si>
    <t>Portrait Photography</t>
  </si>
  <si>
    <t>C3</t>
  </si>
  <si>
    <t>Category tile — label is the section, label_value the destinationcategory_page_id: 989</t>
  </si>
  <si>
    <t>The "What would you like to shoot?" rail — reports under its internal key, Applicationsthe only section whose label doesn't match its visible heading</t>
  </si>
  <si>
    <t>Explora banner</t>
  </si>
  <si>
    <t>Venus Optics Delivers Two New Ultra-Macro Laowa Lenses</t>
  </si>
  <si>
    <t>Editorial rail — label carries the full article title, so content performance is readable</t>
  </si>
  <si>
    <t>Category Banner</t>
  </si>
  <si>
    <t>The Hasselblad "Learn More" unit — no label, so which brand banner was clicked is unknowable</t>
  </si>
  <si>
    <t>C2</t>
  </si>
  <si>
    <t>chatBanner</t>
  </si>
  <si>
    <t>"Video Chat with a Photography Expert" strip — opens the chat widget, sends nothing about which expert path</t>
  </si>
  <si>
    <t>SEO Text</t>
  </si>
  <si>
    <t>Expanding the bottom copy block — same component and label as on the listing page</t>
  </si>
  <si>
    <t>Content &amp; Banners</t>
  </si>
  <si>
    <t>Navigation into the Catalog</t>
  </si>
  <si>
    <t>Promo &amp; Exits</t>
  </si>
  <si>
    <t>Trade in Your Gear</t>
  </si>
  <si>
    <t>Footer trade-in link — a different event family from the banner above it, same destination</t>
  </si>
  <si>
    <t>C5</t>
  </si>
  <si>
    <t>Trade-in banner clicked — mirrors its impression event exactly, same promotion_idcreative_slot: TOP · promotion_url: /a/trade-in/64435</t>
  </si>
  <si>
    <t>Spotfront product rail item clicked — impression and click share promotion_id and promotion_position, so slot-level CTR is directly computable</t>
  </si>
  <si>
    <t>view_item</t>
  </si>
  <si>
    <t>productDetail</t>
  </si>
  <si>
    <t>U1 U5</t>
  </si>
  <si>
    <t>U1</t>
  </si>
  <si>
    <t>Product rendered — the richest payload on the page, and still condition-blindcurrency: USD · value: 2136.95 · items: [{ item_id: 803528607-USE, item_code: 3528607, price: 2136.95, stock_status: IN_STOCK, shipping_message: FREE_ONE_DAY_DELIVERY, store_pickup_message: AVAILABLE_IN_PICKUP_TIME }]</t>
  </si>
  <si>
    <t>Google Ads remarketing — this one knows it's usedecomm_pcat: ["BH Photo", "Used Department", "Photography", "Point &amp; Shoot Cameras", "Sony RX10 V"] · ecomm_prodid: 803528607-USE · ecomm_totalvalue: 2136.95</t>
  </si>
  <si>
    <t>Page load — content_group also productDetail, so neither dimension separates used from newsite_langauge: E · bi: NoValue · pwa_source: NoValue · bh_user_id: id_NoValue</t>
  </si>
  <si>
    <t>Overview banner (an Explora article on this camera) and the email slide-outcreative_slot: Overview Banner / SLIDER · promotion_name · detail_page_sku</t>
  </si>
  <si>
    <t>Used Item Condition</t>
  </si>
  <si>
    <t>U2</t>
  </si>
  <si>
    <t>U4</t>
  </si>
  <si>
    <t>Trade In - Learn More</t>
  </si>
  <si>
    <t>U6</t>
  </si>
  <si>
    <t>"Condition: 9 Minor surface marks" → opens the B&amp;H Used Equipment Rating System drawerdetail_page_sku only — the grade the shopper just clicked on is not sent</t>
  </si>
  <si>
    <t>"New for $2,298.00" — the used → new switchno label_value, though the same component on the listing page sends the SKU there</t>
  </si>
  <si>
    <t>"Trade in your gear for cash — Get Started" — present and tagged on used PDPs exactly as on new onesdetail_page_sku</t>
  </si>
  <si>
    <t>Breadcrumb click — the one place "Used Department" reaches GA4 as a valuebreadcrumbs: "Used Department" · only fires if someone actually clicks it</t>
  </si>
  <si>
    <t>Used Specific Interaction</t>
  </si>
  <si>
    <t>searchDropdown</t>
  </si>
  <si>
    <t>The header search scope selector, which is pre-set to "Used" on this page — but the event doesn't say which scope was chosen</t>
  </si>
  <si>
    <t>Compare checkbox — carries the SKU here, unlike its listing-page counterpart, which carries nothing</t>
  </si>
  <si>
    <t>Tab Navigation</t>
  </si>
  <si>
    <t>Specs · Reviews · Q&amp;A</t>
  </si>
  <si>
    <t>new PDP</t>
  </si>
  <si>
    <t>U7</t>
  </si>
  <si>
    <t>Content tabs — not exercised on this page; carried over from the new-PDP audit, where label carried the tab namedetail_page_sku</t>
  </si>
  <si>
    <t>No event: Share · Print · the "Used Savings $161.05" figure · the "Warranty: B&amp;H 90 Days" line · the 90-Second Intro video badge</t>
  </si>
  <si>
    <t>Generic PDP Furniture</t>
  </si>
  <si>
    <t>Who wants this?</t>
  </si>
  <si>
    <t>Portfolios</t>
  </si>
  <si>
    <t>Who are the primary stakeholders?</t>
  </si>
  <si>
    <t>Reduce impediments and increase transparency/trust across internal teams by answering the following questions:</t>
  </si>
  <si>
    <t>What is the sequence of deliverables and why?</t>
  </si>
  <si>
    <t>Roadmap</t>
  </si>
  <si>
    <t>2026–2027 Product Roadmap — Swim Lanes by Theme</t>
  </si>
  <si>
    <t>Legend:</t>
  </si>
  <si>
    <t>UX months come from resourced weeks on the Weekly tab · dev sprints from the Initiative Tracker</t>
  </si>
  <si>
    <t>U</t>
  </si>
  <si>
    <t>UX week(s) that month</t>
  </si>
  <si>
    <t>D</t>
  </si>
  <si>
    <t>Dev sprint (Tracker)</t>
  </si>
  <si>
    <t>B</t>
  </si>
  <si>
    <t>Both, same month</t>
  </si>
  <si>
    <t>Amber column = current month</t>
  </si>
  <si>
    <t>Theme (swim lane)</t>
  </si>
  <si>
    <t>Deliverable</t>
  </si>
  <si>
    <t>UX From</t>
  </si>
  <si>
    <t>UX To</t>
  </si>
  <si>
    <t>UX Wks</t>
  </si>
  <si>
    <t>Dev From</t>
  </si>
  <si>
    <t>Dev To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</si>
  <si>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</si>
  <si>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</si>
  <si>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</si>
  <si>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</si>
  <si>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</si>
  <si>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</si>
  <si>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</si>
  <si>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</si>
  <si>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</si>
  <si>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Dec</t>
  </si>
  <si>
    <t>_theme</t>
  </si>
  <si>
    <t>_row</t>
  </si>
  <si>
    <t>How this tab works</t>
  </si>
  <si>
    <t>• Every row is generated from the Weekly tab. Add, edit or delete a row there — Theme #1, Title, Jira, Status, and the weekly resourcing cells — and this roadmap redraws itself. Nothing here is typed by hand.</t>
  </si>
  <si>
    <t>• Swim lanes = Theme #1 on the Weekly tab, ordered by the Theme list on the Control tab. Rows sort by Theme, then by Status. A deliverable with no Theme #1 falls into a “(No theme assigned)” lane.</t>
  </si>
  <si>
    <t>• A blue “U” means that month contains at least one week resourced to a designer on the Weekly tab. Gaps are real: a month with no name in any of its week columns is left blank, so a stop-start effort reads as stop-start rather than one long bar.</t>
  </si>
  <si>
    <t>• “UX From” and “UX To” are the first and last resourced week — the outer envelope — and “UX Wks” counts the weeks actually resourced inside it. Envelope much wider than the week count means the work is scheduled in separate blocks.</t>
  </si>
  <si>
    <t>• A green “D” is the dev sprint window from Start Sprint / End Sprint on the Initiative Tracker, which is month-level rather than weekly. Purple “B” = both in the same month.</t>
  </si>
  <si>
    <t>• Weekly and the Initiative Tracker are matched on Deliverable title first, then Jira number. Tracker rows matching nothing in Weekly still appear, in a “(Tracker only — no Weekly row)” lane at the bottom, so no initiative is silently dropped. Align the title in Weekly and the row merges into its proper theme lane.</t>
  </si>
  <si>
    <t>• The amber column is the current month. Rows 7–80 are pre-wired, so up to 74 deliverables fit without touching a formula. A Start/End Sprint with no year is read as the current year.</t>
  </si>
  <si>
    <t>• Hidden tab “Roadmap Calc (Don’t Touch)” does the lookup, the per-month week test and the sorting. Unhide it to audit; don’t edit it.</t>
  </si>
  <si>
    <t>Weekly Row</t>
  </si>
  <si>
    <t>Tracker Row</t>
  </si>
  <si>
    <t>Theme Rank</t>
  </si>
  <si>
    <t>Status Rank</t>
  </si>
  <si>
    <t>Sort Key</t>
  </si>
  <si>
    <t>Rank</t>
  </si>
  <si>
    <t>Dev From Raw</t>
  </si>
  <si>
    <t>Dev To Raw</t>
  </si>
  <si>
    <t>UX Weeks</t>
  </si>
  <si>
    <t>Month key</t>
  </si>
  <si>
    <t>AUTO-GENERATED HELPER — do not edit. Rows 2-151 read the Weekly tab; rows 155-205 pick up Initiative Tracker rows with no matching Weekly row. Columns W-AT flag, per month, whether that month contains at least one resourced UX week.</t>
  </si>
  <si>
    <t>Sprint</t>
  </si>
  <si>
    <t>Oct 2027</t>
  </si>
  <si>
    <t>Jan 2026</t>
  </si>
  <si>
    <t>Feb 2026</t>
  </si>
  <si>
    <t>May 2026</t>
  </si>
  <si>
    <t>Apr 2026</t>
  </si>
  <si>
    <t>Feb 2027</t>
  </si>
  <si>
    <t>Apr 2027</t>
  </si>
  <si>
    <t>May 2027</t>
  </si>
  <si>
    <t>Jun 2027</t>
  </si>
  <si>
    <t>Jul 2027</t>
  </si>
  <si>
    <t>Aug 2027</t>
  </si>
  <si>
    <t>Sep 2027</t>
  </si>
  <si>
    <t>Nov 2027</t>
  </si>
  <si>
    <t>Dec 2027</t>
  </si>
  <si>
    <t>Nov 2026</t>
  </si>
  <si>
    <t>Dec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</si>
</sst>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d\ mmm\ yyyy"/>
    <numFmt numFmtId="166" formatCode="mmm\ yyyy"/>
    <numFmt numFmtId="167" formatCode="d\ mmm\ yy"/>
    <numFmt numFmtId="168" formatCode="mmm\ yy"/>
    <numFmt numFmtId="170" formatCode="[$-409]mmm\-yy;@"/>
  </numFmts>
  <fonts count="36" x14ac:knownFonts="1">
    <font>
      <sz val="12"/>
      <color theme="1"/>
      <name val="Aptos Narrow"/>
      <family val="2"/>
      <scheme val="minor"/>
    </font>
    <font>
      <sz val="2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Aptos Narrow"/>
      <scheme val="minor"/>
    </font>
    <font>
      <sz val="14"/>
      <color rgb="FF000000"/>
      <name val="Calibri"/>
      <family val="2"/>
    </font>
    <font>
      <b/>
      <sz val="14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color theme="1"/>
      <name val="Aptos Narrow"/>
      <family val="2"/>
      <scheme val="minor"/>
    </font>
    <font>
      <strike/>
      <sz val="16"/>
      <color theme="1"/>
      <name val="Aptos Narrow"/>
      <scheme val="minor"/>
    </font>
    <font>
      <sz val="12"/>
      <color theme="9" tint="-0.249977111117893"/>
      <name val="Aptos Narrow"/>
      <family val="2"/>
      <scheme val="minor"/>
    </font>
    <font>
      <b/>
      <i/>
      <u/>
      <sz val="12"/>
      <color theme="10"/>
      <name val="Aptos Narrow"/>
      <scheme val="minor"/>
    </font>
    <font>
      <sz val="8"/>
      <name val="Aptos Narrow"/>
      <family val="2"/>
      <scheme val="minor"/>
    </font>
    <font>
      <sz val="16"/>
      <color rgb="FF000000"/>
      <name val="Aptos Narrow"/>
      <scheme val="minor"/>
    </font>
    <font>
      <sz val="16"/>
      <name val="Aptos Narrow"/>
      <scheme val="minor"/>
    </font>
    <font>
      <b/>
      <sz val="9"/>
      <color rgb="FFFFFFFF"/>
      <name val="Arial"/>
      <family val="2"/>
    </font>
    <font>
      <b/>
      <sz val="9"/>
      <color rgb="FFB03A2E"/>
      <name val="Arial"/>
      <family val="2"/>
    </font>
    <font>
      <b/>
      <sz val="8"/>
      <color rgb="FF6B7785"/>
      <name val="Arial"/>
      <family val="2"/>
    </font>
    <font>
      <sz val="8"/>
      <color rgb="FF6B7785"/>
      <name val="Arial"/>
      <family val="2"/>
    </font>
    <font>
      <b/>
      <sz val="8"/>
      <color rgb="FFFFFFFF"/>
      <name val="Arial"/>
      <family val="2"/>
    </font>
    <font>
      <sz val="9"/>
      <color rgb="FF1F2933"/>
      <name val="Arial"/>
      <family val="2"/>
    </font>
    <font>
      <b/>
      <sz val="14"/>
      <color rgb="FF1F3B57"/>
      <name val="Arial"/>
      <family val="2"/>
    </font>
    <font>
      <sz val="14"/>
      <color theme="1"/>
      <name val="Aptos Narrow"/>
      <family val="2"/>
      <scheme val="minor"/>
    </font>
    <font>
      <b/>
      <sz val="14"/>
      <color rgb="FF6B7785"/>
      <name val="Arial"/>
      <family val="2"/>
    </font>
    <font>
      <sz val="14"/>
      <color rgb="FF6B7785"/>
      <name val="Arial"/>
      <family val="2"/>
    </font>
    <font>
      <b/>
      <sz val="14"/>
      <color rgb="FFFFFFFF"/>
      <name val="Arial"/>
      <family val="2"/>
    </font>
    <font>
      <sz val="14"/>
      <color rgb="FF1F3B57"/>
      <name val="Arial"/>
      <family val="2"/>
    </font>
    <font>
      <sz val="14"/>
      <color rgb="FF1F2933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82BA5D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82BA5D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4" tint="0.39997558519241921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0F9ED5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22536"/>
        <bgColor indexed="64"/>
      </patternFill>
    </fill>
    <fill>
      <patternFill patternType="none"/>
    </fill>
    <fill>
      <patternFill patternType="solid">
        <fgColor rgb="FF1F3B57"/>
      </patternFill>
    </fill>
    <fill>
      <patternFill patternType="solid">
        <fgColor rgb="FF2F6FB5"/>
      </patternFill>
    </fill>
    <fill>
      <patternFill patternType="solid">
        <fgColor rgb="FF2E8B57"/>
      </patternFill>
    </fill>
    <fill>
      <patternFill patternType="solid">
        <fgColor rgb="FF6A4C93"/>
      </patternFill>
    </fill>
    <fill>
      <patternFill patternType="solid">
        <fgColor rgb="FF2F5675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rgb="FFFFFF00"/>
      </top>
      <bottom style="thin">
        <color indexed="64"/>
      </bottom>
      <diagonal/>
    </border>
    <border>
      <left/>
      <right style="double">
        <color rgb="FFFFFF00"/>
      </right>
      <top style="double">
        <color rgb="FFFFFF00"/>
      </top>
      <bottom style="double">
        <color rgb="FFFFFF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medium">
        <color rgb="FF0F2233"/>
      </bottom>
      <diagonal/>
    </border>
    <border>
      <left style="thin">
        <color rgb="FF3D5A75"/>
      </left>
      <right/>
      <top/>
      <bottom style="medium">
        <color rgb="FF0F2233"/>
      </bottom>
      <diagonal/>
    </border>
    <border>
      <left/>
      <right style="thin">
        <color rgb="FFEDF0F2"/>
      </right>
      <top/>
      <bottom/>
      <diagonal/>
    </border>
    <border>
      <left style="thin">
        <color rgb="FFEDF0F2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rgb="FF0F2233"/>
      </bottom>
      <diagonal/>
    </border>
    <border>
      <left style="thin">
        <color rgb="FF3D5A75"/>
      </left>
      <right style="thin">
        <color indexed="64"/>
      </right>
      <top/>
      <bottom style="medium">
        <color rgb="FF0F2233"/>
      </bottom>
      <diagonal/>
    </border>
    <border>
      <left style="thin">
        <color rgb="FFEDF0F2"/>
      </left>
      <right style="thin">
        <color indexed="64"/>
      </right>
      <top/>
      <bottom/>
      <diagonal/>
    </border>
    <border>
      <left style="thin">
        <color rgb="FFEDF0F2"/>
      </left>
      <right/>
      <top/>
      <bottom style="thin">
        <color indexed="64"/>
      </bottom>
      <diagonal/>
    </border>
    <border>
      <left style="thin">
        <color rgb="FFEDF0F2"/>
      </left>
      <right style="thin">
        <color indexed="64"/>
      </right>
      <top/>
      <bottom style="thin">
        <color indexed="64"/>
      </bottom>
      <diagonal/>
    </border>
    <border>
      <left style="thin">
        <color rgb="FF3D5A75"/>
      </left>
      <right/>
      <top/>
      <bottom/>
      <diagonal/>
    </border>
    <border>
      <left style="thin">
        <color rgb="FFEDF0F2"/>
      </left>
      <right/>
      <top style="thin">
        <color indexed="64"/>
      </top>
      <bottom/>
      <diagonal/>
    </border>
    <border>
      <left style="thin">
        <color rgb="FFEDF0F2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29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10" borderId="0" xfId="0" applyFont="1" applyFill="1"/>
    <xf numFmtId="0" fontId="2" fillId="2" borderId="1" xfId="0" applyFont="1" applyFill="1" applyBorder="1"/>
    <xf numFmtId="0" fontId="2" fillId="2" borderId="2" xfId="0" applyFont="1" applyFill="1" applyBorder="1"/>
    <xf numFmtId="0" fontId="3" fillId="0" borderId="3" xfId="0" applyFont="1" applyBorder="1"/>
    <xf numFmtId="0" fontId="2" fillId="0" borderId="3" xfId="0" applyFont="1" applyBorder="1" applyAlignment="1">
      <alignment horizontal="left" indent="1"/>
    </xf>
    <xf numFmtId="0" fontId="2" fillId="2" borderId="3" xfId="0" applyFont="1" applyFill="1" applyBorder="1"/>
    <xf numFmtId="0" fontId="3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 indent="2"/>
    </xf>
    <xf numFmtId="0" fontId="2" fillId="0" borderId="5" xfId="0" applyFont="1" applyBorder="1" applyAlignment="1">
      <alignment horizontal="left" indent="1"/>
    </xf>
    <xf numFmtId="0" fontId="0" fillId="13" borderId="6" xfId="0" applyFill="1" applyBorder="1"/>
    <xf numFmtId="0" fontId="2" fillId="8" borderId="6" xfId="0" applyFont="1" applyFill="1" applyBorder="1"/>
    <xf numFmtId="0" fontId="3" fillId="0" borderId="3" xfId="0" applyFont="1" applyBorder="1" applyAlignment="1">
      <alignment horizontal="left" indent="1"/>
    </xf>
    <xf numFmtId="0" fontId="2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 indent="1"/>
    </xf>
    <xf numFmtId="0" fontId="6" fillId="0" borderId="0" xfId="0" applyFont="1"/>
    <xf numFmtId="0" fontId="2" fillId="2" borderId="3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0" fontId="2" fillId="0" borderId="3" xfId="0" applyFont="1" applyBorder="1" applyAlignment="1">
      <alignment horizontal="left" wrapText="1" indent="1"/>
    </xf>
    <xf numFmtId="0" fontId="2" fillId="0" borderId="3" xfId="0" applyFont="1" applyBorder="1" applyAlignment="1">
      <alignment horizontal="left" wrapText="1"/>
    </xf>
    <xf numFmtId="0" fontId="3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 indent="2"/>
    </xf>
    <xf numFmtId="0" fontId="3" fillId="0" borderId="3" xfId="0" applyFont="1" applyBorder="1" applyAlignment="1">
      <alignment horizontal="left" wrapText="1" indent="1"/>
    </xf>
    <xf numFmtId="0" fontId="2" fillId="0" borderId="5" xfId="0" applyFont="1" applyBorder="1" applyAlignment="1">
      <alignment horizontal="left" wrapText="1" indent="1"/>
    </xf>
    <xf numFmtId="0" fontId="11" fillId="20" borderId="9" xfId="0" applyFont="1" applyFill="1" applyBorder="1" applyAlignment="1">
      <alignment wrapText="1"/>
    </xf>
    <xf numFmtId="0" fontId="0" fillId="22" borderId="0" xfId="0" applyFill="1"/>
    <xf numFmtId="0" fontId="0" fillId="23" borderId="12" xfId="0" applyFill="1" applyBorder="1"/>
    <xf numFmtId="0" fontId="0" fillId="23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22" borderId="12" xfId="0" applyFill="1" applyBorder="1" applyAlignment="1">
      <alignment horizontal="center"/>
    </xf>
    <xf numFmtId="0" fontId="0" fillId="25" borderId="12" xfId="0" applyFill="1" applyBorder="1" applyAlignment="1">
      <alignment horizontal="center"/>
    </xf>
    <xf numFmtId="0" fontId="0" fillId="0" borderId="12" xfId="0" applyBorder="1"/>
    <xf numFmtId="0" fontId="0" fillId="25" borderId="12" xfId="0" applyFill="1" applyBorder="1"/>
    <xf numFmtId="0" fontId="12" fillId="0" borderId="12" xfId="1" applyBorder="1"/>
    <xf numFmtId="0" fontId="10" fillId="0" borderId="0" xfId="0" applyFont="1"/>
    <xf numFmtId="0" fontId="2" fillId="18" borderId="0" xfId="0" applyFont="1" applyFill="1"/>
    <xf numFmtId="0" fontId="10" fillId="19" borderId="0" xfId="0" applyFont="1" applyFill="1"/>
    <xf numFmtId="0" fontId="2" fillId="6" borderId="6" xfId="0" applyFont="1" applyFill="1" applyBorder="1"/>
    <xf numFmtId="0" fontId="2" fillId="4" borderId="6" xfId="0" applyFont="1" applyFill="1" applyBorder="1"/>
    <xf numFmtId="0" fontId="2" fillId="18" borderId="6" xfId="0" applyFont="1" applyFill="1" applyBorder="1"/>
    <xf numFmtId="0" fontId="10" fillId="0" borderId="6" xfId="0" applyFont="1" applyBorder="1"/>
    <xf numFmtId="0" fontId="15" fillId="0" borderId="12" xfId="0" applyFont="1" applyBorder="1"/>
    <xf numFmtId="0" fontId="14" fillId="0" borderId="12" xfId="0" applyFont="1" applyBorder="1"/>
    <xf numFmtId="0" fontId="16" fillId="0" borderId="12" xfId="0" applyFont="1" applyBorder="1"/>
    <xf numFmtId="0" fontId="2" fillId="9" borderId="0" xfId="0" applyFont="1" applyFill="1"/>
    <xf numFmtId="0" fontId="2" fillId="8" borderId="0" xfId="0" applyFont="1" applyFill="1"/>
    <xf numFmtId="0" fontId="2" fillId="7" borderId="0" xfId="0" applyFont="1" applyFill="1"/>
    <xf numFmtId="0" fontId="2" fillId="11" borderId="0" xfId="0" applyFont="1" applyFill="1"/>
    <xf numFmtId="0" fontId="0" fillId="12" borderId="0" xfId="0" applyFill="1"/>
    <xf numFmtId="0" fontId="2" fillId="3" borderId="6" xfId="0" applyFont="1" applyFill="1" applyBorder="1"/>
    <xf numFmtId="0" fontId="3" fillId="2" borderId="2" xfId="0" applyFont="1" applyFill="1" applyBorder="1" applyAlignment="1">
      <alignment vertical="center"/>
    </xf>
    <xf numFmtId="0" fontId="0" fillId="22" borderId="12" xfId="0" applyFill="1" applyBorder="1"/>
    <xf numFmtId="0" fontId="17" fillId="0" borderId="12" xfId="0" applyFont="1" applyBorder="1"/>
    <xf numFmtId="0" fontId="0" fillId="26" borderId="12" xfId="0" applyFill="1" applyBorder="1" applyAlignment="1">
      <alignment horizontal="center"/>
    </xf>
    <xf numFmtId="0" fontId="0" fillId="27" borderId="12" xfId="0" applyFill="1" applyBorder="1" applyAlignment="1">
      <alignment horizontal="center" vertical="center"/>
    </xf>
    <xf numFmtId="0" fontId="0" fillId="24" borderId="12" xfId="0" applyFill="1" applyBorder="1" applyAlignment="1">
      <alignment horizontal="center"/>
    </xf>
    <xf numFmtId="0" fontId="0" fillId="25" borderId="12" xfId="0" applyFill="1" applyBorder="1" applyAlignment="1">
      <alignment horizontal="center" vertical="center"/>
    </xf>
    <xf numFmtId="0" fontId="0" fillId="24" borderId="12" xfId="0" applyFill="1" applyBorder="1" applyAlignment="1">
      <alignment horizontal="center" vertical="center"/>
    </xf>
    <xf numFmtId="0" fontId="12" fillId="22" borderId="12" xfId="1" applyFill="1" applyBorder="1" applyAlignment="1">
      <alignment wrapText="1"/>
    </xf>
    <xf numFmtId="0" fontId="14" fillId="0" borderId="12" xfId="0" applyFont="1" applyBorder="1" applyAlignment="1">
      <alignment wrapText="1"/>
    </xf>
    <xf numFmtId="0" fontId="13" fillId="23" borderId="12" xfId="0" applyFon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0" fontId="0" fillId="27" borderId="12" xfId="0" applyFill="1" applyBorder="1" applyAlignment="1">
      <alignment horizontal="center"/>
    </xf>
    <xf numFmtId="0" fontId="0" fillId="0" borderId="21" xfId="0" applyBorder="1"/>
    <xf numFmtId="0" fontId="0" fillId="0" borderId="8" xfId="0" applyBorder="1"/>
    <xf numFmtId="0" fontId="14" fillId="0" borderId="19" xfId="0" applyFont="1" applyBorder="1"/>
    <xf numFmtId="0" fontId="0" fillId="0" borderId="22" xfId="0" applyBorder="1"/>
    <xf numFmtId="0" fontId="0" fillId="0" borderId="23" xfId="0" applyBorder="1"/>
    <xf numFmtId="0" fontId="12" fillId="0" borderId="0" xfId="1" applyBorder="1"/>
    <xf numFmtId="0" fontId="0" fillId="22" borderId="21" xfId="0" applyFill="1" applyBorder="1"/>
    <xf numFmtId="0" fontId="0" fillId="23" borderId="0" xfId="0" applyFill="1" applyAlignment="1">
      <alignment horizontal="center" vertical="center"/>
    </xf>
    <xf numFmtId="0" fontId="0" fillId="0" borderId="24" xfId="0" applyBorder="1"/>
    <xf numFmtId="0" fontId="6" fillId="0" borderId="12" xfId="0" applyFont="1" applyBorder="1"/>
    <xf numFmtId="0" fontId="6" fillId="0" borderId="19" xfId="0" applyFont="1" applyBorder="1"/>
    <xf numFmtId="0" fontId="0" fillId="29" borderId="12" xfId="0" applyFill="1" applyBorder="1" applyAlignment="1">
      <alignment horizontal="center"/>
    </xf>
    <xf numFmtId="0" fontId="6" fillId="0" borderId="21" xfId="0" applyFont="1" applyBorder="1"/>
    <xf numFmtId="0" fontId="0" fillId="23" borderId="0" xfId="0" applyFill="1"/>
    <xf numFmtId="0" fontId="0" fillId="25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5" borderId="0" xfId="0" applyFill="1" applyAlignment="1">
      <alignment horizontal="center" vertical="center"/>
    </xf>
    <xf numFmtId="0" fontId="0" fillId="23" borderId="0" xfId="0" applyFill="1" applyAlignment="1">
      <alignment horizontal="center"/>
    </xf>
    <xf numFmtId="0" fontId="13" fillId="23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6" fillId="0" borderId="12" xfId="0" applyFont="1" applyBorder="1" applyAlignment="1">
      <alignment vertical="center" wrapText="1"/>
    </xf>
    <xf numFmtId="0" fontId="16" fillId="0" borderId="12" xfId="0" applyFont="1" applyBorder="1" applyAlignment="1">
      <alignment wrapText="1"/>
    </xf>
    <xf numFmtId="0" fontId="12" fillId="22" borderId="12" xfId="1" applyFill="1" applyBorder="1"/>
    <xf numFmtId="0" fontId="12" fillId="0" borderId="12" xfId="1" applyBorder="1" applyAlignment="1">
      <alignment vertical="top"/>
    </xf>
    <xf numFmtId="0" fontId="12" fillId="0" borderId="12" xfId="1" applyFill="1" applyBorder="1"/>
    <xf numFmtId="0" fontId="12" fillId="0" borderId="12" xfId="1" quotePrefix="1" applyBorder="1"/>
    <xf numFmtId="0" fontId="18" fillId="28" borderId="12" xfId="0" applyFont="1" applyFill="1" applyBorder="1"/>
    <xf numFmtId="0" fontId="19" fillId="0" borderId="12" xfId="1" applyFont="1" applyBorder="1"/>
    <xf numFmtId="0" fontId="4" fillId="0" borderId="0" xfId="0" applyFont="1"/>
    <xf numFmtId="0" fontId="0" fillId="0" borderId="0" xfId="0" applyAlignment="1">
      <alignment horizontal="left" indent="1"/>
    </xf>
    <xf numFmtId="0" fontId="7" fillId="0" borderId="3" xfId="0" applyFont="1" applyBorder="1" applyAlignment="1">
      <alignment horizontal="center" vertical="center"/>
    </xf>
    <xf numFmtId="0" fontId="0" fillId="0" borderId="4" xfId="0" applyBorder="1"/>
    <xf numFmtId="0" fontId="2" fillId="0" borderId="4" xfId="0" applyFont="1" applyBorder="1"/>
    <xf numFmtId="0" fontId="4" fillId="0" borderId="4" xfId="0" applyFont="1" applyBorder="1"/>
    <xf numFmtId="0" fontId="7" fillId="0" borderId="5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2" fillId="0" borderId="3" xfId="0" applyFont="1" applyBorder="1"/>
    <xf numFmtId="0" fontId="4" fillId="0" borderId="3" xfId="0" applyFont="1" applyBorder="1"/>
    <xf numFmtId="0" fontId="0" fillId="0" borderId="5" xfId="0" applyBorder="1"/>
    <xf numFmtId="0" fontId="3" fillId="2" borderId="9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14" fillId="0" borderId="0" xfId="0" applyFont="1"/>
    <xf numFmtId="0" fontId="21" fillId="0" borderId="12" xfId="0" applyFont="1" applyBorder="1"/>
    <xf numFmtId="0" fontId="21" fillId="0" borderId="12" xfId="0" applyFont="1" applyBorder="1" applyAlignment="1">
      <alignment vertical="center" wrapText="1"/>
    </xf>
    <xf numFmtId="0" fontId="14" fillId="0" borderId="12" xfId="0" applyFont="1" applyBorder="1" applyAlignment="1">
      <alignment vertical="center" wrapText="1"/>
    </xf>
    <xf numFmtId="0" fontId="8" fillId="15" borderId="25" xfId="0" applyFont="1" applyFill="1" applyBorder="1" applyAlignment="1">
      <alignment horizontal="center" wrapText="1"/>
    </xf>
    <xf numFmtId="0" fontId="9" fillId="16" borderId="9" xfId="0" applyFont="1" applyFill="1" applyBorder="1" applyAlignment="1">
      <alignment horizontal="center"/>
    </xf>
    <xf numFmtId="0" fontId="9" fillId="16" borderId="10" xfId="0" applyFont="1" applyFill="1" applyBorder="1" applyAlignment="1">
      <alignment horizontal="center"/>
    </xf>
    <xf numFmtId="0" fontId="9" fillId="16" borderId="11" xfId="0" applyFont="1" applyFill="1" applyBorder="1" applyAlignment="1">
      <alignment horizontal="center"/>
    </xf>
    <xf numFmtId="0" fontId="12" fillId="0" borderId="8" xfId="1" applyBorder="1"/>
    <xf numFmtId="0" fontId="0" fillId="23" borderId="8" xfId="0" applyFill="1" applyBorder="1" applyAlignment="1">
      <alignment horizontal="center" vertical="center"/>
    </xf>
    <xf numFmtId="0" fontId="0" fillId="23" borderId="8" xfId="0" applyFill="1" applyBorder="1"/>
    <xf numFmtId="0" fontId="0" fillId="25" borderId="8" xfId="0" applyFill="1" applyBorder="1" applyAlignment="1">
      <alignment horizontal="center"/>
    </xf>
    <xf numFmtId="0" fontId="0" fillId="22" borderId="8" xfId="0" applyFill="1" applyBorder="1" applyAlignment="1">
      <alignment horizontal="center"/>
    </xf>
    <xf numFmtId="0" fontId="0" fillId="22" borderId="8" xfId="0" applyFill="1" applyBorder="1"/>
    <xf numFmtId="0" fontId="6" fillId="0" borderId="26" xfId="0" applyFont="1" applyBorder="1"/>
    <xf numFmtId="0" fontId="6" fillId="0" borderId="27" xfId="0" applyFont="1" applyBorder="1"/>
    <xf numFmtId="16" fontId="6" fillId="23" borderId="27" xfId="0" applyNumberFormat="1" applyFont="1" applyFill="1" applyBorder="1"/>
    <xf numFmtId="16" fontId="6" fillId="25" borderId="27" xfId="0" applyNumberFormat="1" applyFont="1" applyFill="1" applyBorder="1" applyAlignment="1">
      <alignment horizontal="center"/>
    </xf>
    <xf numFmtId="16" fontId="6" fillId="0" borderId="27" xfId="0" applyNumberFormat="1" applyFont="1" applyBorder="1" applyAlignment="1">
      <alignment horizontal="center"/>
    </xf>
    <xf numFmtId="16" fontId="6" fillId="0" borderId="28" xfId="0" applyNumberFormat="1" applyFont="1" applyBorder="1" applyAlignment="1">
      <alignment horizontal="center"/>
    </xf>
    <xf numFmtId="0" fontId="16" fillId="0" borderId="0" xfId="0" applyFont="1" applyAlignment="1">
      <alignment vertical="center" wrapText="1"/>
    </xf>
    <xf numFmtId="0" fontId="21" fillId="0" borderId="0" xfId="0" applyFont="1"/>
    <xf numFmtId="0" fontId="15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4" fillId="0" borderId="0" xfId="0" applyFont="1" applyAlignment="1">
      <alignment vertical="center" wrapText="1"/>
    </xf>
    <xf numFmtId="0" fontId="22" fillId="0" borderId="0" xfId="0" applyFont="1"/>
    <xf numFmtId="0" fontId="16" fillId="0" borderId="0" xfId="0" applyFont="1" applyAlignment="1">
      <alignment horizontal="left" indent="1"/>
    </xf>
    <xf numFmtId="0" fontId="26" fillId="30" borderId="29" xfId="0" applyFont="1" applyFill="1" applyBorder="1"/>
    <xf numFmtId="0" fontId="23" fillId="31" borderId="29" xfId="0" applyFont="1" applyFill="1" applyBorder="1" applyAlignment="1">
      <alignment horizontal="center" vertical="center" wrapText="1"/>
    </xf>
    <xf numFmtId="0" fontId="25" fillId="30" borderId="29" xfId="0" applyFont="1" applyFill="1" applyBorder="1"/>
    <xf numFmtId="164" fontId="27" fillId="31" borderId="29" xfId="0" applyNumberFormat="1" applyFont="1" applyFill="1" applyBorder="1"/>
    <xf numFmtId="0" fontId="24" fillId="30" borderId="29" xfId="0" applyFont="1" applyFill="1" applyBorder="1"/>
    <xf numFmtId="0" fontId="28" fillId="30" borderId="29" xfId="0" applyFont="1" applyFill="1" applyBorder="1"/>
    <xf numFmtId="165" fontId="28" fillId="30" borderId="29" xfId="0" applyNumberFormat="1" applyFont="1" applyFill="1" applyBorder="1"/>
    <xf numFmtId="166" fontId="28" fillId="30" borderId="29" xfId="0" applyNumberFormat="1" applyFont="1" applyFill="1" applyBorder="1"/>
    <xf numFmtId="0" fontId="7" fillId="14" borderId="2" xfId="0" applyFont="1" applyFill="1" applyBorder="1" applyAlignment="1">
      <alignment horizontal="center" vertical="center"/>
    </xf>
    <xf numFmtId="0" fontId="7" fillId="14" borderId="0" xfId="0" applyFont="1" applyFill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11" fillId="20" borderId="9" xfId="0" applyFont="1" applyFill="1" applyBorder="1" applyAlignment="1">
      <alignment horizontal="center"/>
    </xf>
    <xf numFmtId="0" fontId="11" fillId="20" borderId="10" xfId="0" applyFont="1" applyFill="1" applyBorder="1" applyAlignment="1">
      <alignment horizontal="center"/>
    </xf>
    <xf numFmtId="0" fontId="11" fillId="20" borderId="11" xfId="0" applyFont="1" applyFill="1" applyBorder="1" applyAlignment="1">
      <alignment horizontal="center"/>
    </xf>
    <xf numFmtId="0" fontId="10" fillId="21" borderId="0" xfId="0" applyFont="1" applyFill="1" applyAlignment="1">
      <alignment horizontal="center"/>
    </xf>
    <xf numFmtId="0" fontId="10" fillId="17" borderId="0" xfId="0" applyFont="1" applyFill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6" xfId="0" applyFont="1" applyFill="1" applyBorder="1" applyAlignment="1">
      <alignment horizontal="center" vertical="center"/>
    </xf>
    <xf numFmtId="0" fontId="10" fillId="17" borderId="7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18" borderId="19" xfId="0" applyFont="1" applyFill="1" applyBorder="1" applyAlignment="1">
      <alignment horizontal="center" vertical="center"/>
    </xf>
    <xf numFmtId="0" fontId="2" fillId="18" borderId="20" xfId="0" applyFont="1" applyFill="1" applyBorder="1" applyAlignment="1">
      <alignment horizontal="center" vertical="center"/>
    </xf>
    <xf numFmtId="0" fontId="2" fillId="18" borderId="8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6" fillId="0" borderId="0" xfId="0" applyFont="1" applyAlignment="1">
      <alignment horizontal="left" vertical="center" wrapText="1"/>
    </xf>
    <xf numFmtId="0" fontId="29" fillId="30" borderId="29" xfId="0" applyFont="1" applyFill="1" applyBorder="1"/>
    <xf numFmtId="0" fontId="30" fillId="0" borderId="0" xfId="0" applyFont="1"/>
    <xf numFmtId="0" fontId="31" fillId="30" borderId="29" xfId="0" applyFont="1" applyFill="1" applyBorder="1"/>
    <xf numFmtId="0" fontId="32" fillId="30" borderId="29" xfId="0" applyFont="1" applyFill="1" applyBorder="1"/>
    <xf numFmtId="0" fontId="33" fillId="32" borderId="29" xfId="0" applyFont="1" applyFill="1" applyBorder="1" applyAlignment="1">
      <alignment horizontal="center" vertical="center"/>
    </xf>
    <xf numFmtId="0" fontId="32" fillId="30" borderId="29" xfId="0" applyFont="1" applyFill="1" applyBorder="1" applyAlignment="1">
      <alignment horizontal="left" vertical="center"/>
    </xf>
    <xf numFmtId="0" fontId="30" fillId="0" borderId="0" xfId="0" applyFont="1"/>
    <xf numFmtId="0" fontId="33" fillId="33" borderId="29" xfId="0" applyFont="1" applyFill="1" applyBorder="1" applyAlignment="1">
      <alignment horizontal="center" vertical="center"/>
    </xf>
    <xf numFmtId="0" fontId="33" fillId="34" borderId="29" xfId="0" applyFont="1" applyFill="1" applyBorder="1" applyAlignment="1">
      <alignment horizontal="center" vertical="center"/>
    </xf>
    <xf numFmtId="164" fontId="32" fillId="30" borderId="29" xfId="0" applyNumberFormat="1" applyFont="1" applyFill="1" applyBorder="1"/>
    <xf numFmtId="0" fontId="33" fillId="31" borderId="30" xfId="0" applyFont="1" applyFill="1" applyBorder="1" applyAlignment="1">
      <alignment horizontal="center" vertical="center"/>
    </xf>
    <xf numFmtId="0" fontId="30" fillId="31" borderId="30" xfId="0" applyFont="1" applyFill="1" applyBorder="1"/>
    <xf numFmtId="0" fontId="33" fillId="35" borderId="30" xfId="0" applyFont="1" applyFill="1" applyBorder="1" applyAlignment="1">
      <alignment horizontal="center" vertical="center"/>
    </xf>
    <xf numFmtId="0" fontId="30" fillId="35" borderId="29" xfId="0" applyFont="1" applyFill="1" applyBorder="1"/>
    <xf numFmtId="0" fontId="33" fillId="31" borderId="31" xfId="0" applyFont="1" applyFill="1" applyBorder="1" applyAlignment="1">
      <alignment horizontal="left" vertical="center" wrapText="1"/>
    </xf>
    <xf numFmtId="0" fontId="33" fillId="31" borderId="31" xfId="0" applyFont="1" applyFill="1" applyBorder="1" applyAlignment="1">
      <alignment horizontal="center" vertical="center" wrapText="1"/>
    </xf>
    <xf numFmtId="0" fontId="33" fillId="31" borderId="32" xfId="0" applyFont="1" applyFill="1" applyBorder="1" applyAlignment="1">
      <alignment horizontal="center" vertical="center"/>
    </xf>
    <xf numFmtId="0" fontId="34" fillId="31" borderId="29" xfId="0" applyFont="1" applyFill="1" applyBorder="1"/>
    <xf numFmtId="0" fontId="29" fillId="30" borderId="33" xfId="0" applyFont="1" applyFill="1" applyBorder="1" applyAlignment="1">
      <alignment vertical="center" wrapText="1"/>
    </xf>
    <xf numFmtId="0" fontId="35" fillId="30" borderId="33" xfId="0" applyFont="1" applyFill="1" applyBorder="1" applyAlignment="1">
      <alignment vertical="center"/>
    </xf>
    <xf numFmtId="0" fontId="32" fillId="30" borderId="33" xfId="0" applyFont="1" applyFill="1" applyBorder="1" applyAlignment="1">
      <alignment vertical="center"/>
    </xf>
    <xf numFmtId="0" fontId="35" fillId="30" borderId="33" xfId="0" applyFont="1" applyFill="1" applyBorder="1" applyAlignment="1">
      <alignment horizontal="center" vertical="center"/>
    </xf>
    <xf numFmtId="167" fontId="32" fillId="30" borderId="33" xfId="0" applyNumberFormat="1" applyFont="1" applyFill="1" applyBorder="1" applyAlignment="1">
      <alignment horizontal="center" vertical="center"/>
    </xf>
    <xf numFmtId="1" fontId="32" fillId="30" borderId="33" xfId="0" applyNumberFormat="1" applyFont="1" applyFill="1" applyBorder="1" applyAlignment="1">
      <alignment horizontal="center" vertical="center"/>
    </xf>
    <xf numFmtId="168" fontId="32" fillId="30" borderId="33" xfId="0" applyNumberFormat="1" applyFont="1" applyFill="1" applyBorder="1" applyAlignment="1">
      <alignment horizontal="center" vertical="center"/>
    </xf>
    <xf numFmtId="0" fontId="33" fillId="30" borderId="34" xfId="0" applyFont="1" applyFill="1" applyBorder="1" applyAlignment="1">
      <alignment horizontal="center" vertical="center"/>
    </xf>
    <xf numFmtId="0" fontId="29" fillId="30" borderId="29" xfId="0" applyFont="1" applyFill="1" applyBorder="1" applyAlignment="1">
      <alignment vertical="top"/>
    </xf>
    <xf numFmtId="0" fontId="32" fillId="30" borderId="29" xfId="0" applyFont="1" applyFill="1" applyBorder="1" applyAlignment="1">
      <alignment vertical="top"/>
    </xf>
    <xf numFmtId="170" fontId="14" fillId="0" borderId="12" xfId="0" applyNumberFormat="1" applyFont="1" applyBorder="1"/>
    <xf numFmtId="49" fontId="0" fillId="0" borderId="0" xfId="0" applyNumberFormat="1"/>
    <xf numFmtId="0" fontId="33" fillId="35" borderId="29" xfId="0" applyFont="1" applyFill="1" applyBorder="1" applyAlignment="1">
      <alignment horizontal="center" vertical="center"/>
    </xf>
    <xf numFmtId="0" fontId="33" fillId="30" borderId="29" xfId="0" applyFont="1" applyFill="1" applyBorder="1" applyAlignment="1">
      <alignment horizontal="center" vertical="center"/>
    </xf>
    <xf numFmtId="0" fontId="33" fillId="35" borderId="13" xfId="0" applyFont="1" applyFill="1" applyBorder="1" applyAlignment="1">
      <alignment horizontal="center" vertical="center"/>
    </xf>
    <xf numFmtId="0" fontId="30" fillId="35" borderId="35" xfId="0" applyFont="1" applyFill="1" applyBorder="1"/>
    <xf numFmtId="0" fontId="30" fillId="35" borderId="14" xfId="0" applyFont="1" applyFill="1" applyBorder="1"/>
    <xf numFmtId="0" fontId="33" fillId="31" borderId="36" xfId="0" applyFont="1" applyFill="1" applyBorder="1" applyAlignment="1">
      <alignment horizontal="center" vertical="center"/>
    </xf>
    <xf numFmtId="0" fontId="33" fillId="31" borderId="37" xfId="0" applyFont="1" applyFill="1" applyBorder="1" applyAlignment="1">
      <alignment horizontal="center" vertical="center"/>
    </xf>
    <xf numFmtId="0" fontId="33" fillId="30" borderId="15" xfId="0" applyFont="1" applyFill="1" applyBorder="1" applyAlignment="1">
      <alignment horizontal="center" vertical="center"/>
    </xf>
    <xf numFmtId="0" fontId="33" fillId="30" borderId="38" xfId="0" applyFont="1" applyFill="1" applyBorder="1" applyAlignment="1">
      <alignment horizontal="center" vertical="center"/>
    </xf>
    <xf numFmtId="0" fontId="33" fillId="30" borderId="17" xfId="0" applyFont="1" applyFill="1" applyBorder="1" applyAlignment="1">
      <alignment horizontal="center" vertical="center"/>
    </xf>
    <xf numFmtId="0" fontId="33" fillId="30" borderId="39" xfId="0" applyFont="1" applyFill="1" applyBorder="1" applyAlignment="1">
      <alignment horizontal="center" vertical="center"/>
    </xf>
    <xf numFmtId="0" fontId="33" fillId="30" borderId="40" xfId="0" applyFont="1" applyFill="1" applyBorder="1" applyAlignment="1">
      <alignment horizontal="center" vertical="center"/>
    </xf>
    <xf numFmtId="0" fontId="33" fillId="31" borderId="41" xfId="0" applyFont="1" applyFill="1" applyBorder="1" applyAlignment="1">
      <alignment horizontal="center" vertical="center"/>
    </xf>
    <xf numFmtId="0" fontId="33" fillId="30" borderId="13" xfId="0" applyFont="1" applyFill="1" applyBorder="1" applyAlignment="1">
      <alignment horizontal="center" vertical="center"/>
    </xf>
    <xf numFmtId="0" fontId="33" fillId="30" borderId="42" xfId="0" applyFont="1" applyFill="1" applyBorder="1" applyAlignment="1">
      <alignment horizontal="center" vertical="center"/>
    </xf>
    <xf numFmtId="0" fontId="33" fillId="30" borderId="43" xfId="0" applyFont="1" applyFill="1" applyBorder="1" applyAlignment="1">
      <alignment horizontal="center" vertical="center"/>
    </xf>
    <xf numFmtId="0" fontId="33" fillId="31" borderId="29" xfId="0" applyFont="1" applyFill="1" applyBorder="1" applyAlignment="1">
      <alignment horizontal="center" vertical="center"/>
    </xf>
    <xf numFmtId="0" fontId="33" fillId="30" borderId="34" xfId="0" applyFont="1" applyFill="1" applyBorder="1" applyAlignment="1">
      <alignment vertical="center"/>
    </xf>
    <xf numFmtId="0" fontId="35" fillId="30" borderId="33" xfId="0" applyFont="1" applyFill="1" applyBorder="1" applyAlignment="1">
      <alignment horizontal="left" vertical="center"/>
    </xf>
    <xf numFmtId="49" fontId="16" fillId="0" borderId="0" xfId="0" applyNumberFormat="1" applyFont="1"/>
  </cellXfs>
  <cellStyles count="2">
    <cellStyle name="Hyperlink" xfId="1" builtinId="8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3CD"/>
        </patternFill>
      </fill>
      <border>
        <bottom style="thin">
          <color rgb="FFD5DBE1"/>
        </bottom>
      </border>
    </dxf>
    <dxf>
      <font>
        <b/>
        <color rgb="FFFFFFFF"/>
      </font>
      <fill>
        <patternFill>
          <bgColor rgb="FF6A4C93"/>
        </patternFill>
      </fill>
      <border>
        <bottom style="thin">
          <color rgb="FFD5DBE1"/>
        </bottom>
      </border>
    </dxf>
    <dxf>
      <font>
        <b/>
        <color rgb="FFFFFFFF"/>
      </font>
      <fill>
        <patternFill>
          <bgColor rgb="FF2E8B57"/>
        </patternFill>
      </fill>
      <border>
        <bottom style="thin">
          <color rgb="FFD5DBE1"/>
        </bottom>
      </border>
    </dxf>
    <dxf>
      <font>
        <b/>
        <color rgb="FFFFFFFF"/>
      </font>
      <fill>
        <patternFill>
          <bgColor rgb="FF2F6FB5"/>
        </patternFill>
      </fill>
      <border>
        <bottom style="thin">
          <color rgb="FFD5DBE1"/>
        </bottom>
      </border>
    </dxf>
    <dxf>
      <font>
        <b/>
        <color rgb="FF7A4F01"/>
      </font>
      <fill>
        <patternFill>
          <bgColor rgb="FFFFF3CD"/>
        </patternFill>
      </fill>
    </dxf>
    <dxf>
      <font>
        <b/>
        <color rgb="FF1F4E79"/>
      </font>
      <fill>
        <patternFill>
          <bgColor rgb="FFDDE9F5"/>
        </patternFill>
      </fill>
      <border>
        <bottom style="thin">
          <color rgb="FFD5DBE1"/>
        </bottom>
      </border>
    </dxf>
    <dxf>
      <font>
        <b/>
        <color rgb="FF6B7785"/>
      </font>
      <fill>
        <patternFill>
          <bgColor rgb="FFE7EAEC"/>
        </patternFill>
      </fill>
      <border>
        <bottom style="thin">
          <color rgb="FFD5DBE1"/>
        </bottom>
      </border>
    </dxf>
    <dxf>
      <font>
        <b/>
        <color rgb="FF8A5300"/>
      </font>
      <fill>
        <patternFill>
          <bgColor rgb="FFFCE8CD"/>
        </patternFill>
      </fill>
      <border>
        <bottom style="thin">
          <color rgb="FFD5DBE1"/>
        </bottom>
      </border>
    </dxf>
    <dxf>
      <font>
        <b/>
        <color rgb="FF1E6B3D"/>
      </font>
      <fill>
        <patternFill>
          <bgColor rgb="FFD6EEDC"/>
        </patternFill>
      </fill>
      <border>
        <bottom style="thin">
          <color rgb="FFD5DBE1"/>
        </bottom>
      </border>
    </dxf>
    <dxf>
      <border>
        <bottom style="thin">
          <color rgb="FFD5DBE1"/>
        </bottom>
      </border>
    </dxf>
    <dxf>
      <border>
        <top style="medium">
          <color rgb="FF1F3B57"/>
        </top>
        <bottom style="thin">
          <color rgb="FFD5DBE1"/>
        </bottom>
      </border>
    </dxf>
  </dxfs>
  <tableStyles count="0" defaultTableStyle="TableStyleMedium2" defaultPivotStyle="PivotStyleLight16"/>
  <colors>
    <mruColors>
      <color rgb="FFFFEB9C"/>
      <color rgb="FFC22536"/>
      <color rgb="FFC0452B"/>
      <color rgb="FF82BA5D"/>
      <color rgb="FFA9D08E"/>
      <color rgb="FFFFD6EC"/>
      <color rgb="FFF2F2F2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5">
  <dgm:title val=""/>
  <dgm:desc val=""/>
  <dgm:catLst>
    <dgm:cat type="accent1" pri="11500"/>
  </dgm:catLst>
  <dgm:styleLbl name="node0">
    <dgm:fillClrLst meth="cycle">
      <a:schemeClr val="accent1">
        <a:alpha val="80000"/>
      </a:schemeClr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1">
        <a:alpha val="90000"/>
      </a:schemeClr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1">
        <a:alpha val="90000"/>
      </a:schemeClr>
      <a:schemeClr val="accent1">
        <a:alpha val="5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/>
    <dgm:txEffectClrLst/>
  </dgm:styleLbl>
  <dgm:styleLbl name="lnNode1">
    <dgm:fillClrLst>
      <a:schemeClr val="accent1">
        <a:shade val="90000"/>
      </a:schemeClr>
      <a:schemeClr val="accent1">
        <a:alpha val="50000"/>
        <a:tint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1">
        <a:shade val="80000"/>
        <a:alpha val="50000"/>
      </a:schemeClr>
      <a:schemeClr val="accent1">
        <a:alpha val="8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1">
        <a:alpha val="70000"/>
      </a:schemeClr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1">
        <a:alpha val="30000"/>
      </a:schemeClr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1">
        <a:tint val="50000"/>
        <a:alpha val="90000"/>
      </a:schemeClr>
      <a:schemeClr val="accent1">
        <a:tint val="20000"/>
        <a:alpha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1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1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1">
        <a:shade val="90000"/>
      </a:schemeClr>
      <a:schemeClr val="accent1">
        <a:tint val="50000"/>
      </a:schemeClr>
    </dgm:fillClrLst>
    <dgm:linClrLst>
      <a:schemeClr val="accent1">
        <a:shade val="90000"/>
      </a:schemeClr>
      <a:schemeClr val="accent1">
        <a:tint val="50000"/>
      </a:schemeClr>
    </dgm:linClrLst>
    <dgm:effectClrLst/>
    <dgm:txLinClrLst/>
    <dgm:txFillClrLst/>
    <dgm:txEffectClrLst/>
  </dgm:styleLbl>
  <dgm:styleLbl name="fgSibTrans2D1">
    <dgm:fillClrLst>
      <a:schemeClr val="accent1">
        <a:shade val="90000"/>
      </a:schemeClr>
      <a:schemeClr val="accent1">
        <a:tint val="50000"/>
      </a:schemeClr>
    </dgm:fillClrLst>
    <dgm:linClrLst>
      <a:schemeClr val="accent1">
        <a:shade val="90000"/>
      </a:schemeClr>
      <a:schemeClr val="accent1">
        <a:tint val="50000"/>
      </a:schemeClr>
    </dgm:linClrLst>
    <dgm:effectClrLst/>
    <dgm:txLinClrLst/>
    <dgm:txFillClrLst/>
    <dgm:txEffectClrLst/>
  </dgm:styleLbl>
  <dgm:styleLbl name="bgSibTrans2D1">
    <dgm:fillClrLst>
      <a:schemeClr val="accent1">
        <a:shade val="90000"/>
      </a:schemeClr>
      <a:schemeClr val="accent1">
        <a:tint val="50000"/>
      </a:schemeClr>
    </dgm:fillClrLst>
    <dgm:linClrLst>
      <a:schemeClr val="accent1">
        <a:shade val="90000"/>
      </a:schemeClr>
      <a:schemeClr val="accent1">
        <a:tint val="50000"/>
      </a:schemeClr>
    </dgm:linClrLst>
    <dgm:effectClrLst/>
    <dgm:txLinClrLst/>
    <dgm:txFillClrLst/>
    <dgm:txEffectClrLst/>
  </dgm:styleLbl>
  <dgm:styleLbl name="sibTrans1D1">
    <dgm:fillClrLst>
      <a:schemeClr val="accent1">
        <a:shade val="90000"/>
      </a:schemeClr>
      <a:schemeClr val="accent1">
        <a:tint val="50000"/>
      </a:schemeClr>
    </dgm:fillClrLst>
    <dgm:linClrLst>
      <a:schemeClr val="accent1">
        <a:shade val="90000"/>
      </a:schemeClr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>
        <a:alpha val="90000"/>
      </a:schemeClr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>
        <a:alpha val="90000"/>
      </a:schemeClr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1">
        <a:alpha val="90000"/>
      </a:schemeClr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1">
        <a:alpha val="70000"/>
      </a:schemeClr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shade val="80000"/>
      </a:schemeClr>
    </dgm:fillClrLst>
    <dgm:linClrLst meth="repeat">
      <a:schemeClr val="accent1">
        <a:shade val="80000"/>
      </a:schemeClr>
    </dgm:linClrLst>
    <dgm:effectClrLst/>
    <dgm:txLinClrLst/>
    <dgm:txFillClrLst/>
    <dgm:txEffectClrLst/>
  </dgm:styleLbl>
  <dgm:styleLbl name="parChTrans2D2">
    <dgm:fillClrLst meth="repeat">
      <a:schemeClr val="accent1">
        <a:tint val="90000"/>
      </a:schemeClr>
    </dgm:fillClrLst>
    <dgm:linClrLst meth="repeat">
      <a:schemeClr val="accent1">
        <a:tint val="90000"/>
      </a:schemeClr>
    </dgm:linClrLst>
    <dgm:effectClrLst/>
    <dgm:txLinClrLst/>
    <dgm:txFillClrLst/>
    <dgm:txEffectClrLst/>
  </dgm:styleLbl>
  <dgm:styleLbl name="parChTrans2D3">
    <dgm:fillClrLst meth="repeat">
      <a:schemeClr val="accent1">
        <a:tint val="70000"/>
      </a:schemeClr>
    </dgm:fillClrLst>
    <dgm:linClrLst meth="repeat">
      <a:schemeClr val="accent1">
        <a:tint val="70000"/>
      </a:schemeClr>
    </dgm:linClrLst>
    <dgm:effectClrLst/>
    <dgm:txLinClrLst/>
    <dgm:txFillClrLst/>
    <dgm:txEffectClrLst/>
  </dgm:styleLbl>
  <dgm:styleLbl name="parChTrans2D4">
    <dgm:fillClrLst meth="repeat">
      <a:schemeClr val="accent1">
        <a:tint val="50000"/>
      </a:schemeClr>
    </dgm:fillClrLst>
    <dgm:linClrLst meth="repeat">
      <a:schemeClr val="accent1">
        <a:tint val="50000"/>
      </a:schemeClr>
    </dgm:linClrLst>
    <dgm:effectClrLst/>
    <dgm:txLinClrLst/>
    <dgm:txFillClrLst meth="repeat">
      <a:schemeClr val="dk1"/>
    </dgm:txFillClrLst>
    <dgm:txEffectClrLst/>
  </dgm:styleLbl>
  <dgm:styleLbl name="parChTrans1D1">
    <dgm:fillClrLst meth="repeat">
      <a:schemeClr val="accent1">
        <a:shade val="80000"/>
      </a:schemeClr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>
        <a:tint val="90000"/>
      </a:schemeClr>
    </dgm:fillClrLst>
    <dgm:linClrLst meth="repeat">
      <a:schemeClr val="accent1">
        <a:tint val="9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>
        <a:tint val="70000"/>
      </a:schemeClr>
    </dgm:fillClrLst>
    <dgm:linClrLst meth="repeat">
      <a:schemeClr val="accent1">
        <a:tint val="7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>
        <a:tint val="50000"/>
      </a:schemeClr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1">
        <a:alpha val="90000"/>
      </a:schemeClr>
      <a:schemeClr val="accent1">
        <a:alpha val="50000"/>
      </a:schemeClr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1">
        <a:alpha val="90000"/>
        <a:tint val="40000"/>
      </a:schemeClr>
      <a:schemeClr val="accent1">
        <a:alpha val="5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>
        <a:tint val="90000"/>
      </a:schemeClr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>
        <a:tint val="70000"/>
      </a:schemeClr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>
        <a:tint val="50000"/>
      </a:schemeClr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F1612F52-234C-2141-8C7B-7D54F4D59076}" type="doc">
      <dgm:prSet loTypeId="urn:microsoft.com/office/officeart/2024/layout/HorizontalActionList" loCatId="" qsTypeId="urn:microsoft.com/office/officeart/2005/8/quickstyle/simple5" qsCatId="simple" csTypeId="urn:microsoft.com/office/officeart/2005/8/colors/accent1_5" csCatId="accent1" phldr="1"/>
      <dgm:spPr/>
      <dgm:t>
        <a:bodyPr/>
        <a:lstStyle/>
        <a:p>
          <a:endParaRPr lang="en-US"/>
        </a:p>
      </dgm:t>
    </dgm:pt>
    <dgm:pt modelId="{E73A88CA-1EB8-294F-8ECF-07473D6D17A5}">
      <dgm:prSet phldrT="[Text]" custT="1"/>
      <dgm:spPr/>
      <dgm:t>
        <a:bodyPr/>
        <a:lstStyle/>
        <a:p>
          <a:r>
            <a:rPr lang="en-US" sz="2400"/>
            <a:t>Portfolios</a:t>
          </a:r>
        </a:p>
      </dgm:t>
    </dgm:pt>
    <dgm:pt modelId="{45CBB9AD-B352-AD4A-9CF0-14D2076A430F}" type="parTrans" cxnId="{B6AF1A96-C7B0-2944-A1B4-E05547466A42}">
      <dgm:prSet/>
      <dgm:spPr/>
      <dgm:t>
        <a:bodyPr/>
        <a:lstStyle/>
        <a:p>
          <a:endParaRPr lang="en-US"/>
        </a:p>
      </dgm:t>
    </dgm:pt>
    <dgm:pt modelId="{5BA1A021-156D-9343-9D4D-2571E42F1D30}" type="sibTrans" cxnId="{B6AF1A96-C7B0-2944-A1B4-E05547466A42}">
      <dgm:prSet phldrT="1" phldr="0"/>
      <dgm:spPr/>
    </dgm:pt>
    <dgm:pt modelId="{CCDE4DFD-2E1B-5D41-B803-10B2C6B794D5}">
      <dgm:prSet phldrT="[Text]" custT="1"/>
      <dgm:spPr/>
      <dgm:t>
        <a:bodyPr/>
        <a:lstStyle/>
        <a:p>
          <a:r>
            <a:rPr lang="en-US" sz="2000" b="1"/>
            <a:t>Used</a:t>
          </a:r>
          <a:r>
            <a:rPr lang="en-US" sz="2000"/>
            <a:t> - Isaac Mittelman</a:t>
          </a:r>
        </a:p>
      </dgm:t>
    </dgm:pt>
    <dgm:pt modelId="{F4D0F1C9-8D28-4E40-AB0F-ED2AA0185726}" type="parTrans" cxnId="{E8540AD2-F076-5943-B4B3-390275EE29A3}">
      <dgm:prSet/>
      <dgm:spPr/>
      <dgm:t>
        <a:bodyPr/>
        <a:lstStyle/>
        <a:p>
          <a:endParaRPr lang="en-US"/>
        </a:p>
      </dgm:t>
    </dgm:pt>
    <dgm:pt modelId="{441C1B48-C508-3042-9694-6E5D8E69490B}" type="sibTrans" cxnId="{E8540AD2-F076-5943-B4B3-390275EE29A3}">
      <dgm:prSet/>
      <dgm:spPr/>
      <dgm:t>
        <a:bodyPr/>
        <a:lstStyle/>
        <a:p>
          <a:endParaRPr lang="en-US"/>
        </a:p>
      </dgm:t>
    </dgm:pt>
    <dgm:pt modelId="{4E174DEB-3FE1-C847-B335-69EEA40C1AFF}">
      <dgm:prSet phldrT="[Text]" custT="1"/>
      <dgm:spPr/>
      <dgm:t>
        <a:bodyPr/>
        <a:lstStyle/>
        <a:p>
          <a:r>
            <a:rPr lang="en-US" sz="2000" b="1"/>
            <a:t>Find</a:t>
          </a:r>
          <a:r>
            <a:rPr lang="en-US" sz="2000"/>
            <a:t> - Eli Goldstein</a:t>
          </a:r>
        </a:p>
      </dgm:t>
    </dgm:pt>
    <dgm:pt modelId="{EB42EF59-8CFC-9744-85C1-A94BE6FD5AD4}" type="parTrans" cxnId="{1BD51867-641A-F747-AAF8-960E30C2F478}">
      <dgm:prSet/>
      <dgm:spPr/>
      <dgm:t>
        <a:bodyPr/>
        <a:lstStyle/>
        <a:p>
          <a:endParaRPr lang="en-US"/>
        </a:p>
      </dgm:t>
    </dgm:pt>
    <dgm:pt modelId="{87B305F3-CA94-A748-881D-F93F291E111F}" type="sibTrans" cxnId="{1BD51867-641A-F747-AAF8-960E30C2F478}">
      <dgm:prSet/>
      <dgm:spPr/>
      <dgm:t>
        <a:bodyPr/>
        <a:lstStyle/>
        <a:p>
          <a:endParaRPr lang="en-US"/>
        </a:p>
      </dgm:t>
    </dgm:pt>
    <dgm:pt modelId="{BEB8CCBC-00DD-D445-AD9A-A5611DF3A8F0}">
      <dgm:prSet phldrT="[Text]" custT="1"/>
      <dgm:spPr/>
      <dgm:t>
        <a:bodyPr/>
        <a:lstStyle/>
        <a:p>
          <a:r>
            <a:rPr lang="en-US" sz="2400"/>
            <a:t>Themes</a:t>
          </a:r>
        </a:p>
      </dgm:t>
    </dgm:pt>
    <dgm:pt modelId="{A184216D-A49D-AF4E-B7DC-60BF70A91683}" type="parTrans" cxnId="{36788808-543A-C148-9F6C-B6EB58DD6CBB}">
      <dgm:prSet/>
      <dgm:spPr/>
      <dgm:t>
        <a:bodyPr/>
        <a:lstStyle/>
        <a:p>
          <a:endParaRPr lang="en-US"/>
        </a:p>
      </dgm:t>
    </dgm:pt>
    <dgm:pt modelId="{696FEF52-F6CE-B742-8ABE-D54CCAB327C4}" type="sibTrans" cxnId="{36788808-543A-C148-9F6C-B6EB58DD6CBB}">
      <dgm:prSet phldrT="2" phldr="0"/>
      <dgm:spPr/>
    </dgm:pt>
    <dgm:pt modelId="{EE405F44-65F1-074A-B2CF-AC9E1093FF81}">
      <dgm:prSet phldrT="[Text]" custT="1"/>
      <dgm:spPr/>
      <dgm:t>
        <a:bodyPr/>
        <a:lstStyle/>
        <a:p>
          <a:r>
            <a:rPr lang="en-US" sz="2000"/>
            <a:t>Increase Awareness</a:t>
          </a:r>
        </a:p>
      </dgm:t>
    </dgm:pt>
    <dgm:pt modelId="{D5A786D1-B84C-AE44-B0C1-ACE319630D0A}" type="parTrans" cxnId="{03B2057B-7019-7840-9CE9-A72F763BB50C}">
      <dgm:prSet/>
      <dgm:spPr/>
      <dgm:t>
        <a:bodyPr/>
        <a:lstStyle/>
        <a:p>
          <a:endParaRPr lang="en-US"/>
        </a:p>
      </dgm:t>
    </dgm:pt>
    <dgm:pt modelId="{E70133D5-01DB-4C4A-BE1D-1ADB93D0DC72}" type="sibTrans" cxnId="{03B2057B-7019-7840-9CE9-A72F763BB50C}">
      <dgm:prSet/>
      <dgm:spPr/>
      <dgm:t>
        <a:bodyPr/>
        <a:lstStyle/>
        <a:p>
          <a:endParaRPr lang="en-US"/>
        </a:p>
      </dgm:t>
    </dgm:pt>
    <dgm:pt modelId="{91087808-874D-1744-998A-127D7DC581F1}">
      <dgm:prSet phldrT="[Text]" custT="1"/>
      <dgm:spPr/>
      <dgm:t>
        <a:bodyPr/>
        <a:lstStyle/>
        <a:p>
          <a:r>
            <a:rPr lang="en-US" sz="2000"/>
            <a:t>Improve User Flow</a:t>
          </a:r>
        </a:p>
      </dgm:t>
    </dgm:pt>
    <dgm:pt modelId="{484822E6-8465-884C-89FD-55421D13C88F}" type="parTrans" cxnId="{73CB1207-6E02-D44F-931E-ED177573F2F1}">
      <dgm:prSet/>
      <dgm:spPr/>
      <dgm:t>
        <a:bodyPr/>
        <a:lstStyle/>
        <a:p>
          <a:endParaRPr lang="en-US"/>
        </a:p>
      </dgm:t>
    </dgm:pt>
    <dgm:pt modelId="{301FB0F9-FD1D-5743-BD7B-079CDE08FDA6}" type="sibTrans" cxnId="{73CB1207-6E02-D44F-931E-ED177573F2F1}">
      <dgm:prSet/>
      <dgm:spPr/>
      <dgm:t>
        <a:bodyPr/>
        <a:lstStyle/>
        <a:p>
          <a:endParaRPr lang="en-US"/>
        </a:p>
      </dgm:t>
    </dgm:pt>
    <dgm:pt modelId="{75867D3A-F27F-3548-8145-82326C585F90}">
      <dgm:prSet phldrT="[Text]" custT="1"/>
      <dgm:spPr/>
      <dgm:t>
        <a:bodyPr/>
        <a:lstStyle/>
        <a:p>
          <a:r>
            <a:rPr lang="en-US" sz="2400"/>
            <a:t>Metrics</a:t>
          </a:r>
        </a:p>
      </dgm:t>
    </dgm:pt>
    <dgm:pt modelId="{DD06C621-6647-494B-8B09-F0F2FEC9D38B}" type="parTrans" cxnId="{91572D97-96B2-E24C-8A65-B5DEC6D12B29}">
      <dgm:prSet/>
      <dgm:spPr/>
      <dgm:t>
        <a:bodyPr/>
        <a:lstStyle/>
        <a:p>
          <a:endParaRPr lang="en-US"/>
        </a:p>
      </dgm:t>
    </dgm:pt>
    <dgm:pt modelId="{13310445-3BF4-2148-A306-5C45908AE28C}" type="sibTrans" cxnId="{91572D97-96B2-E24C-8A65-B5DEC6D12B29}">
      <dgm:prSet phldrT="3" phldr="0"/>
      <dgm:spPr/>
    </dgm:pt>
    <dgm:pt modelId="{E55D85D8-253E-E241-A687-B093866560DD}">
      <dgm:prSet phldrT="[Text]" custT="1"/>
      <dgm:spPr/>
      <dgm:t>
        <a:bodyPr/>
        <a:lstStyle/>
        <a:p>
          <a:r>
            <a:rPr lang="en-US" sz="2000"/>
            <a:t>Adoption</a:t>
          </a:r>
        </a:p>
      </dgm:t>
    </dgm:pt>
    <dgm:pt modelId="{9AA48CB5-DD1D-9643-A782-923B5CFAF02B}" type="parTrans" cxnId="{A96085D0-7E98-F247-A17A-B0127EB5B8C4}">
      <dgm:prSet/>
      <dgm:spPr/>
      <dgm:t>
        <a:bodyPr/>
        <a:lstStyle/>
        <a:p>
          <a:endParaRPr lang="en-US"/>
        </a:p>
      </dgm:t>
    </dgm:pt>
    <dgm:pt modelId="{7A12488D-ABE4-7045-8D87-2F2292B75A27}" type="sibTrans" cxnId="{A96085D0-7E98-F247-A17A-B0127EB5B8C4}">
      <dgm:prSet/>
      <dgm:spPr/>
      <dgm:t>
        <a:bodyPr/>
        <a:lstStyle/>
        <a:p>
          <a:endParaRPr lang="en-US"/>
        </a:p>
      </dgm:t>
    </dgm:pt>
    <dgm:pt modelId="{2E458F7C-9C1A-AA4A-BD82-BDBDCAEEF0FE}">
      <dgm:prSet phldrT="[Text]" custT="1"/>
      <dgm:spPr/>
      <dgm:t>
        <a:bodyPr/>
        <a:lstStyle/>
        <a:p>
          <a:r>
            <a:rPr lang="en-US" sz="2000"/>
            <a:t>Impact</a:t>
          </a:r>
        </a:p>
      </dgm:t>
    </dgm:pt>
    <dgm:pt modelId="{CE78A2F4-457B-C048-BFA2-7BB42F6A7640}" type="parTrans" cxnId="{E58CD0A4-BE0E-1244-99B1-553ACC3577DC}">
      <dgm:prSet/>
      <dgm:spPr/>
      <dgm:t>
        <a:bodyPr/>
        <a:lstStyle/>
        <a:p>
          <a:endParaRPr lang="en-US"/>
        </a:p>
      </dgm:t>
    </dgm:pt>
    <dgm:pt modelId="{961A2021-A909-644E-82A5-0836DB8C20DF}" type="sibTrans" cxnId="{E58CD0A4-BE0E-1244-99B1-553ACC3577DC}">
      <dgm:prSet/>
      <dgm:spPr/>
      <dgm:t>
        <a:bodyPr/>
        <a:lstStyle/>
        <a:p>
          <a:endParaRPr lang="en-US"/>
        </a:p>
      </dgm:t>
    </dgm:pt>
    <dgm:pt modelId="{07A36E04-CF7B-4440-B096-220F8869BE9C}">
      <dgm:prSet phldrT="[Text]" custT="1"/>
      <dgm:spPr/>
      <dgm:t>
        <a:bodyPr/>
        <a:lstStyle/>
        <a:p>
          <a:r>
            <a:rPr lang="en-US" sz="2400"/>
            <a:t>GA4</a:t>
          </a:r>
        </a:p>
      </dgm:t>
    </dgm:pt>
    <dgm:pt modelId="{34B86729-4D35-A349-9982-68AE221F82AB}" type="parTrans" cxnId="{BAF75D65-7227-BB4D-9F0C-2103E7CB8C60}">
      <dgm:prSet/>
      <dgm:spPr/>
      <dgm:t>
        <a:bodyPr/>
        <a:lstStyle/>
        <a:p>
          <a:endParaRPr lang="en-US"/>
        </a:p>
      </dgm:t>
    </dgm:pt>
    <dgm:pt modelId="{F6CC92EA-ADFF-1B44-8CBC-39904476D671}" type="sibTrans" cxnId="{BAF75D65-7227-BB4D-9F0C-2103E7CB8C60}">
      <dgm:prSet phldrT="5" phldr="0"/>
      <dgm:spPr/>
    </dgm:pt>
    <dgm:pt modelId="{FE952394-0880-0549-9C6C-416B14DC48CD}">
      <dgm:prSet phldrT="[Text]" custT="1"/>
      <dgm:spPr/>
      <dgm:t>
        <a:bodyPr/>
        <a:lstStyle/>
        <a:p>
          <a:r>
            <a:rPr lang="en-US" sz="2000" b="1"/>
            <a:t>B2B</a:t>
          </a:r>
          <a:r>
            <a:rPr lang="en-US" sz="2000"/>
            <a:t> - Danielo Garcia - The Studio B&amp;H, Kailee Richey - EDU, Rachel DiCastro - School Safety, Ariel Goldman - B2B Hub</a:t>
          </a:r>
        </a:p>
      </dgm:t>
    </dgm:pt>
    <dgm:pt modelId="{33DCBC9A-62C9-094C-A92D-BD388BF998A3}" type="parTrans" cxnId="{F4E0C42C-19F0-6D42-A8BA-B12F9A90E3F9}">
      <dgm:prSet/>
      <dgm:spPr/>
      <dgm:t>
        <a:bodyPr/>
        <a:lstStyle/>
        <a:p>
          <a:endParaRPr lang="en-US"/>
        </a:p>
      </dgm:t>
    </dgm:pt>
    <dgm:pt modelId="{C8DAF2C2-AF7B-2449-B2E3-E08EDD2226A9}" type="sibTrans" cxnId="{F4E0C42C-19F0-6D42-A8BA-B12F9A90E3F9}">
      <dgm:prSet/>
      <dgm:spPr/>
      <dgm:t>
        <a:bodyPr/>
        <a:lstStyle/>
        <a:p>
          <a:endParaRPr lang="en-US"/>
        </a:p>
      </dgm:t>
    </dgm:pt>
    <dgm:pt modelId="{5B05B22C-733C-5348-8BE5-94704A367077}">
      <dgm:prSet phldrT="[Text]" custT="1"/>
      <dgm:spPr/>
      <dgm:t>
        <a:bodyPr/>
        <a:lstStyle/>
        <a:p>
          <a:r>
            <a:rPr lang="en-US" sz="2000"/>
            <a:t>Increase Reactivation</a:t>
          </a:r>
        </a:p>
        <a:p>
          <a:r>
            <a:rPr lang="en-US" sz="2000"/>
            <a:t>Increase Acquisition</a:t>
          </a:r>
        </a:p>
      </dgm:t>
    </dgm:pt>
    <dgm:pt modelId="{515FBE73-2C7F-1F45-8691-8FE1A2D51AFD}" type="parTrans" cxnId="{90EE56DE-C3FA-B544-AB47-782349A04393}">
      <dgm:prSet/>
      <dgm:spPr/>
      <dgm:t>
        <a:bodyPr/>
        <a:lstStyle/>
        <a:p>
          <a:endParaRPr lang="en-US"/>
        </a:p>
      </dgm:t>
    </dgm:pt>
    <dgm:pt modelId="{C8AC27C6-5C08-9045-8AED-33E1A79E4015}" type="sibTrans" cxnId="{90EE56DE-C3FA-B544-AB47-782349A04393}">
      <dgm:prSet/>
      <dgm:spPr/>
      <dgm:t>
        <a:bodyPr/>
        <a:lstStyle/>
        <a:p>
          <a:endParaRPr lang="en-US"/>
        </a:p>
      </dgm:t>
    </dgm:pt>
    <dgm:pt modelId="{D7E1FB30-4EC7-F142-83B6-1846662D3DE0}">
      <dgm:prSet phldrT="[Text]" custT="1"/>
      <dgm:spPr/>
      <dgm:t>
        <a:bodyPr/>
        <a:lstStyle/>
        <a:p>
          <a:r>
            <a:rPr lang="en-US" sz="2000"/>
            <a:t>Improve Search &amp; Findability</a:t>
          </a:r>
        </a:p>
      </dgm:t>
    </dgm:pt>
    <dgm:pt modelId="{9898F444-5325-6E43-BF9C-51085F39471E}" type="parTrans" cxnId="{AE33C6EA-26ED-9041-A0A0-66CB23C298DC}">
      <dgm:prSet/>
      <dgm:spPr/>
      <dgm:t>
        <a:bodyPr/>
        <a:lstStyle/>
        <a:p>
          <a:endParaRPr lang="en-US"/>
        </a:p>
      </dgm:t>
    </dgm:pt>
    <dgm:pt modelId="{E8EC6E11-E1AD-3341-8552-AC80B7916ED5}" type="sibTrans" cxnId="{AE33C6EA-26ED-9041-A0A0-66CB23C298DC}">
      <dgm:prSet/>
      <dgm:spPr/>
      <dgm:t>
        <a:bodyPr/>
        <a:lstStyle/>
        <a:p>
          <a:endParaRPr lang="en-US"/>
        </a:p>
      </dgm:t>
    </dgm:pt>
    <dgm:pt modelId="{AD87869B-3A0D-0E4F-A03C-1032C0B93A0C}">
      <dgm:prSet phldrT="[Text]" custT="1"/>
      <dgm:spPr/>
      <dgm:t>
        <a:bodyPr/>
        <a:lstStyle/>
        <a:p>
          <a:r>
            <a:rPr lang="en-US" sz="2400"/>
            <a:t>Components</a:t>
          </a:r>
        </a:p>
      </dgm:t>
    </dgm:pt>
    <dgm:pt modelId="{A470B52C-2749-1341-82BE-26C5880A6F15}" type="parTrans" cxnId="{5AB946CA-266D-B84B-B48D-B1827EDC2FA0}">
      <dgm:prSet/>
      <dgm:spPr/>
      <dgm:t>
        <a:bodyPr/>
        <a:lstStyle/>
        <a:p>
          <a:endParaRPr lang="en-US"/>
        </a:p>
      </dgm:t>
    </dgm:pt>
    <dgm:pt modelId="{18D4B0C3-5BE2-8D46-AD72-504050400BBD}" type="sibTrans" cxnId="{5AB946CA-266D-B84B-B48D-B1827EDC2FA0}">
      <dgm:prSet phldrT="4" phldr="0"/>
      <dgm:spPr/>
    </dgm:pt>
    <dgm:pt modelId="{3EAB79CB-EB45-9649-A2F3-0A2209C06874}">
      <dgm:prSet phldrT="[Text]" custT="1"/>
      <dgm:spPr/>
      <dgm:t>
        <a:bodyPr/>
        <a:lstStyle/>
        <a:p>
          <a:r>
            <a:rPr lang="en-US" sz="2000"/>
            <a:t>PLP</a:t>
          </a:r>
        </a:p>
      </dgm:t>
    </dgm:pt>
    <dgm:pt modelId="{1FA7D950-1903-3040-A3C0-4A08485F104D}" type="parTrans" cxnId="{9F62EE6A-D3BF-1148-8E01-F1AD96A0E9D6}">
      <dgm:prSet/>
      <dgm:spPr/>
      <dgm:t>
        <a:bodyPr/>
        <a:lstStyle/>
        <a:p>
          <a:endParaRPr lang="en-US"/>
        </a:p>
      </dgm:t>
    </dgm:pt>
    <dgm:pt modelId="{23B7371F-0F85-CE4D-A120-1AA6784283D7}" type="sibTrans" cxnId="{9F62EE6A-D3BF-1148-8E01-F1AD96A0E9D6}">
      <dgm:prSet/>
      <dgm:spPr/>
      <dgm:t>
        <a:bodyPr/>
        <a:lstStyle/>
        <a:p>
          <a:endParaRPr lang="en-US"/>
        </a:p>
      </dgm:t>
    </dgm:pt>
    <dgm:pt modelId="{D08992F8-BDBB-004F-AECC-50B975A4ED3B}">
      <dgm:prSet phldrT="[Text]" custT="1"/>
      <dgm:spPr/>
      <dgm:t>
        <a:bodyPr/>
        <a:lstStyle/>
        <a:p>
          <a:r>
            <a:rPr lang="en-US" sz="2000"/>
            <a:t>PDP</a:t>
          </a:r>
        </a:p>
      </dgm:t>
    </dgm:pt>
    <dgm:pt modelId="{A0F8F0AF-4CE2-404A-88D3-269E11487AD2}" type="parTrans" cxnId="{B446557E-1B10-2A45-BA45-E5DB36C7E1C4}">
      <dgm:prSet/>
      <dgm:spPr/>
      <dgm:t>
        <a:bodyPr/>
        <a:lstStyle/>
        <a:p>
          <a:endParaRPr lang="en-US"/>
        </a:p>
      </dgm:t>
    </dgm:pt>
    <dgm:pt modelId="{3EB103D6-7719-5B4C-8C65-95270BFFAA33}" type="sibTrans" cxnId="{B446557E-1B10-2A45-BA45-E5DB36C7E1C4}">
      <dgm:prSet/>
      <dgm:spPr/>
      <dgm:t>
        <a:bodyPr/>
        <a:lstStyle/>
        <a:p>
          <a:endParaRPr lang="en-US"/>
        </a:p>
      </dgm:t>
    </dgm:pt>
    <dgm:pt modelId="{1A2E09FE-5BAD-0043-8906-FAACA506B185}">
      <dgm:prSet phldrT="[Text]" custT="1"/>
      <dgm:spPr/>
      <dgm:t>
        <a:bodyPr/>
        <a:lstStyle/>
        <a:p>
          <a:r>
            <a:rPr lang="en-US" sz="2000"/>
            <a:t>CTA</a:t>
          </a:r>
        </a:p>
      </dgm:t>
    </dgm:pt>
    <dgm:pt modelId="{19E63FC8-E0B6-4748-88C1-BF10C0F9EE56}" type="parTrans" cxnId="{D6ED251E-D4C4-1649-B0E1-0BC2D348FB2B}">
      <dgm:prSet/>
      <dgm:spPr/>
      <dgm:t>
        <a:bodyPr/>
        <a:lstStyle/>
        <a:p>
          <a:endParaRPr lang="en-US"/>
        </a:p>
      </dgm:t>
    </dgm:pt>
    <dgm:pt modelId="{3E6378C4-CF5F-D142-9A86-55C1850B8672}" type="sibTrans" cxnId="{D6ED251E-D4C4-1649-B0E1-0BC2D348FB2B}">
      <dgm:prSet/>
      <dgm:spPr/>
      <dgm:t>
        <a:bodyPr/>
        <a:lstStyle/>
        <a:p>
          <a:endParaRPr lang="en-US"/>
        </a:p>
      </dgm:t>
    </dgm:pt>
    <dgm:pt modelId="{345DA019-8CD4-4940-9558-C53C95994DC5}">
      <dgm:prSet phldrT="[Text]" custT="1"/>
      <dgm:spPr/>
      <dgm:t>
        <a:bodyPr/>
        <a:lstStyle/>
        <a:p>
          <a:r>
            <a:rPr lang="en-US" sz="2000"/>
            <a:t>Banner</a:t>
          </a:r>
        </a:p>
      </dgm:t>
    </dgm:pt>
    <dgm:pt modelId="{98C89D6D-25C2-5D43-BD59-03CAD0D78E9D}" type="parTrans" cxnId="{65D20BE9-F014-C347-B877-5A1339179F2D}">
      <dgm:prSet/>
      <dgm:spPr/>
      <dgm:t>
        <a:bodyPr/>
        <a:lstStyle/>
        <a:p>
          <a:endParaRPr lang="en-US"/>
        </a:p>
      </dgm:t>
    </dgm:pt>
    <dgm:pt modelId="{889A38C9-ED19-6949-9AD2-F8B1E4CC8C4B}" type="sibTrans" cxnId="{65D20BE9-F014-C347-B877-5A1339179F2D}">
      <dgm:prSet/>
      <dgm:spPr/>
      <dgm:t>
        <a:bodyPr/>
        <a:lstStyle/>
        <a:p>
          <a:endParaRPr lang="en-US"/>
        </a:p>
      </dgm:t>
    </dgm:pt>
    <dgm:pt modelId="{31E89515-660A-CE40-BB52-7F8A1FB0FD4D}">
      <dgm:prSet phldrT="[Text]" custT="1"/>
      <dgm:spPr/>
      <dgm:t>
        <a:bodyPr/>
        <a:lstStyle/>
        <a:p>
          <a:r>
            <a:rPr lang="en-US" sz="2000"/>
            <a:t>Event Name</a:t>
          </a:r>
        </a:p>
      </dgm:t>
    </dgm:pt>
    <dgm:pt modelId="{860FC772-53AD-A445-8420-E5CFCF3C76F9}" type="parTrans" cxnId="{28E5340D-6B7A-1D43-BC9E-325CD297BCF0}">
      <dgm:prSet/>
      <dgm:spPr/>
      <dgm:t>
        <a:bodyPr/>
        <a:lstStyle/>
        <a:p>
          <a:endParaRPr lang="en-US"/>
        </a:p>
      </dgm:t>
    </dgm:pt>
    <dgm:pt modelId="{466CAD51-328E-3F49-B4D5-F0A95B629272}" type="sibTrans" cxnId="{28E5340D-6B7A-1D43-BC9E-325CD297BCF0}">
      <dgm:prSet/>
      <dgm:spPr/>
      <dgm:t>
        <a:bodyPr/>
        <a:lstStyle/>
        <a:p>
          <a:endParaRPr lang="en-US"/>
        </a:p>
      </dgm:t>
    </dgm:pt>
    <dgm:pt modelId="{E1F05352-CE41-8740-918E-12446EB6A27B}">
      <dgm:prSet phldrT="[Text]" custT="1"/>
      <dgm:spPr/>
      <dgm:t>
        <a:bodyPr/>
        <a:lstStyle/>
        <a:p>
          <a:r>
            <a:rPr lang="en-US" sz="2000"/>
            <a:t>Component</a:t>
          </a:r>
        </a:p>
      </dgm:t>
    </dgm:pt>
    <dgm:pt modelId="{3827E87F-4F1B-D442-88F4-AFAC62A4CCA0}" type="parTrans" cxnId="{6E55E2D5-FB42-9D46-94F3-CF72C50EF4EA}">
      <dgm:prSet/>
      <dgm:spPr/>
      <dgm:t>
        <a:bodyPr/>
        <a:lstStyle/>
        <a:p>
          <a:endParaRPr lang="en-US"/>
        </a:p>
      </dgm:t>
    </dgm:pt>
    <dgm:pt modelId="{5ED47843-BE80-F745-8082-40A6889AC4CE}" type="sibTrans" cxnId="{6E55E2D5-FB42-9D46-94F3-CF72C50EF4EA}">
      <dgm:prSet/>
      <dgm:spPr/>
      <dgm:t>
        <a:bodyPr/>
        <a:lstStyle/>
        <a:p>
          <a:endParaRPr lang="en-US"/>
        </a:p>
      </dgm:t>
    </dgm:pt>
    <dgm:pt modelId="{B632ACC1-E52B-8F43-8D77-1900AD2B68B3}">
      <dgm:prSet phldrT="[Text]" custT="1"/>
      <dgm:spPr/>
      <dgm:t>
        <a:bodyPr/>
        <a:lstStyle/>
        <a:p>
          <a:r>
            <a:rPr lang="en-US" sz="2000"/>
            <a:t>Page Type</a:t>
          </a:r>
        </a:p>
      </dgm:t>
    </dgm:pt>
    <dgm:pt modelId="{4F521BE2-E43D-B44A-BE9C-2C4BAB0A084B}" type="parTrans" cxnId="{66CED186-16CB-9A48-9110-2EC589BFF850}">
      <dgm:prSet/>
      <dgm:spPr/>
      <dgm:t>
        <a:bodyPr/>
        <a:lstStyle/>
        <a:p>
          <a:endParaRPr lang="en-US"/>
        </a:p>
      </dgm:t>
    </dgm:pt>
    <dgm:pt modelId="{EBBE2E8A-89C2-154B-B269-BBBC85DDB0F8}" type="sibTrans" cxnId="{66CED186-16CB-9A48-9110-2EC589BFF850}">
      <dgm:prSet/>
      <dgm:spPr/>
      <dgm:t>
        <a:bodyPr/>
        <a:lstStyle/>
        <a:p>
          <a:endParaRPr lang="en-US"/>
        </a:p>
      </dgm:t>
    </dgm:pt>
    <dgm:pt modelId="{8EEC38C7-6412-C541-BC32-51C0201A0599}">
      <dgm:prSet phldrT="[Text]" custT="1"/>
      <dgm:spPr/>
      <dgm:t>
        <a:bodyPr/>
        <a:lstStyle/>
        <a:p>
          <a:r>
            <a:rPr lang="en-US" sz="2400"/>
            <a:t>Roadmap </a:t>
          </a:r>
        </a:p>
      </dgm:t>
    </dgm:pt>
    <dgm:pt modelId="{77DE5599-143B-1B46-B450-CDDBB84B4E5C}" type="parTrans" cxnId="{AA29C513-7A12-2B44-A8F1-7067B0F1BD1F}">
      <dgm:prSet/>
      <dgm:spPr/>
      <dgm:t>
        <a:bodyPr/>
        <a:lstStyle/>
        <a:p>
          <a:endParaRPr lang="en-US"/>
        </a:p>
      </dgm:t>
    </dgm:pt>
    <dgm:pt modelId="{42B584B2-1583-9C4D-B654-1D9DC098FEAC}" type="sibTrans" cxnId="{AA29C513-7A12-2B44-A8F1-7067B0F1BD1F}">
      <dgm:prSet/>
      <dgm:spPr/>
      <dgm:t>
        <a:bodyPr/>
        <a:lstStyle/>
        <a:p>
          <a:endParaRPr lang="en-US"/>
        </a:p>
      </dgm:t>
    </dgm:pt>
    <dgm:pt modelId="{838F359B-E822-CA44-8C8F-C0663DD10C49}">
      <dgm:prSet/>
      <dgm:spPr/>
      <dgm:t>
        <a:bodyPr/>
        <a:lstStyle/>
        <a:p>
          <a:endParaRPr lang="en-US"/>
        </a:p>
      </dgm:t>
    </dgm:pt>
    <dgm:pt modelId="{5E36BF8E-99DF-D74B-875E-B8B52195D98F}" type="parTrans" cxnId="{A6A6CF71-7B6B-4E4C-9C2E-C713A3EDDA06}">
      <dgm:prSet/>
      <dgm:spPr/>
      <dgm:t>
        <a:bodyPr/>
        <a:lstStyle/>
        <a:p>
          <a:endParaRPr lang="en-US"/>
        </a:p>
      </dgm:t>
    </dgm:pt>
    <dgm:pt modelId="{38B20DA5-B9BF-FD41-9D01-98BA219291ED}" type="sibTrans" cxnId="{A6A6CF71-7B6B-4E4C-9C2E-C713A3EDDA06}">
      <dgm:prSet/>
      <dgm:spPr/>
      <dgm:t>
        <a:bodyPr/>
        <a:lstStyle/>
        <a:p>
          <a:endParaRPr lang="en-US"/>
        </a:p>
      </dgm:t>
    </dgm:pt>
    <dgm:pt modelId="{5F9EC1CF-A5DB-234B-B634-A3D94C54CBF6}" type="pres">
      <dgm:prSet presAssocID="{F1612F52-234C-2141-8C7B-7D54F4D59076}" presName="Name0" presStyleCnt="0">
        <dgm:presLayoutVars>
          <dgm:dir/>
          <dgm:animLvl val="lvl"/>
          <dgm:resizeHandles val="exact"/>
        </dgm:presLayoutVars>
      </dgm:prSet>
      <dgm:spPr/>
    </dgm:pt>
    <dgm:pt modelId="{4D2723EA-C21F-5D4E-8004-31926F4D1343}" type="pres">
      <dgm:prSet presAssocID="{E73A88CA-1EB8-294F-8ECF-07473D6D17A5}" presName="composite" presStyleCnt="0"/>
      <dgm:spPr/>
    </dgm:pt>
    <dgm:pt modelId="{A43AEC31-881E-464B-8139-BAED7279CB01}" type="pres">
      <dgm:prSet presAssocID="{E73A88CA-1EB8-294F-8ECF-07473D6D17A5}" presName="parTx" presStyleLbl="alignNode1" presStyleIdx="0" presStyleCnt="6">
        <dgm:presLayoutVars>
          <dgm:chMax val="0"/>
          <dgm:chPref val="0"/>
        </dgm:presLayoutVars>
      </dgm:prSet>
      <dgm:spPr/>
    </dgm:pt>
    <dgm:pt modelId="{ABCEB2D3-D845-5246-9E2C-4E01AB5341F0}" type="pres">
      <dgm:prSet presAssocID="{E73A88CA-1EB8-294F-8ECF-07473D6D17A5}" presName="bgOutline" presStyleLbl="fgAcc1" presStyleIdx="0" presStyleCnt="6">
        <dgm:presLayoutVars>
          <dgm:bulletEnabled/>
        </dgm:presLayoutVars>
      </dgm:prSet>
      <dgm:spPr/>
    </dgm:pt>
    <dgm:pt modelId="{643C81B4-41F8-3848-A745-B552BEB90497}" type="pres">
      <dgm:prSet presAssocID="{5BA1A021-156D-9343-9D4D-2571E42F1D30}" presName="space" presStyleCnt="0"/>
      <dgm:spPr/>
    </dgm:pt>
    <dgm:pt modelId="{D26ABEA2-C65B-D244-B802-5E27C9F13AD8}" type="pres">
      <dgm:prSet presAssocID="{BEB8CCBC-00DD-D445-AD9A-A5611DF3A8F0}" presName="composite" presStyleCnt="0"/>
      <dgm:spPr/>
    </dgm:pt>
    <dgm:pt modelId="{6B12D967-7C08-0E46-A9A8-85EA6BDA5BC8}" type="pres">
      <dgm:prSet presAssocID="{BEB8CCBC-00DD-D445-AD9A-A5611DF3A8F0}" presName="parTx" presStyleLbl="alignNode1" presStyleIdx="1" presStyleCnt="6">
        <dgm:presLayoutVars>
          <dgm:chMax val="0"/>
          <dgm:chPref val="0"/>
        </dgm:presLayoutVars>
      </dgm:prSet>
      <dgm:spPr/>
    </dgm:pt>
    <dgm:pt modelId="{E8DCCF41-854F-2F4F-ACB7-35F95962CD9C}" type="pres">
      <dgm:prSet presAssocID="{BEB8CCBC-00DD-D445-AD9A-A5611DF3A8F0}" presName="bgOutline" presStyleLbl="fgAcc1" presStyleIdx="1" presStyleCnt="6">
        <dgm:presLayoutVars>
          <dgm:bulletEnabled/>
        </dgm:presLayoutVars>
      </dgm:prSet>
      <dgm:spPr/>
    </dgm:pt>
    <dgm:pt modelId="{CB6E908F-D245-244E-972C-6114C51F1079}" type="pres">
      <dgm:prSet presAssocID="{696FEF52-F6CE-B742-8ABE-D54CCAB327C4}" presName="space" presStyleCnt="0"/>
      <dgm:spPr/>
    </dgm:pt>
    <dgm:pt modelId="{7D4C02D7-4B10-ED4B-B3EE-1CA6A081BF82}" type="pres">
      <dgm:prSet presAssocID="{8EEC38C7-6412-C541-BC32-51C0201A0599}" presName="composite" presStyleCnt="0"/>
      <dgm:spPr/>
    </dgm:pt>
    <dgm:pt modelId="{516746DD-69D0-E74E-B2D3-3C2783191F3B}" type="pres">
      <dgm:prSet presAssocID="{8EEC38C7-6412-C541-BC32-51C0201A0599}" presName="parTx" presStyleLbl="alignNode1" presStyleIdx="2" presStyleCnt="6">
        <dgm:presLayoutVars>
          <dgm:chMax val="0"/>
          <dgm:chPref val="0"/>
        </dgm:presLayoutVars>
      </dgm:prSet>
      <dgm:spPr/>
    </dgm:pt>
    <dgm:pt modelId="{D46AE679-08A1-E94C-87A0-6593CFDBFB5C}" type="pres">
      <dgm:prSet presAssocID="{8EEC38C7-6412-C541-BC32-51C0201A0599}" presName="bgOutline" presStyleLbl="fgAcc1" presStyleIdx="2" presStyleCnt="6">
        <dgm:presLayoutVars>
          <dgm:bulletEnabled/>
        </dgm:presLayoutVars>
      </dgm:prSet>
      <dgm:spPr/>
    </dgm:pt>
    <dgm:pt modelId="{AC08F8DD-2362-DA4D-B1FB-6C8E1C5FE993}" type="pres">
      <dgm:prSet presAssocID="{42B584B2-1583-9C4D-B654-1D9DC098FEAC}" presName="space" presStyleCnt="0"/>
      <dgm:spPr/>
    </dgm:pt>
    <dgm:pt modelId="{650D170A-E5B8-0645-9741-DC65EFAB4FDA}" type="pres">
      <dgm:prSet presAssocID="{75867D3A-F27F-3548-8145-82326C585F90}" presName="composite" presStyleCnt="0"/>
      <dgm:spPr/>
    </dgm:pt>
    <dgm:pt modelId="{CBA54FD0-8649-8B46-8731-481C940FB1B5}" type="pres">
      <dgm:prSet presAssocID="{75867D3A-F27F-3548-8145-82326C585F90}" presName="parTx" presStyleLbl="alignNode1" presStyleIdx="3" presStyleCnt="6">
        <dgm:presLayoutVars>
          <dgm:chMax val="0"/>
          <dgm:chPref val="0"/>
        </dgm:presLayoutVars>
      </dgm:prSet>
      <dgm:spPr/>
    </dgm:pt>
    <dgm:pt modelId="{7C72AFED-13FD-FE41-98E6-4CA8FE290E66}" type="pres">
      <dgm:prSet presAssocID="{75867D3A-F27F-3548-8145-82326C585F90}" presName="bgOutline" presStyleLbl="fgAcc1" presStyleIdx="3" presStyleCnt="6" custLinFactNeighborY="-1299">
        <dgm:presLayoutVars>
          <dgm:bulletEnabled/>
        </dgm:presLayoutVars>
      </dgm:prSet>
      <dgm:spPr/>
    </dgm:pt>
    <dgm:pt modelId="{9BC575F5-CC84-DD43-9EED-CD21321BA647}" type="pres">
      <dgm:prSet presAssocID="{13310445-3BF4-2148-A306-5C45908AE28C}" presName="space" presStyleCnt="0"/>
      <dgm:spPr/>
    </dgm:pt>
    <dgm:pt modelId="{E8EE9121-D896-6346-9816-7D22F0E6C8D7}" type="pres">
      <dgm:prSet presAssocID="{AD87869B-3A0D-0E4F-A03C-1032C0B93A0C}" presName="composite" presStyleCnt="0"/>
      <dgm:spPr/>
    </dgm:pt>
    <dgm:pt modelId="{82EFCBE4-F483-F249-A7D0-CFFF85B0EFAC}" type="pres">
      <dgm:prSet presAssocID="{AD87869B-3A0D-0E4F-A03C-1032C0B93A0C}" presName="parTx" presStyleLbl="alignNode1" presStyleIdx="4" presStyleCnt="6">
        <dgm:presLayoutVars>
          <dgm:chMax val="0"/>
          <dgm:chPref val="0"/>
        </dgm:presLayoutVars>
      </dgm:prSet>
      <dgm:spPr/>
    </dgm:pt>
    <dgm:pt modelId="{201D1C0A-4E9D-0945-917F-83CC8E219E95}" type="pres">
      <dgm:prSet presAssocID="{AD87869B-3A0D-0E4F-A03C-1032C0B93A0C}" presName="bgOutline" presStyleLbl="fgAcc1" presStyleIdx="4" presStyleCnt="6">
        <dgm:presLayoutVars>
          <dgm:bulletEnabled/>
        </dgm:presLayoutVars>
      </dgm:prSet>
      <dgm:spPr/>
    </dgm:pt>
    <dgm:pt modelId="{5441F07C-69F1-674C-8D10-38B77184C3A8}" type="pres">
      <dgm:prSet presAssocID="{18D4B0C3-5BE2-8D46-AD72-504050400BBD}" presName="space" presStyleCnt="0"/>
      <dgm:spPr/>
    </dgm:pt>
    <dgm:pt modelId="{F63B712E-1E2C-2A48-9340-5DA4226F474B}" type="pres">
      <dgm:prSet presAssocID="{07A36E04-CF7B-4440-B096-220F8869BE9C}" presName="composite" presStyleCnt="0"/>
      <dgm:spPr/>
    </dgm:pt>
    <dgm:pt modelId="{E05A329D-2B7C-CA4D-B7B2-F8298E500F2A}" type="pres">
      <dgm:prSet presAssocID="{07A36E04-CF7B-4440-B096-220F8869BE9C}" presName="parTx" presStyleLbl="alignNode1" presStyleIdx="5" presStyleCnt="6">
        <dgm:presLayoutVars>
          <dgm:chMax val="0"/>
          <dgm:chPref val="0"/>
        </dgm:presLayoutVars>
      </dgm:prSet>
      <dgm:spPr/>
    </dgm:pt>
    <dgm:pt modelId="{46A67BDC-C2E4-7642-8FA3-AFD58E487B49}" type="pres">
      <dgm:prSet presAssocID="{07A36E04-CF7B-4440-B096-220F8869BE9C}" presName="bgOutline" presStyleLbl="fgAcc1" presStyleIdx="5" presStyleCnt="6">
        <dgm:presLayoutVars>
          <dgm:bulletEnabled/>
        </dgm:presLayoutVars>
      </dgm:prSet>
      <dgm:spPr/>
    </dgm:pt>
  </dgm:ptLst>
  <dgm:cxnLst>
    <dgm:cxn modelId="{800C0902-B52D-9240-A36E-F7A42CA0F06E}" type="presOf" srcId="{91087808-874D-1744-998A-127D7DC581F1}" destId="{E8DCCF41-854F-2F4F-ACB7-35F95962CD9C}" srcOrd="0" destOrd="1" presId="urn:microsoft.com/office/officeart/2024/layout/HorizontalActionList"/>
    <dgm:cxn modelId="{73CB1207-6E02-D44F-931E-ED177573F2F1}" srcId="{BEB8CCBC-00DD-D445-AD9A-A5611DF3A8F0}" destId="{91087808-874D-1744-998A-127D7DC581F1}" srcOrd="1" destOrd="0" parTransId="{484822E6-8465-884C-89FD-55421D13C88F}" sibTransId="{301FB0F9-FD1D-5743-BD7B-079CDE08FDA6}"/>
    <dgm:cxn modelId="{36788808-543A-C148-9F6C-B6EB58DD6CBB}" srcId="{F1612F52-234C-2141-8C7B-7D54F4D59076}" destId="{BEB8CCBC-00DD-D445-AD9A-A5611DF3A8F0}" srcOrd="1" destOrd="0" parTransId="{A184216D-A49D-AF4E-B7DC-60BF70A91683}" sibTransId="{696FEF52-F6CE-B742-8ABE-D54CCAB327C4}"/>
    <dgm:cxn modelId="{28E5340D-6B7A-1D43-BC9E-325CD297BCF0}" srcId="{07A36E04-CF7B-4440-B096-220F8869BE9C}" destId="{31E89515-660A-CE40-BB52-7F8A1FB0FD4D}" srcOrd="0" destOrd="0" parTransId="{860FC772-53AD-A445-8420-E5CFCF3C76F9}" sibTransId="{466CAD51-328E-3F49-B4D5-F0A95B629272}"/>
    <dgm:cxn modelId="{A5D4F30E-C1F7-A542-B0CA-99C7FDA09E9A}" type="presOf" srcId="{D7E1FB30-4EC7-F142-83B6-1846662D3DE0}" destId="{E8DCCF41-854F-2F4F-ACB7-35F95962CD9C}" srcOrd="0" destOrd="3" presId="urn:microsoft.com/office/officeart/2024/layout/HorizontalActionList"/>
    <dgm:cxn modelId="{AA29C513-7A12-2B44-A8F1-7067B0F1BD1F}" srcId="{F1612F52-234C-2141-8C7B-7D54F4D59076}" destId="{8EEC38C7-6412-C541-BC32-51C0201A0599}" srcOrd="2" destOrd="0" parTransId="{77DE5599-143B-1B46-B450-CDDBB84B4E5C}" sibTransId="{42B584B2-1583-9C4D-B654-1D9DC098FEAC}"/>
    <dgm:cxn modelId="{C162211C-8BD6-4D4D-B4CB-B1C5793A630B}" type="presOf" srcId="{3EAB79CB-EB45-9649-A2F3-0A2209C06874}" destId="{201D1C0A-4E9D-0945-917F-83CC8E219E95}" srcOrd="0" destOrd="0" presId="urn:microsoft.com/office/officeart/2024/layout/HorizontalActionList"/>
    <dgm:cxn modelId="{D6ED251E-D4C4-1649-B0E1-0BC2D348FB2B}" srcId="{AD87869B-3A0D-0E4F-A03C-1032C0B93A0C}" destId="{1A2E09FE-5BAD-0043-8906-FAACA506B185}" srcOrd="2" destOrd="0" parTransId="{19E63FC8-E0B6-4748-88C1-BF10C0F9EE56}" sibTransId="{3E6378C4-CF5F-D142-9A86-55C1850B8672}"/>
    <dgm:cxn modelId="{F4E0C42C-19F0-6D42-A8BA-B12F9A90E3F9}" srcId="{E73A88CA-1EB8-294F-8ECF-07473D6D17A5}" destId="{FE952394-0880-0549-9C6C-416B14DC48CD}" srcOrd="1" destOrd="0" parTransId="{33DCBC9A-62C9-094C-A92D-BD388BF998A3}" sibTransId="{C8DAF2C2-AF7B-2449-B2E3-E08EDD2226A9}"/>
    <dgm:cxn modelId="{EA97DE2F-DDA0-7541-9E8F-7D044246F42F}" type="presOf" srcId="{07A36E04-CF7B-4440-B096-220F8869BE9C}" destId="{E05A329D-2B7C-CA4D-B7B2-F8298E500F2A}" srcOrd="0" destOrd="0" presId="urn:microsoft.com/office/officeart/2024/layout/HorizontalActionList"/>
    <dgm:cxn modelId="{54974C38-1989-3241-9057-CA79D878C4C1}" type="presOf" srcId="{CCDE4DFD-2E1B-5D41-B803-10B2C6B794D5}" destId="{ABCEB2D3-D845-5246-9E2C-4E01AB5341F0}" srcOrd="0" destOrd="0" presId="urn:microsoft.com/office/officeart/2024/layout/HorizontalActionList"/>
    <dgm:cxn modelId="{DF959141-E3D1-A84C-BD91-414748C52B29}" type="presOf" srcId="{345DA019-8CD4-4940-9558-C53C95994DC5}" destId="{201D1C0A-4E9D-0945-917F-83CC8E219E95}" srcOrd="0" destOrd="3" presId="urn:microsoft.com/office/officeart/2024/layout/HorizontalActionList"/>
    <dgm:cxn modelId="{94CC284E-94EE-A24D-9E25-15E2C0CB2A73}" type="presOf" srcId="{E55D85D8-253E-E241-A687-B093866560DD}" destId="{7C72AFED-13FD-FE41-98E6-4CA8FE290E66}" srcOrd="0" destOrd="0" presId="urn:microsoft.com/office/officeart/2024/layout/HorizontalActionList"/>
    <dgm:cxn modelId="{BAF75D65-7227-BB4D-9F0C-2103E7CB8C60}" srcId="{F1612F52-234C-2141-8C7B-7D54F4D59076}" destId="{07A36E04-CF7B-4440-B096-220F8869BE9C}" srcOrd="5" destOrd="0" parTransId="{34B86729-4D35-A349-9982-68AE221F82AB}" sibTransId="{F6CC92EA-ADFF-1B44-8CBC-39904476D671}"/>
    <dgm:cxn modelId="{C69E2866-2D4B-F343-B19B-BF58E2B83B49}" type="presOf" srcId="{E1F05352-CE41-8740-918E-12446EB6A27B}" destId="{46A67BDC-C2E4-7642-8FA3-AFD58E487B49}" srcOrd="0" destOrd="1" presId="urn:microsoft.com/office/officeart/2024/layout/HorizontalActionList"/>
    <dgm:cxn modelId="{1BD51867-641A-F747-AAF8-960E30C2F478}" srcId="{E73A88CA-1EB8-294F-8ECF-07473D6D17A5}" destId="{4E174DEB-3FE1-C847-B335-69EEA40C1AFF}" srcOrd="2" destOrd="0" parTransId="{EB42EF59-8CFC-9744-85C1-A94BE6FD5AD4}" sibTransId="{87B305F3-CA94-A748-881D-F93F291E111F}"/>
    <dgm:cxn modelId="{9F62EE6A-D3BF-1148-8E01-F1AD96A0E9D6}" srcId="{AD87869B-3A0D-0E4F-A03C-1032C0B93A0C}" destId="{3EAB79CB-EB45-9649-A2F3-0A2209C06874}" srcOrd="0" destOrd="0" parTransId="{1FA7D950-1903-3040-A3C0-4A08485F104D}" sibTransId="{23B7371F-0F85-CE4D-A120-1AA6784283D7}"/>
    <dgm:cxn modelId="{ECE3156C-FD20-E941-9CC3-2C0A22C597E4}" type="presOf" srcId="{2E458F7C-9C1A-AA4A-BD82-BDBDCAEEF0FE}" destId="{7C72AFED-13FD-FE41-98E6-4CA8FE290E66}" srcOrd="0" destOrd="1" presId="urn:microsoft.com/office/officeart/2024/layout/HorizontalActionList"/>
    <dgm:cxn modelId="{A6A6CF71-7B6B-4E4C-9C2E-C713A3EDDA06}" srcId="{8EEC38C7-6412-C541-BC32-51C0201A0599}" destId="{838F359B-E822-CA44-8C8F-C0663DD10C49}" srcOrd="0" destOrd="0" parTransId="{5E36BF8E-99DF-D74B-875E-B8B52195D98F}" sibTransId="{38B20DA5-B9BF-FD41-9D01-98BA219291ED}"/>
    <dgm:cxn modelId="{03B2057B-7019-7840-9CE9-A72F763BB50C}" srcId="{BEB8CCBC-00DD-D445-AD9A-A5611DF3A8F0}" destId="{EE405F44-65F1-074A-B2CF-AC9E1093FF81}" srcOrd="0" destOrd="0" parTransId="{D5A786D1-B84C-AE44-B0C1-ACE319630D0A}" sibTransId="{E70133D5-01DB-4C4A-BE1D-1ADB93D0DC72}"/>
    <dgm:cxn modelId="{B446557E-1B10-2A45-BA45-E5DB36C7E1C4}" srcId="{AD87869B-3A0D-0E4F-A03C-1032C0B93A0C}" destId="{D08992F8-BDBB-004F-AECC-50B975A4ED3B}" srcOrd="1" destOrd="0" parTransId="{A0F8F0AF-4CE2-404A-88D3-269E11487AD2}" sibTransId="{3EB103D6-7719-5B4C-8C65-95270BFFAA33}"/>
    <dgm:cxn modelId="{865E5083-91BE-B54E-988C-3BE857D53010}" type="presOf" srcId="{AD87869B-3A0D-0E4F-A03C-1032C0B93A0C}" destId="{82EFCBE4-F483-F249-A7D0-CFFF85B0EFAC}" srcOrd="0" destOrd="0" presId="urn:microsoft.com/office/officeart/2024/layout/HorizontalActionList"/>
    <dgm:cxn modelId="{845C7185-E4CF-594A-9A28-A833AFD74674}" type="presOf" srcId="{75867D3A-F27F-3548-8145-82326C585F90}" destId="{CBA54FD0-8649-8B46-8731-481C940FB1B5}" srcOrd="0" destOrd="0" presId="urn:microsoft.com/office/officeart/2024/layout/HorizontalActionList"/>
    <dgm:cxn modelId="{66CED186-16CB-9A48-9110-2EC589BFF850}" srcId="{07A36E04-CF7B-4440-B096-220F8869BE9C}" destId="{B632ACC1-E52B-8F43-8D77-1900AD2B68B3}" srcOrd="2" destOrd="0" parTransId="{4F521BE2-E43D-B44A-BE9C-2C4BAB0A084B}" sibTransId="{EBBE2E8A-89C2-154B-B269-BBBC85DDB0F8}"/>
    <dgm:cxn modelId="{66807294-9215-EA47-A850-1A707D9696EF}" type="presOf" srcId="{D08992F8-BDBB-004F-AECC-50B975A4ED3B}" destId="{201D1C0A-4E9D-0945-917F-83CC8E219E95}" srcOrd="0" destOrd="1" presId="urn:microsoft.com/office/officeart/2024/layout/HorizontalActionList"/>
    <dgm:cxn modelId="{B6AF1A96-C7B0-2944-A1B4-E05547466A42}" srcId="{F1612F52-234C-2141-8C7B-7D54F4D59076}" destId="{E73A88CA-1EB8-294F-8ECF-07473D6D17A5}" srcOrd="0" destOrd="0" parTransId="{45CBB9AD-B352-AD4A-9CF0-14D2076A430F}" sibTransId="{5BA1A021-156D-9343-9D4D-2571E42F1D30}"/>
    <dgm:cxn modelId="{91572D97-96B2-E24C-8A65-B5DEC6D12B29}" srcId="{F1612F52-234C-2141-8C7B-7D54F4D59076}" destId="{75867D3A-F27F-3548-8145-82326C585F90}" srcOrd="3" destOrd="0" parTransId="{DD06C621-6647-494B-8B09-F0F2FEC9D38B}" sibTransId="{13310445-3BF4-2148-A306-5C45908AE28C}"/>
    <dgm:cxn modelId="{0186EA98-6212-334E-BB68-A67A874C6F52}" type="presOf" srcId="{E73A88CA-1EB8-294F-8ECF-07473D6D17A5}" destId="{A43AEC31-881E-464B-8139-BAED7279CB01}" srcOrd="0" destOrd="0" presId="urn:microsoft.com/office/officeart/2024/layout/HorizontalActionList"/>
    <dgm:cxn modelId="{D188119D-70FD-4440-BC13-61322720E7B1}" type="presOf" srcId="{BEB8CCBC-00DD-D445-AD9A-A5611DF3A8F0}" destId="{6B12D967-7C08-0E46-A9A8-85EA6BDA5BC8}" srcOrd="0" destOrd="0" presId="urn:microsoft.com/office/officeart/2024/layout/HorizontalActionList"/>
    <dgm:cxn modelId="{E58CD0A4-BE0E-1244-99B1-553ACC3577DC}" srcId="{75867D3A-F27F-3548-8145-82326C585F90}" destId="{2E458F7C-9C1A-AA4A-BD82-BDBDCAEEF0FE}" srcOrd="1" destOrd="0" parTransId="{CE78A2F4-457B-C048-BFA2-7BB42F6A7640}" sibTransId="{961A2021-A909-644E-82A5-0836DB8C20DF}"/>
    <dgm:cxn modelId="{C64970B1-9B7B-B041-A236-C4566A77C3E9}" type="presOf" srcId="{1A2E09FE-5BAD-0043-8906-FAACA506B185}" destId="{201D1C0A-4E9D-0945-917F-83CC8E219E95}" srcOrd="0" destOrd="2" presId="urn:microsoft.com/office/officeart/2024/layout/HorizontalActionList"/>
    <dgm:cxn modelId="{387C6CC7-57C2-EA47-ABA0-643C3CFB972C}" type="presOf" srcId="{F1612F52-234C-2141-8C7B-7D54F4D59076}" destId="{5F9EC1CF-A5DB-234B-B634-A3D94C54CBF6}" srcOrd="0" destOrd="0" presId="urn:microsoft.com/office/officeart/2024/layout/HorizontalActionList"/>
    <dgm:cxn modelId="{5BE0CDC8-8D9D-714E-A764-EF58872F8659}" type="presOf" srcId="{FE952394-0880-0549-9C6C-416B14DC48CD}" destId="{ABCEB2D3-D845-5246-9E2C-4E01AB5341F0}" srcOrd="0" destOrd="1" presId="urn:microsoft.com/office/officeart/2024/layout/HorizontalActionList"/>
    <dgm:cxn modelId="{5AB946CA-266D-B84B-B48D-B1827EDC2FA0}" srcId="{F1612F52-234C-2141-8C7B-7D54F4D59076}" destId="{AD87869B-3A0D-0E4F-A03C-1032C0B93A0C}" srcOrd="4" destOrd="0" parTransId="{A470B52C-2749-1341-82BE-26C5880A6F15}" sibTransId="{18D4B0C3-5BE2-8D46-AD72-504050400BBD}"/>
    <dgm:cxn modelId="{414E42CC-B7D5-2F4C-9F60-81F02317F6CF}" type="presOf" srcId="{31E89515-660A-CE40-BB52-7F8A1FB0FD4D}" destId="{46A67BDC-C2E4-7642-8FA3-AFD58E487B49}" srcOrd="0" destOrd="0" presId="urn:microsoft.com/office/officeart/2024/layout/HorizontalActionList"/>
    <dgm:cxn modelId="{C81B7BCD-8F93-F242-B41A-2A98FDA925A1}" type="presOf" srcId="{8EEC38C7-6412-C541-BC32-51C0201A0599}" destId="{516746DD-69D0-E74E-B2D3-3C2783191F3B}" srcOrd="0" destOrd="0" presId="urn:microsoft.com/office/officeart/2024/layout/HorizontalActionList"/>
    <dgm:cxn modelId="{14B31BD0-882D-034B-8177-B8FB30098F2A}" type="presOf" srcId="{5B05B22C-733C-5348-8BE5-94704A367077}" destId="{E8DCCF41-854F-2F4F-ACB7-35F95962CD9C}" srcOrd="0" destOrd="2" presId="urn:microsoft.com/office/officeart/2024/layout/HorizontalActionList"/>
    <dgm:cxn modelId="{A96085D0-7E98-F247-A17A-B0127EB5B8C4}" srcId="{75867D3A-F27F-3548-8145-82326C585F90}" destId="{E55D85D8-253E-E241-A687-B093866560DD}" srcOrd="0" destOrd="0" parTransId="{9AA48CB5-DD1D-9643-A782-923B5CFAF02B}" sibTransId="{7A12488D-ABE4-7045-8D87-2F2292B75A27}"/>
    <dgm:cxn modelId="{E8540AD2-F076-5943-B4B3-390275EE29A3}" srcId="{E73A88CA-1EB8-294F-8ECF-07473D6D17A5}" destId="{CCDE4DFD-2E1B-5D41-B803-10B2C6B794D5}" srcOrd="0" destOrd="0" parTransId="{F4D0F1C9-8D28-4E40-AB0F-ED2AA0185726}" sibTransId="{441C1B48-C508-3042-9694-6E5D8E69490B}"/>
    <dgm:cxn modelId="{6E55E2D5-FB42-9D46-94F3-CF72C50EF4EA}" srcId="{07A36E04-CF7B-4440-B096-220F8869BE9C}" destId="{E1F05352-CE41-8740-918E-12446EB6A27B}" srcOrd="1" destOrd="0" parTransId="{3827E87F-4F1B-D442-88F4-AFAC62A4CCA0}" sibTransId="{5ED47843-BE80-F745-8082-40A6889AC4CE}"/>
    <dgm:cxn modelId="{9E013DD6-E63B-6C41-BF0C-322EE390E609}" type="presOf" srcId="{B632ACC1-E52B-8F43-8D77-1900AD2B68B3}" destId="{46A67BDC-C2E4-7642-8FA3-AFD58E487B49}" srcOrd="0" destOrd="2" presId="urn:microsoft.com/office/officeart/2024/layout/HorizontalActionList"/>
    <dgm:cxn modelId="{A9A137DD-4111-8B47-8381-D6E91AFB573F}" type="presOf" srcId="{4E174DEB-3FE1-C847-B335-69EEA40C1AFF}" destId="{ABCEB2D3-D845-5246-9E2C-4E01AB5341F0}" srcOrd="0" destOrd="2" presId="urn:microsoft.com/office/officeart/2024/layout/HorizontalActionList"/>
    <dgm:cxn modelId="{90EE56DE-C3FA-B544-AB47-782349A04393}" srcId="{BEB8CCBC-00DD-D445-AD9A-A5611DF3A8F0}" destId="{5B05B22C-733C-5348-8BE5-94704A367077}" srcOrd="2" destOrd="0" parTransId="{515FBE73-2C7F-1F45-8691-8FE1A2D51AFD}" sibTransId="{C8AC27C6-5C08-9045-8AED-33E1A79E4015}"/>
    <dgm:cxn modelId="{65D20BE9-F014-C347-B877-5A1339179F2D}" srcId="{AD87869B-3A0D-0E4F-A03C-1032C0B93A0C}" destId="{345DA019-8CD4-4940-9558-C53C95994DC5}" srcOrd="3" destOrd="0" parTransId="{98C89D6D-25C2-5D43-BD59-03CAD0D78E9D}" sibTransId="{889A38C9-ED19-6949-9AD2-F8B1E4CC8C4B}"/>
    <dgm:cxn modelId="{AE33C6EA-26ED-9041-A0A0-66CB23C298DC}" srcId="{BEB8CCBC-00DD-D445-AD9A-A5611DF3A8F0}" destId="{D7E1FB30-4EC7-F142-83B6-1846662D3DE0}" srcOrd="3" destOrd="0" parTransId="{9898F444-5325-6E43-BF9C-51085F39471E}" sibTransId="{E8EC6E11-E1AD-3341-8552-AC80B7916ED5}"/>
    <dgm:cxn modelId="{F42CE6EA-2D31-364E-8044-7372ED5DC1EE}" type="presOf" srcId="{EE405F44-65F1-074A-B2CF-AC9E1093FF81}" destId="{E8DCCF41-854F-2F4F-ACB7-35F95962CD9C}" srcOrd="0" destOrd="0" presId="urn:microsoft.com/office/officeart/2024/layout/HorizontalActionList"/>
    <dgm:cxn modelId="{0892ABF8-0EF5-544F-9C81-968F985B2413}" type="presOf" srcId="{838F359B-E822-CA44-8C8F-C0663DD10C49}" destId="{D46AE679-08A1-E94C-87A0-6593CFDBFB5C}" srcOrd="0" destOrd="0" presId="urn:microsoft.com/office/officeart/2024/layout/HorizontalActionList"/>
    <dgm:cxn modelId="{93180B53-5FC7-864A-892B-17CECC35DFEE}" type="presParOf" srcId="{5F9EC1CF-A5DB-234B-B634-A3D94C54CBF6}" destId="{4D2723EA-C21F-5D4E-8004-31926F4D1343}" srcOrd="0" destOrd="0" presId="urn:microsoft.com/office/officeart/2024/layout/HorizontalActionList"/>
    <dgm:cxn modelId="{2759C40E-528B-A34C-A0EA-30DF92AEE0E2}" type="presParOf" srcId="{4D2723EA-C21F-5D4E-8004-31926F4D1343}" destId="{A43AEC31-881E-464B-8139-BAED7279CB01}" srcOrd="0" destOrd="0" presId="urn:microsoft.com/office/officeart/2024/layout/HorizontalActionList"/>
    <dgm:cxn modelId="{F2F8BB25-2BA9-0546-AFED-5A940C26403F}" type="presParOf" srcId="{4D2723EA-C21F-5D4E-8004-31926F4D1343}" destId="{ABCEB2D3-D845-5246-9E2C-4E01AB5341F0}" srcOrd="1" destOrd="0" presId="urn:microsoft.com/office/officeart/2024/layout/HorizontalActionList"/>
    <dgm:cxn modelId="{9BFE0696-95EE-2D49-A0CB-5DB9DA5FCEFC}" type="presParOf" srcId="{5F9EC1CF-A5DB-234B-B634-A3D94C54CBF6}" destId="{643C81B4-41F8-3848-A745-B552BEB90497}" srcOrd="1" destOrd="0" presId="urn:microsoft.com/office/officeart/2024/layout/HorizontalActionList"/>
    <dgm:cxn modelId="{ACAA9910-7AE2-B64D-B735-FAC079CFF89B}" type="presParOf" srcId="{5F9EC1CF-A5DB-234B-B634-A3D94C54CBF6}" destId="{D26ABEA2-C65B-D244-B802-5E27C9F13AD8}" srcOrd="2" destOrd="0" presId="urn:microsoft.com/office/officeart/2024/layout/HorizontalActionList"/>
    <dgm:cxn modelId="{44B32451-2C48-314A-A109-C0B1B976B36A}" type="presParOf" srcId="{D26ABEA2-C65B-D244-B802-5E27C9F13AD8}" destId="{6B12D967-7C08-0E46-A9A8-85EA6BDA5BC8}" srcOrd="0" destOrd="0" presId="urn:microsoft.com/office/officeart/2024/layout/HorizontalActionList"/>
    <dgm:cxn modelId="{42A36C2F-3C41-D64A-AEC7-040E5B1AE525}" type="presParOf" srcId="{D26ABEA2-C65B-D244-B802-5E27C9F13AD8}" destId="{E8DCCF41-854F-2F4F-ACB7-35F95962CD9C}" srcOrd="1" destOrd="0" presId="urn:microsoft.com/office/officeart/2024/layout/HorizontalActionList"/>
    <dgm:cxn modelId="{D381DD37-6731-364E-9982-F8F5A95A12F8}" type="presParOf" srcId="{5F9EC1CF-A5DB-234B-B634-A3D94C54CBF6}" destId="{CB6E908F-D245-244E-972C-6114C51F1079}" srcOrd="3" destOrd="0" presId="urn:microsoft.com/office/officeart/2024/layout/HorizontalActionList"/>
    <dgm:cxn modelId="{C6EB7373-6F87-A043-8DC0-9DAB0605837D}" type="presParOf" srcId="{5F9EC1CF-A5DB-234B-B634-A3D94C54CBF6}" destId="{7D4C02D7-4B10-ED4B-B3EE-1CA6A081BF82}" srcOrd="4" destOrd="0" presId="urn:microsoft.com/office/officeart/2024/layout/HorizontalActionList"/>
    <dgm:cxn modelId="{1204D28F-705C-F749-A0E3-522B88B71BBE}" type="presParOf" srcId="{7D4C02D7-4B10-ED4B-B3EE-1CA6A081BF82}" destId="{516746DD-69D0-E74E-B2D3-3C2783191F3B}" srcOrd="0" destOrd="0" presId="urn:microsoft.com/office/officeart/2024/layout/HorizontalActionList"/>
    <dgm:cxn modelId="{F23CEC6D-A1BE-EF4F-B62F-F0E20E4C2E07}" type="presParOf" srcId="{7D4C02D7-4B10-ED4B-B3EE-1CA6A081BF82}" destId="{D46AE679-08A1-E94C-87A0-6593CFDBFB5C}" srcOrd="1" destOrd="0" presId="urn:microsoft.com/office/officeart/2024/layout/HorizontalActionList"/>
    <dgm:cxn modelId="{B74BCC1D-C5FC-044A-8851-FB878A5DDA52}" type="presParOf" srcId="{5F9EC1CF-A5DB-234B-B634-A3D94C54CBF6}" destId="{AC08F8DD-2362-DA4D-B1FB-6C8E1C5FE993}" srcOrd="5" destOrd="0" presId="urn:microsoft.com/office/officeart/2024/layout/HorizontalActionList"/>
    <dgm:cxn modelId="{4B84AE1C-9E95-024D-8F1A-07708927776A}" type="presParOf" srcId="{5F9EC1CF-A5DB-234B-B634-A3D94C54CBF6}" destId="{650D170A-E5B8-0645-9741-DC65EFAB4FDA}" srcOrd="6" destOrd="0" presId="urn:microsoft.com/office/officeart/2024/layout/HorizontalActionList"/>
    <dgm:cxn modelId="{694196D1-F3CE-3C4F-9015-D01C6F47023A}" type="presParOf" srcId="{650D170A-E5B8-0645-9741-DC65EFAB4FDA}" destId="{CBA54FD0-8649-8B46-8731-481C940FB1B5}" srcOrd="0" destOrd="0" presId="urn:microsoft.com/office/officeart/2024/layout/HorizontalActionList"/>
    <dgm:cxn modelId="{EDEDEE64-F496-DA4C-9B97-93AEAF94463B}" type="presParOf" srcId="{650D170A-E5B8-0645-9741-DC65EFAB4FDA}" destId="{7C72AFED-13FD-FE41-98E6-4CA8FE290E66}" srcOrd="1" destOrd="0" presId="urn:microsoft.com/office/officeart/2024/layout/HorizontalActionList"/>
    <dgm:cxn modelId="{A580BB2E-989D-EF45-BE5B-7D65740F9971}" type="presParOf" srcId="{5F9EC1CF-A5DB-234B-B634-A3D94C54CBF6}" destId="{9BC575F5-CC84-DD43-9EED-CD21321BA647}" srcOrd="7" destOrd="0" presId="urn:microsoft.com/office/officeart/2024/layout/HorizontalActionList"/>
    <dgm:cxn modelId="{EDDF111D-7D3F-7E47-A6E2-C88E0EE6830C}" type="presParOf" srcId="{5F9EC1CF-A5DB-234B-B634-A3D94C54CBF6}" destId="{E8EE9121-D896-6346-9816-7D22F0E6C8D7}" srcOrd="8" destOrd="0" presId="urn:microsoft.com/office/officeart/2024/layout/HorizontalActionList"/>
    <dgm:cxn modelId="{18100E60-5E13-4943-A9DA-DBAD0D8F299D}" type="presParOf" srcId="{E8EE9121-D896-6346-9816-7D22F0E6C8D7}" destId="{82EFCBE4-F483-F249-A7D0-CFFF85B0EFAC}" srcOrd="0" destOrd="0" presId="urn:microsoft.com/office/officeart/2024/layout/HorizontalActionList"/>
    <dgm:cxn modelId="{50991429-7C47-9C47-8798-C85567764422}" type="presParOf" srcId="{E8EE9121-D896-6346-9816-7D22F0E6C8D7}" destId="{201D1C0A-4E9D-0945-917F-83CC8E219E95}" srcOrd="1" destOrd="0" presId="urn:microsoft.com/office/officeart/2024/layout/HorizontalActionList"/>
    <dgm:cxn modelId="{3EB0F6DA-447D-7143-BBDA-E659987E087C}" type="presParOf" srcId="{5F9EC1CF-A5DB-234B-B634-A3D94C54CBF6}" destId="{5441F07C-69F1-674C-8D10-38B77184C3A8}" srcOrd="9" destOrd="0" presId="urn:microsoft.com/office/officeart/2024/layout/HorizontalActionList"/>
    <dgm:cxn modelId="{BD2C5D3C-519A-7046-A1D5-0C3806A9A0B1}" type="presParOf" srcId="{5F9EC1CF-A5DB-234B-B634-A3D94C54CBF6}" destId="{F63B712E-1E2C-2A48-9340-5DA4226F474B}" srcOrd="10" destOrd="0" presId="urn:microsoft.com/office/officeart/2024/layout/HorizontalActionList"/>
    <dgm:cxn modelId="{0A6403DD-B219-DB43-9ACA-6E3D257F222C}" type="presParOf" srcId="{F63B712E-1E2C-2A48-9340-5DA4226F474B}" destId="{E05A329D-2B7C-CA4D-B7B2-F8298E500F2A}" srcOrd="0" destOrd="0" presId="urn:microsoft.com/office/officeart/2024/layout/HorizontalActionList"/>
    <dgm:cxn modelId="{CD87CA34-A206-4F4E-A396-684DD553A51E}" type="presParOf" srcId="{F63B712E-1E2C-2A48-9340-5DA4226F474B}" destId="{46A67BDC-C2E4-7642-8FA3-AFD58E487B49}" srcOrd="1" destOrd="0" presId="urn:microsoft.com/office/officeart/2024/layout/HorizontalActionLis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ABCEB2D3-D845-5246-9E2C-4E01AB5341F0}">
      <dsp:nvSpPr>
        <dsp:cNvPr id="0" name=""/>
        <dsp:cNvSpPr/>
      </dsp:nvSpPr>
      <dsp:spPr>
        <a:xfrm rot="10800000">
          <a:off x="7610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b="1" kern="1200"/>
            <a:t>Used</a:t>
          </a:r>
          <a:r>
            <a:rPr lang="en-US" sz="2000" kern="1200"/>
            <a:t> - Isaac Mittelman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b="1" kern="1200"/>
            <a:t>B2B</a:t>
          </a:r>
          <a:r>
            <a:rPr lang="en-US" sz="2000" kern="1200"/>
            <a:t> - Danielo Garcia - The Studio B&amp;H, Kailee Richey - EDU, Rachel DiCastro - School Safety, Ariel Goldman - B2B Hub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b="1" kern="1200"/>
            <a:t>Find</a:t>
          </a:r>
          <a:r>
            <a:rPr lang="en-US" sz="2000" kern="1200"/>
            <a:t> - Eli Goldstein</a:t>
          </a:r>
        </a:p>
      </dsp:txBody>
      <dsp:txXfrm rot="10800000">
        <a:off x="138943" y="1980496"/>
        <a:ext cx="3677047" cy="2858030"/>
      </dsp:txXfrm>
    </dsp:sp>
    <dsp:sp modelId="{A43AEC31-881E-464B-8139-BAED7279CB01}">
      <dsp:nvSpPr>
        <dsp:cNvPr id="0" name=""/>
        <dsp:cNvSpPr/>
      </dsp:nvSpPr>
      <dsp:spPr>
        <a:xfrm>
          <a:off x="7610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Portfolios</a:t>
          </a:r>
        </a:p>
      </dsp:txBody>
      <dsp:txXfrm>
        <a:off x="163387" y="989817"/>
        <a:ext cx="3628159" cy="1026136"/>
      </dsp:txXfrm>
    </dsp:sp>
    <dsp:sp modelId="{E8DCCF41-854F-2F4F-ACB7-35F95962CD9C}">
      <dsp:nvSpPr>
        <dsp:cNvPr id="0" name=""/>
        <dsp:cNvSpPr/>
      </dsp:nvSpPr>
      <dsp:spPr>
        <a:xfrm rot="10800000">
          <a:off x="4055323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8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Increase Awareness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Improve User Flow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Increase Reactivation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Increase Acquisition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Improve Search &amp; Findability</a:t>
          </a:r>
        </a:p>
      </dsp:txBody>
      <dsp:txXfrm rot="10800000">
        <a:off x="4186656" y="1980496"/>
        <a:ext cx="3677047" cy="2858030"/>
      </dsp:txXfrm>
    </dsp:sp>
    <dsp:sp modelId="{6B12D967-7C08-0E46-A9A8-85EA6BDA5BC8}">
      <dsp:nvSpPr>
        <dsp:cNvPr id="0" name=""/>
        <dsp:cNvSpPr/>
      </dsp:nvSpPr>
      <dsp:spPr>
        <a:xfrm>
          <a:off x="4055323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8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8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8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8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Themes</a:t>
          </a:r>
        </a:p>
      </dsp:txBody>
      <dsp:txXfrm>
        <a:off x="4211100" y="989817"/>
        <a:ext cx="3628159" cy="1026136"/>
      </dsp:txXfrm>
    </dsp:sp>
    <dsp:sp modelId="{D46AE679-08A1-E94C-87A0-6593CFDBFB5C}">
      <dsp:nvSpPr>
        <dsp:cNvPr id="0" name=""/>
        <dsp:cNvSpPr/>
      </dsp:nvSpPr>
      <dsp:spPr>
        <a:xfrm rot="10800000">
          <a:off x="8103036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16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n-US" sz="2800" kern="1200"/>
        </a:p>
      </dsp:txBody>
      <dsp:txXfrm rot="10800000">
        <a:off x="8234369" y="1980496"/>
        <a:ext cx="3677047" cy="2858030"/>
      </dsp:txXfrm>
    </dsp:sp>
    <dsp:sp modelId="{516746DD-69D0-E74E-B2D3-3C2783191F3B}">
      <dsp:nvSpPr>
        <dsp:cNvPr id="0" name=""/>
        <dsp:cNvSpPr/>
      </dsp:nvSpPr>
      <dsp:spPr>
        <a:xfrm>
          <a:off x="8103036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16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16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16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16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Roadmap </a:t>
          </a:r>
        </a:p>
      </dsp:txBody>
      <dsp:txXfrm>
        <a:off x="8258813" y="989817"/>
        <a:ext cx="3628159" cy="1026136"/>
      </dsp:txXfrm>
    </dsp:sp>
    <dsp:sp modelId="{7C72AFED-13FD-FE41-98E6-4CA8FE290E66}">
      <dsp:nvSpPr>
        <dsp:cNvPr id="0" name=""/>
        <dsp:cNvSpPr/>
      </dsp:nvSpPr>
      <dsp:spPr>
        <a:xfrm rot="10800000">
          <a:off x="12150750" y="1941664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24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Adoption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Impact</a:t>
          </a:r>
        </a:p>
      </dsp:txBody>
      <dsp:txXfrm rot="10800000">
        <a:off x="12282083" y="1941664"/>
        <a:ext cx="3677047" cy="2858030"/>
      </dsp:txXfrm>
    </dsp:sp>
    <dsp:sp modelId="{CBA54FD0-8649-8B46-8731-481C940FB1B5}">
      <dsp:nvSpPr>
        <dsp:cNvPr id="0" name=""/>
        <dsp:cNvSpPr/>
      </dsp:nvSpPr>
      <dsp:spPr>
        <a:xfrm>
          <a:off x="12150750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24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24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24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24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Metrics</a:t>
          </a:r>
        </a:p>
      </dsp:txBody>
      <dsp:txXfrm>
        <a:off x="12306527" y="989817"/>
        <a:ext cx="3628159" cy="1026136"/>
      </dsp:txXfrm>
    </dsp:sp>
    <dsp:sp modelId="{201D1C0A-4E9D-0945-917F-83CC8E219E95}">
      <dsp:nvSpPr>
        <dsp:cNvPr id="0" name=""/>
        <dsp:cNvSpPr/>
      </dsp:nvSpPr>
      <dsp:spPr>
        <a:xfrm rot="10800000">
          <a:off x="16198463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32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PLP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PDP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CTA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Banner</a:t>
          </a:r>
        </a:p>
      </dsp:txBody>
      <dsp:txXfrm rot="10800000">
        <a:off x="16329796" y="1980496"/>
        <a:ext cx="3677047" cy="2858030"/>
      </dsp:txXfrm>
    </dsp:sp>
    <dsp:sp modelId="{82EFCBE4-F483-F249-A7D0-CFFF85B0EFAC}">
      <dsp:nvSpPr>
        <dsp:cNvPr id="0" name=""/>
        <dsp:cNvSpPr/>
      </dsp:nvSpPr>
      <dsp:spPr>
        <a:xfrm>
          <a:off x="16198463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32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32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32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32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Components</a:t>
          </a:r>
        </a:p>
      </dsp:txBody>
      <dsp:txXfrm>
        <a:off x="16354240" y="989817"/>
        <a:ext cx="3628159" cy="1026136"/>
      </dsp:txXfrm>
    </dsp:sp>
    <dsp:sp modelId="{46A67BDC-C2E4-7642-8FA3-AFD58E487B49}">
      <dsp:nvSpPr>
        <dsp:cNvPr id="0" name=""/>
        <dsp:cNvSpPr/>
      </dsp:nvSpPr>
      <dsp:spPr>
        <a:xfrm rot="10800000">
          <a:off x="20246176" y="1980496"/>
          <a:ext cx="3939713" cy="2989363"/>
        </a:xfrm>
        <a:prstGeom prst="round2SameRect">
          <a:avLst>
            <a:gd name="adj1" fmla="val 15000"/>
            <a:gd name="adj2" fmla="val 0"/>
          </a:avLst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40000"/>
            </a:schemeClr>
          </a:solidFill>
          <a:prstDash val="solid"/>
          <a:miter lim="800000"/>
        </a:ln>
        <a:effectLst/>
      </dsp:spPr>
      <dsp:style>
        <a:lnRef idx="1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/>
      </dsp:style>
      <dsp:txBody>
        <a:bodyPr spcFirstLastPara="0" vert="horz" wrap="square" lIns="166781" tIns="166781" rIns="166781" bIns="166781" numCol="1" spcCol="1270" anchor="t" anchorCtr="0">
          <a:noAutofit/>
        </a:bodyPr>
        <a:lstStyle/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Event Name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Component</a:t>
          </a:r>
        </a:p>
        <a:p>
          <a:pPr marL="0" lvl="0" indent="0" algn="l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000" kern="1200"/>
            <a:t>Page Type</a:t>
          </a:r>
        </a:p>
      </dsp:txBody>
      <dsp:txXfrm rot="10800000">
        <a:off x="20377509" y="1980496"/>
        <a:ext cx="3677047" cy="2858030"/>
      </dsp:txXfrm>
    </dsp:sp>
    <dsp:sp modelId="{E05A329D-2B7C-CA4D-B7B2-F8298E500F2A}">
      <dsp:nvSpPr>
        <dsp:cNvPr id="0" name=""/>
        <dsp:cNvSpPr/>
      </dsp:nvSpPr>
      <dsp:spPr>
        <a:xfrm>
          <a:off x="20246176" y="834040"/>
          <a:ext cx="3939713" cy="1181913"/>
        </a:xfrm>
        <a:prstGeom prst="round2SameRect">
          <a:avLst>
            <a:gd name="adj1" fmla="val 45000"/>
            <a:gd name="adj2" fmla="val 0"/>
          </a:avLst>
        </a:prstGeom>
        <a:gradFill rotWithShape="0">
          <a:gsLst>
            <a:gs pos="0">
              <a:schemeClr val="accent1">
                <a:alpha val="90000"/>
                <a:hueOff val="0"/>
                <a:satOff val="0"/>
                <a:lumOff val="0"/>
                <a:alphaOff val="-40000"/>
                <a:satMod val="103000"/>
                <a:lumMod val="102000"/>
                <a:tint val="94000"/>
              </a:schemeClr>
            </a:gs>
            <a:gs pos="50000">
              <a:schemeClr val="accent1">
                <a:alpha val="90000"/>
                <a:hueOff val="0"/>
                <a:satOff val="0"/>
                <a:lumOff val="0"/>
                <a:alphaOff val="-40000"/>
                <a:satMod val="110000"/>
                <a:lumMod val="100000"/>
                <a:shade val="100000"/>
              </a:schemeClr>
            </a:gs>
            <a:gs pos="100000">
              <a:schemeClr val="accent1">
                <a:alpha val="90000"/>
                <a:hueOff val="0"/>
                <a:satOff val="0"/>
                <a:lumOff val="0"/>
                <a:alphaOff val="-40000"/>
                <a:lumMod val="99000"/>
                <a:satMod val="120000"/>
                <a:shade val="78000"/>
              </a:schemeClr>
            </a:gs>
          </a:gsLst>
          <a:lin ang="5400000" scaled="0"/>
        </a:gradFill>
        <a:ln w="12700" cap="flat" cmpd="sng" algn="ctr">
          <a:solidFill>
            <a:schemeClr val="accent1">
              <a:alpha val="90000"/>
              <a:hueOff val="0"/>
              <a:satOff val="0"/>
              <a:lumOff val="0"/>
              <a:alphaOff val="-40000"/>
            </a:schemeClr>
          </a:solidFill>
          <a:prstDash val="solid"/>
          <a:miter lim="800000"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dsp:spPr>
      <dsp:style>
        <a:lnRef idx="1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311325" tIns="311325" rIns="311325" bIns="311325" numCol="1" spcCol="1270" anchor="ctr" anchorCtr="0">
          <a:noAutofit/>
        </a:bodyPr>
        <a:lstStyle/>
        <a:p>
          <a:pPr marL="0" lvl="0" indent="0" algn="l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400" kern="1200"/>
            <a:t>GA4</a:t>
          </a:r>
        </a:p>
      </dsp:txBody>
      <dsp:txXfrm>
        <a:off x="20401953" y="989817"/>
        <a:ext cx="3628159" cy="1026136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24/layout/HorizontalActionList">
  <dgm:title val=""/>
  <dgm:desc val=""/>
  <dgm:catLst>
    <dgm:cat type="textcard" pri="2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2">
          <dgm:prSet phldr="1"/>
        </dgm:pt>
        <dgm:pt modelId="21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23" srcId="2" destId="21" srcOrd="0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>
    <dgm:varLst>
      <dgm:dir/>
      <dgm:animLvl val="lvl"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forName="composite" refType="h" fact="0.95"/>
      <dgm:constr type="h" for="des" forName="composite" op="equ"/>
      <dgm:constr type="w" for="ch" forName="composite" refType="w"/>
      <dgm:constr type="w" for="des" forName="parTx"/>
      <dgm:constr type="h" for="des" forName="parTx" op="equ"/>
      <dgm:constr type="w" for="des" forName="bgOutline"/>
      <dgm:constr type="primFontSz" for="des" forName="parTx" val="54"/>
      <dgm:constr type="primFontSz" for="des" forName="bgOutline" refType="primFontSz" refFor="des" refForName="parTx" op="lte" fact="0.75"/>
      <dgm:constr type="h" for="des" forName="bgOutline" op="equ"/>
      <dgm:constr type="w" for="ch" forName="space" op="equ" val="3"/>
    </dgm:constrLst>
    <dgm:ruleLst>
      <dgm:rule type="w" for="ch" forName="composite" val="0" fact="NaN" max="NaN"/>
    </dgm:ruleLst>
    <dgm:forEach name="Name6" axis="ch" ptType="node">
      <dgm:layoutNode name="composite">
        <dgm:alg type="composite"/>
        <dgm:shape xmlns:r="http://schemas.openxmlformats.org/officeDocument/2006/relationships" r:blip="">
          <dgm:adjLst/>
        </dgm:shape>
        <dgm:presOf/>
        <dgm:constrLst>
          <dgm:constr type="l" for="ch" forName="parTx"/>
          <dgm:constr type="w" for="ch" forName="parTx" refType="w"/>
          <dgm:constr type="t" for="ch" forName="parTx"/>
          <dgm:constr type="l" for="ch" forName="bgOutline"/>
          <dgm:constr type="t" for="ch" forName="bgOutline" refType="h" refFor="ch" refForName="parTx" fact="0.97"/>
          <dgm:constr type="w" for="ch" forName="bgOutline" refType="w"/>
          <dgm:constr type="h" for="ch" forName="bgOutline" refType="h" fact="0.75"/>
        </dgm:constrLst>
        <dgm:ruleLst/>
        <dgm:layoutNode name="parTx" styleLbl="alignNode1">
          <dgm:varLst>
            <dgm:chMax val="0"/>
            <dgm:chPref val="0"/>
          </dgm:varLst>
          <dgm:alg type="tx">
            <dgm:param type="parTxLTRAlign" val="l"/>
            <dgm:param type="parTxRTLAlign" val="r"/>
          </dgm:alg>
          <dgm:shape xmlns:r="http://schemas.openxmlformats.org/officeDocument/2006/relationships" type="round2SameRect" r:blip="" zOrderOff="3">
            <dgm:adjLst>
              <dgm:adj idx="1" val="0.45"/>
            </dgm:adjLst>
          </dgm:shape>
          <dgm:presOf axis="self" ptType="node"/>
          <dgm:constrLst>
            <dgm:constr type="h" refType="w" op="lte" fact="0.3"/>
            <dgm:constr type="h"/>
            <dgm:constr type="tMarg" refType="w" fact="0.224"/>
            <dgm:constr type="bMarg" refType="w" fact="0.224"/>
            <dgm:constr type="lMarg" refType="w" fact="0.224"/>
            <dgm:constr type="rMarg" refType="w" fact="0.224"/>
          </dgm:constrLst>
          <dgm:ruleLst>
            <dgm:rule type="primFontSz" val="14" fact="NaN" max="NaN"/>
          </dgm:ruleLst>
        </dgm:layoutNode>
        <dgm:layoutNode name="bgOutline" styleLbl="fgAcc1">
          <dgm:varLst>
            <dgm:bulletEnabled/>
          </dgm:varLst>
          <dgm:alg type="tx">
            <dgm:param type="stBulletLvl" val="0"/>
            <dgm:param type="txAnchorVert" val="t"/>
            <dgm:param type="parTxLTRAlign" val="l"/>
            <dgm:param type="shpTxLTRAlignCh" val="l"/>
            <dgm:param type="parTxRTLAlign" val="r"/>
            <dgm:param type="shpTxRTLAlignCh" val="r"/>
          </dgm:alg>
          <dgm:shape xmlns:r="http://schemas.openxmlformats.org/officeDocument/2006/relationships" rot="180" type="round2SameRect" r:blip="">
            <dgm:adjLst>
              <dgm:adj idx="1" val="0.15"/>
              <dgm:adj idx="2" val="0"/>
            </dgm:adjLst>
          </dgm:shape>
          <dgm:presOf axis="des" ptType="node"/>
          <dgm:constrLst>
            <dgm:constr type="primFontSz" val="28"/>
            <dgm:constr type="tMarg" refType="w" fact="0.12"/>
            <dgm:constr type="bMarg" refType="w" fact="0.12"/>
            <dgm:constr type="lMarg" refType="w" fact="0.12"/>
            <dgm:constr type="rMarg" refType="w" fact="0.12"/>
          </dgm:constrLst>
          <dgm:ruleLst>
            <dgm:rule type="primFontSz" val="11" fact="NaN" max="NaN"/>
          </dgm:ruleLst>
        </dgm:layoutNode>
      </dgm:layoutNode>
      <dgm:forEach name="Name19" axis="followSib" ptType="sibTrans" cnt="1">
        <dgm:layoutNode name="space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5">
  <dgm:title val=""/>
  <dgm:desc val=""/>
  <dgm:catLst>
    <dgm:cat type="simple" pri="105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1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7</xdr:row>
      <xdr:rowOff>114300</xdr:rowOff>
    </xdr:from>
    <xdr:to>
      <xdr:col>17</xdr:col>
      <xdr:colOff>114300</xdr:colOff>
      <xdr:row>35</xdr:row>
      <xdr:rowOff>152400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DB69714D-7683-6CB9-BE7F-3BFFB7902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4573123-AB61-5643-A9CD-A0BA58D2F77B}">
  <we:reference id="c9b8c9e5-6362-5d03-822f-a6cfc7511e4f" version="11.6.100.12" store="EXCatalog" storeType="EXCatalog"/>
  <we:alternateReferences/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jira.bnh.com/browse/BHUX-34377" TargetMode="External"/><Relationship Id="rId21" Type="http://schemas.openxmlformats.org/officeDocument/2006/relationships/hyperlink" Target="https://jira.bnh.com/browse/BHP-7274" TargetMode="External"/><Relationship Id="rId42" Type="http://schemas.openxmlformats.org/officeDocument/2006/relationships/hyperlink" Target="https://jira.bnh.com/browse/BHP-4563" TargetMode="External"/><Relationship Id="rId47" Type="http://schemas.openxmlformats.org/officeDocument/2006/relationships/hyperlink" Target="https://jira.bnh.com/browse/BHP-5132" TargetMode="External"/><Relationship Id="rId63" Type="http://schemas.openxmlformats.org/officeDocument/2006/relationships/hyperlink" Target="https://jira.bnh.com/browse/BHP-4792" TargetMode="External"/><Relationship Id="rId68" Type="http://schemas.openxmlformats.org/officeDocument/2006/relationships/hyperlink" Target="https://jira.bnh.com/browse/BHUX-34844" TargetMode="External"/><Relationship Id="rId16" Type="http://schemas.openxmlformats.org/officeDocument/2006/relationships/hyperlink" Target="https://jira.bnh.com/browse/BHP-7237" TargetMode="External"/><Relationship Id="rId11" Type="http://schemas.openxmlformats.org/officeDocument/2006/relationships/hyperlink" Target="https://jira.bnh.com/browse/BHUX-34378" TargetMode="External"/><Relationship Id="rId32" Type="http://schemas.openxmlformats.org/officeDocument/2006/relationships/hyperlink" Target="https://jira.bnh.com/browse/BHUX-32621" TargetMode="External"/><Relationship Id="rId37" Type="http://schemas.openxmlformats.org/officeDocument/2006/relationships/hyperlink" Target="https://jira.bnh.com/browse/BHP-5060" TargetMode="External"/><Relationship Id="rId53" Type="http://schemas.openxmlformats.org/officeDocument/2006/relationships/hyperlink" Target="https://jira.bnh.com/browse/BHP-6827" TargetMode="External"/><Relationship Id="rId58" Type="http://schemas.openxmlformats.org/officeDocument/2006/relationships/hyperlink" Target="https://jira.bnh.com/browse/BHP-4518" TargetMode="External"/><Relationship Id="rId74" Type="http://schemas.openxmlformats.org/officeDocument/2006/relationships/hyperlink" Target="https://jira.bnh.com/browse/BHP-7228" TargetMode="External"/><Relationship Id="rId79" Type="http://schemas.openxmlformats.org/officeDocument/2006/relationships/hyperlink" Target="https://jira.bnh.com/browse/BHP-6228" TargetMode="External"/><Relationship Id="rId5" Type="http://schemas.openxmlformats.org/officeDocument/2006/relationships/hyperlink" Target="https://jira.bnh.com/browse/BHUX-33009" TargetMode="External"/><Relationship Id="rId61" Type="http://schemas.openxmlformats.org/officeDocument/2006/relationships/hyperlink" Target="https://jira.bnh.com/browse/BHP-6901" TargetMode="External"/><Relationship Id="rId82" Type="http://schemas.openxmlformats.org/officeDocument/2006/relationships/hyperlink" Target="https://jira.bnh.com/browse/BHP-7431" TargetMode="External"/><Relationship Id="rId19" Type="http://schemas.openxmlformats.org/officeDocument/2006/relationships/hyperlink" Target="https://jira.bnh.com/browse/BHUR-133" TargetMode="External"/><Relationship Id="rId14" Type="http://schemas.openxmlformats.org/officeDocument/2006/relationships/hyperlink" Target="https://jira.bnh.com/browse/BHUX-34845" TargetMode="External"/><Relationship Id="rId22" Type="http://schemas.openxmlformats.org/officeDocument/2006/relationships/hyperlink" Target="https://jira.bnh.com/browse/BHUX-35010" TargetMode="External"/><Relationship Id="rId27" Type="http://schemas.openxmlformats.org/officeDocument/2006/relationships/hyperlink" Target="https://jira.bnh.com/browse/BHUX-35303" TargetMode="External"/><Relationship Id="rId30" Type="http://schemas.openxmlformats.org/officeDocument/2006/relationships/hyperlink" Target="https://jira.bnh.com/browse/BHUX-35309" TargetMode="External"/><Relationship Id="rId35" Type="http://schemas.openxmlformats.org/officeDocument/2006/relationships/hyperlink" Target="https://jira.bnh.com/browse/BHP-2638" TargetMode="External"/><Relationship Id="rId43" Type="http://schemas.openxmlformats.org/officeDocument/2006/relationships/hyperlink" Target="https://jira.bnh.com/browse/MRCH-2202" TargetMode="External"/><Relationship Id="rId48" Type="http://schemas.openxmlformats.org/officeDocument/2006/relationships/hyperlink" Target="https://jira.bnh.com/browse/BHUX-29921" TargetMode="External"/><Relationship Id="rId56" Type="http://schemas.openxmlformats.org/officeDocument/2006/relationships/hyperlink" Target="https://jira.bnh.com/browse/BHP-7301" TargetMode="External"/><Relationship Id="rId64" Type="http://schemas.openxmlformats.org/officeDocument/2006/relationships/hyperlink" Target="https://jira.bnh.com/browse/BHP-5726" TargetMode="External"/><Relationship Id="rId69" Type="http://schemas.openxmlformats.org/officeDocument/2006/relationships/hyperlink" Target="https://jira.bnh.com/browse/BHP-6735" TargetMode="External"/><Relationship Id="rId77" Type="http://schemas.openxmlformats.org/officeDocument/2006/relationships/hyperlink" Target="https://jira.bnh.com/browse/BHP-5830" TargetMode="External"/><Relationship Id="rId8" Type="http://schemas.openxmlformats.org/officeDocument/2006/relationships/hyperlink" Target="https://jira.bnh.com/browse/BHUX-33510" TargetMode="External"/><Relationship Id="rId51" Type="http://schemas.openxmlformats.org/officeDocument/2006/relationships/hyperlink" Target="https://jira.bnh.com/browse/BHP-7237" TargetMode="External"/><Relationship Id="rId72" Type="http://schemas.openxmlformats.org/officeDocument/2006/relationships/hyperlink" Target="https://jira.bnh.com/browse/BHP-6900" TargetMode="External"/><Relationship Id="rId80" Type="http://schemas.openxmlformats.org/officeDocument/2006/relationships/hyperlink" Target="https://jira.bnh.com/browse/BHP-7145" TargetMode="External"/><Relationship Id="rId3" Type="http://schemas.openxmlformats.org/officeDocument/2006/relationships/hyperlink" Target="https://jira.bnh.com/browse/BHUX-26541" TargetMode="External"/><Relationship Id="rId12" Type="http://schemas.openxmlformats.org/officeDocument/2006/relationships/hyperlink" Target="https://jira.bnh.com/browse/BHUX-34723" TargetMode="External"/><Relationship Id="rId17" Type="http://schemas.openxmlformats.org/officeDocument/2006/relationships/hyperlink" Target="https://jira.bnh.com/browse/BHP-6444" TargetMode="External"/><Relationship Id="rId25" Type="http://schemas.openxmlformats.org/officeDocument/2006/relationships/hyperlink" Target="https://jira.bnh.com/browse/BHP-6827" TargetMode="External"/><Relationship Id="rId33" Type="http://schemas.openxmlformats.org/officeDocument/2006/relationships/hyperlink" Target="https://jira.bnh.com/browse/BHUX-32543" TargetMode="External"/><Relationship Id="rId38" Type="http://schemas.openxmlformats.org/officeDocument/2006/relationships/hyperlink" Target="https://jira.bnh.com/browse/BHUX-23755" TargetMode="External"/><Relationship Id="rId46" Type="http://schemas.openxmlformats.org/officeDocument/2006/relationships/hyperlink" Target="https://jira.bnh.com/browse/BHUX-32071" TargetMode="External"/><Relationship Id="rId59" Type="http://schemas.openxmlformats.org/officeDocument/2006/relationships/hyperlink" Target="https://jira.bnh.com/browse/BHP-7239" TargetMode="External"/><Relationship Id="rId67" Type="http://schemas.openxmlformats.org/officeDocument/2006/relationships/hyperlink" Target="https://jira.bnh.com/browse/BHP-7266" TargetMode="External"/><Relationship Id="rId20" Type="http://schemas.openxmlformats.org/officeDocument/2006/relationships/hyperlink" Target="https://jira.bnh.com/browse/BHUX-35020" TargetMode="External"/><Relationship Id="rId41" Type="http://schemas.openxmlformats.org/officeDocument/2006/relationships/hyperlink" Target="https://jira.bnh.com/browse/BHUX-28124" TargetMode="External"/><Relationship Id="rId54" Type="http://schemas.openxmlformats.org/officeDocument/2006/relationships/hyperlink" Target="https://jira.bnh.com/browse/BHP-7230" TargetMode="External"/><Relationship Id="rId62" Type="http://schemas.openxmlformats.org/officeDocument/2006/relationships/hyperlink" Target="https://jira.bnh.com/browse/BHP-6446" TargetMode="External"/><Relationship Id="rId70" Type="http://schemas.openxmlformats.org/officeDocument/2006/relationships/hyperlink" Target="https://jira.bnh.com/browse/BHP-6735" TargetMode="External"/><Relationship Id="rId75" Type="http://schemas.openxmlformats.org/officeDocument/2006/relationships/hyperlink" Target="https://jira.bnh.com/browse/BHP-7238" TargetMode="External"/><Relationship Id="rId83" Type="http://schemas.openxmlformats.org/officeDocument/2006/relationships/hyperlink" Target="https://jira.bnh.com/browse/BHP-7431" TargetMode="External"/><Relationship Id="rId1" Type="http://schemas.openxmlformats.org/officeDocument/2006/relationships/hyperlink" Target="https://jira.bnh.com/browse/BHUX-32257" TargetMode="External"/><Relationship Id="rId6" Type="http://schemas.openxmlformats.org/officeDocument/2006/relationships/hyperlink" Target="https://jira.bnh.com/browse/BHUX-33519" TargetMode="External"/><Relationship Id="rId15" Type="http://schemas.openxmlformats.org/officeDocument/2006/relationships/hyperlink" Target="https://jira.bnh.com/browse/BHP-7236" TargetMode="External"/><Relationship Id="rId23" Type="http://schemas.openxmlformats.org/officeDocument/2006/relationships/hyperlink" Target="https://jira.bnh.com/browse/BHP-7230" TargetMode="External"/><Relationship Id="rId28" Type="http://schemas.openxmlformats.org/officeDocument/2006/relationships/hyperlink" Target="https://jira.bnh.com/browse/BHUX-35304" TargetMode="External"/><Relationship Id="rId36" Type="http://schemas.openxmlformats.org/officeDocument/2006/relationships/hyperlink" Target="https://jira.bnh.com/browse/BHP-3757" TargetMode="External"/><Relationship Id="rId49" Type="http://schemas.openxmlformats.org/officeDocument/2006/relationships/hyperlink" Target="https://jira.bnh.com/browse/BHP-7274" TargetMode="External"/><Relationship Id="rId57" Type="http://schemas.openxmlformats.org/officeDocument/2006/relationships/hyperlink" Target="https://jira.bnh.com/browse/BHP-3583" TargetMode="External"/><Relationship Id="rId10" Type="http://schemas.openxmlformats.org/officeDocument/2006/relationships/hyperlink" Target="https://jira.bnh.com/browse/BHP-6901" TargetMode="External"/><Relationship Id="rId31" Type="http://schemas.openxmlformats.org/officeDocument/2006/relationships/hyperlink" Target="https://jira.bnh.com/browse/BHJ-121278" TargetMode="External"/><Relationship Id="rId44" Type="http://schemas.openxmlformats.org/officeDocument/2006/relationships/hyperlink" Target="https://jira.bnh.com/browse/BHJ-119850" TargetMode="External"/><Relationship Id="rId52" Type="http://schemas.openxmlformats.org/officeDocument/2006/relationships/hyperlink" Target="https://jira.bnh.com/browse/BHP-6444" TargetMode="External"/><Relationship Id="rId60" Type="http://schemas.openxmlformats.org/officeDocument/2006/relationships/hyperlink" Target="https://jira.bnh.com/browse/BHP-4771" TargetMode="External"/><Relationship Id="rId65" Type="http://schemas.openxmlformats.org/officeDocument/2006/relationships/hyperlink" Target="https://jira.bnh.com/browse/BHP-6391" TargetMode="External"/><Relationship Id="rId73" Type="http://schemas.openxmlformats.org/officeDocument/2006/relationships/hyperlink" Target="https://jira.bnh.com/browse/BHP-6434" TargetMode="External"/><Relationship Id="rId78" Type="http://schemas.openxmlformats.org/officeDocument/2006/relationships/hyperlink" Target="https://jira.bnh.com/browse/BHP-2802" TargetMode="External"/><Relationship Id="rId81" Type="http://schemas.openxmlformats.org/officeDocument/2006/relationships/hyperlink" Target="https://jira.bnh.com/browse/BHP-4563" TargetMode="External"/><Relationship Id="rId4" Type="http://schemas.openxmlformats.org/officeDocument/2006/relationships/hyperlink" Target="https://jira.bnh.com/browse/BHUX-33434" TargetMode="External"/><Relationship Id="rId9" Type="http://schemas.openxmlformats.org/officeDocument/2006/relationships/hyperlink" Target="https://jira.bnh.com/browse/BHUX-25601" TargetMode="External"/><Relationship Id="rId13" Type="http://schemas.openxmlformats.org/officeDocument/2006/relationships/hyperlink" Target="https://jira.bnh.com/browse/BHUX-34772" TargetMode="External"/><Relationship Id="rId18" Type="http://schemas.openxmlformats.org/officeDocument/2006/relationships/hyperlink" Target="https://jira.bnh.com/browse/BHP-7229" TargetMode="External"/><Relationship Id="rId39" Type="http://schemas.openxmlformats.org/officeDocument/2006/relationships/hyperlink" Target="https://jira.bnh.com/browse/BHUX-17615" TargetMode="External"/><Relationship Id="rId34" Type="http://schemas.openxmlformats.org/officeDocument/2006/relationships/hyperlink" Target="https://jira.bnh.com/browse/BHP-5817" TargetMode="External"/><Relationship Id="rId50" Type="http://schemas.openxmlformats.org/officeDocument/2006/relationships/hyperlink" Target="https://jira.bnh.com/browse/BHP-7236" TargetMode="External"/><Relationship Id="rId55" Type="http://schemas.openxmlformats.org/officeDocument/2006/relationships/hyperlink" Target="https://jira.bnh.com/browse/BHP-7229" TargetMode="External"/><Relationship Id="rId76" Type="http://schemas.openxmlformats.org/officeDocument/2006/relationships/hyperlink" Target="https://jira.bnh.com/browse/BHUX-29580" TargetMode="External"/><Relationship Id="rId7" Type="http://schemas.openxmlformats.org/officeDocument/2006/relationships/hyperlink" Target="https://jira.bnh.com/browse/BHUX-29580" TargetMode="External"/><Relationship Id="rId71" Type="http://schemas.openxmlformats.org/officeDocument/2006/relationships/hyperlink" Target="https://jira.bnh.com/browse/BHP-7196" TargetMode="External"/><Relationship Id="rId2" Type="http://schemas.openxmlformats.org/officeDocument/2006/relationships/hyperlink" Target="https://jira.bnh.com/browse/BHUX-31874" TargetMode="External"/><Relationship Id="rId29" Type="http://schemas.openxmlformats.org/officeDocument/2006/relationships/hyperlink" Target="https://jira.bnh.com/browse/BHUX-35302" TargetMode="External"/><Relationship Id="rId24" Type="http://schemas.openxmlformats.org/officeDocument/2006/relationships/hyperlink" Target="https://jira.bnh.com/browse/BHP-7301" TargetMode="External"/><Relationship Id="rId40" Type="http://schemas.openxmlformats.org/officeDocument/2006/relationships/hyperlink" Target="https://jira.bnh.com/browse/BHUX-31354" TargetMode="External"/><Relationship Id="rId45" Type="http://schemas.openxmlformats.org/officeDocument/2006/relationships/hyperlink" Target="https://jira.bnh.com/browse/BHUX-31245" TargetMode="External"/><Relationship Id="rId66" Type="http://schemas.openxmlformats.org/officeDocument/2006/relationships/hyperlink" Target="https://jira.bnh.com/browse/BHP-6434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jira.bnh.com/browse/BHUX-33524" TargetMode="External"/><Relationship Id="rId2" Type="http://schemas.openxmlformats.org/officeDocument/2006/relationships/hyperlink" Target="https://jira.bnh.com/browse/BHUX-33409" TargetMode="External"/><Relationship Id="rId1" Type="http://schemas.openxmlformats.org/officeDocument/2006/relationships/hyperlink" Target="https://jira.bnh.com/browse/BHUX-33186" TargetMode="External"/><Relationship Id="rId6" Type="http://schemas.openxmlformats.org/officeDocument/2006/relationships/hyperlink" Target="https://jira.bnh.com/browse/BHUX-34079" TargetMode="External"/><Relationship Id="rId5" Type="http://schemas.openxmlformats.org/officeDocument/2006/relationships/hyperlink" Target="https://jira.bnh.com/browse/BHUX-33526" TargetMode="External"/><Relationship Id="rId4" Type="http://schemas.openxmlformats.org/officeDocument/2006/relationships/hyperlink" Target="https://jira.bnh.com/browse/BHUX-3379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3B57"/>
    <pageSetUpPr fitToPage="1"/>
  </sheetPr>
  <dimension ref="A1:AI90"/>
  <sheetViews>
    <sheetView showGridLines="0" workbookViewId="0">
      <pane xSplit="4" ySplit="6" topLeftCell="J7" activePane="bottomRight" state="frozen"/>
      <selection pane="topRight" activeCell="E1" sqref="E1"/>
      <selection pane="bottomLeft" activeCell="A7" sqref="A7"/>
      <selection pane="bottomRight" activeCell="S7" sqref="S7"/>
    </sheetView>
  </sheetViews>
  <sheetFormatPr baseColWidth="10" defaultColWidth="8.83203125" defaultRowHeight="19" x14ac:dyDescent="0.25"/>
  <cols>
    <col min="1" max="1" width="43" style="180" customWidth="1"/>
    <col min="2" max="2" width="70.33203125" style="180" customWidth="1"/>
    <col min="3" max="3" width="17.5" style="180" customWidth="1"/>
    <col min="4" max="4" width="40.6640625" style="180" bestFit="1" customWidth="1"/>
    <col min="5" max="6" width="12.33203125" style="180" bestFit="1" customWidth="1"/>
    <col min="7" max="7" width="6.5" style="180" customWidth="1"/>
    <col min="8" max="9" width="10.5" style="180" customWidth="1"/>
    <col min="10" max="33" width="5" style="180" customWidth="1"/>
    <col min="34" max="34" width="34" style="180" hidden="1" customWidth="1"/>
    <col min="35" max="35" width="8" style="180" hidden="1" customWidth="1"/>
    <col min="36" max="16384" width="8.83203125" style="180"/>
  </cols>
  <sheetData>
    <row r="1" spans="1:35" ht="26" customHeight="1" x14ac:dyDescent="0.25">
      <c r="A1" s="179" t="s">
        <v>800</v>
      </c>
    </row>
    <row r="2" spans="1:35" ht="16" customHeight="1" x14ac:dyDescent="0.25">
      <c r="A2" s="181" t="s">
        <v>801</v>
      </c>
      <c r="B2" s="182" t="s">
        <v>802</v>
      </c>
      <c r="J2" s="183" t="s">
        <v>803</v>
      </c>
      <c r="K2" s="184" t="s">
        <v>804</v>
      </c>
      <c r="L2" s="185"/>
      <c r="M2" s="185"/>
      <c r="N2" s="185"/>
      <c r="O2" s="185"/>
      <c r="P2" s="186" t="s">
        <v>805</v>
      </c>
      <c r="Q2" s="184" t="s">
        <v>806</v>
      </c>
      <c r="R2" s="185"/>
      <c r="S2" s="185"/>
      <c r="T2" s="185"/>
      <c r="U2" s="185"/>
      <c r="V2" s="187" t="s">
        <v>807</v>
      </c>
      <c r="W2" s="184" t="s">
        <v>808</v>
      </c>
      <c r="X2" s="185"/>
      <c r="Y2" s="185"/>
      <c r="Z2" s="185"/>
      <c r="AA2" s="185"/>
      <c r="AB2" s="184" t="s">
        <v>809</v>
      </c>
      <c r="AC2" s="185"/>
      <c r="AD2" s="185"/>
      <c r="AE2" s="185"/>
      <c r="AF2" s="185"/>
      <c r="AG2" s="185"/>
    </row>
    <row r="3" spans="1:35" hidden="1" x14ac:dyDescent="0.25">
      <c r="J3" s="188">
        <v>46023</v>
      </c>
      <c r="K3" s="188">
        <v>46054</v>
      </c>
      <c r="L3" s="188">
        <v>46082</v>
      </c>
      <c r="M3" s="188">
        <v>46113</v>
      </c>
      <c r="N3" s="188">
        <v>46143</v>
      </c>
      <c r="O3" s="188">
        <v>46174</v>
      </c>
      <c r="P3" s="188">
        <v>46204</v>
      </c>
      <c r="Q3" s="188">
        <v>46235</v>
      </c>
      <c r="R3" s="188">
        <v>46266</v>
      </c>
      <c r="S3" s="188">
        <v>46296</v>
      </c>
      <c r="T3" s="188">
        <v>46327</v>
      </c>
      <c r="U3" s="188">
        <v>46357</v>
      </c>
      <c r="V3" s="188">
        <v>46388</v>
      </c>
      <c r="W3" s="188">
        <v>46419</v>
      </c>
      <c r="X3" s="188">
        <v>46447</v>
      </c>
      <c r="Y3" s="188">
        <v>46478</v>
      </c>
      <c r="Z3" s="188">
        <v>46508</v>
      </c>
      <c r="AA3" s="188">
        <v>46539</v>
      </c>
      <c r="AB3" s="188">
        <v>46569</v>
      </c>
      <c r="AC3" s="188">
        <v>46600</v>
      </c>
      <c r="AD3" s="188">
        <v>46631</v>
      </c>
      <c r="AE3" s="188">
        <v>46661</v>
      </c>
      <c r="AF3" s="188">
        <v>46692</v>
      </c>
      <c r="AG3" s="188">
        <v>46722</v>
      </c>
    </row>
    <row r="4" spans="1:35" ht="18" customHeight="1" x14ac:dyDescent="0.25">
      <c r="J4" s="189">
        <v>2026</v>
      </c>
      <c r="K4" s="190"/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89">
        <v>2027</v>
      </c>
      <c r="W4" s="190"/>
      <c r="X4" s="190"/>
      <c r="Y4" s="190"/>
      <c r="Z4" s="190"/>
      <c r="AA4" s="190"/>
      <c r="AB4" s="190"/>
      <c r="AC4" s="190"/>
      <c r="AD4" s="190"/>
      <c r="AE4" s="190"/>
      <c r="AF4" s="190"/>
      <c r="AG4" s="190"/>
    </row>
    <row r="5" spans="1:35" ht="16" customHeight="1" x14ac:dyDescent="0.25">
      <c r="J5" s="191" t="s">
        <v>1</v>
      </c>
      <c r="K5" s="192"/>
      <c r="L5" s="192"/>
      <c r="M5" s="191" t="s">
        <v>2</v>
      </c>
      <c r="N5" s="192"/>
      <c r="O5" s="192"/>
      <c r="P5" s="191" t="s">
        <v>3</v>
      </c>
      <c r="Q5" s="192"/>
      <c r="R5" s="192"/>
      <c r="S5" s="211" t="s">
        <v>4</v>
      </c>
      <c r="T5" s="212"/>
      <c r="U5" s="213"/>
      <c r="V5" s="209" t="s">
        <v>1</v>
      </c>
      <c r="W5" s="192"/>
      <c r="X5" s="192"/>
      <c r="Y5" s="191" t="s">
        <v>2</v>
      </c>
      <c r="Z5" s="192"/>
      <c r="AA5" s="192"/>
      <c r="AB5" s="191" t="s">
        <v>3</v>
      </c>
      <c r="AC5" s="192"/>
      <c r="AD5" s="192"/>
      <c r="AE5" s="191" t="s">
        <v>4</v>
      </c>
      <c r="AF5" s="192"/>
      <c r="AG5" s="192"/>
    </row>
    <row r="6" spans="1:35" ht="30" customHeight="1" x14ac:dyDescent="0.25">
      <c r="A6" s="193" t="s">
        <v>810</v>
      </c>
      <c r="B6" s="193" t="s">
        <v>811</v>
      </c>
      <c r="C6" s="193" t="s">
        <v>70</v>
      </c>
      <c r="D6" s="193" t="s">
        <v>69</v>
      </c>
      <c r="E6" s="194" t="s">
        <v>812</v>
      </c>
      <c r="F6" s="194" t="s">
        <v>813</v>
      </c>
      <c r="G6" s="194" t="s">
        <v>814</v>
      </c>
      <c r="H6" s="194" t="s">
        <v>815</v>
      </c>
      <c r="I6" s="194" t="s">
        <v>816</v>
      </c>
      <c r="J6" s="195" t="s">
        <v>817</v>
      </c>
      <c r="K6" s="195" t="s">
        <v>818</v>
      </c>
      <c r="L6" s="195" t="s">
        <v>819</v>
      </c>
      <c r="M6" s="221" t="s">
        <v>820</v>
      </c>
      <c r="N6" s="221" t="s">
        <v>56</v>
      </c>
      <c r="O6" s="221" t="s">
        <v>821</v>
      </c>
      <c r="P6" s="221" t="s">
        <v>822</v>
      </c>
      <c r="Q6" s="221" t="s">
        <v>823</v>
      </c>
      <c r="R6" s="221" t="s">
        <v>824</v>
      </c>
      <c r="S6" s="214" t="s">
        <v>825</v>
      </c>
      <c r="T6" s="195" t="s">
        <v>159</v>
      </c>
      <c r="U6" s="215" t="s">
        <v>826</v>
      </c>
      <c r="V6" s="225" t="s">
        <v>817</v>
      </c>
      <c r="W6" s="221" t="s">
        <v>818</v>
      </c>
      <c r="X6" s="221" t="s">
        <v>819</v>
      </c>
      <c r="Y6" s="221" t="s">
        <v>820</v>
      </c>
      <c r="Z6" s="221" t="s">
        <v>56</v>
      </c>
      <c r="AA6" s="221" t="s">
        <v>821</v>
      </c>
      <c r="AB6" s="221" t="s">
        <v>822</v>
      </c>
      <c r="AC6" s="221" t="s">
        <v>823</v>
      </c>
      <c r="AD6" s="221" t="s">
        <v>824</v>
      </c>
      <c r="AE6" s="195" t="s">
        <v>825</v>
      </c>
      <c r="AF6" s="195" t="s">
        <v>159</v>
      </c>
      <c r="AG6" s="195" t="s">
        <v>826</v>
      </c>
      <c r="AH6" s="196" t="s">
        <v>827</v>
      </c>
      <c r="AI6" s="196" t="s">
        <v>828</v>
      </c>
    </row>
    <row r="7" spans="1:35" ht="17" customHeight="1" x14ac:dyDescent="0.25">
      <c r="A7" s="197" t="str">
        <f t="shared" ref="A7:A38" si="0">IF($AI7="","",IF($AH7=$AH6,"",$AH7))</f>
        <v>Improve Discovery</v>
      </c>
      <c r="B7" s="198" t="str">
        <f>IF($AI7="","",INDEX('Roadmap Calc (Don’t Touch)'!$B$2:$B$204,$AI7))</f>
        <v>Highlighted Refinements Enhancement</v>
      </c>
      <c r="C7" s="199" t="str">
        <f>IF($AI7="","",INDEX('Roadmap Calc (Don’t Touch)'!$E$2:$E$204,$AI7))</f>
        <v>BHUX-35302 </v>
      </c>
      <c r="D7" s="227" t="str">
        <f>IF($AI7="","",INDEX('Roadmap Calc (Don’t Touch)'!$F$2:$F$204,$AI7))</f>
        <v>04. UX Design</v>
      </c>
      <c r="E7" s="201">
        <f>IF($AI7="","",IF(ISNUMBER(INDEX('Roadmap Calc (Don’t Touch)'!$G$2:$G$204,$AI7)),INDEX('Roadmap Calc (Don’t Touch)'!$G$2:$G$204,$AI7),""))</f>
        <v>46258</v>
      </c>
      <c r="F7" s="201">
        <f>IF($AI7="","",IF(ISNUMBER(INDEX('Roadmap Calc (Don’t Touch)'!$H$2:$H$204,$AI7)),INDEX('Roadmap Calc (Don’t Touch)'!$H$2:$H$204,$AI7),""))</f>
        <v>46279</v>
      </c>
      <c r="G7" s="202">
        <f>IF($AI7="","",INDEX('Roadmap Calc (Don’t Touch)'!$S$2:$S$204,$AI7))</f>
        <v>4</v>
      </c>
      <c r="H7" s="203" t="str">
        <f ca="1">IF($AI7="","",IF(ISNUMBER(INDEX('Roadmap Calc (Don’t Touch)'!$I$2:$I$204,$AI7)),INDEX('Roadmap Calc (Don’t Touch)'!$I$2:$I$204,$AI7),""))</f>
        <v/>
      </c>
      <c r="I7" s="203" t="str">
        <f ca="1">IF($AI7="","",IF(ISNUMBER(INDEX('Roadmap Calc (Don’t Touch)'!$J$2:$J$204,$AI7)),INDEX('Roadmap Calc (Don’t Touch)'!$J$2:$J$204,$AI7),""))</f>
        <v/>
      </c>
      <c r="J7" s="204" t="str">
        <f ca="1">IF($AI7="","",IF(INDEX('Roadmap Calc (Don’t Touch)'!$W$2:$AT$204,$AI7,1)&gt;0,IF(AND($H7&lt;&gt;"",$H7&lt;=EOMONTH(J$3,0),$I7&gt;=J$3),"B","U"),IF(AND($H7&lt;&gt;"",$H7&lt;=EOMONTH(J$3,0),$I7&gt;=J$3),"D","")))</f>
        <v/>
      </c>
      <c r="K7" s="204" t="str">
        <f ca="1">IF($AI7="","",IF(INDEX('Roadmap Calc (Don’t Touch)'!$W$2:$AT$204,$AI7,2)&gt;0,IF(AND($H7&lt;&gt;"",$H7&lt;=EOMONTH(K$3,0),$I7&gt;=K$3),"B","U"),IF(AND($H7&lt;&gt;"",$H7&lt;=EOMONTH(K$3,0),$I7&gt;=K$3),"D","")))</f>
        <v/>
      </c>
      <c r="L7" s="204" t="str">
        <f ca="1">IF($AI7="","",IF(INDEX('Roadmap Calc (Don’t Touch)'!$W$2:$AT$204,$AI7,3)&gt;0,IF(AND($H7&lt;&gt;"",$H7&lt;=EOMONTH(L$3,0),$I7&gt;=L$3),"B","U"),IF(AND($H7&lt;&gt;"",$H7&lt;=EOMONTH(L$3,0),$I7&gt;=L$3),"D","")))</f>
        <v/>
      </c>
      <c r="M7" s="222" t="str">
        <f ca="1">IF($AI7="","",IF(INDEX('Roadmap Calc (Don’t Touch)'!$W$2:$AT$204,$AI7,4)&gt;0,IF(AND($H7&lt;&gt;"",$H7&lt;=EOMONTH(M$3,0),$I7&gt;=M$3),"B","U"),IF(AND($H7&lt;&gt;"",$H7&lt;=EOMONTH(M$3,0),$I7&gt;=M$3),"D","")))</f>
        <v/>
      </c>
      <c r="N7" s="223" t="str">
        <f ca="1">IF($AI7="","",IF(INDEX('Roadmap Calc (Don’t Touch)'!$W$2:$AT$204,$AI7,5)&gt;0,IF(AND($H7&lt;&gt;"",$H7&lt;=EOMONTH(N$3,0),$I7&gt;=N$3),"B","U"),IF(AND($H7&lt;&gt;"",$H7&lt;=EOMONTH(N$3,0),$I7&gt;=N$3),"D","")))</f>
        <v/>
      </c>
      <c r="O7" s="224" t="str">
        <f ca="1">IF($AI7="","",IF(INDEX('Roadmap Calc (Don’t Touch)'!$W$2:$AT$204,$AI7,6)&gt;0,IF(AND($H7&lt;&gt;"",$H7&lt;=EOMONTH(O$3,0),$I7&gt;=O$3),"B","U"),IF(AND($H7&lt;&gt;"",$H7&lt;=EOMONTH(O$3,0),$I7&gt;=O$3),"D","")))</f>
        <v/>
      </c>
      <c r="P7" s="222" t="str">
        <f ca="1">IF($AI7="","",IF(INDEX('Roadmap Calc (Don’t Touch)'!$W$2:$AT$204,$AI7,7)&gt;0,IF(AND($H7&lt;&gt;"",$H7&lt;=EOMONTH(P$3,0),$I7&gt;=P$3),"B","U"),IF(AND($H7&lt;&gt;"",$H7&lt;=EOMONTH(P$3,0),$I7&gt;=P$3),"D","")))</f>
        <v/>
      </c>
      <c r="Q7" s="223" t="str">
        <f ca="1">IF($AI7="","",IF(INDEX('Roadmap Calc (Don’t Touch)'!$W$2:$AT$204,$AI7,8)&gt;0,IF(AND($H7&lt;&gt;"",$H7&lt;=EOMONTH(Q$3,0),$I7&gt;=Q$3),"B","U"),IF(AND($H7&lt;&gt;"",$H7&lt;=EOMONTH(Q$3,0),$I7&gt;=Q$3),"D","")))</f>
        <v>U</v>
      </c>
      <c r="R7" s="224" t="str">
        <f ca="1">IF($AI7="","",IF(INDEX('Roadmap Calc (Don’t Touch)'!$W$2:$AT$204,$AI7,9)&gt;0,IF(AND($H7&lt;&gt;"",$H7&lt;=EOMONTH(R$3,0),$I7&gt;=R$3),"B","U"),IF(AND($H7&lt;&gt;"",$H7&lt;=EOMONTH(R$3,0),$I7&gt;=R$3),"D","")))</f>
        <v>U</v>
      </c>
      <c r="S7" s="216" t="str">
        <f ca="1">IF($AI7="","",IF(INDEX('Roadmap Calc (Don’t Touch)'!$W$2:$AT$204,$AI7,10)&gt;0,IF(AND($H7&lt;&gt;"",$H7&lt;=EOMONTH(S$3,0),$I7&gt;=S$3),"B","U"),IF(AND($H7&lt;&gt;"",$H7&lt;=EOMONTH(S$3,0),$I7&gt;=S$3),"D","")))</f>
        <v/>
      </c>
      <c r="T7" s="204" t="str">
        <f ca="1">IF($AI7="","",IF(INDEX('Roadmap Calc (Don’t Touch)'!$W$2:$AT$204,$AI7,11)&gt;0,IF(AND($H7&lt;&gt;"",$H7&lt;=EOMONTH(T$3,0),$I7&gt;=T$3),"B","U"),IF(AND($H7&lt;&gt;"",$H7&lt;=EOMONTH(T$3,0),$I7&gt;=T$3),"D","")))</f>
        <v/>
      </c>
      <c r="U7" s="217" t="str">
        <f ca="1">IF($AI7="","",IF(INDEX('Roadmap Calc (Don’t Touch)'!$W$2:$AT$204,$AI7,12)&gt;0,IF(AND($H7&lt;&gt;"",$H7&lt;=EOMONTH(U$3,0),$I7&gt;=U$3),"B","U"),IF(AND($H7&lt;&gt;"",$H7&lt;=EOMONTH(U$3,0),$I7&gt;=U$3),"D","")))</f>
        <v/>
      </c>
      <c r="V7" s="222" t="str">
        <f ca="1">IF($AI7="","",IF(INDEX('Roadmap Calc (Don’t Touch)'!$W$2:$AT$204,$AI7,13)&gt;0,IF(AND($H7&lt;&gt;"",$H7&lt;=EOMONTH(V$3,0),$I7&gt;=V$3),"B","U"),IF(AND($H7&lt;&gt;"",$H7&lt;=EOMONTH(V$3,0),$I7&gt;=V$3),"D","")))</f>
        <v/>
      </c>
      <c r="W7" s="223" t="str">
        <f ca="1">IF($AI7="","",IF(INDEX('Roadmap Calc (Don’t Touch)'!$W$2:$AT$204,$AI7,14)&gt;0,IF(AND($H7&lt;&gt;"",$H7&lt;=EOMONTH(W$3,0),$I7&gt;=W$3),"B","U"),IF(AND($H7&lt;&gt;"",$H7&lt;=EOMONTH(W$3,0),$I7&gt;=W$3),"D","")))</f>
        <v/>
      </c>
      <c r="X7" s="224" t="str">
        <f ca="1">IF($AI7="","",IF(INDEX('Roadmap Calc (Don’t Touch)'!$W$2:$AT$204,$AI7,15)&gt;0,IF(AND($H7&lt;&gt;"",$H7&lt;=EOMONTH(X$3,0),$I7&gt;=X$3),"B","U"),IF(AND($H7&lt;&gt;"",$H7&lt;=EOMONTH(X$3,0),$I7&gt;=X$3),"D","")))</f>
        <v/>
      </c>
      <c r="Y7" s="222" t="str">
        <f ca="1">IF($AI7="","",IF(INDEX('Roadmap Calc (Don’t Touch)'!$W$2:$AT$204,$AI7,16)&gt;0,IF(AND($H7&lt;&gt;"",$H7&lt;=EOMONTH(Y$3,0),$I7&gt;=Y$3),"B","U"),IF(AND($H7&lt;&gt;"",$H7&lt;=EOMONTH(Y$3,0),$I7&gt;=Y$3),"D","")))</f>
        <v/>
      </c>
      <c r="Z7" s="223" t="str">
        <f ca="1">IF($AI7="","",IF(INDEX('Roadmap Calc (Don’t Touch)'!$W$2:$AT$204,$AI7,17)&gt;0,IF(AND($H7&lt;&gt;"",$H7&lt;=EOMONTH(Z$3,0),$I7&gt;=Z$3),"B","U"),IF(AND($H7&lt;&gt;"",$H7&lt;=EOMONTH(Z$3,0),$I7&gt;=Z$3),"D","")))</f>
        <v/>
      </c>
      <c r="AA7" s="224" t="str">
        <f ca="1">IF($AI7="","",IF(INDEX('Roadmap Calc (Don’t Touch)'!$W$2:$AT$204,$AI7,18)&gt;0,IF(AND($H7&lt;&gt;"",$H7&lt;=EOMONTH(AA$3,0),$I7&gt;=AA$3),"B","U"),IF(AND($H7&lt;&gt;"",$H7&lt;=EOMONTH(AA$3,0),$I7&gt;=AA$3),"D","")))</f>
        <v/>
      </c>
      <c r="AB7" s="222" t="str">
        <f ca="1">IF($AI7="","",IF(INDEX('Roadmap Calc (Don’t Touch)'!$W$2:$AT$204,$AI7,19)&gt;0,IF(AND($H7&lt;&gt;"",$H7&lt;=EOMONTH(AB$3,0),$I7&gt;=AB$3),"B","U"),IF(AND($H7&lt;&gt;"",$H7&lt;=EOMONTH(AB$3,0),$I7&gt;=AB$3),"D","")))</f>
        <v/>
      </c>
      <c r="AC7" s="223" t="str">
        <f ca="1">IF($AI7="","",IF(INDEX('Roadmap Calc (Don’t Touch)'!$W$2:$AT$204,$AI7,20)&gt;0,IF(AND($H7&lt;&gt;"",$H7&lt;=EOMONTH(AC$3,0),$I7&gt;=AC$3),"B","U"),IF(AND($H7&lt;&gt;"",$H7&lt;=EOMONTH(AC$3,0),$I7&gt;=AC$3),"D","")))</f>
        <v/>
      </c>
      <c r="AD7" s="224" t="str">
        <f ca="1">IF($AI7="","",IF(INDEX('Roadmap Calc (Don’t Touch)'!$W$2:$AT$204,$AI7,21)&gt;0,IF(AND($H7&lt;&gt;"",$H7&lt;=EOMONTH(AD$3,0),$I7&gt;=AD$3),"B","U"),IF(AND($H7&lt;&gt;"",$H7&lt;=EOMONTH(AD$3,0),$I7&gt;=AD$3),"D","")))</f>
        <v/>
      </c>
      <c r="AE7" s="210" t="str">
        <f ca="1">IF($AI7="","",IF(INDEX('Roadmap Calc (Don’t Touch)'!$W$2:$AT$204,$AI7,22)&gt;0,IF(AND($H7&lt;&gt;"",$H7&lt;=EOMONTH(AE$3,0),$I7&gt;=AE$3),"B","U"),IF(AND($H7&lt;&gt;"",$H7&lt;=EOMONTH(AE$3,0),$I7&gt;=AE$3),"D","")))</f>
        <v/>
      </c>
      <c r="AF7" s="204" t="str">
        <f ca="1">IF($AI7="","",IF(INDEX('Roadmap Calc (Don’t Touch)'!$W$2:$AT$204,$AI7,23)&gt;0,IF(AND($H7&lt;&gt;"",$H7&lt;=EOMONTH(AF$3,0),$I7&gt;=AF$3),"B","U"),IF(AND($H7&lt;&gt;"",$H7&lt;=EOMONTH(AF$3,0),$I7&gt;=AF$3),"D","")))</f>
        <v/>
      </c>
      <c r="AG7" s="204" t="str">
        <f ca="1">IF($AI7="","",IF(INDEX('Roadmap Calc (Don’t Touch)'!$W$2:$AT$204,$AI7,24)&gt;0,IF(AND($H7&lt;&gt;"",$H7&lt;=EOMONTH(AG$3,0),$I7&gt;=AG$3),"B","U"),IF(AND($H7&lt;&gt;"",$H7&lt;=EOMONTH(AG$3,0),$I7&gt;=AG$3),"D","")))</f>
        <v/>
      </c>
      <c r="AH7" s="180" t="str">
        <f>IF($AI7="","",INDEX('Roadmap Calc (Don’t Touch)'!$D$2:$D$204,$AI7))</f>
        <v>Improve Discovery</v>
      </c>
      <c r="AI7" s="180">
        <f>IFERROR(MATCH(1,'Roadmap Calc (Don’t Touch)'!$O$2:$O$204,0),"")</f>
        <v>17</v>
      </c>
    </row>
    <row r="8" spans="1:35" ht="17" customHeight="1" x14ac:dyDescent="0.25">
      <c r="A8" s="197" t="str">
        <f t="shared" si="0"/>
        <v/>
      </c>
      <c r="B8" s="198" t="str">
        <f>IF($AI8="","",INDEX('Roadmap Calc (Don’t Touch)'!$B$2:$B$204,$AI8))</f>
        <v>Mega Menu</v>
      </c>
      <c r="C8" s="199" t="str">
        <f>IF($AI8="","",INDEX('Roadmap Calc (Don’t Touch)'!$E$2:$E$204,$AI8))</f>
        <v>BHUX-29580</v>
      </c>
      <c r="D8" s="227" t="str">
        <f>IF($AI8="","",INDEX('Roadmap Calc (Don’t Touch)'!$F$2:$F$204,$AI8))</f>
        <v>08. Ready for Dev</v>
      </c>
      <c r="E8" s="201">
        <f>IF($AI8="","",IF(ISNUMBER(INDEX('Roadmap Calc (Don’t Touch)'!$G$2:$G$204,$AI8)),INDEX('Roadmap Calc (Don’t Touch)'!$G$2:$G$204,$AI8),""))</f>
        <v>46139</v>
      </c>
      <c r="F8" s="201">
        <f>IF($AI8="","",IF(ISNUMBER(INDEX('Roadmap Calc (Don’t Touch)'!$H$2:$H$204,$AI8)),INDEX('Roadmap Calc (Don’t Touch)'!$H$2:$H$204,$AI8),""))</f>
        <v>46174</v>
      </c>
      <c r="G8" s="202">
        <f>IF($AI8="","",INDEX('Roadmap Calc (Don’t Touch)'!$S$2:$S$204,$AI8))</f>
        <v>3</v>
      </c>
      <c r="H8" s="203">
        <f ca="1">IF($AI8="","",IF(ISNUMBER(INDEX('Roadmap Calc (Don’t Touch)'!$I$2:$I$204,$AI8)),INDEX('Roadmap Calc (Don’t Touch)'!$I$2:$I$204,$AI8),""))</f>
        <v>46266</v>
      </c>
      <c r="I8" s="203">
        <f ca="1">IF($AI8="","",IF(ISNUMBER(INDEX('Roadmap Calc (Don’t Touch)'!$J$2:$J$204,$AI8)),INDEX('Roadmap Calc (Don’t Touch)'!$J$2:$J$204,$AI8),""))</f>
        <v>46295</v>
      </c>
      <c r="J8" s="204" t="str">
        <f ca="1">IF($AI8="","",IF(INDEX('Roadmap Calc (Don’t Touch)'!$W$2:$AT$204,$AI8,1)&gt;0,IF(AND($H8&lt;&gt;"",$H8&lt;=EOMONTH(J$3,0),$I8&gt;=J$3),"B","U"),IF(AND($H8&lt;&gt;"",$H8&lt;=EOMONTH(J$3,0),$I8&gt;=J$3),"D","")))</f>
        <v/>
      </c>
      <c r="K8" s="204" t="str">
        <f ca="1">IF($AI8="","",IF(INDEX('Roadmap Calc (Don’t Touch)'!$W$2:$AT$204,$AI8,2)&gt;0,IF(AND($H8&lt;&gt;"",$H8&lt;=EOMONTH(K$3,0),$I8&gt;=K$3),"B","U"),IF(AND($H8&lt;&gt;"",$H8&lt;=EOMONTH(K$3,0),$I8&gt;=K$3),"D","")))</f>
        <v/>
      </c>
      <c r="L8" s="204" t="str">
        <f ca="1">IF($AI8="","",IF(INDEX('Roadmap Calc (Don’t Touch)'!$W$2:$AT$204,$AI8,3)&gt;0,IF(AND($H8&lt;&gt;"",$H8&lt;=EOMONTH(L$3,0),$I8&gt;=L$3),"B","U"),IF(AND($H8&lt;&gt;"",$H8&lt;=EOMONTH(L$3,0),$I8&gt;=L$3),"D","")))</f>
        <v/>
      </c>
      <c r="M8" s="216" t="str">
        <f ca="1">IF($AI8="","",IF(INDEX('Roadmap Calc (Don’t Touch)'!$W$2:$AT$204,$AI8,4)&gt;0,IF(AND($H8&lt;&gt;"",$H8&lt;=EOMONTH(M$3,0),$I8&gt;=M$3),"B","U"),IF(AND($H8&lt;&gt;"",$H8&lt;=EOMONTH(M$3,0),$I8&gt;=M$3),"D","")))</f>
        <v>U</v>
      </c>
      <c r="N8" s="204" t="str">
        <f ca="1">IF($AI8="","",IF(INDEX('Roadmap Calc (Don’t Touch)'!$W$2:$AT$204,$AI8,5)&gt;0,IF(AND($H8&lt;&gt;"",$H8&lt;=EOMONTH(N$3,0),$I8&gt;=N$3),"B","U"),IF(AND($H8&lt;&gt;"",$H8&lt;=EOMONTH(N$3,0),$I8&gt;=N$3),"D","")))</f>
        <v>U</v>
      </c>
      <c r="O8" s="217" t="str">
        <f ca="1">IF($AI8="","",IF(INDEX('Roadmap Calc (Don’t Touch)'!$W$2:$AT$204,$AI8,6)&gt;0,IF(AND($H8&lt;&gt;"",$H8&lt;=EOMONTH(O$3,0),$I8&gt;=O$3),"B","U"),IF(AND($H8&lt;&gt;"",$H8&lt;=EOMONTH(O$3,0),$I8&gt;=O$3),"D","")))</f>
        <v>U</v>
      </c>
      <c r="P8" s="216" t="str">
        <f ca="1">IF($AI8="","",IF(INDEX('Roadmap Calc (Don’t Touch)'!$W$2:$AT$204,$AI8,7)&gt;0,IF(AND($H8&lt;&gt;"",$H8&lt;=EOMONTH(P$3,0),$I8&gt;=P$3),"B","U"),IF(AND($H8&lt;&gt;"",$H8&lt;=EOMONTH(P$3,0),$I8&gt;=P$3),"D","")))</f>
        <v/>
      </c>
      <c r="Q8" s="204" t="str">
        <f ca="1">IF($AI8="","",IF(INDEX('Roadmap Calc (Don’t Touch)'!$W$2:$AT$204,$AI8,8)&gt;0,IF(AND($H8&lt;&gt;"",$H8&lt;=EOMONTH(Q$3,0),$I8&gt;=Q$3),"B","U"),IF(AND($H8&lt;&gt;"",$H8&lt;=EOMONTH(Q$3,0),$I8&gt;=Q$3),"D","")))</f>
        <v/>
      </c>
      <c r="R8" s="217" t="str">
        <f ca="1">IF($AI8="","",IF(INDEX('Roadmap Calc (Don’t Touch)'!$W$2:$AT$204,$AI8,9)&gt;0,IF(AND($H8&lt;&gt;"",$H8&lt;=EOMONTH(R$3,0),$I8&gt;=R$3),"B","U"),IF(AND($H8&lt;&gt;"",$H8&lt;=EOMONTH(R$3,0),$I8&gt;=R$3),"D","")))</f>
        <v>D</v>
      </c>
      <c r="S8" s="216" t="str">
        <f ca="1">IF($AI8="","",IF(INDEX('Roadmap Calc (Don’t Touch)'!$W$2:$AT$204,$AI8,10)&gt;0,IF(AND($H8&lt;&gt;"",$H8&lt;=EOMONTH(S$3,0),$I8&gt;=S$3),"B","U"),IF(AND($H8&lt;&gt;"",$H8&lt;=EOMONTH(S$3,0),$I8&gt;=S$3),"D","")))</f>
        <v/>
      </c>
      <c r="T8" s="204" t="str">
        <f ca="1">IF($AI8="","",IF(INDEX('Roadmap Calc (Don’t Touch)'!$W$2:$AT$204,$AI8,11)&gt;0,IF(AND($H8&lt;&gt;"",$H8&lt;=EOMONTH(T$3,0),$I8&gt;=T$3),"B","U"),IF(AND($H8&lt;&gt;"",$H8&lt;=EOMONTH(T$3,0),$I8&gt;=T$3),"D","")))</f>
        <v/>
      </c>
      <c r="U8" s="217" t="str">
        <f ca="1">IF($AI8="","",IF(INDEX('Roadmap Calc (Don’t Touch)'!$W$2:$AT$204,$AI8,12)&gt;0,IF(AND($H8&lt;&gt;"",$H8&lt;=EOMONTH(U$3,0),$I8&gt;=U$3),"B","U"),IF(AND($H8&lt;&gt;"",$H8&lt;=EOMONTH(U$3,0),$I8&gt;=U$3),"D","")))</f>
        <v/>
      </c>
      <c r="V8" s="216" t="str">
        <f ca="1">IF($AI8="","",IF(INDEX('Roadmap Calc (Don’t Touch)'!$W$2:$AT$204,$AI8,13)&gt;0,IF(AND($H8&lt;&gt;"",$H8&lt;=EOMONTH(V$3,0),$I8&gt;=V$3),"B","U"),IF(AND($H8&lt;&gt;"",$H8&lt;=EOMONTH(V$3,0),$I8&gt;=V$3),"D","")))</f>
        <v/>
      </c>
      <c r="W8" s="204" t="str">
        <f ca="1">IF($AI8="","",IF(INDEX('Roadmap Calc (Don’t Touch)'!$W$2:$AT$204,$AI8,14)&gt;0,IF(AND($H8&lt;&gt;"",$H8&lt;=EOMONTH(W$3,0),$I8&gt;=W$3),"B","U"),IF(AND($H8&lt;&gt;"",$H8&lt;=EOMONTH(W$3,0),$I8&gt;=W$3),"D","")))</f>
        <v/>
      </c>
      <c r="X8" s="217" t="str">
        <f ca="1">IF($AI8="","",IF(INDEX('Roadmap Calc (Don’t Touch)'!$W$2:$AT$204,$AI8,15)&gt;0,IF(AND($H8&lt;&gt;"",$H8&lt;=EOMONTH(X$3,0),$I8&gt;=X$3),"B","U"),IF(AND($H8&lt;&gt;"",$H8&lt;=EOMONTH(X$3,0),$I8&gt;=X$3),"D","")))</f>
        <v/>
      </c>
      <c r="Y8" s="216" t="str">
        <f ca="1">IF($AI8="","",IF(INDEX('Roadmap Calc (Don’t Touch)'!$W$2:$AT$204,$AI8,16)&gt;0,IF(AND($H8&lt;&gt;"",$H8&lt;=EOMONTH(Y$3,0),$I8&gt;=Y$3),"B","U"),IF(AND($H8&lt;&gt;"",$H8&lt;=EOMONTH(Y$3,0),$I8&gt;=Y$3),"D","")))</f>
        <v/>
      </c>
      <c r="Z8" s="204" t="str">
        <f ca="1">IF($AI8="","",IF(INDEX('Roadmap Calc (Don’t Touch)'!$W$2:$AT$204,$AI8,17)&gt;0,IF(AND($H8&lt;&gt;"",$H8&lt;=EOMONTH(Z$3,0),$I8&gt;=Z$3),"B","U"),IF(AND($H8&lt;&gt;"",$H8&lt;=EOMONTH(Z$3,0),$I8&gt;=Z$3),"D","")))</f>
        <v/>
      </c>
      <c r="AA8" s="217" t="str">
        <f ca="1">IF($AI8="","",IF(INDEX('Roadmap Calc (Don’t Touch)'!$W$2:$AT$204,$AI8,18)&gt;0,IF(AND($H8&lt;&gt;"",$H8&lt;=EOMONTH(AA$3,0),$I8&gt;=AA$3),"B","U"),IF(AND($H8&lt;&gt;"",$H8&lt;=EOMONTH(AA$3,0),$I8&gt;=AA$3),"D","")))</f>
        <v/>
      </c>
      <c r="AB8" s="216" t="str">
        <f ca="1">IF($AI8="","",IF(INDEX('Roadmap Calc (Don’t Touch)'!$W$2:$AT$204,$AI8,19)&gt;0,IF(AND($H8&lt;&gt;"",$H8&lt;=EOMONTH(AB$3,0),$I8&gt;=AB$3),"B","U"),IF(AND($H8&lt;&gt;"",$H8&lt;=EOMONTH(AB$3,0),$I8&gt;=AB$3),"D","")))</f>
        <v/>
      </c>
      <c r="AC8" s="204" t="str">
        <f ca="1">IF($AI8="","",IF(INDEX('Roadmap Calc (Don’t Touch)'!$W$2:$AT$204,$AI8,20)&gt;0,IF(AND($H8&lt;&gt;"",$H8&lt;=EOMONTH(AC$3,0),$I8&gt;=AC$3),"B","U"),IF(AND($H8&lt;&gt;"",$H8&lt;=EOMONTH(AC$3,0),$I8&gt;=AC$3),"D","")))</f>
        <v/>
      </c>
      <c r="AD8" s="217" t="str">
        <f ca="1">IF($AI8="","",IF(INDEX('Roadmap Calc (Don’t Touch)'!$W$2:$AT$204,$AI8,21)&gt;0,IF(AND($H8&lt;&gt;"",$H8&lt;=EOMONTH(AD$3,0),$I8&gt;=AD$3),"B","U"),IF(AND($H8&lt;&gt;"",$H8&lt;=EOMONTH(AD$3,0),$I8&gt;=AD$3),"D","")))</f>
        <v/>
      </c>
      <c r="AE8" s="210" t="str">
        <f ca="1">IF($AI8="","",IF(INDEX('Roadmap Calc (Don’t Touch)'!$W$2:$AT$204,$AI8,22)&gt;0,IF(AND($H8&lt;&gt;"",$H8&lt;=EOMONTH(AE$3,0),$I8&gt;=AE$3),"B","U"),IF(AND($H8&lt;&gt;"",$H8&lt;=EOMONTH(AE$3,0),$I8&gt;=AE$3),"D","")))</f>
        <v/>
      </c>
      <c r="AF8" s="204" t="str">
        <f ca="1">IF($AI8="","",IF(INDEX('Roadmap Calc (Don’t Touch)'!$W$2:$AT$204,$AI8,23)&gt;0,IF(AND($H8&lt;&gt;"",$H8&lt;=EOMONTH(AF$3,0),$I8&gt;=AF$3),"B","U"),IF(AND($H8&lt;&gt;"",$H8&lt;=EOMONTH(AF$3,0),$I8&gt;=AF$3),"D","")))</f>
        <v/>
      </c>
      <c r="AG8" s="204" t="str">
        <f ca="1">IF($AI8="","",IF(INDEX('Roadmap Calc (Don’t Touch)'!$W$2:$AT$204,$AI8,24)&gt;0,IF(AND($H8&lt;&gt;"",$H8&lt;=EOMONTH(AG$3,0),$I8&gt;=AG$3),"B","U"),IF(AND($H8&lt;&gt;"",$H8&lt;=EOMONTH(AG$3,0),$I8&gt;=AG$3),"D","")))</f>
        <v/>
      </c>
      <c r="AH8" s="180" t="str">
        <f>IF($AI8="","",INDEX('Roadmap Calc (Don’t Touch)'!$D$2:$D$204,$AI8))</f>
        <v>Improve Discovery</v>
      </c>
      <c r="AI8" s="180">
        <f>IFERROR(MATCH(2,'Roadmap Calc (Don’t Touch)'!$O$2:$O$204,0),"")</f>
        <v>31</v>
      </c>
    </row>
    <row r="9" spans="1:35" ht="17" customHeight="1" x14ac:dyDescent="0.25">
      <c r="A9" s="197" t="str">
        <f t="shared" si="0"/>
        <v/>
      </c>
      <c r="B9" s="198" t="str">
        <f>IF($AI9="","",INDEX('Roadmap Calc (Don’t Touch)'!$B$2:$B$204,$AI9))</f>
        <v>Nested Refinements</v>
      </c>
      <c r="C9" s="199" t="str">
        <f>IF($AI9="","",INDEX('Roadmap Calc (Don’t Touch)'!$E$2:$E$204,$AI9))</f>
        <v>BHUX-32621</v>
      </c>
      <c r="D9" s="227" t="str">
        <f>IF($AI9="","",INDEX('Roadmap Calc (Don’t Touch)'!$F$2:$F$204,$AI9))</f>
        <v>08. Ready for Dev</v>
      </c>
      <c r="E9" s="201" t="str">
        <f>IF($AI9="","",IF(ISNUMBER(INDEX('Roadmap Calc (Don’t Touch)'!$G$2:$G$204,$AI9)),INDEX('Roadmap Calc (Don’t Touch)'!$G$2:$G$204,$AI9),""))</f>
        <v/>
      </c>
      <c r="F9" s="201" t="str">
        <f>IF($AI9="","",IF(ISNUMBER(INDEX('Roadmap Calc (Don’t Touch)'!$H$2:$H$204,$AI9)),INDEX('Roadmap Calc (Don’t Touch)'!$H$2:$H$204,$AI9),""))</f>
        <v/>
      </c>
      <c r="G9" s="202">
        <f>IF($AI9="","",INDEX('Roadmap Calc (Don’t Touch)'!$S$2:$S$204,$AI9))</f>
        <v>0</v>
      </c>
      <c r="H9" s="203" t="str">
        <f ca="1">IF($AI9="","",IF(ISNUMBER(INDEX('Roadmap Calc (Don’t Touch)'!$I$2:$I$204,$AI9)),INDEX('Roadmap Calc (Don’t Touch)'!$I$2:$I$204,$AI9),""))</f>
        <v/>
      </c>
      <c r="I9" s="203" t="str">
        <f ca="1">IF($AI9="","",IF(ISNUMBER(INDEX('Roadmap Calc (Don’t Touch)'!$J$2:$J$204,$AI9)),INDEX('Roadmap Calc (Don’t Touch)'!$J$2:$J$204,$AI9),""))</f>
        <v/>
      </c>
      <c r="J9" s="204" t="str">
        <f ca="1">IF($AI9="","",IF(INDEX('Roadmap Calc (Don’t Touch)'!$W$2:$AT$204,$AI9,1)&gt;0,IF(AND($H9&lt;&gt;"",$H9&lt;=EOMONTH(J$3,0),$I9&gt;=J$3),"B","U"),IF(AND($H9&lt;&gt;"",$H9&lt;=EOMONTH(J$3,0),$I9&gt;=J$3),"D","")))</f>
        <v/>
      </c>
      <c r="K9" s="204" t="str">
        <f ca="1">IF($AI9="","",IF(INDEX('Roadmap Calc (Don’t Touch)'!$W$2:$AT$204,$AI9,2)&gt;0,IF(AND($H9&lt;&gt;"",$H9&lt;=EOMONTH(K$3,0),$I9&gt;=K$3),"B","U"),IF(AND($H9&lt;&gt;"",$H9&lt;=EOMONTH(K$3,0),$I9&gt;=K$3),"D","")))</f>
        <v/>
      </c>
      <c r="L9" s="204" t="str">
        <f ca="1">IF($AI9="","",IF(INDEX('Roadmap Calc (Don’t Touch)'!$W$2:$AT$204,$AI9,3)&gt;0,IF(AND($H9&lt;&gt;"",$H9&lt;=EOMONTH(L$3,0),$I9&gt;=L$3),"B","U"),IF(AND($H9&lt;&gt;"",$H9&lt;=EOMONTH(L$3,0),$I9&gt;=L$3),"D","")))</f>
        <v/>
      </c>
      <c r="M9" s="216" t="str">
        <f ca="1">IF($AI9="","",IF(INDEX('Roadmap Calc (Don’t Touch)'!$W$2:$AT$204,$AI9,4)&gt;0,IF(AND($H9&lt;&gt;"",$H9&lt;=EOMONTH(M$3,0),$I9&gt;=M$3),"B","U"),IF(AND($H9&lt;&gt;"",$H9&lt;=EOMONTH(M$3,0),$I9&gt;=M$3),"D","")))</f>
        <v/>
      </c>
      <c r="N9" s="204" t="str">
        <f ca="1">IF($AI9="","",IF(INDEX('Roadmap Calc (Don’t Touch)'!$W$2:$AT$204,$AI9,5)&gt;0,IF(AND($H9&lt;&gt;"",$H9&lt;=EOMONTH(N$3,0),$I9&gt;=N$3),"B","U"),IF(AND($H9&lt;&gt;"",$H9&lt;=EOMONTH(N$3,0),$I9&gt;=N$3),"D","")))</f>
        <v/>
      </c>
      <c r="O9" s="217" t="str">
        <f ca="1">IF($AI9="","",IF(INDEX('Roadmap Calc (Don’t Touch)'!$W$2:$AT$204,$AI9,6)&gt;0,IF(AND($H9&lt;&gt;"",$H9&lt;=EOMONTH(O$3,0),$I9&gt;=O$3),"B","U"),IF(AND($H9&lt;&gt;"",$H9&lt;=EOMONTH(O$3,0),$I9&gt;=O$3),"D","")))</f>
        <v/>
      </c>
      <c r="P9" s="216" t="str">
        <f ca="1">IF($AI9="","",IF(INDEX('Roadmap Calc (Don’t Touch)'!$W$2:$AT$204,$AI9,7)&gt;0,IF(AND($H9&lt;&gt;"",$H9&lt;=EOMONTH(P$3,0),$I9&gt;=P$3),"B","U"),IF(AND($H9&lt;&gt;"",$H9&lt;=EOMONTH(P$3,0),$I9&gt;=P$3),"D","")))</f>
        <v/>
      </c>
      <c r="Q9" s="204" t="str">
        <f ca="1">IF($AI9="","",IF(INDEX('Roadmap Calc (Don’t Touch)'!$W$2:$AT$204,$AI9,8)&gt;0,IF(AND($H9&lt;&gt;"",$H9&lt;=EOMONTH(Q$3,0),$I9&gt;=Q$3),"B","U"),IF(AND($H9&lt;&gt;"",$H9&lt;=EOMONTH(Q$3,0),$I9&gt;=Q$3),"D","")))</f>
        <v/>
      </c>
      <c r="R9" s="217" t="str">
        <f ca="1">IF($AI9="","",IF(INDEX('Roadmap Calc (Don’t Touch)'!$W$2:$AT$204,$AI9,9)&gt;0,IF(AND($H9&lt;&gt;"",$H9&lt;=EOMONTH(R$3,0),$I9&gt;=R$3),"B","U"),IF(AND($H9&lt;&gt;"",$H9&lt;=EOMONTH(R$3,0),$I9&gt;=R$3),"D","")))</f>
        <v/>
      </c>
      <c r="S9" s="216" t="str">
        <f ca="1">IF($AI9="","",IF(INDEX('Roadmap Calc (Don’t Touch)'!$W$2:$AT$204,$AI9,10)&gt;0,IF(AND($H9&lt;&gt;"",$H9&lt;=EOMONTH(S$3,0),$I9&gt;=S$3),"B","U"),IF(AND($H9&lt;&gt;"",$H9&lt;=EOMONTH(S$3,0),$I9&gt;=S$3),"D","")))</f>
        <v/>
      </c>
      <c r="T9" s="204" t="str">
        <f ca="1">IF($AI9="","",IF(INDEX('Roadmap Calc (Don’t Touch)'!$W$2:$AT$204,$AI9,11)&gt;0,IF(AND($H9&lt;&gt;"",$H9&lt;=EOMONTH(T$3,0),$I9&gt;=T$3),"B","U"),IF(AND($H9&lt;&gt;"",$H9&lt;=EOMONTH(T$3,0),$I9&gt;=T$3),"D","")))</f>
        <v/>
      </c>
      <c r="U9" s="217" t="str">
        <f ca="1">IF($AI9="","",IF(INDEX('Roadmap Calc (Don’t Touch)'!$W$2:$AT$204,$AI9,12)&gt;0,IF(AND($H9&lt;&gt;"",$H9&lt;=EOMONTH(U$3,0),$I9&gt;=U$3),"B","U"),IF(AND($H9&lt;&gt;"",$H9&lt;=EOMONTH(U$3,0),$I9&gt;=U$3),"D","")))</f>
        <v/>
      </c>
      <c r="V9" s="216" t="str">
        <f ca="1">IF($AI9="","",IF(INDEX('Roadmap Calc (Don’t Touch)'!$W$2:$AT$204,$AI9,13)&gt;0,IF(AND($H9&lt;&gt;"",$H9&lt;=EOMONTH(V$3,0),$I9&gt;=V$3),"B","U"),IF(AND($H9&lt;&gt;"",$H9&lt;=EOMONTH(V$3,0),$I9&gt;=V$3),"D","")))</f>
        <v/>
      </c>
      <c r="W9" s="204" t="str">
        <f ca="1">IF($AI9="","",IF(INDEX('Roadmap Calc (Don’t Touch)'!$W$2:$AT$204,$AI9,14)&gt;0,IF(AND($H9&lt;&gt;"",$H9&lt;=EOMONTH(W$3,0),$I9&gt;=W$3),"B","U"),IF(AND($H9&lt;&gt;"",$H9&lt;=EOMONTH(W$3,0),$I9&gt;=W$3),"D","")))</f>
        <v/>
      </c>
      <c r="X9" s="217" t="str">
        <f ca="1">IF($AI9="","",IF(INDEX('Roadmap Calc (Don’t Touch)'!$W$2:$AT$204,$AI9,15)&gt;0,IF(AND($H9&lt;&gt;"",$H9&lt;=EOMONTH(X$3,0),$I9&gt;=X$3),"B","U"),IF(AND($H9&lt;&gt;"",$H9&lt;=EOMONTH(X$3,0),$I9&gt;=X$3),"D","")))</f>
        <v/>
      </c>
      <c r="Y9" s="216" t="str">
        <f ca="1">IF($AI9="","",IF(INDEX('Roadmap Calc (Don’t Touch)'!$W$2:$AT$204,$AI9,16)&gt;0,IF(AND($H9&lt;&gt;"",$H9&lt;=EOMONTH(Y$3,0),$I9&gt;=Y$3),"B","U"),IF(AND($H9&lt;&gt;"",$H9&lt;=EOMONTH(Y$3,0),$I9&gt;=Y$3),"D","")))</f>
        <v/>
      </c>
      <c r="Z9" s="204" t="str">
        <f ca="1">IF($AI9="","",IF(INDEX('Roadmap Calc (Don’t Touch)'!$W$2:$AT$204,$AI9,17)&gt;0,IF(AND($H9&lt;&gt;"",$H9&lt;=EOMONTH(Z$3,0),$I9&gt;=Z$3),"B","U"),IF(AND($H9&lt;&gt;"",$H9&lt;=EOMONTH(Z$3,0),$I9&gt;=Z$3),"D","")))</f>
        <v/>
      </c>
      <c r="AA9" s="217" t="str">
        <f ca="1">IF($AI9="","",IF(INDEX('Roadmap Calc (Don’t Touch)'!$W$2:$AT$204,$AI9,18)&gt;0,IF(AND($H9&lt;&gt;"",$H9&lt;=EOMONTH(AA$3,0),$I9&gt;=AA$3),"B","U"),IF(AND($H9&lt;&gt;"",$H9&lt;=EOMONTH(AA$3,0),$I9&gt;=AA$3),"D","")))</f>
        <v/>
      </c>
      <c r="AB9" s="216" t="str">
        <f ca="1">IF($AI9="","",IF(INDEX('Roadmap Calc (Don’t Touch)'!$W$2:$AT$204,$AI9,19)&gt;0,IF(AND($H9&lt;&gt;"",$H9&lt;=EOMONTH(AB$3,0),$I9&gt;=AB$3),"B","U"),IF(AND($H9&lt;&gt;"",$H9&lt;=EOMONTH(AB$3,0),$I9&gt;=AB$3),"D","")))</f>
        <v/>
      </c>
      <c r="AC9" s="204" t="str">
        <f ca="1">IF($AI9="","",IF(INDEX('Roadmap Calc (Don’t Touch)'!$W$2:$AT$204,$AI9,20)&gt;0,IF(AND($H9&lt;&gt;"",$H9&lt;=EOMONTH(AC$3,0),$I9&gt;=AC$3),"B","U"),IF(AND($H9&lt;&gt;"",$H9&lt;=EOMONTH(AC$3,0),$I9&gt;=AC$3),"D","")))</f>
        <v/>
      </c>
      <c r="AD9" s="217" t="str">
        <f ca="1">IF($AI9="","",IF(INDEX('Roadmap Calc (Don’t Touch)'!$W$2:$AT$204,$AI9,21)&gt;0,IF(AND($H9&lt;&gt;"",$H9&lt;=EOMONTH(AD$3,0),$I9&gt;=AD$3),"B","U"),IF(AND($H9&lt;&gt;"",$H9&lt;=EOMONTH(AD$3,0),$I9&gt;=AD$3),"D","")))</f>
        <v/>
      </c>
      <c r="AE9" s="210" t="str">
        <f ca="1">IF($AI9="","",IF(INDEX('Roadmap Calc (Don’t Touch)'!$W$2:$AT$204,$AI9,22)&gt;0,IF(AND($H9&lt;&gt;"",$H9&lt;=EOMONTH(AE$3,0),$I9&gt;=AE$3),"B","U"),IF(AND($H9&lt;&gt;"",$H9&lt;=EOMONTH(AE$3,0),$I9&gt;=AE$3),"D","")))</f>
        <v/>
      </c>
      <c r="AF9" s="204" t="str">
        <f ca="1">IF($AI9="","",IF(INDEX('Roadmap Calc (Don’t Touch)'!$W$2:$AT$204,$AI9,23)&gt;0,IF(AND($H9&lt;&gt;"",$H9&lt;=EOMONTH(AF$3,0),$I9&gt;=AF$3),"B","U"),IF(AND($H9&lt;&gt;"",$H9&lt;=EOMONTH(AF$3,0),$I9&gt;=AF$3),"D","")))</f>
        <v/>
      </c>
      <c r="AG9" s="204" t="str">
        <f ca="1">IF($AI9="","",IF(INDEX('Roadmap Calc (Don’t Touch)'!$W$2:$AT$204,$AI9,24)&gt;0,IF(AND($H9&lt;&gt;"",$H9&lt;=EOMONTH(AG$3,0),$I9&gt;=AG$3),"B","U"),IF(AND($H9&lt;&gt;"",$H9&lt;=EOMONTH(AG$3,0),$I9&gt;=AG$3),"D","")))</f>
        <v/>
      </c>
      <c r="AH9" s="180" t="str">
        <f>IF($AI9="","",INDEX('Roadmap Calc (Don’t Touch)'!$D$2:$D$204,$AI9))</f>
        <v>Improve Discovery</v>
      </c>
      <c r="AI9" s="180">
        <f>IFERROR(MATCH(3,'Roadmap Calc (Don’t Touch)'!$O$2:$O$204,0),"")</f>
        <v>33</v>
      </c>
    </row>
    <row r="10" spans="1:35" ht="17" customHeight="1" x14ac:dyDescent="0.25">
      <c r="A10" s="197" t="str">
        <f t="shared" si="0"/>
        <v/>
      </c>
      <c r="B10" s="198" t="str">
        <f>IF($AI10="","",INDEX('Roadmap Calc (Don’t Touch)'!$B$2:$B$204,$AI10))</f>
        <v>Sunset Modals for Drawers</v>
      </c>
      <c r="C10" s="199" t="str">
        <f>IF($AI10="","",INDEX('Roadmap Calc (Don’t Touch)'!$E$2:$E$204,$AI10))</f>
        <v>BHUX-32543 </v>
      </c>
      <c r="D10" s="227" t="str">
        <f>IF($AI10="","",INDEX('Roadmap Calc (Don’t Touch)'!$F$2:$F$204,$AI10))</f>
        <v>09. In Dev</v>
      </c>
      <c r="E10" s="201" t="str">
        <f>IF($AI10="","",IF(ISNUMBER(INDEX('Roadmap Calc (Don’t Touch)'!$G$2:$G$204,$AI10)),INDEX('Roadmap Calc (Don’t Touch)'!$G$2:$G$204,$AI10),""))</f>
        <v/>
      </c>
      <c r="F10" s="201" t="str">
        <f>IF($AI10="","",IF(ISNUMBER(INDEX('Roadmap Calc (Don’t Touch)'!$H$2:$H$204,$AI10)),INDEX('Roadmap Calc (Don’t Touch)'!$H$2:$H$204,$AI10),""))</f>
        <v/>
      </c>
      <c r="G10" s="202">
        <f>IF($AI10="","",INDEX('Roadmap Calc (Don’t Touch)'!$S$2:$S$204,$AI10))</f>
        <v>0</v>
      </c>
      <c r="H10" s="203">
        <f ca="1">IF($AI10="","",IF(ISNUMBER(INDEX('Roadmap Calc (Don’t Touch)'!$I$2:$I$204,$AI10)),INDEX('Roadmap Calc (Don’t Touch)'!$I$2:$I$204,$AI10),""))</f>
        <v>46235</v>
      </c>
      <c r="I10" s="203">
        <f ca="1">IF($AI10="","",IF(ISNUMBER(INDEX('Roadmap Calc (Don’t Touch)'!$J$2:$J$204,$AI10)),INDEX('Roadmap Calc (Don’t Touch)'!$J$2:$J$204,$AI10),""))</f>
        <v>46265</v>
      </c>
      <c r="J10" s="204" t="str">
        <f ca="1">IF($AI10="","",IF(INDEX('Roadmap Calc (Don’t Touch)'!$W$2:$AT$204,$AI10,1)&gt;0,IF(AND($H10&lt;&gt;"",$H10&lt;=EOMONTH(J$3,0),$I10&gt;=J$3),"B","U"),IF(AND($H10&lt;&gt;"",$H10&lt;=EOMONTH(J$3,0),$I10&gt;=J$3),"D","")))</f>
        <v/>
      </c>
      <c r="K10" s="204" t="str">
        <f ca="1">IF($AI10="","",IF(INDEX('Roadmap Calc (Don’t Touch)'!$W$2:$AT$204,$AI10,2)&gt;0,IF(AND($H10&lt;&gt;"",$H10&lt;=EOMONTH(K$3,0),$I10&gt;=K$3),"B","U"),IF(AND($H10&lt;&gt;"",$H10&lt;=EOMONTH(K$3,0),$I10&gt;=K$3),"D","")))</f>
        <v/>
      </c>
      <c r="L10" s="204" t="str">
        <f ca="1">IF($AI10="","",IF(INDEX('Roadmap Calc (Don’t Touch)'!$W$2:$AT$204,$AI10,3)&gt;0,IF(AND($H10&lt;&gt;"",$H10&lt;=EOMONTH(L$3,0),$I10&gt;=L$3),"B","U"),IF(AND($H10&lt;&gt;"",$H10&lt;=EOMONTH(L$3,0),$I10&gt;=L$3),"D","")))</f>
        <v/>
      </c>
      <c r="M10" s="216" t="str">
        <f ca="1">IF($AI10="","",IF(INDEX('Roadmap Calc (Don’t Touch)'!$W$2:$AT$204,$AI10,4)&gt;0,IF(AND($H10&lt;&gt;"",$H10&lt;=EOMONTH(M$3,0),$I10&gt;=M$3),"B","U"),IF(AND($H10&lt;&gt;"",$H10&lt;=EOMONTH(M$3,0),$I10&gt;=M$3),"D","")))</f>
        <v/>
      </c>
      <c r="N10" s="204" t="str">
        <f ca="1">IF($AI10="","",IF(INDEX('Roadmap Calc (Don’t Touch)'!$W$2:$AT$204,$AI10,5)&gt;0,IF(AND($H10&lt;&gt;"",$H10&lt;=EOMONTH(N$3,0),$I10&gt;=N$3),"B","U"),IF(AND($H10&lt;&gt;"",$H10&lt;=EOMONTH(N$3,0),$I10&gt;=N$3),"D","")))</f>
        <v/>
      </c>
      <c r="O10" s="217" t="str">
        <f ca="1">IF($AI10="","",IF(INDEX('Roadmap Calc (Don’t Touch)'!$W$2:$AT$204,$AI10,6)&gt;0,IF(AND($H10&lt;&gt;"",$H10&lt;=EOMONTH(O$3,0),$I10&gt;=O$3),"B","U"),IF(AND($H10&lt;&gt;"",$H10&lt;=EOMONTH(O$3,0),$I10&gt;=O$3),"D","")))</f>
        <v/>
      </c>
      <c r="P10" s="216" t="str">
        <f ca="1">IF($AI10="","",IF(INDEX('Roadmap Calc (Don’t Touch)'!$W$2:$AT$204,$AI10,7)&gt;0,IF(AND($H10&lt;&gt;"",$H10&lt;=EOMONTH(P$3,0),$I10&gt;=P$3),"B","U"),IF(AND($H10&lt;&gt;"",$H10&lt;=EOMONTH(P$3,0),$I10&gt;=P$3),"D","")))</f>
        <v/>
      </c>
      <c r="Q10" s="204" t="str">
        <f ca="1">IF($AI10="","",IF(INDEX('Roadmap Calc (Don’t Touch)'!$W$2:$AT$204,$AI10,8)&gt;0,IF(AND($H10&lt;&gt;"",$H10&lt;=EOMONTH(Q$3,0),$I10&gt;=Q$3),"B","U"),IF(AND($H10&lt;&gt;"",$H10&lt;=EOMONTH(Q$3,0),$I10&gt;=Q$3),"D","")))</f>
        <v>D</v>
      </c>
      <c r="R10" s="217" t="str">
        <f ca="1">IF($AI10="","",IF(INDEX('Roadmap Calc (Don’t Touch)'!$W$2:$AT$204,$AI10,9)&gt;0,IF(AND($H10&lt;&gt;"",$H10&lt;=EOMONTH(R$3,0),$I10&gt;=R$3),"B","U"),IF(AND($H10&lt;&gt;"",$H10&lt;=EOMONTH(R$3,0),$I10&gt;=R$3),"D","")))</f>
        <v/>
      </c>
      <c r="S10" s="216" t="str">
        <f ca="1">IF($AI10="","",IF(INDEX('Roadmap Calc (Don’t Touch)'!$W$2:$AT$204,$AI10,10)&gt;0,IF(AND($H10&lt;&gt;"",$H10&lt;=EOMONTH(S$3,0),$I10&gt;=S$3),"B","U"),IF(AND($H10&lt;&gt;"",$H10&lt;=EOMONTH(S$3,0),$I10&gt;=S$3),"D","")))</f>
        <v/>
      </c>
      <c r="T10" s="204" t="str">
        <f ca="1">IF($AI10="","",IF(INDEX('Roadmap Calc (Don’t Touch)'!$W$2:$AT$204,$AI10,11)&gt;0,IF(AND($H10&lt;&gt;"",$H10&lt;=EOMONTH(T$3,0),$I10&gt;=T$3),"B","U"),IF(AND($H10&lt;&gt;"",$H10&lt;=EOMONTH(T$3,0),$I10&gt;=T$3),"D","")))</f>
        <v/>
      </c>
      <c r="U10" s="217" t="str">
        <f ca="1">IF($AI10="","",IF(INDEX('Roadmap Calc (Don’t Touch)'!$W$2:$AT$204,$AI10,12)&gt;0,IF(AND($H10&lt;&gt;"",$H10&lt;=EOMONTH(U$3,0),$I10&gt;=U$3),"B","U"),IF(AND($H10&lt;&gt;"",$H10&lt;=EOMONTH(U$3,0),$I10&gt;=U$3),"D","")))</f>
        <v/>
      </c>
      <c r="V10" s="216" t="str">
        <f ca="1">IF($AI10="","",IF(INDEX('Roadmap Calc (Don’t Touch)'!$W$2:$AT$204,$AI10,13)&gt;0,IF(AND($H10&lt;&gt;"",$H10&lt;=EOMONTH(V$3,0),$I10&gt;=V$3),"B","U"),IF(AND($H10&lt;&gt;"",$H10&lt;=EOMONTH(V$3,0),$I10&gt;=V$3),"D","")))</f>
        <v/>
      </c>
      <c r="W10" s="204" t="str">
        <f ca="1">IF($AI10="","",IF(INDEX('Roadmap Calc (Don’t Touch)'!$W$2:$AT$204,$AI10,14)&gt;0,IF(AND($H10&lt;&gt;"",$H10&lt;=EOMONTH(W$3,0),$I10&gt;=W$3),"B","U"),IF(AND($H10&lt;&gt;"",$H10&lt;=EOMONTH(W$3,0),$I10&gt;=W$3),"D","")))</f>
        <v/>
      </c>
      <c r="X10" s="217" t="str">
        <f ca="1">IF($AI10="","",IF(INDEX('Roadmap Calc (Don’t Touch)'!$W$2:$AT$204,$AI10,15)&gt;0,IF(AND($H10&lt;&gt;"",$H10&lt;=EOMONTH(X$3,0),$I10&gt;=X$3),"B","U"),IF(AND($H10&lt;&gt;"",$H10&lt;=EOMONTH(X$3,0),$I10&gt;=X$3),"D","")))</f>
        <v/>
      </c>
      <c r="Y10" s="216" t="str">
        <f ca="1">IF($AI10="","",IF(INDEX('Roadmap Calc (Don’t Touch)'!$W$2:$AT$204,$AI10,16)&gt;0,IF(AND($H10&lt;&gt;"",$H10&lt;=EOMONTH(Y$3,0),$I10&gt;=Y$3),"B","U"),IF(AND($H10&lt;&gt;"",$H10&lt;=EOMONTH(Y$3,0),$I10&gt;=Y$3),"D","")))</f>
        <v/>
      </c>
      <c r="Z10" s="204" t="str">
        <f ca="1">IF($AI10="","",IF(INDEX('Roadmap Calc (Don’t Touch)'!$W$2:$AT$204,$AI10,17)&gt;0,IF(AND($H10&lt;&gt;"",$H10&lt;=EOMONTH(Z$3,0),$I10&gt;=Z$3),"B","U"),IF(AND($H10&lt;&gt;"",$H10&lt;=EOMONTH(Z$3,0),$I10&gt;=Z$3),"D","")))</f>
        <v/>
      </c>
      <c r="AA10" s="217" t="str">
        <f ca="1">IF($AI10="","",IF(INDEX('Roadmap Calc (Don’t Touch)'!$W$2:$AT$204,$AI10,18)&gt;0,IF(AND($H10&lt;&gt;"",$H10&lt;=EOMONTH(AA$3,0),$I10&gt;=AA$3),"B","U"),IF(AND($H10&lt;&gt;"",$H10&lt;=EOMONTH(AA$3,0),$I10&gt;=AA$3),"D","")))</f>
        <v/>
      </c>
      <c r="AB10" s="216" t="str">
        <f ca="1">IF($AI10="","",IF(INDEX('Roadmap Calc (Don’t Touch)'!$W$2:$AT$204,$AI10,19)&gt;0,IF(AND($H10&lt;&gt;"",$H10&lt;=EOMONTH(AB$3,0),$I10&gt;=AB$3),"B","U"),IF(AND($H10&lt;&gt;"",$H10&lt;=EOMONTH(AB$3,0),$I10&gt;=AB$3),"D","")))</f>
        <v/>
      </c>
      <c r="AC10" s="204" t="str">
        <f ca="1">IF($AI10="","",IF(INDEX('Roadmap Calc (Don’t Touch)'!$W$2:$AT$204,$AI10,20)&gt;0,IF(AND($H10&lt;&gt;"",$H10&lt;=EOMONTH(AC$3,0),$I10&gt;=AC$3),"B","U"),IF(AND($H10&lt;&gt;"",$H10&lt;=EOMONTH(AC$3,0),$I10&gt;=AC$3),"D","")))</f>
        <v/>
      </c>
      <c r="AD10" s="217" t="str">
        <f ca="1">IF($AI10="","",IF(INDEX('Roadmap Calc (Don’t Touch)'!$W$2:$AT$204,$AI10,21)&gt;0,IF(AND($H10&lt;&gt;"",$H10&lt;=EOMONTH(AD$3,0),$I10&gt;=AD$3),"B","U"),IF(AND($H10&lt;&gt;"",$H10&lt;=EOMONTH(AD$3,0),$I10&gt;=AD$3),"D","")))</f>
        <v/>
      </c>
      <c r="AE10" s="210" t="str">
        <f ca="1">IF($AI10="","",IF(INDEX('Roadmap Calc (Don’t Touch)'!$W$2:$AT$204,$AI10,22)&gt;0,IF(AND($H10&lt;&gt;"",$H10&lt;=EOMONTH(AE$3,0),$I10&gt;=AE$3),"B","U"),IF(AND($H10&lt;&gt;"",$H10&lt;=EOMONTH(AE$3,0),$I10&gt;=AE$3),"D","")))</f>
        <v/>
      </c>
      <c r="AF10" s="204" t="str">
        <f ca="1">IF($AI10="","",IF(INDEX('Roadmap Calc (Don’t Touch)'!$W$2:$AT$204,$AI10,23)&gt;0,IF(AND($H10&lt;&gt;"",$H10&lt;=EOMONTH(AF$3,0),$I10&gt;=AF$3),"B","U"),IF(AND($H10&lt;&gt;"",$H10&lt;=EOMONTH(AF$3,0),$I10&gt;=AF$3),"D","")))</f>
        <v/>
      </c>
      <c r="AG10" s="204" t="str">
        <f ca="1">IF($AI10="","",IF(INDEX('Roadmap Calc (Don’t Touch)'!$W$2:$AT$204,$AI10,24)&gt;0,IF(AND($H10&lt;&gt;"",$H10&lt;=EOMONTH(AG$3,0),$I10&gt;=AG$3),"B","U"),IF(AND($H10&lt;&gt;"",$H10&lt;=EOMONTH(AG$3,0),$I10&gt;=AG$3),"D","")))</f>
        <v/>
      </c>
      <c r="AH10" s="180" t="str">
        <f>IF($AI10="","",INDEX('Roadmap Calc (Don’t Touch)'!$D$2:$D$204,$AI10))</f>
        <v>Improve Discovery</v>
      </c>
      <c r="AI10" s="180">
        <f>IFERROR(MATCH(4,'Roadmap Calc (Don’t Touch)'!$O$2:$O$204,0),"")</f>
        <v>34</v>
      </c>
    </row>
    <row r="11" spans="1:35" ht="17" customHeight="1" x14ac:dyDescent="0.25">
      <c r="A11" s="197" t="str">
        <f t="shared" si="0"/>
        <v/>
      </c>
      <c r="B11" s="198" t="str">
        <f>IF($AI11="","",INDEX('Roadmap Calc (Don’t Touch)'!$B$2:$B$204,$AI11))</f>
        <v>Sliders</v>
      </c>
      <c r="C11" s="199" t="str">
        <f>IF($AI11="","",INDEX('Roadmap Calc (Don’t Touch)'!$E$2:$E$204,$AI11))</f>
        <v>BHUX-17615</v>
      </c>
      <c r="D11" s="227" t="str">
        <f>IF($AI11="","",INDEX('Roadmap Calc (Don’t Touch)'!$F$2:$F$204,$AI11))</f>
        <v>13. Live</v>
      </c>
      <c r="E11" s="201" t="str">
        <f>IF($AI11="","",IF(ISNUMBER(INDEX('Roadmap Calc (Don’t Touch)'!$G$2:$G$204,$AI11)),INDEX('Roadmap Calc (Don’t Touch)'!$G$2:$G$204,$AI11),""))</f>
        <v/>
      </c>
      <c r="F11" s="201" t="str">
        <f>IF($AI11="","",IF(ISNUMBER(INDEX('Roadmap Calc (Don’t Touch)'!$H$2:$H$204,$AI11)),INDEX('Roadmap Calc (Don’t Touch)'!$H$2:$H$204,$AI11),""))</f>
        <v/>
      </c>
      <c r="G11" s="202">
        <f>IF($AI11="","",INDEX('Roadmap Calc (Don’t Touch)'!$S$2:$S$204,$AI11))</f>
        <v>0</v>
      </c>
      <c r="H11" s="203" t="str">
        <f ca="1">IF($AI11="","",IF(ISNUMBER(INDEX('Roadmap Calc (Don’t Touch)'!$I$2:$I$204,$AI11)),INDEX('Roadmap Calc (Don’t Touch)'!$I$2:$I$204,$AI11),""))</f>
        <v/>
      </c>
      <c r="I11" s="203" t="str">
        <f ca="1">IF($AI11="","",IF(ISNUMBER(INDEX('Roadmap Calc (Don’t Touch)'!$J$2:$J$204,$AI11)),INDEX('Roadmap Calc (Don’t Touch)'!$J$2:$J$204,$AI11),""))</f>
        <v/>
      </c>
      <c r="J11" s="204" t="str">
        <f ca="1">IF($AI11="","",IF(INDEX('Roadmap Calc (Don’t Touch)'!$W$2:$AT$204,$AI11,1)&gt;0,IF(AND($H11&lt;&gt;"",$H11&lt;=EOMONTH(J$3,0),$I11&gt;=J$3),"B","U"),IF(AND($H11&lt;&gt;"",$H11&lt;=EOMONTH(J$3,0),$I11&gt;=J$3),"D","")))</f>
        <v/>
      </c>
      <c r="K11" s="204" t="str">
        <f ca="1">IF($AI11="","",IF(INDEX('Roadmap Calc (Don’t Touch)'!$W$2:$AT$204,$AI11,2)&gt;0,IF(AND($H11&lt;&gt;"",$H11&lt;=EOMONTH(K$3,0),$I11&gt;=K$3),"B","U"),IF(AND($H11&lt;&gt;"",$H11&lt;=EOMONTH(K$3,0),$I11&gt;=K$3),"D","")))</f>
        <v/>
      </c>
      <c r="L11" s="204" t="str">
        <f ca="1">IF($AI11="","",IF(INDEX('Roadmap Calc (Don’t Touch)'!$W$2:$AT$204,$AI11,3)&gt;0,IF(AND($H11&lt;&gt;"",$H11&lt;=EOMONTH(L$3,0),$I11&gt;=L$3),"B","U"),IF(AND($H11&lt;&gt;"",$H11&lt;=EOMONTH(L$3,0),$I11&gt;=L$3),"D","")))</f>
        <v/>
      </c>
      <c r="M11" s="216" t="str">
        <f ca="1">IF($AI11="","",IF(INDEX('Roadmap Calc (Don’t Touch)'!$W$2:$AT$204,$AI11,4)&gt;0,IF(AND($H11&lt;&gt;"",$H11&lt;=EOMONTH(M$3,0),$I11&gt;=M$3),"B","U"),IF(AND($H11&lt;&gt;"",$H11&lt;=EOMONTH(M$3,0),$I11&gt;=M$3),"D","")))</f>
        <v/>
      </c>
      <c r="N11" s="204" t="str">
        <f ca="1">IF($AI11="","",IF(INDEX('Roadmap Calc (Don’t Touch)'!$W$2:$AT$204,$AI11,5)&gt;0,IF(AND($H11&lt;&gt;"",$H11&lt;=EOMONTH(N$3,0),$I11&gt;=N$3),"B","U"),IF(AND($H11&lt;&gt;"",$H11&lt;=EOMONTH(N$3,0),$I11&gt;=N$3),"D","")))</f>
        <v/>
      </c>
      <c r="O11" s="217" t="str">
        <f ca="1">IF($AI11="","",IF(INDEX('Roadmap Calc (Don’t Touch)'!$W$2:$AT$204,$AI11,6)&gt;0,IF(AND($H11&lt;&gt;"",$H11&lt;=EOMONTH(O$3,0),$I11&gt;=O$3),"B","U"),IF(AND($H11&lt;&gt;"",$H11&lt;=EOMONTH(O$3,0),$I11&gt;=O$3),"D","")))</f>
        <v/>
      </c>
      <c r="P11" s="216" t="str">
        <f ca="1">IF($AI11="","",IF(INDEX('Roadmap Calc (Don’t Touch)'!$W$2:$AT$204,$AI11,7)&gt;0,IF(AND($H11&lt;&gt;"",$H11&lt;=EOMONTH(P$3,0),$I11&gt;=P$3),"B","U"),IF(AND($H11&lt;&gt;"",$H11&lt;=EOMONTH(P$3,0),$I11&gt;=P$3),"D","")))</f>
        <v/>
      </c>
      <c r="Q11" s="204" t="str">
        <f ca="1">IF($AI11="","",IF(INDEX('Roadmap Calc (Don’t Touch)'!$W$2:$AT$204,$AI11,8)&gt;0,IF(AND($H11&lt;&gt;"",$H11&lt;=EOMONTH(Q$3,0),$I11&gt;=Q$3),"B","U"),IF(AND($H11&lt;&gt;"",$H11&lt;=EOMONTH(Q$3,0),$I11&gt;=Q$3),"D","")))</f>
        <v/>
      </c>
      <c r="R11" s="217" t="str">
        <f ca="1">IF($AI11="","",IF(INDEX('Roadmap Calc (Don’t Touch)'!$W$2:$AT$204,$AI11,9)&gt;0,IF(AND($H11&lt;&gt;"",$H11&lt;=EOMONTH(R$3,0),$I11&gt;=R$3),"B","U"),IF(AND($H11&lt;&gt;"",$H11&lt;=EOMONTH(R$3,0),$I11&gt;=R$3),"D","")))</f>
        <v/>
      </c>
      <c r="S11" s="216" t="str">
        <f ca="1">IF($AI11="","",IF(INDEX('Roadmap Calc (Don’t Touch)'!$W$2:$AT$204,$AI11,10)&gt;0,IF(AND($H11&lt;&gt;"",$H11&lt;=EOMONTH(S$3,0),$I11&gt;=S$3),"B","U"),IF(AND($H11&lt;&gt;"",$H11&lt;=EOMONTH(S$3,0),$I11&gt;=S$3),"D","")))</f>
        <v/>
      </c>
      <c r="T11" s="204" t="str">
        <f ca="1">IF($AI11="","",IF(INDEX('Roadmap Calc (Don’t Touch)'!$W$2:$AT$204,$AI11,11)&gt;0,IF(AND($H11&lt;&gt;"",$H11&lt;=EOMONTH(T$3,0),$I11&gt;=T$3),"B","U"),IF(AND($H11&lt;&gt;"",$H11&lt;=EOMONTH(T$3,0),$I11&gt;=T$3),"D","")))</f>
        <v/>
      </c>
      <c r="U11" s="217" t="str">
        <f ca="1">IF($AI11="","",IF(INDEX('Roadmap Calc (Don’t Touch)'!$W$2:$AT$204,$AI11,12)&gt;0,IF(AND($H11&lt;&gt;"",$H11&lt;=EOMONTH(U$3,0),$I11&gt;=U$3),"B","U"),IF(AND($H11&lt;&gt;"",$H11&lt;=EOMONTH(U$3,0),$I11&gt;=U$3),"D","")))</f>
        <v/>
      </c>
      <c r="V11" s="216" t="str">
        <f ca="1">IF($AI11="","",IF(INDEX('Roadmap Calc (Don’t Touch)'!$W$2:$AT$204,$AI11,13)&gt;0,IF(AND($H11&lt;&gt;"",$H11&lt;=EOMONTH(V$3,0),$I11&gt;=V$3),"B","U"),IF(AND($H11&lt;&gt;"",$H11&lt;=EOMONTH(V$3,0),$I11&gt;=V$3),"D","")))</f>
        <v/>
      </c>
      <c r="W11" s="204" t="str">
        <f ca="1">IF($AI11="","",IF(INDEX('Roadmap Calc (Don’t Touch)'!$W$2:$AT$204,$AI11,14)&gt;0,IF(AND($H11&lt;&gt;"",$H11&lt;=EOMONTH(W$3,0),$I11&gt;=W$3),"B","U"),IF(AND($H11&lt;&gt;"",$H11&lt;=EOMONTH(W$3,0),$I11&gt;=W$3),"D","")))</f>
        <v/>
      </c>
      <c r="X11" s="217" t="str">
        <f ca="1">IF($AI11="","",IF(INDEX('Roadmap Calc (Don’t Touch)'!$W$2:$AT$204,$AI11,15)&gt;0,IF(AND($H11&lt;&gt;"",$H11&lt;=EOMONTH(X$3,0),$I11&gt;=X$3),"B","U"),IF(AND($H11&lt;&gt;"",$H11&lt;=EOMONTH(X$3,0),$I11&gt;=X$3),"D","")))</f>
        <v/>
      </c>
      <c r="Y11" s="216" t="str">
        <f ca="1">IF($AI11="","",IF(INDEX('Roadmap Calc (Don’t Touch)'!$W$2:$AT$204,$AI11,16)&gt;0,IF(AND($H11&lt;&gt;"",$H11&lt;=EOMONTH(Y$3,0),$I11&gt;=Y$3),"B","U"),IF(AND($H11&lt;&gt;"",$H11&lt;=EOMONTH(Y$3,0),$I11&gt;=Y$3),"D","")))</f>
        <v/>
      </c>
      <c r="Z11" s="204" t="str">
        <f ca="1">IF($AI11="","",IF(INDEX('Roadmap Calc (Don’t Touch)'!$W$2:$AT$204,$AI11,17)&gt;0,IF(AND($H11&lt;&gt;"",$H11&lt;=EOMONTH(Z$3,0),$I11&gt;=Z$3),"B","U"),IF(AND($H11&lt;&gt;"",$H11&lt;=EOMONTH(Z$3,0),$I11&gt;=Z$3),"D","")))</f>
        <v/>
      </c>
      <c r="AA11" s="217" t="str">
        <f ca="1">IF($AI11="","",IF(INDEX('Roadmap Calc (Don’t Touch)'!$W$2:$AT$204,$AI11,18)&gt;0,IF(AND($H11&lt;&gt;"",$H11&lt;=EOMONTH(AA$3,0),$I11&gt;=AA$3),"B","U"),IF(AND($H11&lt;&gt;"",$H11&lt;=EOMONTH(AA$3,0),$I11&gt;=AA$3),"D","")))</f>
        <v/>
      </c>
      <c r="AB11" s="216" t="str">
        <f ca="1">IF($AI11="","",IF(INDEX('Roadmap Calc (Don’t Touch)'!$W$2:$AT$204,$AI11,19)&gt;0,IF(AND($H11&lt;&gt;"",$H11&lt;=EOMONTH(AB$3,0),$I11&gt;=AB$3),"B","U"),IF(AND($H11&lt;&gt;"",$H11&lt;=EOMONTH(AB$3,0),$I11&gt;=AB$3),"D","")))</f>
        <v/>
      </c>
      <c r="AC11" s="204" t="str">
        <f ca="1">IF($AI11="","",IF(INDEX('Roadmap Calc (Don’t Touch)'!$W$2:$AT$204,$AI11,20)&gt;0,IF(AND($H11&lt;&gt;"",$H11&lt;=EOMONTH(AC$3,0),$I11&gt;=AC$3),"B","U"),IF(AND($H11&lt;&gt;"",$H11&lt;=EOMONTH(AC$3,0),$I11&gt;=AC$3),"D","")))</f>
        <v/>
      </c>
      <c r="AD11" s="217" t="str">
        <f ca="1">IF($AI11="","",IF(INDEX('Roadmap Calc (Don’t Touch)'!$W$2:$AT$204,$AI11,21)&gt;0,IF(AND($H11&lt;&gt;"",$H11&lt;=EOMONTH(AD$3,0),$I11&gt;=AD$3),"B","U"),IF(AND($H11&lt;&gt;"",$H11&lt;=EOMONTH(AD$3,0),$I11&gt;=AD$3),"D","")))</f>
        <v/>
      </c>
      <c r="AE11" s="210" t="str">
        <f ca="1">IF($AI11="","",IF(INDEX('Roadmap Calc (Don’t Touch)'!$W$2:$AT$204,$AI11,22)&gt;0,IF(AND($H11&lt;&gt;"",$H11&lt;=EOMONTH(AE$3,0),$I11&gt;=AE$3),"B","U"),IF(AND($H11&lt;&gt;"",$H11&lt;=EOMONTH(AE$3,0),$I11&gt;=AE$3),"D","")))</f>
        <v/>
      </c>
      <c r="AF11" s="204" t="str">
        <f ca="1">IF($AI11="","",IF(INDEX('Roadmap Calc (Don’t Touch)'!$W$2:$AT$204,$AI11,23)&gt;0,IF(AND($H11&lt;&gt;"",$H11&lt;=EOMONTH(AF$3,0),$I11&gt;=AF$3),"B","U"),IF(AND($H11&lt;&gt;"",$H11&lt;=EOMONTH(AF$3,0),$I11&gt;=AF$3),"D","")))</f>
        <v/>
      </c>
      <c r="AG11" s="204" t="str">
        <f ca="1">IF($AI11="","",IF(INDEX('Roadmap Calc (Don’t Touch)'!$W$2:$AT$204,$AI11,24)&gt;0,IF(AND($H11&lt;&gt;"",$H11&lt;=EOMONTH(AG$3,0),$I11&gt;=AG$3),"B","U"),IF(AND($H11&lt;&gt;"",$H11&lt;=EOMONTH(AG$3,0),$I11&gt;=AG$3),"D","")))</f>
        <v/>
      </c>
      <c r="AH11" s="180" t="str">
        <f>IF($AI11="","",INDEX('Roadmap Calc (Don’t Touch)'!$D$2:$D$204,$AI11))</f>
        <v>Improve Discovery</v>
      </c>
      <c r="AI11" s="180">
        <f>IFERROR(MATCH(5,'Roadmap Calc (Don’t Touch)'!$O$2:$O$204,0),"")</f>
        <v>37</v>
      </c>
    </row>
    <row r="12" spans="1:35" ht="17" customHeight="1" x14ac:dyDescent="0.25">
      <c r="A12" s="197" t="str">
        <f t="shared" si="0"/>
        <v/>
      </c>
      <c r="B12" s="198" t="str">
        <f>IF($AI12="","",INDEX('Roadmap Calc (Don’t Touch)'!$B$2:$B$204,$AI12))</f>
        <v>Refinement - Select All/Deselect All</v>
      </c>
      <c r="C12" s="199" t="str">
        <f>IF($AI12="","",INDEX('Roadmap Calc (Don’t Touch)'!$E$2:$E$204,$AI12))</f>
        <v>BHUX-23755</v>
      </c>
      <c r="D12" s="227" t="str">
        <f>IF($AI12="","",INDEX('Roadmap Calc (Don’t Touch)'!$F$2:$F$204,$AI12))</f>
        <v>13. Live</v>
      </c>
      <c r="E12" s="201" t="str">
        <f>IF($AI12="","",IF(ISNUMBER(INDEX('Roadmap Calc (Don’t Touch)'!$G$2:$G$204,$AI12)),INDEX('Roadmap Calc (Don’t Touch)'!$G$2:$G$204,$AI12),""))</f>
        <v/>
      </c>
      <c r="F12" s="201" t="str">
        <f>IF($AI12="","",IF(ISNUMBER(INDEX('Roadmap Calc (Don’t Touch)'!$H$2:$H$204,$AI12)),INDEX('Roadmap Calc (Don’t Touch)'!$H$2:$H$204,$AI12),""))</f>
        <v/>
      </c>
      <c r="G12" s="202">
        <f>IF($AI12="","",INDEX('Roadmap Calc (Don’t Touch)'!$S$2:$S$204,$AI12))</f>
        <v>0</v>
      </c>
      <c r="H12" s="203" t="str">
        <f ca="1">IF($AI12="","",IF(ISNUMBER(INDEX('Roadmap Calc (Don’t Touch)'!$I$2:$I$204,$AI12)),INDEX('Roadmap Calc (Don’t Touch)'!$I$2:$I$204,$AI12),""))</f>
        <v/>
      </c>
      <c r="I12" s="203" t="str">
        <f ca="1">IF($AI12="","",IF(ISNUMBER(INDEX('Roadmap Calc (Don’t Touch)'!$J$2:$J$204,$AI12)),INDEX('Roadmap Calc (Don’t Touch)'!$J$2:$J$204,$AI12),""))</f>
        <v/>
      </c>
      <c r="J12" s="204" t="str">
        <f ca="1">IF($AI12="","",IF(INDEX('Roadmap Calc (Don’t Touch)'!$W$2:$AT$204,$AI12,1)&gt;0,IF(AND($H12&lt;&gt;"",$H12&lt;=EOMONTH(J$3,0),$I12&gt;=J$3),"B","U"),IF(AND($H12&lt;&gt;"",$H12&lt;=EOMONTH(J$3,0),$I12&gt;=J$3),"D","")))</f>
        <v/>
      </c>
      <c r="K12" s="204" t="str">
        <f ca="1">IF($AI12="","",IF(INDEX('Roadmap Calc (Don’t Touch)'!$W$2:$AT$204,$AI12,2)&gt;0,IF(AND($H12&lt;&gt;"",$H12&lt;=EOMONTH(K$3,0),$I12&gt;=K$3),"B","U"),IF(AND($H12&lt;&gt;"",$H12&lt;=EOMONTH(K$3,0),$I12&gt;=K$3),"D","")))</f>
        <v/>
      </c>
      <c r="L12" s="204" t="str">
        <f ca="1">IF($AI12="","",IF(INDEX('Roadmap Calc (Don’t Touch)'!$W$2:$AT$204,$AI12,3)&gt;0,IF(AND($H12&lt;&gt;"",$H12&lt;=EOMONTH(L$3,0),$I12&gt;=L$3),"B","U"),IF(AND($H12&lt;&gt;"",$H12&lt;=EOMONTH(L$3,0),$I12&gt;=L$3),"D","")))</f>
        <v/>
      </c>
      <c r="M12" s="216" t="str">
        <f ca="1">IF($AI12="","",IF(INDEX('Roadmap Calc (Don’t Touch)'!$W$2:$AT$204,$AI12,4)&gt;0,IF(AND($H12&lt;&gt;"",$H12&lt;=EOMONTH(M$3,0),$I12&gt;=M$3),"B","U"),IF(AND($H12&lt;&gt;"",$H12&lt;=EOMONTH(M$3,0),$I12&gt;=M$3),"D","")))</f>
        <v/>
      </c>
      <c r="N12" s="204" t="str">
        <f ca="1">IF($AI12="","",IF(INDEX('Roadmap Calc (Don’t Touch)'!$W$2:$AT$204,$AI12,5)&gt;0,IF(AND($H12&lt;&gt;"",$H12&lt;=EOMONTH(N$3,0),$I12&gt;=N$3),"B","U"),IF(AND($H12&lt;&gt;"",$H12&lt;=EOMONTH(N$3,0),$I12&gt;=N$3),"D","")))</f>
        <v/>
      </c>
      <c r="O12" s="217" t="str">
        <f ca="1">IF($AI12="","",IF(INDEX('Roadmap Calc (Don’t Touch)'!$W$2:$AT$204,$AI12,6)&gt;0,IF(AND($H12&lt;&gt;"",$H12&lt;=EOMONTH(O$3,0),$I12&gt;=O$3),"B","U"),IF(AND($H12&lt;&gt;"",$H12&lt;=EOMONTH(O$3,0),$I12&gt;=O$3),"D","")))</f>
        <v/>
      </c>
      <c r="P12" s="216" t="str">
        <f ca="1">IF($AI12="","",IF(INDEX('Roadmap Calc (Don’t Touch)'!$W$2:$AT$204,$AI12,7)&gt;0,IF(AND($H12&lt;&gt;"",$H12&lt;=EOMONTH(P$3,0),$I12&gt;=P$3),"B","U"),IF(AND($H12&lt;&gt;"",$H12&lt;=EOMONTH(P$3,0),$I12&gt;=P$3),"D","")))</f>
        <v/>
      </c>
      <c r="Q12" s="204" t="str">
        <f ca="1">IF($AI12="","",IF(INDEX('Roadmap Calc (Don’t Touch)'!$W$2:$AT$204,$AI12,8)&gt;0,IF(AND($H12&lt;&gt;"",$H12&lt;=EOMONTH(Q$3,0),$I12&gt;=Q$3),"B","U"),IF(AND($H12&lt;&gt;"",$H12&lt;=EOMONTH(Q$3,0),$I12&gt;=Q$3),"D","")))</f>
        <v/>
      </c>
      <c r="R12" s="217" t="str">
        <f ca="1">IF($AI12="","",IF(INDEX('Roadmap Calc (Don’t Touch)'!$W$2:$AT$204,$AI12,9)&gt;0,IF(AND($H12&lt;&gt;"",$H12&lt;=EOMONTH(R$3,0),$I12&gt;=R$3),"B","U"),IF(AND($H12&lt;&gt;"",$H12&lt;=EOMONTH(R$3,0),$I12&gt;=R$3),"D","")))</f>
        <v/>
      </c>
      <c r="S12" s="216" t="str">
        <f ca="1">IF($AI12="","",IF(INDEX('Roadmap Calc (Don’t Touch)'!$W$2:$AT$204,$AI12,10)&gt;0,IF(AND($H12&lt;&gt;"",$H12&lt;=EOMONTH(S$3,0),$I12&gt;=S$3),"B","U"),IF(AND($H12&lt;&gt;"",$H12&lt;=EOMONTH(S$3,0),$I12&gt;=S$3),"D","")))</f>
        <v/>
      </c>
      <c r="T12" s="204" t="str">
        <f ca="1">IF($AI12="","",IF(INDEX('Roadmap Calc (Don’t Touch)'!$W$2:$AT$204,$AI12,11)&gt;0,IF(AND($H12&lt;&gt;"",$H12&lt;=EOMONTH(T$3,0),$I12&gt;=T$3),"B","U"),IF(AND($H12&lt;&gt;"",$H12&lt;=EOMONTH(T$3,0),$I12&gt;=T$3),"D","")))</f>
        <v/>
      </c>
      <c r="U12" s="217" t="str">
        <f ca="1">IF($AI12="","",IF(INDEX('Roadmap Calc (Don’t Touch)'!$W$2:$AT$204,$AI12,12)&gt;0,IF(AND($H12&lt;&gt;"",$H12&lt;=EOMONTH(U$3,0),$I12&gt;=U$3),"B","U"),IF(AND($H12&lt;&gt;"",$H12&lt;=EOMONTH(U$3,0),$I12&gt;=U$3),"D","")))</f>
        <v/>
      </c>
      <c r="V12" s="216" t="str">
        <f ca="1">IF($AI12="","",IF(INDEX('Roadmap Calc (Don’t Touch)'!$W$2:$AT$204,$AI12,13)&gt;0,IF(AND($H12&lt;&gt;"",$H12&lt;=EOMONTH(V$3,0),$I12&gt;=V$3),"B","U"),IF(AND($H12&lt;&gt;"",$H12&lt;=EOMONTH(V$3,0),$I12&gt;=V$3),"D","")))</f>
        <v/>
      </c>
      <c r="W12" s="204" t="str">
        <f ca="1">IF($AI12="","",IF(INDEX('Roadmap Calc (Don’t Touch)'!$W$2:$AT$204,$AI12,14)&gt;0,IF(AND($H12&lt;&gt;"",$H12&lt;=EOMONTH(W$3,0),$I12&gt;=W$3),"B","U"),IF(AND($H12&lt;&gt;"",$H12&lt;=EOMONTH(W$3,0),$I12&gt;=W$3),"D","")))</f>
        <v/>
      </c>
      <c r="X12" s="217" t="str">
        <f ca="1">IF($AI12="","",IF(INDEX('Roadmap Calc (Don’t Touch)'!$W$2:$AT$204,$AI12,15)&gt;0,IF(AND($H12&lt;&gt;"",$H12&lt;=EOMONTH(X$3,0),$I12&gt;=X$3),"B","U"),IF(AND($H12&lt;&gt;"",$H12&lt;=EOMONTH(X$3,0),$I12&gt;=X$3),"D","")))</f>
        <v/>
      </c>
      <c r="Y12" s="216" t="str">
        <f ca="1">IF($AI12="","",IF(INDEX('Roadmap Calc (Don’t Touch)'!$W$2:$AT$204,$AI12,16)&gt;0,IF(AND($H12&lt;&gt;"",$H12&lt;=EOMONTH(Y$3,0),$I12&gt;=Y$3),"B","U"),IF(AND($H12&lt;&gt;"",$H12&lt;=EOMONTH(Y$3,0),$I12&gt;=Y$3),"D","")))</f>
        <v/>
      </c>
      <c r="Z12" s="204" t="str">
        <f ca="1">IF($AI12="","",IF(INDEX('Roadmap Calc (Don’t Touch)'!$W$2:$AT$204,$AI12,17)&gt;0,IF(AND($H12&lt;&gt;"",$H12&lt;=EOMONTH(Z$3,0),$I12&gt;=Z$3),"B","U"),IF(AND($H12&lt;&gt;"",$H12&lt;=EOMONTH(Z$3,0),$I12&gt;=Z$3),"D","")))</f>
        <v/>
      </c>
      <c r="AA12" s="217" t="str">
        <f ca="1">IF($AI12="","",IF(INDEX('Roadmap Calc (Don’t Touch)'!$W$2:$AT$204,$AI12,18)&gt;0,IF(AND($H12&lt;&gt;"",$H12&lt;=EOMONTH(AA$3,0),$I12&gt;=AA$3),"B","U"),IF(AND($H12&lt;&gt;"",$H12&lt;=EOMONTH(AA$3,0),$I12&gt;=AA$3),"D","")))</f>
        <v/>
      </c>
      <c r="AB12" s="216" t="str">
        <f ca="1">IF($AI12="","",IF(INDEX('Roadmap Calc (Don’t Touch)'!$W$2:$AT$204,$AI12,19)&gt;0,IF(AND($H12&lt;&gt;"",$H12&lt;=EOMONTH(AB$3,0),$I12&gt;=AB$3),"B","U"),IF(AND($H12&lt;&gt;"",$H12&lt;=EOMONTH(AB$3,0),$I12&gt;=AB$3),"D","")))</f>
        <v/>
      </c>
      <c r="AC12" s="204" t="str">
        <f ca="1">IF($AI12="","",IF(INDEX('Roadmap Calc (Don’t Touch)'!$W$2:$AT$204,$AI12,20)&gt;0,IF(AND($H12&lt;&gt;"",$H12&lt;=EOMONTH(AC$3,0),$I12&gt;=AC$3),"B","U"),IF(AND($H12&lt;&gt;"",$H12&lt;=EOMONTH(AC$3,0),$I12&gt;=AC$3),"D","")))</f>
        <v/>
      </c>
      <c r="AD12" s="217" t="str">
        <f ca="1">IF($AI12="","",IF(INDEX('Roadmap Calc (Don’t Touch)'!$W$2:$AT$204,$AI12,21)&gt;0,IF(AND($H12&lt;&gt;"",$H12&lt;=EOMONTH(AD$3,0),$I12&gt;=AD$3),"B","U"),IF(AND($H12&lt;&gt;"",$H12&lt;=EOMONTH(AD$3,0),$I12&gt;=AD$3),"D","")))</f>
        <v/>
      </c>
      <c r="AE12" s="210" t="str">
        <f ca="1">IF($AI12="","",IF(INDEX('Roadmap Calc (Don’t Touch)'!$W$2:$AT$204,$AI12,22)&gt;0,IF(AND($H12&lt;&gt;"",$H12&lt;=EOMONTH(AE$3,0),$I12&gt;=AE$3),"B","U"),IF(AND($H12&lt;&gt;"",$H12&lt;=EOMONTH(AE$3,0),$I12&gt;=AE$3),"D","")))</f>
        <v/>
      </c>
      <c r="AF12" s="204" t="str">
        <f ca="1">IF($AI12="","",IF(INDEX('Roadmap Calc (Don’t Touch)'!$W$2:$AT$204,$AI12,23)&gt;0,IF(AND($H12&lt;&gt;"",$H12&lt;=EOMONTH(AF$3,0),$I12&gt;=AF$3),"B","U"),IF(AND($H12&lt;&gt;"",$H12&lt;=EOMONTH(AF$3,0),$I12&gt;=AF$3),"D","")))</f>
        <v/>
      </c>
      <c r="AG12" s="204" t="str">
        <f ca="1">IF($AI12="","",IF(INDEX('Roadmap Calc (Don’t Touch)'!$W$2:$AT$204,$AI12,24)&gt;0,IF(AND($H12&lt;&gt;"",$H12&lt;=EOMONTH(AG$3,0),$I12&gt;=AG$3),"B","U"),IF(AND($H12&lt;&gt;"",$H12&lt;=EOMONTH(AG$3,0),$I12&gt;=AG$3),"D","")))</f>
        <v/>
      </c>
      <c r="AH12" s="180" t="str">
        <f>IF($AI12="","",INDEX('Roadmap Calc (Don’t Touch)'!$D$2:$D$204,$AI12))</f>
        <v>Improve Discovery</v>
      </c>
      <c r="AI12" s="180">
        <f>IFERROR(MATCH(6,'Roadmap Calc (Don’t Touch)'!$O$2:$O$204,0),"")</f>
        <v>38</v>
      </c>
    </row>
    <row r="13" spans="1:35" ht="17" customHeight="1" x14ac:dyDescent="0.25">
      <c r="A13" s="197" t="str">
        <f t="shared" si="0"/>
        <v/>
      </c>
      <c r="B13" s="198" t="str">
        <f>IF($AI13="","",INDEX('Roadmap Calc (Don’t Touch)'!$B$2:$B$204,$AI13))</f>
        <v>My Gear 2 - Tray</v>
      </c>
      <c r="C13" s="199" t="str">
        <f>IF($AI13="","",INDEX('Roadmap Calc (Don’t Touch)'!$E$2:$E$204,$AI13))</f>
        <v>BHUX-28124</v>
      </c>
      <c r="D13" s="227" t="str">
        <f>IF($AI13="","",INDEX('Roadmap Calc (Don’t Touch)'!$F$2:$F$204,$AI13))</f>
        <v>13. Live</v>
      </c>
      <c r="E13" s="201" t="str">
        <f>IF($AI13="","",IF(ISNUMBER(INDEX('Roadmap Calc (Don’t Touch)'!$G$2:$G$204,$AI13)),INDEX('Roadmap Calc (Don’t Touch)'!$G$2:$G$204,$AI13),""))</f>
        <v/>
      </c>
      <c r="F13" s="201" t="str">
        <f>IF($AI13="","",IF(ISNUMBER(INDEX('Roadmap Calc (Don’t Touch)'!$H$2:$H$204,$AI13)),INDEX('Roadmap Calc (Don’t Touch)'!$H$2:$H$204,$AI13),""))</f>
        <v/>
      </c>
      <c r="G13" s="202">
        <f>IF($AI13="","",INDEX('Roadmap Calc (Don’t Touch)'!$S$2:$S$204,$AI13))</f>
        <v>0</v>
      </c>
      <c r="H13" s="203" t="str">
        <f ca="1">IF($AI13="","",IF(ISNUMBER(INDEX('Roadmap Calc (Don’t Touch)'!$I$2:$I$204,$AI13)),INDEX('Roadmap Calc (Don’t Touch)'!$I$2:$I$204,$AI13),""))</f>
        <v/>
      </c>
      <c r="I13" s="203" t="str">
        <f ca="1">IF($AI13="","",IF(ISNUMBER(INDEX('Roadmap Calc (Don’t Touch)'!$J$2:$J$204,$AI13)),INDEX('Roadmap Calc (Don’t Touch)'!$J$2:$J$204,$AI13),""))</f>
        <v/>
      </c>
      <c r="J13" s="204" t="str">
        <f ca="1">IF($AI13="","",IF(INDEX('Roadmap Calc (Don’t Touch)'!$W$2:$AT$204,$AI13,1)&gt;0,IF(AND($H13&lt;&gt;"",$H13&lt;=EOMONTH(J$3,0),$I13&gt;=J$3),"B","U"),IF(AND($H13&lt;&gt;"",$H13&lt;=EOMONTH(J$3,0),$I13&gt;=J$3),"D","")))</f>
        <v/>
      </c>
      <c r="K13" s="204" t="str">
        <f ca="1">IF($AI13="","",IF(INDEX('Roadmap Calc (Don’t Touch)'!$W$2:$AT$204,$AI13,2)&gt;0,IF(AND($H13&lt;&gt;"",$H13&lt;=EOMONTH(K$3,0),$I13&gt;=K$3),"B","U"),IF(AND($H13&lt;&gt;"",$H13&lt;=EOMONTH(K$3,0),$I13&gt;=K$3),"D","")))</f>
        <v/>
      </c>
      <c r="L13" s="204" t="str">
        <f ca="1">IF($AI13="","",IF(INDEX('Roadmap Calc (Don’t Touch)'!$W$2:$AT$204,$AI13,3)&gt;0,IF(AND($H13&lt;&gt;"",$H13&lt;=EOMONTH(L$3,0),$I13&gt;=L$3),"B","U"),IF(AND($H13&lt;&gt;"",$H13&lt;=EOMONTH(L$3,0),$I13&gt;=L$3),"D","")))</f>
        <v/>
      </c>
      <c r="M13" s="216" t="str">
        <f ca="1">IF($AI13="","",IF(INDEX('Roadmap Calc (Don’t Touch)'!$W$2:$AT$204,$AI13,4)&gt;0,IF(AND($H13&lt;&gt;"",$H13&lt;=EOMONTH(M$3,0),$I13&gt;=M$3),"B","U"),IF(AND($H13&lt;&gt;"",$H13&lt;=EOMONTH(M$3,0),$I13&gt;=M$3),"D","")))</f>
        <v/>
      </c>
      <c r="N13" s="204" t="str">
        <f ca="1">IF($AI13="","",IF(INDEX('Roadmap Calc (Don’t Touch)'!$W$2:$AT$204,$AI13,5)&gt;0,IF(AND($H13&lt;&gt;"",$H13&lt;=EOMONTH(N$3,0),$I13&gt;=N$3),"B","U"),IF(AND($H13&lt;&gt;"",$H13&lt;=EOMONTH(N$3,0),$I13&gt;=N$3),"D","")))</f>
        <v/>
      </c>
      <c r="O13" s="217" t="str">
        <f ca="1">IF($AI13="","",IF(INDEX('Roadmap Calc (Don’t Touch)'!$W$2:$AT$204,$AI13,6)&gt;0,IF(AND($H13&lt;&gt;"",$H13&lt;=EOMONTH(O$3,0),$I13&gt;=O$3),"B","U"),IF(AND($H13&lt;&gt;"",$H13&lt;=EOMONTH(O$3,0),$I13&gt;=O$3),"D","")))</f>
        <v/>
      </c>
      <c r="P13" s="216" t="str">
        <f ca="1">IF($AI13="","",IF(INDEX('Roadmap Calc (Don’t Touch)'!$W$2:$AT$204,$AI13,7)&gt;0,IF(AND($H13&lt;&gt;"",$H13&lt;=EOMONTH(P$3,0),$I13&gt;=P$3),"B","U"),IF(AND($H13&lt;&gt;"",$H13&lt;=EOMONTH(P$3,0),$I13&gt;=P$3),"D","")))</f>
        <v/>
      </c>
      <c r="Q13" s="204" t="str">
        <f ca="1">IF($AI13="","",IF(INDEX('Roadmap Calc (Don’t Touch)'!$W$2:$AT$204,$AI13,8)&gt;0,IF(AND($H13&lt;&gt;"",$H13&lt;=EOMONTH(Q$3,0),$I13&gt;=Q$3),"B","U"),IF(AND($H13&lt;&gt;"",$H13&lt;=EOMONTH(Q$3,0),$I13&gt;=Q$3),"D","")))</f>
        <v/>
      </c>
      <c r="R13" s="217" t="str">
        <f ca="1">IF($AI13="","",IF(INDEX('Roadmap Calc (Don’t Touch)'!$W$2:$AT$204,$AI13,9)&gt;0,IF(AND($H13&lt;&gt;"",$H13&lt;=EOMONTH(R$3,0),$I13&gt;=R$3),"B","U"),IF(AND($H13&lt;&gt;"",$H13&lt;=EOMONTH(R$3,0),$I13&gt;=R$3),"D","")))</f>
        <v/>
      </c>
      <c r="S13" s="216" t="str">
        <f ca="1">IF($AI13="","",IF(INDEX('Roadmap Calc (Don’t Touch)'!$W$2:$AT$204,$AI13,10)&gt;0,IF(AND($H13&lt;&gt;"",$H13&lt;=EOMONTH(S$3,0),$I13&gt;=S$3),"B","U"),IF(AND($H13&lt;&gt;"",$H13&lt;=EOMONTH(S$3,0),$I13&gt;=S$3),"D","")))</f>
        <v/>
      </c>
      <c r="T13" s="204" t="str">
        <f ca="1">IF($AI13="","",IF(INDEX('Roadmap Calc (Don’t Touch)'!$W$2:$AT$204,$AI13,11)&gt;0,IF(AND($H13&lt;&gt;"",$H13&lt;=EOMONTH(T$3,0),$I13&gt;=T$3),"B","U"),IF(AND($H13&lt;&gt;"",$H13&lt;=EOMONTH(T$3,0),$I13&gt;=T$3),"D","")))</f>
        <v/>
      </c>
      <c r="U13" s="217" t="str">
        <f ca="1">IF($AI13="","",IF(INDEX('Roadmap Calc (Don’t Touch)'!$W$2:$AT$204,$AI13,12)&gt;0,IF(AND($H13&lt;&gt;"",$H13&lt;=EOMONTH(U$3,0),$I13&gt;=U$3),"B","U"),IF(AND($H13&lt;&gt;"",$H13&lt;=EOMONTH(U$3,0),$I13&gt;=U$3),"D","")))</f>
        <v/>
      </c>
      <c r="V13" s="216" t="str">
        <f ca="1">IF($AI13="","",IF(INDEX('Roadmap Calc (Don’t Touch)'!$W$2:$AT$204,$AI13,13)&gt;0,IF(AND($H13&lt;&gt;"",$H13&lt;=EOMONTH(V$3,0),$I13&gt;=V$3),"B","U"),IF(AND($H13&lt;&gt;"",$H13&lt;=EOMONTH(V$3,0),$I13&gt;=V$3),"D","")))</f>
        <v/>
      </c>
      <c r="W13" s="204" t="str">
        <f ca="1">IF($AI13="","",IF(INDEX('Roadmap Calc (Don’t Touch)'!$W$2:$AT$204,$AI13,14)&gt;0,IF(AND($H13&lt;&gt;"",$H13&lt;=EOMONTH(W$3,0),$I13&gt;=W$3),"B","U"),IF(AND($H13&lt;&gt;"",$H13&lt;=EOMONTH(W$3,0),$I13&gt;=W$3),"D","")))</f>
        <v/>
      </c>
      <c r="X13" s="217" t="str">
        <f ca="1">IF($AI13="","",IF(INDEX('Roadmap Calc (Don’t Touch)'!$W$2:$AT$204,$AI13,15)&gt;0,IF(AND($H13&lt;&gt;"",$H13&lt;=EOMONTH(X$3,0),$I13&gt;=X$3),"B","U"),IF(AND($H13&lt;&gt;"",$H13&lt;=EOMONTH(X$3,0),$I13&gt;=X$3),"D","")))</f>
        <v/>
      </c>
      <c r="Y13" s="216" t="str">
        <f ca="1">IF($AI13="","",IF(INDEX('Roadmap Calc (Don’t Touch)'!$W$2:$AT$204,$AI13,16)&gt;0,IF(AND($H13&lt;&gt;"",$H13&lt;=EOMONTH(Y$3,0),$I13&gt;=Y$3),"B","U"),IF(AND($H13&lt;&gt;"",$H13&lt;=EOMONTH(Y$3,0),$I13&gt;=Y$3),"D","")))</f>
        <v/>
      </c>
      <c r="Z13" s="204" t="str">
        <f ca="1">IF($AI13="","",IF(INDEX('Roadmap Calc (Don’t Touch)'!$W$2:$AT$204,$AI13,17)&gt;0,IF(AND($H13&lt;&gt;"",$H13&lt;=EOMONTH(Z$3,0),$I13&gt;=Z$3),"B","U"),IF(AND($H13&lt;&gt;"",$H13&lt;=EOMONTH(Z$3,0),$I13&gt;=Z$3),"D","")))</f>
        <v/>
      </c>
      <c r="AA13" s="217" t="str">
        <f ca="1">IF($AI13="","",IF(INDEX('Roadmap Calc (Don’t Touch)'!$W$2:$AT$204,$AI13,18)&gt;0,IF(AND($H13&lt;&gt;"",$H13&lt;=EOMONTH(AA$3,0),$I13&gt;=AA$3),"B","U"),IF(AND($H13&lt;&gt;"",$H13&lt;=EOMONTH(AA$3,0),$I13&gt;=AA$3),"D","")))</f>
        <v/>
      </c>
      <c r="AB13" s="216" t="str">
        <f ca="1">IF($AI13="","",IF(INDEX('Roadmap Calc (Don’t Touch)'!$W$2:$AT$204,$AI13,19)&gt;0,IF(AND($H13&lt;&gt;"",$H13&lt;=EOMONTH(AB$3,0),$I13&gt;=AB$3),"B","U"),IF(AND($H13&lt;&gt;"",$H13&lt;=EOMONTH(AB$3,0),$I13&gt;=AB$3),"D","")))</f>
        <v/>
      </c>
      <c r="AC13" s="204" t="str">
        <f ca="1">IF($AI13="","",IF(INDEX('Roadmap Calc (Don’t Touch)'!$W$2:$AT$204,$AI13,20)&gt;0,IF(AND($H13&lt;&gt;"",$H13&lt;=EOMONTH(AC$3,0),$I13&gt;=AC$3),"B","U"),IF(AND($H13&lt;&gt;"",$H13&lt;=EOMONTH(AC$3,0),$I13&gt;=AC$3),"D","")))</f>
        <v/>
      </c>
      <c r="AD13" s="217" t="str">
        <f ca="1">IF($AI13="","",IF(INDEX('Roadmap Calc (Don’t Touch)'!$W$2:$AT$204,$AI13,21)&gt;0,IF(AND($H13&lt;&gt;"",$H13&lt;=EOMONTH(AD$3,0),$I13&gt;=AD$3),"B","U"),IF(AND($H13&lt;&gt;"",$H13&lt;=EOMONTH(AD$3,0),$I13&gt;=AD$3),"D","")))</f>
        <v/>
      </c>
      <c r="AE13" s="210" t="str">
        <f ca="1">IF($AI13="","",IF(INDEX('Roadmap Calc (Don’t Touch)'!$W$2:$AT$204,$AI13,22)&gt;0,IF(AND($H13&lt;&gt;"",$H13&lt;=EOMONTH(AE$3,0),$I13&gt;=AE$3),"B","U"),IF(AND($H13&lt;&gt;"",$H13&lt;=EOMONTH(AE$3,0),$I13&gt;=AE$3),"D","")))</f>
        <v/>
      </c>
      <c r="AF13" s="204" t="str">
        <f ca="1">IF($AI13="","",IF(INDEX('Roadmap Calc (Don’t Touch)'!$W$2:$AT$204,$AI13,23)&gt;0,IF(AND($H13&lt;&gt;"",$H13&lt;=EOMONTH(AF$3,0),$I13&gt;=AF$3),"B","U"),IF(AND($H13&lt;&gt;"",$H13&lt;=EOMONTH(AF$3,0),$I13&gt;=AF$3),"D","")))</f>
        <v/>
      </c>
      <c r="AG13" s="204" t="str">
        <f ca="1">IF($AI13="","",IF(INDEX('Roadmap Calc (Don’t Touch)'!$W$2:$AT$204,$AI13,24)&gt;0,IF(AND($H13&lt;&gt;"",$H13&lt;=EOMONTH(AG$3,0),$I13&gt;=AG$3),"B","U"),IF(AND($H13&lt;&gt;"",$H13&lt;=EOMONTH(AG$3,0),$I13&gt;=AG$3),"D","")))</f>
        <v/>
      </c>
      <c r="AH13" s="180" t="str">
        <f>IF($AI13="","",INDEX('Roadmap Calc (Don’t Touch)'!$D$2:$D$204,$AI13))</f>
        <v>Improve Discovery</v>
      </c>
      <c r="AI13" s="180">
        <f>IFERROR(MATCH(7,'Roadmap Calc (Don’t Touch)'!$O$2:$O$204,0),"")</f>
        <v>39</v>
      </c>
    </row>
    <row r="14" spans="1:35" ht="17" customHeight="1" x14ac:dyDescent="0.25">
      <c r="A14" s="197" t="str">
        <f t="shared" si="0"/>
        <v/>
      </c>
      <c r="B14" s="198" t="str">
        <f>IF($AI14="","",INDEX('Roadmap Calc (Don’t Touch)'!$B$2:$B$204,$AI14))</f>
        <v>H2 on listing pages</v>
      </c>
      <c r="C14" s="199" t="str">
        <f>IF($AI14="","",INDEX('Roadmap Calc (Don’t Touch)'!$E$2:$E$204,$AI14))</f>
        <v>BHUX-31245</v>
      </c>
      <c r="D14" s="227" t="str">
        <f>IF($AI14="","",INDEX('Roadmap Calc (Don’t Touch)'!$F$2:$F$204,$AI14))</f>
        <v>13. Live</v>
      </c>
      <c r="E14" s="201" t="str">
        <f>IF($AI14="","",IF(ISNUMBER(INDEX('Roadmap Calc (Don’t Touch)'!$G$2:$G$204,$AI14)),INDEX('Roadmap Calc (Don’t Touch)'!$G$2:$G$204,$AI14),""))</f>
        <v/>
      </c>
      <c r="F14" s="201" t="str">
        <f>IF($AI14="","",IF(ISNUMBER(INDEX('Roadmap Calc (Don’t Touch)'!$H$2:$H$204,$AI14)),INDEX('Roadmap Calc (Don’t Touch)'!$H$2:$H$204,$AI14),""))</f>
        <v/>
      </c>
      <c r="G14" s="202">
        <f>IF($AI14="","",INDEX('Roadmap Calc (Don’t Touch)'!$S$2:$S$204,$AI14))</f>
        <v>0</v>
      </c>
      <c r="H14" s="203" t="str">
        <f ca="1">IF($AI14="","",IF(ISNUMBER(INDEX('Roadmap Calc (Don’t Touch)'!$I$2:$I$204,$AI14)),INDEX('Roadmap Calc (Don’t Touch)'!$I$2:$I$204,$AI14),""))</f>
        <v/>
      </c>
      <c r="I14" s="203" t="str">
        <f ca="1">IF($AI14="","",IF(ISNUMBER(INDEX('Roadmap Calc (Don’t Touch)'!$J$2:$J$204,$AI14)),INDEX('Roadmap Calc (Don’t Touch)'!$J$2:$J$204,$AI14),""))</f>
        <v/>
      </c>
      <c r="J14" s="204" t="str">
        <f ca="1">IF($AI14="","",IF(INDEX('Roadmap Calc (Don’t Touch)'!$W$2:$AT$204,$AI14,1)&gt;0,IF(AND($H14&lt;&gt;"",$H14&lt;=EOMONTH(J$3,0),$I14&gt;=J$3),"B","U"),IF(AND($H14&lt;&gt;"",$H14&lt;=EOMONTH(J$3,0),$I14&gt;=J$3),"D","")))</f>
        <v/>
      </c>
      <c r="K14" s="204" t="str">
        <f ca="1">IF($AI14="","",IF(INDEX('Roadmap Calc (Don’t Touch)'!$W$2:$AT$204,$AI14,2)&gt;0,IF(AND($H14&lt;&gt;"",$H14&lt;=EOMONTH(K$3,0),$I14&gt;=K$3),"B","U"),IF(AND($H14&lt;&gt;"",$H14&lt;=EOMONTH(K$3,0),$I14&gt;=K$3),"D","")))</f>
        <v/>
      </c>
      <c r="L14" s="204" t="str">
        <f ca="1">IF($AI14="","",IF(INDEX('Roadmap Calc (Don’t Touch)'!$W$2:$AT$204,$AI14,3)&gt;0,IF(AND($H14&lt;&gt;"",$H14&lt;=EOMONTH(L$3,0),$I14&gt;=L$3),"B","U"),IF(AND($H14&lt;&gt;"",$H14&lt;=EOMONTH(L$3,0),$I14&gt;=L$3),"D","")))</f>
        <v/>
      </c>
      <c r="M14" s="216" t="str">
        <f ca="1">IF($AI14="","",IF(INDEX('Roadmap Calc (Don’t Touch)'!$W$2:$AT$204,$AI14,4)&gt;0,IF(AND($H14&lt;&gt;"",$H14&lt;=EOMONTH(M$3,0),$I14&gt;=M$3),"B","U"),IF(AND($H14&lt;&gt;"",$H14&lt;=EOMONTH(M$3,0),$I14&gt;=M$3),"D","")))</f>
        <v/>
      </c>
      <c r="N14" s="204" t="str">
        <f ca="1">IF($AI14="","",IF(INDEX('Roadmap Calc (Don’t Touch)'!$W$2:$AT$204,$AI14,5)&gt;0,IF(AND($H14&lt;&gt;"",$H14&lt;=EOMONTH(N$3,0),$I14&gt;=N$3),"B","U"),IF(AND($H14&lt;&gt;"",$H14&lt;=EOMONTH(N$3,0),$I14&gt;=N$3),"D","")))</f>
        <v/>
      </c>
      <c r="O14" s="217" t="str">
        <f ca="1">IF($AI14="","",IF(INDEX('Roadmap Calc (Don’t Touch)'!$W$2:$AT$204,$AI14,6)&gt;0,IF(AND($H14&lt;&gt;"",$H14&lt;=EOMONTH(O$3,0),$I14&gt;=O$3),"B","U"),IF(AND($H14&lt;&gt;"",$H14&lt;=EOMONTH(O$3,0),$I14&gt;=O$3),"D","")))</f>
        <v/>
      </c>
      <c r="P14" s="216" t="str">
        <f ca="1">IF($AI14="","",IF(INDEX('Roadmap Calc (Don’t Touch)'!$W$2:$AT$204,$AI14,7)&gt;0,IF(AND($H14&lt;&gt;"",$H14&lt;=EOMONTH(P$3,0),$I14&gt;=P$3),"B","U"),IF(AND($H14&lt;&gt;"",$H14&lt;=EOMONTH(P$3,0),$I14&gt;=P$3),"D","")))</f>
        <v/>
      </c>
      <c r="Q14" s="204" t="str">
        <f ca="1">IF($AI14="","",IF(INDEX('Roadmap Calc (Don’t Touch)'!$W$2:$AT$204,$AI14,8)&gt;0,IF(AND($H14&lt;&gt;"",$H14&lt;=EOMONTH(Q$3,0),$I14&gt;=Q$3),"B","U"),IF(AND($H14&lt;&gt;"",$H14&lt;=EOMONTH(Q$3,0),$I14&gt;=Q$3),"D","")))</f>
        <v/>
      </c>
      <c r="R14" s="217" t="str">
        <f ca="1">IF($AI14="","",IF(INDEX('Roadmap Calc (Don’t Touch)'!$W$2:$AT$204,$AI14,9)&gt;0,IF(AND($H14&lt;&gt;"",$H14&lt;=EOMONTH(R$3,0),$I14&gt;=R$3),"B","U"),IF(AND($H14&lt;&gt;"",$H14&lt;=EOMONTH(R$3,0),$I14&gt;=R$3),"D","")))</f>
        <v/>
      </c>
      <c r="S14" s="216" t="str">
        <f ca="1">IF($AI14="","",IF(INDEX('Roadmap Calc (Don’t Touch)'!$W$2:$AT$204,$AI14,10)&gt;0,IF(AND($H14&lt;&gt;"",$H14&lt;=EOMONTH(S$3,0),$I14&gt;=S$3),"B","U"),IF(AND($H14&lt;&gt;"",$H14&lt;=EOMONTH(S$3,0),$I14&gt;=S$3),"D","")))</f>
        <v/>
      </c>
      <c r="T14" s="204" t="str">
        <f ca="1">IF($AI14="","",IF(INDEX('Roadmap Calc (Don’t Touch)'!$W$2:$AT$204,$AI14,11)&gt;0,IF(AND($H14&lt;&gt;"",$H14&lt;=EOMONTH(T$3,0),$I14&gt;=T$3),"B","U"),IF(AND($H14&lt;&gt;"",$H14&lt;=EOMONTH(T$3,0),$I14&gt;=T$3),"D","")))</f>
        <v/>
      </c>
      <c r="U14" s="217" t="str">
        <f ca="1">IF($AI14="","",IF(INDEX('Roadmap Calc (Don’t Touch)'!$W$2:$AT$204,$AI14,12)&gt;0,IF(AND($H14&lt;&gt;"",$H14&lt;=EOMONTH(U$3,0),$I14&gt;=U$3),"B","U"),IF(AND($H14&lt;&gt;"",$H14&lt;=EOMONTH(U$3,0),$I14&gt;=U$3),"D","")))</f>
        <v/>
      </c>
      <c r="V14" s="216" t="str">
        <f ca="1">IF($AI14="","",IF(INDEX('Roadmap Calc (Don’t Touch)'!$W$2:$AT$204,$AI14,13)&gt;0,IF(AND($H14&lt;&gt;"",$H14&lt;=EOMONTH(V$3,0),$I14&gt;=V$3),"B","U"),IF(AND($H14&lt;&gt;"",$H14&lt;=EOMONTH(V$3,0),$I14&gt;=V$3),"D","")))</f>
        <v/>
      </c>
      <c r="W14" s="204" t="str">
        <f ca="1">IF($AI14="","",IF(INDEX('Roadmap Calc (Don’t Touch)'!$W$2:$AT$204,$AI14,14)&gt;0,IF(AND($H14&lt;&gt;"",$H14&lt;=EOMONTH(W$3,0),$I14&gt;=W$3),"B","U"),IF(AND($H14&lt;&gt;"",$H14&lt;=EOMONTH(W$3,0),$I14&gt;=W$3),"D","")))</f>
        <v/>
      </c>
      <c r="X14" s="217" t="str">
        <f ca="1">IF($AI14="","",IF(INDEX('Roadmap Calc (Don’t Touch)'!$W$2:$AT$204,$AI14,15)&gt;0,IF(AND($H14&lt;&gt;"",$H14&lt;=EOMONTH(X$3,0),$I14&gt;=X$3),"B","U"),IF(AND($H14&lt;&gt;"",$H14&lt;=EOMONTH(X$3,0),$I14&gt;=X$3),"D","")))</f>
        <v/>
      </c>
      <c r="Y14" s="216" t="str">
        <f ca="1">IF($AI14="","",IF(INDEX('Roadmap Calc (Don’t Touch)'!$W$2:$AT$204,$AI14,16)&gt;0,IF(AND($H14&lt;&gt;"",$H14&lt;=EOMONTH(Y$3,0),$I14&gt;=Y$3),"B","U"),IF(AND($H14&lt;&gt;"",$H14&lt;=EOMONTH(Y$3,0),$I14&gt;=Y$3),"D","")))</f>
        <v/>
      </c>
      <c r="Z14" s="204" t="str">
        <f ca="1">IF($AI14="","",IF(INDEX('Roadmap Calc (Don’t Touch)'!$W$2:$AT$204,$AI14,17)&gt;0,IF(AND($H14&lt;&gt;"",$H14&lt;=EOMONTH(Z$3,0),$I14&gt;=Z$3),"B","U"),IF(AND($H14&lt;&gt;"",$H14&lt;=EOMONTH(Z$3,0),$I14&gt;=Z$3),"D","")))</f>
        <v/>
      </c>
      <c r="AA14" s="217" t="str">
        <f ca="1">IF($AI14="","",IF(INDEX('Roadmap Calc (Don’t Touch)'!$W$2:$AT$204,$AI14,18)&gt;0,IF(AND($H14&lt;&gt;"",$H14&lt;=EOMONTH(AA$3,0),$I14&gt;=AA$3),"B","U"),IF(AND($H14&lt;&gt;"",$H14&lt;=EOMONTH(AA$3,0),$I14&gt;=AA$3),"D","")))</f>
        <v/>
      </c>
      <c r="AB14" s="216" t="str">
        <f ca="1">IF($AI14="","",IF(INDEX('Roadmap Calc (Don’t Touch)'!$W$2:$AT$204,$AI14,19)&gt;0,IF(AND($H14&lt;&gt;"",$H14&lt;=EOMONTH(AB$3,0),$I14&gt;=AB$3),"B","U"),IF(AND($H14&lt;&gt;"",$H14&lt;=EOMONTH(AB$3,0),$I14&gt;=AB$3),"D","")))</f>
        <v/>
      </c>
      <c r="AC14" s="204" t="str">
        <f ca="1">IF($AI14="","",IF(INDEX('Roadmap Calc (Don’t Touch)'!$W$2:$AT$204,$AI14,20)&gt;0,IF(AND($H14&lt;&gt;"",$H14&lt;=EOMONTH(AC$3,0),$I14&gt;=AC$3),"B","U"),IF(AND($H14&lt;&gt;"",$H14&lt;=EOMONTH(AC$3,0),$I14&gt;=AC$3),"D","")))</f>
        <v/>
      </c>
      <c r="AD14" s="217" t="str">
        <f ca="1">IF($AI14="","",IF(INDEX('Roadmap Calc (Don’t Touch)'!$W$2:$AT$204,$AI14,21)&gt;0,IF(AND($H14&lt;&gt;"",$H14&lt;=EOMONTH(AD$3,0),$I14&gt;=AD$3),"B","U"),IF(AND($H14&lt;&gt;"",$H14&lt;=EOMONTH(AD$3,0),$I14&gt;=AD$3),"D","")))</f>
        <v/>
      </c>
      <c r="AE14" s="210" t="str">
        <f ca="1">IF($AI14="","",IF(INDEX('Roadmap Calc (Don’t Touch)'!$W$2:$AT$204,$AI14,22)&gt;0,IF(AND($H14&lt;&gt;"",$H14&lt;=EOMONTH(AE$3,0),$I14&gt;=AE$3),"B","U"),IF(AND($H14&lt;&gt;"",$H14&lt;=EOMONTH(AE$3,0),$I14&gt;=AE$3),"D","")))</f>
        <v/>
      </c>
      <c r="AF14" s="204" t="str">
        <f ca="1">IF($AI14="","",IF(INDEX('Roadmap Calc (Don’t Touch)'!$W$2:$AT$204,$AI14,23)&gt;0,IF(AND($H14&lt;&gt;"",$H14&lt;=EOMONTH(AF$3,0),$I14&gt;=AF$3),"B","U"),IF(AND($H14&lt;&gt;"",$H14&lt;=EOMONTH(AF$3,0),$I14&gt;=AF$3),"D","")))</f>
        <v/>
      </c>
      <c r="AG14" s="204" t="str">
        <f ca="1">IF($AI14="","",IF(INDEX('Roadmap Calc (Don’t Touch)'!$W$2:$AT$204,$AI14,24)&gt;0,IF(AND($H14&lt;&gt;"",$H14&lt;=EOMONTH(AG$3,0),$I14&gt;=AG$3),"B","U"),IF(AND($H14&lt;&gt;"",$H14&lt;=EOMONTH(AG$3,0),$I14&gt;=AG$3),"D","")))</f>
        <v/>
      </c>
      <c r="AH14" s="180" t="str">
        <f>IF($AI14="","",INDEX('Roadmap Calc (Don’t Touch)'!$D$2:$D$204,$AI14))</f>
        <v>Improve Discovery</v>
      </c>
      <c r="AI14" s="180">
        <f>IFERROR(MATCH(8,'Roadmap Calc (Don’t Touch)'!$O$2:$O$204,0),"")</f>
        <v>40</v>
      </c>
    </row>
    <row r="15" spans="1:35" ht="17" customHeight="1" x14ac:dyDescent="0.25">
      <c r="A15" s="197" t="str">
        <f t="shared" si="0"/>
        <v/>
      </c>
      <c r="B15" s="198" t="str">
        <f>IF($AI15="","",INDEX('Roadmap Calc (Don’t Touch)'!$B$2:$B$204,$AI15))</f>
        <v>Sunset Dealzone</v>
      </c>
      <c r="C15" s="199" t="str">
        <f>IF($AI15="","",INDEX('Roadmap Calc (Don’t Touch)'!$E$2:$E$204,$AI15))</f>
        <v>BHUX-32071</v>
      </c>
      <c r="D15" s="227" t="str">
        <f>IF($AI15="","",INDEX('Roadmap Calc (Don’t Touch)'!$F$2:$F$204,$AI15))</f>
        <v>13. Live</v>
      </c>
      <c r="E15" s="201" t="str">
        <f>IF($AI15="","",IF(ISNUMBER(INDEX('Roadmap Calc (Don’t Touch)'!$G$2:$G$204,$AI15)),INDEX('Roadmap Calc (Don’t Touch)'!$G$2:$G$204,$AI15),""))</f>
        <v/>
      </c>
      <c r="F15" s="201" t="str">
        <f>IF($AI15="","",IF(ISNUMBER(INDEX('Roadmap Calc (Don’t Touch)'!$H$2:$H$204,$AI15)),INDEX('Roadmap Calc (Don’t Touch)'!$H$2:$H$204,$AI15),""))</f>
        <v/>
      </c>
      <c r="G15" s="202">
        <f>IF($AI15="","",INDEX('Roadmap Calc (Don’t Touch)'!$S$2:$S$204,$AI15))</f>
        <v>0</v>
      </c>
      <c r="H15" s="203" t="str">
        <f ca="1">IF($AI15="","",IF(ISNUMBER(INDEX('Roadmap Calc (Don’t Touch)'!$I$2:$I$204,$AI15)),INDEX('Roadmap Calc (Don’t Touch)'!$I$2:$I$204,$AI15),""))</f>
        <v/>
      </c>
      <c r="I15" s="203" t="str">
        <f ca="1">IF($AI15="","",IF(ISNUMBER(INDEX('Roadmap Calc (Don’t Touch)'!$J$2:$J$204,$AI15)),INDEX('Roadmap Calc (Don’t Touch)'!$J$2:$J$204,$AI15),""))</f>
        <v/>
      </c>
      <c r="J15" s="204" t="str">
        <f ca="1">IF($AI15="","",IF(INDEX('Roadmap Calc (Don’t Touch)'!$W$2:$AT$204,$AI15,1)&gt;0,IF(AND($H15&lt;&gt;"",$H15&lt;=EOMONTH(J$3,0),$I15&gt;=J$3),"B","U"),IF(AND($H15&lt;&gt;"",$H15&lt;=EOMONTH(J$3,0),$I15&gt;=J$3),"D","")))</f>
        <v/>
      </c>
      <c r="K15" s="204" t="str">
        <f ca="1">IF($AI15="","",IF(INDEX('Roadmap Calc (Don’t Touch)'!$W$2:$AT$204,$AI15,2)&gt;0,IF(AND($H15&lt;&gt;"",$H15&lt;=EOMONTH(K$3,0),$I15&gt;=K$3),"B","U"),IF(AND($H15&lt;&gt;"",$H15&lt;=EOMONTH(K$3,0),$I15&gt;=K$3),"D","")))</f>
        <v/>
      </c>
      <c r="L15" s="204" t="str">
        <f ca="1">IF($AI15="","",IF(INDEX('Roadmap Calc (Don’t Touch)'!$W$2:$AT$204,$AI15,3)&gt;0,IF(AND($H15&lt;&gt;"",$H15&lt;=EOMONTH(L$3,0),$I15&gt;=L$3),"B","U"),IF(AND($H15&lt;&gt;"",$H15&lt;=EOMONTH(L$3,0),$I15&gt;=L$3),"D","")))</f>
        <v/>
      </c>
      <c r="M15" s="216" t="str">
        <f ca="1">IF($AI15="","",IF(INDEX('Roadmap Calc (Don’t Touch)'!$W$2:$AT$204,$AI15,4)&gt;0,IF(AND($H15&lt;&gt;"",$H15&lt;=EOMONTH(M$3,0),$I15&gt;=M$3),"B","U"),IF(AND($H15&lt;&gt;"",$H15&lt;=EOMONTH(M$3,0),$I15&gt;=M$3),"D","")))</f>
        <v/>
      </c>
      <c r="N15" s="204" t="str">
        <f ca="1">IF($AI15="","",IF(INDEX('Roadmap Calc (Don’t Touch)'!$W$2:$AT$204,$AI15,5)&gt;0,IF(AND($H15&lt;&gt;"",$H15&lt;=EOMONTH(N$3,0),$I15&gt;=N$3),"B","U"),IF(AND($H15&lt;&gt;"",$H15&lt;=EOMONTH(N$3,0),$I15&gt;=N$3),"D","")))</f>
        <v/>
      </c>
      <c r="O15" s="217" t="str">
        <f ca="1">IF($AI15="","",IF(INDEX('Roadmap Calc (Don’t Touch)'!$W$2:$AT$204,$AI15,6)&gt;0,IF(AND($H15&lt;&gt;"",$H15&lt;=EOMONTH(O$3,0),$I15&gt;=O$3),"B","U"),IF(AND($H15&lt;&gt;"",$H15&lt;=EOMONTH(O$3,0),$I15&gt;=O$3),"D","")))</f>
        <v/>
      </c>
      <c r="P15" s="216" t="str">
        <f ca="1">IF($AI15="","",IF(INDEX('Roadmap Calc (Don’t Touch)'!$W$2:$AT$204,$AI15,7)&gt;0,IF(AND($H15&lt;&gt;"",$H15&lt;=EOMONTH(P$3,0),$I15&gt;=P$3),"B","U"),IF(AND($H15&lt;&gt;"",$H15&lt;=EOMONTH(P$3,0),$I15&gt;=P$3),"D","")))</f>
        <v/>
      </c>
      <c r="Q15" s="204" t="str">
        <f ca="1">IF($AI15="","",IF(INDEX('Roadmap Calc (Don’t Touch)'!$W$2:$AT$204,$AI15,8)&gt;0,IF(AND($H15&lt;&gt;"",$H15&lt;=EOMONTH(Q$3,0),$I15&gt;=Q$3),"B","U"),IF(AND($H15&lt;&gt;"",$H15&lt;=EOMONTH(Q$3,0),$I15&gt;=Q$3),"D","")))</f>
        <v/>
      </c>
      <c r="R15" s="217" t="str">
        <f ca="1">IF($AI15="","",IF(INDEX('Roadmap Calc (Don’t Touch)'!$W$2:$AT$204,$AI15,9)&gt;0,IF(AND($H15&lt;&gt;"",$H15&lt;=EOMONTH(R$3,0),$I15&gt;=R$3),"B","U"),IF(AND($H15&lt;&gt;"",$H15&lt;=EOMONTH(R$3,0),$I15&gt;=R$3),"D","")))</f>
        <v/>
      </c>
      <c r="S15" s="216" t="str">
        <f ca="1">IF($AI15="","",IF(INDEX('Roadmap Calc (Don’t Touch)'!$W$2:$AT$204,$AI15,10)&gt;0,IF(AND($H15&lt;&gt;"",$H15&lt;=EOMONTH(S$3,0),$I15&gt;=S$3),"B","U"),IF(AND($H15&lt;&gt;"",$H15&lt;=EOMONTH(S$3,0),$I15&gt;=S$3),"D","")))</f>
        <v/>
      </c>
      <c r="T15" s="204" t="str">
        <f ca="1">IF($AI15="","",IF(INDEX('Roadmap Calc (Don’t Touch)'!$W$2:$AT$204,$AI15,11)&gt;0,IF(AND($H15&lt;&gt;"",$H15&lt;=EOMONTH(T$3,0),$I15&gt;=T$3),"B","U"),IF(AND($H15&lt;&gt;"",$H15&lt;=EOMONTH(T$3,0),$I15&gt;=T$3),"D","")))</f>
        <v/>
      </c>
      <c r="U15" s="217" t="str">
        <f ca="1">IF($AI15="","",IF(INDEX('Roadmap Calc (Don’t Touch)'!$W$2:$AT$204,$AI15,12)&gt;0,IF(AND($H15&lt;&gt;"",$H15&lt;=EOMONTH(U$3,0),$I15&gt;=U$3),"B","U"),IF(AND($H15&lt;&gt;"",$H15&lt;=EOMONTH(U$3,0),$I15&gt;=U$3),"D","")))</f>
        <v/>
      </c>
      <c r="V15" s="216" t="str">
        <f ca="1">IF($AI15="","",IF(INDEX('Roadmap Calc (Don’t Touch)'!$W$2:$AT$204,$AI15,13)&gt;0,IF(AND($H15&lt;&gt;"",$H15&lt;=EOMONTH(V$3,0),$I15&gt;=V$3),"B","U"),IF(AND($H15&lt;&gt;"",$H15&lt;=EOMONTH(V$3,0),$I15&gt;=V$3),"D","")))</f>
        <v/>
      </c>
      <c r="W15" s="204" t="str">
        <f ca="1">IF($AI15="","",IF(INDEX('Roadmap Calc (Don’t Touch)'!$W$2:$AT$204,$AI15,14)&gt;0,IF(AND($H15&lt;&gt;"",$H15&lt;=EOMONTH(W$3,0),$I15&gt;=W$3),"B","U"),IF(AND($H15&lt;&gt;"",$H15&lt;=EOMONTH(W$3,0),$I15&gt;=W$3),"D","")))</f>
        <v/>
      </c>
      <c r="X15" s="217" t="str">
        <f ca="1">IF($AI15="","",IF(INDEX('Roadmap Calc (Don’t Touch)'!$W$2:$AT$204,$AI15,15)&gt;0,IF(AND($H15&lt;&gt;"",$H15&lt;=EOMONTH(X$3,0),$I15&gt;=X$3),"B","U"),IF(AND($H15&lt;&gt;"",$H15&lt;=EOMONTH(X$3,0),$I15&gt;=X$3),"D","")))</f>
        <v/>
      </c>
      <c r="Y15" s="216" t="str">
        <f ca="1">IF($AI15="","",IF(INDEX('Roadmap Calc (Don’t Touch)'!$W$2:$AT$204,$AI15,16)&gt;0,IF(AND($H15&lt;&gt;"",$H15&lt;=EOMONTH(Y$3,0),$I15&gt;=Y$3),"B","U"),IF(AND($H15&lt;&gt;"",$H15&lt;=EOMONTH(Y$3,0),$I15&gt;=Y$3),"D","")))</f>
        <v/>
      </c>
      <c r="Z15" s="204" t="str">
        <f ca="1">IF($AI15="","",IF(INDEX('Roadmap Calc (Don’t Touch)'!$W$2:$AT$204,$AI15,17)&gt;0,IF(AND($H15&lt;&gt;"",$H15&lt;=EOMONTH(Z$3,0),$I15&gt;=Z$3),"B","U"),IF(AND($H15&lt;&gt;"",$H15&lt;=EOMONTH(Z$3,0),$I15&gt;=Z$3),"D","")))</f>
        <v/>
      </c>
      <c r="AA15" s="217" t="str">
        <f ca="1">IF($AI15="","",IF(INDEX('Roadmap Calc (Don’t Touch)'!$W$2:$AT$204,$AI15,18)&gt;0,IF(AND($H15&lt;&gt;"",$H15&lt;=EOMONTH(AA$3,0),$I15&gt;=AA$3),"B","U"),IF(AND($H15&lt;&gt;"",$H15&lt;=EOMONTH(AA$3,0),$I15&gt;=AA$3),"D","")))</f>
        <v/>
      </c>
      <c r="AB15" s="216" t="str">
        <f ca="1">IF($AI15="","",IF(INDEX('Roadmap Calc (Don’t Touch)'!$W$2:$AT$204,$AI15,19)&gt;0,IF(AND($H15&lt;&gt;"",$H15&lt;=EOMONTH(AB$3,0),$I15&gt;=AB$3),"B","U"),IF(AND($H15&lt;&gt;"",$H15&lt;=EOMONTH(AB$3,0),$I15&gt;=AB$3),"D","")))</f>
        <v/>
      </c>
      <c r="AC15" s="204" t="str">
        <f ca="1">IF($AI15="","",IF(INDEX('Roadmap Calc (Don’t Touch)'!$W$2:$AT$204,$AI15,20)&gt;0,IF(AND($H15&lt;&gt;"",$H15&lt;=EOMONTH(AC$3,0),$I15&gt;=AC$3),"B","U"),IF(AND($H15&lt;&gt;"",$H15&lt;=EOMONTH(AC$3,0),$I15&gt;=AC$3),"D","")))</f>
        <v/>
      </c>
      <c r="AD15" s="217" t="str">
        <f ca="1">IF($AI15="","",IF(INDEX('Roadmap Calc (Don’t Touch)'!$W$2:$AT$204,$AI15,21)&gt;0,IF(AND($H15&lt;&gt;"",$H15&lt;=EOMONTH(AD$3,0),$I15&gt;=AD$3),"B","U"),IF(AND($H15&lt;&gt;"",$H15&lt;=EOMONTH(AD$3,0),$I15&gt;=AD$3),"D","")))</f>
        <v/>
      </c>
      <c r="AE15" s="210" t="str">
        <f ca="1">IF($AI15="","",IF(INDEX('Roadmap Calc (Don’t Touch)'!$W$2:$AT$204,$AI15,22)&gt;0,IF(AND($H15&lt;&gt;"",$H15&lt;=EOMONTH(AE$3,0),$I15&gt;=AE$3),"B","U"),IF(AND($H15&lt;&gt;"",$H15&lt;=EOMONTH(AE$3,0),$I15&gt;=AE$3),"D","")))</f>
        <v/>
      </c>
      <c r="AF15" s="204" t="str">
        <f ca="1">IF($AI15="","",IF(INDEX('Roadmap Calc (Don’t Touch)'!$W$2:$AT$204,$AI15,23)&gt;0,IF(AND($H15&lt;&gt;"",$H15&lt;=EOMONTH(AF$3,0),$I15&gt;=AF$3),"B","U"),IF(AND($H15&lt;&gt;"",$H15&lt;=EOMONTH(AF$3,0),$I15&gt;=AF$3),"D","")))</f>
        <v/>
      </c>
      <c r="AG15" s="204" t="str">
        <f ca="1">IF($AI15="","",IF(INDEX('Roadmap Calc (Don’t Touch)'!$W$2:$AT$204,$AI15,24)&gt;0,IF(AND($H15&lt;&gt;"",$H15&lt;=EOMONTH(AG$3,0),$I15&gt;=AG$3),"B","U"),IF(AND($H15&lt;&gt;"",$H15&lt;=EOMONTH(AG$3,0),$I15&gt;=AG$3),"D","")))</f>
        <v/>
      </c>
      <c r="AH15" s="180" t="str">
        <f>IF($AI15="","",INDEX('Roadmap Calc (Don’t Touch)'!$D$2:$D$204,$AI15))</f>
        <v>Improve Discovery</v>
      </c>
      <c r="AI15" s="180">
        <f>IFERROR(MATCH(9,'Roadmap Calc (Don’t Touch)'!$O$2:$O$204,0),"")</f>
        <v>41</v>
      </c>
    </row>
    <row r="16" spans="1:35" ht="17" customHeight="1" x14ac:dyDescent="0.25">
      <c r="A16" s="197" t="str">
        <f t="shared" si="0"/>
        <v/>
      </c>
      <c r="B16" s="198" t="str">
        <f>IF($AI16="","",INDEX('Roadmap Calc (Don’t Touch)'!$B$2:$B$204,$AI16))</f>
        <v>Highlighted Refinements</v>
      </c>
      <c r="C16" s="199" t="str">
        <f>IF($AI16="","",INDEX('Roadmap Calc (Don’t Touch)'!$E$2:$E$204,$AI16))</f>
        <v>BHUX-29921</v>
      </c>
      <c r="D16" s="227" t="str">
        <f>IF($AI16="","",INDEX('Roadmap Calc (Don’t Touch)'!$F$2:$F$204,$AI16))</f>
        <v>13. Live</v>
      </c>
      <c r="E16" s="201" t="str">
        <f>IF($AI16="","",IF(ISNUMBER(INDEX('Roadmap Calc (Don’t Touch)'!$G$2:$G$204,$AI16)),INDEX('Roadmap Calc (Don’t Touch)'!$G$2:$G$204,$AI16),""))</f>
        <v/>
      </c>
      <c r="F16" s="201" t="str">
        <f>IF($AI16="","",IF(ISNUMBER(INDEX('Roadmap Calc (Don’t Touch)'!$H$2:$H$204,$AI16)),INDEX('Roadmap Calc (Don’t Touch)'!$H$2:$H$204,$AI16),""))</f>
        <v/>
      </c>
      <c r="G16" s="202">
        <f>IF($AI16="","",INDEX('Roadmap Calc (Don’t Touch)'!$S$2:$S$204,$AI16))</f>
        <v>0</v>
      </c>
      <c r="H16" s="203" t="str">
        <f ca="1">IF($AI16="","",IF(ISNUMBER(INDEX('Roadmap Calc (Don’t Touch)'!$I$2:$I$204,$AI16)),INDEX('Roadmap Calc (Don’t Touch)'!$I$2:$I$204,$AI16),""))</f>
        <v/>
      </c>
      <c r="I16" s="203" t="str">
        <f ca="1">IF($AI16="","",IF(ISNUMBER(INDEX('Roadmap Calc (Don’t Touch)'!$J$2:$J$204,$AI16)),INDEX('Roadmap Calc (Don’t Touch)'!$J$2:$J$204,$AI16),""))</f>
        <v/>
      </c>
      <c r="J16" s="204" t="str">
        <f ca="1">IF($AI16="","",IF(INDEX('Roadmap Calc (Don’t Touch)'!$W$2:$AT$204,$AI16,1)&gt;0,IF(AND($H16&lt;&gt;"",$H16&lt;=EOMONTH(J$3,0),$I16&gt;=J$3),"B","U"),IF(AND($H16&lt;&gt;"",$H16&lt;=EOMONTH(J$3,0),$I16&gt;=J$3),"D","")))</f>
        <v/>
      </c>
      <c r="K16" s="204" t="str">
        <f ca="1">IF($AI16="","",IF(INDEX('Roadmap Calc (Don’t Touch)'!$W$2:$AT$204,$AI16,2)&gt;0,IF(AND($H16&lt;&gt;"",$H16&lt;=EOMONTH(K$3,0),$I16&gt;=K$3),"B","U"),IF(AND($H16&lt;&gt;"",$H16&lt;=EOMONTH(K$3,0),$I16&gt;=K$3),"D","")))</f>
        <v/>
      </c>
      <c r="L16" s="204" t="str">
        <f ca="1">IF($AI16="","",IF(INDEX('Roadmap Calc (Don’t Touch)'!$W$2:$AT$204,$AI16,3)&gt;0,IF(AND($H16&lt;&gt;"",$H16&lt;=EOMONTH(L$3,0),$I16&gt;=L$3),"B","U"),IF(AND($H16&lt;&gt;"",$H16&lt;=EOMONTH(L$3,0),$I16&gt;=L$3),"D","")))</f>
        <v/>
      </c>
      <c r="M16" s="216" t="str">
        <f ca="1">IF($AI16="","",IF(INDEX('Roadmap Calc (Don’t Touch)'!$W$2:$AT$204,$AI16,4)&gt;0,IF(AND($H16&lt;&gt;"",$H16&lt;=EOMONTH(M$3,0),$I16&gt;=M$3),"B","U"),IF(AND($H16&lt;&gt;"",$H16&lt;=EOMONTH(M$3,0),$I16&gt;=M$3),"D","")))</f>
        <v/>
      </c>
      <c r="N16" s="204" t="str">
        <f ca="1">IF($AI16="","",IF(INDEX('Roadmap Calc (Don’t Touch)'!$W$2:$AT$204,$AI16,5)&gt;0,IF(AND($H16&lt;&gt;"",$H16&lt;=EOMONTH(N$3,0),$I16&gt;=N$3),"B","U"),IF(AND($H16&lt;&gt;"",$H16&lt;=EOMONTH(N$3,0),$I16&gt;=N$3),"D","")))</f>
        <v/>
      </c>
      <c r="O16" s="217" t="str">
        <f ca="1">IF($AI16="","",IF(INDEX('Roadmap Calc (Don’t Touch)'!$W$2:$AT$204,$AI16,6)&gt;0,IF(AND($H16&lt;&gt;"",$H16&lt;=EOMONTH(O$3,0),$I16&gt;=O$3),"B","U"),IF(AND($H16&lt;&gt;"",$H16&lt;=EOMONTH(O$3,0),$I16&gt;=O$3),"D","")))</f>
        <v/>
      </c>
      <c r="P16" s="216" t="str">
        <f ca="1">IF($AI16="","",IF(INDEX('Roadmap Calc (Don’t Touch)'!$W$2:$AT$204,$AI16,7)&gt;0,IF(AND($H16&lt;&gt;"",$H16&lt;=EOMONTH(P$3,0),$I16&gt;=P$3),"B","U"),IF(AND($H16&lt;&gt;"",$H16&lt;=EOMONTH(P$3,0),$I16&gt;=P$3),"D","")))</f>
        <v/>
      </c>
      <c r="Q16" s="204" t="str">
        <f ca="1">IF($AI16="","",IF(INDEX('Roadmap Calc (Don’t Touch)'!$W$2:$AT$204,$AI16,8)&gt;0,IF(AND($H16&lt;&gt;"",$H16&lt;=EOMONTH(Q$3,0),$I16&gt;=Q$3),"B","U"),IF(AND($H16&lt;&gt;"",$H16&lt;=EOMONTH(Q$3,0),$I16&gt;=Q$3),"D","")))</f>
        <v/>
      </c>
      <c r="R16" s="217" t="str">
        <f ca="1">IF($AI16="","",IF(INDEX('Roadmap Calc (Don’t Touch)'!$W$2:$AT$204,$AI16,9)&gt;0,IF(AND($H16&lt;&gt;"",$H16&lt;=EOMONTH(R$3,0),$I16&gt;=R$3),"B","U"),IF(AND($H16&lt;&gt;"",$H16&lt;=EOMONTH(R$3,0),$I16&gt;=R$3),"D","")))</f>
        <v/>
      </c>
      <c r="S16" s="216" t="str">
        <f ca="1">IF($AI16="","",IF(INDEX('Roadmap Calc (Don’t Touch)'!$W$2:$AT$204,$AI16,10)&gt;0,IF(AND($H16&lt;&gt;"",$H16&lt;=EOMONTH(S$3,0),$I16&gt;=S$3),"B","U"),IF(AND($H16&lt;&gt;"",$H16&lt;=EOMONTH(S$3,0),$I16&gt;=S$3),"D","")))</f>
        <v/>
      </c>
      <c r="T16" s="204" t="str">
        <f ca="1">IF($AI16="","",IF(INDEX('Roadmap Calc (Don’t Touch)'!$W$2:$AT$204,$AI16,11)&gt;0,IF(AND($H16&lt;&gt;"",$H16&lt;=EOMONTH(T$3,0),$I16&gt;=T$3),"B","U"),IF(AND($H16&lt;&gt;"",$H16&lt;=EOMONTH(T$3,0),$I16&gt;=T$3),"D","")))</f>
        <v/>
      </c>
      <c r="U16" s="217" t="str">
        <f ca="1">IF($AI16="","",IF(INDEX('Roadmap Calc (Don’t Touch)'!$W$2:$AT$204,$AI16,12)&gt;0,IF(AND($H16&lt;&gt;"",$H16&lt;=EOMONTH(U$3,0),$I16&gt;=U$3),"B","U"),IF(AND($H16&lt;&gt;"",$H16&lt;=EOMONTH(U$3,0),$I16&gt;=U$3),"D","")))</f>
        <v/>
      </c>
      <c r="V16" s="216" t="str">
        <f ca="1">IF($AI16="","",IF(INDEX('Roadmap Calc (Don’t Touch)'!$W$2:$AT$204,$AI16,13)&gt;0,IF(AND($H16&lt;&gt;"",$H16&lt;=EOMONTH(V$3,0),$I16&gt;=V$3),"B","U"),IF(AND($H16&lt;&gt;"",$H16&lt;=EOMONTH(V$3,0),$I16&gt;=V$3),"D","")))</f>
        <v/>
      </c>
      <c r="W16" s="204" t="str">
        <f ca="1">IF($AI16="","",IF(INDEX('Roadmap Calc (Don’t Touch)'!$W$2:$AT$204,$AI16,14)&gt;0,IF(AND($H16&lt;&gt;"",$H16&lt;=EOMONTH(W$3,0),$I16&gt;=W$3),"B","U"),IF(AND($H16&lt;&gt;"",$H16&lt;=EOMONTH(W$3,0),$I16&gt;=W$3),"D","")))</f>
        <v/>
      </c>
      <c r="X16" s="217" t="str">
        <f ca="1">IF($AI16="","",IF(INDEX('Roadmap Calc (Don’t Touch)'!$W$2:$AT$204,$AI16,15)&gt;0,IF(AND($H16&lt;&gt;"",$H16&lt;=EOMONTH(X$3,0),$I16&gt;=X$3),"B","U"),IF(AND($H16&lt;&gt;"",$H16&lt;=EOMONTH(X$3,0),$I16&gt;=X$3),"D","")))</f>
        <v/>
      </c>
      <c r="Y16" s="216" t="str">
        <f ca="1">IF($AI16="","",IF(INDEX('Roadmap Calc (Don’t Touch)'!$W$2:$AT$204,$AI16,16)&gt;0,IF(AND($H16&lt;&gt;"",$H16&lt;=EOMONTH(Y$3,0),$I16&gt;=Y$3),"B","U"),IF(AND($H16&lt;&gt;"",$H16&lt;=EOMONTH(Y$3,0),$I16&gt;=Y$3),"D","")))</f>
        <v/>
      </c>
      <c r="Z16" s="204" t="str">
        <f ca="1">IF($AI16="","",IF(INDEX('Roadmap Calc (Don’t Touch)'!$W$2:$AT$204,$AI16,17)&gt;0,IF(AND($H16&lt;&gt;"",$H16&lt;=EOMONTH(Z$3,0),$I16&gt;=Z$3),"B","U"),IF(AND($H16&lt;&gt;"",$H16&lt;=EOMONTH(Z$3,0),$I16&gt;=Z$3),"D","")))</f>
        <v/>
      </c>
      <c r="AA16" s="217" t="str">
        <f ca="1">IF($AI16="","",IF(INDEX('Roadmap Calc (Don’t Touch)'!$W$2:$AT$204,$AI16,18)&gt;0,IF(AND($H16&lt;&gt;"",$H16&lt;=EOMONTH(AA$3,0),$I16&gt;=AA$3),"B","U"),IF(AND($H16&lt;&gt;"",$H16&lt;=EOMONTH(AA$3,0),$I16&gt;=AA$3),"D","")))</f>
        <v/>
      </c>
      <c r="AB16" s="216" t="str">
        <f ca="1">IF($AI16="","",IF(INDEX('Roadmap Calc (Don’t Touch)'!$W$2:$AT$204,$AI16,19)&gt;0,IF(AND($H16&lt;&gt;"",$H16&lt;=EOMONTH(AB$3,0),$I16&gt;=AB$3),"B","U"),IF(AND($H16&lt;&gt;"",$H16&lt;=EOMONTH(AB$3,0),$I16&gt;=AB$3),"D","")))</f>
        <v/>
      </c>
      <c r="AC16" s="204" t="str">
        <f ca="1">IF($AI16="","",IF(INDEX('Roadmap Calc (Don’t Touch)'!$W$2:$AT$204,$AI16,20)&gt;0,IF(AND($H16&lt;&gt;"",$H16&lt;=EOMONTH(AC$3,0),$I16&gt;=AC$3),"B","U"),IF(AND($H16&lt;&gt;"",$H16&lt;=EOMONTH(AC$3,0),$I16&gt;=AC$3),"D","")))</f>
        <v/>
      </c>
      <c r="AD16" s="217" t="str">
        <f ca="1">IF($AI16="","",IF(INDEX('Roadmap Calc (Don’t Touch)'!$W$2:$AT$204,$AI16,21)&gt;0,IF(AND($H16&lt;&gt;"",$H16&lt;=EOMONTH(AD$3,0),$I16&gt;=AD$3),"B","U"),IF(AND($H16&lt;&gt;"",$H16&lt;=EOMONTH(AD$3,0),$I16&gt;=AD$3),"D","")))</f>
        <v/>
      </c>
      <c r="AE16" s="210" t="str">
        <f ca="1">IF($AI16="","",IF(INDEX('Roadmap Calc (Don’t Touch)'!$W$2:$AT$204,$AI16,22)&gt;0,IF(AND($H16&lt;&gt;"",$H16&lt;=EOMONTH(AE$3,0),$I16&gt;=AE$3),"B","U"),IF(AND($H16&lt;&gt;"",$H16&lt;=EOMONTH(AE$3,0),$I16&gt;=AE$3),"D","")))</f>
        <v/>
      </c>
      <c r="AF16" s="204" t="str">
        <f ca="1">IF($AI16="","",IF(INDEX('Roadmap Calc (Don’t Touch)'!$W$2:$AT$204,$AI16,23)&gt;0,IF(AND($H16&lt;&gt;"",$H16&lt;=EOMONTH(AF$3,0),$I16&gt;=AF$3),"B","U"),IF(AND($H16&lt;&gt;"",$H16&lt;=EOMONTH(AF$3,0),$I16&gt;=AF$3),"D","")))</f>
        <v/>
      </c>
      <c r="AG16" s="204" t="str">
        <f ca="1">IF($AI16="","",IF(INDEX('Roadmap Calc (Don’t Touch)'!$W$2:$AT$204,$AI16,24)&gt;0,IF(AND($H16&lt;&gt;"",$H16&lt;=EOMONTH(AG$3,0),$I16&gt;=AG$3),"B","U"),IF(AND($H16&lt;&gt;"",$H16&lt;=EOMONTH(AG$3,0),$I16&gt;=AG$3),"D","")))</f>
        <v/>
      </c>
      <c r="AH16" s="180" t="str">
        <f>IF($AI16="","",INDEX('Roadmap Calc (Don’t Touch)'!$D$2:$D$204,$AI16))</f>
        <v>Improve Discovery</v>
      </c>
      <c r="AI16" s="180">
        <f>IFERROR(MATCH(10,'Roadmap Calc (Don’t Touch)'!$O$2:$O$204,0),"")</f>
        <v>42</v>
      </c>
    </row>
    <row r="17" spans="1:35" ht="17" customHeight="1" x14ac:dyDescent="0.25">
      <c r="A17" s="197" t="str">
        <f t="shared" si="0"/>
        <v>Increase Trade In Awareness</v>
      </c>
      <c r="B17" s="198" t="str">
        <f>IF($AI17="","",INDEX('Roadmap Calc (Don’t Touch)'!$B$2:$B$204,$AI17))</f>
        <v>Decouple Sell Used from Used Hub</v>
      </c>
      <c r="C17" s="199" t="str">
        <f>IF($AI17="","",INDEX('Roadmap Calc (Don’t Touch)'!$E$2:$E$204,$AI17))</f>
        <v>BHP-7431</v>
      </c>
      <c r="D17" s="227" t="str">
        <f>IF($AI17="","",INDEX('Roadmap Calc (Don’t Touch)'!$F$2:$F$204,$AI17))</f>
        <v>01. Prod Discovery</v>
      </c>
      <c r="E17" s="201" t="str">
        <f>IF($AI17="","",IF(ISNUMBER(INDEX('Roadmap Calc (Don’t Touch)'!$G$2:$G$204,$AI17)),INDEX('Roadmap Calc (Don’t Touch)'!$G$2:$G$204,$AI17),""))</f>
        <v/>
      </c>
      <c r="F17" s="201" t="str">
        <f>IF($AI17="","",IF(ISNUMBER(INDEX('Roadmap Calc (Don’t Touch)'!$H$2:$H$204,$AI17)),INDEX('Roadmap Calc (Don’t Touch)'!$H$2:$H$204,$AI17),""))</f>
        <v/>
      </c>
      <c r="G17" s="202">
        <f>IF($AI17="","",INDEX('Roadmap Calc (Don’t Touch)'!$S$2:$S$204,$AI17))</f>
        <v>0</v>
      </c>
      <c r="H17" s="203" t="str">
        <f ca="1">IF($AI17="","",IF(ISNUMBER(INDEX('Roadmap Calc (Don’t Touch)'!$I$2:$I$204,$AI17)),INDEX('Roadmap Calc (Don’t Touch)'!$I$2:$I$204,$AI17),""))</f>
        <v/>
      </c>
      <c r="I17" s="203" t="str">
        <f ca="1">IF($AI17="","",IF(ISNUMBER(INDEX('Roadmap Calc (Don’t Touch)'!$J$2:$J$204,$AI17)),INDEX('Roadmap Calc (Don’t Touch)'!$J$2:$J$204,$AI17),""))</f>
        <v/>
      </c>
      <c r="J17" s="204" t="str">
        <f ca="1">IF($AI17="","",IF(INDEX('Roadmap Calc (Don’t Touch)'!$W$2:$AT$204,$AI17,1)&gt;0,IF(AND($H17&lt;&gt;"",$H17&lt;=EOMONTH(J$3,0),$I17&gt;=J$3),"B","U"),IF(AND($H17&lt;&gt;"",$H17&lt;=EOMONTH(J$3,0),$I17&gt;=J$3),"D","")))</f>
        <v/>
      </c>
      <c r="K17" s="204" t="str">
        <f ca="1">IF($AI17="","",IF(INDEX('Roadmap Calc (Don’t Touch)'!$W$2:$AT$204,$AI17,2)&gt;0,IF(AND($H17&lt;&gt;"",$H17&lt;=EOMONTH(K$3,0),$I17&gt;=K$3),"B","U"),IF(AND($H17&lt;&gt;"",$H17&lt;=EOMONTH(K$3,0),$I17&gt;=K$3),"D","")))</f>
        <v/>
      </c>
      <c r="L17" s="204" t="str">
        <f ca="1">IF($AI17="","",IF(INDEX('Roadmap Calc (Don’t Touch)'!$W$2:$AT$204,$AI17,3)&gt;0,IF(AND($H17&lt;&gt;"",$H17&lt;=EOMONTH(L$3,0),$I17&gt;=L$3),"B","U"),IF(AND($H17&lt;&gt;"",$H17&lt;=EOMONTH(L$3,0),$I17&gt;=L$3),"D","")))</f>
        <v/>
      </c>
      <c r="M17" s="216" t="str">
        <f ca="1">IF($AI17="","",IF(INDEX('Roadmap Calc (Don’t Touch)'!$W$2:$AT$204,$AI17,4)&gt;0,IF(AND($H17&lt;&gt;"",$H17&lt;=EOMONTH(M$3,0),$I17&gt;=M$3),"B","U"),IF(AND($H17&lt;&gt;"",$H17&lt;=EOMONTH(M$3,0),$I17&gt;=M$3),"D","")))</f>
        <v/>
      </c>
      <c r="N17" s="204" t="str">
        <f ca="1">IF($AI17="","",IF(INDEX('Roadmap Calc (Don’t Touch)'!$W$2:$AT$204,$AI17,5)&gt;0,IF(AND($H17&lt;&gt;"",$H17&lt;=EOMONTH(N$3,0),$I17&gt;=N$3),"B","U"),IF(AND($H17&lt;&gt;"",$H17&lt;=EOMONTH(N$3,0),$I17&gt;=N$3),"D","")))</f>
        <v/>
      </c>
      <c r="O17" s="217" t="str">
        <f ca="1">IF($AI17="","",IF(INDEX('Roadmap Calc (Don’t Touch)'!$W$2:$AT$204,$AI17,6)&gt;0,IF(AND($H17&lt;&gt;"",$H17&lt;=EOMONTH(O$3,0),$I17&gt;=O$3),"B","U"),IF(AND($H17&lt;&gt;"",$H17&lt;=EOMONTH(O$3,0),$I17&gt;=O$3),"D","")))</f>
        <v/>
      </c>
      <c r="P17" s="216" t="str">
        <f ca="1">IF($AI17="","",IF(INDEX('Roadmap Calc (Don’t Touch)'!$W$2:$AT$204,$AI17,7)&gt;0,IF(AND($H17&lt;&gt;"",$H17&lt;=EOMONTH(P$3,0),$I17&gt;=P$3),"B","U"),IF(AND($H17&lt;&gt;"",$H17&lt;=EOMONTH(P$3,0),$I17&gt;=P$3),"D","")))</f>
        <v/>
      </c>
      <c r="Q17" s="204" t="str">
        <f ca="1">IF($AI17="","",IF(INDEX('Roadmap Calc (Don’t Touch)'!$W$2:$AT$204,$AI17,8)&gt;0,IF(AND($H17&lt;&gt;"",$H17&lt;=EOMONTH(Q$3,0),$I17&gt;=Q$3),"B","U"),IF(AND($H17&lt;&gt;"",$H17&lt;=EOMONTH(Q$3,0),$I17&gt;=Q$3),"D","")))</f>
        <v/>
      </c>
      <c r="R17" s="217" t="str">
        <f ca="1">IF($AI17="","",IF(INDEX('Roadmap Calc (Don’t Touch)'!$W$2:$AT$204,$AI17,9)&gt;0,IF(AND($H17&lt;&gt;"",$H17&lt;=EOMONTH(R$3,0),$I17&gt;=R$3),"B","U"),IF(AND($H17&lt;&gt;"",$H17&lt;=EOMONTH(R$3,0),$I17&gt;=R$3),"D","")))</f>
        <v/>
      </c>
      <c r="S17" s="216" t="str">
        <f ca="1">IF($AI17="","",IF(INDEX('Roadmap Calc (Don’t Touch)'!$W$2:$AT$204,$AI17,10)&gt;0,IF(AND($H17&lt;&gt;"",$H17&lt;=EOMONTH(S$3,0),$I17&gt;=S$3),"B","U"),IF(AND($H17&lt;&gt;"",$H17&lt;=EOMONTH(S$3,0),$I17&gt;=S$3),"D","")))</f>
        <v/>
      </c>
      <c r="T17" s="204" t="str">
        <f ca="1">IF($AI17="","",IF(INDEX('Roadmap Calc (Don’t Touch)'!$W$2:$AT$204,$AI17,11)&gt;0,IF(AND($H17&lt;&gt;"",$H17&lt;=EOMONTH(T$3,0),$I17&gt;=T$3),"B","U"),IF(AND($H17&lt;&gt;"",$H17&lt;=EOMONTH(T$3,0),$I17&gt;=T$3),"D","")))</f>
        <v/>
      </c>
      <c r="U17" s="217" t="str">
        <f ca="1">IF($AI17="","",IF(INDEX('Roadmap Calc (Don’t Touch)'!$W$2:$AT$204,$AI17,12)&gt;0,IF(AND($H17&lt;&gt;"",$H17&lt;=EOMONTH(U$3,0),$I17&gt;=U$3),"B","U"),IF(AND($H17&lt;&gt;"",$H17&lt;=EOMONTH(U$3,0),$I17&gt;=U$3),"D","")))</f>
        <v/>
      </c>
      <c r="V17" s="216" t="str">
        <f ca="1">IF($AI17="","",IF(INDEX('Roadmap Calc (Don’t Touch)'!$W$2:$AT$204,$AI17,13)&gt;0,IF(AND($H17&lt;&gt;"",$H17&lt;=EOMONTH(V$3,0),$I17&gt;=V$3),"B","U"),IF(AND($H17&lt;&gt;"",$H17&lt;=EOMONTH(V$3,0),$I17&gt;=V$3),"D","")))</f>
        <v/>
      </c>
      <c r="W17" s="204" t="str">
        <f ca="1">IF($AI17="","",IF(INDEX('Roadmap Calc (Don’t Touch)'!$W$2:$AT$204,$AI17,14)&gt;0,IF(AND($H17&lt;&gt;"",$H17&lt;=EOMONTH(W$3,0),$I17&gt;=W$3),"B","U"),IF(AND($H17&lt;&gt;"",$H17&lt;=EOMONTH(W$3,0),$I17&gt;=W$3),"D","")))</f>
        <v/>
      </c>
      <c r="X17" s="217" t="str">
        <f ca="1">IF($AI17="","",IF(INDEX('Roadmap Calc (Don’t Touch)'!$W$2:$AT$204,$AI17,15)&gt;0,IF(AND($H17&lt;&gt;"",$H17&lt;=EOMONTH(X$3,0),$I17&gt;=X$3),"B","U"),IF(AND($H17&lt;&gt;"",$H17&lt;=EOMONTH(X$3,0),$I17&gt;=X$3),"D","")))</f>
        <v/>
      </c>
      <c r="Y17" s="216" t="str">
        <f ca="1">IF($AI17="","",IF(INDEX('Roadmap Calc (Don’t Touch)'!$W$2:$AT$204,$AI17,16)&gt;0,IF(AND($H17&lt;&gt;"",$H17&lt;=EOMONTH(Y$3,0),$I17&gt;=Y$3),"B","U"),IF(AND($H17&lt;&gt;"",$H17&lt;=EOMONTH(Y$3,0),$I17&gt;=Y$3),"D","")))</f>
        <v/>
      </c>
      <c r="Z17" s="204" t="str">
        <f ca="1">IF($AI17="","",IF(INDEX('Roadmap Calc (Don’t Touch)'!$W$2:$AT$204,$AI17,17)&gt;0,IF(AND($H17&lt;&gt;"",$H17&lt;=EOMONTH(Z$3,0),$I17&gt;=Z$3),"B","U"),IF(AND($H17&lt;&gt;"",$H17&lt;=EOMONTH(Z$3,0),$I17&gt;=Z$3),"D","")))</f>
        <v/>
      </c>
      <c r="AA17" s="217" t="str">
        <f ca="1">IF($AI17="","",IF(INDEX('Roadmap Calc (Don’t Touch)'!$W$2:$AT$204,$AI17,18)&gt;0,IF(AND($H17&lt;&gt;"",$H17&lt;=EOMONTH(AA$3,0),$I17&gt;=AA$3),"B","U"),IF(AND($H17&lt;&gt;"",$H17&lt;=EOMONTH(AA$3,0),$I17&gt;=AA$3),"D","")))</f>
        <v/>
      </c>
      <c r="AB17" s="216" t="str">
        <f ca="1">IF($AI17="","",IF(INDEX('Roadmap Calc (Don’t Touch)'!$W$2:$AT$204,$AI17,19)&gt;0,IF(AND($H17&lt;&gt;"",$H17&lt;=EOMONTH(AB$3,0),$I17&gt;=AB$3),"B","U"),IF(AND($H17&lt;&gt;"",$H17&lt;=EOMONTH(AB$3,0),$I17&gt;=AB$3),"D","")))</f>
        <v/>
      </c>
      <c r="AC17" s="204" t="str">
        <f ca="1">IF($AI17="","",IF(INDEX('Roadmap Calc (Don’t Touch)'!$W$2:$AT$204,$AI17,20)&gt;0,IF(AND($H17&lt;&gt;"",$H17&lt;=EOMONTH(AC$3,0),$I17&gt;=AC$3),"B","U"),IF(AND($H17&lt;&gt;"",$H17&lt;=EOMONTH(AC$3,0),$I17&gt;=AC$3),"D","")))</f>
        <v/>
      </c>
      <c r="AD17" s="217" t="str">
        <f ca="1">IF($AI17="","",IF(INDEX('Roadmap Calc (Don’t Touch)'!$W$2:$AT$204,$AI17,21)&gt;0,IF(AND($H17&lt;&gt;"",$H17&lt;=EOMONTH(AD$3,0),$I17&gt;=AD$3),"B","U"),IF(AND($H17&lt;&gt;"",$H17&lt;=EOMONTH(AD$3,0),$I17&gt;=AD$3),"D","")))</f>
        <v/>
      </c>
      <c r="AE17" s="210" t="str">
        <f ca="1">IF($AI17="","",IF(INDEX('Roadmap Calc (Don’t Touch)'!$W$2:$AT$204,$AI17,22)&gt;0,IF(AND($H17&lt;&gt;"",$H17&lt;=EOMONTH(AE$3,0),$I17&gt;=AE$3),"B","U"),IF(AND($H17&lt;&gt;"",$H17&lt;=EOMONTH(AE$3,0),$I17&gt;=AE$3),"D","")))</f>
        <v/>
      </c>
      <c r="AF17" s="204" t="str">
        <f ca="1">IF($AI17="","",IF(INDEX('Roadmap Calc (Don’t Touch)'!$W$2:$AT$204,$AI17,23)&gt;0,IF(AND($H17&lt;&gt;"",$H17&lt;=EOMONTH(AF$3,0),$I17&gt;=AF$3),"B","U"),IF(AND($H17&lt;&gt;"",$H17&lt;=EOMONTH(AF$3,0),$I17&gt;=AF$3),"D","")))</f>
        <v/>
      </c>
      <c r="AG17" s="204" t="str">
        <f ca="1">IF($AI17="","",IF(INDEX('Roadmap Calc (Don’t Touch)'!$W$2:$AT$204,$AI17,24)&gt;0,IF(AND($H17&lt;&gt;"",$H17&lt;=EOMONTH(AG$3,0),$I17&gt;=AG$3),"B","U"),IF(AND($H17&lt;&gt;"",$H17&lt;=EOMONTH(AG$3,0),$I17&gt;=AG$3),"D","")))</f>
        <v/>
      </c>
      <c r="AH17" s="180" t="str">
        <f>IF($AI17="","",INDEX('Roadmap Calc (Don’t Touch)'!$D$2:$D$204,$AI17))</f>
        <v>Increase Trade In Awareness</v>
      </c>
      <c r="AI17" s="180">
        <f>IFERROR(MATCH(11,'Roadmap Calc (Don’t Touch)'!$O$2:$O$204,0),"")</f>
        <v>6</v>
      </c>
    </row>
    <row r="18" spans="1:35" ht="17" customHeight="1" x14ac:dyDescent="0.25">
      <c r="A18" s="197" t="str">
        <f t="shared" si="0"/>
        <v/>
      </c>
      <c r="B18" s="198" t="str">
        <f>IF($AI18="","",INDEX('Roadmap Calc (Don’t Touch)'!$B$2:$B$204,$AI18))</f>
        <v>Used Activity Notification</v>
      </c>
      <c r="C18" s="199" t="str">
        <f>IF($AI18="","",INDEX('Roadmap Calc (Don’t Touch)'!$E$2:$E$204,$AI18))</f>
        <v>BHP-7237</v>
      </c>
      <c r="D18" s="227" t="str">
        <f>IF($AI18="","",INDEX('Roadmap Calc (Don’t Touch)'!$F$2:$F$204,$AI18))</f>
        <v>02. UX Req</v>
      </c>
      <c r="E18" s="201">
        <f>IF($AI18="","",IF(ISNUMBER(INDEX('Roadmap Calc (Don’t Touch)'!$G$2:$G$204,$AI18)),INDEX('Roadmap Calc (Don’t Touch)'!$G$2:$G$204,$AI18),""))</f>
        <v>46279</v>
      </c>
      <c r="F18" s="201">
        <f>IF($AI18="","",IF(ISNUMBER(INDEX('Roadmap Calc (Don’t Touch)'!$H$2:$H$204,$AI18)),INDEX('Roadmap Calc (Don’t Touch)'!$H$2:$H$204,$AI18),""))</f>
        <v>46293</v>
      </c>
      <c r="G18" s="202">
        <f>IF($AI18="","",INDEX('Roadmap Calc (Don’t Touch)'!$S$2:$S$204,$AI18))</f>
        <v>3</v>
      </c>
      <c r="H18" s="203">
        <f ca="1">IF($AI18="","",IF(ISNUMBER(INDEX('Roadmap Calc (Don’t Touch)'!$I$2:$I$204,$AI18)),INDEX('Roadmap Calc (Don’t Touch)'!$I$2:$I$204,$AI18),""))</f>
        <v>46327</v>
      </c>
      <c r="I18" s="203">
        <f ca="1">IF($AI18="","",IF(ISNUMBER(INDEX('Roadmap Calc (Don’t Touch)'!$J$2:$J$204,$AI18)),INDEX('Roadmap Calc (Don’t Touch)'!$J$2:$J$204,$AI18),""))</f>
        <v>46418</v>
      </c>
      <c r="J18" s="204" t="str">
        <f ca="1">IF($AI18="","",IF(INDEX('Roadmap Calc (Don’t Touch)'!$W$2:$AT$204,$AI18,1)&gt;0,IF(AND($H18&lt;&gt;"",$H18&lt;=EOMONTH(J$3,0),$I18&gt;=J$3),"B","U"),IF(AND($H18&lt;&gt;"",$H18&lt;=EOMONTH(J$3,0),$I18&gt;=J$3),"D","")))</f>
        <v/>
      </c>
      <c r="K18" s="204" t="str">
        <f ca="1">IF($AI18="","",IF(INDEX('Roadmap Calc (Don’t Touch)'!$W$2:$AT$204,$AI18,2)&gt;0,IF(AND($H18&lt;&gt;"",$H18&lt;=EOMONTH(K$3,0),$I18&gt;=K$3),"B","U"),IF(AND($H18&lt;&gt;"",$H18&lt;=EOMONTH(K$3,0),$I18&gt;=K$3),"D","")))</f>
        <v/>
      </c>
      <c r="L18" s="204" t="str">
        <f ca="1">IF($AI18="","",IF(INDEX('Roadmap Calc (Don’t Touch)'!$W$2:$AT$204,$AI18,3)&gt;0,IF(AND($H18&lt;&gt;"",$H18&lt;=EOMONTH(L$3,0),$I18&gt;=L$3),"B","U"),IF(AND($H18&lt;&gt;"",$H18&lt;=EOMONTH(L$3,0),$I18&gt;=L$3),"D","")))</f>
        <v/>
      </c>
      <c r="M18" s="216" t="str">
        <f ca="1">IF($AI18="","",IF(INDEX('Roadmap Calc (Don’t Touch)'!$W$2:$AT$204,$AI18,4)&gt;0,IF(AND($H18&lt;&gt;"",$H18&lt;=EOMONTH(M$3,0),$I18&gt;=M$3),"B","U"),IF(AND($H18&lt;&gt;"",$H18&lt;=EOMONTH(M$3,0),$I18&gt;=M$3),"D","")))</f>
        <v/>
      </c>
      <c r="N18" s="204" t="str">
        <f ca="1">IF($AI18="","",IF(INDEX('Roadmap Calc (Don’t Touch)'!$W$2:$AT$204,$AI18,5)&gt;0,IF(AND($H18&lt;&gt;"",$H18&lt;=EOMONTH(N$3,0),$I18&gt;=N$3),"B","U"),IF(AND($H18&lt;&gt;"",$H18&lt;=EOMONTH(N$3,0),$I18&gt;=N$3),"D","")))</f>
        <v/>
      </c>
      <c r="O18" s="217" t="str">
        <f ca="1">IF($AI18="","",IF(INDEX('Roadmap Calc (Don’t Touch)'!$W$2:$AT$204,$AI18,6)&gt;0,IF(AND($H18&lt;&gt;"",$H18&lt;=EOMONTH(O$3,0),$I18&gt;=O$3),"B","U"),IF(AND($H18&lt;&gt;"",$H18&lt;=EOMONTH(O$3,0),$I18&gt;=O$3),"D","")))</f>
        <v/>
      </c>
      <c r="P18" s="216" t="str">
        <f ca="1">IF($AI18="","",IF(INDEX('Roadmap Calc (Don’t Touch)'!$W$2:$AT$204,$AI18,7)&gt;0,IF(AND($H18&lt;&gt;"",$H18&lt;=EOMONTH(P$3,0),$I18&gt;=P$3),"B","U"),IF(AND($H18&lt;&gt;"",$H18&lt;=EOMONTH(P$3,0),$I18&gt;=P$3),"D","")))</f>
        <v/>
      </c>
      <c r="Q18" s="204" t="str">
        <f ca="1">IF($AI18="","",IF(INDEX('Roadmap Calc (Don’t Touch)'!$W$2:$AT$204,$AI18,8)&gt;0,IF(AND($H18&lt;&gt;"",$H18&lt;=EOMONTH(Q$3,0),$I18&gt;=Q$3),"B","U"),IF(AND($H18&lt;&gt;"",$H18&lt;=EOMONTH(Q$3,0),$I18&gt;=Q$3),"D","")))</f>
        <v/>
      </c>
      <c r="R18" s="217" t="str">
        <f ca="1">IF($AI18="","",IF(INDEX('Roadmap Calc (Don’t Touch)'!$W$2:$AT$204,$AI18,9)&gt;0,IF(AND($H18&lt;&gt;"",$H18&lt;=EOMONTH(R$3,0),$I18&gt;=R$3),"B","U"),IF(AND($H18&lt;&gt;"",$H18&lt;=EOMONTH(R$3,0),$I18&gt;=R$3),"D","")))</f>
        <v>U</v>
      </c>
      <c r="S18" s="216" t="str">
        <f ca="1">IF($AI18="","",IF(INDEX('Roadmap Calc (Don’t Touch)'!$W$2:$AT$204,$AI18,10)&gt;0,IF(AND($H18&lt;&gt;"",$H18&lt;=EOMONTH(S$3,0),$I18&gt;=S$3),"B","U"),IF(AND($H18&lt;&gt;"",$H18&lt;=EOMONTH(S$3,0),$I18&gt;=S$3),"D","")))</f>
        <v/>
      </c>
      <c r="T18" s="204" t="str">
        <f ca="1">IF($AI18="","",IF(INDEX('Roadmap Calc (Don’t Touch)'!$W$2:$AT$204,$AI18,11)&gt;0,IF(AND($H18&lt;&gt;"",$H18&lt;=EOMONTH(T$3,0),$I18&gt;=T$3),"B","U"),IF(AND($H18&lt;&gt;"",$H18&lt;=EOMONTH(T$3,0),$I18&gt;=T$3),"D","")))</f>
        <v>D</v>
      </c>
      <c r="U18" s="217" t="str">
        <f ca="1">IF($AI18="","",IF(INDEX('Roadmap Calc (Don’t Touch)'!$W$2:$AT$204,$AI18,12)&gt;0,IF(AND($H18&lt;&gt;"",$H18&lt;=EOMONTH(U$3,0),$I18&gt;=U$3),"B","U"),IF(AND($H18&lt;&gt;"",$H18&lt;=EOMONTH(U$3,0),$I18&gt;=U$3),"D","")))</f>
        <v>D</v>
      </c>
      <c r="V18" s="216" t="str">
        <f ca="1">IF($AI18="","",IF(INDEX('Roadmap Calc (Don’t Touch)'!$W$2:$AT$204,$AI18,13)&gt;0,IF(AND($H18&lt;&gt;"",$H18&lt;=EOMONTH(V$3,0),$I18&gt;=V$3),"B","U"),IF(AND($H18&lt;&gt;"",$H18&lt;=EOMONTH(V$3,0),$I18&gt;=V$3),"D","")))</f>
        <v>D</v>
      </c>
      <c r="W18" s="204" t="str">
        <f ca="1">IF($AI18="","",IF(INDEX('Roadmap Calc (Don’t Touch)'!$W$2:$AT$204,$AI18,14)&gt;0,IF(AND($H18&lt;&gt;"",$H18&lt;=EOMONTH(W$3,0),$I18&gt;=W$3),"B","U"),IF(AND($H18&lt;&gt;"",$H18&lt;=EOMONTH(W$3,0),$I18&gt;=W$3),"D","")))</f>
        <v/>
      </c>
      <c r="X18" s="217" t="str">
        <f ca="1">IF($AI18="","",IF(INDEX('Roadmap Calc (Don’t Touch)'!$W$2:$AT$204,$AI18,15)&gt;0,IF(AND($H18&lt;&gt;"",$H18&lt;=EOMONTH(X$3,0),$I18&gt;=X$3),"B","U"),IF(AND($H18&lt;&gt;"",$H18&lt;=EOMONTH(X$3,0),$I18&gt;=X$3),"D","")))</f>
        <v/>
      </c>
      <c r="Y18" s="216" t="str">
        <f ca="1">IF($AI18="","",IF(INDEX('Roadmap Calc (Don’t Touch)'!$W$2:$AT$204,$AI18,16)&gt;0,IF(AND($H18&lt;&gt;"",$H18&lt;=EOMONTH(Y$3,0),$I18&gt;=Y$3),"B","U"),IF(AND($H18&lt;&gt;"",$H18&lt;=EOMONTH(Y$3,0),$I18&gt;=Y$3),"D","")))</f>
        <v/>
      </c>
      <c r="Z18" s="204" t="str">
        <f ca="1">IF($AI18="","",IF(INDEX('Roadmap Calc (Don’t Touch)'!$W$2:$AT$204,$AI18,17)&gt;0,IF(AND($H18&lt;&gt;"",$H18&lt;=EOMONTH(Z$3,0),$I18&gt;=Z$3),"B","U"),IF(AND($H18&lt;&gt;"",$H18&lt;=EOMONTH(Z$3,0),$I18&gt;=Z$3),"D","")))</f>
        <v/>
      </c>
      <c r="AA18" s="217" t="str">
        <f ca="1">IF($AI18="","",IF(INDEX('Roadmap Calc (Don’t Touch)'!$W$2:$AT$204,$AI18,18)&gt;0,IF(AND($H18&lt;&gt;"",$H18&lt;=EOMONTH(AA$3,0),$I18&gt;=AA$3),"B","U"),IF(AND($H18&lt;&gt;"",$H18&lt;=EOMONTH(AA$3,0),$I18&gt;=AA$3),"D","")))</f>
        <v/>
      </c>
      <c r="AB18" s="216" t="str">
        <f ca="1">IF($AI18="","",IF(INDEX('Roadmap Calc (Don’t Touch)'!$W$2:$AT$204,$AI18,19)&gt;0,IF(AND($H18&lt;&gt;"",$H18&lt;=EOMONTH(AB$3,0),$I18&gt;=AB$3),"B","U"),IF(AND($H18&lt;&gt;"",$H18&lt;=EOMONTH(AB$3,0),$I18&gt;=AB$3),"D","")))</f>
        <v/>
      </c>
      <c r="AC18" s="204" t="str">
        <f ca="1">IF($AI18="","",IF(INDEX('Roadmap Calc (Don’t Touch)'!$W$2:$AT$204,$AI18,20)&gt;0,IF(AND($H18&lt;&gt;"",$H18&lt;=EOMONTH(AC$3,0),$I18&gt;=AC$3),"B","U"),IF(AND($H18&lt;&gt;"",$H18&lt;=EOMONTH(AC$3,0),$I18&gt;=AC$3),"D","")))</f>
        <v/>
      </c>
      <c r="AD18" s="217" t="str">
        <f ca="1">IF($AI18="","",IF(INDEX('Roadmap Calc (Don’t Touch)'!$W$2:$AT$204,$AI18,21)&gt;0,IF(AND($H18&lt;&gt;"",$H18&lt;=EOMONTH(AD$3,0),$I18&gt;=AD$3),"B","U"),IF(AND($H18&lt;&gt;"",$H18&lt;=EOMONTH(AD$3,0),$I18&gt;=AD$3),"D","")))</f>
        <v/>
      </c>
      <c r="AE18" s="210" t="str">
        <f ca="1">IF($AI18="","",IF(INDEX('Roadmap Calc (Don’t Touch)'!$W$2:$AT$204,$AI18,22)&gt;0,IF(AND($H18&lt;&gt;"",$H18&lt;=EOMONTH(AE$3,0),$I18&gt;=AE$3),"B","U"),IF(AND($H18&lt;&gt;"",$H18&lt;=EOMONTH(AE$3,0),$I18&gt;=AE$3),"D","")))</f>
        <v/>
      </c>
      <c r="AF18" s="204" t="str">
        <f ca="1">IF($AI18="","",IF(INDEX('Roadmap Calc (Don’t Touch)'!$W$2:$AT$204,$AI18,23)&gt;0,IF(AND($H18&lt;&gt;"",$H18&lt;=EOMONTH(AF$3,0),$I18&gt;=AF$3),"B","U"),IF(AND($H18&lt;&gt;"",$H18&lt;=EOMONTH(AF$3,0),$I18&gt;=AF$3),"D","")))</f>
        <v/>
      </c>
      <c r="AG18" s="204" t="str">
        <f ca="1">IF($AI18="","",IF(INDEX('Roadmap Calc (Don’t Touch)'!$W$2:$AT$204,$AI18,24)&gt;0,IF(AND($H18&lt;&gt;"",$H18&lt;=EOMONTH(AG$3,0),$I18&gt;=AG$3),"B","U"),IF(AND($H18&lt;&gt;"",$H18&lt;=EOMONTH(AG$3,0),$I18&gt;=AG$3),"D","")))</f>
        <v/>
      </c>
      <c r="AH18" s="180" t="str">
        <f>IF($AI18="","",INDEX('Roadmap Calc (Don’t Touch)'!$D$2:$D$204,$AI18))</f>
        <v>Increase Trade In Awareness</v>
      </c>
      <c r="AI18" s="180">
        <f>IFERROR(MATCH(12,'Roadmap Calc (Don’t Touch)'!$O$2:$O$204,0),"")</f>
        <v>8</v>
      </c>
    </row>
    <row r="19" spans="1:35" ht="17" customHeight="1" x14ac:dyDescent="0.25">
      <c r="A19" s="197" t="str">
        <f t="shared" si="0"/>
        <v/>
      </c>
      <c r="B19" s="198" t="str">
        <f>IF($AI19="","",INDEX('Roadmap Calc (Don’t Touch)'!$B$2:$B$204,$AI19))</f>
        <v>Increase Awareness of Trade In Offers - Best Buy Inspiration/Competitive Effort</v>
      </c>
      <c r="C19" s="199" t="str">
        <f>IF($AI19="","",INDEX('Roadmap Calc (Don’t Touch)'!$E$2:$E$204,$AI19))</f>
        <v>BHP-6827</v>
      </c>
      <c r="D19" s="227" t="str">
        <f>IF($AI19="","",INDEX('Roadmap Calc (Don’t Touch)'!$F$2:$F$204,$AI19))</f>
        <v>02. UX Req</v>
      </c>
      <c r="E19" s="201" t="str">
        <f>IF($AI19="","",IF(ISNUMBER(INDEX('Roadmap Calc (Don’t Touch)'!$G$2:$G$204,$AI19)),INDEX('Roadmap Calc (Don’t Touch)'!$G$2:$G$204,$AI19),""))</f>
        <v/>
      </c>
      <c r="F19" s="201" t="str">
        <f>IF($AI19="","",IF(ISNUMBER(INDEX('Roadmap Calc (Don’t Touch)'!$H$2:$H$204,$AI19)),INDEX('Roadmap Calc (Don’t Touch)'!$H$2:$H$204,$AI19),""))</f>
        <v/>
      </c>
      <c r="G19" s="202">
        <f>IF($AI19="","",INDEX('Roadmap Calc (Don’t Touch)'!$S$2:$S$204,$AI19))</f>
        <v>0</v>
      </c>
      <c r="H19" s="203" t="str">
        <f ca="1">IF($AI19="","",IF(ISNUMBER(INDEX('Roadmap Calc (Don’t Touch)'!$I$2:$I$204,$AI19)),INDEX('Roadmap Calc (Don’t Touch)'!$I$2:$I$204,$AI19),""))</f>
        <v/>
      </c>
      <c r="I19" s="203" t="str">
        <f ca="1">IF($AI19="","",IF(ISNUMBER(INDEX('Roadmap Calc (Don’t Touch)'!$J$2:$J$204,$AI19)),INDEX('Roadmap Calc (Don’t Touch)'!$J$2:$J$204,$AI19),""))</f>
        <v/>
      </c>
      <c r="J19" s="204" t="str">
        <f ca="1">IF($AI19="","",IF(INDEX('Roadmap Calc (Don’t Touch)'!$W$2:$AT$204,$AI19,1)&gt;0,IF(AND($H19&lt;&gt;"",$H19&lt;=EOMONTH(J$3,0),$I19&gt;=J$3),"B","U"),IF(AND($H19&lt;&gt;"",$H19&lt;=EOMONTH(J$3,0),$I19&gt;=J$3),"D","")))</f>
        <v/>
      </c>
      <c r="K19" s="204" t="str">
        <f ca="1">IF($AI19="","",IF(INDEX('Roadmap Calc (Don’t Touch)'!$W$2:$AT$204,$AI19,2)&gt;0,IF(AND($H19&lt;&gt;"",$H19&lt;=EOMONTH(K$3,0),$I19&gt;=K$3),"B","U"),IF(AND($H19&lt;&gt;"",$H19&lt;=EOMONTH(K$3,0),$I19&gt;=K$3),"D","")))</f>
        <v/>
      </c>
      <c r="L19" s="204" t="str">
        <f ca="1">IF($AI19="","",IF(INDEX('Roadmap Calc (Don’t Touch)'!$W$2:$AT$204,$AI19,3)&gt;0,IF(AND($H19&lt;&gt;"",$H19&lt;=EOMONTH(L$3,0),$I19&gt;=L$3),"B","U"),IF(AND($H19&lt;&gt;"",$H19&lt;=EOMONTH(L$3,0),$I19&gt;=L$3),"D","")))</f>
        <v/>
      </c>
      <c r="M19" s="216" t="str">
        <f ca="1">IF($AI19="","",IF(INDEX('Roadmap Calc (Don’t Touch)'!$W$2:$AT$204,$AI19,4)&gt;0,IF(AND($H19&lt;&gt;"",$H19&lt;=EOMONTH(M$3,0),$I19&gt;=M$3),"B","U"),IF(AND($H19&lt;&gt;"",$H19&lt;=EOMONTH(M$3,0),$I19&gt;=M$3),"D","")))</f>
        <v/>
      </c>
      <c r="N19" s="204" t="str">
        <f ca="1">IF($AI19="","",IF(INDEX('Roadmap Calc (Don’t Touch)'!$W$2:$AT$204,$AI19,5)&gt;0,IF(AND($H19&lt;&gt;"",$H19&lt;=EOMONTH(N$3,0),$I19&gt;=N$3),"B","U"),IF(AND($H19&lt;&gt;"",$H19&lt;=EOMONTH(N$3,0),$I19&gt;=N$3),"D","")))</f>
        <v/>
      </c>
      <c r="O19" s="217" t="str">
        <f ca="1">IF($AI19="","",IF(INDEX('Roadmap Calc (Don’t Touch)'!$W$2:$AT$204,$AI19,6)&gt;0,IF(AND($H19&lt;&gt;"",$H19&lt;=EOMONTH(O$3,0),$I19&gt;=O$3),"B","U"),IF(AND($H19&lt;&gt;"",$H19&lt;=EOMONTH(O$3,0),$I19&gt;=O$3),"D","")))</f>
        <v/>
      </c>
      <c r="P19" s="216" t="str">
        <f ca="1">IF($AI19="","",IF(INDEX('Roadmap Calc (Don’t Touch)'!$W$2:$AT$204,$AI19,7)&gt;0,IF(AND($H19&lt;&gt;"",$H19&lt;=EOMONTH(P$3,0),$I19&gt;=P$3),"B","U"),IF(AND($H19&lt;&gt;"",$H19&lt;=EOMONTH(P$3,0),$I19&gt;=P$3),"D","")))</f>
        <v/>
      </c>
      <c r="Q19" s="204" t="str">
        <f ca="1">IF($AI19="","",IF(INDEX('Roadmap Calc (Don’t Touch)'!$W$2:$AT$204,$AI19,8)&gt;0,IF(AND($H19&lt;&gt;"",$H19&lt;=EOMONTH(Q$3,0),$I19&gt;=Q$3),"B","U"),IF(AND($H19&lt;&gt;"",$H19&lt;=EOMONTH(Q$3,0),$I19&gt;=Q$3),"D","")))</f>
        <v/>
      </c>
      <c r="R19" s="217" t="str">
        <f ca="1">IF($AI19="","",IF(INDEX('Roadmap Calc (Don’t Touch)'!$W$2:$AT$204,$AI19,9)&gt;0,IF(AND($H19&lt;&gt;"",$H19&lt;=EOMONTH(R$3,0),$I19&gt;=R$3),"B","U"),IF(AND($H19&lt;&gt;"",$H19&lt;=EOMONTH(R$3,0),$I19&gt;=R$3),"D","")))</f>
        <v/>
      </c>
      <c r="S19" s="216" t="str">
        <f ca="1">IF($AI19="","",IF(INDEX('Roadmap Calc (Don’t Touch)'!$W$2:$AT$204,$AI19,10)&gt;0,IF(AND($H19&lt;&gt;"",$H19&lt;=EOMONTH(S$3,0),$I19&gt;=S$3),"B","U"),IF(AND($H19&lt;&gt;"",$H19&lt;=EOMONTH(S$3,0),$I19&gt;=S$3),"D","")))</f>
        <v/>
      </c>
      <c r="T19" s="204" t="str">
        <f ca="1">IF($AI19="","",IF(INDEX('Roadmap Calc (Don’t Touch)'!$W$2:$AT$204,$AI19,11)&gt;0,IF(AND($H19&lt;&gt;"",$H19&lt;=EOMONTH(T$3,0),$I19&gt;=T$3),"B","U"),IF(AND($H19&lt;&gt;"",$H19&lt;=EOMONTH(T$3,0),$I19&gt;=T$3),"D","")))</f>
        <v/>
      </c>
      <c r="U19" s="217" t="str">
        <f ca="1">IF($AI19="","",IF(INDEX('Roadmap Calc (Don’t Touch)'!$W$2:$AT$204,$AI19,12)&gt;0,IF(AND($H19&lt;&gt;"",$H19&lt;=EOMONTH(U$3,0),$I19&gt;=U$3),"B","U"),IF(AND($H19&lt;&gt;"",$H19&lt;=EOMONTH(U$3,0),$I19&gt;=U$3),"D","")))</f>
        <v/>
      </c>
      <c r="V19" s="216" t="str">
        <f ca="1">IF($AI19="","",IF(INDEX('Roadmap Calc (Don’t Touch)'!$W$2:$AT$204,$AI19,13)&gt;0,IF(AND($H19&lt;&gt;"",$H19&lt;=EOMONTH(V$3,0),$I19&gt;=V$3),"B","U"),IF(AND($H19&lt;&gt;"",$H19&lt;=EOMONTH(V$3,0),$I19&gt;=V$3),"D","")))</f>
        <v/>
      </c>
      <c r="W19" s="204" t="str">
        <f ca="1">IF($AI19="","",IF(INDEX('Roadmap Calc (Don’t Touch)'!$W$2:$AT$204,$AI19,14)&gt;0,IF(AND($H19&lt;&gt;"",$H19&lt;=EOMONTH(W$3,0),$I19&gt;=W$3),"B","U"),IF(AND($H19&lt;&gt;"",$H19&lt;=EOMONTH(W$3,0),$I19&gt;=W$3),"D","")))</f>
        <v/>
      </c>
      <c r="X19" s="217" t="str">
        <f ca="1">IF($AI19="","",IF(INDEX('Roadmap Calc (Don’t Touch)'!$W$2:$AT$204,$AI19,15)&gt;0,IF(AND($H19&lt;&gt;"",$H19&lt;=EOMONTH(X$3,0),$I19&gt;=X$3),"B","U"),IF(AND($H19&lt;&gt;"",$H19&lt;=EOMONTH(X$3,0),$I19&gt;=X$3),"D","")))</f>
        <v/>
      </c>
      <c r="Y19" s="216" t="str">
        <f ca="1">IF($AI19="","",IF(INDEX('Roadmap Calc (Don’t Touch)'!$W$2:$AT$204,$AI19,16)&gt;0,IF(AND($H19&lt;&gt;"",$H19&lt;=EOMONTH(Y$3,0),$I19&gt;=Y$3),"B","U"),IF(AND($H19&lt;&gt;"",$H19&lt;=EOMONTH(Y$3,0),$I19&gt;=Y$3),"D","")))</f>
        <v/>
      </c>
      <c r="Z19" s="204" t="str">
        <f ca="1">IF($AI19="","",IF(INDEX('Roadmap Calc (Don’t Touch)'!$W$2:$AT$204,$AI19,17)&gt;0,IF(AND($H19&lt;&gt;"",$H19&lt;=EOMONTH(Z$3,0),$I19&gt;=Z$3),"B","U"),IF(AND($H19&lt;&gt;"",$H19&lt;=EOMONTH(Z$3,0),$I19&gt;=Z$3),"D","")))</f>
        <v/>
      </c>
      <c r="AA19" s="217" t="str">
        <f ca="1">IF($AI19="","",IF(INDEX('Roadmap Calc (Don’t Touch)'!$W$2:$AT$204,$AI19,18)&gt;0,IF(AND($H19&lt;&gt;"",$H19&lt;=EOMONTH(AA$3,0),$I19&gt;=AA$3),"B","U"),IF(AND($H19&lt;&gt;"",$H19&lt;=EOMONTH(AA$3,0),$I19&gt;=AA$3),"D","")))</f>
        <v/>
      </c>
      <c r="AB19" s="216" t="str">
        <f ca="1">IF($AI19="","",IF(INDEX('Roadmap Calc (Don’t Touch)'!$W$2:$AT$204,$AI19,19)&gt;0,IF(AND($H19&lt;&gt;"",$H19&lt;=EOMONTH(AB$3,0),$I19&gt;=AB$3),"B","U"),IF(AND($H19&lt;&gt;"",$H19&lt;=EOMONTH(AB$3,0),$I19&gt;=AB$3),"D","")))</f>
        <v/>
      </c>
      <c r="AC19" s="204" t="str">
        <f ca="1">IF($AI19="","",IF(INDEX('Roadmap Calc (Don’t Touch)'!$W$2:$AT$204,$AI19,20)&gt;0,IF(AND($H19&lt;&gt;"",$H19&lt;=EOMONTH(AC$3,0),$I19&gt;=AC$3),"B","U"),IF(AND($H19&lt;&gt;"",$H19&lt;=EOMONTH(AC$3,0),$I19&gt;=AC$3),"D","")))</f>
        <v/>
      </c>
      <c r="AD19" s="217" t="str">
        <f ca="1">IF($AI19="","",IF(INDEX('Roadmap Calc (Don’t Touch)'!$W$2:$AT$204,$AI19,21)&gt;0,IF(AND($H19&lt;&gt;"",$H19&lt;=EOMONTH(AD$3,0),$I19&gt;=AD$3),"B","U"),IF(AND($H19&lt;&gt;"",$H19&lt;=EOMONTH(AD$3,0),$I19&gt;=AD$3),"D","")))</f>
        <v/>
      </c>
      <c r="AE19" s="210" t="str">
        <f ca="1">IF($AI19="","",IF(INDEX('Roadmap Calc (Don’t Touch)'!$W$2:$AT$204,$AI19,22)&gt;0,IF(AND($H19&lt;&gt;"",$H19&lt;=EOMONTH(AE$3,0),$I19&gt;=AE$3),"B","U"),IF(AND($H19&lt;&gt;"",$H19&lt;=EOMONTH(AE$3,0),$I19&gt;=AE$3),"D","")))</f>
        <v/>
      </c>
      <c r="AF19" s="204" t="str">
        <f ca="1">IF($AI19="","",IF(INDEX('Roadmap Calc (Don’t Touch)'!$W$2:$AT$204,$AI19,23)&gt;0,IF(AND($H19&lt;&gt;"",$H19&lt;=EOMONTH(AF$3,0),$I19&gt;=AF$3),"B","U"),IF(AND($H19&lt;&gt;"",$H19&lt;=EOMONTH(AF$3,0),$I19&gt;=AF$3),"D","")))</f>
        <v/>
      </c>
      <c r="AG19" s="204" t="str">
        <f ca="1">IF($AI19="","",IF(INDEX('Roadmap Calc (Don’t Touch)'!$W$2:$AT$204,$AI19,24)&gt;0,IF(AND($H19&lt;&gt;"",$H19&lt;=EOMONTH(AG$3,0),$I19&gt;=AG$3),"B","U"),IF(AND($H19&lt;&gt;"",$H19&lt;=EOMONTH(AG$3,0),$I19&gt;=AG$3),"D","")))</f>
        <v/>
      </c>
      <c r="AH19" s="180" t="str">
        <f>IF($AI19="","",INDEX('Roadmap Calc (Don’t Touch)'!$D$2:$D$204,$AI19))</f>
        <v>Increase Trade In Awareness</v>
      </c>
      <c r="AI19" s="180">
        <f>IFERROR(MATCH(13,'Roadmap Calc (Don’t Touch)'!$O$2:$O$204,0),"")</f>
        <v>13</v>
      </c>
    </row>
    <row r="20" spans="1:35" ht="17" customHeight="1" x14ac:dyDescent="0.25">
      <c r="A20" s="197" t="str">
        <f t="shared" si="0"/>
        <v/>
      </c>
      <c r="B20" s="198" t="str">
        <f>IF($AI20="","",INDEX('Roadmap Calc (Don’t Touch)'!$B$2:$B$204,$AI20))</f>
        <v>B2B &amp; Used Visibility in the Nav</v>
      </c>
      <c r="C20" s="199" t="str">
        <f>IF($AI20="","",INDEX('Roadmap Calc (Don’t Touch)'!$E$2:$E$204,$AI20))</f>
        <v>BHUX-34378</v>
      </c>
      <c r="D20" s="227" t="str">
        <f>IF($AI20="","",INDEX('Roadmap Calc (Don’t Touch)'!$F$2:$F$204,$AI20))</f>
        <v>04. UX Design</v>
      </c>
      <c r="E20" s="201">
        <f>IF($AI20="","",IF(ISNUMBER(INDEX('Roadmap Calc (Don’t Touch)'!$G$2:$G$204,$AI20)),INDEX('Roadmap Calc (Don’t Touch)'!$G$2:$G$204,$AI20),""))</f>
        <v>46174</v>
      </c>
      <c r="F20" s="201">
        <f>IF($AI20="","",IF(ISNUMBER(INDEX('Roadmap Calc (Don’t Touch)'!$H$2:$H$204,$AI20)),INDEX('Roadmap Calc (Don’t Touch)'!$H$2:$H$204,$AI20),""))</f>
        <v>46293</v>
      </c>
      <c r="G20" s="202">
        <f>IF($AI20="","",INDEX('Roadmap Calc (Don’t Touch)'!$S$2:$S$204,$AI20))</f>
        <v>18</v>
      </c>
      <c r="H20" s="203">
        <f ca="1">IF($AI20="","",IF(ISNUMBER(INDEX('Roadmap Calc (Don’t Touch)'!$I$2:$I$204,$AI20)),INDEX('Roadmap Calc (Don’t Touch)'!$I$2:$I$204,$AI20),""))</f>
        <v>46419</v>
      </c>
      <c r="I20" s="203">
        <f ca="1">IF($AI20="","",IF(ISNUMBER(INDEX('Roadmap Calc (Don’t Touch)'!$J$2:$J$204,$AI20)),INDEX('Roadmap Calc (Don’t Touch)'!$J$2:$J$204,$AI20),""))</f>
        <v>46446</v>
      </c>
      <c r="J20" s="204" t="str">
        <f ca="1">IF($AI20="","",IF(INDEX('Roadmap Calc (Don’t Touch)'!$W$2:$AT$204,$AI20,1)&gt;0,IF(AND($H20&lt;&gt;"",$H20&lt;=EOMONTH(J$3,0),$I20&gt;=J$3),"B","U"),IF(AND($H20&lt;&gt;"",$H20&lt;=EOMONTH(J$3,0),$I20&gt;=J$3),"D","")))</f>
        <v/>
      </c>
      <c r="K20" s="204" t="str">
        <f ca="1">IF($AI20="","",IF(INDEX('Roadmap Calc (Don’t Touch)'!$W$2:$AT$204,$AI20,2)&gt;0,IF(AND($H20&lt;&gt;"",$H20&lt;=EOMONTH(K$3,0),$I20&gt;=K$3),"B","U"),IF(AND($H20&lt;&gt;"",$H20&lt;=EOMONTH(K$3,0),$I20&gt;=K$3),"D","")))</f>
        <v/>
      </c>
      <c r="L20" s="204" t="str">
        <f ca="1">IF($AI20="","",IF(INDEX('Roadmap Calc (Don’t Touch)'!$W$2:$AT$204,$AI20,3)&gt;0,IF(AND($H20&lt;&gt;"",$H20&lt;=EOMONTH(L$3,0),$I20&gt;=L$3),"B","U"),IF(AND($H20&lt;&gt;"",$H20&lt;=EOMONTH(L$3,0),$I20&gt;=L$3),"D","")))</f>
        <v/>
      </c>
      <c r="M20" s="216" t="str">
        <f ca="1">IF($AI20="","",IF(INDEX('Roadmap Calc (Don’t Touch)'!$W$2:$AT$204,$AI20,4)&gt;0,IF(AND($H20&lt;&gt;"",$H20&lt;=EOMONTH(M$3,0),$I20&gt;=M$3),"B","U"),IF(AND($H20&lt;&gt;"",$H20&lt;=EOMONTH(M$3,0),$I20&gt;=M$3),"D","")))</f>
        <v/>
      </c>
      <c r="N20" s="204" t="str">
        <f ca="1">IF($AI20="","",IF(INDEX('Roadmap Calc (Don’t Touch)'!$W$2:$AT$204,$AI20,5)&gt;0,IF(AND($H20&lt;&gt;"",$H20&lt;=EOMONTH(N$3,0),$I20&gt;=N$3),"B","U"),IF(AND($H20&lt;&gt;"",$H20&lt;=EOMONTH(N$3,0),$I20&gt;=N$3),"D","")))</f>
        <v/>
      </c>
      <c r="O20" s="217" t="str">
        <f ca="1">IF($AI20="","",IF(INDEX('Roadmap Calc (Don’t Touch)'!$W$2:$AT$204,$AI20,6)&gt;0,IF(AND($H20&lt;&gt;"",$H20&lt;=EOMONTH(O$3,0),$I20&gt;=O$3),"B","U"),IF(AND($H20&lt;&gt;"",$H20&lt;=EOMONTH(O$3,0),$I20&gt;=O$3),"D","")))</f>
        <v>U</v>
      </c>
      <c r="P20" s="216" t="str">
        <f ca="1">IF($AI20="","",IF(INDEX('Roadmap Calc (Don’t Touch)'!$W$2:$AT$204,$AI20,7)&gt;0,IF(AND($H20&lt;&gt;"",$H20&lt;=EOMONTH(P$3,0),$I20&gt;=P$3),"B","U"),IF(AND($H20&lt;&gt;"",$H20&lt;=EOMONTH(P$3,0),$I20&gt;=P$3),"D","")))</f>
        <v>U</v>
      </c>
      <c r="Q20" s="204" t="str">
        <f ca="1">IF($AI20="","",IF(INDEX('Roadmap Calc (Don’t Touch)'!$W$2:$AT$204,$AI20,8)&gt;0,IF(AND($H20&lt;&gt;"",$H20&lt;=EOMONTH(Q$3,0),$I20&gt;=Q$3),"B","U"),IF(AND($H20&lt;&gt;"",$H20&lt;=EOMONTH(Q$3,0),$I20&gt;=Q$3),"D","")))</f>
        <v>U</v>
      </c>
      <c r="R20" s="217" t="str">
        <f ca="1">IF($AI20="","",IF(INDEX('Roadmap Calc (Don’t Touch)'!$W$2:$AT$204,$AI20,9)&gt;0,IF(AND($H20&lt;&gt;"",$H20&lt;=EOMONTH(R$3,0),$I20&gt;=R$3),"B","U"),IF(AND($H20&lt;&gt;"",$H20&lt;=EOMONTH(R$3,0),$I20&gt;=R$3),"D","")))</f>
        <v>U</v>
      </c>
      <c r="S20" s="216" t="str">
        <f ca="1">IF($AI20="","",IF(INDEX('Roadmap Calc (Don’t Touch)'!$W$2:$AT$204,$AI20,10)&gt;0,IF(AND($H20&lt;&gt;"",$H20&lt;=EOMONTH(S$3,0),$I20&gt;=S$3),"B","U"),IF(AND($H20&lt;&gt;"",$H20&lt;=EOMONTH(S$3,0),$I20&gt;=S$3),"D","")))</f>
        <v/>
      </c>
      <c r="T20" s="204" t="str">
        <f ca="1">IF($AI20="","",IF(INDEX('Roadmap Calc (Don’t Touch)'!$W$2:$AT$204,$AI20,11)&gt;0,IF(AND($H20&lt;&gt;"",$H20&lt;=EOMONTH(T$3,0),$I20&gt;=T$3),"B","U"),IF(AND($H20&lt;&gt;"",$H20&lt;=EOMONTH(T$3,0),$I20&gt;=T$3),"D","")))</f>
        <v/>
      </c>
      <c r="U20" s="217" t="str">
        <f ca="1">IF($AI20="","",IF(INDEX('Roadmap Calc (Don’t Touch)'!$W$2:$AT$204,$AI20,12)&gt;0,IF(AND($H20&lt;&gt;"",$H20&lt;=EOMONTH(U$3,0),$I20&gt;=U$3),"B","U"),IF(AND($H20&lt;&gt;"",$H20&lt;=EOMONTH(U$3,0),$I20&gt;=U$3),"D","")))</f>
        <v/>
      </c>
      <c r="V20" s="216" t="str">
        <f ca="1">IF($AI20="","",IF(INDEX('Roadmap Calc (Don’t Touch)'!$W$2:$AT$204,$AI20,13)&gt;0,IF(AND($H20&lt;&gt;"",$H20&lt;=EOMONTH(V$3,0),$I20&gt;=V$3),"B","U"),IF(AND($H20&lt;&gt;"",$H20&lt;=EOMONTH(V$3,0),$I20&gt;=V$3),"D","")))</f>
        <v/>
      </c>
      <c r="W20" s="204" t="str">
        <f ca="1">IF($AI20="","",IF(INDEX('Roadmap Calc (Don’t Touch)'!$W$2:$AT$204,$AI20,14)&gt;0,IF(AND($H20&lt;&gt;"",$H20&lt;=EOMONTH(W$3,0),$I20&gt;=W$3),"B","U"),IF(AND($H20&lt;&gt;"",$H20&lt;=EOMONTH(W$3,0),$I20&gt;=W$3),"D","")))</f>
        <v>D</v>
      </c>
      <c r="X20" s="217" t="str">
        <f ca="1">IF($AI20="","",IF(INDEX('Roadmap Calc (Don’t Touch)'!$W$2:$AT$204,$AI20,15)&gt;0,IF(AND($H20&lt;&gt;"",$H20&lt;=EOMONTH(X$3,0),$I20&gt;=X$3),"B","U"),IF(AND($H20&lt;&gt;"",$H20&lt;=EOMONTH(X$3,0),$I20&gt;=X$3),"D","")))</f>
        <v/>
      </c>
      <c r="Y20" s="216" t="str">
        <f ca="1">IF($AI20="","",IF(INDEX('Roadmap Calc (Don’t Touch)'!$W$2:$AT$204,$AI20,16)&gt;0,IF(AND($H20&lt;&gt;"",$H20&lt;=EOMONTH(Y$3,0),$I20&gt;=Y$3),"B","U"),IF(AND($H20&lt;&gt;"",$H20&lt;=EOMONTH(Y$3,0),$I20&gt;=Y$3),"D","")))</f>
        <v/>
      </c>
      <c r="Z20" s="204" t="str">
        <f ca="1">IF($AI20="","",IF(INDEX('Roadmap Calc (Don’t Touch)'!$W$2:$AT$204,$AI20,17)&gt;0,IF(AND($H20&lt;&gt;"",$H20&lt;=EOMONTH(Z$3,0),$I20&gt;=Z$3),"B","U"),IF(AND($H20&lt;&gt;"",$H20&lt;=EOMONTH(Z$3,0),$I20&gt;=Z$3),"D","")))</f>
        <v/>
      </c>
      <c r="AA20" s="217" t="str">
        <f ca="1">IF($AI20="","",IF(INDEX('Roadmap Calc (Don’t Touch)'!$W$2:$AT$204,$AI20,18)&gt;0,IF(AND($H20&lt;&gt;"",$H20&lt;=EOMONTH(AA$3,0),$I20&gt;=AA$3),"B","U"),IF(AND($H20&lt;&gt;"",$H20&lt;=EOMONTH(AA$3,0),$I20&gt;=AA$3),"D","")))</f>
        <v/>
      </c>
      <c r="AB20" s="216" t="str">
        <f ca="1">IF($AI20="","",IF(INDEX('Roadmap Calc (Don’t Touch)'!$W$2:$AT$204,$AI20,19)&gt;0,IF(AND($H20&lt;&gt;"",$H20&lt;=EOMONTH(AB$3,0),$I20&gt;=AB$3),"B","U"),IF(AND($H20&lt;&gt;"",$H20&lt;=EOMONTH(AB$3,0),$I20&gt;=AB$3),"D","")))</f>
        <v/>
      </c>
      <c r="AC20" s="204" t="str">
        <f ca="1">IF($AI20="","",IF(INDEX('Roadmap Calc (Don’t Touch)'!$W$2:$AT$204,$AI20,20)&gt;0,IF(AND($H20&lt;&gt;"",$H20&lt;=EOMONTH(AC$3,0),$I20&gt;=AC$3),"B","U"),IF(AND($H20&lt;&gt;"",$H20&lt;=EOMONTH(AC$3,0),$I20&gt;=AC$3),"D","")))</f>
        <v/>
      </c>
      <c r="AD20" s="217" t="str">
        <f ca="1">IF($AI20="","",IF(INDEX('Roadmap Calc (Don’t Touch)'!$W$2:$AT$204,$AI20,21)&gt;0,IF(AND($H20&lt;&gt;"",$H20&lt;=EOMONTH(AD$3,0),$I20&gt;=AD$3),"B","U"),IF(AND($H20&lt;&gt;"",$H20&lt;=EOMONTH(AD$3,0),$I20&gt;=AD$3),"D","")))</f>
        <v/>
      </c>
      <c r="AE20" s="210" t="str">
        <f ca="1">IF($AI20="","",IF(INDEX('Roadmap Calc (Don’t Touch)'!$W$2:$AT$204,$AI20,22)&gt;0,IF(AND($H20&lt;&gt;"",$H20&lt;=EOMONTH(AE$3,0),$I20&gt;=AE$3),"B","U"),IF(AND($H20&lt;&gt;"",$H20&lt;=EOMONTH(AE$3,0),$I20&gt;=AE$3),"D","")))</f>
        <v/>
      </c>
      <c r="AF20" s="204" t="str">
        <f ca="1">IF($AI20="","",IF(INDEX('Roadmap Calc (Don’t Touch)'!$W$2:$AT$204,$AI20,23)&gt;0,IF(AND($H20&lt;&gt;"",$H20&lt;=EOMONTH(AF$3,0),$I20&gt;=AF$3),"B","U"),IF(AND($H20&lt;&gt;"",$H20&lt;=EOMONTH(AF$3,0),$I20&gt;=AF$3),"D","")))</f>
        <v/>
      </c>
      <c r="AG20" s="204" t="str">
        <f ca="1">IF($AI20="","",IF(INDEX('Roadmap Calc (Don’t Touch)'!$W$2:$AT$204,$AI20,24)&gt;0,IF(AND($H20&lt;&gt;"",$H20&lt;=EOMONTH(AG$3,0),$I20&gt;=AG$3),"B","U"),IF(AND($H20&lt;&gt;"",$H20&lt;=EOMONTH(AG$3,0),$I20&gt;=AG$3),"D","")))</f>
        <v/>
      </c>
      <c r="AH20" s="180" t="str">
        <f>IF($AI20="","",INDEX('Roadmap Calc (Don’t Touch)'!$D$2:$D$204,$AI20))</f>
        <v>Increase Trade In Awareness</v>
      </c>
      <c r="AI20" s="180">
        <f>IFERROR(MATCH(14,'Roadmap Calc (Don’t Touch)'!$O$2:$O$204,0),"")</f>
        <v>23</v>
      </c>
    </row>
    <row r="21" spans="1:35" ht="17" customHeight="1" x14ac:dyDescent="0.25">
      <c r="A21" s="197" t="str">
        <f t="shared" si="0"/>
        <v/>
      </c>
      <c r="B21" s="198" t="str">
        <f>IF($AI21="","",INDEX('Roadmap Calc (Don’t Touch)'!$B$2:$B$204,$AI21))</f>
        <v>PDP Purchased in 20XX, Trade In Value is $YYY.YY</v>
      </c>
      <c r="C21" s="199" t="str">
        <f>IF($AI21="","",INDEX('Roadmap Calc (Don’t Touch)'!$E$2:$E$204,$AI21))</f>
        <v>BHUX-35309</v>
      </c>
      <c r="D21" s="227" t="str">
        <f>IF($AI21="","",INDEX('Roadmap Calc (Don’t Touch)'!$F$2:$F$204,$AI21))</f>
        <v>06. Architecture</v>
      </c>
      <c r="E21" s="201">
        <f>IF($AI21="","",IF(ISNUMBER(INDEX('Roadmap Calc (Don’t Touch)'!$G$2:$G$204,$AI21)),INDEX('Roadmap Calc (Don’t Touch)'!$G$2:$G$204,$AI21),""))</f>
        <v>46251</v>
      </c>
      <c r="F21" s="201">
        <f>IF($AI21="","",IF(ISNUMBER(INDEX('Roadmap Calc (Don’t Touch)'!$H$2:$H$204,$AI21)),INDEX('Roadmap Calc (Don’t Touch)'!$H$2:$H$204,$AI21),""))</f>
        <v>46251</v>
      </c>
      <c r="G21" s="202">
        <f>IF($AI21="","",INDEX('Roadmap Calc (Don’t Touch)'!$S$2:$S$204,$AI21))</f>
        <v>1</v>
      </c>
      <c r="H21" s="203" t="str">
        <f ca="1">IF($AI21="","",IF(ISNUMBER(INDEX('Roadmap Calc (Don’t Touch)'!$I$2:$I$204,$AI21)),INDEX('Roadmap Calc (Don’t Touch)'!$I$2:$I$204,$AI21),""))</f>
        <v/>
      </c>
      <c r="I21" s="203" t="str">
        <f ca="1">IF($AI21="","",IF(ISNUMBER(INDEX('Roadmap Calc (Don’t Touch)'!$J$2:$J$204,$AI21)),INDEX('Roadmap Calc (Don’t Touch)'!$J$2:$J$204,$AI21),""))</f>
        <v/>
      </c>
      <c r="J21" s="204" t="str">
        <f ca="1">IF($AI21="","",IF(INDEX('Roadmap Calc (Don’t Touch)'!$W$2:$AT$204,$AI21,1)&gt;0,IF(AND($H21&lt;&gt;"",$H21&lt;=EOMONTH(J$3,0),$I21&gt;=J$3),"B","U"),IF(AND($H21&lt;&gt;"",$H21&lt;=EOMONTH(J$3,0),$I21&gt;=J$3),"D","")))</f>
        <v/>
      </c>
      <c r="K21" s="204" t="str">
        <f ca="1">IF($AI21="","",IF(INDEX('Roadmap Calc (Don’t Touch)'!$W$2:$AT$204,$AI21,2)&gt;0,IF(AND($H21&lt;&gt;"",$H21&lt;=EOMONTH(K$3,0),$I21&gt;=K$3),"B","U"),IF(AND($H21&lt;&gt;"",$H21&lt;=EOMONTH(K$3,0),$I21&gt;=K$3),"D","")))</f>
        <v/>
      </c>
      <c r="L21" s="204" t="str">
        <f ca="1">IF($AI21="","",IF(INDEX('Roadmap Calc (Don’t Touch)'!$W$2:$AT$204,$AI21,3)&gt;0,IF(AND($H21&lt;&gt;"",$H21&lt;=EOMONTH(L$3,0),$I21&gt;=L$3),"B","U"),IF(AND($H21&lt;&gt;"",$H21&lt;=EOMONTH(L$3,0),$I21&gt;=L$3),"D","")))</f>
        <v/>
      </c>
      <c r="M21" s="216" t="str">
        <f ca="1">IF($AI21="","",IF(INDEX('Roadmap Calc (Don’t Touch)'!$W$2:$AT$204,$AI21,4)&gt;0,IF(AND($H21&lt;&gt;"",$H21&lt;=EOMONTH(M$3,0),$I21&gt;=M$3),"B","U"),IF(AND($H21&lt;&gt;"",$H21&lt;=EOMONTH(M$3,0),$I21&gt;=M$3),"D","")))</f>
        <v/>
      </c>
      <c r="N21" s="204" t="str">
        <f ca="1">IF($AI21="","",IF(INDEX('Roadmap Calc (Don’t Touch)'!$W$2:$AT$204,$AI21,5)&gt;0,IF(AND($H21&lt;&gt;"",$H21&lt;=EOMONTH(N$3,0),$I21&gt;=N$3),"B","U"),IF(AND($H21&lt;&gt;"",$H21&lt;=EOMONTH(N$3,0),$I21&gt;=N$3),"D","")))</f>
        <v/>
      </c>
      <c r="O21" s="217" t="str">
        <f ca="1">IF($AI21="","",IF(INDEX('Roadmap Calc (Don’t Touch)'!$W$2:$AT$204,$AI21,6)&gt;0,IF(AND($H21&lt;&gt;"",$H21&lt;=EOMONTH(O$3,0),$I21&gt;=O$3),"B","U"),IF(AND($H21&lt;&gt;"",$H21&lt;=EOMONTH(O$3,0),$I21&gt;=O$3),"D","")))</f>
        <v/>
      </c>
      <c r="P21" s="216" t="str">
        <f ca="1">IF($AI21="","",IF(INDEX('Roadmap Calc (Don’t Touch)'!$W$2:$AT$204,$AI21,7)&gt;0,IF(AND($H21&lt;&gt;"",$H21&lt;=EOMONTH(P$3,0),$I21&gt;=P$3),"B","U"),IF(AND($H21&lt;&gt;"",$H21&lt;=EOMONTH(P$3,0),$I21&gt;=P$3),"D","")))</f>
        <v/>
      </c>
      <c r="Q21" s="204" t="str">
        <f ca="1">IF($AI21="","",IF(INDEX('Roadmap Calc (Don’t Touch)'!$W$2:$AT$204,$AI21,8)&gt;0,IF(AND($H21&lt;&gt;"",$H21&lt;=EOMONTH(Q$3,0),$I21&gt;=Q$3),"B","U"),IF(AND($H21&lt;&gt;"",$H21&lt;=EOMONTH(Q$3,0),$I21&gt;=Q$3),"D","")))</f>
        <v>U</v>
      </c>
      <c r="R21" s="217" t="str">
        <f ca="1">IF($AI21="","",IF(INDEX('Roadmap Calc (Don’t Touch)'!$W$2:$AT$204,$AI21,9)&gt;0,IF(AND($H21&lt;&gt;"",$H21&lt;=EOMONTH(R$3,0),$I21&gt;=R$3),"B","U"),IF(AND($H21&lt;&gt;"",$H21&lt;=EOMONTH(R$3,0),$I21&gt;=R$3),"D","")))</f>
        <v/>
      </c>
      <c r="S21" s="216" t="str">
        <f ca="1">IF($AI21="","",IF(INDEX('Roadmap Calc (Don’t Touch)'!$W$2:$AT$204,$AI21,10)&gt;0,IF(AND($H21&lt;&gt;"",$H21&lt;=EOMONTH(S$3,0),$I21&gt;=S$3),"B","U"),IF(AND($H21&lt;&gt;"",$H21&lt;=EOMONTH(S$3,0),$I21&gt;=S$3),"D","")))</f>
        <v/>
      </c>
      <c r="T21" s="204" t="str">
        <f ca="1">IF($AI21="","",IF(INDEX('Roadmap Calc (Don’t Touch)'!$W$2:$AT$204,$AI21,11)&gt;0,IF(AND($H21&lt;&gt;"",$H21&lt;=EOMONTH(T$3,0),$I21&gt;=T$3),"B","U"),IF(AND($H21&lt;&gt;"",$H21&lt;=EOMONTH(T$3,0),$I21&gt;=T$3),"D","")))</f>
        <v/>
      </c>
      <c r="U21" s="217" t="str">
        <f ca="1">IF($AI21="","",IF(INDEX('Roadmap Calc (Don’t Touch)'!$W$2:$AT$204,$AI21,12)&gt;0,IF(AND($H21&lt;&gt;"",$H21&lt;=EOMONTH(U$3,0),$I21&gt;=U$3),"B","U"),IF(AND($H21&lt;&gt;"",$H21&lt;=EOMONTH(U$3,0),$I21&gt;=U$3),"D","")))</f>
        <v/>
      </c>
      <c r="V21" s="216" t="str">
        <f ca="1">IF($AI21="","",IF(INDEX('Roadmap Calc (Don’t Touch)'!$W$2:$AT$204,$AI21,13)&gt;0,IF(AND($H21&lt;&gt;"",$H21&lt;=EOMONTH(V$3,0),$I21&gt;=V$3),"B","U"),IF(AND($H21&lt;&gt;"",$H21&lt;=EOMONTH(V$3,0),$I21&gt;=V$3),"D","")))</f>
        <v/>
      </c>
      <c r="W21" s="204" t="str">
        <f ca="1">IF($AI21="","",IF(INDEX('Roadmap Calc (Don’t Touch)'!$W$2:$AT$204,$AI21,14)&gt;0,IF(AND($H21&lt;&gt;"",$H21&lt;=EOMONTH(W$3,0),$I21&gt;=W$3),"B","U"),IF(AND($H21&lt;&gt;"",$H21&lt;=EOMONTH(W$3,0),$I21&gt;=W$3),"D","")))</f>
        <v/>
      </c>
      <c r="X21" s="217" t="str">
        <f ca="1">IF($AI21="","",IF(INDEX('Roadmap Calc (Don’t Touch)'!$W$2:$AT$204,$AI21,15)&gt;0,IF(AND($H21&lt;&gt;"",$H21&lt;=EOMONTH(X$3,0),$I21&gt;=X$3),"B","U"),IF(AND($H21&lt;&gt;"",$H21&lt;=EOMONTH(X$3,0),$I21&gt;=X$3),"D","")))</f>
        <v/>
      </c>
      <c r="Y21" s="216" t="str">
        <f ca="1">IF($AI21="","",IF(INDEX('Roadmap Calc (Don’t Touch)'!$W$2:$AT$204,$AI21,16)&gt;0,IF(AND($H21&lt;&gt;"",$H21&lt;=EOMONTH(Y$3,0),$I21&gt;=Y$3),"B","U"),IF(AND($H21&lt;&gt;"",$H21&lt;=EOMONTH(Y$3,0),$I21&gt;=Y$3),"D","")))</f>
        <v/>
      </c>
      <c r="Z21" s="204" t="str">
        <f ca="1">IF($AI21="","",IF(INDEX('Roadmap Calc (Don’t Touch)'!$W$2:$AT$204,$AI21,17)&gt;0,IF(AND($H21&lt;&gt;"",$H21&lt;=EOMONTH(Z$3,0),$I21&gt;=Z$3),"B","U"),IF(AND($H21&lt;&gt;"",$H21&lt;=EOMONTH(Z$3,0),$I21&gt;=Z$3),"D","")))</f>
        <v/>
      </c>
      <c r="AA21" s="217" t="str">
        <f ca="1">IF($AI21="","",IF(INDEX('Roadmap Calc (Don’t Touch)'!$W$2:$AT$204,$AI21,18)&gt;0,IF(AND($H21&lt;&gt;"",$H21&lt;=EOMONTH(AA$3,0),$I21&gt;=AA$3),"B","U"),IF(AND($H21&lt;&gt;"",$H21&lt;=EOMONTH(AA$3,0),$I21&gt;=AA$3),"D","")))</f>
        <v/>
      </c>
      <c r="AB21" s="216" t="str">
        <f ca="1">IF($AI21="","",IF(INDEX('Roadmap Calc (Don’t Touch)'!$W$2:$AT$204,$AI21,19)&gt;0,IF(AND($H21&lt;&gt;"",$H21&lt;=EOMONTH(AB$3,0),$I21&gt;=AB$3),"B","U"),IF(AND($H21&lt;&gt;"",$H21&lt;=EOMONTH(AB$3,0),$I21&gt;=AB$3),"D","")))</f>
        <v/>
      </c>
      <c r="AC21" s="204" t="str">
        <f ca="1">IF($AI21="","",IF(INDEX('Roadmap Calc (Don’t Touch)'!$W$2:$AT$204,$AI21,20)&gt;0,IF(AND($H21&lt;&gt;"",$H21&lt;=EOMONTH(AC$3,0),$I21&gt;=AC$3),"B","U"),IF(AND($H21&lt;&gt;"",$H21&lt;=EOMONTH(AC$3,0),$I21&gt;=AC$3),"D","")))</f>
        <v/>
      </c>
      <c r="AD21" s="217" t="str">
        <f ca="1">IF($AI21="","",IF(INDEX('Roadmap Calc (Don’t Touch)'!$W$2:$AT$204,$AI21,21)&gt;0,IF(AND($H21&lt;&gt;"",$H21&lt;=EOMONTH(AD$3,0),$I21&gt;=AD$3),"B","U"),IF(AND($H21&lt;&gt;"",$H21&lt;=EOMONTH(AD$3,0),$I21&gt;=AD$3),"D","")))</f>
        <v/>
      </c>
      <c r="AE21" s="210" t="str">
        <f ca="1">IF($AI21="","",IF(INDEX('Roadmap Calc (Don’t Touch)'!$W$2:$AT$204,$AI21,22)&gt;0,IF(AND($H21&lt;&gt;"",$H21&lt;=EOMONTH(AE$3,0),$I21&gt;=AE$3),"B","U"),IF(AND($H21&lt;&gt;"",$H21&lt;=EOMONTH(AE$3,0),$I21&gt;=AE$3),"D","")))</f>
        <v/>
      </c>
      <c r="AF21" s="204" t="str">
        <f ca="1">IF($AI21="","",IF(INDEX('Roadmap Calc (Don’t Touch)'!$W$2:$AT$204,$AI21,23)&gt;0,IF(AND($H21&lt;&gt;"",$H21&lt;=EOMONTH(AF$3,0),$I21&gt;=AF$3),"B","U"),IF(AND($H21&lt;&gt;"",$H21&lt;=EOMONTH(AF$3,0),$I21&gt;=AF$3),"D","")))</f>
        <v/>
      </c>
      <c r="AG21" s="204" t="str">
        <f ca="1">IF($AI21="","",IF(INDEX('Roadmap Calc (Don’t Touch)'!$W$2:$AT$204,$AI21,24)&gt;0,IF(AND($H21&lt;&gt;"",$H21&lt;=EOMONTH(AG$3,0),$I21&gt;=AG$3),"B","U"),IF(AND($H21&lt;&gt;"",$H21&lt;=EOMONTH(AG$3,0),$I21&gt;=AG$3),"D","")))</f>
        <v/>
      </c>
      <c r="AH21" s="180" t="str">
        <f>IF($AI21="","",INDEX('Roadmap Calc (Don’t Touch)'!$D$2:$D$204,$AI21))</f>
        <v>Increase Trade In Awareness</v>
      </c>
      <c r="AI21" s="180">
        <f>IFERROR(MATCH(15,'Roadmap Calc (Don’t Touch)'!$O$2:$O$204,0),"")</f>
        <v>26</v>
      </c>
    </row>
    <row r="22" spans="1:35" ht="17" customHeight="1" x14ac:dyDescent="0.25">
      <c r="A22" s="197" t="str">
        <f t="shared" si="0"/>
        <v>Improve Trade In User Flow</v>
      </c>
      <c r="B22" s="198" t="str">
        <f>IF($AI22="","",INDEX('Roadmap Calc (Don’t Touch)'!$B$2:$B$204,$AI22))</f>
        <v>Sell Used Purchase Look Up</v>
      </c>
      <c r="C22" s="199" t="str">
        <f>IF($AI22="","",INDEX('Roadmap Calc (Don’t Touch)'!$E$2:$E$204,$AI22))</f>
        <v>BHP-7236</v>
      </c>
      <c r="D22" s="227" t="str">
        <f>IF($AI22="","",INDEX('Roadmap Calc (Don’t Touch)'!$F$2:$F$204,$AI22))</f>
        <v>02. UX Req</v>
      </c>
      <c r="E22" s="201">
        <f>IF($AI22="","",IF(ISNUMBER(INDEX('Roadmap Calc (Don’t Touch)'!$G$2:$G$204,$AI22)),INDEX('Roadmap Calc (Don’t Touch)'!$G$2:$G$204,$AI22),""))</f>
        <v>46258</v>
      </c>
      <c r="F22" s="201">
        <f>IF($AI22="","",IF(ISNUMBER(INDEX('Roadmap Calc (Don’t Touch)'!$H$2:$H$204,$AI22)),INDEX('Roadmap Calc (Don’t Touch)'!$H$2:$H$204,$AI22),""))</f>
        <v>46272</v>
      </c>
      <c r="G22" s="202">
        <f>IF($AI22="","",INDEX('Roadmap Calc (Don’t Touch)'!$S$2:$S$204,$AI22))</f>
        <v>3</v>
      </c>
      <c r="H22" s="203">
        <f ca="1">IF($AI22="","",IF(ISNUMBER(INDEX('Roadmap Calc (Don’t Touch)'!$I$2:$I$204,$AI22)),INDEX('Roadmap Calc (Don’t Touch)'!$I$2:$I$204,$AI22),""))</f>
        <v>46296</v>
      </c>
      <c r="I22" s="203">
        <f ca="1">IF($AI22="","",IF(ISNUMBER(INDEX('Roadmap Calc (Don’t Touch)'!$J$2:$J$204,$AI22)),INDEX('Roadmap Calc (Don’t Touch)'!$J$2:$J$204,$AI22),""))</f>
        <v>46418</v>
      </c>
      <c r="J22" s="204" t="str">
        <f ca="1">IF($AI22="","",IF(INDEX('Roadmap Calc (Don’t Touch)'!$W$2:$AT$204,$AI22,1)&gt;0,IF(AND($H22&lt;&gt;"",$H22&lt;=EOMONTH(J$3,0),$I22&gt;=J$3),"B","U"),IF(AND($H22&lt;&gt;"",$H22&lt;=EOMONTH(J$3,0),$I22&gt;=J$3),"D","")))</f>
        <v/>
      </c>
      <c r="K22" s="204" t="str">
        <f ca="1">IF($AI22="","",IF(INDEX('Roadmap Calc (Don’t Touch)'!$W$2:$AT$204,$AI22,2)&gt;0,IF(AND($H22&lt;&gt;"",$H22&lt;=EOMONTH(K$3,0),$I22&gt;=K$3),"B","U"),IF(AND($H22&lt;&gt;"",$H22&lt;=EOMONTH(K$3,0),$I22&gt;=K$3),"D","")))</f>
        <v/>
      </c>
      <c r="L22" s="204" t="str">
        <f ca="1">IF($AI22="","",IF(INDEX('Roadmap Calc (Don’t Touch)'!$W$2:$AT$204,$AI22,3)&gt;0,IF(AND($H22&lt;&gt;"",$H22&lt;=EOMONTH(L$3,0),$I22&gt;=L$3),"B","U"),IF(AND($H22&lt;&gt;"",$H22&lt;=EOMONTH(L$3,0),$I22&gt;=L$3),"D","")))</f>
        <v/>
      </c>
      <c r="M22" s="216" t="str">
        <f ca="1">IF($AI22="","",IF(INDEX('Roadmap Calc (Don’t Touch)'!$W$2:$AT$204,$AI22,4)&gt;0,IF(AND($H22&lt;&gt;"",$H22&lt;=EOMONTH(M$3,0),$I22&gt;=M$3),"B","U"),IF(AND($H22&lt;&gt;"",$H22&lt;=EOMONTH(M$3,0),$I22&gt;=M$3),"D","")))</f>
        <v/>
      </c>
      <c r="N22" s="204" t="str">
        <f ca="1">IF($AI22="","",IF(INDEX('Roadmap Calc (Don’t Touch)'!$W$2:$AT$204,$AI22,5)&gt;0,IF(AND($H22&lt;&gt;"",$H22&lt;=EOMONTH(N$3,0),$I22&gt;=N$3),"B","U"),IF(AND($H22&lt;&gt;"",$H22&lt;=EOMONTH(N$3,0),$I22&gt;=N$3),"D","")))</f>
        <v/>
      </c>
      <c r="O22" s="217" t="str">
        <f ca="1">IF($AI22="","",IF(INDEX('Roadmap Calc (Don’t Touch)'!$W$2:$AT$204,$AI22,6)&gt;0,IF(AND($H22&lt;&gt;"",$H22&lt;=EOMONTH(O$3,0),$I22&gt;=O$3),"B","U"),IF(AND($H22&lt;&gt;"",$H22&lt;=EOMONTH(O$3,0),$I22&gt;=O$3),"D","")))</f>
        <v/>
      </c>
      <c r="P22" s="216" t="str">
        <f ca="1">IF($AI22="","",IF(INDEX('Roadmap Calc (Don’t Touch)'!$W$2:$AT$204,$AI22,7)&gt;0,IF(AND($H22&lt;&gt;"",$H22&lt;=EOMONTH(P$3,0),$I22&gt;=P$3),"B","U"),IF(AND($H22&lt;&gt;"",$H22&lt;=EOMONTH(P$3,0),$I22&gt;=P$3),"D","")))</f>
        <v/>
      </c>
      <c r="Q22" s="204" t="str">
        <f ca="1">IF($AI22="","",IF(INDEX('Roadmap Calc (Don’t Touch)'!$W$2:$AT$204,$AI22,8)&gt;0,IF(AND($H22&lt;&gt;"",$H22&lt;=EOMONTH(Q$3,0),$I22&gt;=Q$3),"B","U"),IF(AND($H22&lt;&gt;"",$H22&lt;=EOMONTH(Q$3,0),$I22&gt;=Q$3),"D","")))</f>
        <v>U</v>
      </c>
      <c r="R22" s="217" t="str">
        <f ca="1">IF($AI22="","",IF(INDEX('Roadmap Calc (Don’t Touch)'!$W$2:$AT$204,$AI22,9)&gt;0,IF(AND($H22&lt;&gt;"",$H22&lt;=EOMONTH(R$3,0),$I22&gt;=R$3),"B","U"),IF(AND($H22&lt;&gt;"",$H22&lt;=EOMONTH(R$3,0),$I22&gt;=R$3),"D","")))</f>
        <v>U</v>
      </c>
      <c r="S22" s="216" t="str">
        <f ca="1">IF($AI22="","",IF(INDEX('Roadmap Calc (Don’t Touch)'!$W$2:$AT$204,$AI22,10)&gt;0,IF(AND($H22&lt;&gt;"",$H22&lt;=EOMONTH(S$3,0),$I22&gt;=S$3),"B","U"),IF(AND($H22&lt;&gt;"",$H22&lt;=EOMONTH(S$3,0),$I22&gt;=S$3),"D","")))</f>
        <v>D</v>
      </c>
      <c r="T22" s="204" t="str">
        <f ca="1">IF($AI22="","",IF(INDEX('Roadmap Calc (Don’t Touch)'!$W$2:$AT$204,$AI22,11)&gt;0,IF(AND($H22&lt;&gt;"",$H22&lt;=EOMONTH(T$3,0),$I22&gt;=T$3),"B","U"),IF(AND($H22&lt;&gt;"",$H22&lt;=EOMONTH(T$3,0),$I22&gt;=T$3),"D","")))</f>
        <v>D</v>
      </c>
      <c r="U22" s="217" t="str">
        <f ca="1">IF($AI22="","",IF(INDEX('Roadmap Calc (Don’t Touch)'!$W$2:$AT$204,$AI22,12)&gt;0,IF(AND($H22&lt;&gt;"",$H22&lt;=EOMONTH(U$3,0),$I22&gt;=U$3),"B","U"),IF(AND($H22&lt;&gt;"",$H22&lt;=EOMONTH(U$3,0),$I22&gt;=U$3),"D","")))</f>
        <v>D</v>
      </c>
      <c r="V22" s="216" t="str">
        <f ca="1">IF($AI22="","",IF(INDEX('Roadmap Calc (Don’t Touch)'!$W$2:$AT$204,$AI22,13)&gt;0,IF(AND($H22&lt;&gt;"",$H22&lt;=EOMONTH(V$3,0),$I22&gt;=V$3),"B","U"),IF(AND($H22&lt;&gt;"",$H22&lt;=EOMONTH(V$3,0),$I22&gt;=V$3),"D","")))</f>
        <v>D</v>
      </c>
      <c r="W22" s="204" t="str">
        <f ca="1">IF($AI22="","",IF(INDEX('Roadmap Calc (Don’t Touch)'!$W$2:$AT$204,$AI22,14)&gt;0,IF(AND($H22&lt;&gt;"",$H22&lt;=EOMONTH(W$3,0),$I22&gt;=W$3),"B","U"),IF(AND($H22&lt;&gt;"",$H22&lt;=EOMONTH(W$3,0),$I22&gt;=W$3),"D","")))</f>
        <v/>
      </c>
      <c r="X22" s="217" t="str">
        <f ca="1">IF($AI22="","",IF(INDEX('Roadmap Calc (Don’t Touch)'!$W$2:$AT$204,$AI22,15)&gt;0,IF(AND($H22&lt;&gt;"",$H22&lt;=EOMONTH(X$3,0),$I22&gt;=X$3),"B","U"),IF(AND($H22&lt;&gt;"",$H22&lt;=EOMONTH(X$3,0),$I22&gt;=X$3),"D","")))</f>
        <v/>
      </c>
      <c r="Y22" s="216" t="str">
        <f ca="1">IF($AI22="","",IF(INDEX('Roadmap Calc (Don’t Touch)'!$W$2:$AT$204,$AI22,16)&gt;0,IF(AND($H22&lt;&gt;"",$H22&lt;=EOMONTH(Y$3,0),$I22&gt;=Y$3),"B","U"),IF(AND($H22&lt;&gt;"",$H22&lt;=EOMONTH(Y$3,0),$I22&gt;=Y$3),"D","")))</f>
        <v/>
      </c>
      <c r="Z22" s="204" t="str">
        <f ca="1">IF($AI22="","",IF(INDEX('Roadmap Calc (Don’t Touch)'!$W$2:$AT$204,$AI22,17)&gt;0,IF(AND($H22&lt;&gt;"",$H22&lt;=EOMONTH(Z$3,0),$I22&gt;=Z$3),"B","U"),IF(AND($H22&lt;&gt;"",$H22&lt;=EOMONTH(Z$3,0),$I22&gt;=Z$3),"D","")))</f>
        <v/>
      </c>
      <c r="AA22" s="217" t="str">
        <f ca="1">IF($AI22="","",IF(INDEX('Roadmap Calc (Don’t Touch)'!$W$2:$AT$204,$AI22,18)&gt;0,IF(AND($H22&lt;&gt;"",$H22&lt;=EOMONTH(AA$3,0),$I22&gt;=AA$3),"B","U"),IF(AND($H22&lt;&gt;"",$H22&lt;=EOMONTH(AA$3,0),$I22&gt;=AA$3),"D","")))</f>
        <v/>
      </c>
      <c r="AB22" s="216" t="str">
        <f ca="1">IF($AI22="","",IF(INDEX('Roadmap Calc (Don’t Touch)'!$W$2:$AT$204,$AI22,19)&gt;0,IF(AND($H22&lt;&gt;"",$H22&lt;=EOMONTH(AB$3,0),$I22&gt;=AB$3),"B","U"),IF(AND($H22&lt;&gt;"",$H22&lt;=EOMONTH(AB$3,0),$I22&gt;=AB$3),"D","")))</f>
        <v/>
      </c>
      <c r="AC22" s="204" t="str">
        <f ca="1">IF($AI22="","",IF(INDEX('Roadmap Calc (Don’t Touch)'!$W$2:$AT$204,$AI22,20)&gt;0,IF(AND($H22&lt;&gt;"",$H22&lt;=EOMONTH(AC$3,0),$I22&gt;=AC$3),"B","U"),IF(AND($H22&lt;&gt;"",$H22&lt;=EOMONTH(AC$3,0),$I22&gt;=AC$3),"D","")))</f>
        <v/>
      </c>
      <c r="AD22" s="217" t="str">
        <f ca="1">IF($AI22="","",IF(INDEX('Roadmap Calc (Don’t Touch)'!$W$2:$AT$204,$AI22,21)&gt;0,IF(AND($H22&lt;&gt;"",$H22&lt;=EOMONTH(AD$3,0),$I22&gt;=AD$3),"B","U"),IF(AND($H22&lt;&gt;"",$H22&lt;=EOMONTH(AD$3,0),$I22&gt;=AD$3),"D","")))</f>
        <v/>
      </c>
      <c r="AE22" s="210" t="str">
        <f ca="1">IF($AI22="","",IF(INDEX('Roadmap Calc (Don’t Touch)'!$W$2:$AT$204,$AI22,22)&gt;0,IF(AND($H22&lt;&gt;"",$H22&lt;=EOMONTH(AE$3,0),$I22&gt;=AE$3),"B","U"),IF(AND($H22&lt;&gt;"",$H22&lt;=EOMONTH(AE$3,0),$I22&gt;=AE$3),"D","")))</f>
        <v/>
      </c>
      <c r="AF22" s="204" t="str">
        <f ca="1">IF($AI22="","",IF(INDEX('Roadmap Calc (Don’t Touch)'!$W$2:$AT$204,$AI22,23)&gt;0,IF(AND($H22&lt;&gt;"",$H22&lt;=EOMONTH(AF$3,0),$I22&gt;=AF$3),"B","U"),IF(AND($H22&lt;&gt;"",$H22&lt;=EOMONTH(AF$3,0),$I22&gt;=AF$3),"D","")))</f>
        <v/>
      </c>
      <c r="AG22" s="204" t="str">
        <f ca="1">IF($AI22="","",IF(INDEX('Roadmap Calc (Don’t Touch)'!$W$2:$AT$204,$AI22,24)&gt;0,IF(AND($H22&lt;&gt;"",$H22&lt;=EOMONTH(AG$3,0),$I22&gt;=AG$3),"B","U"),IF(AND($H22&lt;&gt;"",$H22&lt;=EOMONTH(AG$3,0),$I22&gt;=AG$3),"D","")))</f>
        <v/>
      </c>
      <c r="AH22" s="180" t="str">
        <f>IF($AI22="","",INDEX('Roadmap Calc (Don’t Touch)'!$D$2:$D$204,$AI22))</f>
        <v>Improve Trade In User Flow</v>
      </c>
      <c r="AI22" s="180">
        <f>IFERROR(MATCH(16,'Roadmap Calc (Don’t Touch)'!$O$2:$O$204,0),"")</f>
        <v>7</v>
      </c>
    </row>
    <row r="23" spans="1:35" ht="17" customHeight="1" x14ac:dyDescent="0.25">
      <c r="A23" s="197" t="str">
        <f t="shared" si="0"/>
        <v/>
      </c>
      <c r="B23" s="198" t="str">
        <f>IF($AI23="","",INDEX('Roadmap Calc (Don’t Touch)'!$B$2:$B$204,$AI23))</f>
        <v>Trade In Email - Comprehensive Refresh Discovery</v>
      </c>
      <c r="C23" s="199" t="str">
        <f>IF($AI23="","",INDEX('Roadmap Calc (Don’t Touch)'!$E$2:$E$204,$AI23))</f>
        <v>BHUX-34772</v>
      </c>
      <c r="D23" s="227" t="str">
        <f>IF($AI23="","",INDEX('Roadmap Calc (Don’t Touch)'!$F$2:$F$204,$AI23))</f>
        <v>04. UX Design</v>
      </c>
      <c r="E23" s="201">
        <f>IF($AI23="","",IF(ISNUMBER(INDEX('Roadmap Calc (Don’t Touch)'!$G$2:$G$204,$AI23)),INDEX('Roadmap Calc (Don’t Touch)'!$G$2:$G$204,$AI23),""))</f>
        <v>46216</v>
      </c>
      <c r="F23" s="201">
        <f>IF($AI23="","",IF(ISNUMBER(INDEX('Roadmap Calc (Don’t Touch)'!$H$2:$H$204,$AI23)),INDEX('Roadmap Calc (Don’t Touch)'!$H$2:$H$204,$AI23),""))</f>
        <v>46237</v>
      </c>
      <c r="G23" s="202">
        <f>IF($AI23="","",INDEX('Roadmap Calc (Don’t Touch)'!$S$2:$S$204,$AI23))</f>
        <v>4</v>
      </c>
      <c r="H23" s="203" t="str">
        <f ca="1">IF($AI23="","",IF(ISNUMBER(INDEX('Roadmap Calc (Don’t Touch)'!$I$2:$I$204,$AI23)),INDEX('Roadmap Calc (Don’t Touch)'!$I$2:$I$204,$AI23),""))</f>
        <v/>
      </c>
      <c r="I23" s="203" t="str">
        <f ca="1">IF($AI23="","",IF(ISNUMBER(INDEX('Roadmap Calc (Don’t Touch)'!$J$2:$J$204,$AI23)),INDEX('Roadmap Calc (Don’t Touch)'!$J$2:$J$204,$AI23),""))</f>
        <v/>
      </c>
      <c r="J23" s="204" t="str">
        <f ca="1">IF($AI23="","",IF(INDEX('Roadmap Calc (Don’t Touch)'!$W$2:$AT$204,$AI23,1)&gt;0,IF(AND($H23&lt;&gt;"",$H23&lt;=EOMONTH(J$3,0),$I23&gt;=J$3),"B","U"),IF(AND($H23&lt;&gt;"",$H23&lt;=EOMONTH(J$3,0),$I23&gt;=J$3),"D","")))</f>
        <v/>
      </c>
      <c r="K23" s="204" t="str">
        <f ca="1">IF($AI23="","",IF(INDEX('Roadmap Calc (Don’t Touch)'!$W$2:$AT$204,$AI23,2)&gt;0,IF(AND($H23&lt;&gt;"",$H23&lt;=EOMONTH(K$3,0),$I23&gt;=K$3),"B","U"),IF(AND($H23&lt;&gt;"",$H23&lt;=EOMONTH(K$3,0),$I23&gt;=K$3),"D","")))</f>
        <v/>
      </c>
      <c r="L23" s="204" t="str">
        <f ca="1">IF($AI23="","",IF(INDEX('Roadmap Calc (Don’t Touch)'!$W$2:$AT$204,$AI23,3)&gt;0,IF(AND($H23&lt;&gt;"",$H23&lt;=EOMONTH(L$3,0),$I23&gt;=L$3),"B","U"),IF(AND($H23&lt;&gt;"",$H23&lt;=EOMONTH(L$3,0),$I23&gt;=L$3),"D","")))</f>
        <v/>
      </c>
      <c r="M23" s="216" t="str">
        <f ca="1">IF($AI23="","",IF(INDEX('Roadmap Calc (Don’t Touch)'!$W$2:$AT$204,$AI23,4)&gt;0,IF(AND($H23&lt;&gt;"",$H23&lt;=EOMONTH(M$3,0),$I23&gt;=M$3),"B","U"),IF(AND($H23&lt;&gt;"",$H23&lt;=EOMONTH(M$3,0),$I23&gt;=M$3),"D","")))</f>
        <v/>
      </c>
      <c r="N23" s="204" t="str">
        <f ca="1">IF($AI23="","",IF(INDEX('Roadmap Calc (Don’t Touch)'!$W$2:$AT$204,$AI23,5)&gt;0,IF(AND($H23&lt;&gt;"",$H23&lt;=EOMONTH(N$3,0),$I23&gt;=N$3),"B","U"),IF(AND($H23&lt;&gt;"",$H23&lt;=EOMONTH(N$3,0),$I23&gt;=N$3),"D","")))</f>
        <v/>
      </c>
      <c r="O23" s="217" t="str">
        <f ca="1">IF($AI23="","",IF(INDEX('Roadmap Calc (Don’t Touch)'!$W$2:$AT$204,$AI23,6)&gt;0,IF(AND($H23&lt;&gt;"",$H23&lt;=EOMONTH(O$3,0),$I23&gt;=O$3),"B","U"),IF(AND($H23&lt;&gt;"",$H23&lt;=EOMONTH(O$3,0),$I23&gt;=O$3),"D","")))</f>
        <v/>
      </c>
      <c r="P23" s="216" t="str">
        <f ca="1">IF($AI23="","",IF(INDEX('Roadmap Calc (Don’t Touch)'!$W$2:$AT$204,$AI23,7)&gt;0,IF(AND($H23&lt;&gt;"",$H23&lt;=EOMONTH(P$3,0),$I23&gt;=P$3),"B","U"),IF(AND($H23&lt;&gt;"",$H23&lt;=EOMONTH(P$3,0),$I23&gt;=P$3),"D","")))</f>
        <v>U</v>
      </c>
      <c r="Q23" s="204" t="str">
        <f ca="1">IF($AI23="","",IF(INDEX('Roadmap Calc (Don’t Touch)'!$W$2:$AT$204,$AI23,8)&gt;0,IF(AND($H23&lt;&gt;"",$H23&lt;=EOMONTH(Q$3,0),$I23&gt;=Q$3),"B","U"),IF(AND($H23&lt;&gt;"",$H23&lt;=EOMONTH(Q$3,0),$I23&gt;=Q$3),"D","")))</f>
        <v>U</v>
      </c>
      <c r="R23" s="217" t="str">
        <f ca="1">IF($AI23="","",IF(INDEX('Roadmap Calc (Don’t Touch)'!$W$2:$AT$204,$AI23,9)&gt;0,IF(AND($H23&lt;&gt;"",$H23&lt;=EOMONTH(R$3,0),$I23&gt;=R$3),"B","U"),IF(AND($H23&lt;&gt;"",$H23&lt;=EOMONTH(R$3,0),$I23&gt;=R$3),"D","")))</f>
        <v/>
      </c>
      <c r="S23" s="216" t="str">
        <f ca="1">IF($AI23="","",IF(INDEX('Roadmap Calc (Don’t Touch)'!$W$2:$AT$204,$AI23,10)&gt;0,IF(AND($H23&lt;&gt;"",$H23&lt;=EOMONTH(S$3,0),$I23&gt;=S$3),"B","U"),IF(AND($H23&lt;&gt;"",$H23&lt;=EOMONTH(S$3,0),$I23&gt;=S$3),"D","")))</f>
        <v/>
      </c>
      <c r="T23" s="204" t="str">
        <f ca="1">IF($AI23="","",IF(INDEX('Roadmap Calc (Don’t Touch)'!$W$2:$AT$204,$AI23,11)&gt;0,IF(AND($H23&lt;&gt;"",$H23&lt;=EOMONTH(T$3,0),$I23&gt;=T$3),"B","U"),IF(AND($H23&lt;&gt;"",$H23&lt;=EOMONTH(T$3,0),$I23&gt;=T$3),"D","")))</f>
        <v/>
      </c>
      <c r="U23" s="217" t="str">
        <f ca="1">IF($AI23="","",IF(INDEX('Roadmap Calc (Don’t Touch)'!$W$2:$AT$204,$AI23,12)&gt;0,IF(AND($H23&lt;&gt;"",$H23&lt;=EOMONTH(U$3,0),$I23&gt;=U$3),"B","U"),IF(AND($H23&lt;&gt;"",$H23&lt;=EOMONTH(U$3,0),$I23&gt;=U$3),"D","")))</f>
        <v/>
      </c>
      <c r="V23" s="216" t="str">
        <f ca="1">IF($AI23="","",IF(INDEX('Roadmap Calc (Don’t Touch)'!$W$2:$AT$204,$AI23,13)&gt;0,IF(AND($H23&lt;&gt;"",$H23&lt;=EOMONTH(V$3,0),$I23&gt;=V$3),"B","U"),IF(AND($H23&lt;&gt;"",$H23&lt;=EOMONTH(V$3,0),$I23&gt;=V$3),"D","")))</f>
        <v/>
      </c>
      <c r="W23" s="204" t="str">
        <f ca="1">IF($AI23="","",IF(INDEX('Roadmap Calc (Don’t Touch)'!$W$2:$AT$204,$AI23,14)&gt;0,IF(AND($H23&lt;&gt;"",$H23&lt;=EOMONTH(W$3,0),$I23&gt;=W$3),"B","U"),IF(AND($H23&lt;&gt;"",$H23&lt;=EOMONTH(W$3,0),$I23&gt;=W$3),"D","")))</f>
        <v/>
      </c>
      <c r="X23" s="217" t="str">
        <f ca="1">IF($AI23="","",IF(INDEX('Roadmap Calc (Don’t Touch)'!$W$2:$AT$204,$AI23,15)&gt;0,IF(AND($H23&lt;&gt;"",$H23&lt;=EOMONTH(X$3,0),$I23&gt;=X$3),"B","U"),IF(AND($H23&lt;&gt;"",$H23&lt;=EOMONTH(X$3,0),$I23&gt;=X$3),"D","")))</f>
        <v/>
      </c>
      <c r="Y23" s="216" t="str">
        <f ca="1">IF($AI23="","",IF(INDEX('Roadmap Calc (Don’t Touch)'!$W$2:$AT$204,$AI23,16)&gt;0,IF(AND($H23&lt;&gt;"",$H23&lt;=EOMONTH(Y$3,0),$I23&gt;=Y$3),"B","U"),IF(AND($H23&lt;&gt;"",$H23&lt;=EOMONTH(Y$3,0),$I23&gt;=Y$3),"D","")))</f>
        <v/>
      </c>
      <c r="Z23" s="204" t="str">
        <f ca="1">IF($AI23="","",IF(INDEX('Roadmap Calc (Don’t Touch)'!$W$2:$AT$204,$AI23,17)&gt;0,IF(AND($H23&lt;&gt;"",$H23&lt;=EOMONTH(Z$3,0),$I23&gt;=Z$3),"B","U"),IF(AND($H23&lt;&gt;"",$H23&lt;=EOMONTH(Z$3,0),$I23&gt;=Z$3),"D","")))</f>
        <v/>
      </c>
      <c r="AA23" s="217" t="str">
        <f ca="1">IF($AI23="","",IF(INDEX('Roadmap Calc (Don’t Touch)'!$W$2:$AT$204,$AI23,18)&gt;0,IF(AND($H23&lt;&gt;"",$H23&lt;=EOMONTH(AA$3,0),$I23&gt;=AA$3),"B","U"),IF(AND($H23&lt;&gt;"",$H23&lt;=EOMONTH(AA$3,0),$I23&gt;=AA$3),"D","")))</f>
        <v/>
      </c>
      <c r="AB23" s="216" t="str">
        <f ca="1">IF($AI23="","",IF(INDEX('Roadmap Calc (Don’t Touch)'!$W$2:$AT$204,$AI23,19)&gt;0,IF(AND($H23&lt;&gt;"",$H23&lt;=EOMONTH(AB$3,0),$I23&gt;=AB$3),"B","U"),IF(AND($H23&lt;&gt;"",$H23&lt;=EOMONTH(AB$3,0),$I23&gt;=AB$3),"D","")))</f>
        <v/>
      </c>
      <c r="AC23" s="204" t="str">
        <f ca="1">IF($AI23="","",IF(INDEX('Roadmap Calc (Don’t Touch)'!$W$2:$AT$204,$AI23,20)&gt;0,IF(AND($H23&lt;&gt;"",$H23&lt;=EOMONTH(AC$3,0),$I23&gt;=AC$3),"B","U"),IF(AND($H23&lt;&gt;"",$H23&lt;=EOMONTH(AC$3,0),$I23&gt;=AC$3),"D","")))</f>
        <v/>
      </c>
      <c r="AD23" s="217" t="str">
        <f ca="1">IF($AI23="","",IF(INDEX('Roadmap Calc (Don’t Touch)'!$W$2:$AT$204,$AI23,21)&gt;0,IF(AND($H23&lt;&gt;"",$H23&lt;=EOMONTH(AD$3,0),$I23&gt;=AD$3),"B","U"),IF(AND($H23&lt;&gt;"",$H23&lt;=EOMONTH(AD$3,0),$I23&gt;=AD$3),"D","")))</f>
        <v/>
      </c>
      <c r="AE23" s="210" t="str">
        <f ca="1">IF($AI23="","",IF(INDEX('Roadmap Calc (Don’t Touch)'!$W$2:$AT$204,$AI23,22)&gt;0,IF(AND($H23&lt;&gt;"",$H23&lt;=EOMONTH(AE$3,0),$I23&gt;=AE$3),"B","U"),IF(AND($H23&lt;&gt;"",$H23&lt;=EOMONTH(AE$3,0),$I23&gt;=AE$3),"D","")))</f>
        <v/>
      </c>
      <c r="AF23" s="204" t="str">
        <f ca="1">IF($AI23="","",IF(INDEX('Roadmap Calc (Don’t Touch)'!$W$2:$AT$204,$AI23,23)&gt;0,IF(AND($H23&lt;&gt;"",$H23&lt;=EOMONTH(AF$3,0),$I23&gt;=AF$3),"B","U"),IF(AND($H23&lt;&gt;"",$H23&lt;=EOMONTH(AF$3,0),$I23&gt;=AF$3),"D","")))</f>
        <v/>
      </c>
      <c r="AG23" s="204" t="str">
        <f ca="1">IF($AI23="","",IF(INDEX('Roadmap Calc (Don’t Touch)'!$W$2:$AT$204,$AI23,24)&gt;0,IF(AND($H23&lt;&gt;"",$H23&lt;=EOMONTH(AG$3,0),$I23&gt;=AG$3),"B","U"),IF(AND($H23&lt;&gt;"",$H23&lt;=EOMONTH(AG$3,0),$I23&gt;=AG$3),"D","")))</f>
        <v/>
      </c>
      <c r="AH23" s="180" t="str">
        <f>IF($AI23="","",INDEX('Roadmap Calc (Don’t Touch)'!$D$2:$D$204,$AI23))</f>
        <v>Improve Trade In User Flow</v>
      </c>
      <c r="AI23" s="180">
        <f>IFERROR(MATCH(17,'Roadmap Calc (Don’t Touch)'!$O$2:$O$204,0),"")</f>
        <v>18</v>
      </c>
    </row>
    <row r="24" spans="1:35" ht="17" customHeight="1" x14ac:dyDescent="0.25">
      <c r="A24" s="197" t="str">
        <f t="shared" si="0"/>
        <v/>
      </c>
      <c r="B24" s="198" t="str">
        <f>IF($AI24="","",INDEX('Roadmap Calc (Don’t Touch)'!$B$2:$B$204,$AI24))</f>
        <v>Used - Sell Used Experience</v>
      </c>
      <c r="C24" s="199" t="str">
        <f>IF($AI24="","",INDEX('Roadmap Calc (Don’t Touch)'!$E$2:$E$204,$AI24))</f>
        <v>BHUX-33009</v>
      </c>
      <c r="D24" s="227" t="str">
        <f>IF($AI24="","",INDEX('Roadmap Calc (Don’t Touch)'!$F$2:$F$204,$AI24))</f>
        <v>04. UX Design</v>
      </c>
      <c r="E24" s="201">
        <f>IF($AI24="","",IF(ISNUMBER(INDEX('Roadmap Calc (Don’t Touch)'!$G$2:$G$204,$AI24)),INDEX('Roadmap Calc (Don’t Touch)'!$G$2:$G$204,$AI24),""))</f>
        <v>46132</v>
      </c>
      <c r="F24" s="201">
        <f>IF($AI24="","",IF(ISNUMBER(INDEX('Roadmap Calc (Don’t Touch)'!$H$2:$H$204,$AI24)),INDEX('Roadmap Calc (Don’t Touch)'!$H$2:$H$204,$AI24),""))</f>
        <v>46293</v>
      </c>
      <c r="G24" s="202">
        <f>IF($AI24="","",INDEX('Roadmap Calc (Don’t Touch)'!$S$2:$S$204,$AI24))</f>
        <v>24</v>
      </c>
      <c r="H24" s="203">
        <f ca="1">IF($AI24="","",IF(ISNUMBER(INDEX('Roadmap Calc (Don’t Touch)'!$I$2:$I$204,$AI24)),INDEX('Roadmap Calc (Don’t Touch)'!$I$2:$I$204,$AI24),""))</f>
        <v>46388</v>
      </c>
      <c r="I24" s="203">
        <f ca="1">IF($AI24="","",IF(ISNUMBER(INDEX('Roadmap Calc (Don’t Touch)'!$J$2:$J$204,$AI24)),INDEX('Roadmap Calc (Don’t Touch)'!$J$2:$J$204,$AI24),""))</f>
        <v>46477</v>
      </c>
      <c r="J24" s="204" t="str">
        <f ca="1">IF($AI24="","",IF(INDEX('Roadmap Calc (Don’t Touch)'!$W$2:$AT$204,$AI24,1)&gt;0,IF(AND($H24&lt;&gt;"",$H24&lt;=EOMONTH(J$3,0),$I24&gt;=J$3),"B","U"),IF(AND($H24&lt;&gt;"",$H24&lt;=EOMONTH(J$3,0),$I24&gt;=J$3),"D","")))</f>
        <v/>
      </c>
      <c r="K24" s="204" t="str">
        <f ca="1">IF($AI24="","",IF(INDEX('Roadmap Calc (Don’t Touch)'!$W$2:$AT$204,$AI24,2)&gt;0,IF(AND($H24&lt;&gt;"",$H24&lt;=EOMONTH(K$3,0),$I24&gt;=K$3),"B","U"),IF(AND($H24&lt;&gt;"",$H24&lt;=EOMONTH(K$3,0),$I24&gt;=K$3),"D","")))</f>
        <v/>
      </c>
      <c r="L24" s="204" t="str">
        <f ca="1">IF($AI24="","",IF(INDEX('Roadmap Calc (Don’t Touch)'!$W$2:$AT$204,$AI24,3)&gt;0,IF(AND($H24&lt;&gt;"",$H24&lt;=EOMONTH(L$3,0),$I24&gt;=L$3),"B","U"),IF(AND($H24&lt;&gt;"",$H24&lt;=EOMONTH(L$3,0),$I24&gt;=L$3),"D","")))</f>
        <v/>
      </c>
      <c r="M24" s="216" t="str">
        <f ca="1">IF($AI24="","",IF(INDEX('Roadmap Calc (Don’t Touch)'!$W$2:$AT$204,$AI24,4)&gt;0,IF(AND($H24&lt;&gt;"",$H24&lt;=EOMONTH(M$3,0),$I24&gt;=M$3),"B","U"),IF(AND($H24&lt;&gt;"",$H24&lt;=EOMONTH(M$3,0),$I24&gt;=M$3),"D","")))</f>
        <v>U</v>
      </c>
      <c r="N24" s="204" t="str">
        <f ca="1">IF($AI24="","",IF(INDEX('Roadmap Calc (Don’t Touch)'!$W$2:$AT$204,$AI24,5)&gt;0,IF(AND($H24&lt;&gt;"",$H24&lt;=EOMONTH(N$3,0),$I24&gt;=N$3),"B","U"),IF(AND($H24&lt;&gt;"",$H24&lt;=EOMONTH(N$3,0),$I24&gt;=N$3),"D","")))</f>
        <v>U</v>
      </c>
      <c r="O24" s="217" t="str">
        <f ca="1">IF($AI24="","",IF(INDEX('Roadmap Calc (Don’t Touch)'!$W$2:$AT$204,$AI24,6)&gt;0,IF(AND($H24&lt;&gt;"",$H24&lt;=EOMONTH(O$3,0),$I24&gt;=O$3),"B","U"),IF(AND($H24&lt;&gt;"",$H24&lt;=EOMONTH(O$3,0),$I24&gt;=O$3),"D","")))</f>
        <v>U</v>
      </c>
      <c r="P24" s="216" t="str">
        <f ca="1">IF($AI24="","",IF(INDEX('Roadmap Calc (Don’t Touch)'!$W$2:$AT$204,$AI24,7)&gt;0,IF(AND($H24&lt;&gt;"",$H24&lt;=EOMONTH(P$3,0),$I24&gt;=P$3),"B","U"),IF(AND($H24&lt;&gt;"",$H24&lt;=EOMONTH(P$3,0),$I24&gt;=P$3),"D","")))</f>
        <v>U</v>
      </c>
      <c r="Q24" s="204" t="str">
        <f ca="1">IF($AI24="","",IF(INDEX('Roadmap Calc (Don’t Touch)'!$W$2:$AT$204,$AI24,8)&gt;0,IF(AND($H24&lt;&gt;"",$H24&lt;=EOMONTH(Q$3,0),$I24&gt;=Q$3),"B","U"),IF(AND($H24&lt;&gt;"",$H24&lt;=EOMONTH(Q$3,0),$I24&gt;=Q$3),"D","")))</f>
        <v>U</v>
      </c>
      <c r="R24" s="217" t="str">
        <f ca="1">IF($AI24="","",IF(INDEX('Roadmap Calc (Don’t Touch)'!$W$2:$AT$204,$AI24,9)&gt;0,IF(AND($H24&lt;&gt;"",$H24&lt;=EOMONTH(R$3,0),$I24&gt;=R$3),"B","U"),IF(AND($H24&lt;&gt;"",$H24&lt;=EOMONTH(R$3,0),$I24&gt;=R$3),"D","")))</f>
        <v>U</v>
      </c>
      <c r="S24" s="216" t="str">
        <f ca="1">IF($AI24="","",IF(INDEX('Roadmap Calc (Don’t Touch)'!$W$2:$AT$204,$AI24,10)&gt;0,IF(AND($H24&lt;&gt;"",$H24&lt;=EOMONTH(S$3,0),$I24&gt;=S$3),"B","U"),IF(AND($H24&lt;&gt;"",$H24&lt;=EOMONTH(S$3,0),$I24&gt;=S$3),"D","")))</f>
        <v/>
      </c>
      <c r="T24" s="204" t="str">
        <f ca="1">IF($AI24="","",IF(INDEX('Roadmap Calc (Don’t Touch)'!$W$2:$AT$204,$AI24,11)&gt;0,IF(AND($H24&lt;&gt;"",$H24&lt;=EOMONTH(T$3,0),$I24&gt;=T$3),"B","U"),IF(AND($H24&lt;&gt;"",$H24&lt;=EOMONTH(T$3,0),$I24&gt;=T$3),"D","")))</f>
        <v/>
      </c>
      <c r="U24" s="217" t="str">
        <f ca="1">IF($AI24="","",IF(INDEX('Roadmap Calc (Don’t Touch)'!$W$2:$AT$204,$AI24,12)&gt;0,IF(AND($H24&lt;&gt;"",$H24&lt;=EOMONTH(U$3,0),$I24&gt;=U$3),"B","U"),IF(AND($H24&lt;&gt;"",$H24&lt;=EOMONTH(U$3,0),$I24&gt;=U$3),"D","")))</f>
        <v/>
      </c>
      <c r="V24" s="216" t="str">
        <f ca="1">IF($AI24="","",IF(INDEX('Roadmap Calc (Don’t Touch)'!$W$2:$AT$204,$AI24,13)&gt;0,IF(AND($H24&lt;&gt;"",$H24&lt;=EOMONTH(V$3,0),$I24&gt;=V$3),"B","U"),IF(AND($H24&lt;&gt;"",$H24&lt;=EOMONTH(V$3,0),$I24&gt;=V$3),"D","")))</f>
        <v>D</v>
      </c>
      <c r="W24" s="204" t="str">
        <f ca="1">IF($AI24="","",IF(INDEX('Roadmap Calc (Don’t Touch)'!$W$2:$AT$204,$AI24,14)&gt;0,IF(AND($H24&lt;&gt;"",$H24&lt;=EOMONTH(W$3,0),$I24&gt;=W$3),"B","U"),IF(AND($H24&lt;&gt;"",$H24&lt;=EOMONTH(W$3,0),$I24&gt;=W$3),"D","")))</f>
        <v>D</v>
      </c>
      <c r="X24" s="217" t="str">
        <f ca="1">IF($AI24="","",IF(INDEX('Roadmap Calc (Don’t Touch)'!$W$2:$AT$204,$AI24,15)&gt;0,IF(AND($H24&lt;&gt;"",$H24&lt;=EOMONTH(X$3,0),$I24&gt;=X$3),"B","U"),IF(AND($H24&lt;&gt;"",$H24&lt;=EOMONTH(X$3,0),$I24&gt;=X$3),"D","")))</f>
        <v>D</v>
      </c>
      <c r="Y24" s="216" t="str">
        <f ca="1">IF($AI24="","",IF(INDEX('Roadmap Calc (Don’t Touch)'!$W$2:$AT$204,$AI24,16)&gt;0,IF(AND($H24&lt;&gt;"",$H24&lt;=EOMONTH(Y$3,0),$I24&gt;=Y$3),"B","U"),IF(AND($H24&lt;&gt;"",$H24&lt;=EOMONTH(Y$3,0),$I24&gt;=Y$3),"D","")))</f>
        <v/>
      </c>
      <c r="Z24" s="204" t="str">
        <f ca="1">IF($AI24="","",IF(INDEX('Roadmap Calc (Don’t Touch)'!$W$2:$AT$204,$AI24,17)&gt;0,IF(AND($H24&lt;&gt;"",$H24&lt;=EOMONTH(Z$3,0),$I24&gt;=Z$3),"B","U"),IF(AND($H24&lt;&gt;"",$H24&lt;=EOMONTH(Z$3,0),$I24&gt;=Z$3),"D","")))</f>
        <v/>
      </c>
      <c r="AA24" s="217" t="str">
        <f ca="1">IF($AI24="","",IF(INDEX('Roadmap Calc (Don’t Touch)'!$W$2:$AT$204,$AI24,18)&gt;0,IF(AND($H24&lt;&gt;"",$H24&lt;=EOMONTH(AA$3,0),$I24&gt;=AA$3),"B","U"),IF(AND($H24&lt;&gt;"",$H24&lt;=EOMONTH(AA$3,0),$I24&gt;=AA$3),"D","")))</f>
        <v/>
      </c>
      <c r="AB24" s="216" t="str">
        <f ca="1">IF($AI24="","",IF(INDEX('Roadmap Calc (Don’t Touch)'!$W$2:$AT$204,$AI24,19)&gt;0,IF(AND($H24&lt;&gt;"",$H24&lt;=EOMONTH(AB$3,0),$I24&gt;=AB$3),"B","U"),IF(AND($H24&lt;&gt;"",$H24&lt;=EOMONTH(AB$3,0),$I24&gt;=AB$3),"D","")))</f>
        <v/>
      </c>
      <c r="AC24" s="204" t="str">
        <f ca="1">IF($AI24="","",IF(INDEX('Roadmap Calc (Don’t Touch)'!$W$2:$AT$204,$AI24,20)&gt;0,IF(AND($H24&lt;&gt;"",$H24&lt;=EOMONTH(AC$3,0),$I24&gt;=AC$3),"B","U"),IF(AND($H24&lt;&gt;"",$H24&lt;=EOMONTH(AC$3,0),$I24&gt;=AC$3),"D","")))</f>
        <v/>
      </c>
      <c r="AD24" s="217" t="str">
        <f ca="1">IF($AI24="","",IF(INDEX('Roadmap Calc (Don’t Touch)'!$W$2:$AT$204,$AI24,21)&gt;0,IF(AND($H24&lt;&gt;"",$H24&lt;=EOMONTH(AD$3,0),$I24&gt;=AD$3),"B","U"),IF(AND($H24&lt;&gt;"",$H24&lt;=EOMONTH(AD$3,0),$I24&gt;=AD$3),"D","")))</f>
        <v/>
      </c>
      <c r="AE24" s="210" t="str">
        <f ca="1">IF($AI24="","",IF(INDEX('Roadmap Calc (Don’t Touch)'!$W$2:$AT$204,$AI24,22)&gt;0,IF(AND($H24&lt;&gt;"",$H24&lt;=EOMONTH(AE$3,0),$I24&gt;=AE$3),"B","U"),IF(AND($H24&lt;&gt;"",$H24&lt;=EOMONTH(AE$3,0),$I24&gt;=AE$3),"D","")))</f>
        <v/>
      </c>
      <c r="AF24" s="204" t="str">
        <f ca="1">IF($AI24="","",IF(INDEX('Roadmap Calc (Don’t Touch)'!$W$2:$AT$204,$AI24,23)&gt;0,IF(AND($H24&lt;&gt;"",$H24&lt;=EOMONTH(AF$3,0),$I24&gt;=AF$3),"B","U"),IF(AND($H24&lt;&gt;"",$H24&lt;=EOMONTH(AF$3,0),$I24&gt;=AF$3),"D","")))</f>
        <v/>
      </c>
      <c r="AG24" s="204" t="str">
        <f ca="1">IF($AI24="","",IF(INDEX('Roadmap Calc (Don’t Touch)'!$W$2:$AT$204,$AI24,24)&gt;0,IF(AND($H24&lt;&gt;"",$H24&lt;=EOMONTH(AG$3,0),$I24&gt;=AG$3),"B","U"),IF(AND($H24&lt;&gt;"",$H24&lt;=EOMONTH(AG$3,0),$I24&gt;=AG$3),"D","")))</f>
        <v/>
      </c>
      <c r="AH24" s="180" t="str">
        <f>IF($AI24="","",INDEX('Roadmap Calc (Don’t Touch)'!$D$2:$D$204,$AI24))</f>
        <v>Improve Trade In User Flow</v>
      </c>
      <c r="AI24" s="180">
        <f>IFERROR(MATCH(18,'Roadmap Calc (Don’t Touch)'!$O$2:$O$204,0),"")</f>
        <v>19</v>
      </c>
    </row>
    <row r="25" spans="1:35" ht="17" customHeight="1" x14ac:dyDescent="0.25">
      <c r="A25" s="197" t="str">
        <f t="shared" si="0"/>
        <v/>
      </c>
      <c r="B25" s="198" t="str">
        <f>IF($AI25="","",INDEX('Roadmap Calc (Don’t Touch)'!$B$2:$B$204,$AI25))</f>
        <v>Sell Used User Flow Design Validation</v>
      </c>
      <c r="C25" s="199" t="str">
        <f>IF($AI25="","",INDEX('Roadmap Calc (Don’t Touch)'!$E$2:$E$204,$AI25))</f>
        <v>BHUR-133</v>
      </c>
      <c r="D25" s="227" t="str">
        <f>IF($AI25="","",INDEX('Roadmap Calc (Don’t Touch)'!$F$2:$F$204,$AI25))</f>
        <v>04A. Research - Design Validation</v>
      </c>
      <c r="E25" s="201">
        <f>IF($AI25="","",IF(ISNUMBER(INDEX('Roadmap Calc (Don’t Touch)'!$G$2:$G$204,$AI25)),INDEX('Roadmap Calc (Don’t Touch)'!$G$2:$G$204,$AI25),""))</f>
        <v>46209</v>
      </c>
      <c r="F25" s="201">
        <f>IF($AI25="","",IF(ISNUMBER(INDEX('Roadmap Calc (Don’t Touch)'!$H$2:$H$204,$AI25)),INDEX('Roadmap Calc (Don’t Touch)'!$H$2:$H$204,$AI25),""))</f>
        <v>46258</v>
      </c>
      <c r="G25" s="202">
        <f>IF($AI25="","",INDEX('Roadmap Calc (Don’t Touch)'!$S$2:$S$204,$AI25))</f>
        <v>8</v>
      </c>
      <c r="H25" s="203" t="str">
        <f ca="1">IF($AI25="","",IF(ISNUMBER(INDEX('Roadmap Calc (Don’t Touch)'!$I$2:$I$204,$AI25)),INDEX('Roadmap Calc (Don’t Touch)'!$I$2:$I$204,$AI25),""))</f>
        <v/>
      </c>
      <c r="I25" s="203" t="str">
        <f ca="1">IF($AI25="","",IF(ISNUMBER(INDEX('Roadmap Calc (Don’t Touch)'!$J$2:$J$204,$AI25)),INDEX('Roadmap Calc (Don’t Touch)'!$J$2:$J$204,$AI25),""))</f>
        <v/>
      </c>
      <c r="J25" s="204" t="str">
        <f ca="1">IF($AI25="","",IF(INDEX('Roadmap Calc (Don’t Touch)'!$W$2:$AT$204,$AI25,1)&gt;0,IF(AND($H25&lt;&gt;"",$H25&lt;=EOMONTH(J$3,0),$I25&gt;=J$3),"B","U"),IF(AND($H25&lt;&gt;"",$H25&lt;=EOMONTH(J$3,0),$I25&gt;=J$3),"D","")))</f>
        <v/>
      </c>
      <c r="K25" s="204" t="str">
        <f ca="1">IF($AI25="","",IF(INDEX('Roadmap Calc (Don’t Touch)'!$W$2:$AT$204,$AI25,2)&gt;0,IF(AND($H25&lt;&gt;"",$H25&lt;=EOMONTH(K$3,0),$I25&gt;=K$3),"B","U"),IF(AND($H25&lt;&gt;"",$H25&lt;=EOMONTH(K$3,0),$I25&gt;=K$3),"D","")))</f>
        <v/>
      </c>
      <c r="L25" s="204" t="str">
        <f ca="1">IF($AI25="","",IF(INDEX('Roadmap Calc (Don’t Touch)'!$W$2:$AT$204,$AI25,3)&gt;0,IF(AND($H25&lt;&gt;"",$H25&lt;=EOMONTH(L$3,0),$I25&gt;=L$3),"B","U"),IF(AND($H25&lt;&gt;"",$H25&lt;=EOMONTH(L$3,0),$I25&gt;=L$3),"D","")))</f>
        <v/>
      </c>
      <c r="M25" s="216" t="str">
        <f ca="1">IF($AI25="","",IF(INDEX('Roadmap Calc (Don’t Touch)'!$W$2:$AT$204,$AI25,4)&gt;0,IF(AND($H25&lt;&gt;"",$H25&lt;=EOMONTH(M$3,0),$I25&gt;=M$3),"B","U"),IF(AND($H25&lt;&gt;"",$H25&lt;=EOMONTH(M$3,0),$I25&gt;=M$3),"D","")))</f>
        <v/>
      </c>
      <c r="N25" s="204" t="str">
        <f ca="1">IF($AI25="","",IF(INDEX('Roadmap Calc (Don’t Touch)'!$W$2:$AT$204,$AI25,5)&gt;0,IF(AND($H25&lt;&gt;"",$H25&lt;=EOMONTH(N$3,0),$I25&gt;=N$3),"B","U"),IF(AND($H25&lt;&gt;"",$H25&lt;=EOMONTH(N$3,0),$I25&gt;=N$3),"D","")))</f>
        <v/>
      </c>
      <c r="O25" s="217" t="str">
        <f ca="1">IF($AI25="","",IF(INDEX('Roadmap Calc (Don’t Touch)'!$W$2:$AT$204,$AI25,6)&gt;0,IF(AND($H25&lt;&gt;"",$H25&lt;=EOMONTH(O$3,0),$I25&gt;=O$3),"B","U"),IF(AND($H25&lt;&gt;"",$H25&lt;=EOMONTH(O$3,0),$I25&gt;=O$3),"D","")))</f>
        <v/>
      </c>
      <c r="P25" s="216" t="str">
        <f ca="1">IF($AI25="","",IF(INDEX('Roadmap Calc (Don’t Touch)'!$W$2:$AT$204,$AI25,7)&gt;0,IF(AND($H25&lt;&gt;"",$H25&lt;=EOMONTH(P$3,0),$I25&gt;=P$3),"B","U"),IF(AND($H25&lt;&gt;"",$H25&lt;=EOMONTH(P$3,0),$I25&gt;=P$3),"D","")))</f>
        <v>U</v>
      </c>
      <c r="Q25" s="204" t="str">
        <f ca="1">IF($AI25="","",IF(INDEX('Roadmap Calc (Don’t Touch)'!$W$2:$AT$204,$AI25,8)&gt;0,IF(AND($H25&lt;&gt;"",$H25&lt;=EOMONTH(Q$3,0),$I25&gt;=Q$3),"B","U"),IF(AND($H25&lt;&gt;"",$H25&lt;=EOMONTH(Q$3,0),$I25&gt;=Q$3),"D","")))</f>
        <v>U</v>
      </c>
      <c r="R25" s="217" t="str">
        <f ca="1">IF($AI25="","",IF(INDEX('Roadmap Calc (Don’t Touch)'!$W$2:$AT$204,$AI25,9)&gt;0,IF(AND($H25&lt;&gt;"",$H25&lt;=EOMONTH(R$3,0),$I25&gt;=R$3),"B","U"),IF(AND($H25&lt;&gt;"",$H25&lt;=EOMONTH(R$3,0),$I25&gt;=R$3),"D","")))</f>
        <v/>
      </c>
      <c r="S25" s="216" t="str">
        <f ca="1">IF($AI25="","",IF(INDEX('Roadmap Calc (Don’t Touch)'!$W$2:$AT$204,$AI25,10)&gt;0,IF(AND($H25&lt;&gt;"",$H25&lt;=EOMONTH(S$3,0),$I25&gt;=S$3),"B","U"),IF(AND($H25&lt;&gt;"",$H25&lt;=EOMONTH(S$3,0),$I25&gt;=S$3),"D","")))</f>
        <v/>
      </c>
      <c r="T25" s="204" t="str">
        <f ca="1">IF($AI25="","",IF(INDEX('Roadmap Calc (Don’t Touch)'!$W$2:$AT$204,$AI25,11)&gt;0,IF(AND($H25&lt;&gt;"",$H25&lt;=EOMONTH(T$3,0),$I25&gt;=T$3),"B","U"),IF(AND($H25&lt;&gt;"",$H25&lt;=EOMONTH(T$3,0),$I25&gt;=T$3),"D","")))</f>
        <v/>
      </c>
      <c r="U25" s="217" t="str">
        <f ca="1">IF($AI25="","",IF(INDEX('Roadmap Calc (Don’t Touch)'!$W$2:$AT$204,$AI25,12)&gt;0,IF(AND($H25&lt;&gt;"",$H25&lt;=EOMONTH(U$3,0),$I25&gt;=U$3),"B","U"),IF(AND($H25&lt;&gt;"",$H25&lt;=EOMONTH(U$3,0),$I25&gt;=U$3),"D","")))</f>
        <v/>
      </c>
      <c r="V25" s="216" t="str">
        <f ca="1">IF($AI25="","",IF(INDEX('Roadmap Calc (Don’t Touch)'!$W$2:$AT$204,$AI25,13)&gt;0,IF(AND($H25&lt;&gt;"",$H25&lt;=EOMONTH(V$3,0),$I25&gt;=V$3),"B","U"),IF(AND($H25&lt;&gt;"",$H25&lt;=EOMONTH(V$3,0),$I25&gt;=V$3),"D","")))</f>
        <v/>
      </c>
      <c r="W25" s="204" t="str">
        <f ca="1">IF($AI25="","",IF(INDEX('Roadmap Calc (Don’t Touch)'!$W$2:$AT$204,$AI25,14)&gt;0,IF(AND($H25&lt;&gt;"",$H25&lt;=EOMONTH(W$3,0),$I25&gt;=W$3),"B","U"),IF(AND($H25&lt;&gt;"",$H25&lt;=EOMONTH(W$3,0),$I25&gt;=W$3),"D","")))</f>
        <v/>
      </c>
      <c r="X25" s="217" t="str">
        <f ca="1">IF($AI25="","",IF(INDEX('Roadmap Calc (Don’t Touch)'!$W$2:$AT$204,$AI25,15)&gt;0,IF(AND($H25&lt;&gt;"",$H25&lt;=EOMONTH(X$3,0),$I25&gt;=X$3),"B","U"),IF(AND($H25&lt;&gt;"",$H25&lt;=EOMONTH(X$3,0),$I25&gt;=X$3),"D","")))</f>
        <v/>
      </c>
      <c r="Y25" s="216" t="str">
        <f ca="1">IF($AI25="","",IF(INDEX('Roadmap Calc (Don’t Touch)'!$W$2:$AT$204,$AI25,16)&gt;0,IF(AND($H25&lt;&gt;"",$H25&lt;=EOMONTH(Y$3,0),$I25&gt;=Y$3),"B","U"),IF(AND($H25&lt;&gt;"",$H25&lt;=EOMONTH(Y$3,0),$I25&gt;=Y$3),"D","")))</f>
        <v/>
      </c>
      <c r="Z25" s="204" t="str">
        <f ca="1">IF($AI25="","",IF(INDEX('Roadmap Calc (Don’t Touch)'!$W$2:$AT$204,$AI25,17)&gt;0,IF(AND($H25&lt;&gt;"",$H25&lt;=EOMONTH(Z$3,0),$I25&gt;=Z$3),"B","U"),IF(AND($H25&lt;&gt;"",$H25&lt;=EOMONTH(Z$3,0),$I25&gt;=Z$3),"D","")))</f>
        <v/>
      </c>
      <c r="AA25" s="217" t="str">
        <f ca="1">IF($AI25="","",IF(INDEX('Roadmap Calc (Don’t Touch)'!$W$2:$AT$204,$AI25,18)&gt;0,IF(AND($H25&lt;&gt;"",$H25&lt;=EOMONTH(AA$3,0),$I25&gt;=AA$3),"B","U"),IF(AND($H25&lt;&gt;"",$H25&lt;=EOMONTH(AA$3,0),$I25&gt;=AA$3),"D","")))</f>
        <v/>
      </c>
      <c r="AB25" s="216" t="str">
        <f ca="1">IF($AI25="","",IF(INDEX('Roadmap Calc (Don’t Touch)'!$W$2:$AT$204,$AI25,19)&gt;0,IF(AND($H25&lt;&gt;"",$H25&lt;=EOMONTH(AB$3,0),$I25&gt;=AB$3),"B","U"),IF(AND($H25&lt;&gt;"",$H25&lt;=EOMONTH(AB$3,0),$I25&gt;=AB$3),"D","")))</f>
        <v/>
      </c>
      <c r="AC25" s="204" t="str">
        <f ca="1">IF($AI25="","",IF(INDEX('Roadmap Calc (Don’t Touch)'!$W$2:$AT$204,$AI25,20)&gt;0,IF(AND($H25&lt;&gt;"",$H25&lt;=EOMONTH(AC$3,0),$I25&gt;=AC$3),"B","U"),IF(AND($H25&lt;&gt;"",$H25&lt;=EOMONTH(AC$3,0),$I25&gt;=AC$3),"D","")))</f>
        <v/>
      </c>
      <c r="AD25" s="217" t="str">
        <f ca="1">IF($AI25="","",IF(INDEX('Roadmap Calc (Don’t Touch)'!$W$2:$AT$204,$AI25,21)&gt;0,IF(AND($H25&lt;&gt;"",$H25&lt;=EOMONTH(AD$3,0),$I25&gt;=AD$3),"B","U"),IF(AND($H25&lt;&gt;"",$H25&lt;=EOMONTH(AD$3,0),$I25&gt;=AD$3),"D","")))</f>
        <v/>
      </c>
      <c r="AE25" s="210" t="str">
        <f ca="1">IF($AI25="","",IF(INDEX('Roadmap Calc (Don’t Touch)'!$W$2:$AT$204,$AI25,22)&gt;0,IF(AND($H25&lt;&gt;"",$H25&lt;=EOMONTH(AE$3,0),$I25&gt;=AE$3),"B","U"),IF(AND($H25&lt;&gt;"",$H25&lt;=EOMONTH(AE$3,0),$I25&gt;=AE$3),"D","")))</f>
        <v/>
      </c>
      <c r="AF25" s="204" t="str">
        <f ca="1">IF($AI25="","",IF(INDEX('Roadmap Calc (Don’t Touch)'!$W$2:$AT$204,$AI25,23)&gt;0,IF(AND($H25&lt;&gt;"",$H25&lt;=EOMONTH(AF$3,0),$I25&gt;=AF$3),"B","U"),IF(AND($H25&lt;&gt;"",$H25&lt;=EOMONTH(AF$3,0),$I25&gt;=AF$3),"D","")))</f>
        <v/>
      </c>
      <c r="AG25" s="204" t="str">
        <f ca="1">IF($AI25="","",IF(INDEX('Roadmap Calc (Don’t Touch)'!$W$2:$AT$204,$AI25,24)&gt;0,IF(AND($H25&lt;&gt;"",$H25&lt;=EOMONTH(AG$3,0),$I25&gt;=AG$3),"B","U"),IF(AND($H25&lt;&gt;"",$H25&lt;=EOMONTH(AG$3,0),$I25&gt;=AG$3),"D","")))</f>
        <v/>
      </c>
      <c r="AH25" s="180" t="str">
        <f>IF($AI25="","",INDEX('Roadmap Calc (Don’t Touch)'!$D$2:$D$204,$AI25))</f>
        <v>Improve Trade In User Flow</v>
      </c>
      <c r="AI25" s="180">
        <f>IFERROR(MATCH(19,'Roadmap Calc (Don’t Touch)'!$O$2:$O$204,0),"")</f>
        <v>24</v>
      </c>
    </row>
    <row r="26" spans="1:35" ht="17" customHeight="1" x14ac:dyDescent="0.25">
      <c r="A26" s="197" t="str">
        <f t="shared" si="0"/>
        <v/>
      </c>
      <c r="B26" s="198" t="str">
        <f>IF($AI26="","",INDEX('Roadmap Calc (Don’t Touch)'!$B$2:$B$204,$AI26))</f>
        <v>Used Status Email Update</v>
      </c>
      <c r="C26" s="199" t="str">
        <f>IF($AI26="","",INDEX('Roadmap Calc (Don’t Touch)'!$E$2:$E$204,$AI26))</f>
        <v>BHUX-34723</v>
      </c>
      <c r="D26" s="227" t="str">
        <f>IF($AI26="","",INDEX('Roadmap Calc (Don’t Touch)'!$F$2:$F$204,$AI26))</f>
        <v>06. Architecture</v>
      </c>
      <c r="E26" s="201">
        <f>IF($AI26="","",IF(ISNUMBER(INDEX('Roadmap Calc (Don’t Touch)'!$G$2:$G$204,$AI26)),INDEX('Roadmap Calc (Don’t Touch)'!$G$2:$G$204,$AI26),""))</f>
        <v>46216</v>
      </c>
      <c r="F26" s="201">
        <f>IF($AI26="","",IF(ISNUMBER(INDEX('Roadmap Calc (Don’t Touch)'!$H$2:$H$204,$AI26)),INDEX('Roadmap Calc (Don’t Touch)'!$H$2:$H$204,$AI26),""))</f>
        <v>46216</v>
      </c>
      <c r="G26" s="202">
        <f>IF($AI26="","",INDEX('Roadmap Calc (Don’t Touch)'!$S$2:$S$204,$AI26))</f>
        <v>1</v>
      </c>
      <c r="H26" s="203" t="str">
        <f ca="1">IF($AI26="","",IF(ISNUMBER(INDEX('Roadmap Calc (Don’t Touch)'!$I$2:$I$204,$AI26)),INDEX('Roadmap Calc (Don’t Touch)'!$I$2:$I$204,$AI26),""))</f>
        <v/>
      </c>
      <c r="I26" s="203" t="str">
        <f ca="1">IF($AI26="","",IF(ISNUMBER(INDEX('Roadmap Calc (Don’t Touch)'!$J$2:$J$204,$AI26)),INDEX('Roadmap Calc (Don’t Touch)'!$J$2:$J$204,$AI26),""))</f>
        <v/>
      </c>
      <c r="J26" s="204" t="str">
        <f ca="1">IF($AI26="","",IF(INDEX('Roadmap Calc (Don’t Touch)'!$W$2:$AT$204,$AI26,1)&gt;0,IF(AND($H26&lt;&gt;"",$H26&lt;=EOMONTH(J$3,0),$I26&gt;=J$3),"B","U"),IF(AND($H26&lt;&gt;"",$H26&lt;=EOMONTH(J$3,0),$I26&gt;=J$3),"D","")))</f>
        <v/>
      </c>
      <c r="K26" s="204" t="str">
        <f ca="1">IF($AI26="","",IF(INDEX('Roadmap Calc (Don’t Touch)'!$W$2:$AT$204,$AI26,2)&gt;0,IF(AND($H26&lt;&gt;"",$H26&lt;=EOMONTH(K$3,0),$I26&gt;=K$3),"B","U"),IF(AND($H26&lt;&gt;"",$H26&lt;=EOMONTH(K$3,0),$I26&gt;=K$3),"D","")))</f>
        <v/>
      </c>
      <c r="L26" s="204" t="str">
        <f ca="1">IF($AI26="","",IF(INDEX('Roadmap Calc (Don’t Touch)'!$W$2:$AT$204,$AI26,3)&gt;0,IF(AND($H26&lt;&gt;"",$H26&lt;=EOMONTH(L$3,0),$I26&gt;=L$3),"B","U"),IF(AND($H26&lt;&gt;"",$H26&lt;=EOMONTH(L$3,0),$I26&gt;=L$3),"D","")))</f>
        <v/>
      </c>
      <c r="M26" s="216" t="str">
        <f ca="1">IF($AI26="","",IF(INDEX('Roadmap Calc (Don’t Touch)'!$W$2:$AT$204,$AI26,4)&gt;0,IF(AND($H26&lt;&gt;"",$H26&lt;=EOMONTH(M$3,0),$I26&gt;=M$3),"B","U"),IF(AND($H26&lt;&gt;"",$H26&lt;=EOMONTH(M$3,0),$I26&gt;=M$3),"D","")))</f>
        <v/>
      </c>
      <c r="N26" s="204" t="str">
        <f ca="1">IF($AI26="","",IF(INDEX('Roadmap Calc (Don’t Touch)'!$W$2:$AT$204,$AI26,5)&gt;0,IF(AND($H26&lt;&gt;"",$H26&lt;=EOMONTH(N$3,0),$I26&gt;=N$3),"B","U"),IF(AND($H26&lt;&gt;"",$H26&lt;=EOMONTH(N$3,0),$I26&gt;=N$3),"D","")))</f>
        <v/>
      </c>
      <c r="O26" s="217" t="str">
        <f ca="1">IF($AI26="","",IF(INDEX('Roadmap Calc (Don’t Touch)'!$W$2:$AT$204,$AI26,6)&gt;0,IF(AND($H26&lt;&gt;"",$H26&lt;=EOMONTH(O$3,0),$I26&gt;=O$3),"B","U"),IF(AND($H26&lt;&gt;"",$H26&lt;=EOMONTH(O$3,0),$I26&gt;=O$3),"D","")))</f>
        <v/>
      </c>
      <c r="P26" s="216" t="str">
        <f ca="1">IF($AI26="","",IF(INDEX('Roadmap Calc (Don’t Touch)'!$W$2:$AT$204,$AI26,7)&gt;0,IF(AND($H26&lt;&gt;"",$H26&lt;=EOMONTH(P$3,0),$I26&gt;=P$3),"B","U"),IF(AND($H26&lt;&gt;"",$H26&lt;=EOMONTH(P$3,0),$I26&gt;=P$3),"D","")))</f>
        <v>U</v>
      </c>
      <c r="Q26" s="204" t="str">
        <f ca="1">IF($AI26="","",IF(INDEX('Roadmap Calc (Don’t Touch)'!$W$2:$AT$204,$AI26,8)&gt;0,IF(AND($H26&lt;&gt;"",$H26&lt;=EOMONTH(Q$3,0),$I26&gt;=Q$3),"B","U"),IF(AND($H26&lt;&gt;"",$H26&lt;=EOMONTH(Q$3,0),$I26&gt;=Q$3),"D","")))</f>
        <v/>
      </c>
      <c r="R26" s="217" t="str">
        <f ca="1">IF($AI26="","",IF(INDEX('Roadmap Calc (Don’t Touch)'!$W$2:$AT$204,$AI26,9)&gt;0,IF(AND($H26&lt;&gt;"",$H26&lt;=EOMONTH(R$3,0),$I26&gt;=R$3),"B","U"),IF(AND($H26&lt;&gt;"",$H26&lt;=EOMONTH(R$3,0),$I26&gt;=R$3),"D","")))</f>
        <v/>
      </c>
      <c r="S26" s="216" t="str">
        <f ca="1">IF($AI26="","",IF(INDEX('Roadmap Calc (Don’t Touch)'!$W$2:$AT$204,$AI26,10)&gt;0,IF(AND($H26&lt;&gt;"",$H26&lt;=EOMONTH(S$3,0),$I26&gt;=S$3),"B","U"),IF(AND($H26&lt;&gt;"",$H26&lt;=EOMONTH(S$3,0),$I26&gt;=S$3),"D","")))</f>
        <v/>
      </c>
      <c r="T26" s="204" t="str">
        <f ca="1">IF($AI26="","",IF(INDEX('Roadmap Calc (Don’t Touch)'!$W$2:$AT$204,$AI26,11)&gt;0,IF(AND($H26&lt;&gt;"",$H26&lt;=EOMONTH(T$3,0),$I26&gt;=T$3),"B","U"),IF(AND($H26&lt;&gt;"",$H26&lt;=EOMONTH(T$3,0),$I26&gt;=T$3),"D","")))</f>
        <v/>
      </c>
      <c r="U26" s="217" t="str">
        <f ca="1">IF($AI26="","",IF(INDEX('Roadmap Calc (Don’t Touch)'!$W$2:$AT$204,$AI26,12)&gt;0,IF(AND($H26&lt;&gt;"",$H26&lt;=EOMONTH(U$3,0),$I26&gt;=U$3),"B","U"),IF(AND($H26&lt;&gt;"",$H26&lt;=EOMONTH(U$3,0),$I26&gt;=U$3),"D","")))</f>
        <v/>
      </c>
      <c r="V26" s="216" t="str">
        <f ca="1">IF($AI26="","",IF(INDEX('Roadmap Calc (Don’t Touch)'!$W$2:$AT$204,$AI26,13)&gt;0,IF(AND($H26&lt;&gt;"",$H26&lt;=EOMONTH(V$3,0),$I26&gt;=V$3),"B","U"),IF(AND($H26&lt;&gt;"",$H26&lt;=EOMONTH(V$3,0),$I26&gt;=V$3),"D","")))</f>
        <v/>
      </c>
      <c r="W26" s="204" t="str">
        <f ca="1">IF($AI26="","",IF(INDEX('Roadmap Calc (Don’t Touch)'!$W$2:$AT$204,$AI26,14)&gt;0,IF(AND($H26&lt;&gt;"",$H26&lt;=EOMONTH(W$3,0),$I26&gt;=W$3),"B","U"),IF(AND($H26&lt;&gt;"",$H26&lt;=EOMONTH(W$3,0),$I26&gt;=W$3),"D","")))</f>
        <v/>
      </c>
      <c r="X26" s="217" t="str">
        <f ca="1">IF($AI26="","",IF(INDEX('Roadmap Calc (Don’t Touch)'!$W$2:$AT$204,$AI26,15)&gt;0,IF(AND($H26&lt;&gt;"",$H26&lt;=EOMONTH(X$3,0),$I26&gt;=X$3),"B","U"),IF(AND($H26&lt;&gt;"",$H26&lt;=EOMONTH(X$3,0),$I26&gt;=X$3),"D","")))</f>
        <v/>
      </c>
      <c r="Y26" s="216" t="str">
        <f ca="1">IF($AI26="","",IF(INDEX('Roadmap Calc (Don’t Touch)'!$W$2:$AT$204,$AI26,16)&gt;0,IF(AND($H26&lt;&gt;"",$H26&lt;=EOMONTH(Y$3,0),$I26&gt;=Y$3),"B","U"),IF(AND($H26&lt;&gt;"",$H26&lt;=EOMONTH(Y$3,0),$I26&gt;=Y$3),"D","")))</f>
        <v/>
      </c>
      <c r="Z26" s="204" t="str">
        <f ca="1">IF($AI26="","",IF(INDEX('Roadmap Calc (Don’t Touch)'!$W$2:$AT$204,$AI26,17)&gt;0,IF(AND($H26&lt;&gt;"",$H26&lt;=EOMONTH(Z$3,0),$I26&gt;=Z$3),"B","U"),IF(AND($H26&lt;&gt;"",$H26&lt;=EOMONTH(Z$3,0),$I26&gt;=Z$3),"D","")))</f>
        <v/>
      </c>
      <c r="AA26" s="217" t="str">
        <f ca="1">IF($AI26="","",IF(INDEX('Roadmap Calc (Don’t Touch)'!$W$2:$AT$204,$AI26,18)&gt;0,IF(AND($H26&lt;&gt;"",$H26&lt;=EOMONTH(AA$3,0),$I26&gt;=AA$3),"B","U"),IF(AND($H26&lt;&gt;"",$H26&lt;=EOMONTH(AA$3,0),$I26&gt;=AA$3),"D","")))</f>
        <v/>
      </c>
      <c r="AB26" s="216" t="str">
        <f ca="1">IF($AI26="","",IF(INDEX('Roadmap Calc (Don’t Touch)'!$W$2:$AT$204,$AI26,19)&gt;0,IF(AND($H26&lt;&gt;"",$H26&lt;=EOMONTH(AB$3,0),$I26&gt;=AB$3),"B","U"),IF(AND($H26&lt;&gt;"",$H26&lt;=EOMONTH(AB$3,0),$I26&gt;=AB$3),"D","")))</f>
        <v/>
      </c>
      <c r="AC26" s="204" t="str">
        <f ca="1">IF($AI26="","",IF(INDEX('Roadmap Calc (Don’t Touch)'!$W$2:$AT$204,$AI26,20)&gt;0,IF(AND($H26&lt;&gt;"",$H26&lt;=EOMONTH(AC$3,0),$I26&gt;=AC$3),"B","U"),IF(AND($H26&lt;&gt;"",$H26&lt;=EOMONTH(AC$3,0),$I26&gt;=AC$3),"D","")))</f>
        <v/>
      </c>
      <c r="AD26" s="217" t="str">
        <f ca="1">IF($AI26="","",IF(INDEX('Roadmap Calc (Don’t Touch)'!$W$2:$AT$204,$AI26,21)&gt;0,IF(AND($H26&lt;&gt;"",$H26&lt;=EOMONTH(AD$3,0),$I26&gt;=AD$3),"B","U"),IF(AND($H26&lt;&gt;"",$H26&lt;=EOMONTH(AD$3,0),$I26&gt;=AD$3),"D","")))</f>
        <v/>
      </c>
      <c r="AE26" s="210" t="str">
        <f ca="1">IF($AI26="","",IF(INDEX('Roadmap Calc (Don’t Touch)'!$W$2:$AT$204,$AI26,22)&gt;0,IF(AND($H26&lt;&gt;"",$H26&lt;=EOMONTH(AE$3,0),$I26&gt;=AE$3),"B","U"),IF(AND($H26&lt;&gt;"",$H26&lt;=EOMONTH(AE$3,0),$I26&gt;=AE$3),"D","")))</f>
        <v/>
      </c>
      <c r="AF26" s="204" t="str">
        <f ca="1">IF($AI26="","",IF(INDEX('Roadmap Calc (Don’t Touch)'!$W$2:$AT$204,$AI26,23)&gt;0,IF(AND($H26&lt;&gt;"",$H26&lt;=EOMONTH(AF$3,0),$I26&gt;=AF$3),"B","U"),IF(AND($H26&lt;&gt;"",$H26&lt;=EOMONTH(AF$3,0),$I26&gt;=AF$3),"D","")))</f>
        <v/>
      </c>
      <c r="AG26" s="204" t="str">
        <f ca="1">IF($AI26="","",IF(INDEX('Roadmap Calc (Don’t Touch)'!$W$2:$AT$204,$AI26,24)&gt;0,IF(AND($H26&lt;&gt;"",$H26&lt;=EOMONTH(AG$3,0),$I26&gt;=AG$3),"B","U"),IF(AND($H26&lt;&gt;"",$H26&lt;=EOMONTH(AG$3,0),$I26&gt;=AG$3),"D","")))</f>
        <v/>
      </c>
      <c r="AH26" s="180" t="str">
        <f>IF($AI26="","",INDEX('Roadmap Calc (Don’t Touch)'!$D$2:$D$204,$AI26))</f>
        <v>Improve Trade In User Flow</v>
      </c>
      <c r="AI26" s="180">
        <f>IFERROR(MATCH(20,'Roadmap Calc (Don’t Touch)'!$O$2:$O$204,0),"")</f>
        <v>25</v>
      </c>
    </row>
    <row r="27" spans="1:35" ht="17" customHeight="1" x14ac:dyDescent="0.25">
      <c r="A27" s="197" t="str">
        <f t="shared" si="0"/>
        <v/>
      </c>
      <c r="B27" s="198" t="str">
        <f>IF($AI27="","",INDEX('Roadmap Calc (Don’t Touch)'!$B$2:$B$204,$AI27))</f>
        <v>Trade In Discrepancy Email Refresh (Copy Only)</v>
      </c>
      <c r="C27" s="199" t="str">
        <f>IF($AI27="","",INDEX('Roadmap Calc (Don’t Touch)'!$E$2:$E$204,$AI27))</f>
        <v/>
      </c>
      <c r="D27" s="227" t="str">
        <f>IF($AI27="","",INDEX('Roadmap Calc (Don’t Touch)'!$F$2:$F$204,$AI27))</f>
        <v>09. In Dev</v>
      </c>
      <c r="E27" s="201">
        <f>IF($AI27="","",IF(ISNUMBER(INDEX('Roadmap Calc (Don’t Touch)'!$G$2:$G$204,$AI27)),INDEX('Roadmap Calc (Don’t Touch)'!$G$2:$G$204,$AI27),""))</f>
        <v>46216</v>
      </c>
      <c r="F27" s="201">
        <f>IF($AI27="","",IF(ISNUMBER(INDEX('Roadmap Calc (Don’t Touch)'!$H$2:$H$204,$AI27)),INDEX('Roadmap Calc (Don’t Touch)'!$H$2:$H$204,$AI27),""))</f>
        <v>46223</v>
      </c>
      <c r="G27" s="202">
        <f>IF($AI27="","",INDEX('Roadmap Calc (Don’t Touch)'!$S$2:$S$204,$AI27))</f>
        <v>2</v>
      </c>
      <c r="H27" s="203">
        <f ca="1">IF($AI27="","",IF(ISNUMBER(INDEX('Roadmap Calc (Don’t Touch)'!$I$2:$I$204,$AI27)),INDEX('Roadmap Calc (Don’t Touch)'!$I$2:$I$204,$AI27),""))</f>
        <v>46204</v>
      </c>
      <c r="I27" s="203">
        <f ca="1">IF($AI27="","",IF(ISNUMBER(INDEX('Roadmap Calc (Don’t Touch)'!$J$2:$J$204,$AI27)),INDEX('Roadmap Calc (Don’t Touch)'!$J$2:$J$204,$AI27),""))</f>
        <v>46234</v>
      </c>
      <c r="J27" s="204" t="str">
        <f ca="1">IF($AI27="","",IF(INDEX('Roadmap Calc (Don’t Touch)'!$W$2:$AT$204,$AI27,1)&gt;0,IF(AND($H27&lt;&gt;"",$H27&lt;=EOMONTH(J$3,0),$I27&gt;=J$3),"B","U"),IF(AND($H27&lt;&gt;"",$H27&lt;=EOMONTH(J$3,0),$I27&gt;=J$3),"D","")))</f>
        <v/>
      </c>
      <c r="K27" s="204" t="str">
        <f ca="1">IF($AI27="","",IF(INDEX('Roadmap Calc (Don’t Touch)'!$W$2:$AT$204,$AI27,2)&gt;0,IF(AND($H27&lt;&gt;"",$H27&lt;=EOMONTH(K$3,0),$I27&gt;=K$3),"B","U"),IF(AND($H27&lt;&gt;"",$H27&lt;=EOMONTH(K$3,0),$I27&gt;=K$3),"D","")))</f>
        <v/>
      </c>
      <c r="L27" s="204" t="str">
        <f ca="1">IF($AI27="","",IF(INDEX('Roadmap Calc (Don’t Touch)'!$W$2:$AT$204,$AI27,3)&gt;0,IF(AND($H27&lt;&gt;"",$H27&lt;=EOMONTH(L$3,0),$I27&gt;=L$3),"B","U"),IF(AND($H27&lt;&gt;"",$H27&lt;=EOMONTH(L$3,0),$I27&gt;=L$3),"D","")))</f>
        <v/>
      </c>
      <c r="M27" s="216" t="str">
        <f ca="1">IF($AI27="","",IF(INDEX('Roadmap Calc (Don’t Touch)'!$W$2:$AT$204,$AI27,4)&gt;0,IF(AND($H27&lt;&gt;"",$H27&lt;=EOMONTH(M$3,0),$I27&gt;=M$3),"B","U"),IF(AND($H27&lt;&gt;"",$H27&lt;=EOMONTH(M$3,0),$I27&gt;=M$3),"D","")))</f>
        <v/>
      </c>
      <c r="N27" s="204" t="str">
        <f ca="1">IF($AI27="","",IF(INDEX('Roadmap Calc (Don’t Touch)'!$W$2:$AT$204,$AI27,5)&gt;0,IF(AND($H27&lt;&gt;"",$H27&lt;=EOMONTH(N$3,0),$I27&gt;=N$3),"B","U"),IF(AND($H27&lt;&gt;"",$H27&lt;=EOMONTH(N$3,0),$I27&gt;=N$3),"D","")))</f>
        <v/>
      </c>
      <c r="O27" s="217" t="str">
        <f ca="1">IF($AI27="","",IF(INDEX('Roadmap Calc (Don’t Touch)'!$W$2:$AT$204,$AI27,6)&gt;0,IF(AND($H27&lt;&gt;"",$H27&lt;=EOMONTH(O$3,0),$I27&gt;=O$3),"B","U"),IF(AND($H27&lt;&gt;"",$H27&lt;=EOMONTH(O$3,0),$I27&gt;=O$3),"D","")))</f>
        <v/>
      </c>
      <c r="P27" s="216" t="str">
        <f ca="1">IF($AI27="","",IF(INDEX('Roadmap Calc (Don’t Touch)'!$W$2:$AT$204,$AI27,7)&gt;0,IF(AND($H27&lt;&gt;"",$H27&lt;=EOMONTH(P$3,0),$I27&gt;=P$3),"B","U"),IF(AND($H27&lt;&gt;"",$H27&lt;=EOMONTH(P$3,0),$I27&gt;=P$3),"D","")))</f>
        <v>B</v>
      </c>
      <c r="Q27" s="204" t="str">
        <f ca="1">IF($AI27="","",IF(INDEX('Roadmap Calc (Don’t Touch)'!$W$2:$AT$204,$AI27,8)&gt;0,IF(AND($H27&lt;&gt;"",$H27&lt;=EOMONTH(Q$3,0),$I27&gt;=Q$3),"B","U"),IF(AND($H27&lt;&gt;"",$H27&lt;=EOMONTH(Q$3,0),$I27&gt;=Q$3),"D","")))</f>
        <v/>
      </c>
      <c r="R27" s="217" t="str">
        <f ca="1">IF($AI27="","",IF(INDEX('Roadmap Calc (Don’t Touch)'!$W$2:$AT$204,$AI27,9)&gt;0,IF(AND($H27&lt;&gt;"",$H27&lt;=EOMONTH(R$3,0),$I27&gt;=R$3),"B","U"),IF(AND($H27&lt;&gt;"",$H27&lt;=EOMONTH(R$3,0),$I27&gt;=R$3),"D","")))</f>
        <v/>
      </c>
      <c r="S27" s="216" t="str">
        <f ca="1">IF($AI27="","",IF(INDEX('Roadmap Calc (Don’t Touch)'!$W$2:$AT$204,$AI27,10)&gt;0,IF(AND($H27&lt;&gt;"",$H27&lt;=EOMONTH(S$3,0),$I27&gt;=S$3),"B","U"),IF(AND($H27&lt;&gt;"",$H27&lt;=EOMONTH(S$3,0),$I27&gt;=S$3),"D","")))</f>
        <v/>
      </c>
      <c r="T27" s="204" t="str">
        <f ca="1">IF($AI27="","",IF(INDEX('Roadmap Calc (Don’t Touch)'!$W$2:$AT$204,$AI27,11)&gt;0,IF(AND($H27&lt;&gt;"",$H27&lt;=EOMONTH(T$3,0),$I27&gt;=T$3),"B","U"),IF(AND($H27&lt;&gt;"",$H27&lt;=EOMONTH(T$3,0),$I27&gt;=T$3),"D","")))</f>
        <v/>
      </c>
      <c r="U27" s="217" t="str">
        <f ca="1">IF($AI27="","",IF(INDEX('Roadmap Calc (Don’t Touch)'!$W$2:$AT$204,$AI27,12)&gt;0,IF(AND($H27&lt;&gt;"",$H27&lt;=EOMONTH(U$3,0),$I27&gt;=U$3),"B","U"),IF(AND($H27&lt;&gt;"",$H27&lt;=EOMONTH(U$3,0),$I27&gt;=U$3),"D","")))</f>
        <v/>
      </c>
      <c r="V27" s="216" t="str">
        <f ca="1">IF($AI27="","",IF(INDEX('Roadmap Calc (Don’t Touch)'!$W$2:$AT$204,$AI27,13)&gt;0,IF(AND($H27&lt;&gt;"",$H27&lt;=EOMONTH(V$3,0),$I27&gt;=V$3),"B","U"),IF(AND($H27&lt;&gt;"",$H27&lt;=EOMONTH(V$3,0),$I27&gt;=V$3),"D","")))</f>
        <v/>
      </c>
      <c r="W27" s="204" t="str">
        <f ca="1">IF($AI27="","",IF(INDEX('Roadmap Calc (Don’t Touch)'!$W$2:$AT$204,$AI27,14)&gt;0,IF(AND($H27&lt;&gt;"",$H27&lt;=EOMONTH(W$3,0),$I27&gt;=W$3),"B","U"),IF(AND($H27&lt;&gt;"",$H27&lt;=EOMONTH(W$3,0),$I27&gt;=W$3),"D","")))</f>
        <v/>
      </c>
      <c r="X27" s="217" t="str">
        <f ca="1">IF($AI27="","",IF(INDEX('Roadmap Calc (Don’t Touch)'!$W$2:$AT$204,$AI27,15)&gt;0,IF(AND($H27&lt;&gt;"",$H27&lt;=EOMONTH(X$3,0),$I27&gt;=X$3),"B","U"),IF(AND($H27&lt;&gt;"",$H27&lt;=EOMONTH(X$3,0),$I27&gt;=X$3),"D","")))</f>
        <v/>
      </c>
      <c r="Y27" s="216" t="str">
        <f ca="1">IF($AI27="","",IF(INDEX('Roadmap Calc (Don’t Touch)'!$W$2:$AT$204,$AI27,16)&gt;0,IF(AND($H27&lt;&gt;"",$H27&lt;=EOMONTH(Y$3,0),$I27&gt;=Y$3),"B","U"),IF(AND($H27&lt;&gt;"",$H27&lt;=EOMONTH(Y$3,0),$I27&gt;=Y$3),"D","")))</f>
        <v/>
      </c>
      <c r="Z27" s="204" t="str">
        <f ca="1">IF($AI27="","",IF(INDEX('Roadmap Calc (Don’t Touch)'!$W$2:$AT$204,$AI27,17)&gt;0,IF(AND($H27&lt;&gt;"",$H27&lt;=EOMONTH(Z$3,0),$I27&gt;=Z$3),"B","U"),IF(AND($H27&lt;&gt;"",$H27&lt;=EOMONTH(Z$3,0),$I27&gt;=Z$3),"D","")))</f>
        <v/>
      </c>
      <c r="AA27" s="217" t="str">
        <f ca="1">IF($AI27="","",IF(INDEX('Roadmap Calc (Don’t Touch)'!$W$2:$AT$204,$AI27,18)&gt;0,IF(AND($H27&lt;&gt;"",$H27&lt;=EOMONTH(AA$3,0),$I27&gt;=AA$3),"B","U"),IF(AND($H27&lt;&gt;"",$H27&lt;=EOMONTH(AA$3,0),$I27&gt;=AA$3),"D","")))</f>
        <v/>
      </c>
      <c r="AB27" s="216" t="str">
        <f ca="1">IF($AI27="","",IF(INDEX('Roadmap Calc (Don’t Touch)'!$W$2:$AT$204,$AI27,19)&gt;0,IF(AND($H27&lt;&gt;"",$H27&lt;=EOMONTH(AB$3,0),$I27&gt;=AB$3),"B","U"),IF(AND($H27&lt;&gt;"",$H27&lt;=EOMONTH(AB$3,0),$I27&gt;=AB$3),"D","")))</f>
        <v/>
      </c>
      <c r="AC27" s="204" t="str">
        <f ca="1">IF($AI27="","",IF(INDEX('Roadmap Calc (Don’t Touch)'!$W$2:$AT$204,$AI27,20)&gt;0,IF(AND($H27&lt;&gt;"",$H27&lt;=EOMONTH(AC$3,0),$I27&gt;=AC$3),"B","U"),IF(AND($H27&lt;&gt;"",$H27&lt;=EOMONTH(AC$3,0),$I27&gt;=AC$3),"D","")))</f>
        <v/>
      </c>
      <c r="AD27" s="217" t="str">
        <f ca="1">IF($AI27="","",IF(INDEX('Roadmap Calc (Don’t Touch)'!$W$2:$AT$204,$AI27,21)&gt;0,IF(AND($H27&lt;&gt;"",$H27&lt;=EOMONTH(AD$3,0),$I27&gt;=AD$3),"B","U"),IF(AND($H27&lt;&gt;"",$H27&lt;=EOMONTH(AD$3,0),$I27&gt;=AD$3),"D","")))</f>
        <v/>
      </c>
      <c r="AE27" s="210" t="str">
        <f ca="1">IF($AI27="","",IF(INDEX('Roadmap Calc (Don’t Touch)'!$W$2:$AT$204,$AI27,22)&gt;0,IF(AND($H27&lt;&gt;"",$H27&lt;=EOMONTH(AE$3,0),$I27&gt;=AE$3),"B","U"),IF(AND($H27&lt;&gt;"",$H27&lt;=EOMONTH(AE$3,0),$I27&gt;=AE$3),"D","")))</f>
        <v/>
      </c>
      <c r="AF27" s="204" t="str">
        <f ca="1">IF($AI27="","",IF(INDEX('Roadmap Calc (Don’t Touch)'!$W$2:$AT$204,$AI27,23)&gt;0,IF(AND($H27&lt;&gt;"",$H27&lt;=EOMONTH(AF$3,0),$I27&gt;=AF$3),"B","U"),IF(AND($H27&lt;&gt;"",$H27&lt;=EOMONTH(AF$3,0),$I27&gt;=AF$3),"D","")))</f>
        <v/>
      </c>
      <c r="AG27" s="204" t="str">
        <f ca="1">IF($AI27="","",IF(INDEX('Roadmap Calc (Don’t Touch)'!$W$2:$AT$204,$AI27,24)&gt;0,IF(AND($H27&lt;&gt;"",$H27&lt;=EOMONTH(AG$3,0),$I27&gt;=AG$3),"B","U"),IF(AND($H27&lt;&gt;"",$H27&lt;=EOMONTH(AG$3,0),$I27&gt;=AG$3),"D","")))</f>
        <v/>
      </c>
      <c r="AH27" s="180" t="str">
        <f>IF($AI27="","",INDEX('Roadmap Calc (Don’t Touch)'!$D$2:$D$204,$AI27))</f>
        <v>Improve Trade In User Flow</v>
      </c>
      <c r="AI27" s="180">
        <f>IFERROR(MATCH(21,'Roadmap Calc (Don’t Touch)'!$O$2:$O$204,0),"")</f>
        <v>35</v>
      </c>
    </row>
    <row r="28" spans="1:35" ht="17" customHeight="1" x14ac:dyDescent="0.25">
      <c r="A28" s="197" t="str">
        <f t="shared" si="0"/>
        <v>Increase Buy Used Awareness</v>
      </c>
      <c r="B28" s="198" t="str">
        <f>IF($AI28="","",INDEX('Roadmap Calc (Don’t Touch)'!$B$2:$B$204,$AI28))</f>
        <v>Used Hub - Just Added Component</v>
      </c>
      <c r="C28" s="199" t="str">
        <f>IF($AI28="","",INDEX('Roadmap Calc (Don’t Touch)'!$E$2:$E$204,$AI28))</f>
        <v>BHP-7229</v>
      </c>
      <c r="D28" s="227" t="str">
        <f>IF($AI28="","",INDEX('Roadmap Calc (Don’t Touch)'!$F$2:$F$204,$AI28))</f>
        <v>02. UX Req</v>
      </c>
      <c r="E28" s="201">
        <f>IF($AI28="","",IF(ISNUMBER(INDEX('Roadmap Calc (Don’t Touch)'!$G$2:$G$204,$AI28)),INDEX('Roadmap Calc (Don’t Touch)'!$G$2:$G$204,$AI28),""))</f>
        <v>46244</v>
      </c>
      <c r="F28" s="201">
        <f>IF($AI28="","",IF(ISNUMBER(INDEX('Roadmap Calc (Don’t Touch)'!$H$2:$H$204,$AI28)),INDEX('Roadmap Calc (Don’t Touch)'!$H$2:$H$204,$AI28),""))</f>
        <v>46279</v>
      </c>
      <c r="G28" s="202">
        <f>IF($AI28="","",INDEX('Roadmap Calc (Don’t Touch)'!$S$2:$S$204,$AI28))</f>
        <v>3</v>
      </c>
      <c r="H28" s="203">
        <f ca="1">IF($AI28="","",IF(ISNUMBER(INDEX('Roadmap Calc (Don’t Touch)'!$I$2:$I$204,$AI28)),INDEX('Roadmap Calc (Don’t Touch)'!$I$2:$I$204,$AI28),""))</f>
        <v>46419</v>
      </c>
      <c r="I28" s="203">
        <f ca="1">IF($AI28="","",IF(ISNUMBER(INDEX('Roadmap Calc (Don’t Touch)'!$J$2:$J$204,$AI28)),INDEX('Roadmap Calc (Don’t Touch)'!$J$2:$J$204,$AI28),""))</f>
        <v>46446</v>
      </c>
      <c r="J28" s="204" t="str">
        <f ca="1">IF($AI28="","",IF(INDEX('Roadmap Calc (Don’t Touch)'!$W$2:$AT$204,$AI28,1)&gt;0,IF(AND($H28&lt;&gt;"",$H28&lt;=EOMONTH(J$3,0),$I28&gt;=J$3),"B","U"),IF(AND($H28&lt;&gt;"",$H28&lt;=EOMONTH(J$3,0),$I28&gt;=J$3),"D","")))</f>
        <v/>
      </c>
      <c r="K28" s="204" t="str">
        <f ca="1">IF($AI28="","",IF(INDEX('Roadmap Calc (Don’t Touch)'!$W$2:$AT$204,$AI28,2)&gt;0,IF(AND($H28&lt;&gt;"",$H28&lt;=EOMONTH(K$3,0),$I28&gt;=K$3),"B","U"),IF(AND($H28&lt;&gt;"",$H28&lt;=EOMONTH(K$3,0),$I28&gt;=K$3),"D","")))</f>
        <v/>
      </c>
      <c r="L28" s="204" t="str">
        <f ca="1">IF($AI28="","",IF(INDEX('Roadmap Calc (Don’t Touch)'!$W$2:$AT$204,$AI28,3)&gt;0,IF(AND($H28&lt;&gt;"",$H28&lt;=EOMONTH(L$3,0),$I28&gt;=L$3),"B","U"),IF(AND($H28&lt;&gt;"",$H28&lt;=EOMONTH(L$3,0),$I28&gt;=L$3),"D","")))</f>
        <v/>
      </c>
      <c r="M28" s="216" t="str">
        <f ca="1">IF($AI28="","",IF(INDEX('Roadmap Calc (Don’t Touch)'!$W$2:$AT$204,$AI28,4)&gt;0,IF(AND($H28&lt;&gt;"",$H28&lt;=EOMONTH(M$3,0),$I28&gt;=M$3),"B","U"),IF(AND($H28&lt;&gt;"",$H28&lt;=EOMONTH(M$3,0),$I28&gt;=M$3),"D","")))</f>
        <v/>
      </c>
      <c r="N28" s="204" t="str">
        <f ca="1">IF($AI28="","",IF(INDEX('Roadmap Calc (Don’t Touch)'!$W$2:$AT$204,$AI28,5)&gt;0,IF(AND($H28&lt;&gt;"",$H28&lt;=EOMONTH(N$3,0),$I28&gt;=N$3),"B","U"),IF(AND($H28&lt;&gt;"",$H28&lt;=EOMONTH(N$3,0),$I28&gt;=N$3),"D","")))</f>
        <v/>
      </c>
      <c r="O28" s="217" t="str">
        <f ca="1">IF($AI28="","",IF(INDEX('Roadmap Calc (Don’t Touch)'!$W$2:$AT$204,$AI28,6)&gt;0,IF(AND($H28&lt;&gt;"",$H28&lt;=EOMONTH(O$3,0),$I28&gt;=O$3),"B","U"),IF(AND($H28&lt;&gt;"",$H28&lt;=EOMONTH(O$3,0),$I28&gt;=O$3),"D","")))</f>
        <v/>
      </c>
      <c r="P28" s="216" t="str">
        <f ca="1">IF($AI28="","",IF(INDEX('Roadmap Calc (Don’t Touch)'!$W$2:$AT$204,$AI28,7)&gt;0,IF(AND($H28&lt;&gt;"",$H28&lt;=EOMONTH(P$3,0),$I28&gt;=P$3),"B","U"),IF(AND($H28&lt;&gt;"",$H28&lt;=EOMONTH(P$3,0),$I28&gt;=P$3),"D","")))</f>
        <v/>
      </c>
      <c r="Q28" s="204" t="str">
        <f ca="1">IF($AI28="","",IF(INDEX('Roadmap Calc (Don’t Touch)'!$W$2:$AT$204,$AI28,8)&gt;0,IF(AND($H28&lt;&gt;"",$H28&lt;=EOMONTH(Q$3,0),$I28&gt;=Q$3),"B","U"),IF(AND($H28&lt;&gt;"",$H28&lt;=EOMONTH(Q$3,0),$I28&gt;=Q$3),"D","")))</f>
        <v>U</v>
      </c>
      <c r="R28" s="217" t="str">
        <f ca="1">IF($AI28="","",IF(INDEX('Roadmap Calc (Don’t Touch)'!$W$2:$AT$204,$AI28,9)&gt;0,IF(AND($H28&lt;&gt;"",$H28&lt;=EOMONTH(R$3,0),$I28&gt;=R$3),"B","U"),IF(AND($H28&lt;&gt;"",$H28&lt;=EOMONTH(R$3,0),$I28&gt;=R$3),"D","")))</f>
        <v>U</v>
      </c>
      <c r="S28" s="216" t="str">
        <f ca="1">IF($AI28="","",IF(INDEX('Roadmap Calc (Don’t Touch)'!$W$2:$AT$204,$AI28,10)&gt;0,IF(AND($H28&lt;&gt;"",$H28&lt;=EOMONTH(S$3,0),$I28&gt;=S$3),"B","U"),IF(AND($H28&lt;&gt;"",$H28&lt;=EOMONTH(S$3,0),$I28&gt;=S$3),"D","")))</f>
        <v/>
      </c>
      <c r="T28" s="204" t="str">
        <f ca="1">IF($AI28="","",IF(INDEX('Roadmap Calc (Don’t Touch)'!$W$2:$AT$204,$AI28,11)&gt;0,IF(AND($H28&lt;&gt;"",$H28&lt;=EOMONTH(T$3,0),$I28&gt;=T$3),"B","U"),IF(AND($H28&lt;&gt;"",$H28&lt;=EOMONTH(T$3,0),$I28&gt;=T$3),"D","")))</f>
        <v/>
      </c>
      <c r="U28" s="217" t="str">
        <f ca="1">IF($AI28="","",IF(INDEX('Roadmap Calc (Don’t Touch)'!$W$2:$AT$204,$AI28,12)&gt;0,IF(AND($H28&lt;&gt;"",$H28&lt;=EOMONTH(U$3,0),$I28&gt;=U$3),"B","U"),IF(AND($H28&lt;&gt;"",$H28&lt;=EOMONTH(U$3,0),$I28&gt;=U$3),"D","")))</f>
        <v/>
      </c>
      <c r="V28" s="216" t="str">
        <f ca="1">IF($AI28="","",IF(INDEX('Roadmap Calc (Don’t Touch)'!$W$2:$AT$204,$AI28,13)&gt;0,IF(AND($H28&lt;&gt;"",$H28&lt;=EOMONTH(V$3,0),$I28&gt;=V$3),"B","U"),IF(AND($H28&lt;&gt;"",$H28&lt;=EOMONTH(V$3,0),$I28&gt;=V$3),"D","")))</f>
        <v/>
      </c>
      <c r="W28" s="204" t="str">
        <f ca="1">IF($AI28="","",IF(INDEX('Roadmap Calc (Don’t Touch)'!$W$2:$AT$204,$AI28,14)&gt;0,IF(AND($H28&lt;&gt;"",$H28&lt;=EOMONTH(W$3,0),$I28&gt;=W$3),"B","U"),IF(AND($H28&lt;&gt;"",$H28&lt;=EOMONTH(W$3,0),$I28&gt;=W$3),"D","")))</f>
        <v>D</v>
      </c>
      <c r="X28" s="217" t="str">
        <f ca="1">IF($AI28="","",IF(INDEX('Roadmap Calc (Don’t Touch)'!$W$2:$AT$204,$AI28,15)&gt;0,IF(AND($H28&lt;&gt;"",$H28&lt;=EOMONTH(X$3,0),$I28&gt;=X$3),"B","U"),IF(AND($H28&lt;&gt;"",$H28&lt;=EOMONTH(X$3,0),$I28&gt;=X$3),"D","")))</f>
        <v/>
      </c>
      <c r="Y28" s="216" t="str">
        <f ca="1">IF($AI28="","",IF(INDEX('Roadmap Calc (Don’t Touch)'!$W$2:$AT$204,$AI28,16)&gt;0,IF(AND($H28&lt;&gt;"",$H28&lt;=EOMONTH(Y$3,0),$I28&gt;=Y$3),"B","U"),IF(AND($H28&lt;&gt;"",$H28&lt;=EOMONTH(Y$3,0),$I28&gt;=Y$3),"D","")))</f>
        <v/>
      </c>
      <c r="Z28" s="204" t="str">
        <f ca="1">IF($AI28="","",IF(INDEX('Roadmap Calc (Don’t Touch)'!$W$2:$AT$204,$AI28,17)&gt;0,IF(AND($H28&lt;&gt;"",$H28&lt;=EOMONTH(Z$3,0),$I28&gt;=Z$3),"B","U"),IF(AND($H28&lt;&gt;"",$H28&lt;=EOMONTH(Z$3,0),$I28&gt;=Z$3),"D","")))</f>
        <v/>
      </c>
      <c r="AA28" s="217" t="str">
        <f ca="1">IF($AI28="","",IF(INDEX('Roadmap Calc (Don’t Touch)'!$W$2:$AT$204,$AI28,18)&gt;0,IF(AND($H28&lt;&gt;"",$H28&lt;=EOMONTH(AA$3,0),$I28&gt;=AA$3),"B","U"),IF(AND($H28&lt;&gt;"",$H28&lt;=EOMONTH(AA$3,0),$I28&gt;=AA$3),"D","")))</f>
        <v/>
      </c>
      <c r="AB28" s="216" t="str">
        <f ca="1">IF($AI28="","",IF(INDEX('Roadmap Calc (Don’t Touch)'!$W$2:$AT$204,$AI28,19)&gt;0,IF(AND($H28&lt;&gt;"",$H28&lt;=EOMONTH(AB$3,0),$I28&gt;=AB$3),"B","U"),IF(AND($H28&lt;&gt;"",$H28&lt;=EOMONTH(AB$3,0),$I28&gt;=AB$3),"D","")))</f>
        <v/>
      </c>
      <c r="AC28" s="204" t="str">
        <f ca="1">IF($AI28="","",IF(INDEX('Roadmap Calc (Don’t Touch)'!$W$2:$AT$204,$AI28,20)&gt;0,IF(AND($H28&lt;&gt;"",$H28&lt;=EOMONTH(AC$3,0),$I28&gt;=AC$3),"B","U"),IF(AND($H28&lt;&gt;"",$H28&lt;=EOMONTH(AC$3,0),$I28&gt;=AC$3),"D","")))</f>
        <v/>
      </c>
      <c r="AD28" s="217" t="str">
        <f ca="1">IF($AI28="","",IF(INDEX('Roadmap Calc (Don’t Touch)'!$W$2:$AT$204,$AI28,21)&gt;0,IF(AND($H28&lt;&gt;"",$H28&lt;=EOMONTH(AD$3,0),$I28&gt;=AD$3),"B","U"),IF(AND($H28&lt;&gt;"",$H28&lt;=EOMONTH(AD$3,0),$I28&gt;=AD$3),"D","")))</f>
        <v/>
      </c>
      <c r="AE28" s="210" t="str">
        <f ca="1">IF($AI28="","",IF(INDEX('Roadmap Calc (Don’t Touch)'!$W$2:$AT$204,$AI28,22)&gt;0,IF(AND($H28&lt;&gt;"",$H28&lt;=EOMONTH(AE$3,0),$I28&gt;=AE$3),"B","U"),IF(AND($H28&lt;&gt;"",$H28&lt;=EOMONTH(AE$3,0),$I28&gt;=AE$3),"D","")))</f>
        <v/>
      </c>
      <c r="AF28" s="204" t="str">
        <f ca="1">IF($AI28="","",IF(INDEX('Roadmap Calc (Don’t Touch)'!$W$2:$AT$204,$AI28,23)&gt;0,IF(AND($H28&lt;&gt;"",$H28&lt;=EOMONTH(AF$3,0),$I28&gt;=AF$3),"B","U"),IF(AND($H28&lt;&gt;"",$H28&lt;=EOMONTH(AF$3,0),$I28&gt;=AF$3),"D","")))</f>
        <v/>
      </c>
      <c r="AG28" s="204" t="str">
        <f ca="1">IF($AI28="","",IF(INDEX('Roadmap Calc (Don’t Touch)'!$W$2:$AT$204,$AI28,24)&gt;0,IF(AND($H28&lt;&gt;"",$H28&lt;=EOMONTH(AG$3,0),$I28&gt;=AG$3),"B","U"),IF(AND($H28&lt;&gt;"",$H28&lt;=EOMONTH(AG$3,0),$I28&gt;=AG$3),"D","")))</f>
        <v/>
      </c>
      <c r="AH28" s="180" t="str">
        <f>IF($AI28="","",INDEX('Roadmap Calc (Don’t Touch)'!$D$2:$D$204,$AI28))</f>
        <v>Increase Buy Used Awareness</v>
      </c>
      <c r="AI28" s="180">
        <f>IFERROR(MATCH(22,'Roadmap Calc (Don’t Touch)'!$O$2:$O$204,0),"")</f>
        <v>10</v>
      </c>
    </row>
    <row r="29" spans="1:35" ht="17" customHeight="1" x14ac:dyDescent="0.25">
      <c r="A29" s="197" t="str">
        <f t="shared" si="0"/>
        <v/>
      </c>
      <c r="B29" s="198" t="str">
        <f>IF($AI29="","",INDEX('Roadmap Calc (Don’t Touch)'!$B$2:$B$204,$AI29))</f>
        <v>Used Just Added Page</v>
      </c>
      <c r="C29" s="199" t="str">
        <f>IF($AI29="","",INDEX('Roadmap Calc (Don’t Touch)'!$E$2:$E$204,$AI29))</f>
        <v>BHP-7230</v>
      </c>
      <c r="D29" s="227" t="str">
        <f>IF($AI29="","",INDEX('Roadmap Calc (Don’t Touch)'!$F$2:$F$204,$AI29))</f>
        <v>02. UX Req</v>
      </c>
      <c r="E29" s="201">
        <f>IF($AI29="","",IF(ISNUMBER(INDEX('Roadmap Calc (Don’t Touch)'!$G$2:$G$204,$AI29)),INDEX('Roadmap Calc (Don’t Touch)'!$G$2:$G$204,$AI29),""))</f>
        <v>46160</v>
      </c>
      <c r="F29" s="201">
        <f>IF($AI29="","",IF(ISNUMBER(INDEX('Roadmap Calc (Don’t Touch)'!$H$2:$H$204,$AI29)),INDEX('Roadmap Calc (Don’t Touch)'!$H$2:$H$204,$AI29),""))</f>
        <v>46307</v>
      </c>
      <c r="G29" s="202">
        <f>IF($AI29="","",INDEX('Roadmap Calc (Don’t Touch)'!$S$2:$S$204,$AI29))</f>
        <v>4</v>
      </c>
      <c r="H29" s="203">
        <f ca="1">IF($AI29="","",IF(ISNUMBER(INDEX('Roadmap Calc (Don’t Touch)'!$I$2:$I$204,$AI29)),INDEX('Roadmap Calc (Don’t Touch)'!$I$2:$I$204,$AI29),""))</f>
        <v>46419</v>
      </c>
      <c r="I29" s="203">
        <f ca="1">IF($AI29="","",IF(ISNUMBER(INDEX('Roadmap Calc (Don’t Touch)'!$J$2:$J$204,$AI29)),INDEX('Roadmap Calc (Don’t Touch)'!$J$2:$J$204,$AI29),""))</f>
        <v>46446</v>
      </c>
      <c r="J29" s="204" t="str">
        <f ca="1">IF($AI29="","",IF(INDEX('Roadmap Calc (Don’t Touch)'!$W$2:$AT$204,$AI29,1)&gt;0,IF(AND($H29&lt;&gt;"",$H29&lt;=EOMONTH(J$3,0),$I29&gt;=J$3),"B","U"),IF(AND($H29&lt;&gt;"",$H29&lt;=EOMONTH(J$3,0),$I29&gt;=J$3),"D","")))</f>
        <v/>
      </c>
      <c r="K29" s="204" t="str">
        <f ca="1">IF($AI29="","",IF(INDEX('Roadmap Calc (Don’t Touch)'!$W$2:$AT$204,$AI29,2)&gt;0,IF(AND($H29&lt;&gt;"",$H29&lt;=EOMONTH(K$3,0),$I29&gt;=K$3),"B","U"),IF(AND($H29&lt;&gt;"",$H29&lt;=EOMONTH(K$3,0),$I29&gt;=K$3),"D","")))</f>
        <v/>
      </c>
      <c r="L29" s="204" t="str">
        <f ca="1">IF($AI29="","",IF(INDEX('Roadmap Calc (Don’t Touch)'!$W$2:$AT$204,$AI29,3)&gt;0,IF(AND($H29&lt;&gt;"",$H29&lt;=EOMONTH(L$3,0),$I29&gt;=L$3),"B","U"),IF(AND($H29&lt;&gt;"",$H29&lt;=EOMONTH(L$3,0),$I29&gt;=L$3),"D","")))</f>
        <v/>
      </c>
      <c r="M29" s="216" t="str">
        <f ca="1">IF($AI29="","",IF(INDEX('Roadmap Calc (Don’t Touch)'!$W$2:$AT$204,$AI29,4)&gt;0,IF(AND($H29&lt;&gt;"",$H29&lt;=EOMONTH(M$3,0),$I29&gt;=M$3),"B","U"),IF(AND($H29&lt;&gt;"",$H29&lt;=EOMONTH(M$3,0),$I29&gt;=M$3),"D","")))</f>
        <v/>
      </c>
      <c r="N29" s="204" t="str">
        <f ca="1">IF($AI29="","",IF(INDEX('Roadmap Calc (Don’t Touch)'!$W$2:$AT$204,$AI29,5)&gt;0,IF(AND($H29&lt;&gt;"",$H29&lt;=EOMONTH(N$3,0),$I29&gt;=N$3),"B","U"),IF(AND($H29&lt;&gt;"",$H29&lt;=EOMONTH(N$3,0),$I29&gt;=N$3),"D","")))</f>
        <v>U</v>
      </c>
      <c r="O29" s="217" t="str">
        <f ca="1">IF($AI29="","",IF(INDEX('Roadmap Calc (Don’t Touch)'!$W$2:$AT$204,$AI29,6)&gt;0,IF(AND($H29&lt;&gt;"",$H29&lt;=EOMONTH(O$3,0),$I29&gt;=O$3),"B","U"),IF(AND($H29&lt;&gt;"",$H29&lt;=EOMONTH(O$3,0),$I29&gt;=O$3),"D","")))</f>
        <v/>
      </c>
      <c r="P29" s="216" t="str">
        <f ca="1">IF($AI29="","",IF(INDEX('Roadmap Calc (Don’t Touch)'!$W$2:$AT$204,$AI29,7)&gt;0,IF(AND($H29&lt;&gt;"",$H29&lt;=EOMONTH(P$3,0),$I29&gt;=P$3),"B","U"),IF(AND($H29&lt;&gt;"",$H29&lt;=EOMONTH(P$3,0),$I29&gt;=P$3),"D","")))</f>
        <v/>
      </c>
      <c r="Q29" s="204" t="str">
        <f ca="1">IF($AI29="","",IF(INDEX('Roadmap Calc (Don’t Touch)'!$W$2:$AT$204,$AI29,8)&gt;0,IF(AND($H29&lt;&gt;"",$H29&lt;=EOMONTH(Q$3,0),$I29&gt;=Q$3),"B","U"),IF(AND($H29&lt;&gt;"",$H29&lt;=EOMONTH(Q$3,0),$I29&gt;=Q$3),"D","")))</f>
        <v/>
      </c>
      <c r="R29" s="217" t="str">
        <f ca="1">IF($AI29="","",IF(INDEX('Roadmap Calc (Don’t Touch)'!$W$2:$AT$204,$AI29,9)&gt;0,IF(AND($H29&lt;&gt;"",$H29&lt;=EOMONTH(R$3,0),$I29&gt;=R$3),"B","U"),IF(AND($H29&lt;&gt;"",$H29&lt;=EOMONTH(R$3,0),$I29&gt;=R$3),"D","")))</f>
        <v/>
      </c>
      <c r="S29" s="216" t="str">
        <f ca="1">IF($AI29="","",IF(INDEX('Roadmap Calc (Don’t Touch)'!$W$2:$AT$204,$AI29,10)&gt;0,IF(AND($H29&lt;&gt;"",$H29&lt;=EOMONTH(S$3,0),$I29&gt;=S$3),"B","U"),IF(AND($H29&lt;&gt;"",$H29&lt;=EOMONTH(S$3,0),$I29&gt;=S$3),"D","")))</f>
        <v>U</v>
      </c>
      <c r="T29" s="204" t="str">
        <f ca="1">IF($AI29="","",IF(INDEX('Roadmap Calc (Don’t Touch)'!$W$2:$AT$204,$AI29,11)&gt;0,IF(AND($H29&lt;&gt;"",$H29&lt;=EOMONTH(T$3,0),$I29&gt;=T$3),"B","U"),IF(AND($H29&lt;&gt;"",$H29&lt;=EOMONTH(T$3,0),$I29&gt;=T$3),"D","")))</f>
        <v/>
      </c>
      <c r="U29" s="217" t="str">
        <f ca="1">IF($AI29="","",IF(INDEX('Roadmap Calc (Don’t Touch)'!$W$2:$AT$204,$AI29,12)&gt;0,IF(AND($H29&lt;&gt;"",$H29&lt;=EOMONTH(U$3,0),$I29&gt;=U$3),"B","U"),IF(AND($H29&lt;&gt;"",$H29&lt;=EOMONTH(U$3,0),$I29&gt;=U$3),"D","")))</f>
        <v/>
      </c>
      <c r="V29" s="216" t="str">
        <f ca="1">IF($AI29="","",IF(INDEX('Roadmap Calc (Don’t Touch)'!$W$2:$AT$204,$AI29,13)&gt;0,IF(AND($H29&lt;&gt;"",$H29&lt;=EOMONTH(V$3,0),$I29&gt;=V$3),"B","U"),IF(AND($H29&lt;&gt;"",$H29&lt;=EOMONTH(V$3,0),$I29&gt;=V$3),"D","")))</f>
        <v/>
      </c>
      <c r="W29" s="204" t="str">
        <f ca="1">IF($AI29="","",IF(INDEX('Roadmap Calc (Don’t Touch)'!$W$2:$AT$204,$AI29,14)&gt;0,IF(AND($H29&lt;&gt;"",$H29&lt;=EOMONTH(W$3,0),$I29&gt;=W$3),"B","U"),IF(AND($H29&lt;&gt;"",$H29&lt;=EOMONTH(W$3,0),$I29&gt;=W$3),"D","")))</f>
        <v>D</v>
      </c>
      <c r="X29" s="217" t="str">
        <f ca="1">IF($AI29="","",IF(INDEX('Roadmap Calc (Don’t Touch)'!$W$2:$AT$204,$AI29,15)&gt;0,IF(AND($H29&lt;&gt;"",$H29&lt;=EOMONTH(X$3,0),$I29&gt;=X$3),"B","U"),IF(AND($H29&lt;&gt;"",$H29&lt;=EOMONTH(X$3,0),$I29&gt;=X$3),"D","")))</f>
        <v/>
      </c>
      <c r="Y29" s="216" t="str">
        <f ca="1">IF($AI29="","",IF(INDEX('Roadmap Calc (Don’t Touch)'!$W$2:$AT$204,$AI29,16)&gt;0,IF(AND($H29&lt;&gt;"",$H29&lt;=EOMONTH(Y$3,0),$I29&gt;=Y$3),"B","U"),IF(AND($H29&lt;&gt;"",$H29&lt;=EOMONTH(Y$3,0),$I29&gt;=Y$3),"D","")))</f>
        <v/>
      </c>
      <c r="Z29" s="204" t="str">
        <f ca="1">IF($AI29="","",IF(INDEX('Roadmap Calc (Don’t Touch)'!$W$2:$AT$204,$AI29,17)&gt;0,IF(AND($H29&lt;&gt;"",$H29&lt;=EOMONTH(Z$3,0),$I29&gt;=Z$3),"B","U"),IF(AND($H29&lt;&gt;"",$H29&lt;=EOMONTH(Z$3,0),$I29&gt;=Z$3),"D","")))</f>
        <v/>
      </c>
      <c r="AA29" s="217" t="str">
        <f ca="1">IF($AI29="","",IF(INDEX('Roadmap Calc (Don’t Touch)'!$W$2:$AT$204,$AI29,18)&gt;0,IF(AND($H29&lt;&gt;"",$H29&lt;=EOMONTH(AA$3,0),$I29&gt;=AA$3),"B","U"),IF(AND($H29&lt;&gt;"",$H29&lt;=EOMONTH(AA$3,0),$I29&gt;=AA$3),"D","")))</f>
        <v/>
      </c>
      <c r="AB29" s="216" t="str">
        <f ca="1">IF($AI29="","",IF(INDEX('Roadmap Calc (Don’t Touch)'!$W$2:$AT$204,$AI29,19)&gt;0,IF(AND($H29&lt;&gt;"",$H29&lt;=EOMONTH(AB$3,0),$I29&gt;=AB$3),"B","U"),IF(AND($H29&lt;&gt;"",$H29&lt;=EOMONTH(AB$3,0),$I29&gt;=AB$3),"D","")))</f>
        <v/>
      </c>
      <c r="AC29" s="204" t="str">
        <f ca="1">IF($AI29="","",IF(INDEX('Roadmap Calc (Don’t Touch)'!$W$2:$AT$204,$AI29,20)&gt;0,IF(AND($H29&lt;&gt;"",$H29&lt;=EOMONTH(AC$3,0),$I29&gt;=AC$3),"B","U"),IF(AND($H29&lt;&gt;"",$H29&lt;=EOMONTH(AC$3,0),$I29&gt;=AC$3),"D","")))</f>
        <v/>
      </c>
      <c r="AD29" s="217" t="str">
        <f ca="1">IF($AI29="","",IF(INDEX('Roadmap Calc (Don’t Touch)'!$W$2:$AT$204,$AI29,21)&gt;0,IF(AND($H29&lt;&gt;"",$H29&lt;=EOMONTH(AD$3,0),$I29&gt;=AD$3),"B","U"),IF(AND($H29&lt;&gt;"",$H29&lt;=EOMONTH(AD$3,0),$I29&gt;=AD$3),"D","")))</f>
        <v/>
      </c>
      <c r="AE29" s="210" t="str">
        <f ca="1">IF($AI29="","",IF(INDEX('Roadmap Calc (Don’t Touch)'!$W$2:$AT$204,$AI29,22)&gt;0,IF(AND($H29&lt;&gt;"",$H29&lt;=EOMONTH(AE$3,0),$I29&gt;=AE$3),"B","U"),IF(AND($H29&lt;&gt;"",$H29&lt;=EOMONTH(AE$3,0),$I29&gt;=AE$3),"D","")))</f>
        <v/>
      </c>
      <c r="AF29" s="204" t="str">
        <f ca="1">IF($AI29="","",IF(INDEX('Roadmap Calc (Don’t Touch)'!$W$2:$AT$204,$AI29,23)&gt;0,IF(AND($H29&lt;&gt;"",$H29&lt;=EOMONTH(AF$3,0),$I29&gt;=AF$3),"B","U"),IF(AND($H29&lt;&gt;"",$H29&lt;=EOMONTH(AF$3,0),$I29&gt;=AF$3),"D","")))</f>
        <v/>
      </c>
      <c r="AG29" s="204" t="str">
        <f ca="1">IF($AI29="","",IF(INDEX('Roadmap Calc (Don’t Touch)'!$W$2:$AT$204,$AI29,24)&gt;0,IF(AND($H29&lt;&gt;"",$H29&lt;=EOMONTH(AG$3,0),$I29&gt;=AG$3),"B","U"),IF(AND($H29&lt;&gt;"",$H29&lt;=EOMONTH(AG$3,0),$I29&gt;=AG$3),"D","")))</f>
        <v/>
      </c>
      <c r="AH29" s="180" t="str">
        <f>IF($AI29="","",INDEX('Roadmap Calc (Don’t Touch)'!$D$2:$D$204,$AI29))</f>
        <v>Increase Buy Used Awareness</v>
      </c>
      <c r="AI29" s="180">
        <f>IFERROR(MATCH(23,'Roadmap Calc (Don’t Touch)'!$O$2:$O$204,0),"")</f>
        <v>12</v>
      </c>
    </row>
    <row r="30" spans="1:35" ht="17" customHeight="1" x14ac:dyDescent="0.25">
      <c r="A30" s="197" t="str">
        <f t="shared" si="0"/>
        <v/>
      </c>
      <c r="B30" s="198" t="str">
        <f>IF($AI30="","",INDEX('Roadmap Calc (Don’t Touch)'!$B$2:$B$204,$AI30))</f>
        <v>Out of stock Alerts for used products</v>
      </c>
      <c r="C30" s="199" t="str">
        <f>IF($AI30="","",INDEX('Roadmap Calc (Don’t Touch)'!$E$2:$E$204,$AI30))</f>
        <v>BHUX-35020</v>
      </c>
      <c r="D30" s="227" t="str">
        <f>IF($AI30="","",INDEX('Roadmap Calc (Don’t Touch)'!$F$2:$F$204,$AI30))</f>
        <v>03. UX Discovery</v>
      </c>
      <c r="E30" s="201">
        <f>IF($AI30="","",IF(ISNUMBER(INDEX('Roadmap Calc (Don’t Touch)'!$G$2:$G$204,$AI30)),INDEX('Roadmap Calc (Don’t Touch)'!$G$2:$G$204,$AI30),""))</f>
        <v>46237</v>
      </c>
      <c r="F30" s="201">
        <f>IF($AI30="","",IF(ISNUMBER(INDEX('Roadmap Calc (Don’t Touch)'!$H$2:$H$204,$AI30)),INDEX('Roadmap Calc (Don’t Touch)'!$H$2:$H$204,$AI30),""))</f>
        <v>46258</v>
      </c>
      <c r="G30" s="202">
        <f>IF($AI30="","",INDEX('Roadmap Calc (Don’t Touch)'!$S$2:$S$204,$AI30))</f>
        <v>4</v>
      </c>
      <c r="H30" s="203" t="str">
        <f ca="1">IF($AI30="","",IF(ISNUMBER(INDEX('Roadmap Calc (Don’t Touch)'!$I$2:$I$204,$AI30)),INDEX('Roadmap Calc (Don’t Touch)'!$I$2:$I$204,$AI30),""))</f>
        <v/>
      </c>
      <c r="I30" s="203" t="str">
        <f ca="1">IF($AI30="","",IF(ISNUMBER(INDEX('Roadmap Calc (Don’t Touch)'!$J$2:$J$204,$AI30)),INDEX('Roadmap Calc (Don’t Touch)'!$J$2:$J$204,$AI30),""))</f>
        <v/>
      </c>
      <c r="J30" s="204" t="str">
        <f ca="1">IF($AI30="","",IF(INDEX('Roadmap Calc (Don’t Touch)'!$W$2:$AT$204,$AI30,1)&gt;0,IF(AND($H30&lt;&gt;"",$H30&lt;=EOMONTH(J$3,0),$I30&gt;=J$3),"B","U"),IF(AND($H30&lt;&gt;"",$H30&lt;=EOMONTH(J$3,0),$I30&gt;=J$3),"D","")))</f>
        <v/>
      </c>
      <c r="K30" s="204" t="str">
        <f ca="1">IF($AI30="","",IF(INDEX('Roadmap Calc (Don’t Touch)'!$W$2:$AT$204,$AI30,2)&gt;0,IF(AND($H30&lt;&gt;"",$H30&lt;=EOMONTH(K$3,0),$I30&gt;=K$3),"B","U"),IF(AND($H30&lt;&gt;"",$H30&lt;=EOMONTH(K$3,0),$I30&gt;=K$3),"D","")))</f>
        <v/>
      </c>
      <c r="L30" s="204" t="str">
        <f ca="1">IF($AI30="","",IF(INDEX('Roadmap Calc (Don’t Touch)'!$W$2:$AT$204,$AI30,3)&gt;0,IF(AND($H30&lt;&gt;"",$H30&lt;=EOMONTH(L$3,0),$I30&gt;=L$3),"B","U"),IF(AND($H30&lt;&gt;"",$H30&lt;=EOMONTH(L$3,0),$I30&gt;=L$3),"D","")))</f>
        <v/>
      </c>
      <c r="M30" s="216" t="str">
        <f ca="1">IF($AI30="","",IF(INDEX('Roadmap Calc (Don’t Touch)'!$W$2:$AT$204,$AI30,4)&gt;0,IF(AND($H30&lt;&gt;"",$H30&lt;=EOMONTH(M$3,0),$I30&gt;=M$3),"B","U"),IF(AND($H30&lt;&gt;"",$H30&lt;=EOMONTH(M$3,0),$I30&gt;=M$3),"D","")))</f>
        <v/>
      </c>
      <c r="N30" s="204" t="str">
        <f ca="1">IF($AI30="","",IF(INDEX('Roadmap Calc (Don’t Touch)'!$W$2:$AT$204,$AI30,5)&gt;0,IF(AND($H30&lt;&gt;"",$H30&lt;=EOMONTH(N$3,0),$I30&gt;=N$3),"B","U"),IF(AND($H30&lt;&gt;"",$H30&lt;=EOMONTH(N$3,0),$I30&gt;=N$3),"D","")))</f>
        <v/>
      </c>
      <c r="O30" s="217" t="str">
        <f ca="1">IF($AI30="","",IF(INDEX('Roadmap Calc (Don’t Touch)'!$W$2:$AT$204,$AI30,6)&gt;0,IF(AND($H30&lt;&gt;"",$H30&lt;=EOMONTH(O$3,0),$I30&gt;=O$3),"B","U"),IF(AND($H30&lt;&gt;"",$H30&lt;=EOMONTH(O$3,0),$I30&gt;=O$3),"D","")))</f>
        <v/>
      </c>
      <c r="P30" s="216" t="str">
        <f ca="1">IF($AI30="","",IF(INDEX('Roadmap Calc (Don’t Touch)'!$W$2:$AT$204,$AI30,7)&gt;0,IF(AND($H30&lt;&gt;"",$H30&lt;=EOMONTH(P$3,0),$I30&gt;=P$3),"B","U"),IF(AND($H30&lt;&gt;"",$H30&lt;=EOMONTH(P$3,0),$I30&gt;=P$3),"D","")))</f>
        <v/>
      </c>
      <c r="Q30" s="204" t="str">
        <f ca="1">IF($AI30="","",IF(INDEX('Roadmap Calc (Don’t Touch)'!$W$2:$AT$204,$AI30,8)&gt;0,IF(AND($H30&lt;&gt;"",$H30&lt;=EOMONTH(Q$3,0),$I30&gt;=Q$3),"B","U"),IF(AND($H30&lt;&gt;"",$H30&lt;=EOMONTH(Q$3,0),$I30&gt;=Q$3),"D","")))</f>
        <v>U</v>
      </c>
      <c r="R30" s="217" t="str">
        <f ca="1">IF($AI30="","",IF(INDEX('Roadmap Calc (Don’t Touch)'!$W$2:$AT$204,$AI30,9)&gt;0,IF(AND($H30&lt;&gt;"",$H30&lt;=EOMONTH(R$3,0),$I30&gt;=R$3),"B","U"),IF(AND($H30&lt;&gt;"",$H30&lt;=EOMONTH(R$3,0),$I30&gt;=R$3),"D","")))</f>
        <v/>
      </c>
      <c r="S30" s="216" t="str">
        <f ca="1">IF($AI30="","",IF(INDEX('Roadmap Calc (Don’t Touch)'!$W$2:$AT$204,$AI30,10)&gt;0,IF(AND($H30&lt;&gt;"",$H30&lt;=EOMONTH(S$3,0),$I30&gt;=S$3),"B","U"),IF(AND($H30&lt;&gt;"",$H30&lt;=EOMONTH(S$3,0),$I30&gt;=S$3),"D","")))</f>
        <v/>
      </c>
      <c r="T30" s="204" t="str">
        <f ca="1">IF($AI30="","",IF(INDEX('Roadmap Calc (Don’t Touch)'!$W$2:$AT$204,$AI30,11)&gt;0,IF(AND($H30&lt;&gt;"",$H30&lt;=EOMONTH(T$3,0),$I30&gt;=T$3),"B","U"),IF(AND($H30&lt;&gt;"",$H30&lt;=EOMONTH(T$3,0),$I30&gt;=T$3),"D","")))</f>
        <v/>
      </c>
      <c r="U30" s="217" t="str">
        <f ca="1">IF($AI30="","",IF(INDEX('Roadmap Calc (Don’t Touch)'!$W$2:$AT$204,$AI30,12)&gt;0,IF(AND($H30&lt;&gt;"",$H30&lt;=EOMONTH(U$3,0),$I30&gt;=U$3),"B","U"),IF(AND($H30&lt;&gt;"",$H30&lt;=EOMONTH(U$3,0),$I30&gt;=U$3),"D","")))</f>
        <v/>
      </c>
      <c r="V30" s="216" t="str">
        <f ca="1">IF($AI30="","",IF(INDEX('Roadmap Calc (Don’t Touch)'!$W$2:$AT$204,$AI30,13)&gt;0,IF(AND($H30&lt;&gt;"",$H30&lt;=EOMONTH(V$3,0),$I30&gt;=V$3),"B","U"),IF(AND($H30&lt;&gt;"",$H30&lt;=EOMONTH(V$3,0),$I30&gt;=V$3),"D","")))</f>
        <v/>
      </c>
      <c r="W30" s="204" t="str">
        <f ca="1">IF($AI30="","",IF(INDEX('Roadmap Calc (Don’t Touch)'!$W$2:$AT$204,$AI30,14)&gt;0,IF(AND($H30&lt;&gt;"",$H30&lt;=EOMONTH(W$3,0),$I30&gt;=W$3),"B","U"),IF(AND($H30&lt;&gt;"",$H30&lt;=EOMONTH(W$3,0),$I30&gt;=W$3),"D","")))</f>
        <v/>
      </c>
      <c r="X30" s="217" t="str">
        <f ca="1">IF($AI30="","",IF(INDEX('Roadmap Calc (Don’t Touch)'!$W$2:$AT$204,$AI30,15)&gt;0,IF(AND($H30&lt;&gt;"",$H30&lt;=EOMONTH(X$3,0),$I30&gt;=X$3),"B","U"),IF(AND($H30&lt;&gt;"",$H30&lt;=EOMONTH(X$3,0),$I30&gt;=X$3),"D","")))</f>
        <v/>
      </c>
      <c r="Y30" s="216" t="str">
        <f ca="1">IF($AI30="","",IF(INDEX('Roadmap Calc (Don’t Touch)'!$W$2:$AT$204,$AI30,16)&gt;0,IF(AND($H30&lt;&gt;"",$H30&lt;=EOMONTH(Y$3,0),$I30&gt;=Y$3),"B","U"),IF(AND($H30&lt;&gt;"",$H30&lt;=EOMONTH(Y$3,0),$I30&gt;=Y$3),"D","")))</f>
        <v/>
      </c>
      <c r="Z30" s="204" t="str">
        <f ca="1">IF($AI30="","",IF(INDEX('Roadmap Calc (Don’t Touch)'!$W$2:$AT$204,$AI30,17)&gt;0,IF(AND($H30&lt;&gt;"",$H30&lt;=EOMONTH(Z$3,0),$I30&gt;=Z$3),"B","U"),IF(AND($H30&lt;&gt;"",$H30&lt;=EOMONTH(Z$3,0),$I30&gt;=Z$3),"D","")))</f>
        <v/>
      </c>
      <c r="AA30" s="217" t="str">
        <f ca="1">IF($AI30="","",IF(INDEX('Roadmap Calc (Don’t Touch)'!$W$2:$AT$204,$AI30,18)&gt;0,IF(AND($H30&lt;&gt;"",$H30&lt;=EOMONTH(AA$3,0),$I30&gt;=AA$3),"B","U"),IF(AND($H30&lt;&gt;"",$H30&lt;=EOMONTH(AA$3,0),$I30&gt;=AA$3),"D","")))</f>
        <v/>
      </c>
      <c r="AB30" s="216" t="str">
        <f ca="1">IF($AI30="","",IF(INDEX('Roadmap Calc (Don’t Touch)'!$W$2:$AT$204,$AI30,19)&gt;0,IF(AND($H30&lt;&gt;"",$H30&lt;=EOMONTH(AB$3,0),$I30&gt;=AB$3),"B","U"),IF(AND($H30&lt;&gt;"",$H30&lt;=EOMONTH(AB$3,0),$I30&gt;=AB$3),"D","")))</f>
        <v/>
      </c>
      <c r="AC30" s="204" t="str">
        <f ca="1">IF($AI30="","",IF(INDEX('Roadmap Calc (Don’t Touch)'!$W$2:$AT$204,$AI30,20)&gt;0,IF(AND($H30&lt;&gt;"",$H30&lt;=EOMONTH(AC$3,0),$I30&gt;=AC$3),"B","U"),IF(AND($H30&lt;&gt;"",$H30&lt;=EOMONTH(AC$3,0),$I30&gt;=AC$3),"D","")))</f>
        <v/>
      </c>
      <c r="AD30" s="217" t="str">
        <f ca="1">IF($AI30="","",IF(INDEX('Roadmap Calc (Don’t Touch)'!$W$2:$AT$204,$AI30,21)&gt;0,IF(AND($H30&lt;&gt;"",$H30&lt;=EOMONTH(AD$3,0),$I30&gt;=AD$3),"B","U"),IF(AND($H30&lt;&gt;"",$H30&lt;=EOMONTH(AD$3,0),$I30&gt;=AD$3),"D","")))</f>
        <v/>
      </c>
      <c r="AE30" s="210" t="str">
        <f ca="1">IF($AI30="","",IF(INDEX('Roadmap Calc (Don’t Touch)'!$W$2:$AT$204,$AI30,22)&gt;0,IF(AND($H30&lt;&gt;"",$H30&lt;=EOMONTH(AE$3,0),$I30&gt;=AE$3),"B","U"),IF(AND($H30&lt;&gt;"",$H30&lt;=EOMONTH(AE$3,0),$I30&gt;=AE$3),"D","")))</f>
        <v/>
      </c>
      <c r="AF30" s="204" t="str">
        <f ca="1">IF($AI30="","",IF(INDEX('Roadmap Calc (Don’t Touch)'!$W$2:$AT$204,$AI30,23)&gt;0,IF(AND($H30&lt;&gt;"",$H30&lt;=EOMONTH(AF$3,0),$I30&gt;=AF$3),"B","U"),IF(AND($H30&lt;&gt;"",$H30&lt;=EOMONTH(AF$3,0),$I30&gt;=AF$3),"D","")))</f>
        <v/>
      </c>
      <c r="AG30" s="204" t="str">
        <f ca="1">IF($AI30="","",IF(INDEX('Roadmap Calc (Don’t Touch)'!$W$2:$AT$204,$AI30,24)&gt;0,IF(AND($H30&lt;&gt;"",$H30&lt;=EOMONTH(AG$3,0),$I30&gt;=AG$3),"B","U"),IF(AND($H30&lt;&gt;"",$H30&lt;=EOMONTH(AG$3,0),$I30&gt;=AG$3),"D","")))</f>
        <v/>
      </c>
      <c r="AH30" s="180" t="str">
        <f>IF($AI30="","",INDEX('Roadmap Calc (Don’t Touch)'!$D$2:$D$204,$AI30))</f>
        <v>Increase Buy Used Awareness</v>
      </c>
      <c r="AI30" s="180">
        <f>IFERROR(MATCH(24,'Roadmap Calc (Don’t Touch)'!$O$2:$O$204,0),"")</f>
        <v>14</v>
      </c>
    </row>
    <row r="31" spans="1:35" ht="17" customHeight="1" x14ac:dyDescent="0.25">
      <c r="A31" s="197" t="str">
        <f t="shared" si="0"/>
        <v/>
      </c>
      <c r="B31" s="198" t="str">
        <f>IF($AI31="","",INDEX('Roadmap Calc (Don’t Touch)'!$B$2:$B$204,$AI31))</f>
        <v>Add New | Used tab to all listing pages and search results pages</v>
      </c>
      <c r="C31" s="199" t="str">
        <f>IF($AI31="","",INDEX('Roadmap Calc (Don’t Touch)'!$E$2:$E$204,$AI31))</f>
        <v>BHUX-35303</v>
      </c>
      <c r="D31" s="227" t="str">
        <f>IF($AI31="","",INDEX('Roadmap Calc (Don’t Touch)'!$F$2:$F$204,$AI31))</f>
        <v>03. UX Discovery</v>
      </c>
      <c r="E31" s="201">
        <f>IF($AI31="","",IF(ISNUMBER(INDEX('Roadmap Calc (Don’t Touch)'!$G$2:$G$204,$AI31)),INDEX('Roadmap Calc (Don’t Touch)'!$G$2:$G$204,$AI31),""))</f>
        <v>46258</v>
      </c>
      <c r="F31" s="201">
        <f>IF($AI31="","",IF(ISNUMBER(INDEX('Roadmap Calc (Don’t Touch)'!$H$2:$H$204,$AI31)),INDEX('Roadmap Calc (Don’t Touch)'!$H$2:$H$204,$AI31),""))</f>
        <v>46279</v>
      </c>
      <c r="G31" s="202">
        <f>IF($AI31="","",INDEX('Roadmap Calc (Don’t Touch)'!$S$2:$S$204,$AI31))</f>
        <v>4</v>
      </c>
      <c r="H31" s="203">
        <f ca="1">IF($AI31="","",IF(ISNUMBER(INDEX('Roadmap Calc (Don’t Touch)'!$I$2:$I$204,$AI31)),INDEX('Roadmap Calc (Don’t Touch)'!$I$2:$I$204,$AI31),""))</f>
        <v>46296</v>
      </c>
      <c r="I31" s="203">
        <f ca="1">IF($AI31="","",IF(ISNUMBER(INDEX('Roadmap Calc (Don’t Touch)'!$J$2:$J$204,$AI31)),INDEX('Roadmap Calc (Don’t Touch)'!$J$2:$J$204,$AI31),""))</f>
        <v>46326</v>
      </c>
      <c r="J31" s="204" t="str">
        <f ca="1">IF($AI31="","",IF(INDEX('Roadmap Calc (Don’t Touch)'!$W$2:$AT$204,$AI31,1)&gt;0,IF(AND($H31&lt;&gt;"",$H31&lt;=EOMONTH(J$3,0),$I31&gt;=J$3),"B","U"),IF(AND($H31&lt;&gt;"",$H31&lt;=EOMONTH(J$3,0),$I31&gt;=J$3),"D","")))</f>
        <v/>
      </c>
      <c r="K31" s="204" t="str">
        <f ca="1">IF($AI31="","",IF(INDEX('Roadmap Calc (Don’t Touch)'!$W$2:$AT$204,$AI31,2)&gt;0,IF(AND($H31&lt;&gt;"",$H31&lt;=EOMONTH(K$3,0),$I31&gt;=K$3),"B","U"),IF(AND($H31&lt;&gt;"",$H31&lt;=EOMONTH(K$3,0),$I31&gt;=K$3),"D","")))</f>
        <v/>
      </c>
      <c r="L31" s="204" t="str">
        <f ca="1">IF($AI31="","",IF(INDEX('Roadmap Calc (Don’t Touch)'!$W$2:$AT$204,$AI31,3)&gt;0,IF(AND($H31&lt;&gt;"",$H31&lt;=EOMONTH(L$3,0),$I31&gt;=L$3),"B","U"),IF(AND($H31&lt;&gt;"",$H31&lt;=EOMONTH(L$3,0),$I31&gt;=L$3),"D","")))</f>
        <v/>
      </c>
      <c r="M31" s="216" t="str">
        <f ca="1">IF($AI31="","",IF(INDEX('Roadmap Calc (Don’t Touch)'!$W$2:$AT$204,$AI31,4)&gt;0,IF(AND($H31&lt;&gt;"",$H31&lt;=EOMONTH(M$3,0),$I31&gt;=M$3),"B","U"),IF(AND($H31&lt;&gt;"",$H31&lt;=EOMONTH(M$3,0),$I31&gt;=M$3),"D","")))</f>
        <v/>
      </c>
      <c r="N31" s="204" t="str">
        <f ca="1">IF($AI31="","",IF(INDEX('Roadmap Calc (Don’t Touch)'!$W$2:$AT$204,$AI31,5)&gt;0,IF(AND($H31&lt;&gt;"",$H31&lt;=EOMONTH(N$3,0),$I31&gt;=N$3),"B","U"),IF(AND($H31&lt;&gt;"",$H31&lt;=EOMONTH(N$3,0),$I31&gt;=N$3),"D","")))</f>
        <v/>
      </c>
      <c r="O31" s="217" t="str">
        <f ca="1">IF($AI31="","",IF(INDEX('Roadmap Calc (Don’t Touch)'!$W$2:$AT$204,$AI31,6)&gt;0,IF(AND($H31&lt;&gt;"",$H31&lt;=EOMONTH(O$3,0),$I31&gt;=O$3),"B","U"),IF(AND($H31&lt;&gt;"",$H31&lt;=EOMONTH(O$3,0),$I31&gt;=O$3),"D","")))</f>
        <v/>
      </c>
      <c r="P31" s="216" t="str">
        <f ca="1">IF($AI31="","",IF(INDEX('Roadmap Calc (Don’t Touch)'!$W$2:$AT$204,$AI31,7)&gt;0,IF(AND($H31&lt;&gt;"",$H31&lt;=EOMONTH(P$3,0),$I31&gt;=P$3),"B","U"),IF(AND($H31&lt;&gt;"",$H31&lt;=EOMONTH(P$3,0),$I31&gt;=P$3),"D","")))</f>
        <v/>
      </c>
      <c r="Q31" s="204" t="str">
        <f ca="1">IF($AI31="","",IF(INDEX('Roadmap Calc (Don’t Touch)'!$W$2:$AT$204,$AI31,8)&gt;0,IF(AND($H31&lt;&gt;"",$H31&lt;=EOMONTH(Q$3,0),$I31&gt;=Q$3),"B","U"),IF(AND($H31&lt;&gt;"",$H31&lt;=EOMONTH(Q$3,0),$I31&gt;=Q$3),"D","")))</f>
        <v>U</v>
      </c>
      <c r="R31" s="217" t="str">
        <f ca="1">IF($AI31="","",IF(INDEX('Roadmap Calc (Don’t Touch)'!$W$2:$AT$204,$AI31,9)&gt;0,IF(AND($H31&lt;&gt;"",$H31&lt;=EOMONTH(R$3,0),$I31&gt;=R$3),"B","U"),IF(AND($H31&lt;&gt;"",$H31&lt;=EOMONTH(R$3,0),$I31&gt;=R$3),"D","")))</f>
        <v>U</v>
      </c>
      <c r="S31" s="216" t="str">
        <f ca="1">IF($AI31="","",IF(INDEX('Roadmap Calc (Don’t Touch)'!$W$2:$AT$204,$AI31,10)&gt;0,IF(AND($H31&lt;&gt;"",$H31&lt;=EOMONTH(S$3,0),$I31&gt;=S$3),"B","U"),IF(AND($H31&lt;&gt;"",$H31&lt;=EOMONTH(S$3,0),$I31&gt;=S$3),"D","")))</f>
        <v>D</v>
      </c>
      <c r="T31" s="204" t="str">
        <f ca="1">IF($AI31="","",IF(INDEX('Roadmap Calc (Don’t Touch)'!$W$2:$AT$204,$AI31,11)&gt;0,IF(AND($H31&lt;&gt;"",$H31&lt;=EOMONTH(T$3,0),$I31&gt;=T$3),"B","U"),IF(AND($H31&lt;&gt;"",$H31&lt;=EOMONTH(T$3,0),$I31&gt;=T$3),"D","")))</f>
        <v/>
      </c>
      <c r="U31" s="217" t="str">
        <f ca="1">IF($AI31="","",IF(INDEX('Roadmap Calc (Don’t Touch)'!$W$2:$AT$204,$AI31,12)&gt;0,IF(AND($H31&lt;&gt;"",$H31&lt;=EOMONTH(U$3,0),$I31&gt;=U$3),"B","U"),IF(AND($H31&lt;&gt;"",$H31&lt;=EOMONTH(U$3,0),$I31&gt;=U$3),"D","")))</f>
        <v/>
      </c>
      <c r="V31" s="216" t="str">
        <f ca="1">IF($AI31="","",IF(INDEX('Roadmap Calc (Don’t Touch)'!$W$2:$AT$204,$AI31,13)&gt;0,IF(AND($H31&lt;&gt;"",$H31&lt;=EOMONTH(V$3,0),$I31&gt;=V$3),"B","U"),IF(AND($H31&lt;&gt;"",$H31&lt;=EOMONTH(V$3,0),$I31&gt;=V$3),"D","")))</f>
        <v/>
      </c>
      <c r="W31" s="204" t="str">
        <f ca="1">IF($AI31="","",IF(INDEX('Roadmap Calc (Don’t Touch)'!$W$2:$AT$204,$AI31,14)&gt;0,IF(AND($H31&lt;&gt;"",$H31&lt;=EOMONTH(W$3,0),$I31&gt;=W$3),"B","U"),IF(AND($H31&lt;&gt;"",$H31&lt;=EOMONTH(W$3,0),$I31&gt;=W$3),"D","")))</f>
        <v/>
      </c>
      <c r="X31" s="217" t="str">
        <f ca="1">IF($AI31="","",IF(INDEX('Roadmap Calc (Don’t Touch)'!$W$2:$AT$204,$AI31,15)&gt;0,IF(AND($H31&lt;&gt;"",$H31&lt;=EOMONTH(X$3,0),$I31&gt;=X$3),"B","U"),IF(AND($H31&lt;&gt;"",$H31&lt;=EOMONTH(X$3,0),$I31&gt;=X$3),"D","")))</f>
        <v/>
      </c>
      <c r="Y31" s="216" t="str">
        <f ca="1">IF($AI31="","",IF(INDEX('Roadmap Calc (Don’t Touch)'!$W$2:$AT$204,$AI31,16)&gt;0,IF(AND($H31&lt;&gt;"",$H31&lt;=EOMONTH(Y$3,0),$I31&gt;=Y$3),"B","U"),IF(AND($H31&lt;&gt;"",$H31&lt;=EOMONTH(Y$3,0),$I31&gt;=Y$3),"D","")))</f>
        <v/>
      </c>
      <c r="Z31" s="204" t="str">
        <f ca="1">IF($AI31="","",IF(INDEX('Roadmap Calc (Don’t Touch)'!$W$2:$AT$204,$AI31,17)&gt;0,IF(AND($H31&lt;&gt;"",$H31&lt;=EOMONTH(Z$3,0),$I31&gt;=Z$3),"B","U"),IF(AND($H31&lt;&gt;"",$H31&lt;=EOMONTH(Z$3,0),$I31&gt;=Z$3),"D","")))</f>
        <v/>
      </c>
      <c r="AA31" s="217" t="str">
        <f ca="1">IF($AI31="","",IF(INDEX('Roadmap Calc (Don’t Touch)'!$W$2:$AT$204,$AI31,18)&gt;0,IF(AND($H31&lt;&gt;"",$H31&lt;=EOMONTH(AA$3,0),$I31&gt;=AA$3),"B","U"),IF(AND($H31&lt;&gt;"",$H31&lt;=EOMONTH(AA$3,0),$I31&gt;=AA$3),"D","")))</f>
        <v/>
      </c>
      <c r="AB31" s="216" t="str">
        <f ca="1">IF($AI31="","",IF(INDEX('Roadmap Calc (Don’t Touch)'!$W$2:$AT$204,$AI31,19)&gt;0,IF(AND($H31&lt;&gt;"",$H31&lt;=EOMONTH(AB$3,0),$I31&gt;=AB$3),"B","U"),IF(AND($H31&lt;&gt;"",$H31&lt;=EOMONTH(AB$3,0),$I31&gt;=AB$3),"D","")))</f>
        <v/>
      </c>
      <c r="AC31" s="204" t="str">
        <f ca="1">IF($AI31="","",IF(INDEX('Roadmap Calc (Don’t Touch)'!$W$2:$AT$204,$AI31,20)&gt;0,IF(AND($H31&lt;&gt;"",$H31&lt;=EOMONTH(AC$3,0),$I31&gt;=AC$3),"B","U"),IF(AND($H31&lt;&gt;"",$H31&lt;=EOMONTH(AC$3,0),$I31&gt;=AC$3),"D","")))</f>
        <v/>
      </c>
      <c r="AD31" s="217" t="str">
        <f ca="1">IF($AI31="","",IF(INDEX('Roadmap Calc (Don’t Touch)'!$W$2:$AT$204,$AI31,21)&gt;0,IF(AND($H31&lt;&gt;"",$H31&lt;=EOMONTH(AD$3,0),$I31&gt;=AD$3),"B","U"),IF(AND($H31&lt;&gt;"",$H31&lt;=EOMONTH(AD$3,0),$I31&gt;=AD$3),"D","")))</f>
        <v/>
      </c>
      <c r="AE31" s="210" t="str">
        <f ca="1">IF($AI31="","",IF(INDEX('Roadmap Calc (Don’t Touch)'!$W$2:$AT$204,$AI31,22)&gt;0,IF(AND($H31&lt;&gt;"",$H31&lt;=EOMONTH(AE$3,0),$I31&gt;=AE$3),"B","U"),IF(AND($H31&lt;&gt;"",$H31&lt;=EOMONTH(AE$3,0),$I31&gt;=AE$3),"D","")))</f>
        <v/>
      </c>
      <c r="AF31" s="204" t="str">
        <f ca="1">IF($AI31="","",IF(INDEX('Roadmap Calc (Don’t Touch)'!$W$2:$AT$204,$AI31,23)&gt;0,IF(AND($H31&lt;&gt;"",$H31&lt;=EOMONTH(AF$3,0),$I31&gt;=AF$3),"B","U"),IF(AND($H31&lt;&gt;"",$H31&lt;=EOMONTH(AF$3,0),$I31&gt;=AF$3),"D","")))</f>
        <v/>
      </c>
      <c r="AG31" s="204" t="str">
        <f ca="1">IF($AI31="","",IF(INDEX('Roadmap Calc (Don’t Touch)'!$W$2:$AT$204,$AI31,24)&gt;0,IF(AND($H31&lt;&gt;"",$H31&lt;=EOMONTH(AG$3,0),$I31&gt;=AG$3),"B","U"),IF(AND($H31&lt;&gt;"",$H31&lt;=EOMONTH(AG$3,0),$I31&gt;=AG$3),"D","")))</f>
        <v/>
      </c>
      <c r="AH31" s="180" t="str">
        <f>IF($AI31="","",INDEX('Roadmap Calc (Don’t Touch)'!$D$2:$D$204,$AI31))</f>
        <v>Increase Buy Used Awareness</v>
      </c>
      <c r="AI31" s="180">
        <f>IFERROR(MATCH(25,'Roadmap Calc (Don’t Touch)'!$O$2:$O$204,0),"")</f>
        <v>16</v>
      </c>
    </row>
    <row r="32" spans="1:35" ht="17" customHeight="1" x14ac:dyDescent="0.25">
      <c r="A32" s="197" t="str">
        <f t="shared" si="0"/>
        <v/>
      </c>
      <c r="B32" s="198" t="str">
        <f>IF($AI32="","",INDEX('Roadmap Calc (Don’t Touch)'!$B$2:$B$204,$AI32))</f>
        <v>Add 'shop by popular brands' section to Used Homepage</v>
      </c>
      <c r="C32" s="199" t="str">
        <f>IF($AI32="","",INDEX('Roadmap Calc (Don’t Touch)'!$E$2:$E$204,$AI32))</f>
        <v>BHUX-34844</v>
      </c>
      <c r="D32" s="227" t="str">
        <f>IF($AI32="","",INDEX('Roadmap Calc (Don’t Touch)'!$F$2:$F$204,$AI32))</f>
        <v>04. UX Design</v>
      </c>
      <c r="E32" s="201">
        <f>IF($AI32="","",IF(ISNUMBER(INDEX('Roadmap Calc (Don’t Touch)'!$G$2:$G$204,$AI32)),INDEX('Roadmap Calc (Don’t Touch)'!$G$2:$G$204,$AI32),""))</f>
        <v>46223</v>
      </c>
      <c r="F32" s="201">
        <f>IF($AI32="","",IF(ISNUMBER(INDEX('Roadmap Calc (Don’t Touch)'!$H$2:$H$204,$AI32)),INDEX('Roadmap Calc (Don’t Touch)'!$H$2:$H$204,$AI32),""))</f>
        <v>46258</v>
      </c>
      <c r="G32" s="202">
        <f>IF($AI32="","",INDEX('Roadmap Calc (Don’t Touch)'!$S$2:$S$204,$AI32))</f>
        <v>6</v>
      </c>
      <c r="H32" s="203">
        <f ca="1">IF($AI32="","",IF(ISNUMBER(INDEX('Roadmap Calc (Don’t Touch)'!$I$2:$I$204,$AI32)),INDEX('Roadmap Calc (Don’t Touch)'!$I$2:$I$204,$AI32),""))</f>
        <v>46296</v>
      </c>
      <c r="I32" s="203">
        <f ca="1">IF($AI32="","",IF(ISNUMBER(INDEX('Roadmap Calc (Don’t Touch)'!$J$2:$J$204,$AI32)),INDEX('Roadmap Calc (Don’t Touch)'!$J$2:$J$204,$AI32),""))</f>
        <v>46326</v>
      </c>
      <c r="J32" s="204" t="str">
        <f ca="1">IF($AI32="","",IF(INDEX('Roadmap Calc (Don’t Touch)'!$W$2:$AT$204,$AI32,1)&gt;0,IF(AND($H32&lt;&gt;"",$H32&lt;=EOMONTH(J$3,0),$I32&gt;=J$3),"B","U"),IF(AND($H32&lt;&gt;"",$H32&lt;=EOMONTH(J$3,0),$I32&gt;=J$3),"D","")))</f>
        <v/>
      </c>
      <c r="K32" s="204" t="str">
        <f ca="1">IF($AI32="","",IF(INDEX('Roadmap Calc (Don’t Touch)'!$W$2:$AT$204,$AI32,2)&gt;0,IF(AND($H32&lt;&gt;"",$H32&lt;=EOMONTH(K$3,0),$I32&gt;=K$3),"B","U"),IF(AND($H32&lt;&gt;"",$H32&lt;=EOMONTH(K$3,0),$I32&gt;=K$3),"D","")))</f>
        <v/>
      </c>
      <c r="L32" s="204" t="str">
        <f ca="1">IF($AI32="","",IF(INDEX('Roadmap Calc (Don’t Touch)'!$W$2:$AT$204,$AI32,3)&gt;0,IF(AND($H32&lt;&gt;"",$H32&lt;=EOMONTH(L$3,0),$I32&gt;=L$3),"B","U"),IF(AND($H32&lt;&gt;"",$H32&lt;=EOMONTH(L$3,0),$I32&gt;=L$3),"D","")))</f>
        <v/>
      </c>
      <c r="M32" s="216" t="str">
        <f ca="1">IF($AI32="","",IF(INDEX('Roadmap Calc (Don’t Touch)'!$W$2:$AT$204,$AI32,4)&gt;0,IF(AND($H32&lt;&gt;"",$H32&lt;=EOMONTH(M$3,0),$I32&gt;=M$3),"B","U"),IF(AND($H32&lt;&gt;"",$H32&lt;=EOMONTH(M$3,0),$I32&gt;=M$3),"D","")))</f>
        <v/>
      </c>
      <c r="N32" s="204" t="str">
        <f ca="1">IF($AI32="","",IF(INDEX('Roadmap Calc (Don’t Touch)'!$W$2:$AT$204,$AI32,5)&gt;0,IF(AND($H32&lt;&gt;"",$H32&lt;=EOMONTH(N$3,0),$I32&gt;=N$3),"B","U"),IF(AND($H32&lt;&gt;"",$H32&lt;=EOMONTH(N$3,0),$I32&gt;=N$3),"D","")))</f>
        <v/>
      </c>
      <c r="O32" s="217" t="str">
        <f ca="1">IF($AI32="","",IF(INDEX('Roadmap Calc (Don’t Touch)'!$W$2:$AT$204,$AI32,6)&gt;0,IF(AND($H32&lt;&gt;"",$H32&lt;=EOMONTH(O$3,0),$I32&gt;=O$3),"B","U"),IF(AND($H32&lt;&gt;"",$H32&lt;=EOMONTH(O$3,0),$I32&gt;=O$3),"D","")))</f>
        <v/>
      </c>
      <c r="P32" s="216" t="str">
        <f ca="1">IF($AI32="","",IF(INDEX('Roadmap Calc (Don’t Touch)'!$W$2:$AT$204,$AI32,7)&gt;0,IF(AND($H32&lt;&gt;"",$H32&lt;=EOMONTH(P$3,0),$I32&gt;=P$3),"B","U"),IF(AND($H32&lt;&gt;"",$H32&lt;=EOMONTH(P$3,0),$I32&gt;=P$3),"D","")))</f>
        <v>U</v>
      </c>
      <c r="Q32" s="204" t="str">
        <f ca="1">IF($AI32="","",IF(INDEX('Roadmap Calc (Don’t Touch)'!$W$2:$AT$204,$AI32,8)&gt;0,IF(AND($H32&lt;&gt;"",$H32&lt;=EOMONTH(Q$3,0),$I32&gt;=Q$3),"B","U"),IF(AND($H32&lt;&gt;"",$H32&lt;=EOMONTH(Q$3,0),$I32&gt;=Q$3),"D","")))</f>
        <v>U</v>
      </c>
      <c r="R32" s="217" t="str">
        <f ca="1">IF($AI32="","",IF(INDEX('Roadmap Calc (Don’t Touch)'!$W$2:$AT$204,$AI32,9)&gt;0,IF(AND($H32&lt;&gt;"",$H32&lt;=EOMONTH(R$3,0),$I32&gt;=R$3),"B","U"),IF(AND($H32&lt;&gt;"",$H32&lt;=EOMONTH(R$3,0),$I32&gt;=R$3),"D","")))</f>
        <v/>
      </c>
      <c r="S32" s="216" t="str">
        <f ca="1">IF($AI32="","",IF(INDEX('Roadmap Calc (Don’t Touch)'!$W$2:$AT$204,$AI32,10)&gt;0,IF(AND($H32&lt;&gt;"",$H32&lt;=EOMONTH(S$3,0),$I32&gt;=S$3),"B","U"),IF(AND($H32&lt;&gt;"",$H32&lt;=EOMONTH(S$3,0),$I32&gt;=S$3),"D","")))</f>
        <v>D</v>
      </c>
      <c r="T32" s="204" t="str">
        <f ca="1">IF($AI32="","",IF(INDEX('Roadmap Calc (Don’t Touch)'!$W$2:$AT$204,$AI32,11)&gt;0,IF(AND($H32&lt;&gt;"",$H32&lt;=EOMONTH(T$3,0),$I32&gt;=T$3),"B","U"),IF(AND($H32&lt;&gt;"",$H32&lt;=EOMONTH(T$3,0),$I32&gt;=T$3),"D","")))</f>
        <v/>
      </c>
      <c r="U32" s="217" t="str">
        <f ca="1">IF($AI32="","",IF(INDEX('Roadmap Calc (Don’t Touch)'!$W$2:$AT$204,$AI32,12)&gt;0,IF(AND($H32&lt;&gt;"",$H32&lt;=EOMONTH(U$3,0),$I32&gt;=U$3),"B","U"),IF(AND($H32&lt;&gt;"",$H32&lt;=EOMONTH(U$3,0),$I32&gt;=U$3),"D","")))</f>
        <v/>
      </c>
      <c r="V32" s="216" t="str">
        <f ca="1">IF($AI32="","",IF(INDEX('Roadmap Calc (Don’t Touch)'!$W$2:$AT$204,$AI32,13)&gt;0,IF(AND($H32&lt;&gt;"",$H32&lt;=EOMONTH(V$3,0),$I32&gt;=V$3),"B","U"),IF(AND($H32&lt;&gt;"",$H32&lt;=EOMONTH(V$3,0),$I32&gt;=V$3),"D","")))</f>
        <v/>
      </c>
      <c r="W32" s="204" t="str">
        <f ca="1">IF($AI32="","",IF(INDEX('Roadmap Calc (Don’t Touch)'!$W$2:$AT$204,$AI32,14)&gt;0,IF(AND($H32&lt;&gt;"",$H32&lt;=EOMONTH(W$3,0),$I32&gt;=W$3),"B","U"),IF(AND($H32&lt;&gt;"",$H32&lt;=EOMONTH(W$3,0),$I32&gt;=W$3),"D","")))</f>
        <v/>
      </c>
      <c r="X32" s="217" t="str">
        <f ca="1">IF($AI32="","",IF(INDEX('Roadmap Calc (Don’t Touch)'!$W$2:$AT$204,$AI32,15)&gt;0,IF(AND($H32&lt;&gt;"",$H32&lt;=EOMONTH(X$3,0),$I32&gt;=X$3),"B","U"),IF(AND($H32&lt;&gt;"",$H32&lt;=EOMONTH(X$3,0),$I32&gt;=X$3),"D","")))</f>
        <v/>
      </c>
      <c r="Y32" s="216" t="str">
        <f ca="1">IF($AI32="","",IF(INDEX('Roadmap Calc (Don’t Touch)'!$W$2:$AT$204,$AI32,16)&gt;0,IF(AND($H32&lt;&gt;"",$H32&lt;=EOMONTH(Y$3,0),$I32&gt;=Y$3),"B","U"),IF(AND($H32&lt;&gt;"",$H32&lt;=EOMONTH(Y$3,0),$I32&gt;=Y$3),"D","")))</f>
        <v/>
      </c>
      <c r="Z32" s="204" t="str">
        <f ca="1">IF($AI32="","",IF(INDEX('Roadmap Calc (Don’t Touch)'!$W$2:$AT$204,$AI32,17)&gt;0,IF(AND($H32&lt;&gt;"",$H32&lt;=EOMONTH(Z$3,0),$I32&gt;=Z$3),"B","U"),IF(AND($H32&lt;&gt;"",$H32&lt;=EOMONTH(Z$3,0),$I32&gt;=Z$3),"D","")))</f>
        <v/>
      </c>
      <c r="AA32" s="217" t="str">
        <f ca="1">IF($AI32="","",IF(INDEX('Roadmap Calc (Don’t Touch)'!$W$2:$AT$204,$AI32,18)&gt;0,IF(AND($H32&lt;&gt;"",$H32&lt;=EOMONTH(AA$3,0),$I32&gt;=AA$3),"B","U"),IF(AND($H32&lt;&gt;"",$H32&lt;=EOMONTH(AA$3,0),$I32&gt;=AA$3),"D","")))</f>
        <v/>
      </c>
      <c r="AB32" s="216" t="str">
        <f ca="1">IF($AI32="","",IF(INDEX('Roadmap Calc (Don’t Touch)'!$W$2:$AT$204,$AI32,19)&gt;0,IF(AND($H32&lt;&gt;"",$H32&lt;=EOMONTH(AB$3,0),$I32&gt;=AB$3),"B","U"),IF(AND($H32&lt;&gt;"",$H32&lt;=EOMONTH(AB$3,0),$I32&gt;=AB$3),"D","")))</f>
        <v/>
      </c>
      <c r="AC32" s="204" t="str">
        <f ca="1">IF($AI32="","",IF(INDEX('Roadmap Calc (Don’t Touch)'!$W$2:$AT$204,$AI32,20)&gt;0,IF(AND($H32&lt;&gt;"",$H32&lt;=EOMONTH(AC$3,0),$I32&gt;=AC$3),"B","U"),IF(AND($H32&lt;&gt;"",$H32&lt;=EOMONTH(AC$3,0),$I32&gt;=AC$3),"D","")))</f>
        <v/>
      </c>
      <c r="AD32" s="217" t="str">
        <f ca="1">IF($AI32="","",IF(INDEX('Roadmap Calc (Don’t Touch)'!$W$2:$AT$204,$AI32,21)&gt;0,IF(AND($H32&lt;&gt;"",$H32&lt;=EOMONTH(AD$3,0),$I32&gt;=AD$3),"B","U"),IF(AND($H32&lt;&gt;"",$H32&lt;=EOMONTH(AD$3,0),$I32&gt;=AD$3),"D","")))</f>
        <v/>
      </c>
      <c r="AE32" s="210" t="str">
        <f ca="1">IF($AI32="","",IF(INDEX('Roadmap Calc (Don’t Touch)'!$W$2:$AT$204,$AI32,22)&gt;0,IF(AND($H32&lt;&gt;"",$H32&lt;=EOMONTH(AE$3,0),$I32&gt;=AE$3),"B","U"),IF(AND($H32&lt;&gt;"",$H32&lt;=EOMONTH(AE$3,0),$I32&gt;=AE$3),"D","")))</f>
        <v/>
      </c>
      <c r="AF32" s="204" t="str">
        <f ca="1">IF($AI32="","",IF(INDEX('Roadmap Calc (Don’t Touch)'!$W$2:$AT$204,$AI32,23)&gt;0,IF(AND($H32&lt;&gt;"",$H32&lt;=EOMONTH(AF$3,0),$I32&gt;=AF$3),"B","U"),IF(AND($H32&lt;&gt;"",$H32&lt;=EOMONTH(AF$3,0),$I32&gt;=AF$3),"D","")))</f>
        <v/>
      </c>
      <c r="AG32" s="204" t="str">
        <f ca="1">IF($AI32="","",IF(INDEX('Roadmap Calc (Don’t Touch)'!$W$2:$AT$204,$AI32,24)&gt;0,IF(AND($H32&lt;&gt;"",$H32&lt;=EOMONTH(AG$3,0),$I32&gt;=AG$3),"B","U"),IF(AND($H32&lt;&gt;"",$H32&lt;=EOMONTH(AG$3,0),$I32&gt;=AG$3),"D","")))</f>
        <v/>
      </c>
      <c r="AH32" s="180" t="str">
        <f>IF($AI32="","",INDEX('Roadmap Calc (Don’t Touch)'!$D$2:$D$204,$AI32))</f>
        <v>Increase Buy Used Awareness</v>
      </c>
      <c r="AI32" s="180">
        <f>IFERROR(MATCH(26,'Roadmap Calc (Don’t Touch)'!$O$2:$O$204,0),"")</f>
        <v>20</v>
      </c>
    </row>
    <row r="33" spans="1:35" ht="17" customHeight="1" x14ac:dyDescent="0.25">
      <c r="A33" s="197" t="str">
        <f t="shared" si="0"/>
        <v/>
      </c>
      <c r="B33" s="198" t="str">
        <f>IF($AI33="","",INDEX('Roadmap Calc (Don’t Touch)'!$B$2:$B$204,$AI33))</f>
        <v>Shop By Popular Brand' Listing Pages Discovery</v>
      </c>
      <c r="C33" s="199" t="str">
        <f>IF($AI33="","",INDEX('Roadmap Calc (Don’t Touch)'!$E$2:$E$204,$AI33))</f>
        <v>BHUX-34845</v>
      </c>
      <c r="D33" s="227" t="str">
        <f>IF($AI33="","",INDEX('Roadmap Calc (Don’t Touch)'!$F$2:$F$204,$AI33))</f>
        <v>04. UX Design</v>
      </c>
      <c r="E33" s="201">
        <f>IF($AI33="","",IF(ISNUMBER(INDEX('Roadmap Calc (Don’t Touch)'!$G$2:$G$204,$AI33)),INDEX('Roadmap Calc (Don’t Touch)'!$G$2:$G$204,$AI33),""))</f>
        <v>46230</v>
      </c>
      <c r="F33" s="201">
        <f>IF($AI33="","",IF(ISNUMBER(INDEX('Roadmap Calc (Don’t Touch)'!$H$2:$H$204,$AI33)),INDEX('Roadmap Calc (Don’t Touch)'!$H$2:$H$204,$AI33),""))</f>
        <v>46258</v>
      </c>
      <c r="G33" s="202">
        <f>IF($AI33="","",INDEX('Roadmap Calc (Don’t Touch)'!$S$2:$S$204,$AI33))</f>
        <v>5</v>
      </c>
      <c r="H33" s="203">
        <f ca="1">IF($AI33="","",IF(ISNUMBER(INDEX('Roadmap Calc (Don’t Touch)'!$I$2:$I$204,$AI33)),INDEX('Roadmap Calc (Don’t Touch)'!$I$2:$I$204,$AI33),""))</f>
        <v>46296</v>
      </c>
      <c r="I33" s="203">
        <f ca="1">IF($AI33="","",IF(ISNUMBER(INDEX('Roadmap Calc (Don’t Touch)'!$J$2:$J$204,$AI33)),INDEX('Roadmap Calc (Don’t Touch)'!$J$2:$J$204,$AI33),""))</f>
        <v>46326</v>
      </c>
      <c r="J33" s="204" t="str">
        <f ca="1">IF($AI33="","",IF(INDEX('Roadmap Calc (Don’t Touch)'!$W$2:$AT$204,$AI33,1)&gt;0,IF(AND($H33&lt;&gt;"",$H33&lt;=EOMONTH(J$3,0),$I33&gt;=J$3),"B","U"),IF(AND($H33&lt;&gt;"",$H33&lt;=EOMONTH(J$3,0),$I33&gt;=J$3),"D","")))</f>
        <v/>
      </c>
      <c r="K33" s="204" t="str">
        <f ca="1">IF($AI33="","",IF(INDEX('Roadmap Calc (Don’t Touch)'!$W$2:$AT$204,$AI33,2)&gt;0,IF(AND($H33&lt;&gt;"",$H33&lt;=EOMONTH(K$3,0),$I33&gt;=K$3),"B","U"),IF(AND($H33&lt;&gt;"",$H33&lt;=EOMONTH(K$3,0),$I33&gt;=K$3),"D","")))</f>
        <v/>
      </c>
      <c r="L33" s="204" t="str">
        <f ca="1">IF($AI33="","",IF(INDEX('Roadmap Calc (Don’t Touch)'!$W$2:$AT$204,$AI33,3)&gt;0,IF(AND($H33&lt;&gt;"",$H33&lt;=EOMONTH(L$3,0),$I33&gt;=L$3),"B","U"),IF(AND($H33&lt;&gt;"",$H33&lt;=EOMONTH(L$3,0),$I33&gt;=L$3),"D","")))</f>
        <v/>
      </c>
      <c r="M33" s="216" t="str">
        <f ca="1">IF($AI33="","",IF(INDEX('Roadmap Calc (Don’t Touch)'!$W$2:$AT$204,$AI33,4)&gt;0,IF(AND($H33&lt;&gt;"",$H33&lt;=EOMONTH(M$3,0),$I33&gt;=M$3),"B","U"),IF(AND($H33&lt;&gt;"",$H33&lt;=EOMONTH(M$3,0),$I33&gt;=M$3),"D","")))</f>
        <v/>
      </c>
      <c r="N33" s="204" t="str">
        <f ca="1">IF($AI33="","",IF(INDEX('Roadmap Calc (Don’t Touch)'!$W$2:$AT$204,$AI33,5)&gt;0,IF(AND($H33&lt;&gt;"",$H33&lt;=EOMONTH(N$3,0),$I33&gt;=N$3),"B","U"),IF(AND($H33&lt;&gt;"",$H33&lt;=EOMONTH(N$3,0),$I33&gt;=N$3),"D","")))</f>
        <v/>
      </c>
      <c r="O33" s="217" t="str">
        <f ca="1">IF($AI33="","",IF(INDEX('Roadmap Calc (Don’t Touch)'!$W$2:$AT$204,$AI33,6)&gt;0,IF(AND($H33&lt;&gt;"",$H33&lt;=EOMONTH(O$3,0),$I33&gt;=O$3),"B","U"),IF(AND($H33&lt;&gt;"",$H33&lt;=EOMONTH(O$3,0),$I33&gt;=O$3),"D","")))</f>
        <v/>
      </c>
      <c r="P33" s="216" t="str">
        <f ca="1">IF($AI33="","",IF(INDEX('Roadmap Calc (Don’t Touch)'!$W$2:$AT$204,$AI33,7)&gt;0,IF(AND($H33&lt;&gt;"",$H33&lt;=EOMONTH(P$3,0),$I33&gt;=P$3),"B","U"),IF(AND($H33&lt;&gt;"",$H33&lt;=EOMONTH(P$3,0),$I33&gt;=P$3),"D","")))</f>
        <v>U</v>
      </c>
      <c r="Q33" s="204" t="str">
        <f ca="1">IF($AI33="","",IF(INDEX('Roadmap Calc (Don’t Touch)'!$W$2:$AT$204,$AI33,8)&gt;0,IF(AND($H33&lt;&gt;"",$H33&lt;=EOMONTH(Q$3,0),$I33&gt;=Q$3),"B","U"),IF(AND($H33&lt;&gt;"",$H33&lt;=EOMONTH(Q$3,0),$I33&gt;=Q$3),"D","")))</f>
        <v>U</v>
      </c>
      <c r="R33" s="217" t="str">
        <f ca="1">IF($AI33="","",IF(INDEX('Roadmap Calc (Don’t Touch)'!$W$2:$AT$204,$AI33,9)&gt;0,IF(AND($H33&lt;&gt;"",$H33&lt;=EOMONTH(R$3,0),$I33&gt;=R$3),"B","U"),IF(AND($H33&lt;&gt;"",$H33&lt;=EOMONTH(R$3,0),$I33&gt;=R$3),"D","")))</f>
        <v/>
      </c>
      <c r="S33" s="216" t="str">
        <f ca="1">IF($AI33="","",IF(INDEX('Roadmap Calc (Don’t Touch)'!$W$2:$AT$204,$AI33,10)&gt;0,IF(AND($H33&lt;&gt;"",$H33&lt;=EOMONTH(S$3,0),$I33&gt;=S$3),"B","U"),IF(AND($H33&lt;&gt;"",$H33&lt;=EOMONTH(S$3,0),$I33&gt;=S$3),"D","")))</f>
        <v>D</v>
      </c>
      <c r="T33" s="204" t="str">
        <f ca="1">IF($AI33="","",IF(INDEX('Roadmap Calc (Don’t Touch)'!$W$2:$AT$204,$AI33,11)&gt;0,IF(AND($H33&lt;&gt;"",$H33&lt;=EOMONTH(T$3,0),$I33&gt;=T$3),"B","U"),IF(AND($H33&lt;&gt;"",$H33&lt;=EOMONTH(T$3,0),$I33&gt;=T$3),"D","")))</f>
        <v/>
      </c>
      <c r="U33" s="217" t="str">
        <f ca="1">IF($AI33="","",IF(INDEX('Roadmap Calc (Don’t Touch)'!$W$2:$AT$204,$AI33,12)&gt;0,IF(AND($H33&lt;&gt;"",$H33&lt;=EOMONTH(U$3,0),$I33&gt;=U$3),"B","U"),IF(AND($H33&lt;&gt;"",$H33&lt;=EOMONTH(U$3,0),$I33&gt;=U$3),"D","")))</f>
        <v/>
      </c>
      <c r="V33" s="216" t="str">
        <f ca="1">IF($AI33="","",IF(INDEX('Roadmap Calc (Don’t Touch)'!$W$2:$AT$204,$AI33,13)&gt;0,IF(AND($H33&lt;&gt;"",$H33&lt;=EOMONTH(V$3,0),$I33&gt;=V$3),"B","U"),IF(AND($H33&lt;&gt;"",$H33&lt;=EOMONTH(V$3,0),$I33&gt;=V$3),"D","")))</f>
        <v/>
      </c>
      <c r="W33" s="204" t="str">
        <f ca="1">IF($AI33="","",IF(INDEX('Roadmap Calc (Don’t Touch)'!$W$2:$AT$204,$AI33,14)&gt;0,IF(AND($H33&lt;&gt;"",$H33&lt;=EOMONTH(W$3,0),$I33&gt;=W$3),"B","U"),IF(AND($H33&lt;&gt;"",$H33&lt;=EOMONTH(W$3,0),$I33&gt;=W$3),"D","")))</f>
        <v/>
      </c>
      <c r="X33" s="217" t="str">
        <f ca="1">IF($AI33="","",IF(INDEX('Roadmap Calc (Don’t Touch)'!$W$2:$AT$204,$AI33,15)&gt;0,IF(AND($H33&lt;&gt;"",$H33&lt;=EOMONTH(X$3,0),$I33&gt;=X$3),"B","U"),IF(AND($H33&lt;&gt;"",$H33&lt;=EOMONTH(X$3,0),$I33&gt;=X$3),"D","")))</f>
        <v/>
      </c>
      <c r="Y33" s="216" t="str">
        <f ca="1">IF($AI33="","",IF(INDEX('Roadmap Calc (Don’t Touch)'!$W$2:$AT$204,$AI33,16)&gt;0,IF(AND($H33&lt;&gt;"",$H33&lt;=EOMONTH(Y$3,0),$I33&gt;=Y$3),"B","U"),IF(AND($H33&lt;&gt;"",$H33&lt;=EOMONTH(Y$3,0),$I33&gt;=Y$3),"D","")))</f>
        <v/>
      </c>
      <c r="Z33" s="204" t="str">
        <f ca="1">IF($AI33="","",IF(INDEX('Roadmap Calc (Don’t Touch)'!$W$2:$AT$204,$AI33,17)&gt;0,IF(AND($H33&lt;&gt;"",$H33&lt;=EOMONTH(Z$3,0),$I33&gt;=Z$3),"B","U"),IF(AND($H33&lt;&gt;"",$H33&lt;=EOMONTH(Z$3,0),$I33&gt;=Z$3),"D","")))</f>
        <v/>
      </c>
      <c r="AA33" s="217" t="str">
        <f ca="1">IF($AI33="","",IF(INDEX('Roadmap Calc (Don’t Touch)'!$W$2:$AT$204,$AI33,18)&gt;0,IF(AND($H33&lt;&gt;"",$H33&lt;=EOMONTH(AA$3,0),$I33&gt;=AA$3),"B","U"),IF(AND($H33&lt;&gt;"",$H33&lt;=EOMONTH(AA$3,0),$I33&gt;=AA$3),"D","")))</f>
        <v/>
      </c>
      <c r="AB33" s="216" t="str">
        <f ca="1">IF($AI33="","",IF(INDEX('Roadmap Calc (Don’t Touch)'!$W$2:$AT$204,$AI33,19)&gt;0,IF(AND($H33&lt;&gt;"",$H33&lt;=EOMONTH(AB$3,0),$I33&gt;=AB$3),"B","U"),IF(AND($H33&lt;&gt;"",$H33&lt;=EOMONTH(AB$3,0),$I33&gt;=AB$3),"D","")))</f>
        <v/>
      </c>
      <c r="AC33" s="204" t="str">
        <f ca="1">IF($AI33="","",IF(INDEX('Roadmap Calc (Don’t Touch)'!$W$2:$AT$204,$AI33,20)&gt;0,IF(AND($H33&lt;&gt;"",$H33&lt;=EOMONTH(AC$3,0),$I33&gt;=AC$3),"B","U"),IF(AND($H33&lt;&gt;"",$H33&lt;=EOMONTH(AC$3,0),$I33&gt;=AC$3),"D","")))</f>
        <v/>
      </c>
      <c r="AD33" s="217" t="str">
        <f ca="1">IF($AI33="","",IF(INDEX('Roadmap Calc (Don’t Touch)'!$W$2:$AT$204,$AI33,21)&gt;0,IF(AND($H33&lt;&gt;"",$H33&lt;=EOMONTH(AD$3,0),$I33&gt;=AD$3),"B","U"),IF(AND($H33&lt;&gt;"",$H33&lt;=EOMONTH(AD$3,0),$I33&gt;=AD$3),"D","")))</f>
        <v/>
      </c>
      <c r="AE33" s="210" t="str">
        <f ca="1">IF($AI33="","",IF(INDEX('Roadmap Calc (Don’t Touch)'!$W$2:$AT$204,$AI33,22)&gt;0,IF(AND($H33&lt;&gt;"",$H33&lt;=EOMONTH(AE$3,0),$I33&gt;=AE$3),"B","U"),IF(AND($H33&lt;&gt;"",$H33&lt;=EOMONTH(AE$3,0),$I33&gt;=AE$3),"D","")))</f>
        <v/>
      </c>
      <c r="AF33" s="204" t="str">
        <f ca="1">IF($AI33="","",IF(INDEX('Roadmap Calc (Don’t Touch)'!$W$2:$AT$204,$AI33,23)&gt;0,IF(AND($H33&lt;&gt;"",$H33&lt;=EOMONTH(AF$3,0),$I33&gt;=AF$3),"B","U"),IF(AND($H33&lt;&gt;"",$H33&lt;=EOMONTH(AF$3,0),$I33&gt;=AF$3),"D","")))</f>
        <v/>
      </c>
      <c r="AG33" s="204" t="str">
        <f ca="1">IF($AI33="","",IF(INDEX('Roadmap Calc (Don’t Touch)'!$W$2:$AT$204,$AI33,24)&gt;0,IF(AND($H33&lt;&gt;"",$H33&lt;=EOMONTH(AG$3,0),$I33&gt;=AG$3),"B","U"),IF(AND($H33&lt;&gt;"",$H33&lt;=EOMONTH(AG$3,0),$I33&gt;=AG$3),"D","")))</f>
        <v/>
      </c>
      <c r="AH33" s="180" t="str">
        <f>IF($AI33="","",INDEX('Roadmap Calc (Don’t Touch)'!$D$2:$D$204,$AI33))</f>
        <v>Increase Buy Used Awareness</v>
      </c>
      <c r="AI33" s="180">
        <f>IFERROR(MATCH(27,'Roadmap Calc (Don’t Touch)'!$O$2:$O$204,0),"")</f>
        <v>21</v>
      </c>
    </row>
    <row r="34" spans="1:35" ht="17" customHeight="1" x14ac:dyDescent="0.25">
      <c r="A34" s="197" t="str">
        <f t="shared" si="0"/>
        <v/>
      </c>
      <c r="B34" s="198" t="str">
        <f>IF($AI34="","",INDEX('Roadmap Calc (Don’t Touch)'!$B$2:$B$204,$AI34))</f>
        <v>My Account &gt; Trade In Awareness</v>
      </c>
      <c r="C34" s="199" t="str">
        <f>IF($AI34="","",INDEX('Roadmap Calc (Don’t Touch)'!$E$2:$E$204,$AI34))</f>
        <v>BHUX-35010</v>
      </c>
      <c r="D34" s="227" t="str">
        <f>IF($AI34="","",INDEX('Roadmap Calc (Don’t Touch)'!$F$2:$F$204,$AI34))</f>
        <v>04. UX Design</v>
      </c>
      <c r="E34" s="201">
        <f>IF($AI34="","",IF(ISNUMBER(INDEX('Roadmap Calc (Don’t Touch)'!$G$2:$G$204,$AI34)),INDEX('Roadmap Calc (Don’t Touch)'!$G$2:$G$204,$AI34),""))</f>
        <v>46244</v>
      </c>
      <c r="F34" s="201">
        <f>IF($AI34="","",IF(ISNUMBER(INDEX('Roadmap Calc (Don’t Touch)'!$H$2:$H$204,$AI34)),INDEX('Roadmap Calc (Don’t Touch)'!$H$2:$H$204,$AI34),""))</f>
        <v>46258</v>
      </c>
      <c r="G34" s="202">
        <f>IF($AI34="","",INDEX('Roadmap Calc (Don’t Touch)'!$S$2:$S$204,$AI34))</f>
        <v>3</v>
      </c>
      <c r="H34" s="203">
        <f ca="1">IF($AI34="","",IF(ISNUMBER(INDEX('Roadmap Calc (Don’t Touch)'!$I$2:$I$204,$AI34)),INDEX('Roadmap Calc (Don’t Touch)'!$I$2:$I$204,$AI34),""))</f>
        <v>46327</v>
      </c>
      <c r="I34" s="203">
        <f ca="1">IF($AI34="","",IF(ISNUMBER(INDEX('Roadmap Calc (Don’t Touch)'!$J$2:$J$204,$AI34)),INDEX('Roadmap Calc (Don’t Touch)'!$J$2:$J$204,$AI34),""))</f>
        <v>46356</v>
      </c>
      <c r="J34" s="204" t="str">
        <f ca="1">IF($AI34="","",IF(INDEX('Roadmap Calc (Don’t Touch)'!$W$2:$AT$204,$AI34,1)&gt;0,IF(AND($H34&lt;&gt;"",$H34&lt;=EOMONTH(J$3,0),$I34&gt;=J$3),"B","U"),IF(AND($H34&lt;&gt;"",$H34&lt;=EOMONTH(J$3,0),$I34&gt;=J$3),"D","")))</f>
        <v/>
      </c>
      <c r="K34" s="204" t="str">
        <f ca="1">IF($AI34="","",IF(INDEX('Roadmap Calc (Don’t Touch)'!$W$2:$AT$204,$AI34,2)&gt;0,IF(AND($H34&lt;&gt;"",$H34&lt;=EOMONTH(K$3,0),$I34&gt;=K$3),"B","U"),IF(AND($H34&lt;&gt;"",$H34&lt;=EOMONTH(K$3,0),$I34&gt;=K$3),"D","")))</f>
        <v/>
      </c>
      <c r="L34" s="204" t="str">
        <f ca="1">IF($AI34="","",IF(INDEX('Roadmap Calc (Don’t Touch)'!$W$2:$AT$204,$AI34,3)&gt;0,IF(AND($H34&lt;&gt;"",$H34&lt;=EOMONTH(L$3,0),$I34&gt;=L$3),"B","U"),IF(AND($H34&lt;&gt;"",$H34&lt;=EOMONTH(L$3,0),$I34&gt;=L$3),"D","")))</f>
        <v/>
      </c>
      <c r="M34" s="216" t="str">
        <f ca="1">IF($AI34="","",IF(INDEX('Roadmap Calc (Don’t Touch)'!$W$2:$AT$204,$AI34,4)&gt;0,IF(AND($H34&lt;&gt;"",$H34&lt;=EOMONTH(M$3,0),$I34&gt;=M$3),"B","U"),IF(AND($H34&lt;&gt;"",$H34&lt;=EOMONTH(M$3,0),$I34&gt;=M$3),"D","")))</f>
        <v/>
      </c>
      <c r="N34" s="204" t="str">
        <f ca="1">IF($AI34="","",IF(INDEX('Roadmap Calc (Don’t Touch)'!$W$2:$AT$204,$AI34,5)&gt;0,IF(AND($H34&lt;&gt;"",$H34&lt;=EOMONTH(N$3,0),$I34&gt;=N$3),"B","U"),IF(AND($H34&lt;&gt;"",$H34&lt;=EOMONTH(N$3,0),$I34&gt;=N$3),"D","")))</f>
        <v/>
      </c>
      <c r="O34" s="217" t="str">
        <f ca="1">IF($AI34="","",IF(INDEX('Roadmap Calc (Don’t Touch)'!$W$2:$AT$204,$AI34,6)&gt;0,IF(AND($H34&lt;&gt;"",$H34&lt;=EOMONTH(O$3,0),$I34&gt;=O$3),"B","U"),IF(AND($H34&lt;&gt;"",$H34&lt;=EOMONTH(O$3,0),$I34&gt;=O$3),"D","")))</f>
        <v/>
      </c>
      <c r="P34" s="216" t="str">
        <f ca="1">IF($AI34="","",IF(INDEX('Roadmap Calc (Don’t Touch)'!$W$2:$AT$204,$AI34,7)&gt;0,IF(AND($H34&lt;&gt;"",$H34&lt;=EOMONTH(P$3,0),$I34&gt;=P$3),"B","U"),IF(AND($H34&lt;&gt;"",$H34&lt;=EOMONTH(P$3,0),$I34&gt;=P$3),"D","")))</f>
        <v/>
      </c>
      <c r="Q34" s="204" t="str">
        <f ca="1">IF($AI34="","",IF(INDEX('Roadmap Calc (Don’t Touch)'!$W$2:$AT$204,$AI34,8)&gt;0,IF(AND($H34&lt;&gt;"",$H34&lt;=EOMONTH(Q$3,0),$I34&gt;=Q$3),"B","U"),IF(AND($H34&lt;&gt;"",$H34&lt;=EOMONTH(Q$3,0),$I34&gt;=Q$3),"D","")))</f>
        <v>U</v>
      </c>
      <c r="R34" s="217" t="str">
        <f ca="1">IF($AI34="","",IF(INDEX('Roadmap Calc (Don’t Touch)'!$W$2:$AT$204,$AI34,9)&gt;0,IF(AND($H34&lt;&gt;"",$H34&lt;=EOMONTH(R$3,0),$I34&gt;=R$3),"B","U"),IF(AND($H34&lt;&gt;"",$H34&lt;=EOMONTH(R$3,0),$I34&gt;=R$3),"D","")))</f>
        <v/>
      </c>
      <c r="S34" s="216" t="str">
        <f ca="1">IF($AI34="","",IF(INDEX('Roadmap Calc (Don’t Touch)'!$W$2:$AT$204,$AI34,10)&gt;0,IF(AND($H34&lt;&gt;"",$H34&lt;=EOMONTH(S$3,0),$I34&gt;=S$3),"B","U"),IF(AND($H34&lt;&gt;"",$H34&lt;=EOMONTH(S$3,0),$I34&gt;=S$3),"D","")))</f>
        <v/>
      </c>
      <c r="T34" s="204" t="str">
        <f ca="1">IF($AI34="","",IF(INDEX('Roadmap Calc (Don’t Touch)'!$W$2:$AT$204,$AI34,11)&gt;0,IF(AND($H34&lt;&gt;"",$H34&lt;=EOMONTH(T$3,0),$I34&gt;=T$3),"B","U"),IF(AND($H34&lt;&gt;"",$H34&lt;=EOMONTH(T$3,0),$I34&gt;=T$3),"D","")))</f>
        <v>D</v>
      </c>
      <c r="U34" s="217" t="str">
        <f ca="1">IF($AI34="","",IF(INDEX('Roadmap Calc (Don’t Touch)'!$W$2:$AT$204,$AI34,12)&gt;0,IF(AND($H34&lt;&gt;"",$H34&lt;=EOMONTH(U$3,0),$I34&gt;=U$3),"B","U"),IF(AND($H34&lt;&gt;"",$H34&lt;=EOMONTH(U$3,0),$I34&gt;=U$3),"D","")))</f>
        <v/>
      </c>
      <c r="V34" s="216" t="str">
        <f ca="1">IF($AI34="","",IF(INDEX('Roadmap Calc (Don’t Touch)'!$W$2:$AT$204,$AI34,13)&gt;0,IF(AND($H34&lt;&gt;"",$H34&lt;=EOMONTH(V$3,0),$I34&gt;=V$3),"B","U"),IF(AND($H34&lt;&gt;"",$H34&lt;=EOMONTH(V$3,0),$I34&gt;=V$3),"D","")))</f>
        <v/>
      </c>
      <c r="W34" s="204" t="str">
        <f ca="1">IF($AI34="","",IF(INDEX('Roadmap Calc (Don’t Touch)'!$W$2:$AT$204,$AI34,14)&gt;0,IF(AND($H34&lt;&gt;"",$H34&lt;=EOMONTH(W$3,0),$I34&gt;=W$3),"B","U"),IF(AND($H34&lt;&gt;"",$H34&lt;=EOMONTH(W$3,0),$I34&gt;=W$3),"D","")))</f>
        <v/>
      </c>
      <c r="X34" s="217" t="str">
        <f ca="1">IF($AI34="","",IF(INDEX('Roadmap Calc (Don’t Touch)'!$W$2:$AT$204,$AI34,15)&gt;0,IF(AND($H34&lt;&gt;"",$H34&lt;=EOMONTH(X$3,0),$I34&gt;=X$3),"B","U"),IF(AND($H34&lt;&gt;"",$H34&lt;=EOMONTH(X$3,0),$I34&gt;=X$3),"D","")))</f>
        <v/>
      </c>
      <c r="Y34" s="216" t="str">
        <f ca="1">IF($AI34="","",IF(INDEX('Roadmap Calc (Don’t Touch)'!$W$2:$AT$204,$AI34,16)&gt;0,IF(AND($H34&lt;&gt;"",$H34&lt;=EOMONTH(Y$3,0),$I34&gt;=Y$3),"B","U"),IF(AND($H34&lt;&gt;"",$H34&lt;=EOMONTH(Y$3,0),$I34&gt;=Y$3),"D","")))</f>
        <v/>
      </c>
      <c r="Z34" s="204" t="str">
        <f ca="1">IF($AI34="","",IF(INDEX('Roadmap Calc (Don’t Touch)'!$W$2:$AT$204,$AI34,17)&gt;0,IF(AND($H34&lt;&gt;"",$H34&lt;=EOMONTH(Z$3,0),$I34&gt;=Z$3),"B","U"),IF(AND($H34&lt;&gt;"",$H34&lt;=EOMONTH(Z$3,0),$I34&gt;=Z$3),"D","")))</f>
        <v/>
      </c>
      <c r="AA34" s="217" t="str">
        <f ca="1">IF($AI34="","",IF(INDEX('Roadmap Calc (Don’t Touch)'!$W$2:$AT$204,$AI34,18)&gt;0,IF(AND($H34&lt;&gt;"",$H34&lt;=EOMONTH(AA$3,0),$I34&gt;=AA$3),"B","U"),IF(AND($H34&lt;&gt;"",$H34&lt;=EOMONTH(AA$3,0),$I34&gt;=AA$3),"D","")))</f>
        <v/>
      </c>
      <c r="AB34" s="216" t="str">
        <f ca="1">IF($AI34="","",IF(INDEX('Roadmap Calc (Don’t Touch)'!$W$2:$AT$204,$AI34,19)&gt;0,IF(AND($H34&lt;&gt;"",$H34&lt;=EOMONTH(AB$3,0),$I34&gt;=AB$3),"B","U"),IF(AND($H34&lt;&gt;"",$H34&lt;=EOMONTH(AB$3,0),$I34&gt;=AB$3),"D","")))</f>
        <v/>
      </c>
      <c r="AC34" s="204" t="str">
        <f ca="1">IF($AI34="","",IF(INDEX('Roadmap Calc (Don’t Touch)'!$W$2:$AT$204,$AI34,20)&gt;0,IF(AND($H34&lt;&gt;"",$H34&lt;=EOMONTH(AC$3,0),$I34&gt;=AC$3),"B","U"),IF(AND($H34&lt;&gt;"",$H34&lt;=EOMONTH(AC$3,0),$I34&gt;=AC$3),"D","")))</f>
        <v/>
      </c>
      <c r="AD34" s="217" t="str">
        <f ca="1">IF($AI34="","",IF(INDEX('Roadmap Calc (Don’t Touch)'!$W$2:$AT$204,$AI34,21)&gt;0,IF(AND($H34&lt;&gt;"",$H34&lt;=EOMONTH(AD$3,0),$I34&gt;=AD$3),"B","U"),IF(AND($H34&lt;&gt;"",$H34&lt;=EOMONTH(AD$3,0),$I34&gt;=AD$3),"D","")))</f>
        <v/>
      </c>
      <c r="AE34" s="210" t="str">
        <f ca="1">IF($AI34="","",IF(INDEX('Roadmap Calc (Don’t Touch)'!$W$2:$AT$204,$AI34,22)&gt;0,IF(AND($H34&lt;&gt;"",$H34&lt;=EOMONTH(AE$3,0),$I34&gt;=AE$3),"B","U"),IF(AND($H34&lt;&gt;"",$H34&lt;=EOMONTH(AE$3,0),$I34&gt;=AE$3),"D","")))</f>
        <v/>
      </c>
      <c r="AF34" s="204" t="str">
        <f ca="1">IF($AI34="","",IF(INDEX('Roadmap Calc (Don’t Touch)'!$W$2:$AT$204,$AI34,23)&gt;0,IF(AND($H34&lt;&gt;"",$H34&lt;=EOMONTH(AF$3,0),$I34&gt;=AF$3),"B","U"),IF(AND($H34&lt;&gt;"",$H34&lt;=EOMONTH(AF$3,0),$I34&gt;=AF$3),"D","")))</f>
        <v/>
      </c>
      <c r="AG34" s="204" t="str">
        <f ca="1">IF($AI34="","",IF(INDEX('Roadmap Calc (Don’t Touch)'!$W$2:$AT$204,$AI34,24)&gt;0,IF(AND($H34&lt;&gt;"",$H34&lt;=EOMONTH(AG$3,0),$I34&gt;=AG$3),"B","U"),IF(AND($H34&lt;&gt;"",$H34&lt;=EOMONTH(AG$3,0),$I34&gt;=AG$3),"D","")))</f>
        <v/>
      </c>
      <c r="AH34" s="180" t="str">
        <f>IF($AI34="","",INDEX('Roadmap Calc (Don’t Touch)'!$D$2:$D$204,$AI34))</f>
        <v>Increase Buy Used Awareness</v>
      </c>
      <c r="AI34" s="180">
        <f>IFERROR(MATCH(28,'Roadmap Calc (Don’t Touch)'!$O$2:$O$204,0),"")</f>
        <v>22</v>
      </c>
    </row>
    <row r="35" spans="1:35" ht="17" customHeight="1" x14ac:dyDescent="0.25">
      <c r="A35" s="197" t="str">
        <f t="shared" si="0"/>
        <v/>
      </c>
      <c r="B35" s="198" t="str">
        <f>IF($AI35="","",INDEX('Roadmap Calc (Don’t Touch)'!$B$2:$B$204,$AI35))</f>
        <v>Condition Grouping</v>
      </c>
      <c r="C35" s="199" t="str">
        <f>IF($AI35="","",INDEX('Roadmap Calc (Don’t Touch)'!$E$2:$E$204,$AI35))</f>
        <v>BHUX-33519</v>
      </c>
      <c r="D35" s="227" t="str">
        <f>IF($AI35="","",INDEX('Roadmap Calc (Don’t Touch)'!$F$2:$F$204,$AI35))</f>
        <v>10. QA</v>
      </c>
      <c r="E35" s="201">
        <f>IF($AI35="","",IF(ISNUMBER(INDEX('Roadmap Calc (Don’t Touch)'!$G$2:$G$204,$AI35)),INDEX('Roadmap Calc (Don’t Touch)'!$G$2:$G$204,$AI35),""))</f>
        <v>46139</v>
      </c>
      <c r="F35" s="201">
        <f>IF($AI35="","",IF(ISNUMBER(INDEX('Roadmap Calc (Don’t Touch)'!$H$2:$H$204,$AI35)),INDEX('Roadmap Calc (Don’t Touch)'!$H$2:$H$204,$AI35),""))</f>
        <v>46146</v>
      </c>
      <c r="G35" s="202">
        <f>IF($AI35="","",INDEX('Roadmap Calc (Don’t Touch)'!$S$2:$S$204,$AI35))</f>
        <v>2</v>
      </c>
      <c r="H35" s="203">
        <f ca="1">IF($AI35="","",IF(ISNUMBER(INDEX('Roadmap Calc (Don’t Touch)'!$I$2:$I$204,$AI35)),INDEX('Roadmap Calc (Don’t Touch)'!$I$2:$I$204,$AI35),""))</f>
        <v>46235</v>
      </c>
      <c r="I35" s="203">
        <f ca="1">IF($AI35="","",IF(ISNUMBER(INDEX('Roadmap Calc (Don’t Touch)'!$J$2:$J$204,$AI35)),INDEX('Roadmap Calc (Don’t Touch)'!$J$2:$J$204,$AI35),""))</f>
        <v>46265</v>
      </c>
      <c r="J35" s="204" t="str">
        <f ca="1">IF($AI35="","",IF(INDEX('Roadmap Calc (Don’t Touch)'!$W$2:$AT$204,$AI35,1)&gt;0,IF(AND($H35&lt;&gt;"",$H35&lt;=EOMONTH(J$3,0),$I35&gt;=J$3),"B","U"),IF(AND($H35&lt;&gt;"",$H35&lt;=EOMONTH(J$3,0),$I35&gt;=J$3),"D","")))</f>
        <v/>
      </c>
      <c r="K35" s="204" t="str">
        <f ca="1">IF($AI35="","",IF(INDEX('Roadmap Calc (Don’t Touch)'!$W$2:$AT$204,$AI35,2)&gt;0,IF(AND($H35&lt;&gt;"",$H35&lt;=EOMONTH(K$3,0),$I35&gt;=K$3),"B","U"),IF(AND($H35&lt;&gt;"",$H35&lt;=EOMONTH(K$3,0),$I35&gt;=K$3),"D","")))</f>
        <v/>
      </c>
      <c r="L35" s="204" t="str">
        <f ca="1">IF($AI35="","",IF(INDEX('Roadmap Calc (Don’t Touch)'!$W$2:$AT$204,$AI35,3)&gt;0,IF(AND($H35&lt;&gt;"",$H35&lt;=EOMONTH(L$3,0),$I35&gt;=L$3),"B","U"),IF(AND($H35&lt;&gt;"",$H35&lt;=EOMONTH(L$3,0),$I35&gt;=L$3),"D","")))</f>
        <v/>
      </c>
      <c r="M35" s="216" t="str">
        <f ca="1">IF($AI35="","",IF(INDEX('Roadmap Calc (Don’t Touch)'!$W$2:$AT$204,$AI35,4)&gt;0,IF(AND($H35&lt;&gt;"",$H35&lt;=EOMONTH(M$3,0),$I35&gt;=M$3),"B","U"),IF(AND($H35&lt;&gt;"",$H35&lt;=EOMONTH(M$3,0),$I35&gt;=M$3),"D","")))</f>
        <v>U</v>
      </c>
      <c r="N35" s="204" t="str">
        <f ca="1">IF($AI35="","",IF(INDEX('Roadmap Calc (Don’t Touch)'!$W$2:$AT$204,$AI35,5)&gt;0,IF(AND($H35&lt;&gt;"",$H35&lt;=EOMONTH(N$3,0),$I35&gt;=N$3),"B","U"),IF(AND($H35&lt;&gt;"",$H35&lt;=EOMONTH(N$3,0),$I35&gt;=N$3),"D","")))</f>
        <v>U</v>
      </c>
      <c r="O35" s="217" t="str">
        <f ca="1">IF($AI35="","",IF(INDEX('Roadmap Calc (Don’t Touch)'!$W$2:$AT$204,$AI35,6)&gt;0,IF(AND($H35&lt;&gt;"",$H35&lt;=EOMONTH(O$3,0),$I35&gt;=O$3),"B","U"),IF(AND($H35&lt;&gt;"",$H35&lt;=EOMONTH(O$3,0),$I35&gt;=O$3),"D","")))</f>
        <v/>
      </c>
      <c r="P35" s="216" t="str">
        <f ca="1">IF($AI35="","",IF(INDEX('Roadmap Calc (Don’t Touch)'!$W$2:$AT$204,$AI35,7)&gt;0,IF(AND($H35&lt;&gt;"",$H35&lt;=EOMONTH(P$3,0),$I35&gt;=P$3),"B","U"),IF(AND($H35&lt;&gt;"",$H35&lt;=EOMONTH(P$3,0),$I35&gt;=P$3),"D","")))</f>
        <v/>
      </c>
      <c r="Q35" s="204" t="str">
        <f ca="1">IF($AI35="","",IF(INDEX('Roadmap Calc (Don’t Touch)'!$W$2:$AT$204,$AI35,8)&gt;0,IF(AND($H35&lt;&gt;"",$H35&lt;=EOMONTH(Q$3,0),$I35&gt;=Q$3),"B","U"),IF(AND($H35&lt;&gt;"",$H35&lt;=EOMONTH(Q$3,0),$I35&gt;=Q$3),"D","")))</f>
        <v>D</v>
      </c>
      <c r="R35" s="217" t="str">
        <f ca="1">IF($AI35="","",IF(INDEX('Roadmap Calc (Don’t Touch)'!$W$2:$AT$204,$AI35,9)&gt;0,IF(AND($H35&lt;&gt;"",$H35&lt;=EOMONTH(R$3,0),$I35&gt;=R$3),"B","U"),IF(AND($H35&lt;&gt;"",$H35&lt;=EOMONTH(R$3,0),$I35&gt;=R$3),"D","")))</f>
        <v/>
      </c>
      <c r="S35" s="216" t="str">
        <f ca="1">IF($AI35="","",IF(INDEX('Roadmap Calc (Don’t Touch)'!$W$2:$AT$204,$AI35,10)&gt;0,IF(AND($H35&lt;&gt;"",$H35&lt;=EOMONTH(S$3,0),$I35&gt;=S$3),"B","U"),IF(AND($H35&lt;&gt;"",$H35&lt;=EOMONTH(S$3,0),$I35&gt;=S$3),"D","")))</f>
        <v/>
      </c>
      <c r="T35" s="204" t="str">
        <f ca="1">IF($AI35="","",IF(INDEX('Roadmap Calc (Don’t Touch)'!$W$2:$AT$204,$AI35,11)&gt;0,IF(AND($H35&lt;&gt;"",$H35&lt;=EOMONTH(T$3,0),$I35&gt;=T$3),"B","U"),IF(AND($H35&lt;&gt;"",$H35&lt;=EOMONTH(T$3,0),$I35&gt;=T$3),"D","")))</f>
        <v/>
      </c>
      <c r="U35" s="217" t="str">
        <f ca="1">IF($AI35="","",IF(INDEX('Roadmap Calc (Don’t Touch)'!$W$2:$AT$204,$AI35,12)&gt;0,IF(AND($H35&lt;&gt;"",$H35&lt;=EOMONTH(U$3,0),$I35&gt;=U$3),"B","U"),IF(AND($H35&lt;&gt;"",$H35&lt;=EOMONTH(U$3,0),$I35&gt;=U$3),"D","")))</f>
        <v/>
      </c>
      <c r="V35" s="216" t="str">
        <f ca="1">IF($AI35="","",IF(INDEX('Roadmap Calc (Don’t Touch)'!$W$2:$AT$204,$AI35,13)&gt;0,IF(AND($H35&lt;&gt;"",$H35&lt;=EOMONTH(V$3,0),$I35&gt;=V$3),"B","U"),IF(AND($H35&lt;&gt;"",$H35&lt;=EOMONTH(V$3,0),$I35&gt;=V$3),"D","")))</f>
        <v/>
      </c>
      <c r="W35" s="204" t="str">
        <f ca="1">IF($AI35="","",IF(INDEX('Roadmap Calc (Don’t Touch)'!$W$2:$AT$204,$AI35,14)&gt;0,IF(AND($H35&lt;&gt;"",$H35&lt;=EOMONTH(W$3,0),$I35&gt;=W$3),"B","U"),IF(AND($H35&lt;&gt;"",$H35&lt;=EOMONTH(W$3,0),$I35&gt;=W$3),"D","")))</f>
        <v/>
      </c>
      <c r="X35" s="217" t="str">
        <f ca="1">IF($AI35="","",IF(INDEX('Roadmap Calc (Don’t Touch)'!$W$2:$AT$204,$AI35,15)&gt;0,IF(AND($H35&lt;&gt;"",$H35&lt;=EOMONTH(X$3,0),$I35&gt;=X$3),"B","U"),IF(AND($H35&lt;&gt;"",$H35&lt;=EOMONTH(X$3,0),$I35&gt;=X$3),"D","")))</f>
        <v/>
      </c>
      <c r="Y35" s="216" t="str">
        <f ca="1">IF($AI35="","",IF(INDEX('Roadmap Calc (Don’t Touch)'!$W$2:$AT$204,$AI35,16)&gt;0,IF(AND($H35&lt;&gt;"",$H35&lt;=EOMONTH(Y$3,0),$I35&gt;=Y$3),"B","U"),IF(AND($H35&lt;&gt;"",$H35&lt;=EOMONTH(Y$3,0),$I35&gt;=Y$3),"D","")))</f>
        <v/>
      </c>
      <c r="Z35" s="204" t="str">
        <f ca="1">IF($AI35="","",IF(INDEX('Roadmap Calc (Don’t Touch)'!$W$2:$AT$204,$AI35,17)&gt;0,IF(AND($H35&lt;&gt;"",$H35&lt;=EOMONTH(Z$3,0),$I35&gt;=Z$3),"B","U"),IF(AND($H35&lt;&gt;"",$H35&lt;=EOMONTH(Z$3,0),$I35&gt;=Z$3),"D","")))</f>
        <v/>
      </c>
      <c r="AA35" s="217" t="str">
        <f ca="1">IF($AI35="","",IF(INDEX('Roadmap Calc (Don’t Touch)'!$W$2:$AT$204,$AI35,18)&gt;0,IF(AND($H35&lt;&gt;"",$H35&lt;=EOMONTH(AA$3,0),$I35&gt;=AA$3),"B","U"),IF(AND($H35&lt;&gt;"",$H35&lt;=EOMONTH(AA$3,0),$I35&gt;=AA$3),"D","")))</f>
        <v/>
      </c>
      <c r="AB35" s="216" t="str">
        <f ca="1">IF($AI35="","",IF(INDEX('Roadmap Calc (Don’t Touch)'!$W$2:$AT$204,$AI35,19)&gt;0,IF(AND($H35&lt;&gt;"",$H35&lt;=EOMONTH(AB$3,0),$I35&gt;=AB$3),"B","U"),IF(AND($H35&lt;&gt;"",$H35&lt;=EOMONTH(AB$3,0),$I35&gt;=AB$3),"D","")))</f>
        <v/>
      </c>
      <c r="AC35" s="204" t="str">
        <f ca="1">IF($AI35="","",IF(INDEX('Roadmap Calc (Don’t Touch)'!$W$2:$AT$204,$AI35,20)&gt;0,IF(AND($H35&lt;&gt;"",$H35&lt;=EOMONTH(AC$3,0),$I35&gt;=AC$3),"B","U"),IF(AND($H35&lt;&gt;"",$H35&lt;=EOMONTH(AC$3,0),$I35&gt;=AC$3),"D","")))</f>
        <v/>
      </c>
      <c r="AD35" s="217" t="str">
        <f ca="1">IF($AI35="","",IF(INDEX('Roadmap Calc (Don’t Touch)'!$W$2:$AT$204,$AI35,21)&gt;0,IF(AND($H35&lt;&gt;"",$H35&lt;=EOMONTH(AD$3,0),$I35&gt;=AD$3),"B","U"),IF(AND($H35&lt;&gt;"",$H35&lt;=EOMONTH(AD$3,0),$I35&gt;=AD$3),"D","")))</f>
        <v/>
      </c>
      <c r="AE35" s="210" t="str">
        <f ca="1">IF($AI35="","",IF(INDEX('Roadmap Calc (Don’t Touch)'!$W$2:$AT$204,$AI35,22)&gt;0,IF(AND($H35&lt;&gt;"",$H35&lt;=EOMONTH(AE$3,0),$I35&gt;=AE$3),"B","U"),IF(AND($H35&lt;&gt;"",$H35&lt;=EOMONTH(AE$3,0),$I35&gt;=AE$3),"D","")))</f>
        <v/>
      </c>
      <c r="AF35" s="204" t="str">
        <f ca="1">IF($AI35="","",IF(INDEX('Roadmap Calc (Don’t Touch)'!$W$2:$AT$204,$AI35,23)&gt;0,IF(AND($H35&lt;&gt;"",$H35&lt;=EOMONTH(AF$3,0),$I35&gt;=AF$3),"B","U"),IF(AND($H35&lt;&gt;"",$H35&lt;=EOMONTH(AF$3,0),$I35&gt;=AF$3),"D","")))</f>
        <v/>
      </c>
      <c r="AG35" s="204" t="str">
        <f ca="1">IF($AI35="","",IF(INDEX('Roadmap Calc (Don’t Touch)'!$W$2:$AT$204,$AI35,24)&gt;0,IF(AND($H35&lt;&gt;"",$H35&lt;=EOMONTH(AG$3,0),$I35&gt;=AG$3),"B","U"),IF(AND($H35&lt;&gt;"",$H35&lt;=EOMONTH(AG$3,0),$I35&gt;=AG$3),"D","")))</f>
        <v/>
      </c>
      <c r="AH35" s="180" t="str">
        <f>IF($AI35="","",INDEX('Roadmap Calc (Don’t Touch)'!$D$2:$D$204,$AI35))</f>
        <v>Increase Buy Used Awareness</v>
      </c>
      <c r="AI35" s="180">
        <f>IFERROR(MATCH(29,'Roadmap Calc (Don’t Touch)'!$O$2:$O$204,0),"")</f>
        <v>36</v>
      </c>
    </row>
    <row r="36" spans="1:35" ht="17" customHeight="1" x14ac:dyDescent="0.25">
      <c r="A36" s="197" t="str">
        <f t="shared" si="0"/>
        <v/>
      </c>
      <c r="B36" s="198" t="str">
        <f>IF($AI36="","",INDEX('Roadmap Calc (Don’t Touch)'!$B$2:$B$204,$AI36))</f>
        <v>Used Hub Enhancements</v>
      </c>
      <c r="C36" s="199" t="str">
        <f>IF($AI36="","",INDEX('Roadmap Calc (Don’t Touch)'!$E$2:$E$204,$AI36))</f>
        <v>BHUX-31354 </v>
      </c>
      <c r="D36" s="227" t="str">
        <f>IF($AI36="","",INDEX('Roadmap Calc (Don’t Touch)'!$F$2:$F$204,$AI36))</f>
        <v>13. Live</v>
      </c>
      <c r="E36" s="201" t="str">
        <f>IF($AI36="","",IF(ISNUMBER(INDEX('Roadmap Calc (Don’t Touch)'!$G$2:$G$204,$AI36)),INDEX('Roadmap Calc (Don’t Touch)'!$G$2:$G$204,$AI36),""))</f>
        <v/>
      </c>
      <c r="F36" s="201" t="str">
        <f>IF($AI36="","",IF(ISNUMBER(INDEX('Roadmap Calc (Don’t Touch)'!$H$2:$H$204,$AI36)),INDEX('Roadmap Calc (Don’t Touch)'!$H$2:$H$204,$AI36),""))</f>
        <v/>
      </c>
      <c r="G36" s="202">
        <f>IF($AI36="","",INDEX('Roadmap Calc (Don’t Touch)'!$S$2:$S$204,$AI36))</f>
        <v>0</v>
      </c>
      <c r="H36" s="203" t="str">
        <f ca="1">IF($AI36="","",IF(ISNUMBER(INDEX('Roadmap Calc (Don’t Touch)'!$I$2:$I$204,$AI36)),INDEX('Roadmap Calc (Don’t Touch)'!$I$2:$I$204,$AI36),""))</f>
        <v/>
      </c>
      <c r="I36" s="203" t="str">
        <f ca="1">IF($AI36="","",IF(ISNUMBER(INDEX('Roadmap Calc (Don’t Touch)'!$J$2:$J$204,$AI36)),INDEX('Roadmap Calc (Don’t Touch)'!$J$2:$J$204,$AI36),""))</f>
        <v/>
      </c>
      <c r="J36" s="204" t="str">
        <f ca="1">IF($AI36="","",IF(INDEX('Roadmap Calc (Don’t Touch)'!$W$2:$AT$204,$AI36,1)&gt;0,IF(AND($H36&lt;&gt;"",$H36&lt;=EOMONTH(J$3,0),$I36&gt;=J$3),"B","U"),IF(AND($H36&lt;&gt;"",$H36&lt;=EOMONTH(J$3,0),$I36&gt;=J$3),"D","")))</f>
        <v/>
      </c>
      <c r="K36" s="204" t="str">
        <f ca="1">IF($AI36="","",IF(INDEX('Roadmap Calc (Don’t Touch)'!$W$2:$AT$204,$AI36,2)&gt;0,IF(AND($H36&lt;&gt;"",$H36&lt;=EOMONTH(K$3,0),$I36&gt;=K$3),"B","U"),IF(AND($H36&lt;&gt;"",$H36&lt;=EOMONTH(K$3,0),$I36&gt;=K$3),"D","")))</f>
        <v/>
      </c>
      <c r="L36" s="204" t="str">
        <f ca="1">IF($AI36="","",IF(INDEX('Roadmap Calc (Don’t Touch)'!$W$2:$AT$204,$AI36,3)&gt;0,IF(AND($H36&lt;&gt;"",$H36&lt;=EOMONTH(L$3,0),$I36&gt;=L$3),"B","U"),IF(AND($H36&lt;&gt;"",$H36&lt;=EOMONTH(L$3,0),$I36&gt;=L$3),"D","")))</f>
        <v/>
      </c>
      <c r="M36" s="216" t="str">
        <f ca="1">IF($AI36="","",IF(INDEX('Roadmap Calc (Don’t Touch)'!$W$2:$AT$204,$AI36,4)&gt;0,IF(AND($H36&lt;&gt;"",$H36&lt;=EOMONTH(M$3,0),$I36&gt;=M$3),"B","U"),IF(AND($H36&lt;&gt;"",$H36&lt;=EOMONTH(M$3,0),$I36&gt;=M$3),"D","")))</f>
        <v/>
      </c>
      <c r="N36" s="204" t="str">
        <f ca="1">IF($AI36="","",IF(INDEX('Roadmap Calc (Don’t Touch)'!$W$2:$AT$204,$AI36,5)&gt;0,IF(AND($H36&lt;&gt;"",$H36&lt;=EOMONTH(N$3,0),$I36&gt;=N$3),"B","U"),IF(AND($H36&lt;&gt;"",$H36&lt;=EOMONTH(N$3,0),$I36&gt;=N$3),"D","")))</f>
        <v/>
      </c>
      <c r="O36" s="217" t="str">
        <f ca="1">IF($AI36="","",IF(INDEX('Roadmap Calc (Don’t Touch)'!$W$2:$AT$204,$AI36,6)&gt;0,IF(AND($H36&lt;&gt;"",$H36&lt;=EOMONTH(O$3,0),$I36&gt;=O$3),"B","U"),IF(AND($H36&lt;&gt;"",$H36&lt;=EOMONTH(O$3,0),$I36&gt;=O$3),"D","")))</f>
        <v/>
      </c>
      <c r="P36" s="216" t="str">
        <f ca="1">IF($AI36="","",IF(INDEX('Roadmap Calc (Don’t Touch)'!$W$2:$AT$204,$AI36,7)&gt;0,IF(AND($H36&lt;&gt;"",$H36&lt;=EOMONTH(P$3,0),$I36&gt;=P$3),"B","U"),IF(AND($H36&lt;&gt;"",$H36&lt;=EOMONTH(P$3,0),$I36&gt;=P$3),"D","")))</f>
        <v/>
      </c>
      <c r="Q36" s="204" t="str">
        <f ca="1">IF($AI36="","",IF(INDEX('Roadmap Calc (Don’t Touch)'!$W$2:$AT$204,$AI36,8)&gt;0,IF(AND($H36&lt;&gt;"",$H36&lt;=EOMONTH(Q$3,0),$I36&gt;=Q$3),"B","U"),IF(AND($H36&lt;&gt;"",$H36&lt;=EOMONTH(Q$3,0),$I36&gt;=Q$3),"D","")))</f>
        <v/>
      </c>
      <c r="R36" s="217" t="str">
        <f ca="1">IF($AI36="","",IF(INDEX('Roadmap Calc (Don’t Touch)'!$W$2:$AT$204,$AI36,9)&gt;0,IF(AND($H36&lt;&gt;"",$H36&lt;=EOMONTH(R$3,0),$I36&gt;=R$3),"B","U"),IF(AND($H36&lt;&gt;"",$H36&lt;=EOMONTH(R$3,0),$I36&gt;=R$3),"D","")))</f>
        <v/>
      </c>
      <c r="S36" s="216" t="str">
        <f ca="1">IF($AI36="","",IF(INDEX('Roadmap Calc (Don’t Touch)'!$W$2:$AT$204,$AI36,10)&gt;0,IF(AND($H36&lt;&gt;"",$H36&lt;=EOMONTH(S$3,0),$I36&gt;=S$3),"B","U"),IF(AND($H36&lt;&gt;"",$H36&lt;=EOMONTH(S$3,0),$I36&gt;=S$3),"D","")))</f>
        <v/>
      </c>
      <c r="T36" s="204" t="str">
        <f ca="1">IF($AI36="","",IF(INDEX('Roadmap Calc (Don’t Touch)'!$W$2:$AT$204,$AI36,11)&gt;0,IF(AND($H36&lt;&gt;"",$H36&lt;=EOMONTH(T$3,0),$I36&gt;=T$3),"B","U"),IF(AND($H36&lt;&gt;"",$H36&lt;=EOMONTH(T$3,0),$I36&gt;=T$3),"D","")))</f>
        <v/>
      </c>
      <c r="U36" s="217" t="str">
        <f ca="1">IF($AI36="","",IF(INDEX('Roadmap Calc (Don’t Touch)'!$W$2:$AT$204,$AI36,12)&gt;0,IF(AND($H36&lt;&gt;"",$H36&lt;=EOMONTH(U$3,0),$I36&gt;=U$3),"B","U"),IF(AND($H36&lt;&gt;"",$H36&lt;=EOMONTH(U$3,0),$I36&gt;=U$3),"D","")))</f>
        <v/>
      </c>
      <c r="V36" s="216" t="str">
        <f ca="1">IF($AI36="","",IF(INDEX('Roadmap Calc (Don’t Touch)'!$W$2:$AT$204,$AI36,13)&gt;0,IF(AND($H36&lt;&gt;"",$H36&lt;=EOMONTH(V$3,0),$I36&gt;=V$3),"B","U"),IF(AND($H36&lt;&gt;"",$H36&lt;=EOMONTH(V$3,0),$I36&gt;=V$3),"D","")))</f>
        <v/>
      </c>
      <c r="W36" s="204" t="str">
        <f ca="1">IF($AI36="","",IF(INDEX('Roadmap Calc (Don’t Touch)'!$W$2:$AT$204,$AI36,14)&gt;0,IF(AND($H36&lt;&gt;"",$H36&lt;=EOMONTH(W$3,0),$I36&gt;=W$3),"B","U"),IF(AND($H36&lt;&gt;"",$H36&lt;=EOMONTH(W$3,0),$I36&gt;=W$3),"D","")))</f>
        <v/>
      </c>
      <c r="X36" s="217" t="str">
        <f ca="1">IF($AI36="","",IF(INDEX('Roadmap Calc (Don’t Touch)'!$W$2:$AT$204,$AI36,15)&gt;0,IF(AND($H36&lt;&gt;"",$H36&lt;=EOMONTH(X$3,0),$I36&gt;=X$3),"B","U"),IF(AND($H36&lt;&gt;"",$H36&lt;=EOMONTH(X$3,0),$I36&gt;=X$3),"D","")))</f>
        <v/>
      </c>
      <c r="Y36" s="216" t="str">
        <f ca="1">IF($AI36="","",IF(INDEX('Roadmap Calc (Don’t Touch)'!$W$2:$AT$204,$AI36,16)&gt;0,IF(AND($H36&lt;&gt;"",$H36&lt;=EOMONTH(Y$3,0),$I36&gt;=Y$3),"B","U"),IF(AND($H36&lt;&gt;"",$H36&lt;=EOMONTH(Y$3,0),$I36&gt;=Y$3),"D","")))</f>
        <v/>
      </c>
      <c r="Z36" s="204" t="str">
        <f ca="1">IF($AI36="","",IF(INDEX('Roadmap Calc (Don’t Touch)'!$W$2:$AT$204,$AI36,17)&gt;0,IF(AND($H36&lt;&gt;"",$H36&lt;=EOMONTH(Z$3,0),$I36&gt;=Z$3),"B","U"),IF(AND($H36&lt;&gt;"",$H36&lt;=EOMONTH(Z$3,0),$I36&gt;=Z$3),"D","")))</f>
        <v/>
      </c>
      <c r="AA36" s="217" t="str">
        <f ca="1">IF($AI36="","",IF(INDEX('Roadmap Calc (Don’t Touch)'!$W$2:$AT$204,$AI36,18)&gt;0,IF(AND($H36&lt;&gt;"",$H36&lt;=EOMONTH(AA$3,0),$I36&gt;=AA$3),"B","U"),IF(AND($H36&lt;&gt;"",$H36&lt;=EOMONTH(AA$3,0),$I36&gt;=AA$3),"D","")))</f>
        <v/>
      </c>
      <c r="AB36" s="216" t="str">
        <f ca="1">IF($AI36="","",IF(INDEX('Roadmap Calc (Don’t Touch)'!$W$2:$AT$204,$AI36,19)&gt;0,IF(AND($H36&lt;&gt;"",$H36&lt;=EOMONTH(AB$3,0),$I36&gt;=AB$3),"B","U"),IF(AND($H36&lt;&gt;"",$H36&lt;=EOMONTH(AB$3,0),$I36&gt;=AB$3),"D","")))</f>
        <v/>
      </c>
      <c r="AC36" s="204" t="str">
        <f ca="1">IF($AI36="","",IF(INDEX('Roadmap Calc (Don’t Touch)'!$W$2:$AT$204,$AI36,20)&gt;0,IF(AND($H36&lt;&gt;"",$H36&lt;=EOMONTH(AC$3,0),$I36&gt;=AC$3),"B","U"),IF(AND($H36&lt;&gt;"",$H36&lt;=EOMONTH(AC$3,0),$I36&gt;=AC$3),"D","")))</f>
        <v/>
      </c>
      <c r="AD36" s="217" t="str">
        <f ca="1">IF($AI36="","",IF(INDEX('Roadmap Calc (Don’t Touch)'!$W$2:$AT$204,$AI36,21)&gt;0,IF(AND($H36&lt;&gt;"",$H36&lt;=EOMONTH(AD$3,0),$I36&gt;=AD$3),"B","U"),IF(AND($H36&lt;&gt;"",$H36&lt;=EOMONTH(AD$3,0),$I36&gt;=AD$3),"D","")))</f>
        <v/>
      </c>
      <c r="AE36" s="210" t="str">
        <f ca="1">IF($AI36="","",IF(INDEX('Roadmap Calc (Don’t Touch)'!$W$2:$AT$204,$AI36,22)&gt;0,IF(AND($H36&lt;&gt;"",$H36&lt;=EOMONTH(AE$3,0),$I36&gt;=AE$3),"B","U"),IF(AND($H36&lt;&gt;"",$H36&lt;=EOMONTH(AE$3,0),$I36&gt;=AE$3),"D","")))</f>
        <v/>
      </c>
      <c r="AF36" s="204" t="str">
        <f ca="1">IF($AI36="","",IF(INDEX('Roadmap Calc (Don’t Touch)'!$W$2:$AT$204,$AI36,23)&gt;0,IF(AND($H36&lt;&gt;"",$H36&lt;=EOMONTH(AF$3,0),$I36&gt;=AF$3),"B","U"),IF(AND($H36&lt;&gt;"",$H36&lt;=EOMONTH(AF$3,0),$I36&gt;=AF$3),"D","")))</f>
        <v/>
      </c>
      <c r="AG36" s="204" t="str">
        <f ca="1">IF($AI36="","",IF(INDEX('Roadmap Calc (Don’t Touch)'!$W$2:$AT$204,$AI36,24)&gt;0,IF(AND($H36&lt;&gt;"",$H36&lt;=EOMONTH(AG$3,0),$I36&gt;=AG$3),"B","U"),IF(AND($H36&lt;&gt;"",$H36&lt;=EOMONTH(AG$3,0),$I36&gt;=AG$3),"D","")))</f>
        <v/>
      </c>
      <c r="AH36" s="180" t="str">
        <f>IF($AI36="","",INDEX('Roadmap Calc (Don’t Touch)'!$D$2:$D$204,$AI36))</f>
        <v>Increase Buy Used Awareness</v>
      </c>
      <c r="AI36" s="180">
        <f>IFERROR(MATCH(30,'Roadmap Calc (Don’t Touch)'!$O$2:$O$204,0),"")</f>
        <v>45</v>
      </c>
    </row>
    <row r="37" spans="1:35" ht="17" customHeight="1" x14ac:dyDescent="0.25">
      <c r="A37" s="197" t="str">
        <f t="shared" si="0"/>
        <v>Improve Buy Used Customer Experience</v>
      </c>
      <c r="B37" s="198" t="str">
        <f>IF($AI37="","",INDEX('Roadmap Calc (Don’t Touch)'!$B$2:$B$204,$AI37))</f>
        <v>New Condition Rating Scale</v>
      </c>
      <c r="C37" s="199" t="str">
        <f>IF($AI37="","",INDEX('Roadmap Calc (Don’t Touch)'!$E$2:$E$204,$AI37))</f>
        <v>BHUX-33510</v>
      </c>
      <c r="D37" s="227" t="str">
        <f>IF($AI37="","",INDEX('Roadmap Calc (Don’t Touch)'!$F$2:$F$204,$AI37))</f>
        <v>00. Parking Lot</v>
      </c>
      <c r="E37" s="201">
        <f>IF($AI37="","",IF(ISNUMBER(INDEX('Roadmap Calc (Don’t Touch)'!$G$2:$G$204,$AI37)),INDEX('Roadmap Calc (Don’t Touch)'!$G$2:$G$204,$AI37),""))</f>
        <v>46174</v>
      </c>
      <c r="F37" s="201">
        <f>IF($AI37="","",IF(ISNUMBER(INDEX('Roadmap Calc (Don’t Touch)'!$H$2:$H$204,$AI37)),INDEX('Roadmap Calc (Don’t Touch)'!$H$2:$H$204,$AI37),""))</f>
        <v>46188</v>
      </c>
      <c r="G37" s="202">
        <f>IF($AI37="","",INDEX('Roadmap Calc (Don’t Touch)'!$S$2:$S$204,$AI37))</f>
        <v>3</v>
      </c>
      <c r="H37" s="203">
        <f ca="1">IF($AI37="","",IF(ISNUMBER(INDEX('Roadmap Calc (Don’t Touch)'!$I$2:$I$204,$AI37)),INDEX('Roadmap Calc (Don’t Touch)'!$I$2:$I$204,$AI37),""))</f>
        <v>46388</v>
      </c>
      <c r="I37" s="203">
        <f ca="1">IF($AI37="","",IF(ISNUMBER(INDEX('Roadmap Calc (Don’t Touch)'!$J$2:$J$204,$AI37)),INDEX('Roadmap Calc (Don’t Touch)'!$J$2:$J$204,$AI37),""))</f>
        <v>46418</v>
      </c>
      <c r="J37" s="204" t="str">
        <f ca="1">IF($AI37="","",IF(INDEX('Roadmap Calc (Don’t Touch)'!$W$2:$AT$204,$AI37,1)&gt;0,IF(AND($H37&lt;&gt;"",$H37&lt;=EOMONTH(J$3,0),$I37&gt;=J$3),"B","U"),IF(AND($H37&lt;&gt;"",$H37&lt;=EOMONTH(J$3,0),$I37&gt;=J$3),"D","")))</f>
        <v/>
      </c>
      <c r="K37" s="204" t="str">
        <f ca="1">IF($AI37="","",IF(INDEX('Roadmap Calc (Don’t Touch)'!$W$2:$AT$204,$AI37,2)&gt;0,IF(AND($H37&lt;&gt;"",$H37&lt;=EOMONTH(K$3,0),$I37&gt;=K$3),"B","U"),IF(AND($H37&lt;&gt;"",$H37&lt;=EOMONTH(K$3,0),$I37&gt;=K$3),"D","")))</f>
        <v/>
      </c>
      <c r="L37" s="204" t="str">
        <f ca="1">IF($AI37="","",IF(INDEX('Roadmap Calc (Don’t Touch)'!$W$2:$AT$204,$AI37,3)&gt;0,IF(AND($H37&lt;&gt;"",$H37&lt;=EOMONTH(L$3,0),$I37&gt;=L$3),"B","U"),IF(AND($H37&lt;&gt;"",$H37&lt;=EOMONTH(L$3,0),$I37&gt;=L$3),"D","")))</f>
        <v/>
      </c>
      <c r="M37" s="216" t="str">
        <f ca="1">IF($AI37="","",IF(INDEX('Roadmap Calc (Don’t Touch)'!$W$2:$AT$204,$AI37,4)&gt;0,IF(AND($H37&lt;&gt;"",$H37&lt;=EOMONTH(M$3,0),$I37&gt;=M$3),"B","U"),IF(AND($H37&lt;&gt;"",$H37&lt;=EOMONTH(M$3,0),$I37&gt;=M$3),"D","")))</f>
        <v/>
      </c>
      <c r="N37" s="204" t="str">
        <f ca="1">IF($AI37="","",IF(INDEX('Roadmap Calc (Don’t Touch)'!$W$2:$AT$204,$AI37,5)&gt;0,IF(AND($H37&lt;&gt;"",$H37&lt;=EOMONTH(N$3,0),$I37&gt;=N$3),"B","U"),IF(AND($H37&lt;&gt;"",$H37&lt;=EOMONTH(N$3,0),$I37&gt;=N$3),"D","")))</f>
        <v/>
      </c>
      <c r="O37" s="217" t="str">
        <f ca="1">IF($AI37="","",IF(INDEX('Roadmap Calc (Don’t Touch)'!$W$2:$AT$204,$AI37,6)&gt;0,IF(AND($H37&lt;&gt;"",$H37&lt;=EOMONTH(O$3,0),$I37&gt;=O$3),"B","U"),IF(AND($H37&lt;&gt;"",$H37&lt;=EOMONTH(O$3,0),$I37&gt;=O$3),"D","")))</f>
        <v>U</v>
      </c>
      <c r="P37" s="216" t="str">
        <f ca="1">IF($AI37="","",IF(INDEX('Roadmap Calc (Don’t Touch)'!$W$2:$AT$204,$AI37,7)&gt;0,IF(AND($H37&lt;&gt;"",$H37&lt;=EOMONTH(P$3,0),$I37&gt;=P$3),"B","U"),IF(AND($H37&lt;&gt;"",$H37&lt;=EOMONTH(P$3,0),$I37&gt;=P$3),"D","")))</f>
        <v/>
      </c>
      <c r="Q37" s="204" t="str">
        <f ca="1">IF($AI37="","",IF(INDEX('Roadmap Calc (Don’t Touch)'!$W$2:$AT$204,$AI37,8)&gt;0,IF(AND($H37&lt;&gt;"",$H37&lt;=EOMONTH(Q$3,0),$I37&gt;=Q$3),"B","U"),IF(AND($H37&lt;&gt;"",$H37&lt;=EOMONTH(Q$3,0),$I37&gt;=Q$3),"D","")))</f>
        <v/>
      </c>
      <c r="R37" s="217" t="str">
        <f ca="1">IF($AI37="","",IF(INDEX('Roadmap Calc (Don’t Touch)'!$W$2:$AT$204,$AI37,9)&gt;0,IF(AND($H37&lt;&gt;"",$H37&lt;=EOMONTH(R$3,0),$I37&gt;=R$3),"B","U"),IF(AND($H37&lt;&gt;"",$H37&lt;=EOMONTH(R$3,0),$I37&gt;=R$3),"D","")))</f>
        <v/>
      </c>
      <c r="S37" s="216" t="str">
        <f ca="1">IF($AI37="","",IF(INDEX('Roadmap Calc (Don’t Touch)'!$W$2:$AT$204,$AI37,10)&gt;0,IF(AND($H37&lt;&gt;"",$H37&lt;=EOMONTH(S$3,0),$I37&gt;=S$3),"B","U"),IF(AND($H37&lt;&gt;"",$H37&lt;=EOMONTH(S$3,0),$I37&gt;=S$3),"D","")))</f>
        <v/>
      </c>
      <c r="T37" s="204" t="str">
        <f ca="1">IF($AI37="","",IF(INDEX('Roadmap Calc (Don’t Touch)'!$W$2:$AT$204,$AI37,11)&gt;0,IF(AND($H37&lt;&gt;"",$H37&lt;=EOMONTH(T$3,0),$I37&gt;=T$3),"B","U"),IF(AND($H37&lt;&gt;"",$H37&lt;=EOMONTH(T$3,0),$I37&gt;=T$3),"D","")))</f>
        <v/>
      </c>
      <c r="U37" s="217" t="str">
        <f ca="1">IF($AI37="","",IF(INDEX('Roadmap Calc (Don’t Touch)'!$W$2:$AT$204,$AI37,12)&gt;0,IF(AND($H37&lt;&gt;"",$H37&lt;=EOMONTH(U$3,0),$I37&gt;=U$3),"B","U"),IF(AND($H37&lt;&gt;"",$H37&lt;=EOMONTH(U$3,0),$I37&gt;=U$3),"D","")))</f>
        <v/>
      </c>
      <c r="V37" s="216" t="str">
        <f ca="1">IF($AI37="","",IF(INDEX('Roadmap Calc (Don’t Touch)'!$W$2:$AT$204,$AI37,13)&gt;0,IF(AND($H37&lt;&gt;"",$H37&lt;=EOMONTH(V$3,0),$I37&gt;=V$3),"B","U"),IF(AND($H37&lt;&gt;"",$H37&lt;=EOMONTH(V$3,0),$I37&gt;=V$3),"D","")))</f>
        <v>D</v>
      </c>
      <c r="W37" s="204" t="str">
        <f ca="1">IF($AI37="","",IF(INDEX('Roadmap Calc (Don’t Touch)'!$W$2:$AT$204,$AI37,14)&gt;0,IF(AND($H37&lt;&gt;"",$H37&lt;=EOMONTH(W$3,0),$I37&gt;=W$3),"B","U"),IF(AND($H37&lt;&gt;"",$H37&lt;=EOMONTH(W$3,0),$I37&gt;=W$3),"D","")))</f>
        <v/>
      </c>
      <c r="X37" s="217" t="str">
        <f ca="1">IF($AI37="","",IF(INDEX('Roadmap Calc (Don’t Touch)'!$W$2:$AT$204,$AI37,15)&gt;0,IF(AND($H37&lt;&gt;"",$H37&lt;=EOMONTH(X$3,0),$I37&gt;=X$3),"B","U"),IF(AND($H37&lt;&gt;"",$H37&lt;=EOMONTH(X$3,0),$I37&gt;=X$3),"D","")))</f>
        <v/>
      </c>
      <c r="Y37" s="216" t="str">
        <f ca="1">IF($AI37="","",IF(INDEX('Roadmap Calc (Don’t Touch)'!$W$2:$AT$204,$AI37,16)&gt;0,IF(AND($H37&lt;&gt;"",$H37&lt;=EOMONTH(Y$3,0),$I37&gt;=Y$3),"B","U"),IF(AND($H37&lt;&gt;"",$H37&lt;=EOMONTH(Y$3,0),$I37&gt;=Y$3),"D","")))</f>
        <v/>
      </c>
      <c r="Z37" s="204" t="str">
        <f ca="1">IF($AI37="","",IF(INDEX('Roadmap Calc (Don’t Touch)'!$W$2:$AT$204,$AI37,17)&gt;0,IF(AND($H37&lt;&gt;"",$H37&lt;=EOMONTH(Z$3,0),$I37&gt;=Z$3),"B","U"),IF(AND($H37&lt;&gt;"",$H37&lt;=EOMONTH(Z$3,0),$I37&gt;=Z$3),"D","")))</f>
        <v/>
      </c>
      <c r="AA37" s="217" t="str">
        <f ca="1">IF($AI37="","",IF(INDEX('Roadmap Calc (Don’t Touch)'!$W$2:$AT$204,$AI37,18)&gt;0,IF(AND($H37&lt;&gt;"",$H37&lt;=EOMONTH(AA$3,0),$I37&gt;=AA$3),"B","U"),IF(AND($H37&lt;&gt;"",$H37&lt;=EOMONTH(AA$3,0),$I37&gt;=AA$3),"D","")))</f>
        <v/>
      </c>
      <c r="AB37" s="216" t="str">
        <f ca="1">IF($AI37="","",IF(INDEX('Roadmap Calc (Don’t Touch)'!$W$2:$AT$204,$AI37,19)&gt;0,IF(AND($H37&lt;&gt;"",$H37&lt;=EOMONTH(AB$3,0),$I37&gt;=AB$3),"B","U"),IF(AND($H37&lt;&gt;"",$H37&lt;=EOMONTH(AB$3,0),$I37&gt;=AB$3),"D","")))</f>
        <v/>
      </c>
      <c r="AC37" s="204" t="str">
        <f ca="1">IF($AI37="","",IF(INDEX('Roadmap Calc (Don’t Touch)'!$W$2:$AT$204,$AI37,20)&gt;0,IF(AND($H37&lt;&gt;"",$H37&lt;=EOMONTH(AC$3,0),$I37&gt;=AC$3),"B","U"),IF(AND($H37&lt;&gt;"",$H37&lt;=EOMONTH(AC$3,0),$I37&gt;=AC$3),"D","")))</f>
        <v/>
      </c>
      <c r="AD37" s="217" t="str">
        <f ca="1">IF($AI37="","",IF(INDEX('Roadmap Calc (Don’t Touch)'!$W$2:$AT$204,$AI37,21)&gt;0,IF(AND($H37&lt;&gt;"",$H37&lt;=EOMONTH(AD$3,0),$I37&gt;=AD$3),"B","U"),IF(AND($H37&lt;&gt;"",$H37&lt;=EOMONTH(AD$3,0),$I37&gt;=AD$3),"D","")))</f>
        <v/>
      </c>
      <c r="AE37" s="210" t="str">
        <f ca="1">IF($AI37="","",IF(INDEX('Roadmap Calc (Don’t Touch)'!$W$2:$AT$204,$AI37,22)&gt;0,IF(AND($H37&lt;&gt;"",$H37&lt;=EOMONTH(AE$3,0),$I37&gt;=AE$3),"B","U"),IF(AND($H37&lt;&gt;"",$H37&lt;=EOMONTH(AE$3,0),$I37&gt;=AE$3),"D","")))</f>
        <v/>
      </c>
      <c r="AF37" s="204" t="str">
        <f ca="1">IF($AI37="","",IF(INDEX('Roadmap Calc (Don’t Touch)'!$W$2:$AT$204,$AI37,23)&gt;0,IF(AND($H37&lt;&gt;"",$H37&lt;=EOMONTH(AF$3,0),$I37&gt;=AF$3),"B","U"),IF(AND($H37&lt;&gt;"",$H37&lt;=EOMONTH(AF$3,0),$I37&gt;=AF$3),"D","")))</f>
        <v/>
      </c>
      <c r="AG37" s="204" t="str">
        <f ca="1">IF($AI37="","",IF(INDEX('Roadmap Calc (Don’t Touch)'!$W$2:$AT$204,$AI37,24)&gt;0,IF(AND($H37&lt;&gt;"",$H37&lt;=EOMONTH(AG$3,0),$I37&gt;=AG$3),"B","U"),IF(AND($H37&lt;&gt;"",$H37&lt;=EOMONTH(AG$3,0),$I37&gt;=AG$3),"D","")))</f>
        <v/>
      </c>
      <c r="AH37" s="180" t="str">
        <f>IF($AI37="","",INDEX('Roadmap Calc (Don’t Touch)'!$D$2:$D$204,$AI37))</f>
        <v>Improve Buy Used Customer Experience</v>
      </c>
      <c r="AI37" s="180">
        <f>IFERROR(MATCH(31,'Roadmap Calc (Don’t Touch)'!$O$2:$O$204,0),"")</f>
        <v>1</v>
      </c>
    </row>
    <row r="38" spans="1:35" ht="17" customHeight="1" x14ac:dyDescent="0.25">
      <c r="A38" s="197" t="str">
        <f t="shared" si="0"/>
        <v/>
      </c>
      <c r="B38" s="198" t="str">
        <f>IF($AI38="","",INDEX('Roadmap Calc (Don’t Touch)'!$B$2:$B$204,$AI38))</f>
        <v>New Condition Rating Scale (Intermediate Step)</v>
      </c>
      <c r="C38" s="199" t="str">
        <f>IF($AI38="","",INDEX('Roadmap Calc (Don’t Touch)'!$E$2:$E$204,$AI38))</f>
        <v>BHJ-121278</v>
      </c>
      <c r="D38" s="227" t="str">
        <f>IF($AI38="","",INDEX('Roadmap Calc (Don’t Touch)'!$F$2:$F$204,$AI38))</f>
        <v>07. Grooming</v>
      </c>
      <c r="E38" s="201" t="str">
        <f>IF($AI38="","",IF(ISNUMBER(INDEX('Roadmap Calc (Don’t Touch)'!$G$2:$G$204,$AI38)),INDEX('Roadmap Calc (Don’t Touch)'!$G$2:$G$204,$AI38),""))</f>
        <v/>
      </c>
      <c r="F38" s="201" t="str">
        <f>IF($AI38="","",IF(ISNUMBER(INDEX('Roadmap Calc (Don’t Touch)'!$H$2:$H$204,$AI38)),INDEX('Roadmap Calc (Don’t Touch)'!$H$2:$H$204,$AI38),""))</f>
        <v/>
      </c>
      <c r="G38" s="202">
        <f>IF($AI38="","",INDEX('Roadmap Calc (Don’t Touch)'!$S$2:$S$204,$AI38))</f>
        <v>0</v>
      </c>
      <c r="H38" s="203" t="str">
        <f ca="1">IF($AI38="","",IF(ISNUMBER(INDEX('Roadmap Calc (Don’t Touch)'!$I$2:$I$204,$AI38)),INDEX('Roadmap Calc (Don’t Touch)'!$I$2:$I$204,$AI38),""))</f>
        <v/>
      </c>
      <c r="I38" s="203" t="str">
        <f ca="1">IF($AI38="","",IF(ISNUMBER(INDEX('Roadmap Calc (Don’t Touch)'!$J$2:$J$204,$AI38)),INDEX('Roadmap Calc (Don’t Touch)'!$J$2:$J$204,$AI38),""))</f>
        <v/>
      </c>
      <c r="J38" s="204" t="str">
        <f ca="1">IF($AI38="","",IF(INDEX('Roadmap Calc (Don’t Touch)'!$W$2:$AT$204,$AI38,1)&gt;0,IF(AND($H38&lt;&gt;"",$H38&lt;=EOMONTH(J$3,0),$I38&gt;=J$3),"B","U"),IF(AND($H38&lt;&gt;"",$H38&lt;=EOMONTH(J$3,0),$I38&gt;=J$3),"D","")))</f>
        <v/>
      </c>
      <c r="K38" s="204" t="str">
        <f ca="1">IF($AI38="","",IF(INDEX('Roadmap Calc (Don’t Touch)'!$W$2:$AT$204,$AI38,2)&gt;0,IF(AND($H38&lt;&gt;"",$H38&lt;=EOMONTH(K$3,0),$I38&gt;=K$3),"B","U"),IF(AND($H38&lt;&gt;"",$H38&lt;=EOMONTH(K$3,0),$I38&gt;=K$3),"D","")))</f>
        <v/>
      </c>
      <c r="L38" s="204" t="str">
        <f ca="1">IF($AI38="","",IF(INDEX('Roadmap Calc (Don’t Touch)'!$W$2:$AT$204,$AI38,3)&gt;0,IF(AND($H38&lt;&gt;"",$H38&lt;=EOMONTH(L$3,0),$I38&gt;=L$3),"B","U"),IF(AND($H38&lt;&gt;"",$H38&lt;=EOMONTH(L$3,0),$I38&gt;=L$3),"D","")))</f>
        <v/>
      </c>
      <c r="M38" s="216" t="str">
        <f ca="1">IF($AI38="","",IF(INDEX('Roadmap Calc (Don’t Touch)'!$W$2:$AT$204,$AI38,4)&gt;0,IF(AND($H38&lt;&gt;"",$H38&lt;=EOMONTH(M$3,0),$I38&gt;=M$3),"B","U"),IF(AND($H38&lt;&gt;"",$H38&lt;=EOMONTH(M$3,0),$I38&gt;=M$3),"D","")))</f>
        <v/>
      </c>
      <c r="N38" s="204" t="str">
        <f ca="1">IF($AI38="","",IF(INDEX('Roadmap Calc (Don’t Touch)'!$W$2:$AT$204,$AI38,5)&gt;0,IF(AND($H38&lt;&gt;"",$H38&lt;=EOMONTH(N$3,0),$I38&gt;=N$3),"B","U"),IF(AND($H38&lt;&gt;"",$H38&lt;=EOMONTH(N$3,0),$I38&gt;=N$3),"D","")))</f>
        <v/>
      </c>
      <c r="O38" s="217" t="str">
        <f ca="1">IF($AI38="","",IF(INDEX('Roadmap Calc (Don’t Touch)'!$W$2:$AT$204,$AI38,6)&gt;0,IF(AND($H38&lt;&gt;"",$H38&lt;=EOMONTH(O$3,0),$I38&gt;=O$3),"B","U"),IF(AND($H38&lt;&gt;"",$H38&lt;=EOMONTH(O$3,0),$I38&gt;=O$3),"D","")))</f>
        <v/>
      </c>
      <c r="P38" s="216" t="str">
        <f ca="1">IF($AI38="","",IF(INDEX('Roadmap Calc (Don’t Touch)'!$W$2:$AT$204,$AI38,7)&gt;0,IF(AND($H38&lt;&gt;"",$H38&lt;=EOMONTH(P$3,0),$I38&gt;=P$3),"B","U"),IF(AND($H38&lt;&gt;"",$H38&lt;=EOMONTH(P$3,0),$I38&gt;=P$3),"D","")))</f>
        <v/>
      </c>
      <c r="Q38" s="204" t="str">
        <f ca="1">IF($AI38="","",IF(INDEX('Roadmap Calc (Don’t Touch)'!$W$2:$AT$204,$AI38,8)&gt;0,IF(AND($H38&lt;&gt;"",$H38&lt;=EOMONTH(Q$3,0),$I38&gt;=Q$3),"B","U"),IF(AND($H38&lt;&gt;"",$H38&lt;=EOMONTH(Q$3,0),$I38&gt;=Q$3),"D","")))</f>
        <v/>
      </c>
      <c r="R38" s="217" t="str">
        <f ca="1">IF($AI38="","",IF(INDEX('Roadmap Calc (Don’t Touch)'!$W$2:$AT$204,$AI38,9)&gt;0,IF(AND($H38&lt;&gt;"",$H38&lt;=EOMONTH(R$3,0),$I38&gt;=R$3),"B","U"),IF(AND($H38&lt;&gt;"",$H38&lt;=EOMONTH(R$3,0),$I38&gt;=R$3),"D","")))</f>
        <v/>
      </c>
      <c r="S38" s="216" t="str">
        <f ca="1">IF($AI38="","",IF(INDEX('Roadmap Calc (Don’t Touch)'!$W$2:$AT$204,$AI38,10)&gt;0,IF(AND($H38&lt;&gt;"",$H38&lt;=EOMONTH(S$3,0),$I38&gt;=S$3),"B","U"),IF(AND($H38&lt;&gt;"",$H38&lt;=EOMONTH(S$3,0),$I38&gt;=S$3),"D","")))</f>
        <v/>
      </c>
      <c r="T38" s="204" t="str">
        <f ca="1">IF($AI38="","",IF(INDEX('Roadmap Calc (Don’t Touch)'!$W$2:$AT$204,$AI38,11)&gt;0,IF(AND($H38&lt;&gt;"",$H38&lt;=EOMONTH(T$3,0),$I38&gt;=T$3),"B","U"),IF(AND($H38&lt;&gt;"",$H38&lt;=EOMONTH(T$3,0),$I38&gt;=T$3),"D","")))</f>
        <v/>
      </c>
      <c r="U38" s="217" t="str">
        <f ca="1">IF($AI38="","",IF(INDEX('Roadmap Calc (Don’t Touch)'!$W$2:$AT$204,$AI38,12)&gt;0,IF(AND($H38&lt;&gt;"",$H38&lt;=EOMONTH(U$3,0),$I38&gt;=U$3),"B","U"),IF(AND($H38&lt;&gt;"",$H38&lt;=EOMONTH(U$3,0),$I38&gt;=U$3),"D","")))</f>
        <v/>
      </c>
      <c r="V38" s="216" t="str">
        <f ca="1">IF($AI38="","",IF(INDEX('Roadmap Calc (Don’t Touch)'!$W$2:$AT$204,$AI38,13)&gt;0,IF(AND($H38&lt;&gt;"",$H38&lt;=EOMONTH(V$3,0),$I38&gt;=V$3),"B","U"),IF(AND($H38&lt;&gt;"",$H38&lt;=EOMONTH(V$3,0),$I38&gt;=V$3),"D","")))</f>
        <v/>
      </c>
      <c r="W38" s="204" t="str">
        <f ca="1">IF($AI38="","",IF(INDEX('Roadmap Calc (Don’t Touch)'!$W$2:$AT$204,$AI38,14)&gt;0,IF(AND($H38&lt;&gt;"",$H38&lt;=EOMONTH(W$3,0),$I38&gt;=W$3),"B","U"),IF(AND($H38&lt;&gt;"",$H38&lt;=EOMONTH(W$3,0),$I38&gt;=W$3),"D","")))</f>
        <v/>
      </c>
      <c r="X38" s="217" t="str">
        <f ca="1">IF($AI38="","",IF(INDEX('Roadmap Calc (Don’t Touch)'!$W$2:$AT$204,$AI38,15)&gt;0,IF(AND($H38&lt;&gt;"",$H38&lt;=EOMONTH(X$3,0),$I38&gt;=X$3),"B","U"),IF(AND($H38&lt;&gt;"",$H38&lt;=EOMONTH(X$3,0),$I38&gt;=X$3),"D","")))</f>
        <v/>
      </c>
      <c r="Y38" s="216" t="str">
        <f ca="1">IF($AI38="","",IF(INDEX('Roadmap Calc (Don’t Touch)'!$W$2:$AT$204,$AI38,16)&gt;0,IF(AND($H38&lt;&gt;"",$H38&lt;=EOMONTH(Y$3,0),$I38&gt;=Y$3),"B","U"),IF(AND($H38&lt;&gt;"",$H38&lt;=EOMONTH(Y$3,0),$I38&gt;=Y$3),"D","")))</f>
        <v/>
      </c>
      <c r="Z38" s="204" t="str">
        <f ca="1">IF($AI38="","",IF(INDEX('Roadmap Calc (Don’t Touch)'!$W$2:$AT$204,$AI38,17)&gt;0,IF(AND($H38&lt;&gt;"",$H38&lt;=EOMONTH(Z$3,0),$I38&gt;=Z$3),"B","U"),IF(AND($H38&lt;&gt;"",$H38&lt;=EOMONTH(Z$3,0),$I38&gt;=Z$3),"D","")))</f>
        <v/>
      </c>
      <c r="AA38" s="217" t="str">
        <f ca="1">IF($AI38="","",IF(INDEX('Roadmap Calc (Don’t Touch)'!$W$2:$AT$204,$AI38,18)&gt;0,IF(AND($H38&lt;&gt;"",$H38&lt;=EOMONTH(AA$3,0),$I38&gt;=AA$3),"B","U"),IF(AND($H38&lt;&gt;"",$H38&lt;=EOMONTH(AA$3,0),$I38&gt;=AA$3),"D","")))</f>
        <v/>
      </c>
      <c r="AB38" s="216" t="str">
        <f ca="1">IF($AI38="","",IF(INDEX('Roadmap Calc (Don’t Touch)'!$W$2:$AT$204,$AI38,19)&gt;0,IF(AND($H38&lt;&gt;"",$H38&lt;=EOMONTH(AB$3,0),$I38&gt;=AB$3),"B","U"),IF(AND($H38&lt;&gt;"",$H38&lt;=EOMONTH(AB$3,0),$I38&gt;=AB$3),"D","")))</f>
        <v/>
      </c>
      <c r="AC38" s="204" t="str">
        <f ca="1">IF($AI38="","",IF(INDEX('Roadmap Calc (Don’t Touch)'!$W$2:$AT$204,$AI38,20)&gt;0,IF(AND($H38&lt;&gt;"",$H38&lt;=EOMONTH(AC$3,0),$I38&gt;=AC$3),"B","U"),IF(AND($H38&lt;&gt;"",$H38&lt;=EOMONTH(AC$3,0),$I38&gt;=AC$3),"D","")))</f>
        <v/>
      </c>
      <c r="AD38" s="217" t="str">
        <f ca="1">IF($AI38="","",IF(INDEX('Roadmap Calc (Don’t Touch)'!$W$2:$AT$204,$AI38,21)&gt;0,IF(AND($H38&lt;&gt;"",$H38&lt;=EOMONTH(AD$3,0),$I38&gt;=AD$3),"B","U"),IF(AND($H38&lt;&gt;"",$H38&lt;=EOMONTH(AD$3,0),$I38&gt;=AD$3),"D","")))</f>
        <v/>
      </c>
      <c r="AE38" s="210" t="str">
        <f ca="1">IF($AI38="","",IF(INDEX('Roadmap Calc (Don’t Touch)'!$W$2:$AT$204,$AI38,22)&gt;0,IF(AND($H38&lt;&gt;"",$H38&lt;=EOMONTH(AE$3,0),$I38&gt;=AE$3),"B","U"),IF(AND($H38&lt;&gt;"",$H38&lt;=EOMONTH(AE$3,0),$I38&gt;=AE$3),"D","")))</f>
        <v/>
      </c>
      <c r="AF38" s="204" t="str">
        <f ca="1">IF($AI38="","",IF(INDEX('Roadmap Calc (Don’t Touch)'!$W$2:$AT$204,$AI38,23)&gt;0,IF(AND($H38&lt;&gt;"",$H38&lt;=EOMONTH(AF$3,0),$I38&gt;=AF$3),"B","U"),IF(AND($H38&lt;&gt;"",$H38&lt;=EOMONTH(AF$3,0),$I38&gt;=AF$3),"D","")))</f>
        <v/>
      </c>
      <c r="AG38" s="204" t="str">
        <f ca="1">IF($AI38="","",IF(INDEX('Roadmap Calc (Don’t Touch)'!$W$2:$AT$204,$AI38,24)&gt;0,IF(AND($H38&lt;&gt;"",$H38&lt;=EOMONTH(AG$3,0),$I38&gt;=AG$3),"B","U"),IF(AND($H38&lt;&gt;"",$H38&lt;=EOMONTH(AG$3,0),$I38&gt;=AG$3),"D","")))</f>
        <v/>
      </c>
      <c r="AH38" s="180" t="str">
        <f>IF($AI38="","",INDEX('Roadmap Calc (Don’t Touch)'!$D$2:$D$204,$AI38))</f>
        <v>Improve Buy Used Customer Experience</v>
      </c>
      <c r="AI38" s="180">
        <f>IFERROR(MATCH(32,'Roadmap Calc (Don’t Touch)'!$O$2:$O$204,0),"")</f>
        <v>30</v>
      </c>
    </row>
    <row r="39" spans="1:35" ht="17" customHeight="1" x14ac:dyDescent="0.25">
      <c r="A39" s="197" t="str">
        <f t="shared" ref="A39:A70" si="1">IF($AI39="","",IF($AH39=$AH38,"",$AH39))</f>
        <v/>
      </c>
      <c r="B39" s="198" t="str">
        <f>IF($AI39="","",INDEX('Roadmap Calc (Don’t Touch)'!$B$2:$B$204,$AI39))</f>
        <v>Actual Used Images</v>
      </c>
      <c r="C39" s="199" t="str">
        <f>IF($AI39="","",INDEX('Roadmap Calc (Don’t Touch)'!$E$2:$E$204,$AI39))</f>
        <v>BHP-4563</v>
      </c>
      <c r="D39" s="227" t="str">
        <f>IF($AI39="","",INDEX('Roadmap Calc (Don’t Touch)'!$F$2:$F$204,$AI39))</f>
        <v>13. Live</v>
      </c>
      <c r="E39" s="201" t="str">
        <f>IF($AI39="","",IF(ISNUMBER(INDEX('Roadmap Calc (Don’t Touch)'!$G$2:$G$204,$AI39)),INDEX('Roadmap Calc (Don’t Touch)'!$G$2:$G$204,$AI39),""))</f>
        <v/>
      </c>
      <c r="F39" s="201" t="str">
        <f>IF($AI39="","",IF(ISNUMBER(INDEX('Roadmap Calc (Don’t Touch)'!$H$2:$H$204,$AI39)),INDEX('Roadmap Calc (Don’t Touch)'!$H$2:$H$204,$AI39),""))</f>
        <v/>
      </c>
      <c r="G39" s="202">
        <f>IF($AI39="","",INDEX('Roadmap Calc (Don’t Touch)'!$S$2:$S$204,$AI39))</f>
        <v>0</v>
      </c>
      <c r="H39" s="203" t="str">
        <f ca="1">IF($AI39="","",IF(ISNUMBER(INDEX('Roadmap Calc (Don’t Touch)'!$I$2:$I$204,$AI39)),INDEX('Roadmap Calc (Don’t Touch)'!$I$2:$I$204,$AI39),""))</f>
        <v/>
      </c>
      <c r="I39" s="203" t="str">
        <f ca="1">IF($AI39="","",IF(ISNUMBER(INDEX('Roadmap Calc (Don’t Touch)'!$J$2:$J$204,$AI39)),INDEX('Roadmap Calc (Don’t Touch)'!$J$2:$J$204,$AI39),""))</f>
        <v/>
      </c>
      <c r="J39" s="204" t="str">
        <f ca="1">IF($AI39="","",IF(INDEX('Roadmap Calc (Don’t Touch)'!$W$2:$AT$204,$AI39,1)&gt;0,IF(AND($H39&lt;&gt;"",$H39&lt;=EOMONTH(J$3,0),$I39&gt;=J$3),"B","U"),IF(AND($H39&lt;&gt;"",$H39&lt;=EOMONTH(J$3,0),$I39&gt;=J$3),"D","")))</f>
        <v/>
      </c>
      <c r="K39" s="204" t="str">
        <f ca="1">IF($AI39="","",IF(INDEX('Roadmap Calc (Don’t Touch)'!$W$2:$AT$204,$AI39,2)&gt;0,IF(AND($H39&lt;&gt;"",$H39&lt;=EOMONTH(K$3,0),$I39&gt;=K$3),"B","U"),IF(AND($H39&lt;&gt;"",$H39&lt;=EOMONTH(K$3,0),$I39&gt;=K$3),"D","")))</f>
        <v/>
      </c>
      <c r="L39" s="204" t="str">
        <f ca="1">IF($AI39="","",IF(INDEX('Roadmap Calc (Don’t Touch)'!$W$2:$AT$204,$AI39,3)&gt;0,IF(AND($H39&lt;&gt;"",$H39&lt;=EOMONTH(L$3,0),$I39&gt;=L$3),"B","U"),IF(AND($H39&lt;&gt;"",$H39&lt;=EOMONTH(L$3,0),$I39&gt;=L$3),"D","")))</f>
        <v/>
      </c>
      <c r="M39" s="216" t="str">
        <f ca="1">IF($AI39="","",IF(INDEX('Roadmap Calc (Don’t Touch)'!$W$2:$AT$204,$AI39,4)&gt;0,IF(AND($H39&lt;&gt;"",$H39&lt;=EOMONTH(M$3,0),$I39&gt;=M$3),"B","U"),IF(AND($H39&lt;&gt;"",$H39&lt;=EOMONTH(M$3,0),$I39&gt;=M$3),"D","")))</f>
        <v/>
      </c>
      <c r="N39" s="204" t="str">
        <f ca="1">IF($AI39="","",IF(INDEX('Roadmap Calc (Don’t Touch)'!$W$2:$AT$204,$AI39,5)&gt;0,IF(AND($H39&lt;&gt;"",$H39&lt;=EOMONTH(N$3,0),$I39&gt;=N$3),"B","U"),IF(AND($H39&lt;&gt;"",$H39&lt;=EOMONTH(N$3,0),$I39&gt;=N$3),"D","")))</f>
        <v/>
      </c>
      <c r="O39" s="217" t="str">
        <f ca="1">IF($AI39="","",IF(INDEX('Roadmap Calc (Don’t Touch)'!$W$2:$AT$204,$AI39,6)&gt;0,IF(AND($H39&lt;&gt;"",$H39&lt;=EOMONTH(O$3,0),$I39&gt;=O$3),"B","U"),IF(AND($H39&lt;&gt;"",$H39&lt;=EOMONTH(O$3,0),$I39&gt;=O$3),"D","")))</f>
        <v/>
      </c>
      <c r="P39" s="216" t="str">
        <f ca="1">IF($AI39="","",IF(INDEX('Roadmap Calc (Don’t Touch)'!$W$2:$AT$204,$AI39,7)&gt;0,IF(AND($H39&lt;&gt;"",$H39&lt;=EOMONTH(P$3,0),$I39&gt;=P$3),"B","U"),IF(AND($H39&lt;&gt;"",$H39&lt;=EOMONTH(P$3,0),$I39&gt;=P$3),"D","")))</f>
        <v/>
      </c>
      <c r="Q39" s="204" t="str">
        <f ca="1">IF($AI39="","",IF(INDEX('Roadmap Calc (Don’t Touch)'!$W$2:$AT$204,$AI39,8)&gt;0,IF(AND($H39&lt;&gt;"",$H39&lt;=EOMONTH(Q$3,0),$I39&gt;=Q$3),"B","U"),IF(AND($H39&lt;&gt;"",$H39&lt;=EOMONTH(Q$3,0),$I39&gt;=Q$3),"D","")))</f>
        <v/>
      </c>
      <c r="R39" s="217" t="str">
        <f ca="1">IF($AI39="","",IF(INDEX('Roadmap Calc (Don’t Touch)'!$W$2:$AT$204,$AI39,9)&gt;0,IF(AND($H39&lt;&gt;"",$H39&lt;=EOMONTH(R$3,0),$I39&gt;=R$3),"B","U"),IF(AND($H39&lt;&gt;"",$H39&lt;=EOMONTH(R$3,0),$I39&gt;=R$3),"D","")))</f>
        <v/>
      </c>
      <c r="S39" s="216" t="str">
        <f ca="1">IF($AI39="","",IF(INDEX('Roadmap Calc (Don’t Touch)'!$W$2:$AT$204,$AI39,10)&gt;0,IF(AND($H39&lt;&gt;"",$H39&lt;=EOMONTH(S$3,0),$I39&gt;=S$3),"B","U"),IF(AND($H39&lt;&gt;"",$H39&lt;=EOMONTH(S$3,0),$I39&gt;=S$3),"D","")))</f>
        <v/>
      </c>
      <c r="T39" s="204" t="str">
        <f ca="1">IF($AI39="","",IF(INDEX('Roadmap Calc (Don’t Touch)'!$W$2:$AT$204,$AI39,11)&gt;0,IF(AND($H39&lt;&gt;"",$H39&lt;=EOMONTH(T$3,0),$I39&gt;=T$3),"B","U"),IF(AND($H39&lt;&gt;"",$H39&lt;=EOMONTH(T$3,0),$I39&gt;=T$3),"D","")))</f>
        <v/>
      </c>
      <c r="U39" s="217" t="str">
        <f ca="1">IF($AI39="","",IF(INDEX('Roadmap Calc (Don’t Touch)'!$W$2:$AT$204,$AI39,12)&gt;0,IF(AND($H39&lt;&gt;"",$H39&lt;=EOMONTH(U$3,0),$I39&gt;=U$3),"B","U"),IF(AND($H39&lt;&gt;"",$H39&lt;=EOMONTH(U$3,0),$I39&gt;=U$3),"D","")))</f>
        <v/>
      </c>
      <c r="V39" s="216" t="str">
        <f ca="1">IF($AI39="","",IF(INDEX('Roadmap Calc (Don’t Touch)'!$W$2:$AT$204,$AI39,13)&gt;0,IF(AND($H39&lt;&gt;"",$H39&lt;=EOMONTH(V$3,0),$I39&gt;=V$3),"B","U"),IF(AND($H39&lt;&gt;"",$H39&lt;=EOMONTH(V$3,0),$I39&gt;=V$3),"D","")))</f>
        <v/>
      </c>
      <c r="W39" s="204" t="str">
        <f ca="1">IF($AI39="","",IF(INDEX('Roadmap Calc (Don’t Touch)'!$W$2:$AT$204,$AI39,14)&gt;0,IF(AND($H39&lt;&gt;"",$H39&lt;=EOMONTH(W$3,0),$I39&gt;=W$3),"B","U"),IF(AND($H39&lt;&gt;"",$H39&lt;=EOMONTH(W$3,0),$I39&gt;=W$3),"D","")))</f>
        <v/>
      </c>
      <c r="X39" s="217" t="str">
        <f ca="1">IF($AI39="","",IF(INDEX('Roadmap Calc (Don’t Touch)'!$W$2:$AT$204,$AI39,15)&gt;0,IF(AND($H39&lt;&gt;"",$H39&lt;=EOMONTH(X$3,0),$I39&gt;=X$3),"B","U"),IF(AND($H39&lt;&gt;"",$H39&lt;=EOMONTH(X$3,0),$I39&gt;=X$3),"D","")))</f>
        <v/>
      </c>
      <c r="Y39" s="216" t="str">
        <f ca="1">IF($AI39="","",IF(INDEX('Roadmap Calc (Don’t Touch)'!$W$2:$AT$204,$AI39,16)&gt;0,IF(AND($H39&lt;&gt;"",$H39&lt;=EOMONTH(Y$3,0),$I39&gt;=Y$3),"B","U"),IF(AND($H39&lt;&gt;"",$H39&lt;=EOMONTH(Y$3,0),$I39&gt;=Y$3),"D","")))</f>
        <v/>
      </c>
      <c r="Z39" s="204" t="str">
        <f ca="1">IF($AI39="","",IF(INDEX('Roadmap Calc (Don’t Touch)'!$W$2:$AT$204,$AI39,17)&gt;0,IF(AND($H39&lt;&gt;"",$H39&lt;=EOMONTH(Z$3,0),$I39&gt;=Z$3),"B","U"),IF(AND($H39&lt;&gt;"",$H39&lt;=EOMONTH(Z$3,0),$I39&gt;=Z$3),"D","")))</f>
        <v/>
      </c>
      <c r="AA39" s="217" t="str">
        <f ca="1">IF($AI39="","",IF(INDEX('Roadmap Calc (Don’t Touch)'!$W$2:$AT$204,$AI39,18)&gt;0,IF(AND($H39&lt;&gt;"",$H39&lt;=EOMONTH(AA$3,0),$I39&gt;=AA$3),"B","U"),IF(AND($H39&lt;&gt;"",$H39&lt;=EOMONTH(AA$3,0),$I39&gt;=AA$3),"D","")))</f>
        <v/>
      </c>
      <c r="AB39" s="216" t="str">
        <f ca="1">IF($AI39="","",IF(INDEX('Roadmap Calc (Don’t Touch)'!$W$2:$AT$204,$AI39,19)&gt;0,IF(AND($H39&lt;&gt;"",$H39&lt;=EOMONTH(AB$3,0),$I39&gt;=AB$3),"B","U"),IF(AND($H39&lt;&gt;"",$H39&lt;=EOMONTH(AB$3,0),$I39&gt;=AB$3),"D","")))</f>
        <v/>
      </c>
      <c r="AC39" s="204" t="str">
        <f ca="1">IF($AI39="","",IF(INDEX('Roadmap Calc (Don’t Touch)'!$W$2:$AT$204,$AI39,20)&gt;0,IF(AND($H39&lt;&gt;"",$H39&lt;=EOMONTH(AC$3,0),$I39&gt;=AC$3),"B","U"),IF(AND($H39&lt;&gt;"",$H39&lt;=EOMONTH(AC$3,0),$I39&gt;=AC$3),"D","")))</f>
        <v/>
      </c>
      <c r="AD39" s="217" t="str">
        <f ca="1">IF($AI39="","",IF(INDEX('Roadmap Calc (Don’t Touch)'!$W$2:$AT$204,$AI39,21)&gt;0,IF(AND($H39&lt;&gt;"",$H39&lt;=EOMONTH(AD$3,0),$I39&gt;=AD$3),"B","U"),IF(AND($H39&lt;&gt;"",$H39&lt;=EOMONTH(AD$3,0),$I39&gt;=AD$3),"D","")))</f>
        <v/>
      </c>
      <c r="AE39" s="210" t="str">
        <f ca="1">IF($AI39="","",IF(INDEX('Roadmap Calc (Don’t Touch)'!$W$2:$AT$204,$AI39,22)&gt;0,IF(AND($H39&lt;&gt;"",$H39&lt;=EOMONTH(AE$3,0),$I39&gt;=AE$3),"B","U"),IF(AND($H39&lt;&gt;"",$H39&lt;=EOMONTH(AE$3,0),$I39&gt;=AE$3),"D","")))</f>
        <v/>
      </c>
      <c r="AF39" s="204" t="str">
        <f ca="1">IF($AI39="","",IF(INDEX('Roadmap Calc (Don’t Touch)'!$W$2:$AT$204,$AI39,23)&gt;0,IF(AND($H39&lt;&gt;"",$H39&lt;=EOMONTH(AF$3,0),$I39&gt;=AF$3),"B","U"),IF(AND($H39&lt;&gt;"",$H39&lt;=EOMONTH(AF$3,0),$I39&gt;=AF$3),"D","")))</f>
        <v/>
      </c>
      <c r="AG39" s="204" t="str">
        <f ca="1">IF($AI39="","",IF(INDEX('Roadmap Calc (Don’t Touch)'!$W$2:$AT$204,$AI39,24)&gt;0,IF(AND($H39&lt;&gt;"",$H39&lt;=EOMONTH(AG$3,0),$I39&gt;=AG$3),"B","U"),IF(AND($H39&lt;&gt;"",$H39&lt;=EOMONTH(AG$3,0),$I39&gt;=AG$3),"D","")))</f>
        <v/>
      </c>
      <c r="AH39" s="180" t="str">
        <f>IF($AI39="","",INDEX('Roadmap Calc (Don’t Touch)'!$D$2:$D$204,$AI39))</f>
        <v>Improve Buy Used Customer Experience</v>
      </c>
      <c r="AI39" s="180">
        <f>IFERROR(MATCH(33,'Roadmap Calc (Don’t Touch)'!$O$2:$O$204,0),"")</f>
        <v>44</v>
      </c>
    </row>
    <row r="40" spans="1:35" ht="17" customHeight="1" x14ac:dyDescent="0.25">
      <c r="A40" s="197" t="str">
        <f t="shared" si="1"/>
        <v>Increase B2B Acquisition</v>
      </c>
      <c r="B40" s="198" t="str">
        <f>IF($AI40="","",INDEX('Roadmap Calc (Don’t Touch)'!$B$2:$B$204,$AI40))</f>
        <v>B2B Hub - Logged In B2B Experience</v>
      </c>
      <c r="C40" s="199" t="str">
        <f>IF($AI40="","",INDEX('Roadmap Calc (Don’t Touch)'!$E$2:$E$204,$AI40))</f>
        <v>BHP-6901</v>
      </c>
      <c r="D40" s="227" t="str">
        <f>IF($AI40="","",INDEX('Roadmap Calc (Don’t Touch)'!$F$2:$F$204,$AI40))</f>
        <v>00. Parking Lot</v>
      </c>
      <c r="E40" s="201">
        <f>IF($AI40="","",IF(ISNUMBER(INDEX('Roadmap Calc (Don’t Touch)'!$G$2:$G$204,$AI40)),INDEX('Roadmap Calc (Don’t Touch)'!$G$2:$G$204,$AI40),""))</f>
        <v>46181</v>
      </c>
      <c r="F40" s="201">
        <f>IF($AI40="","",IF(ISNUMBER(INDEX('Roadmap Calc (Don’t Touch)'!$H$2:$H$204,$AI40)),INDEX('Roadmap Calc (Don’t Touch)'!$H$2:$H$204,$AI40),""))</f>
        <v>46321</v>
      </c>
      <c r="G40" s="202">
        <f>IF($AI40="","",INDEX('Roadmap Calc (Don’t Touch)'!$S$2:$S$204,$AI40))</f>
        <v>5</v>
      </c>
      <c r="H40" s="203">
        <f ca="1">IF($AI40="","",IF(ISNUMBER(INDEX('Roadmap Calc (Don’t Touch)'!$I$2:$I$204,$AI40)),INDEX('Roadmap Calc (Don’t Touch)'!$I$2:$I$204,$AI40),""))</f>
        <v>46447</v>
      </c>
      <c r="I40" s="203">
        <f ca="1">IF($AI40="","",IF(ISNUMBER(INDEX('Roadmap Calc (Don’t Touch)'!$J$2:$J$204,$AI40)),INDEX('Roadmap Calc (Don’t Touch)'!$J$2:$J$204,$AI40),""))</f>
        <v>46538</v>
      </c>
      <c r="J40" s="204" t="str">
        <f ca="1">IF($AI40="","",IF(INDEX('Roadmap Calc (Don’t Touch)'!$W$2:$AT$204,$AI40,1)&gt;0,IF(AND($H40&lt;&gt;"",$H40&lt;=EOMONTH(J$3,0),$I40&gt;=J$3),"B","U"),IF(AND($H40&lt;&gt;"",$H40&lt;=EOMONTH(J$3,0),$I40&gt;=J$3),"D","")))</f>
        <v/>
      </c>
      <c r="K40" s="204" t="str">
        <f ca="1">IF($AI40="","",IF(INDEX('Roadmap Calc (Don’t Touch)'!$W$2:$AT$204,$AI40,2)&gt;0,IF(AND($H40&lt;&gt;"",$H40&lt;=EOMONTH(K$3,0),$I40&gt;=K$3),"B","U"),IF(AND($H40&lt;&gt;"",$H40&lt;=EOMONTH(K$3,0),$I40&gt;=K$3),"D","")))</f>
        <v/>
      </c>
      <c r="L40" s="204" t="str">
        <f ca="1">IF($AI40="","",IF(INDEX('Roadmap Calc (Don’t Touch)'!$W$2:$AT$204,$AI40,3)&gt;0,IF(AND($H40&lt;&gt;"",$H40&lt;=EOMONTH(L$3,0),$I40&gt;=L$3),"B","U"),IF(AND($H40&lt;&gt;"",$H40&lt;=EOMONTH(L$3,0),$I40&gt;=L$3),"D","")))</f>
        <v/>
      </c>
      <c r="M40" s="216" t="str">
        <f ca="1">IF($AI40="","",IF(INDEX('Roadmap Calc (Don’t Touch)'!$W$2:$AT$204,$AI40,4)&gt;0,IF(AND($H40&lt;&gt;"",$H40&lt;=EOMONTH(M$3,0),$I40&gt;=M$3),"B","U"),IF(AND($H40&lt;&gt;"",$H40&lt;=EOMONTH(M$3,0),$I40&gt;=M$3),"D","")))</f>
        <v/>
      </c>
      <c r="N40" s="204" t="str">
        <f ca="1">IF($AI40="","",IF(INDEX('Roadmap Calc (Don’t Touch)'!$W$2:$AT$204,$AI40,5)&gt;0,IF(AND($H40&lt;&gt;"",$H40&lt;=EOMONTH(N$3,0),$I40&gt;=N$3),"B","U"),IF(AND($H40&lt;&gt;"",$H40&lt;=EOMONTH(N$3,0),$I40&gt;=N$3),"D","")))</f>
        <v/>
      </c>
      <c r="O40" s="217" t="str">
        <f ca="1">IF($AI40="","",IF(INDEX('Roadmap Calc (Don’t Touch)'!$W$2:$AT$204,$AI40,6)&gt;0,IF(AND($H40&lt;&gt;"",$H40&lt;=EOMONTH(O$3,0),$I40&gt;=O$3),"B","U"),IF(AND($H40&lt;&gt;"",$H40&lt;=EOMONTH(O$3,0),$I40&gt;=O$3),"D","")))</f>
        <v>U</v>
      </c>
      <c r="P40" s="216" t="str">
        <f ca="1">IF($AI40="","",IF(INDEX('Roadmap Calc (Don’t Touch)'!$W$2:$AT$204,$AI40,7)&gt;0,IF(AND($H40&lt;&gt;"",$H40&lt;=EOMONTH(P$3,0),$I40&gt;=P$3),"B","U"),IF(AND($H40&lt;&gt;"",$H40&lt;=EOMONTH(P$3,0),$I40&gt;=P$3),"D","")))</f>
        <v/>
      </c>
      <c r="Q40" s="204" t="str">
        <f ca="1">IF($AI40="","",IF(INDEX('Roadmap Calc (Don’t Touch)'!$W$2:$AT$204,$AI40,8)&gt;0,IF(AND($H40&lt;&gt;"",$H40&lt;=EOMONTH(Q$3,0),$I40&gt;=Q$3),"B","U"),IF(AND($H40&lt;&gt;"",$H40&lt;=EOMONTH(Q$3,0),$I40&gt;=Q$3),"D","")))</f>
        <v/>
      </c>
      <c r="R40" s="217" t="str">
        <f ca="1">IF($AI40="","",IF(INDEX('Roadmap Calc (Don’t Touch)'!$W$2:$AT$204,$AI40,9)&gt;0,IF(AND($H40&lt;&gt;"",$H40&lt;=EOMONTH(R$3,0),$I40&gt;=R$3),"B","U"),IF(AND($H40&lt;&gt;"",$H40&lt;=EOMONTH(R$3,0),$I40&gt;=R$3),"D","")))</f>
        <v/>
      </c>
      <c r="S40" s="216" t="str">
        <f ca="1">IF($AI40="","",IF(INDEX('Roadmap Calc (Don’t Touch)'!$W$2:$AT$204,$AI40,10)&gt;0,IF(AND($H40&lt;&gt;"",$H40&lt;=EOMONTH(S$3,0),$I40&gt;=S$3),"B","U"),IF(AND($H40&lt;&gt;"",$H40&lt;=EOMONTH(S$3,0),$I40&gt;=S$3),"D","")))</f>
        <v>U</v>
      </c>
      <c r="T40" s="204" t="str">
        <f ca="1">IF($AI40="","",IF(INDEX('Roadmap Calc (Don’t Touch)'!$W$2:$AT$204,$AI40,11)&gt;0,IF(AND($H40&lt;&gt;"",$H40&lt;=EOMONTH(T$3,0),$I40&gt;=T$3),"B","U"),IF(AND($H40&lt;&gt;"",$H40&lt;=EOMONTH(T$3,0),$I40&gt;=T$3),"D","")))</f>
        <v/>
      </c>
      <c r="U40" s="217" t="str">
        <f ca="1">IF($AI40="","",IF(INDEX('Roadmap Calc (Don’t Touch)'!$W$2:$AT$204,$AI40,12)&gt;0,IF(AND($H40&lt;&gt;"",$H40&lt;=EOMONTH(U$3,0),$I40&gt;=U$3),"B","U"),IF(AND($H40&lt;&gt;"",$H40&lt;=EOMONTH(U$3,0),$I40&gt;=U$3),"D","")))</f>
        <v/>
      </c>
      <c r="V40" s="216" t="str">
        <f ca="1">IF($AI40="","",IF(INDEX('Roadmap Calc (Don’t Touch)'!$W$2:$AT$204,$AI40,13)&gt;0,IF(AND($H40&lt;&gt;"",$H40&lt;=EOMONTH(V$3,0),$I40&gt;=V$3),"B","U"),IF(AND($H40&lt;&gt;"",$H40&lt;=EOMONTH(V$3,0),$I40&gt;=V$3),"D","")))</f>
        <v/>
      </c>
      <c r="W40" s="204" t="str">
        <f ca="1">IF($AI40="","",IF(INDEX('Roadmap Calc (Don’t Touch)'!$W$2:$AT$204,$AI40,14)&gt;0,IF(AND($H40&lt;&gt;"",$H40&lt;=EOMONTH(W$3,0),$I40&gt;=W$3),"B","U"),IF(AND($H40&lt;&gt;"",$H40&lt;=EOMONTH(W$3,0),$I40&gt;=W$3),"D","")))</f>
        <v/>
      </c>
      <c r="X40" s="217" t="str">
        <f ca="1">IF($AI40="","",IF(INDEX('Roadmap Calc (Don’t Touch)'!$W$2:$AT$204,$AI40,15)&gt;0,IF(AND($H40&lt;&gt;"",$H40&lt;=EOMONTH(X$3,0),$I40&gt;=X$3),"B","U"),IF(AND($H40&lt;&gt;"",$H40&lt;=EOMONTH(X$3,0),$I40&gt;=X$3),"D","")))</f>
        <v>D</v>
      </c>
      <c r="Y40" s="216" t="str">
        <f ca="1">IF($AI40="","",IF(INDEX('Roadmap Calc (Don’t Touch)'!$W$2:$AT$204,$AI40,16)&gt;0,IF(AND($H40&lt;&gt;"",$H40&lt;=EOMONTH(Y$3,0),$I40&gt;=Y$3),"B","U"),IF(AND($H40&lt;&gt;"",$H40&lt;=EOMONTH(Y$3,0),$I40&gt;=Y$3),"D","")))</f>
        <v>D</v>
      </c>
      <c r="Z40" s="204" t="str">
        <f ca="1">IF($AI40="","",IF(INDEX('Roadmap Calc (Don’t Touch)'!$W$2:$AT$204,$AI40,17)&gt;0,IF(AND($H40&lt;&gt;"",$H40&lt;=EOMONTH(Z$3,0),$I40&gt;=Z$3),"B","U"),IF(AND($H40&lt;&gt;"",$H40&lt;=EOMONTH(Z$3,0),$I40&gt;=Z$3),"D","")))</f>
        <v>D</v>
      </c>
      <c r="AA40" s="217" t="str">
        <f ca="1">IF($AI40="","",IF(INDEX('Roadmap Calc (Don’t Touch)'!$W$2:$AT$204,$AI40,18)&gt;0,IF(AND($H40&lt;&gt;"",$H40&lt;=EOMONTH(AA$3,0),$I40&gt;=AA$3),"B","U"),IF(AND($H40&lt;&gt;"",$H40&lt;=EOMONTH(AA$3,0),$I40&gt;=AA$3),"D","")))</f>
        <v/>
      </c>
      <c r="AB40" s="216" t="str">
        <f ca="1">IF($AI40="","",IF(INDEX('Roadmap Calc (Don’t Touch)'!$W$2:$AT$204,$AI40,19)&gt;0,IF(AND($H40&lt;&gt;"",$H40&lt;=EOMONTH(AB$3,0),$I40&gt;=AB$3),"B","U"),IF(AND($H40&lt;&gt;"",$H40&lt;=EOMONTH(AB$3,0),$I40&gt;=AB$3),"D","")))</f>
        <v/>
      </c>
      <c r="AC40" s="204" t="str">
        <f ca="1">IF($AI40="","",IF(INDEX('Roadmap Calc (Don’t Touch)'!$W$2:$AT$204,$AI40,20)&gt;0,IF(AND($H40&lt;&gt;"",$H40&lt;=EOMONTH(AC$3,0),$I40&gt;=AC$3),"B","U"),IF(AND($H40&lt;&gt;"",$H40&lt;=EOMONTH(AC$3,0),$I40&gt;=AC$3),"D","")))</f>
        <v/>
      </c>
      <c r="AD40" s="217" t="str">
        <f ca="1">IF($AI40="","",IF(INDEX('Roadmap Calc (Don’t Touch)'!$W$2:$AT$204,$AI40,21)&gt;0,IF(AND($H40&lt;&gt;"",$H40&lt;=EOMONTH(AD$3,0),$I40&gt;=AD$3),"B","U"),IF(AND($H40&lt;&gt;"",$H40&lt;=EOMONTH(AD$3,0),$I40&gt;=AD$3),"D","")))</f>
        <v/>
      </c>
      <c r="AE40" s="210" t="str">
        <f ca="1">IF($AI40="","",IF(INDEX('Roadmap Calc (Don’t Touch)'!$W$2:$AT$204,$AI40,22)&gt;0,IF(AND($H40&lt;&gt;"",$H40&lt;=EOMONTH(AE$3,0),$I40&gt;=AE$3),"B","U"),IF(AND($H40&lt;&gt;"",$H40&lt;=EOMONTH(AE$3,0),$I40&gt;=AE$3),"D","")))</f>
        <v/>
      </c>
      <c r="AF40" s="204" t="str">
        <f ca="1">IF($AI40="","",IF(INDEX('Roadmap Calc (Don’t Touch)'!$W$2:$AT$204,$AI40,23)&gt;0,IF(AND($H40&lt;&gt;"",$H40&lt;=EOMONTH(AF$3,0),$I40&gt;=AF$3),"B","U"),IF(AND($H40&lt;&gt;"",$H40&lt;=EOMONTH(AF$3,0),$I40&gt;=AF$3),"D","")))</f>
        <v/>
      </c>
      <c r="AG40" s="204" t="str">
        <f ca="1">IF($AI40="","",IF(INDEX('Roadmap Calc (Don’t Touch)'!$W$2:$AT$204,$AI40,24)&gt;0,IF(AND($H40&lt;&gt;"",$H40&lt;=EOMONTH(AG$3,0),$I40&gt;=AG$3),"B","U"),IF(AND($H40&lt;&gt;"",$H40&lt;=EOMONTH(AG$3,0),$I40&gt;=AG$3),"D","")))</f>
        <v/>
      </c>
      <c r="AH40" s="180" t="str">
        <f>IF($AI40="","",INDEX('Roadmap Calc (Don’t Touch)'!$D$2:$D$204,$AI40))</f>
        <v>Increase B2B Acquisition</v>
      </c>
      <c r="AI40" s="180">
        <f>IFERROR(MATCH(34,'Roadmap Calc (Don’t Touch)'!$O$2:$O$204,0),"")</f>
        <v>2</v>
      </c>
    </row>
    <row r="41" spans="1:35" ht="17" customHeight="1" x14ac:dyDescent="0.25">
      <c r="A41" s="197" t="str">
        <f t="shared" si="1"/>
        <v/>
      </c>
      <c r="B41" s="198" t="str">
        <f>IF($AI41="","",INDEX('Roadmap Calc (Don’t Touch)'!$B$2:$B$204,$AI41))</f>
        <v>Homepage Header: B2B</v>
      </c>
      <c r="C41" s="199" t="str">
        <f>IF($AI41="","",INDEX('Roadmap Calc (Don’t Touch)'!$E$2:$E$204,$AI41))</f>
        <v>BHP-7274</v>
      </c>
      <c r="D41" s="227" t="str">
        <f>IF($AI41="","",INDEX('Roadmap Calc (Don’t Touch)'!$F$2:$F$204,$AI41))</f>
        <v>01. Prod Discovery</v>
      </c>
      <c r="E41" s="201" t="str">
        <f>IF($AI41="","",IF(ISNUMBER(INDEX('Roadmap Calc (Don’t Touch)'!$G$2:$G$204,$AI41)),INDEX('Roadmap Calc (Don’t Touch)'!$G$2:$G$204,$AI41),""))</f>
        <v/>
      </c>
      <c r="F41" s="201" t="str">
        <f>IF($AI41="","",IF(ISNUMBER(INDEX('Roadmap Calc (Don’t Touch)'!$H$2:$H$204,$AI41)),INDEX('Roadmap Calc (Don’t Touch)'!$H$2:$H$204,$AI41),""))</f>
        <v/>
      </c>
      <c r="G41" s="202">
        <f>IF($AI41="","",INDEX('Roadmap Calc (Don’t Touch)'!$S$2:$S$204,$AI41))</f>
        <v>0</v>
      </c>
      <c r="H41" s="203" t="str">
        <f ca="1">IF($AI41="","",IF(ISNUMBER(INDEX('Roadmap Calc (Don’t Touch)'!$I$2:$I$204,$AI41)),INDEX('Roadmap Calc (Don’t Touch)'!$I$2:$I$204,$AI41),""))</f>
        <v/>
      </c>
      <c r="I41" s="203" t="str">
        <f ca="1">IF($AI41="","",IF(ISNUMBER(INDEX('Roadmap Calc (Don’t Touch)'!$J$2:$J$204,$AI41)),INDEX('Roadmap Calc (Don’t Touch)'!$J$2:$J$204,$AI41),""))</f>
        <v/>
      </c>
      <c r="J41" s="204" t="str">
        <f ca="1">IF($AI41="","",IF(INDEX('Roadmap Calc (Don’t Touch)'!$W$2:$AT$204,$AI41,1)&gt;0,IF(AND($H41&lt;&gt;"",$H41&lt;=EOMONTH(J$3,0),$I41&gt;=J$3),"B","U"),IF(AND($H41&lt;&gt;"",$H41&lt;=EOMONTH(J$3,0),$I41&gt;=J$3),"D","")))</f>
        <v/>
      </c>
      <c r="K41" s="204" t="str">
        <f ca="1">IF($AI41="","",IF(INDEX('Roadmap Calc (Don’t Touch)'!$W$2:$AT$204,$AI41,2)&gt;0,IF(AND($H41&lt;&gt;"",$H41&lt;=EOMONTH(K$3,0),$I41&gt;=K$3),"B","U"),IF(AND($H41&lt;&gt;"",$H41&lt;=EOMONTH(K$3,0),$I41&gt;=K$3),"D","")))</f>
        <v/>
      </c>
      <c r="L41" s="204" t="str">
        <f ca="1">IF($AI41="","",IF(INDEX('Roadmap Calc (Don’t Touch)'!$W$2:$AT$204,$AI41,3)&gt;0,IF(AND($H41&lt;&gt;"",$H41&lt;=EOMONTH(L$3,0),$I41&gt;=L$3),"B","U"),IF(AND($H41&lt;&gt;"",$H41&lt;=EOMONTH(L$3,0),$I41&gt;=L$3),"D","")))</f>
        <v/>
      </c>
      <c r="M41" s="216" t="str">
        <f ca="1">IF($AI41="","",IF(INDEX('Roadmap Calc (Don’t Touch)'!$W$2:$AT$204,$AI41,4)&gt;0,IF(AND($H41&lt;&gt;"",$H41&lt;=EOMONTH(M$3,0),$I41&gt;=M$3),"B","U"),IF(AND($H41&lt;&gt;"",$H41&lt;=EOMONTH(M$3,0),$I41&gt;=M$3),"D","")))</f>
        <v/>
      </c>
      <c r="N41" s="204" t="str">
        <f ca="1">IF($AI41="","",IF(INDEX('Roadmap Calc (Don’t Touch)'!$W$2:$AT$204,$AI41,5)&gt;0,IF(AND($H41&lt;&gt;"",$H41&lt;=EOMONTH(N$3,0),$I41&gt;=N$3),"B","U"),IF(AND($H41&lt;&gt;"",$H41&lt;=EOMONTH(N$3,0),$I41&gt;=N$3),"D","")))</f>
        <v/>
      </c>
      <c r="O41" s="217" t="str">
        <f ca="1">IF($AI41="","",IF(INDEX('Roadmap Calc (Don’t Touch)'!$W$2:$AT$204,$AI41,6)&gt;0,IF(AND($H41&lt;&gt;"",$H41&lt;=EOMONTH(O$3,0),$I41&gt;=O$3),"B","U"),IF(AND($H41&lt;&gt;"",$H41&lt;=EOMONTH(O$3,0),$I41&gt;=O$3),"D","")))</f>
        <v/>
      </c>
      <c r="P41" s="216" t="str">
        <f ca="1">IF($AI41="","",IF(INDEX('Roadmap Calc (Don’t Touch)'!$W$2:$AT$204,$AI41,7)&gt;0,IF(AND($H41&lt;&gt;"",$H41&lt;=EOMONTH(P$3,0),$I41&gt;=P$3),"B","U"),IF(AND($H41&lt;&gt;"",$H41&lt;=EOMONTH(P$3,0),$I41&gt;=P$3),"D","")))</f>
        <v/>
      </c>
      <c r="Q41" s="204" t="str">
        <f ca="1">IF($AI41="","",IF(INDEX('Roadmap Calc (Don’t Touch)'!$W$2:$AT$204,$AI41,8)&gt;0,IF(AND($H41&lt;&gt;"",$H41&lt;=EOMONTH(Q$3,0),$I41&gt;=Q$3),"B","U"),IF(AND($H41&lt;&gt;"",$H41&lt;=EOMONTH(Q$3,0),$I41&gt;=Q$3),"D","")))</f>
        <v/>
      </c>
      <c r="R41" s="217" t="str">
        <f ca="1">IF($AI41="","",IF(INDEX('Roadmap Calc (Don’t Touch)'!$W$2:$AT$204,$AI41,9)&gt;0,IF(AND($H41&lt;&gt;"",$H41&lt;=EOMONTH(R$3,0),$I41&gt;=R$3),"B","U"),IF(AND($H41&lt;&gt;"",$H41&lt;=EOMONTH(R$3,0),$I41&gt;=R$3),"D","")))</f>
        <v/>
      </c>
      <c r="S41" s="216" t="str">
        <f ca="1">IF($AI41="","",IF(INDEX('Roadmap Calc (Don’t Touch)'!$W$2:$AT$204,$AI41,10)&gt;0,IF(AND($H41&lt;&gt;"",$H41&lt;=EOMONTH(S$3,0),$I41&gt;=S$3),"B","U"),IF(AND($H41&lt;&gt;"",$H41&lt;=EOMONTH(S$3,0),$I41&gt;=S$3),"D","")))</f>
        <v/>
      </c>
      <c r="T41" s="204" t="str">
        <f ca="1">IF($AI41="","",IF(INDEX('Roadmap Calc (Don’t Touch)'!$W$2:$AT$204,$AI41,11)&gt;0,IF(AND($H41&lt;&gt;"",$H41&lt;=EOMONTH(T$3,0),$I41&gt;=T$3),"B","U"),IF(AND($H41&lt;&gt;"",$H41&lt;=EOMONTH(T$3,0),$I41&gt;=T$3),"D","")))</f>
        <v/>
      </c>
      <c r="U41" s="217" t="str">
        <f ca="1">IF($AI41="","",IF(INDEX('Roadmap Calc (Don’t Touch)'!$W$2:$AT$204,$AI41,12)&gt;0,IF(AND($H41&lt;&gt;"",$H41&lt;=EOMONTH(U$3,0),$I41&gt;=U$3),"B","U"),IF(AND($H41&lt;&gt;"",$H41&lt;=EOMONTH(U$3,0),$I41&gt;=U$3),"D","")))</f>
        <v/>
      </c>
      <c r="V41" s="216" t="str">
        <f ca="1">IF($AI41="","",IF(INDEX('Roadmap Calc (Don’t Touch)'!$W$2:$AT$204,$AI41,13)&gt;0,IF(AND($H41&lt;&gt;"",$H41&lt;=EOMONTH(V$3,0),$I41&gt;=V$3),"B","U"),IF(AND($H41&lt;&gt;"",$H41&lt;=EOMONTH(V$3,0),$I41&gt;=V$3),"D","")))</f>
        <v/>
      </c>
      <c r="W41" s="204" t="str">
        <f ca="1">IF($AI41="","",IF(INDEX('Roadmap Calc (Don’t Touch)'!$W$2:$AT$204,$AI41,14)&gt;0,IF(AND($H41&lt;&gt;"",$H41&lt;=EOMONTH(W$3,0),$I41&gt;=W$3),"B","U"),IF(AND($H41&lt;&gt;"",$H41&lt;=EOMONTH(W$3,0),$I41&gt;=W$3),"D","")))</f>
        <v/>
      </c>
      <c r="X41" s="217" t="str">
        <f ca="1">IF($AI41="","",IF(INDEX('Roadmap Calc (Don’t Touch)'!$W$2:$AT$204,$AI41,15)&gt;0,IF(AND($H41&lt;&gt;"",$H41&lt;=EOMONTH(X$3,0),$I41&gt;=X$3),"B","U"),IF(AND($H41&lt;&gt;"",$H41&lt;=EOMONTH(X$3,0),$I41&gt;=X$3),"D","")))</f>
        <v/>
      </c>
      <c r="Y41" s="216" t="str">
        <f ca="1">IF($AI41="","",IF(INDEX('Roadmap Calc (Don’t Touch)'!$W$2:$AT$204,$AI41,16)&gt;0,IF(AND($H41&lt;&gt;"",$H41&lt;=EOMONTH(Y$3,0),$I41&gt;=Y$3),"B","U"),IF(AND($H41&lt;&gt;"",$H41&lt;=EOMONTH(Y$3,0),$I41&gt;=Y$3),"D","")))</f>
        <v/>
      </c>
      <c r="Z41" s="204" t="str">
        <f ca="1">IF($AI41="","",IF(INDEX('Roadmap Calc (Don’t Touch)'!$W$2:$AT$204,$AI41,17)&gt;0,IF(AND($H41&lt;&gt;"",$H41&lt;=EOMONTH(Z$3,0),$I41&gt;=Z$3),"B","U"),IF(AND($H41&lt;&gt;"",$H41&lt;=EOMONTH(Z$3,0),$I41&gt;=Z$3),"D","")))</f>
        <v/>
      </c>
      <c r="AA41" s="217" t="str">
        <f ca="1">IF($AI41="","",IF(INDEX('Roadmap Calc (Don’t Touch)'!$W$2:$AT$204,$AI41,18)&gt;0,IF(AND($H41&lt;&gt;"",$H41&lt;=EOMONTH(AA$3,0),$I41&gt;=AA$3),"B","U"),IF(AND($H41&lt;&gt;"",$H41&lt;=EOMONTH(AA$3,0),$I41&gt;=AA$3),"D","")))</f>
        <v/>
      </c>
      <c r="AB41" s="216" t="str">
        <f ca="1">IF($AI41="","",IF(INDEX('Roadmap Calc (Don’t Touch)'!$W$2:$AT$204,$AI41,19)&gt;0,IF(AND($H41&lt;&gt;"",$H41&lt;=EOMONTH(AB$3,0),$I41&gt;=AB$3),"B","U"),IF(AND($H41&lt;&gt;"",$H41&lt;=EOMONTH(AB$3,0),$I41&gt;=AB$3),"D","")))</f>
        <v/>
      </c>
      <c r="AC41" s="204" t="str">
        <f ca="1">IF($AI41="","",IF(INDEX('Roadmap Calc (Don’t Touch)'!$W$2:$AT$204,$AI41,20)&gt;0,IF(AND($H41&lt;&gt;"",$H41&lt;=EOMONTH(AC$3,0),$I41&gt;=AC$3),"B","U"),IF(AND($H41&lt;&gt;"",$H41&lt;=EOMONTH(AC$3,0),$I41&gt;=AC$3),"D","")))</f>
        <v/>
      </c>
      <c r="AD41" s="217" t="str">
        <f ca="1">IF($AI41="","",IF(INDEX('Roadmap Calc (Don’t Touch)'!$W$2:$AT$204,$AI41,21)&gt;0,IF(AND($H41&lt;&gt;"",$H41&lt;=EOMONTH(AD$3,0),$I41&gt;=AD$3),"B","U"),IF(AND($H41&lt;&gt;"",$H41&lt;=EOMONTH(AD$3,0),$I41&gt;=AD$3),"D","")))</f>
        <v/>
      </c>
      <c r="AE41" s="210" t="str">
        <f ca="1">IF($AI41="","",IF(INDEX('Roadmap Calc (Don’t Touch)'!$W$2:$AT$204,$AI41,22)&gt;0,IF(AND($H41&lt;&gt;"",$H41&lt;=EOMONTH(AE$3,0),$I41&gt;=AE$3),"B","U"),IF(AND($H41&lt;&gt;"",$H41&lt;=EOMONTH(AE$3,0),$I41&gt;=AE$3),"D","")))</f>
        <v/>
      </c>
      <c r="AF41" s="204" t="str">
        <f ca="1">IF($AI41="","",IF(INDEX('Roadmap Calc (Don’t Touch)'!$W$2:$AT$204,$AI41,23)&gt;0,IF(AND($H41&lt;&gt;"",$H41&lt;=EOMONTH(AF$3,0),$I41&gt;=AF$3),"B","U"),IF(AND($H41&lt;&gt;"",$H41&lt;=EOMONTH(AF$3,0),$I41&gt;=AF$3),"D","")))</f>
        <v/>
      </c>
      <c r="AG41" s="204" t="str">
        <f ca="1">IF($AI41="","",IF(INDEX('Roadmap Calc (Don’t Touch)'!$W$2:$AT$204,$AI41,24)&gt;0,IF(AND($H41&lt;&gt;"",$H41&lt;=EOMONTH(AG$3,0),$I41&gt;=AG$3),"B","U"),IF(AND($H41&lt;&gt;"",$H41&lt;=EOMONTH(AG$3,0),$I41&gt;=AG$3),"D","")))</f>
        <v/>
      </c>
      <c r="AH41" s="180" t="str">
        <f>IF($AI41="","",INDEX('Roadmap Calc (Don’t Touch)'!$D$2:$D$204,$AI41))</f>
        <v>Increase B2B Acquisition</v>
      </c>
      <c r="AI41" s="180">
        <f>IFERROR(MATCH(35,'Roadmap Calc (Don’t Touch)'!$O$2:$O$204,0),"")</f>
        <v>5</v>
      </c>
    </row>
    <row r="42" spans="1:35" ht="17" customHeight="1" x14ac:dyDescent="0.25">
      <c r="A42" s="197" t="str">
        <f t="shared" si="1"/>
        <v/>
      </c>
      <c r="B42" s="198" t="str">
        <f>IF($AI42="","",INDEX('Roadmap Calc (Don’t Touch)'!$B$2:$B$204,$AI42))</f>
        <v>B2B Hub Landing Page - redesign</v>
      </c>
      <c r="C42" s="199" t="str">
        <f>IF($AI42="","",INDEX('Roadmap Calc (Don’t Touch)'!$E$2:$E$204,$AI42))</f>
        <v>BHUX-26541 </v>
      </c>
      <c r="D42" s="227" t="str">
        <f>IF($AI42="","",INDEX('Roadmap Calc (Don’t Touch)'!$F$2:$F$204,$AI42))</f>
        <v>07. Grooming</v>
      </c>
      <c r="E42" s="201">
        <f>IF($AI42="","",IF(ISNUMBER(INDEX('Roadmap Calc (Don’t Touch)'!$G$2:$G$204,$AI42)),INDEX('Roadmap Calc (Don’t Touch)'!$G$2:$G$204,$AI42),""))</f>
        <v>46125</v>
      </c>
      <c r="F42" s="201">
        <f>IF($AI42="","",IF(ISNUMBER(INDEX('Roadmap Calc (Don’t Touch)'!$H$2:$H$204,$AI42)),INDEX('Roadmap Calc (Don’t Touch)'!$H$2:$H$204,$AI42),""))</f>
        <v>46153</v>
      </c>
      <c r="G42" s="202">
        <f>IF($AI42="","",INDEX('Roadmap Calc (Don’t Touch)'!$S$2:$S$204,$AI42))</f>
        <v>5</v>
      </c>
      <c r="H42" s="203">
        <f ca="1">IF($AI42="","",IF(ISNUMBER(INDEX('Roadmap Calc (Don’t Touch)'!$I$2:$I$204,$AI42)),INDEX('Roadmap Calc (Don’t Touch)'!$I$2:$I$204,$AI42),""))</f>
        <v>46266</v>
      </c>
      <c r="I42" s="203">
        <f ca="1">IF($AI42="","",IF(ISNUMBER(INDEX('Roadmap Calc (Don’t Touch)'!$J$2:$J$204,$AI42)),INDEX('Roadmap Calc (Don’t Touch)'!$J$2:$J$204,$AI42),""))</f>
        <v>46356</v>
      </c>
      <c r="J42" s="204" t="str">
        <f ca="1">IF($AI42="","",IF(INDEX('Roadmap Calc (Don’t Touch)'!$W$2:$AT$204,$AI42,1)&gt;0,IF(AND($H42&lt;&gt;"",$H42&lt;=EOMONTH(J$3,0),$I42&gt;=J$3),"B","U"),IF(AND($H42&lt;&gt;"",$H42&lt;=EOMONTH(J$3,0),$I42&gt;=J$3),"D","")))</f>
        <v/>
      </c>
      <c r="K42" s="204" t="str">
        <f ca="1">IF($AI42="","",IF(INDEX('Roadmap Calc (Don’t Touch)'!$W$2:$AT$204,$AI42,2)&gt;0,IF(AND($H42&lt;&gt;"",$H42&lt;=EOMONTH(K$3,0),$I42&gt;=K$3),"B","U"),IF(AND($H42&lt;&gt;"",$H42&lt;=EOMONTH(K$3,0),$I42&gt;=K$3),"D","")))</f>
        <v/>
      </c>
      <c r="L42" s="204" t="str">
        <f ca="1">IF($AI42="","",IF(INDEX('Roadmap Calc (Don’t Touch)'!$W$2:$AT$204,$AI42,3)&gt;0,IF(AND($H42&lt;&gt;"",$H42&lt;=EOMONTH(L$3,0),$I42&gt;=L$3),"B","U"),IF(AND($H42&lt;&gt;"",$H42&lt;=EOMONTH(L$3,0),$I42&gt;=L$3),"D","")))</f>
        <v/>
      </c>
      <c r="M42" s="216" t="str">
        <f ca="1">IF($AI42="","",IF(INDEX('Roadmap Calc (Don’t Touch)'!$W$2:$AT$204,$AI42,4)&gt;0,IF(AND($H42&lt;&gt;"",$H42&lt;=EOMONTH(M$3,0),$I42&gt;=M$3),"B","U"),IF(AND($H42&lt;&gt;"",$H42&lt;=EOMONTH(M$3,0),$I42&gt;=M$3),"D","")))</f>
        <v>U</v>
      </c>
      <c r="N42" s="204" t="str">
        <f ca="1">IF($AI42="","",IF(INDEX('Roadmap Calc (Don’t Touch)'!$W$2:$AT$204,$AI42,5)&gt;0,IF(AND($H42&lt;&gt;"",$H42&lt;=EOMONTH(N$3,0),$I42&gt;=N$3),"B","U"),IF(AND($H42&lt;&gt;"",$H42&lt;=EOMONTH(N$3,0),$I42&gt;=N$3),"D","")))</f>
        <v>U</v>
      </c>
      <c r="O42" s="217" t="str">
        <f ca="1">IF($AI42="","",IF(INDEX('Roadmap Calc (Don’t Touch)'!$W$2:$AT$204,$AI42,6)&gt;0,IF(AND($H42&lt;&gt;"",$H42&lt;=EOMONTH(O$3,0),$I42&gt;=O$3),"B","U"),IF(AND($H42&lt;&gt;"",$H42&lt;=EOMONTH(O$3,0),$I42&gt;=O$3),"D","")))</f>
        <v/>
      </c>
      <c r="P42" s="216" t="str">
        <f ca="1">IF($AI42="","",IF(INDEX('Roadmap Calc (Don’t Touch)'!$W$2:$AT$204,$AI42,7)&gt;0,IF(AND($H42&lt;&gt;"",$H42&lt;=EOMONTH(P$3,0),$I42&gt;=P$3),"B","U"),IF(AND($H42&lt;&gt;"",$H42&lt;=EOMONTH(P$3,0),$I42&gt;=P$3),"D","")))</f>
        <v/>
      </c>
      <c r="Q42" s="204" t="str">
        <f ca="1">IF($AI42="","",IF(INDEX('Roadmap Calc (Don’t Touch)'!$W$2:$AT$204,$AI42,8)&gt;0,IF(AND($H42&lt;&gt;"",$H42&lt;=EOMONTH(Q$3,0),$I42&gt;=Q$3),"B","U"),IF(AND($H42&lt;&gt;"",$H42&lt;=EOMONTH(Q$3,0),$I42&gt;=Q$3),"D","")))</f>
        <v/>
      </c>
      <c r="R42" s="217" t="str">
        <f ca="1">IF($AI42="","",IF(INDEX('Roadmap Calc (Don’t Touch)'!$W$2:$AT$204,$AI42,9)&gt;0,IF(AND($H42&lt;&gt;"",$H42&lt;=EOMONTH(R$3,0),$I42&gt;=R$3),"B","U"),IF(AND($H42&lt;&gt;"",$H42&lt;=EOMONTH(R$3,0),$I42&gt;=R$3),"D","")))</f>
        <v>D</v>
      </c>
      <c r="S42" s="216" t="str">
        <f ca="1">IF($AI42="","",IF(INDEX('Roadmap Calc (Don’t Touch)'!$W$2:$AT$204,$AI42,10)&gt;0,IF(AND($H42&lt;&gt;"",$H42&lt;=EOMONTH(S$3,0),$I42&gt;=S$3),"B","U"),IF(AND($H42&lt;&gt;"",$H42&lt;=EOMONTH(S$3,0),$I42&gt;=S$3),"D","")))</f>
        <v>D</v>
      </c>
      <c r="T42" s="204" t="str">
        <f ca="1">IF($AI42="","",IF(INDEX('Roadmap Calc (Don’t Touch)'!$W$2:$AT$204,$AI42,11)&gt;0,IF(AND($H42&lt;&gt;"",$H42&lt;=EOMONTH(T$3,0),$I42&gt;=T$3),"B","U"),IF(AND($H42&lt;&gt;"",$H42&lt;=EOMONTH(T$3,0),$I42&gt;=T$3),"D","")))</f>
        <v>D</v>
      </c>
      <c r="U42" s="217" t="str">
        <f ca="1">IF($AI42="","",IF(INDEX('Roadmap Calc (Don’t Touch)'!$W$2:$AT$204,$AI42,12)&gt;0,IF(AND($H42&lt;&gt;"",$H42&lt;=EOMONTH(U$3,0),$I42&gt;=U$3),"B","U"),IF(AND($H42&lt;&gt;"",$H42&lt;=EOMONTH(U$3,0),$I42&gt;=U$3),"D","")))</f>
        <v/>
      </c>
      <c r="V42" s="216" t="str">
        <f ca="1">IF($AI42="","",IF(INDEX('Roadmap Calc (Don’t Touch)'!$W$2:$AT$204,$AI42,13)&gt;0,IF(AND($H42&lt;&gt;"",$H42&lt;=EOMONTH(V$3,0),$I42&gt;=V$3),"B","U"),IF(AND($H42&lt;&gt;"",$H42&lt;=EOMONTH(V$3,0),$I42&gt;=V$3),"D","")))</f>
        <v/>
      </c>
      <c r="W42" s="204" t="str">
        <f ca="1">IF($AI42="","",IF(INDEX('Roadmap Calc (Don’t Touch)'!$W$2:$AT$204,$AI42,14)&gt;0,IF(AND($H42&lt;&gt;"",$H42&lt;=EOMONTH(W$3,0),$I42&gt;=W$3),"B","U"),IF(AND($H42&lt;&gt;"",$H42&lt;=EOMONTH(W$3,0),$I42&gt;=W$3),"D","")))</f>
        <v/>
      </c>
      <c r="X42" s="217" t="str">
        <f ca="1">IF($AI42="","",IF(INDEX('Roadmap Calc (Don’t Touch)'!$W$2:$AT$204,$AI42,15)&gt;0,IF(AND($H42&lt;&gt;"",$H42&lt;=EOMONTH(X$3,0),$I42&gt;=X$3),"B","U"),IF(AND($H42&lt;&gt;"",$H42&lt;=EOMONTH(X$3,0),$I42&gt;=X$3),"D","")))</f>
        <v/>
      </c>
      <c r="Y42" s="216" t="str">
        <f ca="1">IF($AI42="","",IF(INDEX('Roadmap Calc (Don’t Touch)'!$W$2:$AT$204,$AI42,16)&gt;0,IF(AND($H42&lt;&gt;"",$H42&lt;=EOMONTH(Y$3,0),$I42&gt;=Y$3),"B","U"),IF(AND($H42&lt;&gt;"",$H42&lt;=EOMONTH(Y$3,0),$I42&gt;=Y$3),"D","")))</f>
        <v/>
      </c>
      <c r="Z42" s="204" t="str">
        <f ca="1">IF($AI42="","",IF(INDEX('Roadmap Calc (Don’t Touch)'!$W$2:$AT$204,$AI42,17)&gt;0,IF(AND($H42&lt;&gt;"",$H42&lt;=EOMONTH(Z$3,0),$I42&gt;=Z$3),"B","U"),IF(AND($H42&lt;&gt;"",$H42&lt;=EOMONTH(Z$3,0),$I42&gt;=Z$3),"D","")))</f>
        <v/>
      </c>
      <c r="AA42" s="217" t="str">
        <f ca="1">IF($AI42="","",IF(INDEX('Roadmap Calc (Don’t Touch)'!$W$2:$AT$204,$AI42,18)&gt;0,IF(AND($H42&lt;&gt;"",$H42&lt;=EOMONTH(AA$3,0),$I42&gt;=AA$3),"B","U"),IF(AND($H42&lt;&gt;"",$H42&lt;=EOMONTH(AA$3,0),$I42&gt;=AA$3),"D","")))</f>
        <v/>
      </c>
      <c r="AB42" s="216" t="str">
        <f ca="1">IF($AI42="","",IF(INDEX('Roadmap Calc (Don’t Touch)'!$W$2:$AT$204,$AI42,19)&gt;0,IF(AND($H42&lt;&gt;"",$H42&lt;=EOMONTH(AB$3,0),$I42&gt;=AB$3),"B","U"),IF(AND($H42&lt;&gt;"",$H42&lt;=EOMONTH(AB$3,0),$I42&gt;=AB$3),"D","")))</f>
        <v/>
      </c>
      <c r="AC42" s="204" t="str">
        <f ca="1">IF($AI42="","",IF(INDEX('Roadmap Calc (Don’t Touch)'!$W$2:$AT$204,$AI42,20)&gt;0,IF(AND($H42&lt;&gt;"",$H42&lt;=EOMONTH(AC$3,0),$I42&gt;=AC$3),"B","U"),IF(AND($H42&lt;&gt;"",$H42&lt;=EOMONTH(AC$3,0),$I42&gt;=AC$3),"D","")))</f>
        <v/>
      </c>
      <c r="AD42" s="217" t="str">
        <f ca="1">IF($AI42="","",IF(INDEX('Roadmap Calc (Don’t Touch)'!$W$2:$AT$204,$AI42,21)&gt;0,IF(AND($H42&lt;&gt;"",$H42&lt;=EOMONTH(AD$3,0),$I42&gt;=AD$3),"B","U"),IF(AND($H42&lt;&gt;"",$H42&lt;=EOMONTH(AD$3,0),$I42&gt;=AD$3),"D","")))</f>
        <v/>
      </c>
      <c r="AE42" s="210" t="str">
        <f ca="1">IF($AI42="","",IF(INDEX('Roadmap Calc (Don’t Touch)'!$W$2:$AT$204,$AI42,22)&gt;0,IF(AND($H42&lt;&gt;"",$H42&lt;=EOMONTH(AE$3,0),$I42&gt;=AE$3),"B","U"),IF(AND($H42&lt;&gt;"",$H42&lt;=EOMONTH(AE$3,0),$I42&gt;=AE$3),"D","")))</f>
        <v/>
      </c>
      <c r="AF42" s="204" t="str">
        <f ca="1">IF($AI42="","",IF(INDEX('Roadmap Calc (Don’t Touch)'!$W$2:$AT$204,$AI42,23)&gt;0,IF(AND($H42&lt;&gt;"",$H42&lt;=EOMONTH(AF$3,0),$I42&gt;=AF$3),"B","U"),IF(AND($H42&lt;&gt;"",$H42&lt;=EOMONTH(AF$3,0),$I42&gt;=AF$3),"D","")))</f>
        <v/>
      </c>
      <c r="AG42" s="204" t="str">
        <f ca="1">IF($AI42="","",IF(INDEX('Roadmap Calc (Don’t Touch)'!$W$2:$AT$204,$AI42,24)&gt;0,IF(AND($H42&lt;&gt;"",$H42&lt;=EOMONTH(AG$3,0),$I42&gt;=AG$3),"B","U"),IF(AND($H42&lt;&gt;"",$H42&lt;=EOMONTH(AG$3,0),$I42&gt;=AG$3),"D","")))</f>
        <v/>
      </c>
      <c r="AH42" s="180" t="str">
        <f>IF($AI42="","",INDEX('Roadmap Calc (Don’t Touch)'!$D$2:$D$204,$AI42))</f>
        <v>Increase B2B Acquisition</v>
      </c>
      <c r="AI42" s="180">
        <f>IFERROR(MATCH(36,'Roadmap Calc (Don’t Touch)'!$O$2:$O$204,0),"")</f>
        <v>27</v>
      </c>
    </row>
    <row r="43" spans="1:35" ht="17" customHeight="1" x14ac:dyDescent="0.25">
      <c r="A43" s="197" t="str">
        <f t="shared" si="1"/>
        <v/>
      </c>
      <c r="B43" s="198" t="str">
        <f>IF($AI43="","",INDEX('Roadmap Calc (Don’t Touch)'!$B$2:$B$204,$AI43))</f>
        <v>B2B Hub - Revisit Signup Flow</v>
      </c>
      <c r="C43" s="199" t="str">
        <f>IF($AI43="","",INDEX('Roadmap Calc (Don’t Touch)'!$E$2:$E$204,$AI43))</f>
        <v>BHUX-31874</v>
      </c>
      <c r="D43" s="227" t="str">
        <f>IF($AI43="","",INDEX('Roadmap Calc (Don’t Touch)'!$F$2:$F$204,$AI43))</f>
        <v>07. Grooming</v>
      </c>
      <c r="E43" s="201">
        <f>IF($AI43="","",IF(ISNUMBER(INDEX('Roadmap Calc (Don’t Touch)'!$G$2:$G$204,$AI43)),INDEX('Roadmap Calc (Don’t Touch)'!$G$2:$G$204,$AI43),""))</f>
        <v>46125</v>
      </c>
      <c r="F43" s="201">
        <f>IF($AI43="","",IF(ISNUMBER(INDEX('Roadmap Calc (Don’t Touch)'!$H$2:$H$204,$AI43)),INDEX('Roadmap Calc (Don’t Touch)'!$H$2:$H$204,$AI43),""))</f>
        <v>46167</v>
      </c>
      <c r="G43" s="202">
        <f>IF($AI43="","",INDEX('Roadmap Calc (Don’t Touch)'!$S$2:$S$204,$AI43))</f>
        <v>7</v>
      </c>
      <c r="H43" s="203">
        <f ca="1">IF($AI43="","",IF(ISNUMBER(INDEX('Roadmap Calc (Don’t Touch)'!$I$2:$I$204,$AI43)),INDEX('Roadmap Calc (Don’t Touch)'!$I$2:$I$204,$AI43),""))</f>
        <v>46266</v>
      </c>
      <c r="I43" s="203">
        <f ca="1">IF($AI43="","",IF(ISNUMBER(INDEX('Roadmap Calc (Don’t Touch)'!$J$2:$J$204,$AI43)),INDEX('Roadmap Calc (Don’t Touch)'!$J$2:$J$204,$AI43),""))</f>
        <v>46356</v>
      </c>
      <c r="J43" s="204" t="str">
        <f ca="1">IF($AI43="","",IF(INDEX('Roadmap Calc (Don’t Touch)'!$W$2:$AT$204,$AI43,1)&gt;0,IF(AND($H43&lt;&gt;"",$H43&lt;=EOMONTH(J$3,0),$I43&gt;=J$3),"B","U"),IF(AND($H43&lt;&gt;"",$H43&lt;=EOMONTH(J$3,0),$I43&gt;=J$3),"D","")))</f>
        <v/>
      </c>
      <c r="K43" s="204" t="str">
        <f ca="1">IF($AI43="","",IF(INDEX('Roadmap Calc (Don’t Touch)'!$W$2:$AT$204,$AI43,2)&gt;0,IF(AND($H43&lt;&gt;"",$H43&lt;=EOMONTH(K$3,0),$I43&gt;=K$3),"B","U"),IF(AND($H43&lt;&gt;"",$H43&lt;=EOMONTH(K$3,0),$I43&gt;=K$3),"D","")))</f>
        <v/>
      </c>
      <c r="L43" s="204" t="str">
        <f ca="1">IF($AI43="","",IF(INDEX('Roadmap Calc (Don’t Touch)'!$W$2:$AT$204,$AI43,3)&gt;0,IF(AND($H43&lt;&gt;"",$H43&lt;=EOMONTH(L$3,0),$I43&gt;=L$3),"B","U"),IF(AND($H43&lt;&gt;"",$H43&lt;=EOMONTH(L$3,0),$I43&gt;=L$3),"D","")))</f>
        <v/>
      </c>
      <c r="M43" s="216" t="str">
        <f ca="1">IF($AI43="","",IF(INDEX('Roadmap Calc (Don’t Touch)'!$W$2:$AT$204,$AI43,4)&gt;0,IF(AND($H43&lt;&gt;"",$H43&lt;=EOMONTH(M$3,0),$I43&gt;=M$3),"B","U"),IF(AND($H43&lt;&gt;"",$H43&lt;=EOMONTH(M$3,0),$I43&gt;=M$3),"D","")))</f>
        <v>U</v>
      </c>
      <c r="N43" s="204" t="str">
        <f ca="1">IF($AI43="","",IF(INDEX('Roadmap Calc (Don’t Touch)'!$W$2:$AT$204,$AI43,5)&gt;0,IF(AND($H43&lt;&gt;"",$H43&lt;=EOMONTH(N$3,0),$I43&gt;=N$3),"B","U"),IF(AND($H43&lt;&gt;"",$H43&lt;=EOMONTH(N$3,0),$I43&gt;=N$3),"D","")))</f>
        <v>U</v>
      </c>
      <c r="O43" s="217" t="str">
        <f ca="1">IF($AI43="","",IF(INDEX('Roadmap Calc (Don’t Touch)'!$W$2:$AT$204,$AI43,6)&gt;0,IF(AND($H43&lt;&gt;"",$H43&lt;=EOMONTH(O$3,0),$I43&gt;=O$3),"B","U"),IF(AND($H43&lt;&gt;"",$H43&lt;=EOMONTH(O$3,0),$I43&gt;=O$3),"D","")))</f>
        <v/>
      </c>
      <c r="P43" s="216" t="str">
        <f ca="1">IF($AI43="","",IF(INDEX('Roadmap Calc (Don’t Touch)'!$W$2:$AT$204,$AI43,7)&gt;0,IF(AND($H43&lt;&gt;"",$H43&lt;=EOMONTH(P$3,0),$I43&gt;=P$3),"B","U"),IF(AND($H43&lt;&gt;"",$H43&lt;=EOMONTH(P$3,0),$I43&gt;=P$3),"D","")))</f>
        <v/>
      </c>
      <c r="Q43" s="204" t="str">
        <f ca="1">IF($AI43="","",IF(INDEX('Roadmap Calc (Don’t Touch)'!$W$2:$AT$204,$AI43,8)&gt;0,IF(AND($H43&lt;&gt;"",$H43&lt;=EOMONTH(Q$3,0),$I43&gt;=Q$3),"B","U"),IF(AND($H43&lt;&gt;"",$H43&lt;=EOMONTH(Q$3,0),$I43&gt;=Q$3),"D","")))</f>
        <v/>
      </c>
      <c r="R43" s="217" t="str">
        <f ca="1">IF($AI43="","",IF(INDEX('Roadmap Calc (Don’t Touch)'!$W$2:$AT$204,$AI43,9)&gt;0,IF(AND($H43&lt;&gt;"",$H43&lt;=EOMONTH(R$3,0),$I43&gt;=R$3),"B","U"),IF(AND($H43&lt;&gt;"",$H43&lt;=EOMONTH(R$3,0),$I43&gt;=R$3),"D","")))</f>
        <v>D</v>
      </c>
      <c r="S43" s="216" t="str">
        <f ca="1">IF($AI43="","",IF(INDEX('Roadmap Calc (Don’t Touch)'!$W$2:$AT$204,$AI43,10)&gt;0,IF(AND($H43&lt;&gt;"",$H43&lt;=EOMONTH(S$3,0),$I43&gt;=S$3),"B","U"),IF(AND($H43&lt;&gt;"",$H43&lt;=EOMONTH(S$3,0),$I43&gt;=S$3),"D","")))</f>
        <v>D</v>
      </c>
      <c r="T43" s="204" t="str">
        <f ca="1">IF($AI43="","",IF(INDEX('Roadmap Calc (Don’t Touch)'!$W$2:$AT$204,$AI43,11)&gt;0,IF(AND($H43&lt;&gt;"",$H43&lt;=EOMONTH(T$3,0),$I43&gt;=T$3),"B","U"),IF(AND($H43&lt;&gt;"",$H43&lt;=EOMONTH(T$3,0),$I43&gt;=T$3),"D","")))</f>
        <v>D</v>
      </c>
      <c r="U43" s="217" t="str">
        <f ca="1">IF($AI43="","",IF(INDEX('Roadmap Calc (Don’t Touch)'!$W$2:$AT$204,$AI43,12)&gt;0,IF(AND($H43&lt;&gt;"",$H43&lt;=EOMONTH(U$3,0),$I43&gt;=U$3),"B","U"),IF(AND($H43&lt;&gt;"",$H43&lt;=EOMONTH(U$3,0),$I43&gt;=U$3),"D","")))</f>
        <v/>
      </c>
      <c r="V43" s="216" t="str">
        <f ca="1">IF($AI43="","",IF(INDEX('Roadmap Calc (Don’t Touch)'!$W$2:$AT$204,$AI43,13)&gt;0,IF(AND($H43&lt;&gt;"",$H43&lt;=EOMONTH(V$3,0),$I43&gt;=V$3),"B","U"),IF(AND($H43&lt;&gt;"",$H43&lt;=EOMONTH(V$3,0),$I43&gt;=V$3),"D","")))</f>
        <v/>
      </c>
      <c r="W43" s="204" t="str">
        <f ca="1">IF($AI43="","",IF(INDEX('Roadmap Calc (Don’t Touch)'!$W$2:$AT$204,$AI43,14)&gt;0,IF(AND($H43&lt;&gt;"",$H43&lt;=EOMONTH(W$3,0),$I43&gt;=W$3),"B","U"),IF(AND($H43&lt;&gt;"",$H43&lt;=EOMONTH(W$3,0),$I43&gt;=W$3),"D","")))</f>
        <v/>
      </c>
      <c r="X43" s="217" t="str">
        <f ca="1">IF($AI43="","",IF(INDEX('Roadmap Calc (Don’t Touch)'!$W$2:$AT$204,$AI43,15)&gt;0,IF(AND($H43&lt;&gt;"",$H43&lt;=EOMONTH(X$3,0),$I43&gt;=X$3),"B","U"),IF(AND($H43&lt;&gt;"",$H43&lt;=EOMONTH(X$3,0),$I43&gt;=X$3),"D","")))</f>
        <v/>
      </c>
      <c r="Y43" s="216" t="str">
        <f ca="1">IF($AI43="","",IF(INDEX('Roadmap Calc (Don’t Touch)'!$W$2:$AT$204,$AI43,16)&gt;0,IF(AND($H43&lt;&gt;"",$H43&lt;=EOMONTH(Y$3,0),$I43&gt;=Y$3),"B","U"),IF(AND($H43&lt;&gt;"",$H43&lt;=EOMONTH(Y$3,0),$I43&gt;=Y$3),"D","")))</f>
        <v/>
      </c>
      <c r="Z43" s="204" t="str">
        <f ca="1">IF($AI43="","",IF(INDEX('Roadmap Calc (Don’t Touch)'!$W$2:$AT$204,$AI43,17)&gt;0,IF(AND($H43&lt;&gt;"",$H43&lt;=EOMONTH(Z$3,0),$I43&gt;=Z$3),"B","U"),IF(AND($H43&lt;&gt;"",$H43&lt;=EOMONTH(Z$3,0),$I43&gt;=Z$3),"D","")))</f>
        <v/>
      </c>
      <c r="AA43" s="217" t="str">
        <f ca="1">IF($AI43="","",IF(INDEX('Roadmap Calc (Don’t Touch)'!$W$2:$AT$204,$AI43,18)&gt;0,IF(AND($H43&lt;&gt;"",$H43&lt;=EOMONTH(AA$3,0),$I43&gt;=AA$3),"B","U"),IF(AND($H43&lt;&gt;"",$H43&lt;=EOMONTH(AA$3,0),$I43&gt;=AA$3),"D","")))</f>
        <v/>
      </c>
      <c r="AB43" s="216" t="str">
        <f ca="1">IF($AI43="","",IF(INDEX('Roadmap Calc (Don’t Touch)'!$W$2:$AT$204,$AI43,19)&gt;0,IF(AND($H43&lt;&gt;"",$H43&lt;=EOMONTH(AB$3,0),$I43&gt;=AB$3),"B","U"),IF(AND($H43&lt;&gt;"",$H43&lt;=EOMONTH(AB$3,0),$I43&gt;=AB$3),"D","")))</f>
        <v/>
      </c>
      <c r="AC43" s="204" t="str">
        <f ca="1">IF($AI43="","",IF(INDEX('Roadmap Calc (Don’t Touch)'!$W$2:$AT$204,$AI43,20)&gt;0,IF(AND($H43&lt;&gt;"",$H43&lt;=EOMONTH(AC$3,0),$I43&gt;=AC$3),"B","U"),IF(AND($H43&lt;&gt;"",$H43&lt;=EOMONTH(AC$3,0),$I43&gt;=AC$3),"D","")))</f>
        <v/>
      </c>
      <c r="AD43" s="217" t="str">
        <f ca="1">IF($AI43="","",IF(INDEX('Roadmap Calc (Don’t Touch)'!$W$2:$AT$204,$AI43,21)&gt;0,IF(AND($H43&lt;&gt;"",$H43&lt;=EOMONTH(AD$3,0),$I43&gt;=AD$3),"B","U"),IF(AND($H43&lt;&gt;"",$H43&lt;=EOMONTH(AD$3,0),$I43&gt;=AD$3),"D","")))</f>
        <v/>
      </c>
      <c r="AE43" s="210" t="str">
        <f ca="1">IF($AI43="","",IF(INDEX('Roadmap Calc (Don’t Touch)'!$W$2:$AT$204,$AI43,22)&gt;0,IF(AND($H43&lt;&gt;"",$H43&lt;=EOMONTH(AE$3,0),$I43&gt;=AE$3),"B","U"),IF(AND($H43&lt;&gt;"",$H43&lt;=EOMONTH(AE$3,0),$I43&gt;=AE$3),"D","")))</f>
        <v/>
      </c>
      <c r="AF43" s="204" t="str">
        <f ca="1">IF($AI43="","",IF(INDEX('Roadmap Calc (Don’t Touch)'!$W$2:$AT$204,$AI43,23)&gt;0,IF(AND($H43&lt;&gt;"",$H43&lt;=EOMONTH(AF$3,0),$I43&gt;=AF$3),"B","U"),IF(AND($H43&lt;&gt;"",$H43&lt;=EOMONTH(AF$3,0),$I43&gt;=AF$3),"D","")))</f>
        <v/>
      </c>
      <c r="AG43" s="204" t="str">
        <f ca="1">IF($AI43="","",IF(INDEX('Roadmap Calc (Don’t Touch)'!$W$2:$AT$204,$AI43,24)&gt;0,IF(AND($H43&lt;&gt;"",$H43&lt;=EOMONTH(AG$3,0),$I43&gt;=AG$3),"B","U"),IF(AND($H43&lt;&gt;"",$H43&lt;=EOMONTH(AG$3,0),$I43&gt;=AG$3),"D","")))</f>
        <v/>
      </c>
      <c r="AH43" s="180" t="str">
        <f>IF($AI43="","",INDEX('Roadmap Calc (Don’t Touch)'!$D$2:$D$204,$AI43))</f>
        <v>Increase B2B Acquisition</v>
      </c>
      <c r="AI43" s="180">
        <f>IFERROR(MATCH(37,'Roadmap Calc (Don’t Touch)'!$O$2:$O$204,0),"")</f>
        <v>28</v>
      </c>
    </row>
    <row r="44" spans="1:35" ht="17" customHeight="1" x14ac:dyDescent="0.25">
      <c r="A44" s="197" t="str">
        <f t="shared" si="1"/>
        <v/>
      </c>
      <c r="B44" s="198" t="str">
        <f>IF($AI44="","",INDEX('Roadmap Calc (Don’t Touch)'!$B$2:$B$204,$AI44))</f>
        <v>B2B Hub Redesign - Internal Pages</v>
      </c>
      <c r="C44" s="199" t="str">
        <f>IF($AI44="","",INDEX('Roadmap Calc (Don’t Touch)'!$E$2:$E$204,$AI44))</f>
        <v>BHUX-32257</v>
      </c>
      <c r="D44" s="227" t="str">
        <f>IF($AI44="","",INDEX('Roadmap Calc (Don’t Touch)'!$F$2:$F$204,$AI44))</f>
        <v>07. Grooming</v>
      </c>
      <c r="E44" s="201">
        <f>IF($AI44="","",IF(ISNUMBER(INDEX('Roadmap Calc (Don’t Touch)'!$G$2:$G$204,$AI44)),INDEX('Roadmap Calc (Don’t Touch)'!$G$2:$G$204,$AI44),""))</f>
        <v>46132</v>
      </c>
      <c r="F44" s="201">
        <f>IF($AI44="","",IF(ISNUMBER(INDEX('Roadmap Calc (Don’t Touch)'!$H$2:$H$204,$AI44)),INDEX('Roadmap Calc (Don’t Touch)'!$H$2:$H$204,$AI44),""))</f>
        <v>46153</v>
      </c>
      <c r="G44" s="202">
        <f>IF($AI44="","",INDEX('Roadmap Calc (Don’t Touch)'!$S$2:$S$204,$AI44))</f>
        <v>4</v>
      </c>
      <c r="H44" s="203">
        <f ca="1">IF($AI44="","",IF(ISNUMBER(INDEX('Roadmap Calc (Don’t Touch)'!$I$2:$I$204,$AI44)),INDEX('Roadmap Calc (Don’t Touch)'!$I$2:$I$204,$AI44),""))</f>
        <v>46327</v>
      </c>
      <c r="I44" s="203">
        <f ca="1">IF($AI44="","",IF(ISNUMBER(INDEX('Roadmap Calc (Don’t Touch)'!$J$2:$J$204,$AI44)),INDEX('Roadmap Calc (Don’t Touch)'!$J$2:$J$204,$AI44),""))</f>
        <v>46356</v>
      </c>
      <c r="J44" s="204" t="str">
        <f ca="1">IF($AI44="","",IF(INDEX('Roadmap Calc (Don’t Touch)'!$W$2:$AT$204,$AI44,1)&gt;0,IF(AND($H44&lt;&gt;"",$H44&lt;=EOMONTH(J$3,0),$I44&gt;=J$3),"B","U"),IF(AND($H44&lt;&gt;"",$H44&lt;=EOMONTH(J$3,0),$I44&gt;=J$3),"D","")))</f>
        <v/>
      </c>
      <c r="K44" s="204" t="str">
        <f ca="1">IF($AI44="","",IF(INDEX('Roadmap Calc (Don’t Touch)'!$W$2:$AT$204,$AI44,2)&gt;0,IF(AND($H44&lt;&gt;"",$H44&lt;=EOMONTH(K$3,0),$I44&gt;=K$3),"B","U"),IF(AND($H44&lt;&gt;"",$H44&lt;=EOMONTH(K$3,0),$I44&gt;=K$3),"D","")))</f>
        <v/>
      </c>
      <c r="L44" s="204" t="str">
        <f ca="1">IF($AI44="","",IF(INDEX('Roadmap Calc (Don’t Touch)'!$W$2:$AT$204,$AI44,3)&gt;0,IF(AND($H44&lt;&gt;"",$H44&lt;=EOMONTH(L$3,0),$I44&gt;=L$3),"B","U"),IF(AND($H44&lt;&gt;"",$H44&lt;=EOMONTH(L$3,0),$I44&gt;=L$3),"D","")))</f>
        <v/>
      </c>
      <c r="M44" s="216" t="str">
        <f ca="1">IF($AI44="","",IF(INDEX('Roadmap Calc (Don’t Touch)'!$W$2:$AT$204,$AI44,4)&gt;0,IF(AND($H44&lt;&gt;"",$H44&lt;=EOMONTH(M$3,0),$I44&gt;=M$3),"B","U"),IF(AND($H44&lt;&gt;"",$H44&lt;=EOMONTH(M$3,0),$I44&gt;=M$3),"D","")))</f>
        <v>U</v>
      </c>
      <c r="N44" s="204" t="str">
        <f ca="1">IF($AI44="","",IF(INDEX('Roadmap Calc (Don’t Touch)'!$W$2:$AT$204,$AI44,5)&gt;0,IF(AND($H44&lt;&gt;"",$H44&lt;=EOMONTH(N$3,0),$I44&gt;=N$3),"B","U"),IF(AND($H44&lt;&gt;"",$H44&lt;=EOMONTH(N$3,0),$I44&gt;=N$3),"D","")))</f>
        <v>U</v>
      </c>
      <c r="O44" s="217" t="str">
        <f ca="1">IF($AI44="","",IF(INDEX('Roadmap Calc (Don’t Touch)'!$W$2:$AT$204,$AI44,6)&gt;0,IF(AND($H44&lt;&gt;"",$H44&lt;=EOMONTH(O$3,0),$I44&gt;=O$3),"B","U"),IF(AND($H44&lt;&gt;"",$H44&lt;=EOMONTH(O$3,0),$I44&gt;=O$3),"D","")))</f>
        <v/>
      </c>
      <c r="P44" s="216" t="str">
        <f ca="1">IF($AI44="","",IF(INDEX('Roadmap Calc (Don’t Touch)'!$W$2:$AT$204,$AI44,7)&gt;0,IF(AND($H44&lt;&gt;"",$H44&lt;=EOMONTH(P$3,0),$I44&gt;=P$3),"B","U"),IF(AND($H44&lt;&gt;"",$H44&lt;=EOMONTH(P$3,0),$I44&gt;=P$3),"D","")))</f>
        <v/>
      </c>
      <c r="Q44" s="204" t="str">
        <f ca="1">IF($AI44="","",IF(INDEX('Roadmap Calc (Don’t Touch)'!$W$2:$AT$204,$AI44,8)&gt;0,IF(AND($H44&lt;&gt;"",$H44&lt;=EOMONTH(Q$3,0),$I44&gt;=Q$3),"B","U"),IF(AND($H44&lt;&gt;"",$H44&lt;=EOMONTH(Q$3,0),$I44&gt;=Q$3),"D","")))</f>
        <v/>
      </c>
      <c r="R44" s="217" t="str">
        <f ca="1">IF($AI44="","",IF(INDEX('Roadmap Calc (Don’t Touch)'!$W$2:$AT$204,$AI44,9)&gt;0,IF(AND($H44&lt;&gt;"",$H44&lt;=EOMONTH(R$3,0),$I44&gt;=R$3),"B","U"),IF(AND($H44&lt;&gt;"",$H44&lt;=EOMONTH(R$3,0),$I44&gt;=R$3),"D","")))</f>
        <v/>
      </c>
      <c r="S44" s="216" t="str">
        <f ca="1">IF($AI44="","",IF(INDEX('Roadmap Calc (Don’t Touch)'!$W$2:$AT$204,$AI44,10)&gt;0,IF(AND($H44&lt;&gt;"",$H44&lt;=EOMONTH(S$3,0),$I44&gt;=S$3),"B","U"),IF(AND($H44&lt;&gt;"",$H44&lt;=EOMONTH(S$3,0),$I44&gt;=S$3),"D","")))</f>
        <v/>
      </c>
      <c r="T44" s="204" t="str">
        <f ca="1">IF($AI44="","",IF(INDEX('Roadmap Calc (Don’t Touch)'!$W$2:$AT$204,$AI44,11)&gt;0,IF(AND($H44&lt;&gt;"",$H44&lt;=EOMONTH(T$3,0),$I44&gt;=T$3),"B","U"),IF(AND($H44&lt;&gt;"",$H44&lt;=EOMONTH(T$3,0),$I44&gt;=T$3),"D","")))</f>
        <v>D</v>
      </c>
      <c r="U44" s="217" t="str">
        <f ca="1">IF($AI44="","",IF(INDEX('Roadmap Calc (Don’t Touch)'!$W$2:$AT$204,$AI44,12)&gt;0,IF(AND($H44&lt;&gt;"",$H44&lt;=EOMONTH(U$3,0),$I44&gt;=U$3),"B","U"),IF(AND($H44&lt;&gt;"",$H44&lt;=EOMONTH(U$3,0),$I44&gt;=U$3),"D","")))</f>
        <v/>
      </c>
      <c r="V44" s="216" t="str">
        <f ca="1">IF($AI44="","",IF(INDEX('Roadmap Calc (Don’t Touch)'!$W$2:$AT$204,$AI44,13)&gt;0,IF(AND($H44&lt;&gt;"",$H44&lt;=EOMONTH(V$3,0),$I44&gt;=V$3),"B","U"),IF(AND($H44&lt;&gt;"",$H44&lt;=EOMONTH(V$3,0),$I44&gt;=V$3),"D","")))</f>
        <v/>
      </c>
      <c r="W44" s="204" t="str">
        <f ca="1">IF($AI44="","",IF(INDEX('Roadmap Calc (Don’t Touch)'!$W$2:$AT$204,$AI44,14)&gt;0,IF(AND($H44&lt;&gt;"",$H44&lt;=EOMONTH(W$3,0),$I44&gt;=W$3),"B","U"),IF(AND($H44&lt;&gt;"",$H44&lt;=EOMONTH(W$3,0),$I44&gt;=W$3),"D","")))</f>
        <v/>
      </c>
      <c r="X44" s="217" t="str">
        <f ca="1">IF($AI44="","",IF(INDEX('Roadmap Calc (Don’t Touch)'!$W$2:$AT$204,$AI44,15)&gt;0,IF(AND($H44&lt;&gt;"",$H44&lt;=EOMONTH(X$3,0),$I44&gt;=X$3),"B","U"),IF(AND($H44&lt;&gt;"",$H44&lt;=EOMONTH(X$3,0),$I44&gt;=X$3),"D","")))</f>
        <v/>
      </c>
      <c r="Y44" s="216" t="str">
        <f ca="1">IF($AI44="","",IF(INDEX('Roadmap Calc (Don’t Touch)'!$W$2:$AT$204,$AI44,16)&gt;0,IF(AND($H44&lt;&gt;"",$H44&lt;=EOMONTH(Y$3,0),$I44&gt;=Y$3),"B","U"),IF(AND($H44&lt;&gt;"",$H44&lt;=EOMONTH(Y$3,0),$I44&gt;=Y$3),"D","")))</f>
        <v/>
      </c>
      <c r="Z44" s="204" t="str">
        <f ca="1">IF($AI44="","",IF(INDEX('Roadmap Calc (Don’t Touch)'!$W$2:$AT$204,$AI44,17)&gt;0,IF(AND($H44&lt;&gt;"",$H44&lt;=EOMONTH(Z$3,0),$I44&gt;=Z$3),"B","U"),IF(AND($H44&lt;&gt;"",$H44&lt;=EOMONTH(Z$3,0),$I44&gt;=Z$3),"D","")))</f>
        <v/>
      </c>
      <c r="AA44" s="217" t="str">
        <f ca="1">IF($AI44="","",IF(INDEX('Roadmap Calc (Don’t Touch)'!$W$2:$AT$204,$AI44,18)&gt;0,IF(AND($H44&lt;&gt;"",$H44&lt;=EOMONTH(AA$3,0),$I44&gt;=AA$3),"B","U"),IF(AND($H44&lt;&gt;"",$H44&lt;=EOMONTH(AA$3,0),$I44&gt;=AA$3),"D","")))</f>
        <v/>
      </c>
      <c r="AB44" s="216" t="str">
        <f ca="1">IF($AI44="","",IF(INDEX('Roadmap Calc (Don’t Touch)'!$W$2:$AT$204,$AI44,19)&gt;0,IF(AND($H44&lt;&gt;"",$H44&lt;=EOMONTH(AB$3,0),$I44&gt;=AB$3),"B","U"),IF(AND($H44&lt;&gt;"",$H44&lt;=EOMONTH(AB$3,0),$I44&gt;=AB$3),"D","")))</f>
        <v/>
      </c>
      <c r="AC44" s="204" t="str">
        <f ca="1">IF($AI44="","",IF(INDEX('Roadmap Calc (Don’t Touch)'!$W$2:$AT$204,$AI44,20)&gt;0,IF(AND($H44&lt;&gt;"",$H44&lt;=EOMONTH(AC$3,0),$I44&gt;=AC$3),"B","U"),IF(AND($H44&lt;&gt;"",$H44&lt;=EOMONTH(AC$3,0),$I44&gt;=AC$3),"D","")))</f>
        <v/>
      </c>
      <c r="AD44" s="217" t="str">
        <f ca="1">IF($AI44="","",IF(INDEX('Roadmap Calc (Don’t Touch)'!$W$2:$AT$204,$AI44,21)&gt;0,IF(AND($H44&lt;&gt;"",$H44&lt;=EOMONTH(AD$3,0),$I44&gt;=AD$3),"B","U"),IF(AND($H44&lt;&gt;"",$H44&lt;=EOMONTH(AD$3,0),$I44&gt;=AD$3),"D","")))</f>
        <v/>
      </c>
      <c r="AE44" s="210" t="str">
        <f ca="1">IF($AI44="","",IF(INDEX('Roadmap Calc (Don’t Touch)'!$W$2:$AT$204,$AI44,22)&gt;0,IF(AND($H44&lt;&gt;"",$H44&lt;=EOMONTH(AE$3,0),$I44&gt;=AE$3),"B","U"),IF(AND($H44&lt;&gt;"",$H44&lt;=EOMONTH(AE$3,0),$I44&gt;=AE$3),"D","")))</f>
        <v/>
      </c>
      <c r="AF44" s="204" t="str">
        <f ca="1">IF($AI44="","",IF(INDEX('Roadmap Calc (Don’t Touch)'!$W$2:$AT$204,$AI44,23)&gt;0,IF(AND($H44&lt;&gt;"",$H44&lt;=EOMONTH(AF$3,0),$I44&gt;=AF$3),"B","U"),IF(AND($H44&lt;&gt;"",$H44&lt;=EOMONTH(AF$3,0),$I44&gt;=AF$3),"D","")))</f>
        <v/>
      </c>
      <c r="AG44" s="204" t="str">
        <f ca="1">IF($AI44="","",IF(INDEX('Roadmap Calc (Don’t Touch)'!$W$2:$AT$204,$AI44,24)&gt;0,IF(AND($H44&lt;&gt;"",$H44&lt;=EOMONTH(AG$3,0),$I44&gt;=AG$3),"B","U"),IF(AND($H44&lt;&gt;"",$H44&lt;=EOMONTH(AG$3,0),$I44&gt;=AG$3),"D","")))</f>
        <v/>
      </c>
      <c r="AH44" s="180" t="str">
        <f>IF($AI44="","",INDEX('Roadmap Calc (Don’t Touch)'!$D$2:$D$204,$AI44))</f>
        <v>Increase B2B Acquisition</v>
      </c>
      <c r="AI44" s="180">
        <f>IFERROR(MATCH(38,'Roadmap Calc (Don’t Touch)'!$O$2:$O$204,0),"")</f>
        <v>29</v>
      </c>
    </row>
    <row r="45" spans="1:35" ht="17" customHeight="1" x14ac:dyDescent="0.25">
      <c r="A45" s="197" t="str">
        <f t="shared" si="1"/>
        <v/>
      </c>
      <c r="B45" s="198" t="str">
        <f>IF($AI45="","",INDEX('Roadmap Calc (Don’t Touch)'!$B$2:$B$204,$AI45))</f>
        <v>School Safety Landing Page</v>
      </c>
      <c r="C45" s="199" t="str">
        <f>IF($AI45="","",INDEX('Roadmap Calc (Don’t Touch)'!$E$2:$E$204,$AI45))</f>
        <v>BHUX-34377</v>
      </c>
      <c r="D45" s="227" t="str">
        <f>IF($AI45="","",INDEX('Roadmap Calc (Don’t Touch)'!$F$2:$F$204,$AI45))</f>
        <v>08. Ready for Dev</v>
      </c>
      <c r="E45" s="201">
        <f>IF($AI45="","",IF(ISNUMBER(INDEX('Roadmap Calc (Don’t Touch)'!$G$2:$G$204,$AI45)),INDEX('Roadmap Calc (Don’t Touch)'!$G$2:$G$204,$AI45),""))</f>
        <v>46188</v>
      </c>
      <c r="F45" s="201">
        <f>IF($AI45="","",IF(ISNUMBER(INDEX('Roadmap Calc (Don’t Touch)'!$H$2:$H$204,$AI45)),INDEX('Roadmap Calc (Don’t Touch)'!$H$2:$H$204,$AI45),""))</f>
        <v>46244</v>
      </c>
      <c r="G45" s="202">
        <f>IF($AI45="","",INDEX('Roadmap Calc (Don’t Touch)'!$S$2:$S$204,$AI45))</f>
        <v>9</v>
      </c>
      <c r="H45" s="203">
        <f ca="1">IF($AI45="","",IF(ISNUMBER(INDEX('Roadmap Calc (Don’t Touch)'!$I$2:$I$204,$AI45)),INDEX('Roadmap Calc (Don’t Touch)'!$I$2:$I$204,$AI45),""))</f>
        <v>46266</v>
      </c>
      <c r="I45" s="203">
        <f ca="1">IF($AI45="","",IF(ISNUMBER(INDEX('Roadmap Calc (Don’t Touch)'!$J$2:$J$204,$AI45)),INDEX('Roadmap Calc (Don’t Touch)'!$J$2:$J$204,$AI45),""))</f>
        <v>46295</v>
      </c>
      <c r="J45" s="204" t="str">
        <f ca="1">IF($AI45="","",IF(INDEX('Roadmap Calc (Don’t Touch)'!$W$2:$AT$204,$AI45,1)&gt;0,IF(AND($H45&lt;&gt;"",$H45&lt;=EOMONTH(J$3,0),$I45&gt;=J$3),"B","U"),IF(AND($H45&lt;&gt;"",$H45&lt;=EOMONTH(J$3,0),$I45&gt;=J$3),"D","")))</f>
        <v/>
      </c>
      <c r="K45" s="204" t="str">
        <f ca="1">IF($AI45="","",IF(INDEX('Roadmap Calc (Don’t Touch)'!$W$2:$AT$204,$AI45,2)&gt;0,IF(AND($H45&lt;&gt;"",$H45&lt;=EOMONTH(K$3,0),$I45&gt;=K$3),"B","U"),IF(AND($H45&lt;&gt;"",$H45&lt;=EOMONTH(K$3,0),$I45&gt;=K$3),"D","")))</f>
        <v/>
      </c>
      <c r="L45" s="204" t="str">
        <f ca="1">IF($AI45="","",IF(INDEX('Roadmap Calc (Don’t Touch)'!$W$2:$AT$204,$AI45,3)&gt;0,IF(AND($H45&lt;&gt;"",$H45&lt;=EOMONTH(L$3,0),$I45&gt;=L$3),"B","U"),IF(AND($H45&lt;&gt;"",$H45&lt;=EOMONTH(L$3,0),$I45&gt;=L$3),"D","")))</f>
        <v/>
      </c>
      <c r="M45" s="216" t="str">
        <f ca="1">IF($AI45="","",IF(INDEX('Roadmap Calc (Don’t Touch)'!$W$2:$AT$204,$AI45,4)&gt;0,IF(AND($H45&lt;&gt;"",$H45&lt;=EOMONTH(M$3,0),$I45&gt;=M$3),"B","U"),IF(AND($H45&lt;&gt;"",$H45&lt;=EOMONTH(M$3,0),$I45&gt;=M$3),"D","")))</f>
        <v/>
      </c>
      <c r="N45" s="204" t="str">
        <f ca="1">IF($AI45="","",IF(INDEX('Roadmap Calc (Don’t Touch)'!$W$2:$AT$204,$AI45,5)&gt;0,IF(AND($H45&lt;&gt;"",$H45&lt;=EOMONTH(N$3,0),$I45&gt;=N$3),"B","U"),IF(AND($H45&lt;&gt;"",$H45&lt;=EOMONTH(N$3,0),$I45&gt;=N$3),"D","")))</f>
        <v/>
      </c>
      <c r="O45" s="217" t="str">
        <f ca="1">IF($AI45="","",IF(INDEX('Roadmap Calc (Don’t Touch)'!$W$2:$AT$204,$AI45,6)&gt;0,IF(AND($H45&lt;&gt;"",$H45&lt;=EOMONTH(O$3,0),$I45&gt;=O$3),"B","U"),IF(AND($H45&lt;&gt;"",$H45&lt;=EOMONTH(O$3,0),$I45&gt;=O$3),"D","")))</f>
        <v>U</v>
      </c>
      <c r="P45" s="216" t="str">
        <f ca="1">IF($AI45="","",IF(INDEX('Roadmap Calc (Don’t Touch)'!$W$2:$AT$204,$AI45,7)&gt;0,IF(AND($H45&lt;&gt;"",$H45&lt;=EOMONTH(P$3,0),$I45&gt;=P$3),"B","U"),IF(AND($H45&lt;&gt;"",$H45&lt;=EOMONTH(P$3,0),$I45&gt;=P$3),"D","")))</f>
        <v>U</v>
      </c>
      <c r="Q45" s="204" t="str">
        <f ca="1">IF($AI45="","",IF(INDEX('Roadmap Calc (Don’t Touch)'!$W$2:$AT$204,$AI45,8)&gt;0,IF(AND($H45&lt;&gt;"",$H45&lt;=EOMONTH(Q$3,0),$I45&gt;=Q$3),"B","U"),IF(AND($H45&lt;&gt;"",$H45&lt;=EOMONTH(Q$3,0),$I45&gt;=Q$3),"D","")))</f>
        <v>U</v>
      </c>
      <c r="R45" s="217" t="str">
        <f ca="1">IF($AI45="","",IF(INDEX('Roadmap Calc (Don’t Touch)'!$W$2:$AT$204,$AI45,9)&gt;0,IF(AND($H45&lt;&gt;"",$H45&lt;=EOMONTH(R$3,0),$I45&gt;=R$3),"B","U"),IF(AND($H45&lt;&gt;"",$H45&lt;=EOMONTH(R$3,0),$I45&gt;=R$3),"D","")))</f>
        <v>D</v>
      </c>
      <c r="S45" s="216" t="str">
        <f ca="1">IF($AI45="","",IF(INDEX('Roadmap Calc (Don’t Touch)'!$W$2:$AT$204,$AI45,10)&gt;0,IF(AND($H45&lt;&gt;"",$H45&lt;=EOMONTH(S$3,0),$I45&gt;=S$3),"B","U"),IF(AND($H45&lt;&gt;"",$H45&lt;=EOMONTH(S$3,0),$I45&gt;=S$3),"D","")))</f>
        <v/>
      </c>
      <c r="T45" s="204" t="str">
        <f ca="1">IF($AI45="","",IF(INDEX('Roadmap Calc (Don’t Touch)'!$W$2:$AT$204,$AI45,11)&gt;0,IF(AND($H45&lt;&gt;"",$H45&lt;=EOMONTH(T$3,0),$I45&gt;=T$3),"B","U"),IF(AND($H45&lt;&gt;"",$H45&lt;=EOMONTH(T$3,0),$I45&gt;=T$3),"D","")))</f>
        <v/>
      </c>
      <c r="U45" s="217" t="str">
        <f ca="1">IF($AI45="","",IF(INDEX('Roadmap Calc (Don’t Touch)'!$W$2:$AT$204,$AI45,12)&gt;0,IF(AND($H45&lt;&gt;"",$H45&lt;=EOMONTH(U$3,0),$I45&gt;=U$3),"B","U"),IF(AND($H45&lt;&gt;"",$H45&lt;=EOMONTH(U$3,0),$I45&gt;=U$3),"D","")))</f>
        <v/>
      </c>
      <c r="V45" s="216" t="str">
        <f ca="1">IF($AI45="","",IF(INDEX('Roadmap Calc (Don’t Touch)'!$W$2:$AT$204,$AI45,13)&gt;0,IF(AND($H45&lt;&gt;"",$H45&lt;=EOMONTH(V$3,0),$I45&gt;=V$3),"B","U"),IF(AND($H45&lt;&gt;"",$H45&lt;=EOMONTH(V$3,0),$I45&gt;=V$3),"D","")))</f>
        <v/>
      </c>
      <c r="W45" s="204" t="str">
        <f ca="1">IF($AI45="","",IF(INDEX('Roadmap Calc (Don’t Touch)'!$W$2:$AT$204,$AI45,14)&gt;0,IF(AND($H45&lt;&gt;"",$H45&lt;=EOMONTH(W$3,0),$I45&gt;=W$3),"B","U"),IF(AND($H45&lt;&gt;"",$H45&lt;=EOMONTH(W$3,0),$I45&gt;=W$3),"D","")))</f>
        <v/>
      </c>
      <c r="X45" s="217" t="str">
        <f ca="1">IF($AI45="","",IF(INDEX('Roadmap Calc (Don’t Touch)'!$W$2:$AT$204,$AI45,15)&gt;0,IF(AND($H45&lt;&gt;"",$H45&lt;=EOMONTH(X$3,0),$I45&gt;=X$3),"B","U"),IF(AND($H45&lt;&gt;"",$H45&lt;=EOMONTH(X$3,0),$I45&gt;=X$3),"D","")))</f>
        <v/>
      </c>
      <c r="Y45" s="216" t="str">
        <f ca="1">IF($AI45="","",IF(INDEX('Roadmap Calc (Don’t Touch)'!$W$2:$AT$204,$AI45,16)&gt;0,IF(AND($H45&lt;&gt;"",$H45&lt;=EOMONTH(Y$3,0),$I45&gt;=Y$3),"B","U"),IF(AND($H45&lt;&gt;"",$H45&lt;=EOMONTH(Y$3,0),$I45&gt;=Y$3),"D","")))</f>
        <v/>
      </c>
      <c r="Z45" s="204" t="str">
        <f ca="1">IF($AI45="","",IF(INDEX('Roadmap Calc (Don’t Touch)'!$W$2:$AT$204,$AI45,17)&gt;0,IF(AND($H45&lt;&gt;"",$H45&lt;=EOMONTH(Z$3,0),$I45&gt;=Z$3),"B","U"),IF(AND($H45&lt;&gt;"",$H45&lt;=EOMONTH(Z$3,0),$I45&gt;=Z$3),"D","")))</f>
        <v/>
      </c>
      <c r="AA45" s="217" t="str">
        <f ca="1">IF($AI45="","",IF(INDEX('Roadmap Calc (Don’t Touch)'!$W$2:$AT$204,$AI45,18)&gt;0,IF(AND($H45&lt;&gt;"",$H45&lt;=EOMONTH(AA$3,0),$I45&gt;=AA$3),"B","U"),IF(AND($H45&lt;&gt;"",$H45&lt;=EOMONTH(AA$3,0),$I45&gt;=AA$3),"D","")))</f>
        <v/>
      </c>
      <c r="AB45" s="216" t="str">
        <f ca="1">IF($AI45="","",IF(INDEX('Roadmap Calc (Don’t Touch)'!$W$2:$AT$204,$AI45,19)&gt;0,IF(AND($H45&lt;&gt;"",$H45&lt;=EOMONTH(AB$3,0),$I45&gt;=AB$3),"B","U"),IF(AND($H45&lt;&gt;"",$H45&lt;=EOMONTH(AB$3,0),$I45&gt;=AB$3),"D","")))</f>
        <v/>
      </c>
      <c r="AC45" s="204" t="str">
        <f ca="1">IF($AI45="","",IF(INDEX('Roadmap Calc (Don’t Touch)'!$W$2:$AT$204,$AI45,20)&gt;0,IF(AND($H45&lt;&gt;"",$H45&lt;=EOMONTH(AC$3,0),$I45&gt;=AC$3),"B","U"),IF(AND($H45&lt;&gt;"",$H45&lt;=EOMONTH(AC$3,0),$I45&gt;=AC$3),"D","")))</f>
        <v/>
      </c>
      <c r="AD45" s="217" t="str">
        <f ca="1">IF($AI45="","",IF(INDEX('Roadmap Calc (Don’t Touch)'!$W$2:$AT$204,$AI45,21)&gt;0,IF(AND($H45&lt;&gt;"",$H45&lt;=EOMONTH(AD$3,0),$I45&gt;=AD$3),"B","U"),IF(AND($H45&lt;&gt;"",$H45&lt;=EOMONTH(AD$3,0),$I45&gt;=AD$3),"D","")))</f>
        <v/>
      </c>
      <c r="AE45" s="210" t="str">
        <f ca="1">IF($AI45="","",IF(INDEX('Roadmap Calc (Don’t Touch)'!$W$2:$AT$204,$AI45,22)&gt;0,IF(AND($H45&lt;&gt;"",$H45&lt;=EOMONTH(AE$3,0),$I45&gt;=AE$3),"B","U"),IF(AND($H45&lt;&gt;"",$H45&lt;=EOMONTH(AE$3,0),$I45&gt;=AE$3),"D","")))</f>
        <v/>
      </c>
      <c r="AF45" s="204" t="str">
        <f ca="1">IF($AI45="","",IF(INDEX('Roadmap Calc (Don’t Touch)'!$W$2:$AT$204,$AI45,23)&gt;0,IF(AND($H45&lt;&gt;"",$H45&lt;=EOMONTH(AF$3,0),$I45&gt;=AF$3),"B","U"),IF(AND($H45&lt;&gt;"",$H45&lt;=EOMONTH(AF$3,0),$I45&gt;=AF$3),"D","")))</f>
        <v/>
      </c>
      <c r="AG45" s="204" t="str">
        <f ca="1">IF($AI45="","",IF(INDEX('Roadmap Calc (Don’t Touch)'!$W$2:$AT$204,$AI45,24)&gt;0,IF(AND($H45&lt;&gt;"",$H45&lt;=EOMONTH(AG$3,0),$I45&gt;=AG$3),"B","U"),IF(AND($H45&lt;&gt;"",$H45&lt;=EOMONTH(AG$3,0),$I45&gt;=AG$3),"D","")))</f>
        <v/>
      </c>
      <c r="AH45" s="180" t="str">
        <f>IF($AI45="","",INDEX('Roadmap Calc (Don’t Touch)'!$D$2:$D$204,$AI45))</f>
        <v>Increase B2B Acquisition</v>
      </c>
      <c r="AI45" s="180">
        <f>IFERROR(MATCH(39,'Roadmap Calc (Don’t Touch)'!$O$2:$O$204,0),"")</f>
        <v>32</v>
      </c>
    </row>
    <row r="46" spans="1:35" ht="17" customHeight="1" x14ac:dyDescent="0.25">
      <c r="A46" s="197" t="str">
        <f t="shared" si="1"/>
        <v/>
      </c>
      <c r="B46" s="198" t="str">
        <f>IF($AI46="","",INDEX('Roadmap Calc (Don’t Touch)'!$B$2:$B$204,$AI46))</f>
        <v>EDU Homepage</v>
      </c>
      <c r="C46" s="199" t="str">
        <f>IF($AI46="","",INDEX('Roadmap Calc (Don’t Touch)'!$E$2:$E$204,$AI46))</f>
        <v>BHUX-25601</v>
      </c>
      <c r="D46" s="227" t="str">
        <f>IF($AI46="","",INDEX('Roadmap Calc (Don’t Touch)'!$F$2:$F$204,$AI46))</f>
        <v>13. Live</v>
      </c>
      <c r="E46" s="201">
        <f>IF($AI46="","",IF(ISNUMBER(INDEX('Roadmap Calc (Don’t Touch)'!$G$2:$G$204,$AI46)),INDEX('Roadmap Calc (Don’t Touch)'!$G$2:$G$204,$AI46),""))</f>
        <v>46146</v>
      </c>
      <c r="F46" s="201">
        <f>IF($AI46="","",IF(ISNUMBER(INDEX('Roadmap Calc (Don’t Touch)'!$H$2:$H$204,$AI46)),INDEX('Roadmap Calc (Don’t Touch)'!$H$2:$H$204,$AI46),""))</f>
        <v>46188</v>
      </c>
      <c r="G46" s="202">
        <f>IF($AI46="","",INDEX('Roadmap Calc (Don’t Touch)'!$S$2:$S$204,$AI46))</f>
        <v>2</v>
      </c>
      <c r="H46" s="203">
        <f ca="1">IF($AI46="","",IF(ISNUMBER(INDEX('Roadmap Calc (Don’t Touch)'!$I$2:$I$204,$AI46)),INDEX('Roadmap Calc (Don’t Touch)'!$I$2:$I$204,$AI46),""))</f>
        <v>46235</v>
      </c>
      <c r="I46" s="203">
        <f ca="1">IF($AI46="","",IF(ISNUMBER(INDEX('Roadmap Calc (Don’t Touch)'!$J$2:$J$204,$AI46)),INDEX('Roadmap Calc (Don’t Touch)'!$J$2:$J$204,$AI46),""))</f>
        <v>46265</v>
      </c>
      <c r="J46" s="204" t="str">
        <f ca="1">IF($AI46="","",IF(INDEX('Roadmap Calc (Don’t Touch)'!$W$2:$AT$204,$AI46,1)&gt;0,IF(AND($H46&lt;&gt;"",$H46&lt;=EOMONTH(J$3,0),$I46&gt;=J$3),"B","U"),IF(AND($H46&lt;&gt;"",$H46&lt;=EOMONTH(J$3,0),$I46&gt;=J$3),"D","")))</f>
        <v/>
      </c>
      <c r="K46" s="204" t="str">
        <f ca="1">IF($AI46="","",IF(INDEX('Roadmap Calc (Don’t Touch)'!$W$2:$AT$204,$AI46,2)&gt;0,IF(AND($H46&lt;&gt;"",$H46&lt;=EOMONTH(K$3,0),$I46&gt;=K$3),"B","U"),IF(AND($H46&lt;&gt;"",$H46&lt;=EOMONTH(K$3,0),$I46&gt;=K$3),"D","")))</f>
        <v/>
      </c>
      <c r="L46" s="204" t="str">
        <f ca="1">IF($AI46="","",IF(INDEX('Roadmap Calc (Don’t Touch)'!$W$2:$AT$204,$AI46,3)&gt;0,IF(AND($H46&lt;&gt;"",$H46&lt;=EOMONTH(L$3,0),$I46&gt;=L$3),"B","U"),IF(AND($H46&lt;&gt;"",$H46&lt;=EOMONTH(L$3,0),$I46&gt;=L$3),"D","")))</f>
        <v/>
      </c>
      <c r="M46" s="216" t="str">
        <f ca="1">IF($AI46="","",IF(INDEX('Roadmap Calc (Don’t Touch)'!$W$2:$AT$204,$AI46,4)&gt;0,IF(AND($H46&lt;&gt;"",$H46&lt;=EOMONTH(M$3,0),$I46&gt;=M$3),"B","U"),IF(AND($H46&lt;&gt;"",$H46&lt;=EOMONTH(M$3,0),$I46&gt;=M$3),"D","")))</f>
        <v/>
      </c>
      <c r="N46" s="204" t="str">
        <f ca="1">IF($AI46="","",IF(INDEX('Roadmap Calc (Don’t Touch)'!$W$2:$AT$204,$AI46,5)&gt;0,IF(AND($H46&lt;&gt;"",$H46&lt;=EOMONTH(N$3,0),$I46&gt;=N$3),"B","U"),IF(AND($H46&lt;&gt;"",$H46&lt;=EOMONTH(N$3,0),$I46&gt;=N$3),"D","")))</f>
        <v>U</v>
      </c>
      <c r="O46" s="217" t="str">
        <f ca="1">IF($AI46="","",IF(INDEX('Roadmap Calc (Don’t Touch)'!$W$2:$AT$204,$AI46,6)&gt;0,IF(AND($H46&lt;&gt;"",$H46&lt;=EOMONTH(O$3,0),$I46&gt;=O$3),"B","U"),IF(AND($H46&lt;&gt;"",$H46&lt;=EOMONTH(O$3,0),$I46&gt;=O$3),"D","")))</f>
        <v>U</v>
      </c>
      <c r="P46" s="216" t="str">
        <f ca="1">IF($AI46="","",IF(INDEX('Roadmap Calc (Don’t Touch)'!$W$2:$AT$204,$AI46,7)&gt;0,IF(AND($H46&lt;&gt;"",$H46&lt;=EOMONTH(P$3,0),$I46&gt;=P$3),"B","U"),IF(AND($H46&lt;&gt;"",$H46&lt;=EOMONTH(P$3,0),$I46&gt;=P$3),"D","")))</f>
        <v/>
      </c>
      <c r="Q46" s="204" t="str">
        <f ca="1">IF($AI46="","",IF(INDEX('Roadmap Calc (Don’t Touch)'!$W$2:$AT$204,$AI46,8)&gt;0,IF(AND($H46&lt;&gt;"",$H46&lt;=EOMONTH(Q$3,0),$I46&gt;=Q$3),"B","U"),IF(AND($H46&lt;&gt;"",$H46&lt;=EOMONTH(Q$3,0),$I46&gt;=Q$3),"D","")))</f>
        <v>D</v>
      </c>
      <c r="R46" s="217" t="str">
        <f ca="1">IF($AI46="","",IF(INDEX('Roadmap Calc (Don’t Touch)'!$W$2:$AT$204,$AI46,9)&gt;0,IF(AND($H46&lt;&gt;"",$H46&lt;=EOMONTH(R$3,0),$I46&gt;=R$3),"B","U"),IF(AND($H46&lt;&gt;"",$H46&lt;=EOMONTH(R$3,0),$I46&gt;=R$3),"D","")))</f>
        <v/>
      </c>
      <c r="S46" s="216" t="str">
        <f ca="1">IF($AI46="","",IF(INDEX('Roadmap Calc (Don’t Touch)'!$W$2:$AT$204,$AI46,10)&gt;0,IF(AND($H46&lt;&gt;"",$H46&lt;=EOMONTH(S$3,0),$I46&gt;=S$3),"B","U"),IF(AND($H46&lt;&gt;"",$H46&lt;=EOMONTH(S$3,0),$I46&gt;=S$3),"D","")))</f>
        <v/>
      </c>
      <c r="T46" s="204" t="str">
        <f ca="1">IF($AI46="","",IF(INDEX('Roadmap Calc (Don’t Touch)'!$W$2:$AT$204,$AI46,11)&gt;0,IF(AND($H46&lt;&gt;"",$H46&lt;=EOMONTH(T$3,0),$I46&gt;=T$3),"B","U"),IF(AND($H46&lt;&gt;"",$H46&lt;=EOMONTH(T$3,0),$I46&gt;=T$3),"D","")))</f>
        <v/>
      </c>
      <c r="U46" s="217" t="str">
        <f ca="1">IF($AI46="","",IF(INDEX('Roadmap Calc (Don’t Touch)'!$W$2:$AT$204,$AI46,12)&gt;0,IF(AND($H46&lt;&gt;"",$H46&lt;=EOMONTH(U$3,0),$I46&gt;=U$3),"B","U"),IF(AND($H46&lt;&gt;"",$H46&lt;=EOMONTH(U$3,0),$I46&gt;=U$3),"D","")))</f>
        <v/>
      </c>
      <c r="V46" s="216" t="str">
        <f ca="1">IF($AI46="","",IF(INDEX('Roadmap Calc (Don’t Touch)'!$W$2:$AT$204,$AI46,13)&gt;0,IF(AND($H46&lt;&gt;"",$H46&lt;=EOMONTH(V$3,0),$I46&gt;=V$3),"B","U"),IF(AND($H46&lt;&gt;"",$H46&lt;=EOMONTH(V$3,0),$I46&gt;=V$3),"D","")))</f>
        <v/>
      </c>
      <c r="W46" s="204" t="str">
        <f ca="1">IF($AI46="","",IF(INDEX('Roadmap Calc (Don’t Touch)'!$W$2:$AT$204,$AI46,14)&gt;0,IF(AND($H46&lt;&gt;"",$H46&lt;=EOMONTH(W$3,0),$I46&gt;=W$3),"B","U"),IF(AND($H46&lt;&gt;"",$H46&lt;=EOMONTH(W$3,0),$I46&gt;=W$3),"D","")))</f>
        <v/>
      </c>
      <c r="X46" s="217" t="str">
        <f ca="1">IF($AI46="","",IF(INDEX('Roadmap Calc (Don’t Touch)'!$W$2:$AT$204,$AI46,15)&gt;0,IF(AND($H46&lt;&gt;"",$H46&lt;=EOMONTH(X$3,0),$I46&gt;=X$3),"B","U"),IF(AND($H46&lt;&gt;"",$H46&lt;=EOMONTH(X$3,0),$I46&gt;=X$3),"D","")))</f>
        <v/>
      </c>
      <c r="Y46" s="216" t="str">
        <f ca="1">IF($AI46="","",IF(INDEX('Roadmap Calc (Don’t Touch)'!$W$2:$AT$204,$AI46,16)&gt;0,IF(AND($H46&lt;&gt;"",$H46&lt;=EOMONTH(Y$3,0),$I46&gt;=Y$3),"B","U"),IF(AND($H46&lt;&gt;"",$H46&lt;=EOMONTH(Y$3,0),$I46&gt;=Y$3),"D","")))</f>
        <v/>
      </c>
      <c r="Z46" s="204" t="str">
        <f ca="1">IF($AI46="","",IF(INDEX('Roadmap Calc (Don’t Touch)'!$W$2:$AT$204,$AI46,17)&gt;0,IF(AND($H46&lt;&gt;"",$H46&lt;=EOMONTH(Z$3,0),$I46&gt;=Z$3),"B","U"),IF(AND($H46&lt;&gt;"",$H46&lt;=EOMONTH(Z$3,0),$I46&gt;=Z$3),"D","")))</f>
        <v/>
      </c>
      <c r="AA46" s="217" t="str">
        <f ca="1">IF($AI46="","",IF(INDEX('Roadmap Calc (Don’t Touch)'!$W$2:$AT$204,$AI46,18)&gt;0,IF(AND($H46&lt;&gt;"",$H46&lt;=EOMONTH(AA$3,0),$I46&gt;=AA$3),"B","U"),IF(AND($H46&lt;&gt;"",$H46&lt;=EOMONTH(AA$3,0),$I46&gt;=AA$3),"D","")))</f>
        <v/>
      </c>
      <c r="AB46" s="216" t="str">
        <f ca="1">IF($AI46="","",IF(INDEX('Roadmap Calc (Don’t Touch)'!$W$2:$AT$204,$AI46,19)&gt;0,IF(AND($H46&lt;&gt;"",$H46&lt;=EOMONTH(AB$3,0),$I46&gt;=AB$3),"B","U"),IF(AND($H46&lt;&gt;"",$H46&lt;=EOMONTH(AB$3,0),$I46&gt;=AB$3),"D","")))</f>
        <v/>
      </c>
      <c r="AC46" s="204" t="str">
        <f ca="1">IF($AI46="","",IF(INDEX('Roadmap Calc (Don’t Touch)'!$W$2:$AT$204,$AI46,20)&gt;0,IF(AND($H46&lt;&gt;"",$H46&lt;=EOMONTH(AC$3,0),$I46&gt;=AC$3),"B","U"),IF(AND($H46&lt;&gt;"",$H46&lt;=EOMONTH(AC$3,0),$I46&gt;=AC$3),"D","")))</f>
        <v/>
      </c>
      <c r="AD46" s="217" t="str">
        <f ca="1">IF($AI46="","",IF(INDEX('Roadmap Calc (Don’t Touch)'!$W$2:$AT$204,$AI46,21)&gt;0,IF(AND($H46&lt;&gt;"",$H46&lt;=EOMONTH(AD$3,0),$I46&gt;=AD$3),"B","U"),IF(AND($H46&lt;&gt;"",$H46&lt;=EOMONTH(AD$3,0),$I46&gt;=AD$3),"D","")))</f>
        <v/>
      </c>
      <c r="AE46" s="210" t="str">
        <f ca="1">IF($AI46="","",IF(INDEX('Roadmap Calc (Don’t Touch)'!$W$2:$AT$204,$AI46,22)&gt;0,IF(AND($H46&lt;&gt;"",$H46&lt;=EOMONTH(AE$3,0),$I46&gt;=AE$3),"B","U"),IF(AND($H46&lt;&gt;"",$H46&lt;=EOMONTH(AE$3,0),$I46&gt;=AE$3),"D","")))</f>
        <v/>
      </c>
      <c r="AF46" s="204" t="str">
        <f ca="1">IF($AI46="","",IF(INDEX('Roadmap Calc (Don’t Touch)'!$W$2:$AT$204,$AI46,23)&gt;0,IF(AND($H46&lt;&gt;"",$H46&lt;=EOMONTH(AF$3,0),$I46&gt;=AF$3),"B","U"),IF(AND($H46&lt;&gt;"",$H46&lt;=EOMONTH(AF$3,0),$I46&gt;=AF$3),"D","")))</f>
        <v/>
      </c>
      <c r="AG46" s="204" t="str">
        <f ca="1">IF($AI46="","",IF(INDEX('Roadmap Calc (Don’t Touch)'!$W$2:$AT$204,$AI46,24)&gt;0,IF(AND($H46&lt;&gt;"",$H46&lt;=EOMONTH(AG$3,0),$I46&gt;=AG$3),"B","U"),IF(AND($H46&lt;&gt;"",$H46&lt;=EOMONTH(AG$3,0),$I46&gt;=AG$3),"D","")))</f>
        <v/>
      </c>
      <c r="AH46" s="180" t="str">
        <f>IF($AI46="","",INDEX('Roadmap Calc (Don’t Touch)'!$D$2:$D$204,$AI46))</f>
        <v>Increase B2B Acquisition</v>
      </c>
      <c r="AI46" s="180">
        <f>IFERROR(MATCH(40,'Roadmap Calc (Don’t Touch)'!$O$2:$O$204,0),"")</f>
        <v>43</v>
      </c>
    </row>
    <row r="47" spans="1:35" ht="17" customHeight="1" x14ac:dyDescent="0.25">
      <c r="A47" s="197" t="str">
        <f t="shared" si="1"/>
        <v>Increase The Studio B&amp;H Awareness</v>
      </c>
      <c r="B47" s="198" t="str">
        <f>IF($AI47="","",INDEX('Roadmap Calc (Don’t Touch)'!$B$2:$B$204,$AI47))</f>
        <v>The Studio - Stand Alone Website</v>
      </c>
      <c r="C47" s="199" t="str">
        <f>IF($AI47="","",INDEX('Roadmap Calc (Don’t Touch)'!$E$2:$E$204,$AI47))</f>
        <v/>
      </c>
      <c r="D47" s="227" t="str">
        <f>IF($AI47="","",INDEX('Roadmap Calc (Don’t Touch)'!$F$2:$F$204,$AI47))</f>
        <v>01. Prod Discovery</v>
      </c>
      <c r="E47" s="201">
        <f>IF($AI47="","",IF(ISNUMBER(INDEX('Roadmap Calc (Don’t Touch)'!$G$2:$G$204,$AI47)),INDEX('Roadmap Calc (Don’t Touch)'!$G$2:$G$204,$AI47),""))</f>
        <v>46272</v>
      </c>
      <c r="F47" s="201">
        <f>IF($AI47="","",IF(ISNUMBER(INDEX('Roadmap Calc (Don’t Touch)'!$H$2:$H$204,$AI47)),INDEX('Roadmap Calc (Don’t Touch)'!$H$2:$H$204,$AI47),""))</f>
        <v>46286</v>
      </c>
      <c r="G47" s="202">
        <f>IF($AI47="","",INDEX('Roadmap Calc (Don’t Touch)'!$S$2:$S$204,$AI47))</f>
        <v>3</v>
      </c>
      <c r="H47" s="203">
        <f ca="1">IF($AI47="","",IF(ISNUMBER(INDEX('Roadmap Calc (Don’t Touch)'!$I$2:$I$204,$AI47)),INDEX('Roadmap Calc (Don’t Touch)'!$I$2:$I$204,$AI47),""))</f>
        <v>46388</v>
      </c>
      <c r="I47" s="203">
        <f ca="1">IF($AI47="","",IF(ISNUMBER(INDEX('Roadmap Calc (Don’t Touch)'!$J$2:$J$204,$AI47)),INDEX('Roadmap Calc (Don’t Touch)'!$J$2:$J$204,$AI47),""))</f>
        <v>46477</v>
      </c>
      <c r="J47" s="204" t="str">
        <f ca="1">IF($AI47="","",IF(INDEX('Roadmap Calc (Don’t Touch)'!$W$2:$AT$204,$AI47,1)&gt;0,IF(AND($H47&lt;&gt;"",$H47&lt;=EOMONTH(J$3,0),$I47&gt;=J$3),"B","U"),IF(AND($H47&lt;&gt;"",$H47&lt;=EOMONTH(J$3,0),$I47&gt;=J$3),"D","")))</f>
        <v/>
      </c>
      <c r="K47" s="204" t="str">
        <f ca="1">IF($AI47="","",IF(INDEX('Roadmap Calc (Don’t Touch)'!$W$2:$AT$204,$AI47,2)&gt;0,IF(AND($H47&lt;&gt;"",$H47&lt;=EOMONTH(K$3,0),$I47&gt;=K$3),"B","U"),IF(AND($H47&lt;&gt;"",$H47&lt;=EOMONTH(K$3,0),$I47&gt;=K$3),"D","")))</f>
        <v/>
      </c>
      <c r="L47" s="204" t="str">
        <f ca="1">IF($AI47="","",IF(INDEX('Roadmap Calc (Don’t Touch)'!$W$2:$AT$204,$AI47,3)&gt;0,IF(AND($H47&lt;&gt;"",$H47&lt;=EOMONTH(L$3,0),$I47&gt;=L$3),"B","U"),IF(AND($H47&lt;&gt;"",$H47&lt;=EOMONTH(L$3,0),$I47&gt;=L$3),"D","")))</f>
        <v/>
      </c>
      <c r="M47" s="216" t="str">
        <f ca="1">IF($AI47="","",IF(INDEX('Roadmap Calc (Don’t Touch)'!$W$2:$AT$204,$AI47,4)&gt;0,IF(AND($H47&lt;&gt;"",$H47&lt;=EOMONTH(M$3,0),$I47&gt;=M$3),"B","U"),IF(AND($H47&lt;&gt;"",$H47&lt;=EOMONTH(M$3,0),$I47&gt;=M$3),"D","")))</f>
        <v/>
      </c>
      <c r="N47" s="204" t="str">
        <f ca="1">IF($AI47="","",IF(INDEX('Roadmap Calc (Don’t Touch)'!$W$2:$AT$204,$AI47,5)&gt;0,IF(AND($H47&lt;&gt;"",$H47&lt;=EOMONTH(N$3,0),$I47&gt;=N$3),"B","U"),IF(AND($H47&lt;&gt;"",$H47&lt;=EOMONTH(N$3,0),$I47&gt;=N$3),"D","")))</f>
        <v/>
      </c>
      <c r="O47" s="217" t="str">
        <f ca="1">IF($AI47="","",IF(INDEX('Roadmap Calc (Don’t Touch)'!$W$2:$AT$204,$AI47,6)&gt;0,IF(AND($H47&lt;&gt;"",$H47&lt;=EOMONTH(O$3,0),$I47&gt;=O$3),"B","U"),IF(AND($H47&lt;&gt;"",$H47&lt;=EOMONTH(O$3,0),$I47&gt;=O$3),"D","")))</f>
        <v/>
      </c>
      <c r="P47" s="216" t="str">
        <f ca="1">IF($AI47="","",IF(INDEX('Roadmap Calc (Don’t Touch)'!$W$2:$AT$204,$AI47,7)&gt;0,IF(AND($H47&lt;&gt;"",$H47&lt;=EOMONTH(P$3,0),$I47&gt;=P$3),"B","U"),IF(AND($H47&lt;&gt;"",$H47&lt;=EOMONTH(P$3,0),$I47&gt;=P$3),"D","")))</f>
        <v/>
      </c>
      <c r="Q47" s="204" t="str">
        <f ca="1">IF($AI47="","",IF(INDEX('Roadmap Calc (Don’t Touch)'!$W$2:$AT$204,$AI47,8)&gt;0,IF(AND($H47&lt;&gt;"",$H47&lt;=EOMONTH(Q$3,0),$I47&gt;=Q$3),"B","U"),IF(AND($H47&lt;&gt;"",$H47&lt;=EOMONTH(Q$3,0),$I47&gt;=Q$3),"D","")))</f>
        <v/>
      </c>
      <c r="R47" s="217" t="str">
        <f ca="1">IF($AI47="","",IF(INDEX('Roadmap Calc (Don’t Touch)'!$W$2:$AT$204,$AI47,9)&gt;0,IF(AND($H47&lt;&gt;"",$H47&lt;=EOMONTH(R$3,0),$I47&gt;=R$3),"B","U"),IF(AND($H47&lt;&gt;"",$H47&lt;=EOMONTH(R$3,0),$I47&gt;=R$3),"D","")))</f>
        <v>U</v>
      </c>
      <c r="S47" s="216" t="str">
        <f ca="1">IF($AI47="","",IF(INDEX('Roadmap Calc (Don’t Touch)'!$W$2:$AT$204,$AI47,10)&gt;0,IF(AND($H47&lt;&gt;"",$H47&lt;=EOMONTH(S$3,0),$I47&gt;=S$3),"B","U"),IF(AND($H47&lt;&gt;"",$H47&lt;=EOMONTH(S$3,0),$I47&gt;=S$3),"D","")))</f>
        <v/>
      </c>
      <c r="T47" s="204" t="str">
        <f ca="1">IF($AI47="","",IF(INDEX('Roadmap Calc (Don’t Touch)'!$W$2:$AT$204,$AI47,11)&gt;0,IF(AND($H47&lt;&gt;"",$H47&lt;=EOMONTH(T$3,0),$I47&gt;=T$3),"B","U"),IF(AND($H47&lt;&gt;"",$H47&lt;=EOMONTH(T$3,0),$I47&gt;=T$3),"D","")))</f>
        <v/>
      </c>
      <c r="U47" s="217" t="str">
        <f ca="1">IF($AI47="","",IF(INDEX('Roadmap Calc (Don’t Touch)'!$W$2:$AT$204,$AI47,12)&gt;0,IF(AND($H47&lt;&gt;"",$H47&lt;=EOMONTH(U$3,0),$I47&gt;=U$3),"B","U"),IF(AND($H47&lt;&gt;"",$H47&lt;=EOMONTH(U$3,0),$I47&gt;=U$3),"D","")))</f>
        <v/>
      </c>
      <c r="V47" s="216" t="str">
        <f ca="1">IF($AI47="","",IF(INDEX('Roadmap Calc (Don’t Touch)'!$W$2:$AT$204,$AI47,13)&gt;0,IF(AND($H47&lt;&gt;"",$H47&lt;=EOMONTH(V$3,0),$I47&gt;=V$3),"B","U"),IF(AND($H47&lt;&gt;"",$H47&lt;=EOMONTH(V$3,0),$I47&gt;=V$3),"D","")))</f>
        <v>D</v>
      </c>
      <c r="W47" s="204" t="str">
        <f ca="1">IF($AI47="","",IF(INDEX('Roadmap Calc (Don’t Touch)'!$W$2:$AT$204,$AI47,14)&gt;0,IF(AND($H47&lt;&gt;"",$H47&lt;=EOMONTH(W$3,0),$I47&gt;=W$3),"B","U"),IF(AND($H47&lt;&gt;"",$H47&lt;=EOMONTH(W$3,0),$I47&gt;=W$3),"D","")))</f>
        <v>D</v>
      </c>
      <c r="X47" s="217" t="str">
        <f ca="1">IF($AI47="","",IF(INDEX('Roadmap Calc (Don’t Touch)'!$W$2:$AT$204,$AI47,15)&gt;0,IF(AND($H47&lt;&gt;"",$H47&lt;=EOMONTH(X$3,0),$I47&gt;=X$3),"B","U"),IF(AND($H47&lt;&gt;"",$H47&lt;=EOMONTH(X$3,0),$I47&gt;=X$3),"D","")))</f>
        <v>D</v>
      </c>
      <c r="Y47" s="216" t="str">
        <f ca="1">IF($AI47="","",IF(INDEX('Roadmap Calc (Don’t Touch)'!$W$2:$AT$204,$AI47,16)&gt;0,IF(AND($H47&lt;&gt;"",$H47&lt;=EOMONTH(Y$3,0),$I47&gt;=Y$3),"B","U"),IF(AND($H47&lt;&gt;"",$H47&lt;=EOMONTH(Y$3,0),$I47&gt;=Y$3),"D","")))</f>
        <v/>
      </c>
      <c r="Z47" s="204" t="str">
        <f ca="1">IF($AI47="","",IF(INDEX('Roadmap Calc (Don’t Touch)'!$W$2:$AT$204,$AI47,17)&gt;0,IF(AND($H47&lt;&gt;"",$H47&lt;=EOMONTH(Z$3,0),$I47&gt;=Z$3),"B","U"),IF(AND($H47&lt;&gt;"",$H47&lt;=EOMONTH(Z$3,0),$I47&gt;=Z$3),"D","")))</f>
        <v/>
      </c>
      <c r="AA47" s="217" t="str">
        <f ca="1">IF($AI47="","",IF(INDEX('Roadmap Calc (Don’t Touch)'!$W$2:$AT$204,$AI47,18)&gt;0,IF(AND($H47&lt;&gt;"",$H47&lt;=EOMONTH(AA$3,0),$I47&gt;=AA$3),"B","U"),IF(AND($H47&lt;&gt;"",$H47&lt;=EOMONTH(AA$3,0),$I47&gt;=AA$3),"D","")))</f>
        <v/>
      </c>
      <c r="AB47" s="216" t="str">
        <f ca="1">IF($AI47="","",IF(INDEX('Roadmap Calc (Don’t Touch)'!$W$2:$AT$204,$AI47,19)&gt;0,IF(AND($H47&lt;&gt;"",$H47&lt;=EOMONTH(AB$3,0),$I47&gt;=AB$3),"B","U"),IF(AND($H47&lt;&gt;"",$H47&lt;=EOMONTH(AB$3,0),$I47&gt;=AB$3),"D","")))</f>
        <v/>
      </c>
      <c r="AC47" s="204" t="str">
        <f ca="1">IF($AI47="","",IF(INDEX('Roadmap Calc (Don’t Touch)'!$W$2:$AT$204,$AI47,20)&gt;0,IF(AND($H47&lt;&gt;"",$H47&lt;=EOMONTH(AC$3,0),$I47&gt;=AC$3),"B","U"),IF(AND($H47&lt;&gt;"",$H47&lt;=EOMONTH(AC$3,0),$I47&gt;=AC$3),"D","")))</f>
        <v/>
      </c>
      <c r="AD47" s="217" t="str">
        <f ca="1">IF($AI47="","",IF(INDEX('Roadmap Calc (Don’t Touch)'!$W$2:$AT$204,$AI47,21)&gt;0,IF(AND($H47&lt;&gt;"",$H47&lt;=EOMONTH(AD$3,0),$I47&gt;=AD$3),"B","U"),IF(AND($H47&lt;&gt;"",$H47&lt;=EOMONTH(AD$3,0),$I47&gt;=AD$3),"D","")))</f>
        <v/>
      </c>
      <c r="AE47" s="210" t="str">
        <f ca="1">IF($AI47="","",IF(INDEX('Roadmap Calc (Don’t Touch)'!$W$2:$AT$204,$AI47,22)&gt;0,IF(AND($H47&lt;&gt;"",$H47&lt;=EOMONTH(AE$3,0),$I47&gt;=AE$3),"B","U"),IF(AND($H47&lt;&gt;"",$H47&lt;=EOMONTH(AE$3,0),$I47&gt;=AE$3),"D","")))</f>
        <v/>
      </c>
      <c r="AF47" s="204" t="str">
        <f ca="1">IF($AI47="","",IF(INDEX('Roadmap Calc (Don’t Touch)'!$W$2:$AT$204,$AI47,23)&gt;0,IF(AND($H47&lt;&gt;"",$H47&lt;=EOMONTH(AF$3,0),$I47&gt;=AF$3),"B","U"),IF(AND($H47&lt;&gt;"",$H47&lt;=EOMONTH(AF$3,0),$I47&gt;=AF$3),"D","")))</f>
        <v/>
      </c>
      <c r="AG47" s="204" t="str">
        <f ca="1">IF($AI47="","",IF(INDEX('Roadmap Calc (Don’t Touch)'!$W$2:$AT$204,$AI47,24)&gt;0,IF(AND($H47&lt;&gt;"",$H47&lt;=EOMONTH(AG$3,0),$I47&gt;=AG$3),"B","U"),IF(AND($H47&lt;&gt;"",$H47&lt;=EOMONTH(AG$3,0),$I47&gt;=AG$3),"D","")))</f>
        <v/>
      </c>
      <c r="AH47" s="180" t="str">
        <f>IF($AI47="","",INDEX('Roadmap Calc (Don’t Touch)'!$D$2:$D$204,$AI47))</f>
        <v>Increase The Studio B&amp;H Awareness</v>
      </c>
      <c r="AI47" s="180">
        <f>IFERROR(MATCH(41,'Roadmap Calc (Don’t Touch)'!$O$2:$O$204,0),"")</f>
        <v>4</v>
      </c>
    </row>
    <row r="48" spans="1:35" ht="17" customHeight="1" x14ac:dyDescent="0.25">
      <c r="A48" s="197" t="str">
        <f t="shared" si="1"/>
        <v/>
      </c>
      <c r="B48" s="198" t="str">
        <f>IF($AI48="","",INDEX('Roadmap Calc (Don’t Touch)'!$B$2:$B$204,$AI48))</f>
        <v>The Studio - Category Hybrid Page</v>
      </c>
      <c r="C48" s="199" t="str">
        <f>IF($AI48="","",INDEX('Roadmap Calc (Don’t Touch)'!$E$2:$E$204,$AI48))</f>
        <v>BHP-7301</v>
      </c>
      <c r="D48" s="227" t="str">
        <f>IF($AI48="","",INDEX('Roadmap Calc (Don’t Touch)'!$F$2:$F$204,$AI48))</f>
        <v>02. UX Req</v>
      </c>
      <c r="E48" s="201">
        <f>IF($AI48="","",IF(ISNUMBER(INDEX('Roadmap Calc (Don’t Touch)'!$G$2:$G$204,$AI48)),INDEX('Roadmap Calc (Don’t Touch)'!$G$2:$G$204,$AI48),""))</f>
        <v>46244</v>
      </c>
      <c r="F48" s="201">
        <f>IF($AI48="","",IF(ISNUMBER(INDEX('Roadmap Calc (Don’t Touch)'!$H$2:$H$204,$AI48)),INDEX('Roadmap Calc (Don’t Touch)'!$H$2:$H$204,$AI48),""))</f>
        <v>46265</v>
      </c>
      <c r="G48" s="202">
        <f>IF($AI48="","",INDEX('Roadmap Calc (Don’t Touch)'!$S$2:$S$204,$AI48))</f>
        <v>3</v>
      </c>
      <c r="H48" s="203" t="str">
        <f ca="1">IF($AI48="","",IF(ISNUMBER(INDEX('Roadmap Calc (Don’t Touch)'!$I$2:$I$204,$AI48)),INDEX('Roadmap Calc (Don’t Touch)'!$I$2:$I$204,$AI48),""))</f>
        <v/>
      </c>
      <c r="I48" s="203" t="str">
        <f ca="1">IF($AI48="","",IF(ISNUMBER(INDEX('Roadmap Calc (Don’t Touch)'!$J$2:$J$204,$AI48)),INDEX('Roadmap Calc (Don’t Touch)'!$J$2:$J$204,$AI48),""))</f>
        <v/>
      </c>
      <c r="J48" s="204" t="str">
        <f ca="1">IF($AI48="","",IF(INDEX('Roadmap Calc (Don’t Touch)'!$W$2:$AT$204,$AI48,1)&gt;0,IF(AND($H48&lt;&gt;"",$H48&lt;=EOMONTH(J$3,0),$I48&gt;=J$3),"B","U"),IF(AND($H48&lt;&gt;"",$H48&lt;=EOMONTH(J$3,0),$I48&gt;=J$3),"D","")))</f>
        <v/>
      </c>
      <c r="K48" s="204" t="str">
        <f ca="1">IF($AI48="","",IF(INDEX('Roadmap Calc (Don’t Touch)'!$W$2:$AT$204,$AI48,2)&gt;0,IF(AND($H48&lt;&gt;"",$H48&lt;=EOMONTH(K$3,0),$I48&gt;=K$3),"B","U"),IF(AND($H48&lt;&gt;"",$H48&lt;=EOMONTH(K$3,0),$I48&gt;=K$3),"D","")))</f>
        <v/>
      </c>
      <c r="L48" s="204" t="str">
        <f ca="1">IF($AI48="","",IF(INDEX('Roadmap Calc (Don’t Touch)'!$W$2:$AT$204,$AI48,3)&gt;0,IF(AND($H48&lt;&gt;"",$H48&lt;=EOMONTH(L$3,0),$I48&gt;=L$3),"B","U"),IF(AND($H48&lt;&gt;"",$H48&lt;=EOMONTH(L$3,0),$I48&gt;=L$3),"D","")))</f>
        <v/>
      </c>
      <c r="M48" s="216" t="str">
        <f ca="1">IF($AI48="","",IF(INDEX('Roadmap Calc (Don’t Touch)'!$W$2:$AT$204,$AI48,4)&gt;0,IF(AND($H48&lt;&gt;"",$H48&lt;=EOMONTH(M$3,0),$I48&gt;=M$3),"B","U"),IF(AND($H48&lt;&gt;"",$H48&lt;=EOMONTH(M$3,0),$I48&gt;=M$3),"D","")))</f>
        <v/>
      </c>
      <c r="N48" s="204" t="str">
        <f ca="1">IF($AI48="","",IF(INDEX('Roadmap Calc (Don’t Touch)'!$W$2:$AT$204,$AI48,5)&gt;0,IF(AND($H48&lt;&gt;"",$H48&lt;=EOMONTH(N$3,0),$I48&gt;=N$3),"B","U"),IF(AND($H48&lt;&gt;"",$H48&lt;=EOMONTH(N$3,0),$I48&gt;=N$3),"D","")))</f>
        <v/>
      </c>
      <c r="O48" s="217" t="str">
        <f ca="1">IF($AI48="","",IF(INDEX('Roadmap Calc (Don’t Touch)'!$W$2:$AT$204,$AI48,6)&gt;0,IF(AND($H48&lt;&gt;"",$H48&lt;=EOMONTH(O$3,0),$I48&gt;=O$3),"B","U"),IF(AND($H48&lt;&gt;"",$H48&lt;=EOMONTH(O$3,0),$I48&gt;=O$3),"D","")))</f>
        <v/>
      </c>
      <c r="P48" s="216" t="str">
        <f ca="1">IF($AI48="","",IF(INDEX('Roadmap Calc (Don’t Touch)'!$W$2:$AT$204,$AI48,7)&gt;0,IF(AND($H48&lt;&gt;"",$H48&lt;=EOMONTH(P$3,0),$I48&gt;=P$3),"B","U"),IF(AND($H48&lt;&gt;"",$H48&lt;=EOMONTH(P$3,0),$I48&gt;=P$3),"D","")))</f>
        <v/>
      </c>
      <c r="Q48" s="204" t="str">
        <f ca="1">IF($AI48="","",IF(INDEX('Roadmap Calc (Don’t Touch)'!$W$2:$AT$204,$AI48,8)&gt;0,IF(AND($H48&lt;&gt;"",$H48&lt;=EOMONTH(Q$3,0),$I48&gt;=Q$3),"B","U"),IF(AND($H48&lt;&gt;"",$H48&lt;=EOMONTH(Q$3,0),$I48&gt;=Q$3),"D","")))</f>
        <v>U</v>
      </c>
      <c r="R48" s="217" t="str">
        <f ca="1">IF($AI48="","",IF(INDEX('Roadmap Calc (Don’t Touch)'!$W$2:$AT$204,$AI48,9)&gt;0,IF(AND($H48&lt;&gt;"",$H48&lt;=EOMONTH(R$3,0),$I48&gt;=R$3),"B","U"),IF(AND($H48&lt;&gt;"",$H48&lt;=EOMONTH(R$3,0),$I48&gt;=R$3),"D","")))</f>
        <v/>
      </c>
      <c r="S48" s="216" t="str">
        <f ca="1">IF($AI48="","",IF(INDEX('Roadmap Calc (Don’t Touch)'!$W$2:$AT$204,$AI48,10)&gt;0,IF(AND($H48&lt;&gt;"",$H48&lt;=EOMONTH(S$3,0),$I48&gt;=S$3),"B","U"),IF(AND($H48&lt;&gt;"",$H48&lt;=EOMONTH(S$3,0),$I48&gt;=S$3),"D","")))</f>
        <v/>
      </c>
      <c r="T48" s="204" t="str">
        <f ca="1">IF($AI48="","",IF(INDEX('Roadmap Calc (Don’t Touch)'!$W$2:$AT$204,$AI48,11)&gt;0,IF(AND($H48&lt;&gt;"",$H48&lt;=EOMONTH(T$3,0),$I48&gt;=T$3),"B","U"),IF(AND($H48&lt;&gt;"",$H48&lt;=EOMONTH(T$3,0),$I48&gt;=T$3),"D","")))</f>
        <v/>
      </c>
      <c r="U48" s="217" t="str">
        <f ca="1">IF($AI48="","",IF(INDEX('Roadmap Calc (Don’t Touch)'!$W$2:$AT$204,$AI48,12)&gt;0,IF(AND($H48&lt;&gt;"",$H48&lt;=EOMONTH(U$3,0),$I48&gt;=U$3),"B","U"),IF(AND($H48&lt;&gt;"",$H48&lt;=EOMONTH(U$3,0),$I48&gt;=U$3),"D","")))</f>
        <v/>
      </c>
      <c r="V48" s="216" t="str">
        <f ca="1">IF($AI48="","",IF(INDEX('Roadmap Calc (Don’t Touch)'!$W$2:$AT$204,$AI48,13)&gt;0,IF(AND($H48&lt;&gt;"",$H48&lt;=EOMONTH(V$3,0),$I48&gt;=V$3),"B","U"),IF(AND($H48&lt;&gt;"",$H48&lt;=EOMONTH(V$3,0),$I48&gt;=V$3),"D","")))</f>
        <v/>
      </c>
      <c r="W48" s="204" t="str">
        <f ca="1">IF($AI48="","",IF(INDEX('Roadmap Calc (Don’t Touch)'!$W$2:$AT$204,$AI48,14)&gt;0,IF(AND($H48&lt;&gt;"",$H48&lt;=EOMONTH(W$3,0),$I48&gt;=W$3),"B","U"),IF(AND($H48&lt;&gt;"",$H48&lt;=EOMONTH(W$3,0),$I48&gt;=W$3),"D","")))</f>
        <v/>
      </c>
      <c r="X48" s="217" t="str">
        <f ca="1">IF($AI48="","",IF(INDEX('Roadmap Calc (Don’t Touch)'!$W$2:$AT$204,$AI48,15)&gt;0,IF(AND($H48&lt;&gt;"",$H48&lt;=EOMONTH(X$3,0),$I48&gt;=X$3),"B","U"),IF(AND($H48&lt;&gt;"",$H48&lt;=EOMONTH(X$3,0),$I48&gt;=X$3),"D","")))</f>
        <v/>
      </c>
      <c r="Y48" s="216" t="str">
        <f ca="1">IF($AI48="","",IF(INDEX('Roadmap Calc (Don’t Touch)'!$W$2:$AT$204,$AI48,16)&gt;0,IF(AND($H48&lt;&gt;"",$H48&lt;=EOMONTH(Y$3,0),$I48&gt;=Y$3),"B","U"),IF(AND($H48&lt;&gt;"",$H48&lt;=EOMONTH(Y$3,0),$I48&gt;=Y$3),"D","")))</f>
        <v/>
      </c>
      <c r="Z48" s="204" t="str">
        <f ca="1">IF($AI48="","",IF(INDEX('Roadmap Calc (Don’t Touch)'!$W$2:$AT$204,$AI48,17)&gt;0,IF(AND($H48&lt;&gt;"",$H48&lt;=EOMONTH(Z$3,0),$I48&gt;=Z$3),"B","U"),IF(AND($H48&lt;&gt;"",$H48&lt;=EOMONTH(Z$3,0),$I48&gt;=Z$3),"D","")))</f>
        <v/>
      </c>
      <c r="AA48" s="217" t="str">
        <f ca="1">IF($AI48="","",IF(INDEX('Roadmap Calc (Don’t Touch)'!$W$2:$AT$204,$AI48,18)&gt;0,IF(AND($H48&lt;&gt;"",$H48&lt;=EOMONTH(AA$3,0),$I48&gt;=AA$3),"B","U"),IF(AND($H48&lt;&gt;"",$H48&lt;=EOMONTH(AA$3,0),$I48&gt;=AA$3),"D","")))</f>
        <v/>
      </c>
      <c r="AB48" s="216" t="str">
        <f ca="1">IF($AI48="","",IF(INDEX('Roadmap Calc (Don’t Touch)'!$W$2:$AT$204,$AI48,19)&gt;0,IF(AND($H48&lt;&gt;"",$H48&lt;=EOMONTH(AB$3,0),$I48&gt;=AB$3),"B","U"),IF(AND($H48&lt;&gt;"",$H48&lt;=EOMONTH(AB$3,0),$I48&gt;=AB$3),"D","")))</f>
        <v/>
      </c>
      <c r="AC48" s="204" t="str">
        <f ca="1">IF($AI48="","",IF(INDEX('Roadmap Calc (Don’t Touch)'!$W$2:$AT$204,$AI48,20)&gt;0,IF(AND($H48&lt;&gt;"",$H48&lt;=EOMONTH(AC$3,0),$I48&gt;=AC$3),"B","U"),IF(AND($H48&lt;&gt;"",$H48&lt;=EOMONTH(AC$3,0),$I48&gt;=AC$3),"D","")))</f>
        <v/>
      </c>
      <c r="AD48" s="217" t="str">
        <f ca="1">IF($AI48="","",IF(INDEX('Roadmap Calc (Don’t Touch)'!$W$2:$AT$204,$AI48,21)&gt;0,IF(AND($H48&lt;&gt;"",$H48&lt;=EOMONTH(AD$3,0),$I48&gt;=AD$3),"B","U"),IF(AND($H48&lt;&gt;"",$H48&lt;=EOMONTH(AD$3,0),$I48&gt;=AD$3),"D","")))</f>
        <v/>
      </c>
      <c r="AE48" s="210" t="str">
        <f ca="1">IF($AI48="","",IF(INDEX('Roadmap Calc (Don’t Touch)'!$W$2:$AT$204,$AI48,22)&gt;0,IF(AND($H48&lt;&gt;"",$H48&lt;=EOMONTH(AE$3,0),$I48&gt;=AE$3),"B","U"),IF(AND($H48&lt;&gt;"",$H48&lt;=EOMONTH(AE$3,0),$I48&gt;=AE$3),"D","")))</f>
        <v/>
      </c>
      <c r="AF48" s="204" t="str">
        <f ca="1">IF($AI48="","",IF(INDEX('Roadmap Calc (Don’t Touch)'!$W$2:$AT$204,$AI48,23)&gt;0,IF(AND($H48&lt;&gt;"",$H48&lt;=EOMONTH(AF$3,0),$I48&gt;=AF$3),"B","U"),IF(AND($H48&lt;&gt;"",$H48&lt;=EOMONTH(AF$3,0),$I48&gt;=AF$3),"D","")))</f>
        <v/>
      </c>
      <c r="AG48" s="204" t="str">
        <f ca="1">IF($AI48="","",IF(INDEX('Roadmap Calc (Don’t Touch)'!$W$2:$AT$204,$AI48,24)&gt;0,IF(AND($H48&lt;&gt;"",$H48&lt;=EOMONTH(AG$3,0),$I48&gt;=AG$3),"B","U"),IF(AND($H48&lt;&gt;"",$H48&lt;=EOMONTH(AG$3,0),$I48&gt;=AG$3),"D","")))</f>
        <v/>
      </c>
      <c r="AH48" s="180" t="str">
        <f>IF($AI48="","",INDEX('Roadmap Calc (Don’t Touch)'!$D$2:$D$204,$AI48))</f>
        <v>Increase The Studio B&amp;H Awareness</v>
      </c>
      <c r="AI48" s="180">
        <f>IFERROR(MATCH(42,'Roadmap Calc (Don’t Touch)'!$O$2:$O$204,0),"")</f>
        <v>11</v>
      </c>
    </row>
    <row r="49" spans="1:35" ht="17" customHeight="1" x14ac:dyDescent="0.25">
      <c r="A49" s="197" t="str">
        <f t="shared" si="1"/>
        <v/>
      </c>
      <c r="B49" s="198" t="str">
        <f>IF($AI49="","",INDEX('Roadmap Calc (Don’t Touch)'!$B$2:$B$204,$AI49))</f>
        <v>The Studio - B&amp;H Awareness on High Ticket Items</v>
      </c>
      <c r="C49" s="199" t="str">
        <f>IF($AI49="","",INDEX('Roadmap Calc (Don’t Touch)'!$E$2:$E$204,$AI49))</f>
        <v>BHUX-35304</v>
      </c>
      <c r="D49" s="227" t="str">
        <f>IF($AI49="","",INDEX('Roadmap Calc (Don’t Touch)'!$F$2:$F$204,$AI49))</f>
        <v>03. UX Discovery</v>
      </c>
      <c r="E49" s="201">
        <f>IF($AI49="","",IF(ISNUMBER(INDEX('Roadmap Calc (Don’t Touch)'!$G$2:$G$204,$AI49)),INDEX('Roadmap Calc (Don’t Touch)'!$G$2:$G$204,$AI49),""))</f>
        <v>46251</v>
      </c>
      <c r="F49" s="201">
        <f>IF($AI49="","",IF(ISNUMBER(INDEX('Roadmap Calc (Don’t Touch)'!$H$2:$H$204,$AI49)),INDEX('Roadmap Calc (Don’t Touch)'!$H$2:$H$204,$AI49),""))</f>
        <v>46272</v>
      </c>
      <c r="G49" s="202">
        <f>IF($AI49="","",INDEX('Roadmap Calc (Don’t Touch)'!$S$2:$S$204,$AI49))</f>
        <v>4</v>
      </c>
      <c r="H49" s="203" t="str">
        <f ca="1">IF($AI49="","",IF(ISNUMBER(INDEX('Roadmap Calc (Don’t Touch)'!$I$2:$I$204,$AI49)),INDEX('Roadmap Calc (Don’t Touch)'!$I$2:$I$204,$AI49),""))</f>
        <v/>
      </c>
      <c r="I49" s="203" t="str">
        <f ca="1">IF($AI49="","",IF(ISNUMBER(INDEX('Roadmap Calc (Don’t Touch)'!$J$2:$J$204,$AI49)),INDEX('Roadmap Calc (Don’t Touch)'!$J$2:$J$204,$AI49),""))</f>
        <v/>
      </c>
      <c r="J49" s="204" t="str">
        <f ca="1">IF($AI49="","",IF(INDEX('Roadmap Calc (Don’t Touch)'!$W$2:$AT$204,$AI49,1)&gt;0,IF(AND($H49&lt;&gt;"",$H49&lt;=EOMONTH(J$3,0),$I49&gt;=J$3),"B","U"),IF(AND($H49&lt;&gt;"",$H49&lt;=EOMONTH(J$3,0),$I49&gt;=J$3),"D","")))</f>
        <v/>
      </c>
      <c r="K49" s="204" t="str">
        <f ca="1">IF($AI49="","",IF(INDEX('Roadmap Calc (Don’t Touch)'!$W$2:$AT$204,$AI49,2)&gt;0,IF(AND($H49&lt;&gt;"",$H49&lt;=EOMONTH(K$3,0),$I49&gt;=K$3),"B","U"),IF(AND($H49&lt;&gt;"",$H49&lt;=EOMONTH(K$3,0),$I49&gt;=K$3),"D","")))</f>
        <v/>
      </c>
      <c r="L49" s="204" t="str">
        <f ca="1">IF($AI49="","",IF(INDEX('Roadmap Calc (Don’t Touch)'!$W$2:$AT$204,$AI49,3)&gt;0,IF(AND($H49&lt;&gt;"",$H49&lt;=EOMONTH(L$3,0),$I49&gt;=L$3),"B","U"),IF(AND($H49&lt;&gt;"",$H49&lt;=EOMONTH(L$3,0),$I49&gt;=L$3),"D","")))</f>
        <v/>
      </c>
      <c r="M49" s="216" t="str">
        <f ca="1">IF($AI49="","",IF(INDEX('Roadmap Calc (Don’t Touch)'!$W$2:$AT$204,$AI49,4)&gt;0,IF(AND($H49&lt;&gt;"",$H49&lt;=EOMONTH(M$3,0),$I49&gt;=M$3),"B","U"),IF(AND($H49&lt;&gt;"",$H49&lt;=EOMONTH(M$3,0),$I49&gt;=M$3),"D","")))</f>
        <v/>
      </c>
      <c r="N49" s="204" t="str">
        <f ca="1">IF($AI49="","",IF(INDEX('Roadmap Calc (Don’t Touch)'!$W$2:$AT$204,$AI49,5)&gt;0,IF(AND($H49&lt;&gt;"",$H49&lt;=EOMONTH(N$3,0),$I49&gt;=N$3),"B","U"),IF(AND($H49&lt;&gt;"",$H49&lt;=EOMONTH(N$3,0),$I49&gt;=N$3),"D","")))</f>
        <v/>
      </c>
      <c r="O49" s="217" t="str">
        <f ca="1">IF($AI49="","",IF(INDEX('Roadmap Calc (Don’t Touch)'!$W$2:$AT$204,$AI49,6)&gt;0,IF(AND($H49&lt;&gt;"",$H49&lt;=EOMONTH(O$3,0),$I49&gt;=O$3),"B","U"),IF(AND($H49&lt;&gt;"",$H49&lt;=EOMONTH(O$3,0),$I49&gt;=O$3),"D","")))</f>
        <v/>
      </c>
      <c r="P49" s="216" t="str">
        <f ca="1">IF($AI49="","",IF(INDEX('Roadmap Calc (Don’t Touch)'!$W$2:$AT$204,$AI49,7)&gt;0,IF(AND($H49&lt;&gt;"",$H49&lt;=EOMONTH(P$3,0),$I49&gt;=P$3),"B","U"),IF(AND($H49&lt;&gt;"",$H49&lt;=EOMONTH(P$3,0),$I49&gt;=P$3),"D","")))</f>
        <v/>
      </c>
      <c r="Q49" s="204" t="str">
        <f ca="1">IF($AI49="","",IF(INDEX('Roadmap Calc (Don’t Touch)'!$W$2:$AT$204,$AI49,8)&gt;0,IF(AND($H49&lt;&gt;"",$H49&lt;=EOMONTH(Q$3,0),$I49&gt;=Q$3),"B","U"),IF(AND($H49&lt;&gt;"",$H49&lt;=EOMONTH(Q$3,0),$I49&gt;=Q$3),"D","")))</f>
        <v>U</v>
      </c>
      <c r="R49" s="217" t="str">
        <f ca="1">IF($AI49="","",IF(INDEX('Roadmap Calc (Don’t Touch)'!$W$2:$AT$204,$AI49,9)&gt;0,IF(AND($H49&lt;&gt;"",$H49&lt;=EOMONTH(R$3,0),$I49&gt;=R$3),"B","U"),IF(AND($H49&lt;&gt;"",$H49&lt;=EOMONTH(R$3,0),$I49&gt;=R$3),"D","")))</f>
        <v>U</v>
      </c>
      <c r="S49" s="216" t="str">
        <f ca="1">IF($AI49="","",IF(INDEX('Roadmap Calc (Don’t Touch)'!$W$2:$AT$204,$AI49,10)&gt;0,IF(AND($H49&lt;&gt;"",$H49&lt;=EOMONTH(S$3,0),$I49&gt;=S$3),"B","U"),IF(AND($H49&lt;&gt;"",$H49&lt;=EOMONTH(S$3,0),$I49&gt;=S$3),"D","")))</f>
        <v/>
      </c>
      <c r="T49" s="204" t="str">
        <f ca="1">IF($AI49="","",IF(INDEX('Roadmap Calc (Don’t Touch)'!$W$2:$AT$204,$AI49,11)&gt;0,IF(AND($H49&lt;&gt;"",$H49&lt;=EOMONTH(T$3,0),$I49&gt;=T$3),"B","U"),IF(AND($H49&lt;&gt;"",$H49&lt;=EOMONTH(T$3,0),$I49&gt;=T$3),"D","")))</f>
        <v/>
      </c>
      <c r="U49" s="217" t="str">
        <f ca="1">IF($AI49="","",IF(INDEX('Roadmap Calc (Don’t Touch)'!$W$2:$AT$204,$AI49,12)&gt;0,IF(AND($H49&lt;&gt;"",$H49&lt;=EOMONTH(U$3,0),$I49&gt;=U$3),"B","U"),IF(AND($H49&lt;&gt;"",$H49&lt;=EOMONTH(U$3,0),$I49&gt;=U$3),"D","")))</f>
        <v/>
      </c>
      <c r="V49" s="216" t="str">
        <f ca="1">IF($AI49="","",IF(INDEX('Roadmap Calc (Don’t Touch)'!$W$2:$AT$204,$AI49,13)&gt;0,IF(AND($H49&lt;&gt;"",$H49&lt;=EOMONTH(V$3,0),$I49&gt;=V$3),"B","U"),IF(AND($H49&lt;&gt;"",$H49&lt;=EOMONTH(V$3,0),$I49&gt;=V$3),"D","")))</f>
        <v/>
      </c>
      <c r="W49" s="204" t="str">
        <f ca="1">IF($AI49="","",IF(INDEX('Roadmap Calc (Don’t Touch)'!$W$2:$AT$204,$AI49,14)&gt;0,IF(AND($H49&lt;&gt;"",$H49&lt;=EOMONTH(W$3,0),$I49&gt;=W$3),"B","U"),IF(AND($H49&lt;&gt;"",$H49&lt;=EOMONTH(W$3,0),$I49&gt;=W$3),"D","")))</f>
        <v/>
      </c>
      <c r="X49" s="217" t="str">
        <f ca="1">IF($AI49="","",IF(INDEX('Roadmap Calc (Don’t Touch)'!$W$2:$AT$204,$AI49,15)&gt;0,IF(AND($H49&lt;&gt;"",$H49&lt;=EOMONTH(X$3,0),$I49&gt;=X$3),"B","U"),IF(AND($H49&lt;&gt;"",$H49&lt;=EOMONTH(X$3,0),$I49&gt;=X$3),"D","")))</f>
        <v/>
      </c>
      <c r="Y49" s="216" t="str">
        <f ca="1">IF($AI49="","",IF(INDEX('Roadmap Calc (Don’t Touch)'!$W$2:$AT$204,$AI49,16)&gt;0,IF(AND($H49&lt;&gt;"",$H49&lt;=EOMONTH(Y$3,0),$I49&gt;=Y$3),"B","U"),IF(AND($H49&lt;&gt;"",$H49&lt;=EOMONTH(Y$3,0),$I49&gt;=Y$3),"D","")))</f>
        <v/>
      </c>
      <c r="Z49" s="204" t="str">
        <f ca="1">IF($AI49="","",IF(INDEX('Roadmap Calc (Don’t Touch)'!$W$2:$AT$204,$AI49,17)&gt;0,IF(AND($H49&lt;&gt;"",$H49&lt;=EOMONTH(Z$3,0),$I49&gt;=Z$3),"B","U"),IF(AND($H49&lt;&gt;"",$H49&lt;=EOMONTH(Z$3,0),$I49&gt;=Z$3),"D","")))</f>
        <v/>
      </c>
      <c r="AA49" s="217" t="str">
        <f ca="1">IF($AI49="","",IF(INDEX('Roadmap Calc (Don’t Touch)'!$W$2:$AT$204,$AI49,18)&gt;0,IF(AND($H49&lt;&gt;"",$H49&lt;=EOMONTH(AA$3,0),$I49&gt;=AA$3),"B","U"),IF(AND($H49&lt;&gt;"",$H49&lt;=EOMONTH(AA$3,0),$I49&gt;=AA$3),"D","")))</f>
        <v/>
      </c>
      <c r="AB49" s="216" t="str">
        <f ca="1">IF($AI49="","",IF(INDEX('Roadmap Calc (Don’t Touch)'!$W$2:$AT$204,$AI49,19)&gt;0,IF(AND($H49&lt;&gt;"",$H49&lt;=EOMONTH(AB$3,0),$I49&gt;=AB$3),"B","U"),IF(AND($H49&lt;&gt;"",$H49&lt;=EOMONTH(AB$3,0),$I49&gt;=AB$3),"D","")))</f>
        <v/>
      </c>
      <c r="AC49" s="204" t="str">
        <f ca="1">IF($AI49="","",IF(INDEX('Roadmap Calc (Don’t Touch)'!$W$2:$AT$204,$AI49,20)&gt;0,IF(AND($H49&lt;&gt;"",$H49&lt;=EOMONTH(AC$3,0),$I49&gt;=AC$3),"B","U"),IF(AND($H49&lt;&gt;"",$H49&lt;=EOMONTH(AC$3,0),$I49&gt;=AC$3),"D","")))</f>
        <v/>
      </c>
      <c r="AD49" s="217" t="str">
        <f ca="1">IF($AI49="","",IF(INDEX('Roadmap Calc (Don’t Touch)'!$W$2:$AT$204,$AI49,21)&gt;0,IF(AND($H49&lt;&gt;"",$H49&lt;=EOMONTH(AD$3,0),$I49&gt;=AD$3),"B","U"),IF(AND($H49&lt;&gt;"",$H49&lt;=EOMONTH(AD$3,0),$I49&gt;=AD$3),"D","")))</f>
        <v/>
      </c>
      <c r="AE49" s="210" t="str">
        <f ca="1">IF($AI49="","",IF(INDEX('Roadmap Calc (Don’t Touch)'!$W$2:$AT$204,$AI49,22)&gt;0,IF(AND($H49&lt;&gt;"",$H49&lt;=EOMONTH(AE$3,0),$I49&gt;=AE$3),"B","U"),IF(AND($H49&lt;&gt;"",$H49&lt;=EOMONTH(AE$3,0),$I49&gt;=AE$3),"D","")))</f>
        <v/>
      </c>
      <c r="AF49" s="204" t="str">
        <f ca="1">IF($AI49="","",IF(INDEX('Roadmap Calc (Don’t Touch)'!$W$2:$AT$204,$AI49,23)&gt;0,IF(AND($H49&lt;&gt;"",$H49&lt;=EOMONTH(AF$3,0),$I49&gt;=AF$3),"B","U"),IF(AND($H49&lt;&gt;"",$H49&lt;=EOMONTH(AF$3,0),$I49&gt;=AF$3),"D","")))</f>
        <v/>
      </c>
      <c r="AG49" s="204" t="str">
        <f ca="1">IF($AI49="","",IF(INDEX('Roadmap Calc (Don’t Touch)'!$W$2:$AT$204,$AI49,24)&gt;0,IF(AND($H49&lt;&gt;"",$H49&lt;=EOMONTH(AG$3,0),$I49&gt;=AG$3),"B","U"),IF(AND($H49&lt;&gt;"",$H49&lt;=EOMONTH(AG$3,0),$I49&gt;=AG$3),"D","")))</f>
        <v/>
      </c>
      <c r="AH49" s="180" t="str">
        <f>IF($AI49="","",INDEX('Roadmap Calc (Don’t Touch)'!$D$2:$D$204,$AI49))</f>
        <v>Increase The Studio B&amp;H Awareness</v>
      </c>
      <c r="AI49" s="180">
        <f>IFERROR(MATCH(43,'Roadmap Calc (Don’t Touch)'!$O$2:$O$204,0),"")</f>
        <v>15</v>
      </c>
    </row>
    <row r="50" spans="1:35" ht="17" customHeight="1" x14ac:dyDescent="0.25">
      <c r="A50" s="197" t="str">
        <f t="shared" si="1"/>
        <v>Improve The Studio B&amp;H Customer Experience</v>
      </c>
      <c r="B50" s="198" t="str">
        <f>IF($AI50="","",INDEX('Roadmap Calc (Don’t Touch)'!$B$2:$B$204,$AI50))</f>
        <v>B2B - The Studio Categories</v>
      </c>
      <c r="C50" s="199" t="str">
        <f>IF($AI50="","",INDEX('Roadmap Calc (Don’t Touch)'!$E$2:$E$204,$AI50))</f>
        <v>BHUX-33434</v>
      </c>
      <c r="D50" s="227" t="str">
        <f>IF($AI50="","",INDEX('Roadmap Calc (Don’t Touch)'!$F$2:$F$204,$AI50))</f>
        <v>01. Prod Discovery</v>
      </c>
      <c r="E50" s="201">
        <f>IF($AI50="","",IF(ISNUMBER(INDEX('Roadmap Calc (Don’t Touch)'!$G$2:$G$204,$AI50)),INDEX('Roadmap Calc (Don’t Touch)'!$G$2:$G$204,$AI50),""))</f>
        <v>46132</v>
      </c>
      <c r="F50" s="201">
        <f>IF($AI50="","",IF(ISNUMBER(INDEX('Roadmap Calc (Don’t Touch)'!$H$2:$H$204,$AI50)),INDEX('Roadmap Calc (Don’t Touch)'!$H$2:$H$204,$AI50),""))</f>
        <v>46279</v>
      </c>
      <c r="G50" s="202">
        <f>IF($AI50="","",INDEX('Roadmap Calc (Don’t Touch)'!$S$2:$S$204,$AI50))</f>
        <v>6</v>
      </c>
      <c r="H50" s="203">
        <f ca="1">IF($AI50="","",IF(ISNUMBER(INDEX('Roadmap Calc (Don’t Touch)'!$I$2:$I$204,$AI50)),INDEX('Roadmap Calc (Don’t Touch)'!$I$2:$I$204,$AI50),""))</f>
        <v>46327</v>
      </c>
      <c r="I50" s="203">
        <f ca="1">IF($AI50="","",IF(ISNUMBER(INDEX('Roadmap Calc (Don’t Touch)'!$J$2:$J$204,$AI50)),INDEX('Roadmap Calc (Don’t Touch)'!$J$2:$J$204,$AI50),""))</f>
        <v>46418</v>
      </c>
      <c r="J50" s="204" t="str">
        <f ca="1">IF($AI50="","",IF(INDEX('Roadmap Calc (Don’t Touch)'!$W$2:$AT$204,$AI50,1)&gt;0,IF(AND($H50&lt;&gt;"",$H50&lt;=EOMONTH(J$3,0),$I50&gt;=J$3),"B","U"),IF(AND($H50&lt;&gt;"",$H50&lt;=EOMONTH(J$3,0),$I50&gt;=J$3),"D","")))</f>
        <v/>
      </c>
      <c r="K50" s="204" t="str">
        <f ca="1">IF($AI50="","",IF(INDEX('Roadmap Calc (Don’t Touch)'!$W$2:$AT$204,$AI50,2)&gt;0,IF(AND($H50&lt;&gt;"",$H50&lt;=EOMONTH(K$3,0),$I50&gt;=K$3),"B","U"),IF(AND($H50&lt;&gt;"",$H50&lt;=EOMONTH(K$3,0),$I50&gt;=K$3),"D","")))</f>
        <v/>
      </c>
      <c r="L50" s="204" t="str">
        <f ca="1">IF($AI50="","",IF(INDEX('Roadmap Calc (Don’t Touch)'!$W$2:$AT$204,$AI50,3)&gt;0,IF(AND($H50&lt;&gt;"",$H50&lt;=EOMONTH(L$3,0),$I50&gt;=L$3),"B","U"),IF(AND($H50&lt;&gt;"",$H50&lt;=EOMONTH(L$3,0),$I50&gt;=L$3),"D","")))</f>
        <v/>
      </c>
      <c r="M50" s="216" t="str">
        <f ca="1">IF($AI50="","",IF(INDEX('Roadmap Calc (Don’t Touch)'!$W$2:$AT$204,$AI50,4)&gt;0,IF(AND($H50&lt;&gt;"",$H50&lt;=EOMONTH(M$3,0),$I50&gt;=M$3),"B","U"),IF(AND($H50&lt;&gt;"",$H50&lt;=EOMONTH(M$3,0),$I50&gt;=M$3),"D","")))</f>
        <v>U</v>
      </c>
      <c r="N50" s="204" t="str">
        <f ca="1">IF($AI50="","",IF(INDEX('Roadmap Calc (Don’t Touch)'!$W$2:$AT$204,$AI50,5)&gt;0,IF(AND($H50&lt;&gt;"",$H50&lt;=EOMONTH(N$3,0),$I50&gt;=N$3),"B","U"),IF(AND($H50&lt;&gt;"",$H50&lt;=EOMONTH(N$3,0),$I50&gt;=N$3),"D","")))</f>
        <v>U</v>
      </c>
      <c r="O50" s="217" t="str">
        <f ca="1">IF($AI50="","",IF(INDEX('Roadmap Calc (Don’t Touch)'!$W$2:$AT$204,$AI50,6)&gt;0,IF(AND($H50&lt;&gt;"",$H50&lt;=EOMONTH(O$3,0),$I50&gt;=O$3),"B","U"),IF(AND($H50&lt;&gt;"",$H50&lt;=EOMONTH(O$3,0),$I50&gt;=O$3),"D","")))</f>
        <v>U</v>
      </c>
      <c r="P50" s="216" t="str">
        <f ca="1">IF($AI50="","",IF(INDEX('Roadmap Calc (Don’t Touch)'!$W$2:$AT$204,$AI50,7)&gt;0,IF(AND($H50&lt;&gt;"",$H50&lt;=EOMONTH(P$3,0),$I50&gt;=P$3),"B","U"),IF(AND($H50&lt;&gt;"",$H50&lt;=EOMONTH(P$3,0),$I50&gt;=P$3),"D","")))</f>
        <v/>
      </c>
      <c r="Q50" s="204" t="str">
        <f ca="1">IF($AI50="","",IF(INDEX('Roadmap Calc (Don’t Touch)'!$W$2:$AT$204,$AI50,8)&gt;0,IF(AND($H50&lt;&gt;"",$H50&lt;=EOMONTH(Q$3,0),$I50&gt;=Q$3),"B","U"),IF(AND($H50&lt;&gt;"",$H50&lt;=EOMONTH(Q$3,0),$I50&gt;=Q$3),"D","")))</f>
        <v>U</v>
      </c>
      <c r="R50" s="217" t="str">
        <f ca="1">IF($AI50="","",IF(INDEX('Roadmap Calc (Don’t Touch)'!$W$2:$AT$204,$AI50,9)&gt;0,IF(AND($H50&lt;&gt;"",$H50&lt;=EOMONTH(R$3,0),$I50&gt;=R$3),"B","U"),IF(AND($H50&lt;&gt;"",$H50&lt;=EOMONTH(R$3,0),$I50&gt;=R$3),"D","")))</f>
        <v>U</v>
      </c>
      <c r="S50" s="216" t="str">
        <f ca="1">IF($AI50="","",IF(INDEX('Roadmap Calc (Don’t Touch)'!$W$2:$AT$204,$AI50,10)&gt;0,IF(AND($H50&lt;&gt;"",$H50&lt;=EOMONTH(S$3,0),$I50&gt;=S$3),"B","U"),IF(AND($H50&lt;&gt;"",$H50&lt;=EOMONTH(S$3,0),$I50&gt;=S$3),"D","")))</f>
        <v/>
      </c>
      <c r="T50" s="204" t="str">
        <f ca="1">IF($AI50="","",IF(INDEX('Roadmap Calc (Don’t Touch)'!$W$2:$AT$204,$AI50,11)&gt;0,IF(AND($H50&lt;&gt;"",$H50&lt;=EOMONTH(T$3,0),$I50&gt;=T$3),"B","U"),IF(AND($H50&lt;&gt;"",$H50&lt;=EOMONTH(T$3,0),$I50&gt;=T$3),"D","")))</f>
        <v>D</v>
      </c>
      <c r="U50" s="217" t="str">
        <f ca="1">IF($AI50="","",IF(INDEX('Roadmap Calc (Don’t Touch)'!$W$2:$AT$204,$AI50,12)&gt;0,IF(AND($H50&lt;&gt;"",$H50&lt;=EOMONTH(U$3,0),$I50&gt;=U$3),"B","U"),IF(AND($H50&lt;&gt;"",$H50&lt;=EOMONTH(U$3,0),$I50&gt;=U$3),"D","")))</f>
        <v>D</v>
      </c>
      <c r="V50" s="216" t="str">
        <f ca="1">IF($AI50="","",IF(INDEX('Roadmap Calc (Don’t Touch)'!$W$2:$AT$204,$AI50,13)&gt;0,IF(AND($H50&lt;&gt;"",$H50&lt;=EOMONTH(V$3,0),$I50&gt;=V$3),"B","U"),IF(AND($H50&lt;&gt;"",$H50&lt;=EOMONTH(V$3,0),$I50&gt;=V$3),"D","")))</f>
        <v>D</v>
      </c>
      <c r="W50" s="204" t="str">
        <f ca="1">IF($AI50="","",IF(INDEX('Roadmap Calc (Don’t Touch)'!$W$2:$AT$204,$AI50,14)&gt;0,IF(AND($H50&lt;&gt;"",$H50&lt;=EOMONTH(W$3,0),$I50&gt;=W$3),"B","U"),IF(AND($H50&lt;&gt;"",$H50&lt;=EOMONTH(W$3,0),$I50&gt;=W$3),"D","")))</f>
        <v/>
      </c>
      <c r="X50" s="217" t="str">
        <f ca="1">IF($AI50="","",IF(INDEX('Roadmap Calc (Don’t Touch)'!$W$2:$AT$204,$AI50,15)&gt;0,IF(AND($H50&lt;&gt;"",$H50&lt;=EOMONTH(X$3,0),$I50&gt;=X$3),"B","U"),IF(AND($H50&lt;&gt;"",$H50&lt;=EOMONTH(X$3,0),$I50&gt;=X$3),"D","")))</f>
        <v/>
      </c>
      <c r="Y50" s="216" t="str">
        <f ca="1">IF($AI50="","",IF(INDEX('Roadmap Calc (Don’t Touch)'!$W$2:$AT$204,$AI50,16)&gt;0,IF(AND($H50&lt;&gt;"",$H50&lt;=EOMONTH(Y$3,0),$I50&gt;=Y$3),"B","U"),IF(AND($H50&lt;&gt;"",$H50&lt;=EOMONTH(Y$3,0),$I50&gt;=Y$3),"D","")))</f>
        <v/>
      </c>
      <c r="Z50" s="204" t="str">
        <f ca="1">IF($AI50="","",IF(INDEX('Roadmap Calc (Don’t Touch)'!$W$2:$AT$204,$AI50,17)&gt;0,IF(AND($H50&lt;&gt;"",$H50&lt;=EOMONTH(Z$3,0),$I50&gt;=Z$3),"B","U"),IF(AND($H50&lt;&gt;"",$H50&lt;=EOMONTH(Z$3,0),$I50&gt;=Z$3),"D","")))</f>
        <v/>
      </c>
      <c r="AA50" s="217" t="str">
        <f ca="1">IF($AI50="","",IF(INDEX('Roadmap Calc (Don’t Touch)'!$W$2:$AT$204,$AI50,18)&gt;0,IF(AND($H50&lt;&gt;"",$H50&lt;=EOMONTH(AA$3,0),$I50&gt;=AA$3),"B","U"),IF(AND($H50&lt;&gt;"",$H50&lt;=EOMONTH(AA$3,0),$I50&gt;=AA$3),"D","")))</f>
        <v/>
      </c>
      <c r="AB50" s="216" t="str">
        <f ca="1">IF($AI50="","",IF(INDEX('Roadmap Calc (Don’t Touch)'!$W$2:$AT$204,$AI50,19)&gt;0,IF(AND($H50&lt;&gt;"",$H50&lt;=EOMONTH(AB$3,0),$I50&gt;=AB$3),"B","U"),IF(AND($H50&lt;&gt;"",$H50&lt;=EOMONTH(AB$3,0),$I50&gt;=AB$3),"D","")))</f>
        <v/>
      </c>
      <c r="AC50" s="204" t="str">
        <f ca="1">IF($AI50="","",IF(INDEX('Roadmap Calc (Don’t Touch)'!$W$2:$AT$204,$AI50,20)&gt;0,IF(AND($H50&lt;&gt;"",$H50&lt;=EOMONTH(AC$3,0),$I50&gt;=AC$3),"B","U"),IF(AND($H50&lt;&gt;"",$H50&lt;=EOMONTH(AC$3,0),$I50&gt;=AC$3),"D","")))</f>
        <v/>
      </c>
      <c r="AD50" s="217" t="str">
        <f ca="1">IF($AI50="","",IF(INDEX('Roadmap Calc (Don’t Touch)'!$W$2:$AT$204,$AI50,21)&gt;0,IF(AND($H50&lt;&gt;"",$H50&lt;=EOMONTH(AD$3,0),$I50&gt;=AD$3),"B","U"),IF(AND($H50&lt;&gt;"",$H50&lt;=EOMONTH(AD$3,0),$I50&gt;=AD$3),"D","")))</f>
        <v/>
      </c>
      <c r="AE50" s="210" t="str">
        <f ca="1">IF($AI50="","",IF(INDEX('Roadmap Calc (Don’t Touch)'!$W$2:$AT$204,$AI50,22)&gt;0,IF(AND($H50&lt;&gt;"",$H50&lt;=EOMONTH(AE$3,0),$I50&gt;=AE$3),"B","U"),IF(AND($H50&lt;&gt;"",$H50&lt;=EOMONTH(AE$3,0),$I50&gt;=AE$3),"D","")))</f>
        <v/>
      </c>
      <c r="AF50" s="204" t="str">
        <f ca="1">IF($AI50="","",IF(INDEX('Roadmap Calc (Don’t Touch)'!$W$2:$AT$204,$AI50,23)&gt;0,IF(AND($H50&lt;&gt;"",$H50&lt;=EOMONTH(AF$3,0),$I50&gt;=AF$3),"B","U"),IF(AND($H50&lt;&gt;"",$H50&lt;=EOMONTH(AF$3,0),$I50&gt;=AF$3),"D","")))</f>
        <v/>
      </c>
      <c r="AG50" s="204" t="str">
        <f ca="1">IF($AI50="","",IF(INDEX('Roadmap Calc (Don’t Touch)'!$W$2:$AT$204,$AI50,24)&gt;0,IF(AND($H50&lt;&gt;"",$H50&lt;=EOMONTH(AG$3,0),$I50&gt;=AG$3),"B","U"),IF(AND($H50&lt;&gt;"",$H50&lt;=EOMONTH(AG$3,0),$I50&gt;=AG$3),"D","")))</f>
        <v/>
      </c>
      <c r="AH50" s="180" t="str">
        <f>IF($AI50="","",INDEX('Roadmap Calc (Don’t Touch)'!$D$2:$D$204,$AI50))</f>
        <v>Improve The Studio B&amp;H Customer Experience</v>
      </c>
      <c r="AI50" s="180">
        <f>IFERROR(MATCH(44,'Roadmap Calc (Don’t Touch)'!$O$2:$O$204,0),"")</f>
        <v>3</v>
      </c>
    </row>
    <row r="51" spans="1:35" ht="17" customHeight="1" x14ac:dyDescent="0.25">
      <c r="A51" s="197" t="str">
        <f t="shared" si="1"/>
        <v/>
      </c>
      <c r="B51" s="198" t="str">
        <f>IF($AI51="","",INDEX('Roadmap Calc (Don’t Touch)'!$B$2:$B$204,$AI51))</f>
        <v>The Studio - Enhanced Landing Page</v>
      </c>
      <c r="C51" s="199" t="str">
        <f>IF($AI51="","",INDEX('Roadmap Calc (Don’t Touch)'!$E$2:$E$204,$AI51))</f>
        <v>BHP-6444</v>
      </c>
      <c r="D51" s="227" t="str">
        <f>IF($AI51="","",INDEX('Roadmap Calc (Don’t Touch)'!$F$2:$F$204,$AI51))</f>
        <v>02. UX Req</v>
      </c>
      <c r="E51" s="201">
        <f>IF($AI51="","",IF(ISNUMBER(INDEX('Roadmap Calc (Don’t Touch)'!$G$2:$G$204,$AI51)),INDEX('Roadmap Calc (Don’t Touch)'!$G$2:$G$204,$AI51),""))</f>
        <v>46272</v>
      </c>
      <c r="F51" s="201">
        <f>IF($AI51="","",IF(ISNUMBER(INDEX('Roadmap Calc (Don’t Touch)'!$H$2:$H$204,$AI51)),INDEX('Roadmap Calc (Don’t Touch)'!$H$2:$H$204,$AI51),""))</f>
        <v>46286</v>
      </c>
      <c r="G51" s="202">
        <f>IF($AI51="","",INDEX('Roadmap Calc (Don’t Touch)'!$S$2:$S$204,$AI51))</f>
        <v>3</v>
      </c>
      <c r="H51" s="203">
        <f ca="1">IF($AI51="","",IF(ISNUMBER(INDEX('Roadmap Calc (Don’t Touch)'!$I$2:$I$204,$AI51)),INDEX('Roadmap Calc (Don’t Touch)'!$I$2:$I$204,$AI51),""))</f>
        <v>46388</v>
      </c>
      <c r="I51" s="203">
        <f ca="1">IF($AI51="","",IF(ISNUMBER(INDEX('Roadmap Calc (Don’t Touch)'!$J$2:$J$204,$AI51)),INDEX('Roadmap Calc (Don’t Touch)'!$J$2:$J$204,$AI51),""))</f>
        <v>46418</v>
      </c>
      <c r="J51" s="204" t="str">
        <f ca="1">IF($AI51="","",IF(INDEX('Roadmap Calc (Don’t Touch)'!$W$2:$AT$204,$AI51,1)&gt;0,IF(AND($H51&lt;&gt;"",$H51&lt;=EOMONTH(J$3,0),$I51&gt;=J$3),"B","U"),IF(AND($H51&lt;&gt;"",$H51&lt;=EOMONTH(J$3,0),$I51&gt;=J$3),"D","")))</f>
        <v/>
      </c>
      <c r="K51" s="204" t="str">
        <f ca="1">IF($AI51="","",IF(INDEX('Roadmap Calc (Don’t Touch)'!$W$2:$AT$204,$AI51,2)&gt;0,IF(AND($H51&lt;&gt;"",$H51&lt;=EOMONTH(K$3,0),$I51&gt;=K$3),"B","U"),IF(AND($H51&lt;&gt;"",$H51&lt;=EOMONTH(K$3,0),$I51&gt;=K$3),"D","")))</f>
        <v/>
      </c>
      <c r="L51" s="204" t="str">
        <f ca="1">IF($AI51="","",IF(INDEX('Roadmap Calc (Don’t Touch)'!$W$2:$AT$204,$AI51,3)&gt;0,IF(AND($H51&lt;&gt;"",$H51&lt;=EOMONTH(L$3,0),$I51&gt;=L$3),"B","U"),IF(AND($H51&lt;&gt;"",$H51&lt;=EOMONTH(L$3,0),$I51&gt;=L$3),"D","")))</f>
        <v/>
      </c>
      <c r="M51" s="216" t="str">
        <f ca="1">IF($AI51="","",IF(INDEX('Roadmap Calc (Don’t Touch)'!$W$2:$AT$204,$AI51,4)&gt;0,IF(AND($H51&lt;&gt;"",$H51&lt;=EOMONTH(M$3,0),$I51&gt;=M$3),"B","U"),IF(AND($H51&lt;&gt;"",$H51&lt;=EOMONTH(M$3,0),$I51&gt;=M$3),"D","")))</f>
        <v/>
      </c>
      <c r="N51" s="204" t="str">
        <f ca="1">IF($AI51="","",IF(INDEX('Roadmap Calc (Don’t Touch)'!$W$2:$AT$204,$AI51,5)&gt;0,IF(AND($H51&lt;&gt;"",$H51&lt;=EOMONTH(N$3,0),$I51&gt;=N$3),"B","U"),IF(AND($H51&lt;&gt;"",$H51&lt;=EOMONTH(N$3,0),$I51&gt;=N$3),"D","")))</f>
        <v/>
      </c>
      <c r="O51" s="217" t="str">
        <f ca="1">IF($AI51="","",IF(INDEX('Roadmap Calc (Don’t Touch)'!$W$2:$AT$204,$AI51,6)&gt;0,IF(AND($H51&lt;&gt;"",$H51&lt;=EOMONTH(O$3,0),$I51&gt;=O$3),"B","U"),IF(AND($H51&lt;&gt;"",$H51&lt;=EOMONTH(O$3,0),$I51&gt;=O$3),"D","")))</f>
        <v/>
      </c>
      <c r="P51" s="216" t="str">
        <f ca="1">IF($AI51="","",IF(INDEX('Roadmap Calc (Don’t Touch)'!$W$2:$AT$204,$AI51,7)&gt;0,IF(AND($H51&lt;&gt;"",$H51&lt;=EOMONTH(P$3,0),$I51&gt;=P$3),"B","U"),IF(AND($H51&lt;&gt;"",$H51&lt;=EOMONTH(P$3,0),$I51&gt;=P$3),"D","")))</f>
        <v/>
      </c>
      <c r="Q51" s="204" t="str">
        <f ca="1">IF($AI51="","",IF(INDEX('Roadmap Calc (Don’t Touch)'!$W$2:$AT$204,$AI51,8)&gt;0,IF(AND($H51&lt;&gt;"",$H51&lt;=EOMONTH(Q$3,0),$I51&gt;=Q$3),"B","U"),IF(AND($H51&lt;&gt;"",$H51&lt;=EOMONTH(Q$3,0),$I51&gt;=Q$3),"D","")))</f>
        <v/>
      </c>
      <c r="R51" s="217" t="str">
        <f ca="1">IF($AI51="","",IF(INDEX('Roadmap Calc (Don’t Touch)'!$W$2:$AT$204,$AI51,9)&gt;0,IF(AND($H51&lt;&gt;"",$H51&lt;=EOMONTH(R$3,0),$I51&gt;=R$3),"B","U"),IF(AND($H51&lt;&gt;"",$H51&lt;=EOMONTH(R$3,0),$I51&gt;=R$3),"D","")))</f>
        <v>U</v>
      </c>
      <c r="S51" s="216" t="str">
        <f ca="1">IF($AI51="","",IF(INDEX('Roadmap Calc (Don’t Touch)'!$W$2:$AT$204,$AI51,10)&gt;0,IF(AND($H51&lt;&gt;"",$H51&lt;=EOMONTH(S$3,0),$I51&gt;=S$3),"B","U"),IF(AND($H51&lt;&gt;"",$H51&lt;=EOMONTH(S$3,0),$I51&gt;=S$3),"D","")))</f>
        <v/>
      </c>
      <c r="T51" s="204" t="str">
        <f ca="1">IF($AI51="","",IF(INDEX('Roadmap Calc (Don’t Touch)'!$W$2:$AT$204,$AI51,11)&gt;0,IF(AND($H51&lt;&gt;"",$H51&lt;=EOMONTH(T$3,0),$I51&gt;=T$3),"B","U"),IF(AND($H51&lt;&gt;"",$H51&lt;=EOMONTH(T$3,0),$I51&gt;=T$3),"D","")))</f>
        <v/>
      </c>
      <c r="U51" s="217" t="str">
        <f ca="1">IF($AI51="","",IF(INDEX('Roadmap Calc (Don’t Touch)'!$W$2:$AT$204,$AI51,12)&gt;0,IF(AND($H51&lt;&gt;"",$H51&lt;=EOMONTH(U$3,0),$I51&gt;=U$3),"B","U"),IF(AND($H51&lt;&gt;"",$H51&lt;=EOMONTH(U$3,0),$I51&gt;=U$3),"D","")))</f>
        <v/>
      </c>
      <c r="V51" s="216" t="str">
        <f ca="1">IF($AI51="","",IF(INDEX('Roadmap Calc (Don’t Touch)'!$W$2:$AT$204,$AI51,13)&gt;0,IF(AND($H51&lt;&gt;"",$H51&lt;=EOMONTH(V$3,0),$I51&gt;=V$3),"B","U"),IF(AND($H51&lt;&gt;"",$H51&lt;=EOMONTH(V$3,0),$I51&gt;=V$3),"D","")))</f>
        <v>D</v>
      </c>
      <c r="W51" s="204" t="str">
        <f ca="1">IF($AI51="","",IF(INDEX('Roadmap Calc (Don’t Touch)'!$W$2:$AT$204,$AI51,14)&gt;0,IF(AND($H51&lt;&gt;"",$H51&lt;=EOMONTH(W$3,0),$I51&gt;=W$3),"B","U"),IF(AND($H51&lt;&gt;"",$H51&lt;=EOMONTH(W$3,0),$I51&gt;=W$3),"D","")))</f>
        <v/>
      </c>
      <c r="X51" s="217" t="str">
        <f ca="1">IF($AI51="","",IF(INDEX('Roadmap Calc (Don’t Touch)'!$W$2:$AT$204,$AI51,15)&gt;0,IF(AND($H51&lt;&gt;"",$H51&lt;=EOMONTH(X$3,0),$I51&gt;=X$3),"B","U"),IF(AND($H51&lt;&gt;"",$H51&lt;=EOMONTH(X$3,0),$I51&gt;=X$3),"D","")))</f>
        <v/>
      </c>
      <c r="Y51" s="216" t="str">
        <f ca="1">IF($AI51="","",IF(INDEX('Roadmap Calc (Don’t Touch)'!$W$2:$AT$204,$AI51,16)&gt;0,IF(AND($H51&lt;&gt;"",$H51&lt;=EOMONTH(Y$3,0),$I51&gt;=Y$3),"B","U"),IF(AND($H51&lt;&gt;"",$H51&lt;=EOMONTH(Y$3,0),$I51&gt;=Y$3),"D","")))</f>
        <v/>
      </c>
      <c r="Z51" s="204" t="str">
        <f ca="1">IF($AI51="","",IF(INDEX('Roadmap Calc (Don’t Touch)'!$W$2:$AT$204,$AI51,17)&gt;0,IF(AND($H51&lt;&gt;"",$H51&lt;=EOMONTH(Z$3,0),$I51&gt;=Z$3),"B","U"),IF(AND($H51&lt;&gt;"",$H51&lt;=EOMONTH(Z$3,0),$I51&gt;=Z$3),"D","")))</f>
        <v/>
      </c>
      <c r="AA51" s="217" t="str">
        <f ca="1">IF($AI51="","",IF(INDEX('Roadmap Calc (Don’t Touch)'!$W$2:$AT$204,$AI51,18)&gt;0,IF(AND($H51&lt;&gt;"",$H51&lt;=EOMONTH(AA$3,0),$I51&gt;=AA$3),"B","U"),IF(AND($H51&lt;&gt;"",$H51&lt;=EOMONTH(AA$3,0),$I51&gt;=AA$3),"D","")))</f>
        <v/>
      </c>
      <c r="AB51" s="216" t="str">
        <f ca="1">IF($AI51="","",IF(INDEX('Roadmap Calc (Don’t Touch)'!$W$2:$AT$204,$AI51,19)&gt;0,IF(AND($H51&lt;&gt;"",$H51&lt;=EOMONTH(AB$3,0),$I51&gt;=AB$3),"B","U"),IF(AND($H51&lt;&gt;"",$H51&lt;=EOMONTH(AB$3,0),$I51&gt;=AB$3),"D","")))</f>
        <v/>
      </c>
      <c r="AC51" s="204" t="str">
        <f ca="1">IF($AI51="","",IF(INDEX('Roadmap Calc (Don’t Touch)'!$W$2:$AT$204,$AI51,20)&gt;0,IF(AND($H51&lt;&gt;"",$H51&lt;=EOMONTH(AC$3,0),$I51&gt;=AC$3),"B","U"),IF(AND($H51&lt;&gt;"",$H51&lt;=EOMONTH(AC$3,0),$I51&gt;=AC$3),"D","")))</f>
        <v/>
      </c>
      <c r="AD51" s="217" t="str">
        <f ca="1">IF($AI51="","",IF(INDEX('Roadmap Calc (Don’t Touch)'!$W$2:$AT$204,$AI51,21)&gt;0,IF(AND($H51&lt;&gt;"",$H51&lt;=EOMONTH(AD$3,0),$I51&gt;=AD$3),"B","U"),IF(AND($H51&lt;&gt;"",$H51&lt;=EOMONTH(AD$3,0),$I51&gt;=AD$3),"D","")))</f>
        <v/>
      </c>
      <c r="AE51" s="210" t="str">
        <f ca="1">IF($AI51="","",IF(INDEX('Roadmap Calc (Don’t Touch)'!$W$2:$AT$204,$AI51,22)&gt;0,IF(AND($H51&lt;&gt;"",$H51&lt;=EOMONTH(AE$3,0),$I51&gt;=AE$3),"B","U"),IF(AND($H51&lt;&gt;"",$H51&lt;=EOMONTH(AE$3,0),$I51&gt;=AE$3),"D","")))</f>
        <v/>
      </c>
      <c r="AF51" s="204" t="str">
        <f ca="1">IF($AI51="","",IF(INDEX('Roadmap Calc (Don’t Touch)'!$W$2:$AT$204,$AI51,23)&gt;0,IF(AND($H51&lt;&gt;"",$H51&lt;=EOMONTH(AF$3,0),$I51&gt;=AF$3),"B","U"),IF(AND($H51&lt;&gt;"",$H51&lt;=EOMONTH(AF$3,0),$I51&gt;=AF$3),"D","")))</f>
        <v/>
      </c>
      <c r="AG51" s="204" t="str">
        <f ca="1">IF($AI51="","",IF(INDEX('Roadmap Calc (Don’t Touch)'!$W$2:$AT$204,$AI51,24)&gt;0,IF(AND($H51&lt;&gt;"",$H51&lt;=EOMONTH(AG$3,0),$I51&gt;=AG$3),"B","U"),IF(AND($H51&lt;&gt;"",$H51&lt;=EOMONTH(AG$3,0),$I51&gt;=AG$3),"D","")))</f>
        <v/>
      </c>
      <c r="AH51" s="180" t="str">
        <f>IF($AI51="","",INDEX('Roadmap Calc (Don’t Touch)'!$D$2:$D$204,$AI51))</f>
        <v>Improve The Studio B&amp;H Customer Experience</v>
      </c>
      <c r="AI51" s="180">
        <f>IFERROR(MATCH(45,'Roadmap Calc (Don’t Touch)'!$O$2:$O$204,0),"")</f>
        <v>9</v>
      </c>
    </row>
    <row r="52" spans="1:35" ht="17" customHeight="1" x14ac:dyDescent="0.25">
      <c r="A52" s="197" t="str">
        <f t="shared" si="1"/>
        <v>(Tracker only — no Weekly row)</v>
      </c>
      <c r="B52" s="198" t="str">
        <f>IF($AI52="","",INDEX('Roadmap Calc (Don’t Touch)'!$B$2:$B$204,$AI52))</f>
        <v>Used Hub Enhancements</v>
      </c>
      <c r="C52" s="199" t="str">
        <f>IF($AI52="","",INDEX('Roadmap Calc (Don’t Touch)'!$E$2:$E$204,$AI52))</f>
        <v>BHUX-31354 </v>
      </c>
      <c r="D52" s="227" t="str">
        <f>IF($AI52="","",INDEX('Roadmap Calc (Don’t Touch)'!$F$2:$F$204,$AI52))</f>
        <v>13. Live</v>
      </c>
      <c r="E52" s="201" t="str">
        <f>IF($AI52="","",IF(ISNUMBER(INDEX('Roadmap Calc (Don’t Touch)'!$G$2:$G$204,$AI52)),INDEX('Roadmap Calc (Don’t Touch)'!$G$2:$G$204,$AI52),""))</f>
        <v/>
      </c>
      <c r="F52" s="201" t="str">
        <f>IF($AI52="","",IF(ISNUMBER(INDEX('Roadmap Calc (Don’t Touch)'!$H$2:$H$204,$AI52)),INDEX('Roadmap Calc (Don’t Touch)'!$H$2:$H$204,$AI52),""))</f>
        <v/>
      </c>
      <c r="G52" s="202" t="str">
        <f>IF($AI52="","",INDEX('Roadmap Calc (Don’t Touch)'!$S$2:$S$204,$AI52))</f>
        <v/>
      </c>
      <c r="H52" s="203" t="str">
        <f ca="1">IF($AI52="","",IF(ISNUMBER(INDEX('Roadmap Calc (Don’t Touch)'!$I$2:$I$204,$AI52)),INDEX('Roadmap Calc (Don’t Touch)'!$I$2:$I$204,$AI52),""))</f>
        <v/>
      </c>
      <c r="I52" s="203" t="str">
        <f ca="1">IF($AI52="","",IF(ISNUMBER(INDEX('Roadmap Calc (Don’t Touch)'!$J$2:$J$204,$AI52)),INDEX('Roadmap Calc (Don’t Touch)'!$J$2:$J$204,$AI52),""))</f>
        <v/>
      </c>
      <c r="J52" s="204" t="str">
        <f ca="1">IF($AI52="","",IF(INDEX('Roadmap Calc (Don’t Touch)'!$W$2:$AT$204,$AI52,1)&gt;0,IF(AND($H52&lt;&gt;"",$H52&lt;=EOMONTH(J$3,0),$I52&gt;=J$3),"B","U"),IF(AND($H52&lt;&gt;"",$H52&lt;=EOMONTH(J$3,0),$I52&gt;=J$3),"D","")))</f>
        <v/>
      </c>
      <c r="K52" s="204" t="str">
        <f ca="1">IF($AI52="","",IF(INDEX('Roadmap Calc (Don’t Touch)'!$W$2:$AT$204,$AI52,2)&gt;0,IF(AND($H52&lt;&gt;"",$H52&lt;=EOMONTH(K$3,0),$I52&gt;=K$3),"B","U"),IF(AND($H52&lt;&gt;"",$H52&lt;=EOMONTH(K$3,0),$I52&gt;=K$3),"D","")))</f>
        <v/>
      </c>
      <c r="L52" s="204" t="str">
        <f ca="1">IF($AI52="","",IF(INDEX('Roadmap Calc (Don’t Touch)'!$W$2:$AT$204,$AI52,3)&gt;0,IF(AND($H52&lt;&gt;"",$H52&lt;=EOMONTH(L$3,0),$I52&gt;=L$3),"B","U"),IF(AND($H52&lt;&gt;"",$H52&lt;=EOMONTH(L$3,0),$I52&gt;=L$3),"D","")))</f>
        <v/>
      </c>
      <c r="M52" s="216" t="str">
        <f ca="1">IF($AI52="","",IF(INDEX('Roadmap Calc (Don’t Touch)'!$W$2:$AT$204,$AI52,4)&gt;0,IF(AND($H52&lt;&gt;"",$H52&lt;=EOMONTH(M$3,0),$I52&gt;=M$3),"B","U"),IF(AND($H52&lt;&gt;"",$H52&lt;=EOMONTH(M$3,0),$I52&gt;=M$3),"D","")))</f>
        <v/>
      </c>
      <c r="N52" s="204" t="str">
        <f ca="1">IF($AI52="","",IF(INDEX('Roadmap Calc (Don’t Touch)'!$W$2:$AT$204,$AI52,5)&gt;0,IF(AND($H52&lt;&gt;"",$H52&lt;=EOMONTH(N$3,0),$I52&gt;=N$3),"B","U"),IF(AND($H52&lt;&gt;"",$H52&lt;=EOMONTH(N$3,0),$I52&gt;=N$3),"D","")))</f>
        <v/>
      </c>
      <c r="O52" s="217" t="str">
        <f ca="1">IF($AI52="","",IF(INDEX('Roadmap Calc (Don’t Touch)'!$W$2:$AT$204,$AI52,6)&gt;0,IF(AND($H52&lt;&gt;"",$H52&lt;=EOMONTH(O$3,0),$I52&gt;=O$3),"B","U"),IF(AND($H52&lt;&gt;"",$H52&lt;=EOMONTH(O$3,0),$I52&gt;=O$3),"D","")))</f>
        <v/>
      </c>
      <c r="P52" s="216" t="str">
        <f ca="1">IF($AI52="","",IF(INDEX('Roadmap Calc (Don’t Touch)'!$W$2:$AT$204,$AI52,7)&gt;0,IF(AND($H52&lt;&gt;"",$H52&lt;=EOMONTH(P$3,0),$I52&gt;=P$3),"B","U"),IF(AND($H52&lt;&gt;"",$H52&lt;=EOMONTH(P$3,0),$I52&gt;=P$3),"D","")))</f>
        <v/>
      </c>
      <c r="Q52" s="204" t="str">
        <f ca="1">IF($AI52="","",IF(INDEX('Roadmap Calc (Don’t Touch)'!$W$2:$AT$204,$AI52,8)&gt;0,IF(AND($H52&lt;&gt;"",$H52&lt;=EOMONTH(Q$3,0),$I52&gt;=Q$3),"B","U"),IF(AND($H52&lt;&gt;"",$H52&lt;=EOMONTH(Q$3,0),$I52&gt;=Q$3),"D","")))</f>
        <v/>
      </c>
      <c r="R52" s="217" t="str">
        <f ca="1">IF($AI52="","",IF(INDEX('Roadmap Calc (Don’t Touch)'!$W$2:$AT$204,$AI52,9)&gt;0,IF(AND($H52&lt;&gt;"",$H52&lt;=EOMONTH(R$3,0),$I52&gt;=R$3),"B","U"),IF(AND($H52&lt;&gt;"",$H52&lt;=EOMONTH(R$3,0),$I52&gt;=R$3),"D","")))</f>
        <v/>
      </c>
      <c r="S52" s="216" t="str">
        <f ca="1">IF($AI52="","",IF(INDEX('Roadmap Calc (Don’t Touch)'!$W$2:$AT$204,$AI52,10)&gt;0,IF(AND($H52&lt;&gt;"",$H52&lt;=EOMONTH(S$3,0),$I52&gt;=S$3),"B","U"),IF(AND($H52&lt;&gt;"",$H52&lt;=EOMONTH(S$3,0),$I52&gt;=S$3),"D","")))</f>
        <v/>
      </c>
      <c r="T52" s="204" t="str">
        <f ca="1">IF($AI52="","",IF(INDEX('Roadmap Calc (Don’t Touch)'!$W$2:$AT$204,$AI52,11)&gt;0,IF(AND($H52&lt;&gt;"",$H52&lt;=EOMONTH(T$3,0),$I52&gt;=T$3),"B","U"),IF(AND($H52&lt;&gt;"",$H52&lt;=EOMONTH(T$3,0),$I52&gt;=T$3),"D","")))</f>
        <v/>
      </c>
      <c r="U52" s="217" t="str">
        <f ca="1">IF($AI52="","",IF(INDEX('Roadmap Calc (Don’t Touch)'!$W$2:$AT$204,$AI52,12)&gt;0,IF(AND($H52&lt;&gt;"",$H52&lt;=EOMONTH(U$3,0),$I52&gt;=U$3),"B","U"),IF(AND($H52&lt;&gt;"",$H52&lt;=EOMONTH(U$3,0),$I52&gt;=U$3),"D","")))</f>
        <v/>
      </c>
      <c r="V52" s="216" t="str">
        <f ca="1">IF($AI52="","",IF(INDEX('Roadmap Calc (Don’t Touch)'!$W$2:$AT$204,$AI52,13)&gt;0,IF(AND($H52&lt;&gt;"",$H52&lt;=EOMONTH(V$3,0),$I52&gt;=V$3),"B","U"),IF(AND($H52&lt;&gt;"",$H52&lt;=EOMONTH(V$3,0),$I52&gt;=V$3),"D","")))</f>
        <v/>
      </c>
      <c r="W52" s="204" t="str">
        <f ca="1">IF($AI52="","",IF(INDEX('Roadmap Calc (Don’t Touch)'!$W$2:$AT$204,$AI52,14)&gt;0,IF(AND($H52&lt;&gt;"",$H52&lt;=EOMONTH(W$3,0),$I52&gt;=W$3),"B","U"),IF(AND($H52&lt;&gt;"",$H52&lt;=EOMONTH(W$3,0),$I52&gt;=W$3),"D","")))</f>
        <v/>
      </c>
      <c r="X52" s="217" t="str">
        <f ca="1">IF($AI52="","",IF(INDEX('Roadmap Calc (Don’t Touch)'!$W$2:$AT$204,$AI52,15)&gt;0,IF(AND($H52&lt;&gt;"",$H52&lt;=EOMONTH(X$3,0),$I52&gt;=X$3),"B","U"),IF(AND($H52&lt;&gt;"",$H52&lt;=EOMONTH(X$3,0),$I52&gt;=X$3),"D","")))</f>
        <v/>
      </c>
      <c r="Y52" s="216" t="str">
        <f ca="1">IF($AI52="","",IF(INDEX('Roadmap Calc (Don’t Touch)'!$W$2:$AT$204,$AI52,16)&gt;0,IF(AND($H52&lt;&gt;"",$H52&lt;=EOMONTH(Y$3,0),$I52&gt;=Y$3),"B","U"),IF(AND($H52&lt;&gt;"",$H52&lt;=EOMONTH(Y$3,0),$I52&gt;=Y$3),"D","")))</f>
        <v/>
      </c>
      <c r="Z52" s="204" t="str">
        <f ca="1">IF($AI52="","",IF(INDEX('Roadmap Calc (Don’t Touch)'!$W$2:$AT$204,$AI52,17)&gt;0,IF(AND($H52&lt;&gt;"",$H52&lt;=EOMONTH(Z$3,0),$I52&gt;=Z$3),"B","U"),IF(AND($H52&lt;&gt;"",$H52&lt;=EOMONTH(Z$3,0),$I52&gt;=Z$3),"D","")))</f>
        <v/>
      </c>
      <c r="AA52" s="217" t="str">
        <f ca="1">IF($AI52="","",IF(INDEX('Roadmap Calc (Don’t Touch)'!$W$2:$AT$204,$AI52,18)&gt;0,IF(AND($H52&lt;&gt;"",$H52&lt;=EOMONTH(AA$3,0),$I52&gt;=AA$3),"B","U"),IF(AND($H52&lt;&gt;"",$H52&lt;=EOMONTH(AA$3,0),$I52&gt;=AA$3),"D","")))</f>
        <v/>
      </c>
      <c r="AB52" s="216" t="str">
        <f ca="1">IF($AI52="","",IF(INDEX('Roadmap Calc (Don’t Touch)'!$W$2:$AT$204,$AI52,19)&gt;0,IF(AND($H52&lt;&gt;"",$H52&lt;=EOMONTH(AB$3,0),$I52&gt;=AB$3),"B","U"),IF(AND($H52&lt;&gt;"",$H52&lt;=EOMONTH(AB$3,0),$I52&gt;=AB$3),"D","")))</f>
        <v/>
      </c>
      <c r="AC52" s="204" t="str">
        <f ca="1">IF($AI52="","",IF(INDEX('Roadmap Calc (Don’t Touch)'!$W$2:$AT$204,$AI52,20)&gt;0,IF(AND($H52&lt;&gt;"",$H52&lt;=EOMONTH(AC$3,0),$I52&gt;=AC$3),"B","U"),IF(AND($H52&lt;&gt;"",$H52&lt;=EOMONTH(AC$3,0),$I52&gt;=AC$3),"D","")))</f>
        <v/>
      </c>
      <c r="AD52" s="217" t="str">
        <f ca="1">IF($AI52="","",IF(INDEX('Roadmap Calc (Don’t Touch)'!$W$2:$AT$204,$AI52,21)&gt;0,IF(AND($H52&lt;&gt;"",$H52&lt;=EOMONTH(AD$3,0),$I52&gt;=AD$3),"B","U"),IF(AND($H52&lt;&gt;"",$H52&lt;=EOMONTH(AD$3,0),$I52&gt;=AD$3),"D","")))</f>
        <v/>
      </c>
      <c r="AE52" s="210" t="str">
        <f ca="1">IF($AI52="","",IF(INDEX('Roadmap Calc (Don’t Touch)'!$W$2:$AT$204,$AI52,22)&gt;0,IF(AND($H52&lt;&gt;"",$H52&lt;=EOMONTH(AE$3,0),$I52&gt;=AE$3),"B","U"),IF(AND($H52&lt;&gt;"",$H52&lt;=EOMONTH(AE$3,0),$I52&gt;=AE$3),"D","")))</f>
        <v/>
      </c>
      <c r="AF52" s="204" t="str">
        <f ca="1">IF($AI52="","",IF(INDEX('Roadmap Calc (Don’t Touch)'!$W$2:$AT$204,$AI52,23)&gt;0,IF(AND($H52&lt;&gt;"",$H52&lt;=EOMONTH(AF$3,0),$I52&gt;=AF$3),"B","U"),IF(AND($H52&lt;&gt;"",$H52&lt;=EOMONTH(AF$3,0),$I52&gt;=AF$3),"D","")))</f>
        <v/>
      </c>
      <c r="AG52" s="204" t="str">
        <f ca="1">IF($AI52="","",IF(INDEX('Roadmap Calc (Don’t Touch)'!$W$2:$AT$204,$AI52,24)&gt;0,IF(AND($H52&lt;&gt;"",$H52&lt;=EOMONTH(AG$3,0),$I52&gt;=AG$3),"B","U"),IF(AND($H52&lt;&gt;"",$H52&lt;=EOMONTH(AG$3,0),$I52&gt;=AG$3),"D","")))</f>
        <v/>
      </c>
      <c r="AH52" s="180" t="str">
        <f>IF($AI52="","",INDEX('Roadmap Calc (Don’t Touch)'!$D$2:$D$204,$AI52))</f>
        <v>(Tracker only — no Weekly row)</v>
      </c>
      <c r="AI52" s="180">
        <f>IFERROR(MATCH(46,'Roadmap Calc (Don’t Touch)'!$O$2:$O$204,0),"")</f>
        <v>198</v>
      </c>
    </row>
    <row r="53" spans="1:35" ht="17" customHeight="1" x14ac:dyDescent="0.25">
      <c r="A53" s="197" t="str">
        <f t="shared" si="1"/>
        <v/>
      </c>
      <c r="B53" s="198" t="str">
        <f>IF($AI53="","",INDEX('Roadmap Calc (Don’t Touch)'!$B$2:$B$204,$AI53))</f>
        <v>0</v>
      </c>
      <c r="C53" s="199" t="str">
        <f>IF($AI53="","",INDEX('Roadmap Calc (Don’t Touch)'!$E$2:$E$204,$AI53))</f>
        <v>0</v>
      </c>
      <c r="D53" s="227">
        <f>IF($AI53="","",INDEX('Roadmap Calc (Don’t Touch)'!$F$2:$F$204,$AI53))</f>
        <v>0</v>
      </c>
      <c r="E53" s="201" t="str">
        <f>IF($AI53="","",IF(ISNUMBER(INDEX('Roadmap Calc (Don’t Touch)'!$G$2:$G$204,$AI53)),INDEX('Roadmap Calc (Don’t Touch)'!$G$2:$G$204,$AI53),""))</f>
        <v/>
      </c>
      <c r="F53" s="201" t="str">
        <f>IF($AI53="","",IF(ISNUMBER(INDEX('Roadmap Calc (Don’t Touch)'!$H$2:$H$204,$AI53)),INDEX('Roadmap Calc (Don’t Touch)'!$H$2:$H$204,$AI53),""))</f>
        <v/>
      </c>
      <c r="G53" s="202" t="str">
        <f>IF($AI53="","",INDEX('Roadmap Calc (Don’t Touch)'!$S$2:$S$204,$AI53))</f>
        <v/>
      </c>
      <c r="H53" s="203" t="str">
        <f ca="1">IF($AI53="","",IF(ISNUMBER(INDEX('Roadmap Calc (Don’t Touch)'!$I$2:$I$204,$AI53)),INDEX('Roadmap Calc (Don’t Touch)'!$I$2:$I$204,$AI53),""))</f>
        <v/>
      </c>
      <c r="I53" s="203" t="str">
        <f ca="1">IF($AI53="","",IF(ISNUMBER(INDEX('Roadmap Calc (Don’t Touch)'!$J$2:$J$204,$AI53)),INDEX('Roadmap Calc (Don’t Touch)'!$J$2:$J$204,$AI53),""))</f>
        <v/>
      </c>
      <c r="J53" s="204" t="str">
        <f ca="1">IF($AI53="","",IF(INDEX('Roadmap Calc (Don’t Touch)'!$W$2:$AT$204,$AI53,1)&gt;0,IF(AND($H53&lt;&gt;"",$H53&lt;=EOMONTH(J$3,0),$I53&gt;=J$3),"B","U"),IF(AND($H53&lt;&gt;"",$H53&lt;=EOMONTH(J$3,0),$I53&gt;=J$3),"D","")))</f>
        <v/>
      </c>
      <c r="K53" s="204" t="str">
        <f ca="1">IF($AI53="","",IF(INDEX('Roadmap Calc (Don’t Touch)'!$W$2:$AT$204,$AI53,2)&gt;0,IF(AND($H53&lt;&gt;"",$H53&lt;=EOMONTH(K$3,0),$I53&gt;=K$3),"B","U"),IF(AND($H53&lt;&gt;"",$H53&lt;=EOMONTH(K$3,0),$I53&gt;=K$3),"D","")))</f>
        <v/>
      </c>
      <c r="L53" s="204" t="str">
        <f ca="1">IF($AI53="","",IF(INDEX('Roadmap Calc (Don’t Touch)'!$W$2:$AT$204,$AI53,3)&gt;0,IF(AND($H53&lt;&gt;"",$H53&lt;=EOMONTH(L$3,0),$I53&gt;=L$3),"B","U"),IF(AND($H53&lt;&gt;"",$H53&lt;=EOMONTH(L$3,0),$I53&gt;=L$3),"D","")))</f>
        <v/>
      </c>
      <c r="M53" s="216" t="str">
        <f ca="1">IF($AI53="","",IF(INDEX('Roadmap Calc (Don’t Touch)'!$W$2:$AT$204,$AI53,4)&gt;0,IF(AND($H53&lt;&gt;"",$H53&lt;=EOMONTH(M$3,0),$I53&gt;=M$3),"B","U"),IF(AND($H53&lt;&gt;"",$H53&lt;=EOMONTH(M$3,0),$I53&gt;=M$3),"D","")))</f>
        <v/>
      </c>
      <c r="N53" s="204" t="str">
        <f ca="1">IF($AI53="","",IF(INDEX('Roadmap Calc (Don’t Touch)'!$W$2:$AT$204,$AI53,5)&gt;0,IF(AND($H53&lt;&gt;"",$H53&lt;=EOMONTH(N$3,0),$I53&gt;=N$3),"B","U"),IF(AND($H53&lt;&gt;"",$H53&lt;=EOMONTH(N$3,0),$I53&gt;=N$3),"D","")))</f>
        <v/>
      </c>
      <c r="O53" s="217" t="str">
        <f ca="1">IF($AI53="","",IF(INDEX('Roadmap Calc (Don’t Touch)'!$W$2:$AT$204,$AI53,6)&gt;0,IF(AND($H53&lt;&gt;"",$H53&lt;=EOMONTH(O$3,0),$I53&gt;=O$3),"B","U"),IF(AND($H53&lt;&gt;"",$H53&lt;=EOMONTH(O$3,0),$I53&gt;=O$3),"D","")))</f>
        <v/>
      </c>
      <c r="P53" s="216" t="str">
        <f ca="1">IF($AI53="","",IF(INDEX('Roadmap Calc (Don’t Touch)'!$W$2:$AT$204,$AI53,7)&gt;0,IF(AND($H53&lt;&gt;"",$H53&lt;=EOMONTH(P$3,0),$I53&gt;=P$3),"B","U"),IF(AND($H53&lt;&gt;"",$H53&lt;=EOMONTH(P$3,0),$I53&gt;=P$3),"D","")))</f>
        <v/>
      </c>
      <c r="Q53" s="204" t="str">
        <f ca="1">IF($AI53="","",IF(INDEX('Roadmap Calc (Don’t Touch)'!$W$2:$AT$204,$AI53,8)&gt;0,IF(AND($H53&lt;&gt;"",$H53&lt;=EOMONTH(Q$3,0),$I53&gt;=Q$3),"B","U"),IF(AND($H53&lt;&gt;"",$H53&lt;=EOMONTH(Q$3,0),$I53&gt;=Q$3),"D","")))</f>
        <v/>
      </c>
      <c r="R53" s="217" t="str">
        <f ca="1">IF($AI53="","",IF(INDEX('Roadmap Calc (Don’t Touch)'!$W$2:$AT$204,$AI53,9)&gt;0,IF(AND($H53&lt;&gt;"",$H53&lt;=EOMONTH(R$3,0),$I53&gt;=R$3),"B","U"),IF(AND($H53&lt;&gt;"",$H53&lt;=EOMONTH(R$3,0),$I53&gt;=R$3),"D","")))</f>
        <v/>
      </c>
      <c r="S53" s="216" t="str">
        <f ca="1">IF($AI53="","",IF(INDEX('Roadmap Calc (Don’t Touch)'!$W$2:$AT$204,$AI53,10)&gt;0,IF(AND($H53&lt;&gt;"",$H53&lt;=EOMONTH(S$3,0),$I53&gt;=S$3),"B","U"),IF(AND($H53&lt;&gt;"",$H53&lt;=EOMONTH(S$3,0),$I53&gt;=S$3),"D","")))</f>
        <v/>
      </c>
      <c r="T53" s="204" t="str">
        <f ca="1">IF($AI53="","",IF(INDEX('Roadmap Calc (Don’t Touch)'!$W$2:$AT$204,$AI53,11)&gt;0,IF(AND($H53&lt;&gt;"",$H53&lt;=EOMONTH(T$3,0),$I53&gt;=T$3),"B","U"),IF(AND($H53&lt;&gt;"",$H53&lt;=EOMONTH(T$3,0),$I53&gt;=T$3),"D","")))</f>
        <v/>
      </c>
      <c r="U53" s="217" t="str">
        <f ca="1">IF($AI53="","",IF(INDEX('Roadmap Calc (Don’t Touch)'!$W$2:$AT$204,$AI53,12)&gt;0,IF(AND($H53&lt;&gt;"",$H53&lt;=EOMONTH(U$3,0),$I53&gt;=U$3),"B","U"),IF(AND($H53&lt;&gt;"",$H53&lt;=EOMONTH(U$3,0),$I53&gt;=U$3),"D","")))</f>
        <v/>
      </c>
      <c r="V53" s="216" t="str">
        <f ca="1">IF($AI53="","",IF(INDEX('Roadmap Calc (Don’t Touch)'!$W$2:$AT$204,$AI53,13)&gt;0,IF(AND($H53&lt;&gt;"",$H53&lt;=EOMONTH(V$3,0),$I53&gt;=V$3),"B","U"),IF(AND($H53&lt;&gt;"",$H53&lt;=EOMONTH(V$3,0),$I53&gt;=V$3),"D","")))</f>
        <v/>
      </c>
      <c r="W53" s="204" t="str">
        <f ca="1">IF($AI53="","",IF(INDEX('Roadmap Calc (Don’t Touch)'!$W$2:$AT$204,$AI53,14)&gt;0,IF(AND($H53&lt;&gt;"",$H53&lt;=EOMONTH(W$3,0),$I53&gt;=W$3),"B","U"),IF(AND($H53&lt;&gt;"",$H53&lt;=EOMONTH(W$3,0),$I53&gt;=W$3),"D","")))</f>
        <v/>
      </c>
      <c r="X53" s="217" t="str">
        <f ca="1">IF($AI53="","",IF(INDEX('Roadmap Calc (Don’t Touch)'!$W$2:$AT$204,$AI53,15)&gt;0,IF(AND($H53&lt;&gt;"",$H53&lt;=EOMONTH(X$3,0),$I53&gt;=X$3),"B","U"),IF(AND($H53&lt;&gt;"",$H53&lt;=EOMONTH(X$3,0),$I53&gt;=X$3),"D","")))</f>
        <v/>
      </c>
      <c r="Y53" s="216" t="str">
        <f ca="1">IF($AI53="","",IF(INDEX('Roadmap Calc (Don’t Touch)'!$W$2:$AT$204,$AI53,16)&gt;0,IF(AND($H53&lt;&gt;"",$H53&lt;=EOMONTH(Y$3,0),$I53&gt;=Y$3),"B","U"),IF(AND($H53&lt;&gt;"",$H53&lt;=EOMONTH(Y$3,0),$I53&gt;=Y$3),"D","")))</f>
        <v/>
      </c>
      <c r="Z53" s="204" t="str">
        <f ca="1">IF($AI53="","",IF(INDEX('Roadmap Calc (Don’t Touch)'!$W$2:$AT$204,$AI53,17)&gt;0,IF(AND($H53&lt;&gt;"",$H53&lt;=EOMONTH(Z$3,0),$I53&gt;=Z$3),"B","U"),IF(AND($H53&lt;&gt;"",$H53&lt;=EOMONTH(Z$3,0),$I53&gt;=Z$3),"D","")))</f>
        <v/>
      </c>
      <c r="AA53" s="217" t="str">
        <f ca="1">IF($AI53="","",IF(INDEX('Roadmap Calc (Don’t Touch)'!$W$2:$AT$204,$AI53,18)&gt;0,IF(AND($H53&lt;&gt;"",$H53&lt;=EOMONTH(AA$3,0),$I53&gt;=AA$3),"B","U"),IF(AND($H53&lt;&gt;"",$H53&lt;=EOMONTH(AA$3,0),$I53&gt;=AA$3),"D","")))</f>
        <v/>
      </c>
      <c r="AB53" s="216" t="str">
        <f ca="1">IF($AI53="","",IF(INDEX('Roadmap Calc (Don’t Touch)'!$W$2:$AT$204,$AI53,19)&gt;0,IF(AND($H53&lt;&gt;"",$H53&lt;=EOMONTH(AB$3,0),$I53&gt;=AB$3),"B","U"),IF(AND($H53&lt;&gt;"",$H53&lt;=EOMONTH(AB$3,0),$I53&gt;=AB$3),"D","")))</f>
        <v/>
      </c>
      <c r="AC53" s="204" t="str">
        <f ca="1">IF($AI53="","",IF(INDEX('Roadmap Calc (Don’t Touch)'!$W$2:$AT$204,$AI53,20)&gt;0,IF(AND($H53&lt;&gt;"",$H53&lt;=EOMONTH(AC$3,0),$I53&gt;=AC$3),"B","U"),IF(AND($H53&lt;&gt;"",$H53&lt;=EOMONTH(AC$3,0),$I53&gt;=AC$3),"D","")))</f>
        <v/>
      </c>
      <c r="AD53" s="217" t="str">
        <f ca="1">IF($AI53="","",IF(INDEX('Roadmap Calc (Don’t Touch)'!$W$2:$AT$204,$AI53,21)&gt;0,IF(AND($H53&lt;&gt;"",$H53&lt;=EOMONTH(AD$3,0),$I53&gt;=AD$3),"B","U"),IF(AND($H53&lt;&gt;"",$H53&lt;=EOMONTH(AD$3,0),$I53&gt;=AD$3),"D","")))</f>
        <v/>
      </c>
      <c r="AE53" s="210" t="str">
        <f ca="1">IF($AI53="","",IF(INDEX('Roadmap Calc (Don’t Touch)'!$W$2:$AT$204,$AI53,22)&gt;0,IF(AND($H53&lt;&gt;"",$H53&lt;=EOMONTH(AE$3,0),$I53&gt;=AE$3),"B","U"),IF(AND($H53&lt;&gt;"",$H53&lt;=EOMONTH(AE$3,0),$I53&gt;=AE$3),"D","")))</f>
        <v/>
      </c>
      <c r="AF53" s="204" t="str">
        <f ca="1">IF($AI53="","",IF(INDEX('Roadmap Calc (Don’t Touch)'!$W$2:$AT$204,$AI53,23)&gt;0,IF(AND($H53&lt;&gt;"",$H53&lt;=EOMONTH(AF$3,0),$I53&gt;=AF$3),"B","U"),IF(AND($H53&lt;&gt;"",$H53&lt;=EOMONTH(AF$3,0),$I53&gt;=AF$3),"D","")))</f>
        <v/>
      </c>
      <c r="AG53" s="204" t="str">
        <f ca="1">IF($AI53="","",IF(INDEX('Roadmap Calc (Don’t Touch)'!$W$2:$AT$204,$AI53,24)&gt;0,IF(AND($H53&lt;&gt;"",$H53&lt;=EOMONTH(AG$3,0),$I53&gt;=AG$3),"B","U"),IF(AND($H53&lt;&gt;"",$H53&lt;=EOMONTH(AG$3,0),$I53&gt;=AG$3),"D","")))</f>
        <v/>
      </c>
      <c r="AH53" s="180" t="str">
        <f>IF($AI53="","",INDEX('Roadmap Calc (Don’t Touch)'!$D$2:$D$204,$AI53))</f>
        <v>(Tracker only — no Weekly row)</v>
      </c>
      <c r="AI53" s="180">
        <f>IFERROR(MATCH(47,'Roadmap Calc (Don’t Touch)'!$O$2:$O$204,0),"")</f>
        <v>199</v>
      </c>
    </row>
    <row r="54" spans="1:35" ht="17" customHeight="1" x14ac:dyDescent="0.25">
      <c r="A54" s="197" t="str">
        <f t="shared" si="1"/>
        <v/>
      </c>
      <c r="B54" s="198" t="str">
        <f>IF($AI54="","",INDEX('Roadmap Calc (Don’t Touch)'!$B$2:$B$204,$AI54))</f>
        <v>0</v>
      </c>
      <c r="C54" s="199" t="str">
        <f>IF($AI54="","",INDEX('Roadmap Calc (Don’t Touch)'!$E$2:$E$204,$AI54))</f>
        <v>0</v>
      </c>
      <c r="D54" s="227">
        <f>IF($AI54="","",INDEX('Roadmap Calc (Don’t Touch)'!$F$2:$F$204,$AI54))</f>
        <v>0</v>
      </c>
      <c r="E54" s="201" t="str">
        <f>IF($AI54="","",IF(ISNUMBER(INDEX('Roadmap Calc (Don’t Touch)'!$G$2:$G$204,$AI54)),INDEX('Roadmap Calc (Don’t Touch)'!$G$2:$G$204,$AI54),""))</f>
        <v/>
      </c>
      <c r="F54" s="201" t="str">
        <f>IF($AI54="","",IF(ISNUMBER(INDEX('Roadmap Calc (Don’t Touch)'!$H$2:$H$204,$AI54)),INDEX('Roadmap Calc (Don’t Touch)'!$H$2:$H$204,$AI54),""))</f>
        <v/>
      </c>
      <c r="G54" s="202" t="str">
        <f>IF($AI54="","",INDEX('Roadmap Calc (Don’t Touch)'!$S$2:$S$204,$AI54))</f>
        <v/>
      </c>
      <c r="H54" s="203" t="str">
        <f ca="1">IF($AI54="","",IF(ISNUMBER(INDEX('Roadmap Calc (Don’t Touch)'!$I$2:$I$204,$AI54)),INDEX('Roadmap Calc (Don’t Touch)'!$I$2:$I$204,$AI54),""))</f>
        <v/>
      </c>
      <c r="I54" s="203" t="str">
        <f ca="1">IF($AI54="","",IF(ISNUMBER(INDEX('Roadmap Calc (Don’t Touch)'!$J$2:$J$204,$AI54)),INDEX('Roadmap Calc (Don’t Touch)'!$J$2:$J$204,$AI54),""))</f>
        <v/>
      </c>
      <c r="J54" s="204" t="str">
        <f ca="1">IF($AI54="","",IF(INDEX('Roadmap Calc (Don’t Touch)'!$W$2:$AT$204,$AI54,1)&gt;0,IF(AND($H54&lt;&gt;"",$H54&lt;=EOMONTH(J$3,0),$I54&gt;=J$3),"B","U"),IF(AND($H54&lt;&gt;"",$H54&lt;=EOMONTH(J$3,0),$I54&gt;=J$3),"D","")))</f>
        <v/>
      </c>
      <c r="K54" s="204" t="str">
        <f ca="1">IF($AI54="","",IF(INDEX('Roadmap Calc (Don’t Touch)'!$W$2:$AT$204,$AI54,2)&gt;0,IF(AND($H54&lt;&gt;"",$H54&lt;=EOMONTH(K$3,0),$I54&gt;=K$3),"B","U"),IF(AND($H54&lt;&gt;"",$H54&lt;=EOMONTH(K$3,0),$I54&gt;=K$3),"D","")))</f>
        <v/>
      </c>
      <c r="L54" s="204" t="str">
        <f ca="1">IF($AI54="","",IF(INDEX('Roadmap Calc (Don’t Touch)'!$W$2:$AT$204,$AI54,3)&gt;0,IF(AND($H54&lt;&gt;"",$H54&lt;=EOMONTH(L$3,0),$I54&gt;=L$3),"B","U"),IF(AND($H54&lt;&gt;"",$H54&lt;=EOMONTH(L$3,0),$I54&gt;=L$3),"D","")))</f>
        <v/>
      </c>
      <c r="M54" s="216" t="str">
        <f ca="1">IF($AI54="","",IF(INDEX('Roadmap Calc (Don’t Touch)'!$W$2:$AT$204,$AI54,4)&gt;0,IF(AND($H54&lt;&gt;"",$H54&lt;=EOMONTH(M$3,0),$I54&gt;=M$3),"B","U"),IF(AND($H54&lt;&gt;"",$H54&lt;=EOMONTH(M$3,0),$I54&gt;=M$3),"D","")))</f>
        <v/>
      </c>
      <c r="N54" s="204" t="str">
        <f ca="1">IF($AI54="","",IF(INDEX('Roadmap Calc (Don’t Touch)'!$W$2:$AT$204,$AI54,5)&gt;0,IF(AND($H54&lt;&gt;"",$H54&lt;=EOMONTH(N$3,0),$I54&gt;=N$3),"B","U"),IF(AND($H54&lt;&gt;"",$H54&lt;=EOMONTH(N$3,0),$I54&gt;=N$3),"D","")))</f>
        <v/>
      </c>
      <c r="O54" s="217" t="str">
        <f ca="1">IF($AI54="","",IF(INDEX('Roadmap Calc (Don’t Touch)'!$W$2:$AT$204,$AI54,6)&gt;0,IF(AND($H54&lt;&gt;"",$H54&lt;=EOMONTH(O$3,0),$I54&gt;=O$3),"B","U"),IF(AND($H54&lt;&gt;"",$H54&lt;=EOMONTH(O$3,0),$I54&gt;=O$3),"D","")))</f>
        <v/>
      </c>
      <c r="P54" s="216" t="str">
        <f ca="1">IF($AI54="","",IF(INDEX('Roadmap Calc (Don’t Touch)'!$W$2:$AT$204,$AI54,7)&gt;0,IF(AND($H54&lt;&gt;"",$H54&lt;=EOMONTH(P$3,0),$I54&gt;=P$3),"B","U"),IF(AND($H54&lt;&gt;"",$H54&lt;=EOMONTH(P$3,0),$I54&gt;=P$3),"D","")))</f>
        <v/>
      </c>
      <c r="Q54" s="204" t="str">
        <f ca="1">IF($AI54="","",IF(INDEX('Roadmap Calc (Don’t Touch)'!$W$2:$AT$204,$AI54,8)&gt;0,IF(AND($H54&lt;&gt;"",$H54&lt;=EOMONTH(Q$3,0),$I54&gt;=Q$3),"B","U"),IF(AND($H54&lt;&gt;"",$H54&lt;=EOMONTH(Q$3,0),$I54&gt;=Q$3),"D","")))</f>
        <v/>
      </c>
      <c r="R54" s="217" t="str">
        <f ca="1">IF($AI54="","",IF(INDEX('Roadmap Calc (Don’t Touch)'!$W$2:$AT$204,$AI54,9)&gt;0,IF(AND($H54&lt;&gt;"",$H54&lt;=EOMONTH(R$3,0),$I54&gt;=R$3),"B","U"),IF(AND($H54&lt;&gt;"",$H54&lt;=EOMONTH(R$3,0),$I54&gt;=R$3),"D","")))</f>
        <v/>
      </c>
      <c r="S54" s="216" t="str">
        <f ca="1">IF($AI54="","",IF(INDEX('Roadmap Calc (Don’t Touch)'!$W$2:$AT$204,$AI54,10)&gt;0,IF(AND($H54&lt;&gt;"",$H54&lt;=EOMONTH(S$3,0),$I54&gt;=S$3),"B","U"),IF(AND($H54&lt;&gt;"",$H54&lt;=EOMONTH(S$3,0),$I54&gt;=S$3),"D","")))</f>
        <v/>
      </c>
      <c r="T54" s="204" t="str">
        <f ca="1">IF($AI54="","",IF(INDEX('Roadmap Calc (Don’t Touch)'!$W$2:$AT$204,$AI54,11)&gt;0,IF(AND($H54&lt;&gt;"",$H54&lt;=EOMONTH(T$3,0),$I54&gt;=T$3),"B","U"),IF(AND($H54&lt;&gt;"",$H54&lt;=EOMONTH(T$3,0),$I54&gt;=T$3),"D","")))</f>
        <v/>
      </c>
      <c r="U54" s="217" t="str">
        <f ca="1">IF($AI54="","",IF(INDEX('Roadmap Calc (Don’t Touch)'!$W$2:$AT$204,$AI54,12)&gt;0,IF(AND($H54&lt;&gt;"",$H54&lt;=EOMONTH(U$3,0),$I54&gt;=U$3),"B","U"),IF(AND($H54&lt;&gt;"",$H54&lt;=EOMONTH(U$3,0),$I54&gt;=U$3),"D","")))</f>
        <v/>
      </c>
      <c r="V54" s="216" t="str">
        <f ca="1">IF($AI54="","",IF(INDEX('Roadmap Calc (Don’t Touch)'!$W$2:$AT$204,$AI54,13)&gt;0,IF(AND($H54&lt;&gt;"",$H54&lt;=EOMONTH(V$3,0),$I54&gt;=V$3),"B","U"),IF(AND($H54&lt;&gt;"",$H54&lt;=EOMONTH(V$3,0),$I54&gt;=V$3),"D","")))</f>
        <v/>
      </c>
      <c r="W54" s="204" t="str">
        <f ca="1">IF($AI54="","",IF(INDEX('Roadmap Calc (Don’t Touch)'!$W$2:$AT$204,$AI54,14)&gt;0,IF(AND($H54&lt;&gt;"",$H54&lt;=EOMONTH(W$3,0),$I54&gt;=W$3),"B","U"),IF(AND($H54&lt;&gt;"",$H54&lt;=EOMONTH(W$3,0),$I54&gt;=W$3),"D","")))</f>
        <v/>
      </c>
      <c r="X54" s="217" t="str">
        <f ca="1">IF($AI54="","",IF(INDEX('Roadmap Calc (Don’t Touch)'!$W$2:$AT$204,$AI54,15)&gt;0,IF(AND($H54&lt;&gt;"",$H54&lt;=EOMONTH(X$3,0),$I54&gt;=X$3),"B","U"),IF(AND($H54&lt;&gt;"",$H54&lt;=EOMONTH(X$3,0),$I54&gt;=X$3),"D","")))</f>
        <v/>
      </c>
      <c r="Y54" s="216" t="str">
        <f ca="1">IF($AI54="","",IF(INDEX('Roadmap Calc (Don’t Touch)'!$W$2:$AT$204,$AI54,16)&gt;0,IF(AND($H54&lt;&gt;"",$H54&lt;=EOMONTH(Y$3,0),$I54&gt;=Y$3),"B","U"),IF(AND($H54&lt;&gt;"",$H54&lt;=EOMONTH(Y$3,0),$I54&gt;=Y$3),"D","")))</f>
        <v/>
      </c>
      <c r="Z54" s="204" t="str">
        <f ca="1">IF($AI54="","",IF(INDEX('Roadmap Calc (Don’t Touch)'!$W$2:$AT$204,$AI54,17)&gt;0,IF(AND($H54&lt;&gt;"",$H54&lt;=EOMONTH(Z$3,0),$I54&gt;=Z$3),"B","U"),IF(AND($H54&lt;&gt;"",$H54&lt;=EOMONTH(Z$3,0),$I54&gt;=Z$3),"D","")))</f>
        <v/>
      </c>
      <c r="AA54" s="217" t="str">
        <f ca="1">IF($AI54="","",IF(INDEX('Roadmap Calc (Don’t Touch)'!$W$2:$AT$204,$AI54,18)&gt;0,IF(AND($H54&lt;&gt;"",$H54&lt;=EOMONTH(AA$3,0),$I54&gt;=AA$3),"B","U"),IF(AND($H54&lt;&gt;"",$H54&lt;=EOMONTH(AA$3,0),$I54&gt;=AA$3),"D","")))</f>
        <v/>
      </c>
      <c r="AB54" s="216" t="str">
        <f ca="1">IF($AI54="","",IF(INDEX('Roadmap Calc (Don’t Touch)'!$W$2:$AT$204,$AI54,19)&gt;0,IF(AND($H54&lt;&gt;"",$H54&lt;=EOMONTH(AB$3,0),$I54&gt;=AB$3),"B","U"),IF(AND($H54&lt;&gt;"",$H54&lt;=EOMONTH(AB$3,0),$I54&gt;=AB$3),"D","")))</f>
        <v/>
      </c>
      <c r="AC54" s="204" t="str">
        <f ca="1">IF($AI54="","",IF(INDEX('Roadmap Calc (Don’t Touch)'!$W$2:$AT$204,$AI54,20)&gt;0,IF(AND($H54&lt;&gt;"",$H54&lt;=EOMONTH(AC$3,0),$I54&gt;=AC$3),"B","U"),IF(AND($H54&lt;&gt;"",$H54&lt;=EOMONTH(AC$3,0),$I54&gt;=AC$3),"D","")))</f>
        <v/>
      </c>
      <c r="AD54" s="217" t="str">
        <f ca="1">IF($AI54="","",IF(INDEX('Roadmap Calc (Don’t Touch)'!$W$2:$AT$204,$AI54,21)&gt;0,IF(AND($H54&lt;&gt;"",$H54&lt;=EOMONTH(AD$3,0),$I54&gt;=AD$3),"B","U"),IF(AND($H54&lt;&gt;"",$H54&lt;=EOMONTH(AD$3,0),$I54&gt;=AD$3),"D","")))</f>
        <v/>
      </c>
      <c r="AE54" s="210" t="str">
        <f ca="1">IF($AI54="","",IF(INDEX('Roadmap Calc (Don’t Touch)'!$W$2:$AT$204,$AI54,22)&gt;0,IF(AND($H54&lt;&gt;"",$H54&lt;=EOMONTH(AE$3,0),$I54&gt;=AE$3),"B","U"),IF(AND($H54&lt;&gt;"",$H54&lt;=EOMONTH(AE$3,0),$I54&gt;=AE$3),"D","")))</f>
        <v/>
      </c>
      <c r="AF54" s="204" t="str">
        <f ca="1">IF($AI54="","",IF(INDEX('Roadmap Calc (Don’t Touch)'!$W$2:$AT$204,$AI54,23)&gt;0,IF(AND($H54&lt;&gt;"",$H54&lt;=EOMONTH(AF$3,0),$I54&gt;=AF$3),"B","U"),IF(AND($H54&lt;&gt;"",$H54&lt;=EOMONTH(AF$3,0),$I54&gt;=AF$3),"D","")))</f>
        <v/>
      </c>
      <c r="AG54" s="204" t="str">
        <f ca="1">IF($AI54="","",IF(INDEX('Roadmap Calc (Don’t Touch)'!$W$2:$AT$204,$AI54,24)&gt;0,IF(AND($H54&lt;&gt;"",$H54&lt;=EOMONTH(AG$3,0),$I54&gt;=AG$3),"B","U"),IF(AND($H54&lt;&gt;"",$H54&lt;=EOMONTH(AG$3,0),$I54&gt;=AG$3),"D","")))</f>
        <v/>
      </c>
      <c r="AH54" s="180" t="str">
        <f>IF($AI54="","",INDEX('Roadmap Calc (Don’t Touch)'!$D$2:$D$204,$AI54))</f>
        <v>(Tracker only — no Weekly row)</v>
      </c>
      <c r="AI54" s="180">
        <f>IFERROR(MATCH(48,'Roadmap Calc (Don’t Touch)'!$O$2:$O$204,0),"")</f>
        <v>200</v>
      </c>
    </row>
    <row r="55" spans="1:35" ht="17" customHeight="1" x14ac:dyDescent="0.25">
      <c r="A55" s="197" t="str">
        <f t="shared" si="1"/>
        <v/>
      </c>
      <c r="B55" s="198" t="str">
        <f>IF($AI55="","",INDEX('Roadmap Calc (Don’t Touch)'!$B$2:$B$204,$AI55))</f>
        <v>0</v>
      </c>
      <c r="C55" s="199" t="str">
        <f>IF($AI55="","",INDEX('Roadmap Calc (Don’t Touch)'!$E$2:$E$204,$AI55))</f>
        <v>0</v>
      </c>
      <c r="D55" s="227">
        <f>IF($AI55="","",INDEX('Roadmap Calc (Don’t Touch)'!$F$2:$F$204,$AI55))</f>
        <v>0</v>
      </c>
      <c r="E55" s="201" t="str">
        <f>IF($AI55="","",IF(ISNUMBER(INDEX('Roadmap Calc (Don’t Touch)'!$G$2:$G$204,$AI55)),INDEX('Roadmap Calc (Don’t Touch)'!$G$2:$G$204,$AI55),""))</f>
        <v/>
      </c>
      <c r="F55" s="201" t="str">
        <f>IF($AI55="","",IF(ISNUMBER(INDEX('Roadmap Calc (Don’t Touch)'!$H$2:$H$204,$AI55)),INDEX('Roadmap Calc (Don’t Touch)'!$H$2:$H$204,$AI55),""))</f>
        <v/>
      </c>
      <c r="G55" s="202" t="str">
        <f>IF($AI55="","",INDEX('Roadmap Calc (Don’t Touch)'!$S$2:$S$204,$AI55))</f>
        <v/>
      </c>
      <c r="H55" s="203" t="str">
        <f ca="1">IF($AI55="","",IF(ISNUMBER(INDEX('Roadmap Calc (Don’t Touch)'!$I$2:$I$204,$AI55)),INDEX('Roadmap Calc (Don’t Touch)'!$I$2:$I$204,$AI55),""))</f>
        <v/>
      </c>
      <c r="I55" s="203" t="str">
        <f ca="1">IF($AI55="","",IF(ISNUMBER(INDEX('Roadmap Calc (Don’t Touch)'!$J$2:$J$204,$AI55)),INDEX('Roadmap Calc (Don’t Touch)'!$J$2:$J$204,$AI55),""))</f>
        <v/>
      </c>
      <c r="J55" s="204" t="str">
        <f ca="1">IF($AI55="","",IF(INDEX('Roadmap Calc (Don’t Touch)'!$W$2:$AT$204,$AI55,1)&gt;0,IF(AND($H55&lt;&gt;"",$H55&lt;=EOMONTH(J$3,0),$I55&gt;=J$3),"B","U"),IF(AND($H55&lt;&gt;"",$H55&lt;=EOMONTH(J$3,0),$I55&gt;=J$3),"D","")))</f>
        <v/>
      </c>
      <c r="K55" s="204" t="str">
        <f ca="1">IF($AI55="","",IF(INDEX('Roadmap Calc (Don’t Touch)'!$W$2:$AT$204,$AI55,2)&gt;0,IF(AND($H55&lt;&gt;"",$H55&lt;=EOMONTH(K$3,0),$I55&gt;=K$3),"B","U"),IF(AND($H55&lt;&gt;"",$H55&lt;=EOMONTH(K$3,0),$I55&gt;=K$3),"D","")))</f>
        <v/>
      </c>
      <c r="L55" s="204" t="str">
        <f ca="1">IF($AI55="","",IF(INDEX('Roadmap Calc (Don’t Touch)'!$W$2:$AT$204,$AI55,3)&gt;0,IF(AND($H55&lt;&gt;"",$H55&lt;=EOMONTH(L$3,0),$I55&gt;=L$3),"B","U"),IF(AND($H55&lt;&gt;"",$H55&lt;=EOMONTH(L$3,0),$I55&gt;=L$3),"D","")))</f>
        <v/>
      </c>
      <c r="M55" s="218" t="str">
        <f ca="1">IF($AI55="","",IF(INDEX('Roadmap Calc (Don’t Touch)'!$W$2:$AT$204,$AI55,4)&gt;0,IF(AND($H55&lt;&gt;"",$H55&lt;=EOMONTH(M$3,0),$I55&gt;=M$3),"B","U"),IF(AND($H55&lt;&gt;"",$H55&lt;=EOMONTH(M$3,0),$I55&gt;=M$3),"D","")))</f>
        <v/>
      </c>
      <c r="N55" s="219" t="str">
        <f ca="1">IF($AI55="","",IF(INDEX('Roadmap Calc (Don’t Touch)'!$W$2:$AT$204,$AI55,5)&gt;0,IF(AND($H55&lt;&gt;"",$H55&lt;=EOMONTH(N$3,0),$I55&gt;=N$3),"B","U"),IF(AND($H55&lt;&gt;"",$H55&lt;=EOMONTH(N$3,0),$I55&gt;=N$3),"D","")))</f>
        <v/>
      </c>
      <c r="O55" s="220" t="str">
        <f ca="1">IF($AI55="","",IF(INDEX('Roadmap Calc (Don’t Touch)'!$W$2:$AT$204,$AI55,6)&gt;0,IF(AND($H55&lt;&gt;"",$H55&lt;=EOMONTH(O$3,0),$I55&gt;=O$3),"B","U"),IF(AND($H55&lt;&gt;"",$H55&lt;=EOMONTH(O$3,0),$I55&gt;=O$3),"D","")))</f>
        <v/>
      </c>
      <c r="P55" s="218" t="str">
        <f ca="1">IF($AI55="","",IF(INDEX('Roadmap Calc (Don’t Touch)'!$W$2:$AT$204,$AI55,7)&gt;0,IF(AND($H55&lt;&gt;"",$H55&lt;=EOMONTH(P$3,0),$I55&gt;=P$3),"B","U"),IF(AND($H55&lt;&gt;"",$H55&lt;=EOMONTH(P$3,0),$I55&gt;=P$3),"D","")))</f>
        <v/>
      </c>
      <c r="Q55" s="219" t="str">
        <f ca="1">IF($AI55="","",IF(INDEX('Roadmap Calc (Don’t Touch)'!$W$2:$AT$204,$AI55,8)&gt;0,IF(AND($H55&lt;&gt;"",$H55&lt;=EOMONTH(Q$3,0),$I55&gt;=Q$3),"B","U"),IF(AND($H55&lt;&gt;"",$H55&lt;=EOMONTH(Q$3,0),$I55&gt;=Q$3),"D","")))</f>
        <v/>
      </c>
      <c r="R55" s="220" t="str">
        <f ca="1">IF($AI55="","",IF(INDEX('Roadmap Calc (Don’t Touch)'!$W$2:$AT$204,$AI55,9)&gt;0,IF(AND($H55&lt;&gt;"",$H55&lt;=EOMONTH(R$3,0),$I55&gt;=R$3),"B","U"),IF(AND($H55&lt;&gt;"",$H55&lt;=EOMONTH(R$3,0),$I55&gt;=R$3),"D","")))</f>
        <v/>
      </c>
      <c r="S55" s="218" t="str">
        <f ca="1">IF($AI55="","",IF(INDEX('Roadmap Calc (Don’t Touch)'!$W$2:$AT$204,$AI55,10)&gt;0,IF(AND($H55&lt;&gt;"",$H55&lt;=EOMONTH(S$3,0),$I55&gt;=S$3),"B","U"),IF(AND($H55&lt;&gt;"",$H55&lt;=EOMONTH(S$3,0),$I55&gt;=S$3),"D","")))</f>
        <v/>
      </c>
      <c r="T55" s="219" t="str">
        <f ca="1">IF($AI55="","",IF(INDEX('Roadmap Calc (Don’t Touch)'!$W$2:$AT$204,$AI55,11)&gt;0,IF(AND($H55&lt;&gt;"",$H55&lt;=EOMONTH(T$3,0),$I55&gt;=T$3),"B","U"),IF(AND($H55&lt;&gt;"",$H55&lt;=EOMONTH(T$3,0),$I55&gt;=T$3),"D","")))</f>
        <v/>
      </c>
      <c r="U55" s="220" t="str">
        <f ca="1">IF($AI55="","",IF(INDEX('Roadmap Calc (Don’t Touch)'!$W$2:$AT$204,$AI55,12)&gt;0,IF(AND($H55&lt;&gt;"",$H55&lt;=EOMONTH(U$3,0),$I55&gt;=U$3),"B","U"),IF(AND($H55&lt;&gt;"",$H55&lt;=EOMONTH(U$3,0),$I55&gt;=U$3),"D","")))</f>
        <v/>
      </c>
      <c r="V55" s="218" t="str">
        <f ca="1">IF($AI55="","",IF(INDEX('Roadmap Calc (Don’t Touch)'!$W$2:$AT$204,$AI55,13)&gt;0,IF(AND($H55&lt;&gt;"",$H55&lt;=EOMONTH(V$3,0),$I55&gt;=V$3),"B","U"),IF(AND($H55&lt;&gt;"",$H55&lt;=EOMONTH(V$3,0),$I55&gt;=V$3),"D","")))</f>
        <v/>
      </c>
      <c r="W55" s="219" t="str">
        <f ca="1">IF($AI55="","",IF(INDEX('Roadmap Calc (Don’t Touch)'!$W$2:$AT$204,$AI55,14)&gt;0,IF(AND($H55&lt;&gt;"",$H55&lt;=EOMONTH(W$3,0),$I55&gt;=W$3),"B","U"),IF(AND($H55&lt;&gt;"",$H55&lt;=EOMONTH(W$3,0),$I55&gt;=W$3),"D","")))</f>
        <v/>
      </c>
      <c r="X55" s="220" t="str">
        <f ca="1">IF($AI55="","",IF(INDEX('Roadmap Calc (Don’t Touch)'!$W$2:$AT$204,$AI55,15)&gt;0,IF(AND($H55&lt;&gt;"",$H55&lt;=EOMONTH(X$3,0),$I55&gt;=X$3),"B","U"),IF(AND($H55&lt;&gt;"",$H55&lt;=EOMONTH(X$3,0),$I55&gt;=X$3),"D","")))</f>
        <v/>
      </c>
      <c r="Y55" s="218" t="str">
        <f ca="1">IF($AI55="","",IF(INDEX('Roadmap Calc (Don’t Touch)'!$W$2:$AT$204,$AI55,16)&gt;0,IF(AND($H55&lt;&gt;"",$H55&lt;=EOMONTH(Y$3,0),$I55&gt;=Y$3),"B","U"),IF(AND($H55&lt;&gt;"",$H55&lt;=EOMONTH(Y$3,0),$I55&gt;=Y$3),"D","")))</f>
        <v/>
      </c>
      <c r="Z55" s="219" t="str">
        <f ca="1">IF($AI55="","",IF(INDEX('Roadmap Calc (Don’t Touch)'!$W$2:$AT$204,$AI55,17)&gt;0,IF(AND($H55&lt;&gt;"",$H55&lt;=EOMONTH(Z$3,0),$I55&gt;=Z$3),"B","U"),IF(AND($H55&lt;&gt;"",$H55&lt;=EOMONTH(Z$3,0),$I55&gt;=Z$3),"D","")))</f>
        <v/>
      </c>
      <c r="AA55" s="220" t="str">
        <f ca="1">IF($AI55="","",IF(INDEX('Roadmap Calc (Don’t Touch)'!$W$2:$AT$204,$AI55,18)&gt;0,IF(AND($H55&lt;&gt;"",$H55&lt;=EOMONTH(AA$3,0),$I55&gt;=AA$3),"B","U"),IF(AND($H55&lt;&gt;"",$H55&lt;=EOMONTH(AA$3,0),$I55&gt;=AA$3),"D","")))</f>
        <v/>
      </c>
      <c r="AB55" s="218" t="str">
        <f ca="1">IF($AI55="","",IF(INDEX('Roadmap Calc (Don’t Touch)'!$W$2:$AT$204,$AI55,19)&gt;0,IF(AND($H55&lt;&gt;"",$H55&lt;=EOMONTH(AB$3,0),$I55&gt;=AB$3),"B","U"),IF(AND($H55&lt;&gt;"",$H55&lt;=EOMONTH(AB$3,0),$I55&gt;=AB$3),"D","")))</f>
        <v/>
      </c>
      <c r="AC55" s="219" t="str">
        <f ca="1">IF($AI55="","",IF(INDEX('Roadmap Calc (Don’t Touch)'!$W$2:$AT$204,$AI55,20)&gt;0,IF(AND($H55&lt;&gt;"",$H55&lt;=EOMONTH(AC$3,0),$I55&gt;=AC$3),"B","U"),IF(AND($H55&lt;&gt;"",$H55&lt;=EOMONTH(AC$3,0),$I55&gt;=AC$3),"D","")))</f>
        <v/>
      </c>
      <c r="AD55" s="220" t="str">
        <f ca="1">IF($AI55="","",IF(INDEX('Roadmap Calc (Don’t Touch)'!$W$2:$AT$204,$AI55,21)&gt;0,IF(AND($H55&lt;&gt;"",$H55&lt;=EOMONTH(AD$3,0),$I55&gt;=AD$3),"B","U"),IF(AND($H55&lt;&gt;"",$H55&lt;=EOMONTH(AD$3,0),$I55&gt;=AD$3),"D","")))</f>
        <v/>
      </c>
      <c r="AE55" s="210" t="str">
        <f ca="1">IF($AI55="","",IF(INDEX('Roadmap Calc (Don’t Touch)'!$W$2:$AT$204,$AI55,22)&gt;0,IF(AND($H55&lt;&gt;"",$H55&lt;=EOMONTH(AE$3,0),$I55&gt;=AE$3),"B","U"),IF(AND($H55&lt;&gt;"",$H55&lt;=EOMONTH(AE$3,0),$I55&gt;=AE$3),"D","")))</f>
        <v/>
      </c>
      <c r="AF55" s="204" t="str">
        <f ca="1">IF($AI55="","",IF(INDEX('Roadmap Calc (Don’t Touch)'!$W$2:$AT$204,$AI55,23)&gt;0,IF(AND($H55&lt;&gt;"",$H55&lt;=EOMONTH(AF$3,0),$I55&gt;=AF$3),"B","U"),IF(AND($H55&lt;&gt;"",$H55&lt;=EOMONTH(AF$3,0),$I55&gt;=AF$3),"D","")))</f>
        <v/>
      </c>
      <c r="AG55" s="204" t="str">
        <f ca="1">IF($AI55="","",IF(INDEX('Roadmap Calc (Don’t Touch)'!$W$2:$AT$204,$AI55,24)&gt;0,IF(AND($H55&lt;&gt;"",$H55&lt;=EOMONTH(AG$3,0),$I55&gt;=AG$3),"B","U"),IF(AND($H55&lt;&gt;"",$H55&lt;=EOMONTH(AG$3,0),$I55&gt;=AG$3),"D","")))</f>
        <v/>
      </c>
      <c r="AH55" s="180" t="str">
        <f>IF($AI55="","",INDEX('Roadmap Calc (Don’t Touch)'!$D$2:$D$204,$AI55))</f>
        <v>(Tracker only — no Weekly row)</v>
      </c>
      <c r="AI55" s="180">
        <f>IFERROR(MATCH(49,'Roadmap Calc (Don’t Touch)'!$O$2:$O$204,0),"")</f>
        <v>201</v>
      </c>
    </row>
    <row r="56" spans="1:35" ht="17" customHeight="1" x14ac:dyDescent="0.25">
      <c r="A56" s="197" t="str">
        <f t="shared" si="1"/>
        <v/>
      </c>
      <c r="B56" s="198" t="str">
        <f>IF($AI56="","",INDEX('Roadmap Calc (Don’t Touch)'!$B$2:$B$204,$AI56))</f>
        <v/>
      </c>
      <c r="C56" s="199" t="str">
        <f>IF($AI56="","",INDEX('Roadmap Calc (Don’t Touch)'!$E$2:$E$204,$AI56))</f>
        <v/>
      </c>
      <c r="D56" s="200" t="str">
        <f>IF($AI56="","",INDEX('Roadmap Calc (Don’t Touch)'!$F$2:$F$204,$AI56))</f>
        <v/>
      </c>
      <c r="E56" s="201" t="str">
        <f>IF($AI56="","",IF(ISNUMBER(INDEX('Roadmap Calc (Don’t Touch)'!$G$2:$G$204,$AI56)),INDEX('Roadmap Calc (Don’t Touch)'!$G$2:$G$204,$AI56),""))</f>
        <v/>
      </c>
      <c r="F56" s="201" t="str">
        <f>IF($AI56="","",IF(ISNUMBER(INDEX('Roadmap Calc (Don’t Touch)'!$H$2:$H$204,$AI56)),INDEX('Roadmap Calc (Don’t Touch)'!$H$2:$H$204,$AI56),""))</f>
        <v/>
      </c>
      <c r="G56" s="202" t="str">
        <f>IF($AI56="","",INDEX('Roadmap Calc (Don’t Touch)'!$S$2:$S$204,$AI56))</f>
        <v/>
      </c>
      <c r="H56" s="203" t="str">
        <f>IF($AI56="","",IF(ISNUMBER(INDEX('Roadmap Calc (Don’t Touch)'!$I$2:$I$204,$AI56)),INDEX('Roadmap Calc (Don’t Touch)'!$I$2:$I$204,$AI56),""))</f>
        <v/>
      </c>
      <c r="I56" s="203" t="str">
        <f>IF($AI56="","",IF(ISNUMBER(INDEX('Roadmap Calc (Don’t Touch)'!$J$2:$J$204,$AI56)),INDEX('Roadmap Calc (Don’t Touch)'!$J$2:$J$204,$AI56),""))</f>
        <v/>
      </c>
      <c r="J56" s="204" t="str">
        <f>IF($AI56="","",IF(INDEX('Roadmap Calc (Don’t Touch)'!$W$2:$AT$204,$AI56,1)&gt;0,IF(AND($H56&lt;&gt;"",$H56&lt;=EOMONTH(J$3,0),$I56&gt;=J$3),"B","U"),IF(AND($H56&lt;&gt;"",$H56&lt;=EOMONTH(J$3,0),$I56&gt;=J$3),"D","")))</f>
        <v/>
      </c>
      <c r="K56" s="204" t="str">
        <f>IF($AI56="","",IF(INDEX('Roadmap Calc (Don’t Touch)'!$W$2:$AT$204,$AI56,2)&gt;0,IF(AND($H56&lt;&gt;"",$H56&lt;=EOMONTH(K$3,0),$I56&gt;=K$3),"B","U"),IF(AND($H56&lt;&gt;"",$H56&lt;=EOMONTH(K$3,0),$I56&gt;=K$3),"D","")))</f>
        <v/>
      </c>
      <c r="L56" s="204" t="str">
        <f>IF($AI56="","",IF(INDEX('Roadmap Calc (Don’t Touch)'!$W$2:$AT$204,$AI56,3)&gt;0,IF(AND($H56&lt;&gt;"",$H56&lt;=EOMONTH(L$3,0),$I56&gt;=L$3),"B","U"),IF(AND($H56&lt;&gt;"",$H56&lt;=EOMONTH(L$3,0),$I56&gt;=L$3),"D","")))</f>
        <v/>
      </c>
      <c r="M56" s="204" t="str">
        <f>IF($AI56="","",IF(INDEX('Roadmap Calc (Don’t Touch)'!$W$2:$AT$204,$AI56,4)&gt;0,IF(AND($H56&lt;&gt;"",$H56&lt;=EOMONTH(M$3,0),$I56&gt;=M$3),"B","U"),IF(AND($H56&lt;&gt;"",$H56&lt;=EOMONTH(M$3,0),$I56&gt;=M$3),"D","")))</f>
        <v/>
      </c>
      <c r="N56" s="204" t="str">
        <f>IF($AI56="","",IF(INDEX('Roadmap Calc (Don’t Touch)'!$W$2:$AT$204,$AI56,5)&gt;0,IF(AND($H56&lt;&gt;"",$H56&lt;=EOMONTH(N$3,0),$I56&gt;=N$3),"B","U"),IF(AND($H56&lt;&gt;"",$H56&lt;=EOMONTH(N$3,0),$I56&gt;=N$3),"D","")))</f>
        <v/>
      </c>
      <c r="O56" s="204" t="str">
        <f>IF($AI56="","",IF(INDEX('Roadmap Calc (Don’t Touch)'!$W$2:$AT$204,$AI56,6)&gt;0,IF(AND($H56&lt;&gt;"",$H56&lt;=EOMONTH(O$3,0),$I56&gt;=O$3),"B","U"),IF(AND($H56&lt;&gt;"",$H56&lt;=EOMONTH(O$3,0),$I56&gt;=O$3),"D","")))</f>
        <v/>
      </c>
      <c r="P56" s="204" t="str">
        <f>IF($AI56="","",IF(INDEX('Roadmap Calc (Don’t Touch)'!$W$2:$AT$204,$AI56,7)&gt;0,IF(AND($H56&lt;&gt;"",$H56&lt;=EOMONTH(P$3,0),$I56&gt;=P$3),"B","U"),IF(AND($H56&lt;&gt;"",$H56&lt;=EOMONTH(P$3,0),$I56&gt;=P$3),"D","")))</f>
        <v/>
      </c>
      <c r="Q56" s="204" t="str">
        <f>IF($AI56="","",IF(INDEX('Roadmap Calc (Don’t Touch)'!$W$2:$AT$204,$AI56,8)&gt;0,IF(AND($H56&lt;&gt;"",$H56&lt;=EOMONTH(Q$3,0),$I56&gt;=Q$3),"B","U"),IF(AND($H56&lt;&gt;"",$H56&lt;=EOMONTH(Q$3,0),$I56&gt;=Q$3),"D","")))</f>
        <v/>
      </c>
      <c r="R56" s="204" t="str">
        <f>IF($AI56="","",IF(INDEX('Roadmap Calc (Don’t Touch)'!$W$2:$AT$204,$AI56,9)&gt;0,IF(AND($H56&lt;&gt;"",$H56&lt;=EOMONTH(R$3,0),$I56&gt;=R$3),"B","U"),IF(AND($H56&lt;&gt;"",$H56&lt;=EOMONTH(R$3,0),$I56&gt;=R$3),"D","")))</f>
        <v/>
      </c>
      <c r="S56" s="204" t="str">
        <f>IF($AI56="","",IF(INDEX('Roadmap Calc (Don’t Touch)'!$W$2:$AT$204,$AI56,10)&gt;0,IF(AND($H56&lt;&gt;"",$H56&lt;=EOMONTH(S$3,0),$I56&gt;=S$3),"B","U"),IF(AND($H56&lt;&gt;"",$H56&lt;=EOMONTH(S$3,0),$I56&gt;=S$3),"D","")))</f>
        <v/>
      </c>
      <c r="T56" s="204" t="str">
        <f>IF($AI56="","",IF(INDEX('Roadmap Calc (Don’t Touch)'!$W$2:$AT$204,$AI56,11)&gt;0,IF(AND($H56&lt;&gt;"",$H56&lt;=EOMONTH(T$3,0),$I56&gt;=T$3),"B","U"),IF(AND($H56&lt;&gt;"",$H56&lt;=EOMONTH(T$3,0),$I56&gt;=T$3),"D","")))</f>
        <v/>
      </c>
      <c r="U56" s="204" t="str">
        <f>IF($AI56="","",IF(INDEX('Roadmap Calc (Don’t Touch)'!$W$2:$AT$204,$AI56,12)&gt;0,IF(AND($H56&lt;&gt;"",$H56&lt;=EOMONTH(U$3,0),$I56&gt;=U$3),"B","U"),IF(AND($H56&lt;&gt;"",$H56&lt;=EOMONTH(U$3,0),$I56&gt;=U$3),"D","")))</f>
        <v/>
      </c>
      <c r="V56" s="204" t="str">
        <f>IF($AI56="","",IF(INDEX('Roadmap Calc (Don’t Touch)'!$W$2:$AT$204,$AI56,13)&gt;0,IF(AND($H56&lt;&gt;"",$H56&lt;=EOMONTH(V$3,0),$I56&gt;=V$3),"B","U"),IF(AND($H56&lt;&gt;"",$H56&lt;=EOMONTH(V$3,0),$I56&gt;=V$3),"D","")))</f>
        <v/>
      </c>
      <c r="W56" s="204" t="str">
        <f>IF($AI56="","",IF(INDEX('Roadmap Calc (Don’t Touch)'!$W$2:$AT$204,$AI56,14)&gt;0,IF(AND($H56&lt;&gt;"",$H56&lt;=EOMONTH(W$3,0),$I56&gt;=W$3),"B","U"),IF(AND($H56&lt;&gt;"",$H56&lt;=EOMONTH(W$3,0),$I56&gt;=W$3),"D","")))</f>
        <v/>
      </c>
      <c r="X56" s="204" t="str">
        <f>IF($AI56="","",IF(INDEX('Roadmap Calc (Don’t Touch)'!$W$2:$AT$204,$AI56,15)&gt;0,IF(AND($H56&lt;&gt;"",$H56&lt;=EOMONTH(X$3,0),$I56&gt;=X$3),"B","U"),IF(AND($H56&lt;&gt;"",$H56&lt;=EOMONTH(X$3,0),$I56&gt;=X$3),"D","")))</f>
        <v/>
      </c>
      <c r="Y56" s="204" t="str">
        <f>IF($AI56="","",IF(INDEX('Roadmap Calc (Don’t Touch)'!$W$2:$AT$204,$AI56,16)&gt;0,IF(AND($H56&lt;&gt;"",$H56&lt;=EOMONTH(Y$3,0),$I56&gt;=Y$3),"B","U"),IF(AND($H56&lt;&gt;"",$H56&lt;=EOMONTH(Y$3,0),$I56&gt;=Y$3),"D","")))</f>
        <v/>
      </c>
      <c r="Z56" s="204" t="str">
        <f>IF($AI56="","",IF(INDEX('Roadmap Calc (Don’t Touch)'!$W$2:$AT$204,$AI56,17)&gt;0,IF(AND($H56&lt;&gt;"",$H56&lt;=EOMONTH(Z$3,0),$I56&gt;=Z$3),"B","U"),IF(AND($H56&lt;&gt;"",$H56&lt;=EOMONTH(Z$3,0),$I56&gt;=Z$3),"D","")))</f>
        <v/>
      </c>
      <c r="AA56" s="204" t="str">
        <f>IF($AI56="","",IF(INDEX('Roadmap Calc (Don’t Touch)'!$W$2:$AT$204,$AI56,18)&gt;0,IF(AND($H56&lt;&gt;"",$H56&lt;=EOMONTH(AA$3,0),$I56&gt;=AA$3),"B","U"),IF(AND($H56&lt;&gt;"",$H56&lt;=EOMONTH(AA$3,0),$I56&gt;=AA$3),"D","")))</f>
        <v/>
      </c>
      <c r="AB56" s="204" t="str">
        <f>IF($AI56="","",IF(INDEX('Roadmap Calc (Don’t Touch)'!$W$2:$AT$204,$AI56,19)&gt;0,IF(AND($H56&lt;&gt;"",$H56&lt;=EOMONTH(AB$3,0),$I56&gt;=AB$3),"B","U"),IF(AND($H56&lt;&gt;"",$H56&lt;=EOMONTH(AB$3,0),$I56&gt;=AB$3),"D","")))</f>
        <v/>
      </c>
      <c r="AC56" s="204" t="str">
        <f>IF($AI56="","",IF(INDEX('Roadmap Calc (Don’t Touch)'!$W$2:$AT$204,$AI56,20)&gt;0,IF(AND($H56&lt;&gt;"",$H56&lt;=EOMONTH(AC$3,0),$I56&gt;=AC$3),"B","U"),IF(AND($H56&lt;&gt;"",$H56&lt;=EOMONTH(AC$3,0),$I56&gt;=AC$3),"D","")))</f>
        <v/>
      </c>
      <c r="AD56" s="204" t="str">
        <f>IF($AI56="","",IF(INDEX('Roadmap Calc (Don’t Touch)'!$W$2:$AT$204,$AI56,21)&gt;0,IF(AND($H56&lt;&gt;"",$H56&lt;=EOMONTH(AD$3,0),$I56&gt;=AD$3),"B","U"),IF(AND($H56&lt;&gt;"",$H56&lt;=EOMONTH(AD$3,0),$I56&gt;=AD$3),"D","")))</f>
        <v/>
      </c>
      <c r="AE56" s="204" t="str">
        <f>IF($AI56="","",IF(INDEX('Roadmap Calc (Don’t Touch)'!$W$2:$AT$204,$AI56,22)&gt;0,IF(AND($H56&lt;&gt;"",$H56&lt;=EOMONTH(AE$3,0),$I56&gt;=AE$3),"B","U"),IF(AND($H56&lt;&gt;"",$H56&lt;=EOMONTH(AE$3,0),$I56&gt;=AE$3),"D","")))</f>
        <v/>
      </c>
      <c r="AF56" s="204" t="str">
        <f>IF($AI56="","",IF(INDEX('Roadmap Calc (Don’t Touch)'!$W$2:$AT$204,$AI56,23)&gt;0,IF(AND($H56&lt;&gt;"",$H56&lt;=EOMONTH(AF$3,0),$I56&gt;=AF$3),"B","U"),IF(AND($H56&lt;&gt;"",$H56&lt;=EOMONTH(AF$3,0),$I56&gt;=AF$3),"D","")))</f>
        <v/>
      </c>
      <c r="AG56" s="204" t="str">
        <f>IF($AI56="","",IF(INDEX('Roadmap Calc (Don’t Touch)'!$W$2:$AT$204,$AI56,24)&gt;0,IF(AND($H56&lt;&gt;"",$H56&lt;=EOMONTH(AG$3,0),$I56&gt;=AG$3),"B","U"),IF(AND($H56&lt;&gt;"",$H56&lt;=EOMONTH(AG$3,0),$I56&gt;=AG$3),"D","")))</f>
        <v/>
      </c>
      <c r="AH56" s="180" t="str">
        <f>IF($AI56="","",INDEX('Roadmap Calc (Don’t Touch)'!$D$2:$D$204,$AI56))</f>
        <v/>
      </c>
      <c r="AI56" s="180" t="str">
        <f>IFERROR(MATCH(50,'Roadmap Calc (Don’t Touch)'!$O$2:$O$204,0),"")</f>
        <v/>
      </c>
    </row>
    <row r="57" spans="1:35" ht="17" customHeight="1" x14ac:dyDescent="0.25">
      <c r="A57" s="197" t="str">
        <f t="shared" si="1"/>
        <v/>
      </c>
      <c r="B57" s="198" t="str">
        <f>IF($AI57="","",INDEX('Roadmap Calc (Don’t Touch)'!$B$2:$B$204,$AI57))</f>
        <v/>
      </c>
      <c r="C57" s="199" t="str">
        <f>IF($AI57="","",INDEX('Roadmap Calc (Don’t Touch)'!$E$2:$E$204,$AI57))</f>
        <v/>
      </c>
      <c r="D57" s="200" t="str">
        <f>IF($AI57="","",INDEX('Roadmap Calc (Don’t Touch)'!$F$2:$F$204,$AI57))</f>
        <v/>
      </c>
      <c r="E57" s="201" t="str">
        <f>IF($AI57="","",IF(ISNUMBER(INDEX('Roadmap Calc (Don’t Touch)'!$G$2:$G$204,$AI57)),INDEX('Roadmap Calc (Don’t Touch)'!$G$2:$G$204,$AI57),""))</f>
        <v/>
      </c>
      <c r="F57" s="201" t="str">
        <f>IF($AI57="","",IF(ISNUMBER(INDEX('Roadmap Calc (Don’t Touch)'!$H$2:$H$204,$AI57)),INDEX('Roadmap Calc (Don’t Touch)'!$H$2:$H$204,$AI57),""))</f>
        <v/>
      </c>
      <c r="G57" s="202" t="str">
        <f>IF($AI57="","",INDEX('Roadmap Calc (Don’t Touch)'!$S$2:$S$204,$AI57))</f>
        <v/>
      </c>
      <c r="H57" s="203" t="str">
        <f>IF($AI57="","",IF(ISNUMBER(INDEX('Roadmap Calc (Don’t Touch)'!$I$2:$I$204,$AI57)),INDEX('Roadmap Calc (Don’t Touch)'!$I$2:$I$204,$AI57),""))</f>
        <v/>
      </c>
      <c r="I57" s="203" t="str">
        <f>IF($AI57="","",IF(ISNUMBER(INDEX('Roadmap Calc (Don’t Touch)'!$J$2:$J$204,$AI57)),INDEX('Roadmap Calc (Don’t Touch)'!$J$2:$J$204,$AI57),""))</f>
        <v/>
      </c>
      <c r="J57" s="204" t="str">
        <f>IF($AI57="","",IF(INDEX('Roadmap Calc (Don’t Touch)'!$W$2:$AT$204,$AI57,1)&gt;0,IF(AND($H57&lt;&gt;"",$H57&lt;=EOMONTH(J$3,0),$I57&gt;=J$3),"B","U"),IF(AND($H57&lt;&gt;"",$H57&lt;=EOMONTH(J$3,0),$I57&gt;=J$3),"D","")))</f>
        <v/>
      </c>
      <c r="K57" s="204" t="str">
        <f>IF($AI57="","",IF(INDEX('Roadmap Calc (Don’t Touch)'!$W$2:$AT$204,$AI57,2)&gt;0,IF(AND($H57&lt;&gt;"",$H57&lt;=EOMONTH(K$3,0),$I57&gt;=K$3),"B","U"),IF(AND($H57&lt;&gt;"",$H57&lt;=EOMONTH(K$3,0),$I57&gt;=K$3),"D","")))</f>
        <v/>
      </c>
      <c r="L57" s="204" t="str">
        <f>IF($AI57="","",IF(INDEX('Roadmap Calc (Don’t Touch)'!$W$2:$AT$204,$AI57,3)&gt;0,IF(AND($H57&lt;&gt;"",$H57&lt;=EOMONTH(L$3,0),$I57&gt;=L$3),"B","U"),IF(AND($H57&lt;&gt;"",$H57&lt;=EOMONTH(L$3,0),$I57&gt;=L$3),"D","")))</f>
        <v/>
      </c>
      <c r="M57" s="204" t="str">
        <f>IF($AI57="","",IF(INDEX('Roadmap Calc (Don’t Touch)'!$W$2:$AT$204,$AI57,4)&gt;0,IF(AND($H57&lt;&gt;"",$H57&lt;=EOMONTH(M$3,0),$I57&gt;=M$3),"B","U"),IF(AND($H57&lt;&gt;"",$H57&lt;=EOMONTH(M$3,0),$I57&gt;=M$3),"D","")))</f>
        <v/>
      </c>
      <c r="N57" s="204" t="str">
        <f>IF($AI57="","",IF(INDEX('Roadmap Calc (Don’t Touch)'!$W$2:$AT$204,$AI57,5)&gt;0,IF(AND($H57&lt;&gt;"",$H57&lt;=EOMONTH(N$3,0),$I57&gt;=N$3),"B","U"),IF(AND($H57&lt;&gt;"",$H57&lt;=EOMONTH(N$3,0),$I57&gt;=N$3),"D","")))</f>
        <v/>
      </c>
      <c r="O57" s="204" t="str">
        <f>IF($AI57="","",IF(INDEX('Roadmap Calc (Don’t Touch)'!$W$2:$AT$204,$AI57,6)&gt;0,IF(AND($H57&lt;&gt;"",$H57&lt;=EOMONTH(O$3,0),$I57&gt;=O$3),"B","U"),IF(AND($H57&lt;&gt;"",$H57&lt;=EOMONTH(O$3,0),$I57&gt;=O$3),"D","")))</f>
        <v/>
      </c>
      <c r="P57" s="204" t="str">
        <f>IF($AI57="","",IF(INDEX('Roadmap Calc (Don’t Touch)'!$W$2:$AT$204,$AI57,7)&gt;0,IF(AND($H57&lt;&gt;"",$H57&lt;=EOMONTH(P$3,0),$I57&gt;=P$3),"B","U"),IF(AND($H57&lt;&gt;"",$H57&lt;=EOMONTH(P$3,0),$I57&gt;=P$3),"D","")))</f>
        <v/>
      </c>
      <c r="Q57" s="204" t="str">
        <f>IF($AI57="","",IF(INDEX('Roadmap Calc (Don’t Touch)'!$W$2:$AT$204,$AI57,8)&gt;0,IF(AND($H57&lt;&gt;"",$H57&lt;=EOMONTH(Q$3,0),$I57&gt;=Q$3),"B","U"),IF(AND($H57&lt;&gt;"",$H57&lt;=EOMONTH(Q$3,0),$I57&gt;=Q$3),"D","")))</f>
        <v/>
      </c>
      <c r="R57" s="204" t="str">
        <f>IF($AI57="","",IF(INDEX('Roadmap Calc (Don’t Touch)'!$W$2:$AT$204,$AI57,9)&gt;0,IF(AND($H57&lt;&gt;"",$H57&lt;=EOMONTH(R$3,0),$I57&gt;=R$3),"B","U"),IF(AND($H57&lt;&gt;"",$H57&lt;=EOMONTH(R$3,0),$I57&gt;=R$3),"D","")))</f>
        <v/>
      </c>
      <c r="S57" s="204" t="str">
        <f>IF($AI57="","",IF(INDEX('Roadmap Calc (Don’t Touch)'!$W$2:$AT$204,$AI57,10)&gt;0,IF(AND($H57&lt;&gt;"",$H57&lt;=EOMONTH(S$3,0),$I57&gt;=S$3),"B","U"),IF(AND($H57&lt;&gt;"",$H57&lt;=EOMONTH(S$3,0),$I57&gt;=S$3),"D","")))</f>
        <v/>
      </c>
      <c r="T57" s="204" t="str">
        <f>IF($AI57="","",IF(INDEX('Roadmap Calc (Don’t Touch)'!$W$2:$AT$204,$AI57,11)&gt;0,IF(AND($H57&lt;&gt;"",$H57&lt;=EOMONTH(T$3,0),$I57&gt;=T$3),"B","U"),IF(AND($H57&lt;&gt;"",$H57&lt;=EOMONTH(T$3,0),$I57&gt;=T$3),"D","")))</f>
        <v/>
      </c>
      <c r="U57" s="204" t="str">
        <f>IF($AI57="","",IF(INDEX('Roadmap Calc (Don’t Touch)'!$W$2:$AT$204,$AI57,12)&gt;0,IF(AND($H57&lt;&gt;"",$H57&lt;=EOMONTH(U$3,0),$I57&gt;=U$3),"B","U"),IF(AND($H57&lt;&gt;"",$H57&lt;=EOMONTH(U$3,0),$I57&gt;=U$3),"D","")))</f>
        <v/>
      </c>
      <c r="V57" s="204" t="str">
        <f>IF($AI57="","",IF(INDEX('Roadmap Calc (Don’t Touch)'!$W$2:$AT$204,$AI57,13)&gt;0,IF(AND($H57&lt;&gt;"",$H57&lt;=EOMONTH(V$3,0),$I57&gt;=V$3),"B","U"),IF(AND($H57&lt;&gt;"",$H57&lt;=EOMONTH(V$3,0),$I57&gt;=V$3),"D","")))</f>
        <v/>
      </c>
      <c r="W57" s="204" t="str">
        <f>IF($AI57="","",IF(INDEX('Roadmap Calc (Don’t Touch)'!$W$2:$AT$204,$AI57,14)&gt;0,IF(AND($H57&lt;&gt;"",$H57&lt;=EOMONTH(W$3,0),$I57&gt;=W$3),"B","U"),IF(AND($H57&lt;&gt;"",$H57&lt;=EOMONTH(W$3,0),$I57&gt;=W$3),"D","")))</f>
        <v/>
      </c>
      <c r="X57" s="204" t="str">
        <f>IF($AI57="","",IF(INDEX('Roadmap Calc (Don’t Touch)'!$W$2:$AT$204,$AI57,15)&gt;0,IF(AND($H57&lt;&gt;"",$H57&lt;=EOMONTH(X$3,0),$I57&gt;=X$3),"B","U"),IF(AND($H57&lt;&gt;"",$H57&lt;=EOMONTH(X$3,0),$I57&gt;=X$3),"D","")))</f>
        <v/>
      </c>
      <c r="Y57" s="204" t="str">
        <f>IF($AI57="","",IF(INDEX('Roadmap Calc (Don’t Touch)'!$W$2:$AT$204,$AI57,16)&gt;0,IF(AND($H57&lt;&gt;"",$H57&lt;=EOMONTH(Y$3,0),$I57&gt;=Y$3),"B","U"),IF(AND($H57&lt;&gt;"",$H57&lt;=EOMONTH(Y$3,0),$I57&gt;=Y$3),"D","")))</f>
        <v/>
      </c>
      <c r="Z57" s="204" t="str">
        <f>IF($AI57="","",IF(INDEX('Roadmap Calc (Don’t Touch)'!$W$2:$AT$204,$AI57,17)&gt;0,IF(AND($H57&lt;&gt;"",$H57&lt;=EOMONTH(Z$3,0),$I57&gt;=Z$3),"B","U"),IF(AND($H57&lt;&gt;"",$H57&lt;=EOMONTH(Z$3,0),$I57&gt;=Z$3),"D","")))</f>
        <v/>
      </c>
      <c r="AA57" s="204" t="str">
        <f>IF($AI57="","",IF(INDEX('Roadmap Calc (Don’t Touch)'!$W$2:$AT$204,$AI57,18)&gt;0,IF(AND($H57&lt;&gt;"",$H57&lt;=EOMONTH(AA$3,0),$I57&gt;=AA$3),"B","U"),IF(AND($H57&lt;&gt;"",$H57&lt;=EOMONTH(AA$3,0),$I57&gt;=AA$3),"D","")))</f>
        <v/>
      </c>
      <c r="AB57" s="204" t="str">
        <f>IF($AI57="","",IF(INDEX('Roadmap Calc (Don’t Touch)'!$W$2:$AT$204,$AI57,19)&gt;0,IF(AND($H57&lt;&gt;"",$H57&lt;=EOMONTH(AB$3,0),$I57&gt;=AB$3),"B","U"),IF(AND($H57&lt;&gt;"",$H57&lt;=EOMONTH(AB$3,0),$I57&gt;=AB$3),"D","")))</f>
        <v/>
      </c>
      <c r="AC57" s="204" t="str">
        <f>IF($AI57="","",IF(INDEX('Roadmap Calc (Don’t Touch)'!$W$2:$AT$204,$AI57,20)&gt;0,IF(AND($H57&lt;&gt;"",$H57&lt;=EOMONTH(AC$3,0),$I57&gt;=AC$3),"B","U"),IF(AND($H57&lt;&gt;"",$H57&lt;=EOMONTH(AC$3,0),$I57&gt;=AC$3),"D","")))</f>
        <v/>
      </c>
      <c r="AD57" s="204" t="str">
        <f>IF($AI57="","",IF(INDEX('Roadmap Calc (Don’t Touch)'!$W$2:$AT$204,$AI57,21)&gt;0,IF(AND($H57&lt;&gt;"",$H57&lt;=EOMONTH(AD$3,0),$I57&gt;=AD$3),"B","U"),IF(AND($H57&lt;&gt;"",$H57&lt;=EOMONTH(AD$3,0),$I57&gt;=AD$3),"D","")))</f>
        <v/>
      </c>
      <c r="AE57" s="204" t="str">
        <f>IF($AI57="","",IF(INDEX('Roadmap Calc (Don’t Touch)'!$W$2:$AT$204,$AI57,22)&gt;0,IF(AND($H57&lt;&gt;"",$H57&lt;=EOMONTH(AE$3,0),$I57&gt;=AE$3),"B","U"),IF(AND($H57&lt;&gt;"",$H57&lt;=EOMONTH(AE$3,0),$I57&gt;=AE$3),"D","")))</f>
        <v/>
      </c>
      <c r="AF57" s="204" t="str">
        <f>IF($AI57="","",IF(INDEX('Roadmap Calc (Don’t Touch)'!$W$2:$AT$204,$AI57,23)&gt;0,IF(AND($H57&lt;&gt;"",$H57&lt;=EOMONTH(AF$3,0),$I57&gt;=AF$3),"B","U"),IF(AND($H57&lt;&gt;"",$H57&lt;=EOMONTH(AF$3,0),$I57&gt;=AF$3),"D","")))</f>
        <v/>
      </c>
      <c r="AG57" s="204" t="str">
        <f>IF($AI57="","",IF(INDEX('Roadmap Calc (Don’t Touch)'!$W$2:$AT$204,$AI57,24)&gt;0,IF(AND($H57&lt;&gt;"",$H57&lt;=EOMONTH(AG$3,0),$I57&gt;=AG$3),"B","U"),IF(AND($H57&lt;&gt;"",$H57&lt;=EOMONTH(AG$3,0),$I57&gt;=AG$3),"D","")))</f>
        <v/>
      </c>
      <c r="AH57" s="180" t="str">
        <f>IF($AI57="","",INDEX('Roadmap Calc (Don’t Touch)'!$D$2:$D$204,$AI57))</f>
        <v/>
      </c>
      <c r="AI57" s="180" t="str">
        <f>IFERROR(MATCH(51,'Roadmap Calc (Don’t Touch)'!$O$2:$O$204,0),"")</f>
        <v/>
      </c>
    </row>
    <row r="58" spans="1:35" ht="17" customHeight="1" x14ac:dyDescent="0.25">
      <c r="A58" s="197" t="str">
        <f t="shared" si="1"/>
        <v/>
      </c>
      <c r="B58" s="198" t="str">
        <f>IF($AI58="","",INDEX('Roadmap Calc (Don’t Touch)'!$B$2:$B$204,$AI58))</f>
        <v/>
      </c>
      <c r="C58" s="199" t="str">
        <f>IF($AI58="","",INDEX('Roadmap Calc (Don’t Touch)'!$E$2:$E$204,$AI58))</f>
        <v/>
      </c>
      <c r="D58" s="200" t="str">
        <f>IF($AI58="","",INDEX('Roadmap Calc (Don’t Touch)'!$F$2:$F$204,$AI58))</f>
        <v/>
      </c>
      <c r="E58" s="201" t="str">
        <f>IF($AI58="","",IF(ISNUMBER(INDEX('Roadmap Calc (Don’t Touch)'!$G$2:$G$204,$AI58)),INDEX('Roadmap Calc (Don’t Touch)'!$G$2:$G$204,$AI58),""))</f>
        <v/>
      </c>
      <c r="F58" s="201" t="str">
        <f>IF($AI58="","",IF(ISNUMBER(INDEX('Roadmap Calc (Don’t Touch)'!$H$2:$H$204,$AI58)),INDEX('Roadmap Calc (Don’t Touch)'!$H$2:$H$204,$AI58),""))</f>
        <v/>
      </c>
      <c r="G58" s="202" t="str">
        <f>IF($AI58="","",INDEX('Roadmap Calc (Don’t Touch)'!$S$2:$S$204,$AI58))</f>
        <v/>
      </c>
      <c r="H58" s="203" t="str">
        <f>IF($AI58="","",IF(ISNUMBER(INDEX('Roadmap Calc (Don’t Touch)'!$I$2:$I$204,$AI58)),INDEX('Roadmap Calc (Don’t Touch)'!$I$2:$I$204,$AI58),""))</f>
        <v/>
      </c>
      <c r="I58" s="203" t="str">
        <f>IF($AI58="","",IF(ISNUMBER(INDEX('Roadmap Calc (Don’t Touch)'!$J$2:$J$204,$AI58)),INDEX('Roadmap Calc (Don’t Touch)'!$J$2:$J$204,$AI58),""))</f>
        <v/>
      </c>
      <c r="J58" s="204" t="str">
        <f>IF($AI58="","",IF(INDEX('Roadmap Calc (Don’t Touch)'!$W$2:$AT$204,$AI58,1)&gt;0,IF(AND($H58&lt;&gt;"",$H58&lt;=EOMONTH(J$3,0),$I58&gt;=J$3),"B","U"),IF(AND($H58&lt;&gt;"",$H58&lt;=EOMONTH(J$3,0),$I58&gt;=J$3),"D","")))</f>
        <v/>
      </c>
      <c r="K58" s="204" t="str">
        <f>IF($AI58="","",IF(INDEX('Roadmap Calc (Don’t Touch)'!$W$2:$AT$204,$AI58,2)&gt;0,IF(AND($H58&lt;&gt;"",$H58&lt;=EOMONTH(K$3,0),$I58&gt;=K$3),"B","U"),IF(AND($H58&lt;&gt;"",$H58&lt;=EOMONTH(K$3,0),$I58&gt;=K$3),"D","")))</f>
        <v/>
      </c>
      <c r="L58" s="204" t="str">
        <f>IF($AI58="","",IF(INDEX('Roadmap Calc (Don’t Touch)'!$W$2:$AT$204,$AI58,3)&gt;0,IF(AND($H58&lt;&gt;"",$H58&lt;=EOMONTH(L$3,0),$I58&gt;=L$3),"B","U"),IF(AND($H58&lt;&gt;"",$H58&lt;=EOMONTH(L$3,0),$I58&gt;=L$3),"D","")))</f>
        <v/>
      </c>
      <c r="M58" s="204" t="str">
        <f>IF($AI58="","",IF(INDEX('Roadmap Calc (Don’t Touch)'!$W$2:$AT$204,$AI58,4)&gt;0,IF(AND($H58&lt;&gt;"",$H58&lt;=EOMONTH(M$3,0),$I58&gt;=M$3),"B","U"),IF(AND($H58&lt;&gt;"",$H58&lt;=EOMONTH(M$3,0),$I58&gt;=M$3),"D","")))</f>
        <v/>
      </c>
      <c r="N58" s="204" t="str">
        <f>IF($AI58="","",IF(INDEX('Roadmap Calc (Don’t Touch)'!$W$2:$AT$204,$AI58,5)&gt;0,IF(AND($H58&lt;&gt;"",$H58&lt;=EOMONTH(N$3,0),$I58&gt;=N$3),"B","U"),IF(AND($H58&lt;&gt;"",$H58&lt;=EOMONTH(N$3,0),$I58&gt;=N$3),"D","")))</f>
        <v/>
      </c>
      <c r="O58" s="204" t="str">
        <f>IF($AI58="","",IF(INDEX('Roadmap Calc (Don’t Touch)'!$W$2:$AT$204,$AI58,6)&gt;0,IF(AND($H58&lt;&gt;"",$H58&lt;=EOMONTH(O$3,0),$I58&gt;=O$3),"B","U"),IF(AND($H58&lt;&gt;"",$H58&lt;=EOMONTH(O$3,0),$I58&gt;=O$3),"D","")))</f>
        <v/>
      </c>
      <c r="P58" s="204" t="str">
        <f>IF($AI58="","",IF(INDEX('Roadmap Calc (Don’t Touch)'!$W$2:$AT$204,$AI58,7)&gt;0,IF(AND($H58&lt;&gt;"",$H58&lt;=EOMONTH(P$3,0),$I58&gt;=P$3),"B","U"),IF(AND($H58&lt;&gt;"",$H58&lt;=EOMONTH(P$3,0),$I58&gt;=P$3),"D","")))</f>
        <v/>
      </c>
      <c r="Q58" s="204" t="str">
        <f>IF($AI58="","",IF(INDEX('Roadmap Calc (Don’t Touch)'!$W$2:$AT$204,$AI58,8)&gt;0,IF(AND($H58&lt;&gt;"",$H58&lt;=EOMONTH(Q$3,0),$I58&gt;=Q$3),"B","U"),IF(AND($H58&lt;&gt;"",$H58&lt;=EOMONTH(Q$3,0),$I58&gt;=Q$3),"D","")))</f>
        <v/>
      </c>
      <c r="R58" s="204" t="str">
        <f>IF($AI58="","",IF(INDEX('Roadmap Calc (Don’t Touch)'!$W$2:$AT$204,$AI58,9)&gt;0,IF(AND($H58&lt;&gt;"",$H58&lt;=EOMONTH(R$3,0),$I58&gt;=R$3),"B","U"),IF(AND($H58&lt;&gt;"",$H58&lt;=EOMONTH(R$3,0),$I58&gt;=R$3),"D","")))</f>
        <v/>
      </c>
      <c r="S58" s="204" t="str">
        <f>IF($AI58="","",IF(INDEX('Roadmap Calc (Don’t Touch)'!$W$2:$AT$204,$AI58,10)&gt;0,IF(AND($H58&lt;&gt;"",$H58&lt;=EOMONTH(S$3,0),$I58&gt;=S$3),"B","U"),IF(AND($H58&lt;&gt;"",$H58&lt;=EOMONTH(S$3,0),$I58&gt;=S$3),"D","")))</f>
        <v/>
      </c>
      <c r="T58" s="204" t="str">
        <f>IF($AI58="","",IF(INDEX('Roadmap Calc (Don’t Touch)'!$W$2:$AT$204,$AI58,11)&gt;0,IF(AND($H58&lt;&gt;"",$H58&lt;=EOMONTH(T$3,0),$I58&gt;=T$3),"B","U"),IF(AND($H58&lt;&gt;"",$H58&lt;=EOMONTH(T$3,0),$I58&gt;=T$3),"D","")))</f>
        <v/>
      </c>
      <c r="U58" s="204" t="str">
        <f>IF($AI58="","",IF(INDEX('Roadmap Calc (Don’t Touch)'!$W$2:$AT$204,$AI58,12)&gt;0,IF(AND($H58&lt;&gt;"",$H58&lt;=EOMONTH(U$3,0),$I58&gt;=U$3),"B","U"),IF(AND($H58&lt;&gt;"",$H58&lt;=EOMONTH(U$3,0),$I58&gt;=U$3),"D","")))</f>
        <v/>
      </c>
      <c r="V58" s="204" t="str">
        <f>IF($AI58="","",IF(INDEX('Roadmap Calc (Don’t Touch)'!$W$2:$AT$204,$AI58,13)&gt;0,IF(AND($H58&lt;&gt;"",$H58&lt;=EOMONTH(V$3,0),$I58&gt;=V$3),"B","U"),IF(AND($H58&lt;&gt;"",$H58&lt;=EOMONTH(V$3,0),$I58&gt;=V$3),"D","")))</f>
        <v/>
      </c>
      <c r="W58" s="204" t="str">
        <f>IF($AI58="","",IF(INDEX('Roadmap Calc (Don’t Touch)'!$W$2:$AT$204,$AI58,14)&gt;0,IF(AND($H58&lt;&gt;"",$H58&lt;=EOMONTH(W$3,0),$I58&gt;=W$3),"B","U"),IF(AND($H58&lt;&gt;"",$H58&lt;=EOMONTH(W$3,0),$I58&gt;=W$3),"D","")))</f>
        <v/>
      </c>
      <c r="X58" s="204" t="str">
        <f>IF($AI58="","",IF(INDEX('Roadmap Calc (Don’t Touch)'!$W$2:$AT$204,$AI58,15)&gt;0,IF(AND($H58&lt;&gt;"",$H58&lt;=EOMONTH(X$3,0),$I58&gt;=X$3),"B","U"),IF(AND($H58&lt;&gt;"",$H58&lt;=EOMONTH(X$3,0),$I58&gt;=X$3),"D","")))</f>
        <v/>
      </c>
      <c r="Y58" s="204" t="str">
        <f>IF($AI58="","",IF(INDEX('Roadmap Calc (Don’t Touch)'!$W$2:$AT$204,$AI58,16)&gt;0,IF(AND($H58&lt;&gt;"",$H58&lt;=EOMONTH(Y$3,0),$I58&gt;=Y$3),"B","U"),IF(AND($H58&lt;&gt;"",$H58&lt;=EOMONTH(Y$3,0),$I58&gt;=Y$3),"D","")))</f>
        <v/>
      </c>
      <c r="Z58" s="204" t="str">
        <f>IF($AI58="","",IF(INDEX('Roadmap Calc (Don’t Touch)'!$W$2:$AT$204,$AI58,17)&gt;0,IF(AND($H58&lt;&gt;"",$H58&lt;=EOMONTH(Z$3,0),$I58&gt;=Z$3),"B","U"),IF(AND($H58&lt;&gt;"",$H58&lt;=EOMONTH(Z$3,0),$I58&gt;=Z$3),"D","")))</f>
        <v/>
      </c>
      <c r="AA58" s="204" t="str">
        <f>IF($AI58="","",IF(INDEX('Roadmap Calc (Don’t Touch)'!$W$2:$AT$204,$AI58,18)&gt;0,IF(AND($H58&lt;&gt;"",$H58&lt;=EOMONTH(AA$3,0),$I58&gt;=AA$3),"B","U"),IF(AND($H58&lt;&gt;"",$H58&lt;=EOMONTH(AA$3,0),$I58&gt;=AA$3),"D","")))</f>
        <v/>
      </c>
      <c r="AB58" s="204" t="str">
        <f>IF($AI58="","",IF(INDEX('Roadmap Calc (Don’t Touch)'!$W$2:$AT$204,$AI58,19)&gt;0,IF(AND($H58&lt;&gt;"",$H58&lt;=EOMONTH(AB$3,0),$I58&gt;=AB$3),"B","U"),IF(AND($H58&lt;&gt;"",$H58&lt;=EOMONTH(AB$3,0),$I58&gt;=AB$3),"D","")))</f>
        <v/>
      </c>
      <c r="AC58" s="204" t="str">
        <f>IF($AI58="","",IF(INDEX('Roadmap Calc (Don’t Touch)'!$W$2:$AT$204,$AI58,20)&gt;0,IF(AND($H58&lt;&gt;"",$H58&lt;=EOMONTH(AC$3,0),$I58&gt;=AC$3),"B","U"),IF(AND($H58&lt;&gt;"",$H58&lt;=EOMONTH(AC$3,0),$I58&gt;=AC$3),"D","")))</f>
        <v/>
      </c>
      <c r="AD58" s="204" t="str">
        <f>IF($AI58="","",IF(INDEX('Roadmap Calc (Don’t Touch)'!$W$2:$AT$204,$AI58,21)&gt;0,IF(AND($H58&lt;&gt;"",$H58&lt;=EOMONTH(AD$3,0),$I58&gt;=AD$3),"B","U"),IF(AND($H58&lt;&gt;"",$H58&lt;=EOMONTH(AD$3,0),$I58&gt;=AD$3),"D","")))</f>
        <v/>
      </c>
      <c r="AE58" s="204" t="str">
        <f>IF($AI58="","",IF(INDEX('Roadmap Calc (Don’t Touch)'!$W$2:$AT$204,$AI58,22)&gt;0,IF(AND($H58&lt;&gt;"",$H58&lt;=EOMONTH(AE$3,0),$I58&gt;=AE$3),"B","U"),IF(AND($H58&lt;&gt;"",$H58&lt;=EOMONTH(AE$3,0),$I58&gt;=AE$3),"D","")))</f>
        <v/>
      </c>
      <c r="AF58" s="204" t="str">
        <f>IF($AI58="","",IF(INDEX('Roadmap Calc (Don’t Touch)'!$W$2:$AT$204,$AI58,23)&gt;0,IF(AND($H58&lt;&gt;"",$H58&lt;=EOMONTH(AF$3,0),$I58&gt;=AF$3),"B","U"),IF(AND($H58&lt;&gt;"",$H58&lt;=EOMONTH(AF$3,0),$I58&gt;=AF$3),"D","")))</f>
        <v/>
      </c>
      <c r="AG58" s="204" t="str">
        <f>IF($AI58="","",IF(INDEX('Roadmap Calc (Don’t Touch)'!$W$2:$AT$204,$AI58,24)&gt;0,IF(AND($H58&lt;&gt;"",$H58&lt;=EOMONTH(AG$3,0),$I58&gt;=AG$3),"B","U"),IF(AND($H58&lt;&gt;"",$H58&lt;=EOMONTH(AG$3,0),$I58&gt;=AG$3),"D","")))</f>
        <v/>
      </c>
      <c r="AH58" s="180" t="str">
        <f>IF($AI58="","",INDEX('Roadmap Calc (Don’t Touch)'!$D$2:$D$204,$AI58))</f>
        <v/>
      </c>
      <c r="AI58" s="180" t="str">
        <f>IFERROR(MATCH(52,'Roadmap Calc (Don’t Touch)'!$O$2:$O$204,0),"")</f>
        <v/>
      </c>
    </row>
    <row r="59" spans="1:35" ht="17" customHeight="1" x14ac:dyDescent="0.25">
      <c r="A59" s="197" t="str">
        <f t="shared" si="1"/>
        <v/>
      </c>
      <c r="B59" s="198" t="str">
        <f>IF($AI59="","",INDEX('Roadmap Calc (Don’t Touch)'!$B$2:$B$204,$AI59))</f>
        <v/>
      </c>
      <c r="C59" s="199" t="str">
        <f>IF($AI59="","",INDEX('Roadmap Calc (Don’t Touch)'!$E$2:$E$204,$AI59))</f>
        <v/>
      </c>
      <c r="D59" s="200" t="str">
        <f>IF($AI59="","",INDEX('Roadmap Calc (Don’t Touch)'!$F$2:$F$204,$AI59))</f>
        <v/>
      </c>
      <c r="E59" s="201" t="str">
        <f>IF($AI59="","",IF(ISNUMBER(INDEX('Roadmap Calc (Don’t Touch)'!$G$2:$G$204,$AI59)),INDEX('Roadmap Calc (Don’t Touch)'!$G$2:$G$204,$AI59),""))</f>
        <v/>
      </c>
      <c r="F59" s="201" t="str">
        <f>IF($AI59="","",IF(ISNUMBER(INDEX('Roadmap Calc (Don’t Touch)'!$H$2:$H$204,$AI59)),INDEX('Roadmap Calc (Don’t Touch)'!$H$2:$H$204,$AI59),""))</f>
        <v/>
      </c>
      <c r="G59" s="202" t="str">
        <f>IF($AI59="","",INDEX('Roadmap Calc (Don’t Touch)'!$S$2:$S$204,$AI59))</f>
        <v/>
      </c>
      <c r="H59" s="203" t="str">
        <f>IF($AI59="","",IF(ISNUMBER(INDEX('Roadmap Calc (Don’t Touch)'!$I$2:$I$204,$AI59)),INDEX('Roadmap Calc (Don’t Touch)'!$I$2:$I$204,$AI59),""))</f>
        <v/>
      </c>
      <c r="I59" s="203" t="str">
        <f>IF($AI59="","",IF(ISNUMBER(INDEX('Roadmap Calc (Don’t Touch)'!$J$2:$J$204,$AI59)),INDEX('Roadmap Calc (Don’t Touch)'!$J$2:$J$204,$AI59),""))</f>
        <v/>
      </c>
      <c r="J59" s="204" t="str">
        <f>IF($AI59="","",IF(INDEX('Roadmap Calc (Don’t Touch)'!$W$2:$AT$204,$AI59,1)&gt;0,IF(AND($H59&lt;&gt;"",$H59&lt;=EOMONTH(J$3,0),$I59&gt;=J$3),"B","U"),IF(AND($H59&lt;&gt;"",$H59&lt;=EOMONTH(J$3,0),$I59&gt;=J$3),"D","")))</f>
        <v/>
      </c>
      <c r="K59" s="204" t="str">
        <f>IF($AI59="","",IF(INDEX('Roadmap Calc (Don’t Touch)'!$W$2:$AT$204,$AI59,2)&gt;0,IF(AND($H59&lt;&gt;"",$H59&lt;=EOMONTH(K$3,0),$I59&gt;=K$3),"B","U"),IF(AND($H59&lt;&gt;"",$H59&lt;=EOMONTH(K$3,0),$I59&gt;=K$3),"D","")))</f>
        <v/>
      </c>
      <c r="L59" s="204" t="str">
        <f>IF($AI59="","",IF(INDEX('Roadmap Calc (Don’t Touch)'!$W$2:$AT$204,$AI59,3)&gt;0,IF(AND($H59&lt;&gt;"",$H59&lt;=EOMONTH(L$3,0),$I59&gt;=L$3),"B","U"),IF(AND($H59&lt;&gt;"",$H59&lt;=EOMONTH(L$3,0),$I59&gt;=L$3),"D","")))</f>
        <v/>
      </c>
      <c r="M59" s="226" t="str">
        <f>IF($AI59="","",IF(INDEX('Roadmap Calc (Don’t Touch)'!$W$2:$AT$204,$AI59,4)&gt;0,IF(AND($H59&lt;&gt;"",$H59&lt;=EOMONTH(M$3,0),$I59&gt;=M$3),"B","U"),IF(AND($H59&lt;&gt;"",$H59&lt;=EOMONTH(M$3,0),$I59&gt;=M$3),"D","")))</f>
        <v/>
      </c>
      <c r="N59" s="204" t="str">
        <f>IF($AI59="","",IF(INDEX('Roadmap Calc (Don’t Touch)'!$W$2:$AT$204,$AI59,5)&gt;0,IF(AND($H59&lt;&gt;"",$H59&lt;=EOMONTH(N$3,0),$I59&gt;=N$3),"B","U"),IF(AND($H59&lt;&gt;"",$H59&lt;=EOMONTH(N$3,0),$I59&gt;=N$3),"D","")))</f>
        <v/>
      </c>
      <c r="O59" s="204" t="str">
        <f>IF($AI59="","",IF(INDEX('Roadmap Calc (Don’t Touch)'!$W$2:$AT$204,$AI59,6)&gt;0,IF(AND($H59&lt;&gt;"",$H59&lt;=EOMONTH(O$3,0),$I59&gt;=O$3),"B","U"),IF(AND($H59&lt;&gt;"",$H59&lt;=EOMONTH(O$3,0),$I59&gt;=O$3),"D","")))</f>
        <v/>
      </c>
      <c r="P59" s="204" t="str">
        <f>IF($AI59="","",IF(INDEX('Roadmap Calc (Don’t Touch)'!$W$2:$AT$204,$AI59,7)&gt;0,IF(AND($H59&lt;&gt;"",$H59&lt;=EOMONTH(P$3,0),$I59&gt;=P$3),"B","U"),IF(AND($H59&lt;&gt;"",$H59&lt;=EOMONTH(P$3,0),$I59&gt;=P$3),"D","")))</f>
        <v/>
      </c>
      <c r="Q59" s="204" t="str">
        <f>IF($AI59="","",IF(INDEX('Roadmap Calc (Don’t Touch)'!$W$2:$AT$204,$AI59,8)&gt;0,IF(AND($H59&lt;&gt;"",$H59&lt;=EOMONTH(Q$3,0),$I59&gt;=Q$3),"B","U"),IF(AND($H59&lt;&gt;"",$H59&lt;=EOMONTH(Q$3,0),$I59&gt;=Q$3),"D","")))</f>
        <v/>
      </c>
      <c r="R59" s="204" t="str">
        <f>IF($AI59="","",IF(INDEX('Roadmap Calc (Don’t Touch)'!$W$2:$AT$204,$AI59,9)&gt;0,IF(AND($H59&lt;&gt;"",$H59&lt;=EOMONTH(R$3,0),$I59&gt;=R$3),"B","U"),IF(AND($H59&lt;&gt;"",$H59&lt;=EOMONTH(R$3,0),$I59&gt;=R$3),"D","")))</f>
        <v/>
      </c>
      <c r="S59" s="204" t="str">
        <f>IF($AI59="","",IF(INDEX('Roadmap Calc (Don’t Touch)'!$W$2:$AT$204,$AI59,10)&gt;0,IF(AND($H59&lt;&gt;"",$H59&lt;=EOMONTH(S$3,0),$I59&gt;=S$3),"B","U"),IF(AND($H59&lt;&gt;"",$H59&lt;=EOMONTH(S$3,0),$I59&gt;=S$3),"D","")))</f>
        <v/>
      </c>
      <c r="T59" s="204" t="str">
        <f>IF($AI59="","",IF(INDEX('Roadmap Calc (Don’t Touch)'!$W$2:$AT$204,$AI59,11)&gt;0,IF(AND($H59&lt;&gt;"",$H59&lt;=EOMONTH(T$3,0),$I59&gt;=T$3),"B","U"),IF(AND($H59&lt;&gt;"",$H59&lt;=EOMONTH(T$3,0),$I59&gt;=T$3),"D","")))</f>
        <v/>
      </c>
      <c r="U59" s="204" t="str">
        <f>IF($AI59="","",IF(INDEX('Roadmap Calc (Don’t Touch)'!$W$2:$AT$204,$AI59,12)&gt;0,IF(AND($H59&lt;&gt;"",$H59&lt;=EOMONTH(U$3,0),$I59&gt;=U$3),"B","U"),IF(AND($H59&lt;&gt;"",$H59&lt;=EOMONTH(U$3,0),$I59&gt;=U$3),"D","")))</f>
        <v/>
      </c>
      <c r="V59" s="204" t="str">
        <f>IF($AI59="","",IF(INDEX('Roadmap Calc (Don’t Touch)'!$W$2:$AT$204,$AI59,13)&gt;0,IF(AND($H59&lt;&gt;"",$H59&lt;=EOMONTH(V$3,0),$I59&gt;=V$3),"B","U"),IF(AND($H59&lt;&gt;"",$H59&lt;=EOMONTH(V$3,0),$I59&gt;=V$3),"D","")))</f>
        <v/>
      </c>
      <c r="W59" s="204" t="str">
        <f>IF($AI59="","",IF(INDEX('Roadmap Calc (Don’t Touch)'!$W$2:$AT$204,$AI59,14)&gt;0,IF(AND($H59&lt;&gt;"",$H59&lt;=EOMONTH(W$3,0),$I59&gt;=W$3),"B","U"),IF(AND($H59&lt;&gt;"",$H59&lt;=EOMONTH(W$3,0),$I59&gt;=W$3),"D","")))</f>
        <v/>
      </c>
      <c r="X59" s="204" t="str">
        <f>IF($AI59="","",IF(INDEX('Roadmap Calc (Don’t Touch)'!$W$2:$AT$204,$AI59,15)&gt;0,IF(AND($H59&lt;&gt;"",$H59&lt;=EOMONTH(X$3,0),$I59&gt;=X$3),"B","U"),IF(AND($H59&lt;&gt;"",$H59&lt;=EOMONTH(X$3,0),$I59&gt;=X$3),"D","")))</f>
        <v/>
      </c>
      <c r="Y59" s="204" t="str">
        <f>IF($AI59="","",IF(INDEX('Roadmap Calc (Don’t Touch)'!$W$2:$AT$204,$AI59,16)&gt;0,IF(AND($H59&lt;&gt;"",$H59&lt;=EOMONTH(Y$3,0),$I59&gt;=Y$3),"B","U"),IF(AND($H59&lt;&gt;"",$H59&lt;=EOMONTH(Y$3,0),$I59&gt;=Y$3),"D","")))</f>
        <v/>
      </c>
      <c r="Z59" s="204" t="str">
        <f>IF($AI59="","",IF(INDEX('Roadmap Calc (Don’t Touch)'!$W$2:$AT$204,$AI59,17)&gt;0,IF(AND($H59&lt;&gt;"",$H59&lt;=EOMONTH(Z$3,0),$I59&gt;=Z$3),"B","U"),IF(AND($H59&lt;&gt;"",$H59&lt;=EOMONTH(Z$3,0),$I59&gt;=Z$3),"D","")))</f>
        <v/>
      </c>
      <c r="AA59" s="204" t="str">
        <f>IF($AI59="","",IF(INDEX('Roadmap Calc (Don’t Touch)'!$W$2:$AT$204,$AI59,18)&gt;0,IF(AND($H59&lt;&gt;"",$H59&lt;=EOMONTH(AA$3,0),$I59&gt;=AA$3),"B","U"),IF(AND($H59&lt;&gt;"",$H59&lt;=EOMONTH(AA$3,0),$I59&gt;=AA$3),"D","")))</f>
        <v/>
      </c>
      <c r="AB59" s="204" t="str">
        <f>IF($AI59="","",IF(INDEX('Roadmap Calc (Don’t Touch)'!$W$2:$AT$204,$AI59,19)&gt;0,IF(AND($H59&lt;&gt;"",$H59&lt;=EOMONTH(AB$3,0),$I59&gt;=AB$3),"B","U"),IF(AND($H59&lt;&gt;"",$H59&lt;=EOMONTH(AB$3,0),$I59&gt;=AB$3),"D","")))</f>
        <v/>
      </c>
      <c r="AC59" s="204" t="str">
        <f>IF($AI59="","",IF(INDEX('Roadmap Calc (Don’t Touch)'!$W$2:$AT$204,$AI59,20)&gt;0,IF(AND($H59&lt;&gt;"",$H59&lt;=EOMONTH(AC$3,0),$I59&gt;=AC$3),"B","U"),IF(AND($H59&lt;&gt;"",$H59&lt;=EOMONTH(AC$3,0),$I59&gt;=AC$3),"D","")))</f>
        <v/>
      </c>
      <c r="AD59" s="204" t="str">
        <f>IF($AI59="","",IF(INDEX('Roadmap Calc (Don’t Touch)'!$W$2:$AT$204,$AI59,21)&gt;0,IF(AND($H59&lt;&gt;"",$H59&lt;=EOMONTH(AD$3,0),$I59&gt;=AD$3),"B","U"),IF(AND($H59&lt;&gt;"",$H59&lt;=EOMONTH(AD$3,0),$I59&gt;=AD$3),"D","")))</f>
        <v/>
      </c>
      <c r="AE59" s="204" t="str">
        <f>IF($AI59="","",IF(INDEX('Roadmap Calc (Don’t Touch)'!$W$2:$AT$204,$AI59,22)&gt;0,IF(AND($H59&lt;&gt;"",$H59&lt;=EOMONTH(AE$3,0),$I59&gt;=AE$3),"B","U"),IF(AND($H59&lt;&gt;"",$H59&lt;=EOMONTH(AE$3,0),$I59&gt;=AE$3),"D","")))</f>
        <v/>
      </c>
      <c r="AF59" s="204" t="str">
        <f>IF($AI59="","",IF(INDEX('Roadmap Calc (Don’t Touch)'!$W$2:$AT$204,$AI59,23)&gt;0,IF(AND($H59&lt;&gt;"",$H59&lt;=EOMONTH(AF$3,0),$I59&gt;=AF$3),"B","U"),IF(AND($H59&lt;&gt;"",$H59&lt;=EOMONTH(AF$3,0),$I59&gt;=AF$3),"D","")))</f>
        <v/>
      </c>
      <c r="AG59" s="204" t="str">
        <f>IF($AI59="","",IF(INDEX('Roadmap Calc (Don’t Touch)'!$W$2:$AT$204,$AI59,24)&gt;0,IF(AND($H59&lt;&gt;"",$H59&lt;=EOMONTH(AG$3,0),$I59&gt;=AG$3),"B","U"),IF(AND($H59&lt;&gt;"",$H59&lt;=EOMONTH(AG$3,0),$I59&gt;=AG$3),"D","")))</f>
        <v/>
      </c>
      <c r="AH59" s="180" t="str">
        <f>IF($AI59="","",INDEX('Roadmap Calc (Don’t Touch)'!$D$2:$D$204,$AI59))</f>
        <v/>
      </c>
      <c r="AI59" s="180" t="str">
        <f>IFERROR(MATCH(53,'Roadmap Calc (Don’t Touch)'!$O$2:$O$204,0),"")</f>
        <v/>
      </c>
    </row>
    <row r="60" spans="1:35" ht="17" customHeight="1" x14ac:dyDescent="0.25">
      <c r="A60" s="197" t="str">
        <f t="shared" si="1"/>
        <v/>
      </c>
      <c r="B60" s="198" t="str">
        <f>IF($AI60="","",INDEX('Roadmap Calc (Don’t Touch)'!$B$2:$B$204,$AI60))</f>
        <v/>
      </c>
      <c r="C60" s="199" t="str">
        <f>IF($AI60="","",INDEX('Roadmap Calc (Don’t Touch)'!$E$2:$E$204,$AI60))</f>
        <v/>
      </c>
      <c r="D60" s="200" t="str">
        <f>IF($AI60="","",INDEX('Roadmap Calc (Don’t Touch)'!$F$2:$F$204,$AI60))</f>
        <v/>
      </c>
      <c r="E60" s="201" t="str">
        <f>IF($AI60="","",IF(ISNUMBER(INDEX('Roadmap Calc (Don’t Touch)'!$G$2:$G$204,$AI60)),INDEX('Roadmap Calc (Don’t Touch)'!$G$2:$G$204,$AI60),""))</f>
        <v/>
      </c>
      <c r="F60" s="201" t="str">
        <f>IF($AI60="","",IF(ISNUMBER(INDEX('Roadmap Calc (Don’t Touch)'!$H$2:$H$204,$AI60)),INDEX('Roadmap Calc (Don’t Touch)'!$H$2:$H$204,$AI60),""))</f>
        <v/>
      </c>
      <c r="G60" s="202" t="str">
        <f>IF($AI60="","",INDEX('Roadmap Calc (Don’t Touch)'!$S$2:$S$204,$AI60))</f>
        <v/>
      </c>
      <c r="H60" s="203" t="str">
        <f>IF($AI60="","",IF(ISNUMBER(INDEX('Roadmap Calc (Don’t Touch)'!$I$2:$I$204,$AI60)),INDEX('Roadmap Calc (Don’t Touch)'!$I$2:$I$204,$AI60),""))</f>
        <v/>
      </c>
      <c r="I60" s="203" t="str">
        <f>IF($AI60="","",IF(ISNUMBER(INDEX('Roadmap Calc (Don’t Touch)'!$J$2:$J$204,$AI60)),INDEX('Roadmap Calc (Don’t Touch)'!$J$2:$J$204,$AI60),""))</f>
        <v/>
      </c>
      <c r="J60" s="204" t="str">
        <f>IF($AI60="","",IF(INDEX('Roadmap Calc (Don’t Touch)'!$W$2:$AT$204,$AI60,1)&gt;0,IF(AND($H60&lt;&gt;"",$H60&lt;=EOMONTH(J$3,0),$I60&gt;=J$3),"B","U"),IF(AND($H60&lt;&gt;"",$H60&lt;=EOMONTH(J$3,0),$I60&gt;=J$3),"D","")))</f>
        <v/>
      </c>
      <c r="K60" s="204" t="str">
        <f>IF($AI60="","",IF(INDEX('Roadmap Calc (Don’t Touch)'!$W$2:$AT$204,$AI60,2)&gt;0,IF(AND($H60&lt;&gt;"",$H60&lt;=EOMONTH(K$3,0),$I60&gt;=K$3),"B","U"),IF(AND($H60&lt;&gt;"",$H60&lt;=EOMONTH(K$3,0),$I60&gt;=K$3),"D","")))</f>
        <v/>
      </c>
      <c r="L60" s="204" t="str">
        <f>IF($AI60="","",IF(INDEX('Roadmap Calc (Don’t Touch)'!$W$2:$AT$204,$AI60,3)&gt;0,IF(AND($H60&lt;&gt;"",$H60&lt;=EOMONTH(L$3,0),$I60&gt;=L$3),"B","U"),IF(AND($H60&lt;&gt;"",$H60&lt;=EOMONTH(L$3,0),$I60&gt;=L$3),"D","")))</f>
        <v/>
      </c>
      <c r="M60" s="204" t="str">
        <f>IF($AI60="","",IF(INDEX('Roadmap Calc (Don’t Touch)'!$W$2:$AT$204,$AI60,4)&gt;0,IF(AND($H60&lt;&gt;"",$H60&lt;=EOMONTH(M$3,0),$I60&gt;=M$3),"B","U"),IF(AND($H60&lt;&gt;"",$H60&lt;=EOMONTH(M$3,0),$I60&gt;=M$3),"D","")))</f>
        <v/>
      </c>
      <c r="N60" s="204" t="str">
        <f>IF($AI60="","",IF(INDEX('Roadmap Calc (Don’t Touch)'!$W$2:$AT$204,$AI60,5)&gt;0,IF(AND($H60&lt;&gt;"",$H60&lt;=EOMONTH(N$3,0),$I60&gt;=N$3),"B","U"),IF(AND($H60&lt;&gt;"",$H60&lt;=EOMONTH(N$3,0),$I60&gt;=N$3),"D","")))</f>
        <v/>
      </c>
      <c r="O60" s="204" t="str">
        <f>IF($AI60="","",IF(INDEX('Roadmap Calc (Don’t Touch)'!$W$2:$AT$204,$AI60,6)&gt;0,IF(AND($H60&lt;&gt;"",$H60&lt;=EOMONTH(O$3,0),$I60&gt;=O$3),"B","U"),IF(AND($H60&lt;&gt;"",$H60&lt;=EOMONTH(O$3,0),$I60&gt;=O$3),"D","")))</f>
        <v/>
      </c>
      <c r="P60" s="204" t="str">
        <f>IF($AI60="","",IF(INDEX('Roadmap Calc (Don’t Touch)'!$W$2:$AT$204,$AI60,7)&gt;0,IF(AND($H60&lt;&gt;"",$H60&lt;=EOMONTH(P$3,0),$I60&gt;=P$3),"B","U"),IF(AND($H60&lt;&gt;"",$H60&lt;=EOMONTH(P$3,0),$I60&gt;=P$3),"D","")))</f>
        <v/>
      </c>
      <c r="Q60" s="204" t="str">
        <f>IF($AI60="","",IF(INDEX('Roadmap Calc (Don’t Touch)'!$W$2:$AT$204,$AI60,8)&gt;0,IF(AND($H60&lt;&gt;"",$H60&lt;=EOMONTH(Q$3,0),$I60&gt;=Q$3),"B","U"),IF(AND($H60&lt;&gt;"",$H60&lt;=EOMONTH(Q$3,0),$I60&gt;=Q$3),"D","")))</f>
        <v/>
      </c>
      <c r="R60" s="204" t="str">
        <f>IF($AI60="","",IF(INDEX('Roadmap Calc (Don’t Touch)'!$W$2:$AT$204,$AI60,9)&gt;0,IF(AND($H60&lt;&gt;"",$H60&lt;=EOMONTH(R$3,0),$I60&gt;=R$3),"B","U"),IF(AND($H60&lt;&gt;"",$H60&lt;=EOMONTH(R$3,0),$I60&gt;=R$3),"D","")))</f>
        <v/>
      </c>
      <c r="S60" s="204" t="str">
        <f>IF($AI60="","",IF(INDEX('Roadmap Calc (Don’t Touch)'!$W$2:$AT$204,$AI60,10)&gt;0,IF(AND($H60&lt;&gt;"",$H60&lt;=EOMONTH(S$3,0),$I60&gt;=S$3),"B","U"),IF(AND($H60&lt;&gt;"",$H60&lt;=EOMONTH(S$3,0),$I60&gt;=S$3),"D","")))</f>
        <v/>
      </c>
      <c r="T60" s="204" t="str">
        <f>IF($AI60="","",IF(INDEX('Roadmap Calc (Don’t Touch)'!$W$2:$AT$204,$AI60,11)&gt;0,IF(AND($H60&lt;&gt;"",$H60&lt;=EOMONTH(T$3,0),$I60&gt;=T$3),"B","U"),IF(AND($H60&lt;&gt;"",$H60&lt;=EOMONTH(T$3,0),$I60&gt;=T$3),"D","")))</f>
        <v/>
      </c>
      <c r="U60" s="204" t="str">
        <f>IF($AI60="","",IF(INDEX('Roadmap Calc (Don’t Touch)'!$W$2:$AT$204,$AI60,12)&gt;0,IF(AND($H60&lt;&gt;"",$H60&lt;=EOMONTH(U$3,0),$I60&gt;=U$3),"B","U"),IF(AND($H60&lt;&gt;"",$H60&lt;=EOMONTH(U$3,0),$I60&gt;=U$3),"D","")))</f>
        <v/>
      </c>
      <c r="V60" s="204" t="str">
        <f>IF($AI60="","",IF(INDEX('Roadmap Calc (Don’t Touch)'!$W$2:$AT$204,$AI60,13)&gt;0,IF(AND($H60&lt;&gt;"",$H60&lt;=EOMONTH(V$3,0),$I60&gt;=V$3),"B","U"),IF(AND($H60&lt;&gt;"",$H60&lt;=EOMONTH(V$3,0),$I60&gt;=V$3),"D","")))</f>
        <v/>
      </c>
      <c r="W60" s="204" t="str">
        <f>IF($AI60="","",IF(INDEX('Roadmap Calc (Don’t Touch)'!$W$2:$AT$204,$AI60,14)&gt;0,IF(AND($H60&lt;&gt;"",$H60&lt;=EOMONTH(W$3,0),$I60&gt;=W$3),"B","U"),IF(AND($H60&lt;&gt;"",$H60&lt;=EOMONTH(W$3,0),$I60&gt;=W$3),"D","")))</f>
        <v/>
      </c>
      <c r="X60" s="204" t="str">
        <f>IF($AI60="","",IF(INDEX('Roadmap Calc (Don’t Touch)'!$W$2:$AT$204,$AI60,15)&gt;0,IF(AND($H60&lt;&gt;"",$H60&lt;=EOMONTH(X$3,0),$I60&gt;=X$3),"B","U"),IF(AND($H60&lt;&gt;"",$H60&lt;=EOMONTH(X$3,0),$I60&gt;=X$3),"D","")))</f>
        <v/>
      </c>
      <c r="Y60" s="204" t="str">
        <f>IF($AI60="","",IF(INDEX('Roadmap Calc (Don’t Touch)'!$W$2:$AT$204,$AI60,16)&gt;0,IF(AND($H60&lt;&gt;"",$H60&lt;=EOMONTH(Y$3,0),$I60&gt;=Y$3),"B","U"),IF(AND($H60&lt;&gt;"",$H60&lt;=EOMONTH(Y$3,0),$I60&gt;=Y$3),"D","")))</f>
        <v/>
      </c>
      <c r="Z60" s="204" t="str">
        <f>IF($AI60="","",IF(INDEX('Roadmap Calc (Don’t Touch)'!$W$2:$AT$204,$AI60,17)&gt;0,IF(AND($H60&lt;&gt;"",$H60&lt;=EOMONTH(Z$3,0),$I60&gt;=Z$3),"B","U"),IF(AND($H60&lt;&gt;"",$H60&lt;=EOMONTH(Z$3,0),$I60&gt;=Z$3),"D","")))</f>
        <v/>
      </c>
      <c r="AA60" s="204" t="str">
        <f>IF($AI60="","",IF(INDEX('Roadmap Calc (Don’t Touch)'!$W$2:$AT$204,$AI60,18)&gt;0,IF(AND($H60&lt;&gt;"",$H60&lt;=EOMONTH(AA$3,0),$I60&gt;=AA$3),"B","U"),IF(AND($H60&lt;&gt;"",$H60&lt;=EOMONTH(AA$3,0),$I60&gt;=AA$3),"D","")))</f>
        <v/>
      </c>
      <c r="AB60" s="204" t="str">
        <f>IF($AI60="","",IF(INDEX('Roadmap Calc (Don’t Touch)'!$W$2:$AT$204,$AI60,19)&gt;0,IF(AND($H60&lt;&gt;"",$H60&lt;=EOMONTH(AB$3,0),$I60&gt;=AB$3),"B","U"),IF(AND($H60&lt;&gt;"",$H60&lt;=EOMONTH(AB$3,0),$I60&gt;=AB$3),"D","")))</f>
        <v/>
      </c>
      <c r="AC60" s="204" t="str">
        <f>IF($AI60="","",IF(INDEX('Roadmap Calc (Don’t Touch)'!$W$2:$AT$204,$AI60,20)&gt;0,IF(AND($H60&lt;&gt;"",$H60&lt;=EOMONTH(AC$3,0),$I60&gt;=AC$3),"B","U"),IF(AND($H60&lt;&gt;"",$H60&lt;=EOMONTH(AC$3,0),$I60&gt;=AC$3),"D","")))</f>
        <v/>
      </c>
      <c r="AD60" s="204" t="str">
        <f>IF($AI60="","",IF(INDEX('Roadmap Calc (Don’t Touch)'!$W$2:$AT$204,$AI60,21)&gt;0,IF(AND($H60&lt;&gt;"",$H60&lt;=EOMONTH(AD$3,0),$I60&gt;=AD$3),"B","U"),IF(AND($H60&lt;&gt;"",$H60&lt;=EOMONTH(AD$3,0),$I60&gt;=AD$3),"D","")))</f>
        <v/>
      </c>
      <c r="AE60" s="204" t="str">
        <f>IF($AI60="","",IF(INDEX('Roadmap Calc (Don’t Touch)'!$W$2:$AT$204,$AI60,22)&gt;0,IF(AND($H60&lt;&gt;"",$H60&lt;=EOMONTH(AE$3,0),$I60&gt;=AE$3),"B","U"),IF(AND($H60&lt;&gt;"",$H60&lt;=EOMONTH(AE$3,0),$I60&gt;=AE$3),"D","")))</f>
        <v/>
      </c>
      <c r="AF60" s="204" t="str">
        <f>IF($AI60="","",IF(INDEX('Roadmap Calc (Don’t Touch)'!$W$2:$AT$204,$AI60,23)&gt;0,IF(AND($H60&lt;&gt;"",$H60&lt;=EOMONTH(AF$3,0),$I60&gt;=AF$3),"B","U"),IF(AND($H60&lt;&gt;"",$H60&lt;=EOMONTH(AF$3,0),$I60&gt;=AF$3),"D","")))</f>
        <v/>
      </c>
      <c r="AG60" s="204" t="str">
        <f>IF($AI60="","",IF(INDEX('Roadmap Calc (Don’t Touch)'!$W$2:$AT$204,$AI60,24)&gt;0,IF(AND($H60&lt;&gt;"",$H60&lt;=EOMONTH(AG$3,0),$I60&gt;=AG$3),"B","U"),IF(AND($H60&lt;&gt;"",$H60&lt;=EOMONTH(AG$3,0),$I60&gt;=AG$3),"D","")))</f>
        <v/>
      </c>
      <c r="AH60" s="180" t="str">
        <f>IF($AI60="","",INDEX('Roadmap Calc (Don’t Touch)'!$D$2:$D$204,$AI60))</f>
        <v/>
      </c>
      <c r="AI60" s="180" t="str">
        <f>IFERROR(MATCH(54,'Roadmap Calc (Don’t Touch)'!$O$2:$O$204,0),"")</f>
        <v/>
      </c>
    </row>
    <row r="61" spans="1:35" ht="17" customHeight="1" x14ac:dyDescent="0.25">
      <c r="A61" s="197" t="str">
        <f t="shared" si="1"/>
        <v/>
      </c>
      <c r="B61" s="198" t="str">
        <f>IF($AI61="","",INDEX('Roadmap Calc (Don’t Touch)'!$B$2:$B$204,$AI61))</f>
        <v/>
      </c>
      <c r="C61" s="199" t="str">
        <f>IF($AI61="","",INDEX('Roadmap Calc (Don’t Touch)'!$E$2:$E$204,$AI61))</f>
        <v/>
      </c>
      <c r="D61" s="200" t="str">
        <f>IF($AI61="","",INDEX('Roadmap Calc (Don’t Touch)'!$F$2:$F$204,$AI61))</f>
        <v/>
      </c>
      <c r="E61" s="201" t="str">
        <f>IF($AI61="","",IF(ISNUMBER(INDEX('Roadmap Calc (Don’t Touch)'!$G$2:$G$204,$AI61)),INDEX('Roadmap Calc (Don’t Touch)'!$G$2:$G$204,$AI61),""))</f>
        <v/>
      </c>
      <c r="F61" s="201" t="str">
        <f>IF($AI61="","",IF(ISNUMBER(INDEX('Roadmap Calc (Don’t Touch)'!$H$2:$H$204,$AI61)),INDEX('Roadmap Calc (Don’t Touch)'!$H$2:$H$204,$AI61),""))</f>
        <v/>
      </c>
      <c r="G61" s="202" t="str">
        <f>IF($AI61="","",INDEX('Roadmap Calc (Don’t Touch)'!$S$2:$S$204,$AI61))</f>
        <v/>
      </c>
      <c r="H61" s="203" t="str">
        <f>IF($AI61="","",IF(ISNUMBER(INDEX('Roadmap Calc (Don’t Touch)'!$I$2:$I$204,$AI61)),INDEX('Roadmap Calc (Don’t Touch)'!$I$2:$I$204,$AI61),""))</f>
        <v/>
      </c>
      <c r="I61" s="203" t="str">
        <f>IF($AI61="","",IF(ISNUMBER(INDEX('Roadmap Calc (Don’t Touch)'!$J$2:$J$204,$AI61)),INDEX('Roadmap Calc (Don’t Touch)'!$J$2:$J$204,$AI61),""))</f>
        <v/>
      </c>
      <c r="J61" s="204" t="str">
        <f>IF($AI61="","",IF(INDEX('Roadmap Calc (Don’t Touch)'!$W$2:$AT$204,$AI61,1)&gt;0,IF(AND($H61&lt;&gt;"",$H61&lt;=EOMONTH(J$3,0),$I61&gt;=J$3),"B","U"),IF(AND($H61&lt;&gt;"",$H61&lt;=EOMONTH(J$3,0),$I61&gt;=J$3),"D","")))</f>
        <v/>
      </c>
      <c r="K61" s="204" t="str">
        <f>IF($AI61="","",IF(INDEX('Roadmap Calc (Don’t Touch)'!$W$2:$AT$204,$AI61,2)&gt;0,IF(AND($H61&lt;&gt;"",$H61&lt;=EOMONTH(K$3,0),$I61&gt;=K$3),"B","U"),IF(AND($H61&lt;&gt;"",$H61&lt;=EOMONTH(K$3,0),$I61&gt;=K$3),"D","")))</f>
        <v/>
      </c>
      <c r="L61" s="204" t="str">
        <f>IF($AI61="","",IF(INDEX('Roadmap Calc (Don’t Touch)'!$W$2:$AT$204,$AI61,3)&gt;0,IF(AND($H61&lt;&gt;"",$H61&lt;=EOMONTH(L$3,0),$I61&gt;=L$3),"B","U"),IF(AND($H61&lt;&gt;"",$H61&lt;=EOMONTH(L$3,0),$I61&gt;=L$3),"D","")))</f>
        <v/>
      </c>
      <c r="M61" s="204" t="str">
        <f>IF($AI61="","",IF(INDEX('Roadmap Calc (Don’t Touch)'!$W$2:$AT$204,$AI61,4)&gt;0,IF(AND($H61&lt;&gt;"",$H61&lt;=EOMONTH(M$3,0),$I61&gt;=M$3),"B","U"),IF(AND($H61&lt;&gt;"",$H61&lt;=EOMONTH(M$3,0),$I61&gt;=M$3),"D","")))</f>
        <v/>
      </c>
      <c r="N61" s="204" t="str">
        <f>IF($AI61="","",IF(INDEX('Roadmap Calc (Don’t Touch)'!$W$2:$AT$204,$AI61,5)&gt;0,IF(AND($H61&lt;&gt;"",$H61&lt;=EOMONTH(N$3,0),$I61&gt;=N$3),"B","U"),IF(AND($H61&lt;&gt;"",$H61&lt;=EOMONTH(N$3,0),$I61&gt;=N$3),"D","")))</f>
        <v/>
      </c>
      <c r="O61" s="204" t="str">
        <f>IF($AI61="","",IF(INDEX('Roadmap Calc (Don’t Touch)'!$W$2:$AT$204,$AI61,6)&gt;0,IF(AND($H61&lt;&gt;"",$H61&lt;=EOMONTH(O$3,0),$I61&gt;=O$3),"B","U"),IF(AND($H61&lt;&gt;"",$H61&lt;=EOMONTH(O$3,0),$I61&gt;=O$3),"D","")))</f>
        <v/>
      </c>
      <c r="P61" s="204" t="str">
        <f>IF($AI61="","",IF(INDEX('Roadmap Calc (Don’t Touch)'!$W$2:$AT$204,$AI61,7)&gt;0,IF(AND($H61&lt;&gt;"",$H61&lt;=EOMONTH(P$3,0),$I61&gt;=P$3),"B","U"),IF(AND($H61&lt;&gt;"",$H61&lt;=EOMONTH(P$3,0),$I61&gt;=P$3),"D","")))</f>
        <v/>
      </c>
      <c r="Q61" s="204" t="str">
        <f>IF($AI61="","",IF(INDEX('Roadmap Calc (Don’t Touch)'!$W$2:$AT$204,$AI61,8)&gt;0,IF(AND($H61&lt;&gt;"",$H61&lt;=EOMONTH(Q$3,0),$I61&gt;=Q$3),"B","U"),IF(AND($H61&lt;&gt;"",$H61&lt;=EOMONTH(Q$3,0),$I61&gt;=Q$3),"D","")))</f>
        <v/>
      </c>
      <c r="R61" s="204" t="str">
        <f>IF($AI61="","",IF(INDEX('Roadmap Calc (Don’t Touch)'!$W$2:$AT$204,$AI61,9)&gt;0,IF(AND($H61&lt;&gt;"",$H61&lt;=EOMONTH(R$3,0),$I61&gt;=R$3),"B","U"),IF(AND($H61&lt;&gt;"",$H61&lt;=EOMONTH(R$3,0),$I61&gt;=R$3),"D","")))</f>
        <v/>
      </c>
      <c r="S61" s="204" t="str">
        <f>IF($AI61="","",IF(INDEX('Roadmap Calc (Don’t Touch)'!$W$2:$AT$204,$AI61,10)&gt;0,IF(AND($H61&lt;&gt;"",$H61&lt;=EOMONTH(S$3,0),$I61&gt;=S$3),"B","U"),IF(AND($H61&lt;&gt;"",$H61&lt;=EOMONTH(S$3,0),$I61&gt;=S$3),"D","")))</f>
        <v/>
      </c>
      <c r="T61" s="204" t="str">
        <f>IF($AI61="","",IF(INDEX('Roadmap Calc (Don’t Touch)'!$W$2:$AT$204,$AI61,11)&gt;0,IF(AND($H61&lt;&gt;"",$H61&lt;=EOMONTH(T$3,0),$I61&gt;=T$3),"B","U"),IF(AND($H61&lt;&gt;"",$H61&lt;=EOMONTH(T$3,0),$I61&gt;=T$3),"D","")))</f>
        <v/>
      </c>
      <c r="U61" s="204" t="str">
        <f>IF($AI61="","",IF(INDEX('Roadmap Calc (Don’t Touch)'!$W$2:$AT$204,$AI61,12)&gt;0,IF(AND($H61&lt;&gt;"",$H61&lt;=EOMONTH(U$3,0),$I61&gt;=U$3),"B","U"),IF(AND($H61&lt;&gt;"",$H61&lt;=EOMONTH(U$3,0),$I61&gt;=U$3),"D","")))</f>
        <v/>
      </c>
      <c r="V61" s="204" t="str">
        <f>IF($AI61="","",IF(INDEX('Roadmap Calc (Don’t Touch)'!$W$2:$AT$204,$AI61,13)&gt;0,IF(AND($H61&lt;&gt;"",$H61&lt;=EOMONTH(V$3,0),$I61&gt;=V$3),"B","U"),IF(AND($H61&lt;&gt;"",$H61&lt;=EOMONTH(V$3,0),$I61&gt;=V$3),"D","")))</f>
        <v/>
      </c>
      <c r="W61" s="204" t="str">
        <f>IF($AI61="","",IF(INDEX('Roadmap Calc (Don’t Touch)'!$W$2:$AT$204,$AI61,14)&gt;0,IF(AND($H61&lt;&gt;"",$H61&lt;=EOMONTH(W$3,0),$I61&gt;=W$3),"B","U"),IF(AND($H61&lt;&gt;"",$H61&lt;=EOMONTH(W$3,0),$I61&gt;=W$3),"D","")))</f>
        <v/>
      </c>
      <c r="X61" s="204" t="str">
        <f>IF($AI61="","",IF(INDEX('Roadmap Calc (Don’t Touch)'!$W$2:$AT$204,$AI61,15)&gt;0,IF(AND($H61&lt;&gt;"",$H61&lt;=EOMONTH(X$3,0),$I61&gt;=X$3),"B","U"),IF(AND($H61&lt;&gt;"",$H61&lt;=EOMONTH(X$3,0),$I61&gt;=X$3),"D","")))</f>
        <v/>
      </c>
      <c r="Y61" s="204" t="str">
        <f>IF($AI61="","",IF(INDEX('Roadmap Calc (Don’t Touch)'!$W$2:$AT$204,$AI61,16)&gt;0,IF(AND($H61&lt;&gt;"",$H61&lt;=EOMONTH(Y$3,0),$I61&gt;=Y$3),"B","U"),IF(AND($H61&lt;&gt;"",$H61&lt;=EOMONTH(Y$3,0),$I61&gt;=Y$3),"D","")))</f>
        <v/>
      </c>
      <c r="Z61" s="204" t="str">
        <f>IF($AI61="","",IF(INDEX('Roadmap Calc (Don’t Touch)'!$W$2:$AT$204,$AI61,17)&gt;0,IF(AND($H61&lt;&gt;"",$H61&lt;=EOMONTH(Z$3,0),$I61&gt;=Z$3),"B","U"),IF(AND($H61&lt;&gt;"",$H61&lt;=EOMONTH(Z$3,0),$I61&gt;=Z$3),"D","")))</f>
        <v/>
      </c>
      <c r="AA61" s="204" t="str">
        <f>IF($AI61="","",IF(INDEX('Roadmap Calc (Don’t Touch)'!$W$2:$AT$204,$AI61,18)&gt;0,IF(AND($H61&lt;&gt;"",$H61&lt;=EOMONTH(AA$3,0),$I61&gt;=AA$3),"B","U"),IF(AND($H61&lt;&gt;"",$H61&lt;=EOMONTH(AA$3,0),$I61&gt;=AA$3),"D","")))</f>
        <v/>
      </c>
      <c r="AB61" s="204" t="str">
        <f>IF($AI61="","",IF(INDEX('Roadmap Calc (Don’t Touch)'!$W$2:$AT$204,$AI61,19)&gt;0,IF(AND($H61&lt;&gt;"",$H61&lt;=EOMONTH(AB$3,0),$I61&gt;=AB$3),"B","U"),IF(AND($H61&lt;&gt;"",$H61&lt;=EOMONTH(AB$3,0),$I61&gt;=AB$3),"D","")))</f>
        <v/>
      </c>
      <c r="AC61" s="204" t="str">
        <f>IF($AI61="","",IF(INDEX('Roadmap Calc (Don’t Touch)'!$W$2:$AT$204,$AI61,20)&gt;0,IF(AND($H61&lt;&gt;"",$H61&lt;=EOMONTH(AC$3,0),$I61&gt;=AC$3),"B","U"),IF(AND($H61&lt;&gt;"",$H61&lt;=EOMONTH(AC$3,0),$I61&gt;=AC$3),"D","")))</f>
        <v/>
      </c>
      <c r="AD61" s="204" t="str">
        <f>IF($AI61="","",IF(INDEX('Roadmap Calc (Don’t Touch)'!$W$2:$AT$204,$AI61,21)&gt;0,IF(AND($H61&lt;&gt;"",$H61&lt;=EOMONTH(AD$3,0),$I61&gt;=AD$3),"B","U"),IF(AND($H61&lt;&gt;"",$H61&lt;=EOMONTH(AD$3,0),$I61&gt;=AD$3),"D","")))</f>
        <v/>
      </c>
      <c r="AE61" s="204" t="str">
        <f>IF($AI61="","",IF(INDEX('Roadmap Calc (Don’t Touch)'!$W$2:$AT$204,$AI61,22)&gt;0,IF(AND($H61&lt;&gt;"",$H61&lt;=EOMONTH(AE$3,0),$I61&gt;=AE$3),"B","U"),IF(AND($H61&lt;&gt;"",$H61&lt;=EOMONTH(AE$3,0),$I61&gt;=AE$3),"D","")))</f>
        <v/>
      </c>
      <c r="AF61" s="204" t="str">
        <f>IF($AI61="","",IF(INDEX('Roadmap Calc (Don’t Touch)'!$W$2:$AT$204,$AI61,23)&gt;0,IF(AND($H61&lt;&gt;"",$H61&lt;=EOMONTH(AF$3,0),$I61&gt;=AF$3),"B","U"),IF(AND($H61&lt;&gt;"",$H61&lt;=EOMONTH(AF$3,0),$I61&gt;=AF$3),"D","")))</f>
        <v/>
      </c>
      <c r="AG61" s="204" t="str">
        <f>IF($AI61="","",IF(INDEX('Roadmap Calc (Don’t Touch)'!$W$2:$AT$204,$AI61,24)&gt;0,IF(AND($H61&lt;&gt;"",$H61&lt;=EOMONTH(AG$3,0),$I61&gt;=AG$3),"B","U"),IF(AND($H61&lt;&gt;"",$H61&lt;=EOMONTH(AG$3,0),$I61&gt;=AG$3),"D","")))</f>
        <v/>
      </c>
      <c r="AH61" s="180" t="str">
        <f>IF($AI61="","",INDEX('Roadmap Calc (Don’t Touch)'!$D$2:$D$204,$AI61))</f>
        <v/>
      </c>
      <c r="AI61" s="180" t="str">
        <f>IFERROR(MATCH(55,'Roadmap Calc (Don’t Touch)'!$O$2:$O$204,0),"")</f>
        <v/>
      </c>
    </row>
    <row r="62" spans="1:35" ht="17" customHeight="1" x14ac:dyDescent="0.25">
      <c r="A62" s="197" t="str">
        <f t="shared" si="1"/>
        <v/>
      </c>
      <c r="B62" s="198" t="str">
        <f>IF($AI62="","",INDEX('Roadmap Calc (Don’t Touch)'!$B$2:$B$204,$AI62))</f>
        <v/>
      </c>
      <c r="C62" s="199" t="str">
        <f>IF($AI62="","",INDEX('Roadmap Calc (Don’t Touch)'!$E$2:$E$204,$AI62))</f>
        <v/>
      </c>
      <c r="D62" s="200" t="str">
        <f>IF($AI62="","",INDEX('Roadmap Calc (Don’t Touch)'!$F$2:$F$204,$AI62))</f>
        <v/>
      </c>
      <c r="E62" s="201" t="str">
        <f>IF($AI62="","",IF(ISNUMBER(INDEX('Roadmap Calc (Don’t Touch)'!$G$2:$G$204,$AI62)),INDEX('Roadmap Calc (Don’t Touch)'!$G$2:$G$204,$AI62),""))</f>
        <v/>
      </c>
      <c r="F62" s="201" t="str">
        <f>IF($AI62="","",IF(ISNUMBER(INDEX('Roadmap Calc (Don’t Touch)'!$H$2:$H$204,$AI62)),INDEX('Roadmap Calc (Don’t Touch)'!$H$2:$H$204,$AI62),""))</f>
        <v/>
      </c>
      <c r="G62" s="202" t="str">
        <f>IF($AI62="","",INDEX('Roadmap Calc (Don’t Touch)'!$S$2:$S$204,$AI62))</f>
        <v/>
      </c>
      <c r="H62" s="203" t="str">
        <f>IF($AI62="","",IF(ISNUMBER(INDEX('Roadmap Calc (Don’t Touch)'!$I$2:$I$204,$AI62)),INDEX('Roadmap Calc (Don’t Touch)'!$I$2:$I$204,$AI62),""))</f>
        <v/>
      </c>
      <c r="I62" s="203" t="str">
        <f>IF($AI62="","",IF(ISNUMBER(INDEX('Roadmap Calc (Don’t Touch)'!$J$2:$J$204,$AI62)),INDEX('Roadmap Calc (Don’t Touch)'!$J$2:$J$204,$AI62),""))</f>
        <v/>
      </c>
      <c r="J62" s="204" t="str">
        <f>IF($AI62="","",IF(INDEX('Roadmap Calc (Don’t Touch)'!$W$2:$AT$204,$AI62,1)&gt;0,IF(AND($H62&lt;&gt;"",$H62&lt;=EOMONTH(J$3,0),$I62&gt;=J$3),"B","U"),IF(AND($H62&lt;&gt;"",$H62&lt;=EOMONTH(J$3,0),$I62&gt;=J$3),"D","")))</f>
        <v/>
      </c>
      <c r="K62" s="204" t="str">
        <f>IF($AI62="","",IF(INDEX('Roadmap Calc (Don’t Touch)'!$W$2:$AT$204,$AI62,2)&gt;0,IF(AND($H62&lt;&gt;"",$H62&lt;=EOMONTH(K$3,0),$I62&gt;=K$3),"B","U"),IF(AND($H62&lt;&gt;"",$H62&lt;=EOMONTH(K$3,0),$I62&gt;=K$3),"D","")))</f>
        <v/>
      </c>
      <c r="L62" s="204" t="str">
        <f>IF($AI62="","",IF(INDEX('Roadmap Calc (Don’t Touch)'!$W$2:$AT$204,$AI62,3)&gt;0,IF(AND($H62&lt;&gt;"",$H62&lt;=EOMONTH(L$3,0),$I62&gt;=L$3),"B","U"),IF(AND($H62&lt;&gt;"",$H62&lt;=EOMONTH(L$3,0),$I62&gt;=L$3),"D","")))</f>
        <v/>
      </c>
      <c r="M62" s="204" t="str">
        <f>IF($AI62="","",IF(INDEX('Roadmap Calc (Don’t Touch)'!$W$2:$AT$204,$AI62,4)&gt;0,IF(AND($H62&lt;&gt;"",$H62&lt;=EOMONTH(M$3,0),$I62&gt;=M$3),"B","U"),IF(AND($H62&lt;&gt;"",$H62&lt;=EOMONTH(M$3,0),$I62&gt;=M$3),"D","")))</f>
        <v/>
      </c>
      <c r="N62" s="204" t="str">
        <f>IF($AI62="","",IF(INDEX('Roadmap Calc (Don’t Touch)'!$W$2:$AT$204,$AI62,5)&gt;0,IF(AND($H62&lt;&gt;"",$H62&lt;=EOMONTH(N$3,0),$I62&gt;=N$3),"B","U"),IF(AND($H62&lt;&gt;"",$H62&lt;=EOMONTH(N$3,0),$I62&gt;=N$3),"D","")))</f>
        <v/>
      </c>
      <c r="O62" s="204" t="str">
        <f>IF($AI62="","",IF(INDEX('Roadmap Calc (Don’t Touch)'!$W$2:$AT$204,$AI62,6)&gt;0,IF(AND($H62&lt;&gt;"",$H62&lt;=EOMONTH(O$3,0),$I62&gt;=O$3),"B","U"),IF(AND($H62&lt;&gt;"",$H62&lt;=EOMONTH(O$3,0),$I62&gt;=O$3),"D","")))</f>
        <v/>
      </c>
      <c r="P62" s="204" t="str">
        <f>IF($AI62="","",IF(INDEX('Roadmap Calc (Don’t Touch)'!$W$2:$AT$204,$AI62,7)&gt;0,IF(AND($H62&lt;&gt;"",$H62&lt;=EOMONTH(P$3,0),$I62&gt;=P$3),"B","U"),IF(AND($H62&lt;&gt;"",$H62&lt;=EOMONTH(P$3,0),$I62&gt;=P$3),"D","")))</f>
        <v/>
      </c>
      <c r="Q62" s="204" t="str">
        <f>IF($AI62="","",IF(INDEX('Roadmap Calc (Don’t Touch)'!$W$2:$AT$204,$AI62,8)&gt;0,IF(AND($H62&lt;&gt;"",$H62&lt;=EOMONTH(Q$3,0),$I62&gt;=Q$3),"B","U"),IF(AND($H62&lt;&gt;"",$H62&lt;=EOMONTH(Q$3,0),$I62&gt;=Q$3),"D","")))</f>
        <v/>
      </c>
      <c r="R62" s="204" t="str">
        <f>IF($AI62="","",IF(INDEX('Roadmap Calc (Don’t Touch)'!$W$2:$AT$204,$AI62,9)&gt;0,IF(AND($H62&lt;&gt;"",$H62&lt;=EOMONTH(R$3,0),$I62&gt;=R$3),"B","U"),IF(AND($H62&lt;&gt;"",$H62&lt;=EOMONTH(R$3,0),$I62&gt;=R$3),"D","")))</f>
        <v/>
      </c>
      <c r="S62" s="204" t="str">
        <f>IF($AI62="","",IF(INDEX('Roadmap Calc (Don’t Touch)'!$W$2:$AT$204,$AI62,10)&gt;0,IF(AND($H62&lt;&gt;"",$H62&lt;=EOMONTH(S$3,0),$I62&gt;=S$3),"B","U"),IF(AND($H62&lt;&gt;"",$H62&lt;=EOMONTH(S$3,0),$I62&gt;=S$3),"D","")))</f>
        <v/>
      </c>
      <c r="T62" s="204" t="str">
        <f>IF($AI62="","",IF(INDEX('Roadmap Calc (Don’t Touch)'!$W$2:$AT$204,$AI62,11)&gt;0,IF(AND($H62&lt;&gt;"",$H62&lt;=EOMONTH(T$3,0),$I62&gt;=T$3),"B","U"),IF(AND($H62&lt;&gt;"",$H62&lt;=EOMONTH(T$3,0),$I62&gt;=T$3),"D","")))</f>
        <v/>
      </c>
      <c r="U62" s="204" t="str">
        <f>IF($AI62="","",IF(INDEX('Roadmap Calc (Don’t Touch)'!$W$2:$AT$204,$AI62,12)&gt;0,IF(AND($H62&lt;&gt;"",$H62&lt;=EOMONTH(U$3,0),$I62&gt;=U$3),"B","U"),IF(AND($H62&lt;&gt;"",$H62&lt;=EOMONTH(U$3,0),$I62&gt;=U$3),"D","")))</f>
        <v/>
      </c>
      <c r="V62" s="204" t="str">
        <f>IF($AI62="","",IF(INDEX('Roadmap Calc (Don’t Touch)'!$W$2:$AT$204,$AI62,13)&gt;0,IF(AND($H62&lt;&gt;"",$H62&lt;=EOMONTH(V$3,0),$I62&gt;=V$3),"B","U"),IF(AND($H62&lt;&gt;"",$H62&lt;=EOMONTH(V$3,0),$I62&gt;=V$3),"D","")))</f>
        <v/>
      </c>
      <c r="W62" s="204" t="str">
        <f>IF($AI62="","",IF(INDEX('Roadmap Calc (Don’t Touch)'!$W$2:$AT$204,$AI62,14)&gt;0,IF(AND($H62&lt;&gt;"",$H62&lt;=EOMONTH(W$3,0),$I62&gt;=W$3),"B","U"),IF(AND($H62&lt;&gt;"",$H62&lt;=EOMONTH(W$3,0),$I62&gt;=W$3),"D","")))</f>
        <v/>
      </c>
      <c r="X62" s="204" t="str">
        <f>IF($AI62="","",IF(INDEX('Roadmap Calc (Don’t Touch)'!$W$2:$AT$204,$AI62,15)&gt;0,IF(AND($H62&lt;&gt;"",$H62&lt;=EOMONTH(X$3,0),$I62&gt;=X$3),"B","U"),IF(AND($H62&lt;&gt;"",$H62&lt;=EOMONTH(X$3,0),$I62&gt;=X$3),"D","")))</f>
        <v/>
      </c>
      <c r="Y62" s="204" t="str">
        <f>IF($AI62="","",IF(INDEX('Roadmap Calc (Don’t Touch)'!$W$2:$AT$204,$AI62,16)&gt;0,IF(AND($H62&lt;&gt;"",$H62&lt;=EOMONTH(Y$3,0),$I62&gt;=Y$3),"B","U"),IF(AND($H62&lt;&gt;"",$H62&lt;=EOMONTH(Y$3,0),$I62&gt;=Y$3),"D","")))</f>
        <v/>
      </c>
      <c r="Z62" s="204" t="str">
        <f>IF($AI62="","",IF(INDEX('Roadmap Calc (Don’t Touch)'!$W$2:$AT$204,$AI62,17)&gt;0,IF(AND($H62&lt;&gt;"",$H62&lt;=EOMONTH(Z$3,0),$I62&gt;=Z$3),"B","U"),IF(AND($H62&lt;&gt;"",$H62&lt;=EOMONTH(Z$3,0),$I62&gt;=Z$3),"D","")))</f>
        <v/>
      </c>
      <c r="AA62" s="204" t="str">
        <f>IF($AI62="","",IF(INDEX('Roadmap Calc (Don’t Touch)'!$W$2:$AT$204,$AI62,18)&gt;0,IF(AND($H62&lt;&gt;"",$H62&lt;=EOMONTH(AA$3,0),$I62&gt;=AA$3),"B","U"),IF(AND($H62&lt;&gt;"",$H62&lt;=EOMONTH(AA$3,0),$I62&gt;=AA$3),"D","")))</f>
        <v/>
      </c>
      <c r="AB62" s="204" t="str">
        <f>IF($AI62="","",IF(INDEX('Roadmap Calc (Don’t Touch)'!$W$2:$AT$204,$AI62,19)&gt;0,IF(AND($H62&lt;&gt;"",$H62&lt;=EOMONTH(AB$3,0),$I62&gt;=AB$3),"B","U"),IF(AND($H62&lt;&gt;"",$H62&lt;=EOMONTH(AB$3,0),$I62&gt;=AB$3),"D","")))</f>
        <v/>
      </c>
      <c r="AC62" s="204" t="str">
        <f>IF($AI62="","",IF(INDEX('Roadmap Calc (Don’t Touch)'!$W$2:$AT$204,$AI62,20)&gt;0,IF(AND($H62&lt;&gt;"",$H62&lt;=EOMONTH(AC$3,0),$I62&gt;=AC$3),"B","U"),IF(AND($H62&lt;&gt;"",$H62&lt;=EOMONTH(AC$3,0),$I62&gt;=AC$3),"D","")))</f>
        <v/>
      </c>
      <c r="AD62" s="204" t="str">
        <f>IF($AI62="","",IF(INDEX('Roadmap Calc (Don’t Touch)'!$W$2:$AT$204,$AI62,21)&gt;0,IF(AND($H62&lt;&gt;"",$H62&lt;=EOMONTH(AD$3,0),$I62&gt;=AD$3),"B","U"),IF(AND($H62&lt;&gt;"",$H62&lt;=EOMONTH(AD$3,0),$I62&gt;=AD$3),"D","")))</f>
        <v/>
      </c>
      <c r="AE62" s="204" t="str">
        <f>IF($AI62="","",IF(INDEX('Roadmap Calc (Don’t Touch)'!$W$2:$AT$204,$AI62,22)&gt;0,IF(AND($H62&lt;&gt;"",$H62&lt;=EOMONTH(AE$3,0),$I62&gt;=AE$3),"B","U"),IF(AND($H62&lt;&gt;"",$H62&lt;=EOMONTH(AE$3,0),$I62&gt;=AE$3),"D","")))</f>
        <v/>
      </c>
      <c r="AF62" s="204" t="str">
        <f>IF($AI62="","",IF(INDEX('Roadmap Calc (Don’t Touch)'!$W$2:$AT$204,$AI62,23)&gt;0,IF(AND($H62&lt;&gt;"",$H62&lt;=EOMONTH(AF$3,0),$I62&gt;=AF$3),"B","U"),IF(AND($H62&lt;&gt;"",$H62&lt;=EOMONTH(AF$3,0),$I62&gt;=AF$3),"D","")))</f>
        <v/>
      </c>
      <c r="AG62" s="204" t="str">
        <f>IF($AI62="","",IF(INDEX('Roadmap Calc (Don’t Touch)'!$W$2:$AT$204,$AI62,24)&gt;0,IF(AND($H62&lt;&gt;"",$H62&lt;=EOMONTH(AG$3,0),$I62&gt;=AG$3),"B","U"),IF(AND($H62&lt;&gt;"",$H62&lt;=EOMONTH(AG$3,0),$I62&gt;=AG$3),"D","")))</f>
        <v/>
      </c>
      <c r="AH62" s="180" t="str">
        <f>IF($AI62="","",INDEX('Roadmap Calc (Don’t Touch)'!$D$2:$D$204,$AI62))</f>
        <v/>
      </c>
      <c r="AI62" s="180" t="str">
        <f>IFERROR(MATCH(56,'Roadmap Calc (Don’t Touch)'!$O$2:$O$204,0),"")</f>
        <v/>
      </c>
    </row>
    <row r="63" spans="1:35" ht="17" customHeight="1" x14ac:dyDescent="0.25">
      <c r="A63" s="197" t="str">
        <f t="shared" si="1"/>
        <v/>
      </c>
      <c r="B63" s="198" t="str">
        <f>IF($AI63="","",INDEX('Roadmap Calc (Don’t Touch)'!$B$2:$B$204,$AI63))</f>
        <v/>
      </c>
      <c r="C63" s="199" t="str">
        <f>IF($AI63="","",INDEX('Roadmap Calc (Don’t Touch)'!$E$2:$E$204,$AI63))</f>
        <v/>
      </c>
      <c r="D63" s="200" t="str">
        <f>IF($AI63="","",INDEX('Roadmap Calc (Don’t Touch)'!$F$2:$F$204,$AI63))</f>
        <v/>
      </c>
      <c r="E63" s="201" t="str">
        <f>IF($AI63="","",IF(ISNUMBER(INDEX('Roadmap Calc (Don’t Touch)'!$G$2:$G$204,$AI63)),INDEX('Roadmap Calc (Don’t Touch)'!$G$2:$G$204,$AI63),""))</f>
        <v/>
      </c>
      <c r="F63" s="201" t="str">
        <f>IF($AI63="","",IF(ISNUMBER(INDEX('Roadmap Calc (Don’t Touch)'!$H$2:$H$204,$AI63)),INDEX('Roadmap Calc (Don’t Touch)'!$H$2:$H$204,$AI63),""))</f>
        <v/>
      </c>
      <c r="G63" s="202" t="str">
        <f>IF($AI63="","",INDEX('Roadmap Calc (Don’t Touch)'!$S$2:$S$204,$AI63))</f>
        <v/>
      </c>
      <c r="H63" s="203" t="str">
        <f>IF($AI63="","",IF(ISNUMBER(INDEX('Roadmap Calc (Don’t Touch)'!$I$2:$I$204,$AI63)),INDEX('Roadmap Calc (Don’t Touch)'!$I$2:$I$204,$AI63),""))</f>
        <v/>
      </c>
      <c r="I63" s="203" t="str">
        <f>IF($AI63="","",IF(ISNUMBER(INDEX('Roadmap Calc (Don’t Touch)'!$J$2:$J$204,$AI63)),INDEX('Roadmap Calc (Don’t Touch)'!$J$2:$J$204,$AI63),""))</f>
        <v/>
      </c>
      <c r="J63" s="204" t="str">
        <f>IF($AI63="","",IF(INDEX('Roadmap Calc (Don’t Touch)'!$W$2:$AT$204,$AI63,1)&gt;0,IF(AND($H63&lt;&gt;"",$H63&lt;=EOMONTH(J$3,0),$I63&gt;=J$3),"B","U"),IF(AND($H63&lt;&gt;"",$H63&lt;=EOMONTH(J$3,0),$I63&gt;=J$3),"D","")))</f>
        <v/>
      </c>
      <c r="K63" s="204" t="str">
        <f>IF($AI63="","",IF(INDEX('Roadmap Calc (Don’t Touch)'!$W$2:$AT$204,$AI63,2)&gt;0,IF(AND($H63&lt;&gt;"",$H63&lt;=EOMONTH(K$3,0),$I63&gt;=K$3),"B","U"),IF(AND($H63&lt;&gt;"",$H63&lt;=EOMONTH(K$3,0),$I63&gt;=K$3),"D","")))</f>
        <v/>
      </c>
      <c r="L63" s="204" t="str">
        <f>IF($AI63="","",IF(INDEX('Roadmap Calc (Don’t Touch)'!$W$2:$AT$204,$AI63,3)&gt;0,IF(AND($H63&lt;&gt;"",$H63&lt;=EOMONTH(L$3,0),$I63&gt;=L$3),"B","U"),IF(AND($H63&lt;&gt;"",$H63&lt;=EOMONTH(L$3,0),$I63&gt;=L$3),"D","")))</f>
        <v/>
      </c>
      <c r="M63" s="204" t="str">
        <f>IF($AI63="","",IF(INDEX('Roadmap Calc (Don’t Touch)'!$W$2:$AT$204,$AI63,4)&gt;0,IF(AND($H63&lt;&gt;"",$H63&lt;=EOMONTH(M$3,0),$I63&gt;=M$3),"B","U"),IF(AND($H63&lt;&gt;"",$H63&lt;=EOMONTH(M$3,0),$I63&gt;=M$3),"D","")))</f>
        <v/>
      </c>
      <c r="N63" s="204" t="str">
        <f>IF($AI63="","",IF(INDEX('Roadmap Calc (Don’t Touch)'!$W$2:$AT$204,$AI63,5)&gt;0,IF(AND($H63&lt;&gt;"",$H63&lt;=EOMONTH(N$3,0),$I63&gt;=N$3),"B","U"),IF(AND($H63&lt;&gt;"",$H63&lt;=EOMONTH(N$3,0),$I63&gt;=N$3),"D","")))</f>
        <v/>
      </c>
      <c r="O63" s="204" t="str">
        <f>IF($AI63="","",IF(INDEX('Roadmap Calc (Don’t Touch)'!$W$2:$AT$204,$AI63,6)&gt;0,IF(AND($H63&lt;&gt;"",$H63&lt;=EOMONTH(O$3,0),$I63&gt;=O$3),"B","U"),IF(AND($H63&lt;&gt;"",$H63&lt;=EOMONTH(O$3,0),$I63&gt;=O$3),"D","")))</f>
        <v/>
      </c>
      <c r="P63" s="204" t="str">
        <f>IF($AI63="","",IF(INDEX('Roadmap Calc (Don’t Touch)'!$W$2:$AT$204,$AI63,7)&gt;0,IF(AND($H63&lt;&gt;"",$H63&lt;=EOMONTH(P$3,0),$I63&gt;=P$3),"B","U"),IF(AND($H63&lt;&gt;"",$H63&lt;=EOMONTH(P$3,0),$I63&gt;=P$3),"D","")))</f>
        <v/>
      </c>
      <c r="Q63" s="204" t="str">
        <f>IF($AI63="","",IF(INDEX('Roadmap Calc (Don’t Touch)'!$W$2:$AT$204,$AI63,8)&gt;0,IF(AND($H63&lt;&gt;"",$H63&lt;=EOMONTH(Q$3,0),$I63&gt;=Q$3),"B","U"),IF(AND($H63&lt;&gt;"",$H63&lt;=EOMONTH(Q$3,0),$I63&gt;=Q$3),"D","")))</f>
        <v/>
      </c>
      <c r="R63" s="204" t="str">
        <f>IF($AI63="","",IF(INDEX('Roadmap Calc (Don’t Touch)'!$W$2:$AT$204,$AI63,9)&gt;0,IF(AND($H63&lt;&gt;"",$H63&lt;=EOMONTH(R$3,0),$I63&gt;=R$3),"B","U"),IF(AND($H63&lt;&gt;"",$H63&lt;=EOMONTH(R$3,0),$I63&gt;=R$3),"D","")))</f>
        <v/>
      </c>
      <c r="S63" s="204" t="str">
        <f>IF($AI63="","",IF(INDEX('Roadmap Calc (Don’t Touch)'!$W$2:$AT$204,$AI63,10)&gt;0,IF(AND($H63&lt;&gt;"",$H63&lt;=EOMONTH(S$3,0),$I63&gt;=S$3),"B","U"),IF(AND($H63&lt;&gt;"",$H63&lt;=EOMONTH(S$3,0),$I63&gt;=S$3),"D","")))</f>
        <v/>
      </c>
      <c r="T63" s="204" t="str">
        <f>IF($AI63="","",IF(INDEX('Roadmap Calc (Don’t Touch)'!$W$2:$AT$204,$AI63,11)&gt;0,IF(AND($H63&lt;&gt;"",$H63&lt;=EOMONTH(T$3,0),$I63&gt;=T$3),"B","U"),IF(AND($H63&lt;&gt;"",$H63&lt;=EOMONTH(T$3,0),$I63&gt;=T$3),"D","")))</f>
        <v/>
      </c>
      <c r="U63" s="204" t="str">
        <f>IF($AI63="","",IF(INDEX('Roadmap Calc (Don’t Touch)'!$W$2:$AT$204,$AI63,12)&gt;0,IF(AND($H63&lt;&gt;"",$H63&lt;=EOMONTH(U$3,0),$I63&gt;=U$3),"B","U"),IF(AND($H63&lt;&gt;"",$H63&lt;=EOMONTH(U$3,0),$I63&gt;=U$3),"D","")))</f>
        <v/>
      </c>
      <c r="V63" s="204" t="str">
        <f>IF($AI63="","",IF(INDEX('Roadmap Calc (Don’t Touch)'!$W$2:$AT$204,$AI63,13)&gt;0,IF(AND($H63&lt;&gt;"",$H63&lt;=EOMONTH(V$3,0),$I63&gt;=V$3),"B","U"),IF(AND($H63&lt;&gt;"",$H63&lt;=EOMONTH(V$3,0),$I63&gt;=V$3),"D","")))</f>
        <v/>
      </c>
      <c r="W63" s="204" t="str">
        <f>IF($AI63="","",IF(INDEX('Roadmap Calc (Don’t Touch)'!$W$2:$AT$204,$AI63,14)&gt;0,IF(AND($H63&lt;&gt;"",$H63&lt;=EOMONTH(W$3,0),$I63&gt;=W$3),"B","U"),IF(AND($H63&lt;&gt;"",$H63&lt;=EOMONTH(W$3,0),$I63&gt;=W$3),"D","")))</f>
        <v/>
      </c>
      <c r="X63" s="204" t="str">
        <f>IF($AI63="","",IF(INDEX('Roadmap Calc (Don’t Touch)'!$W$2:$AT$204,$AI63,15)&gt;0,IF(AND($H63&lt;&gt;"",$H63&lt;=EOMONTH(X$3,0),$I63&gt;=X$3),"B","U"),IF(AND($H63&lt;&gt;"",$H63&lt;=EOMONTH(X$3,0),$I63&gt;=X$3),"D","")))</f>
        <v/>
      </c>
      <c r="Y63" s="204" t="str">
        <f>IF($AI63="","",IF(INDEX('Roadmap Calc (Don’t Touch)'!$W$2:$AT$204,$AI63,16)&gt;0,IF(AND($H63&lt;&gt;"",$H63&lt;=EOMONTH(Y$3,0),$I63&gt;=Y$3),"B","U"),IF(AND($H63&lt;&gt;"",$H63&lt;=EOMONTH(Y$3,0),$I63&gt;=Y$3),"D","")))</f>
        <v/>
      </c>
      <c r="Z63" s="204" t="str">
        <f>IF($AI63="","",IF(INDEX('Roadmap Calc (Don’t Touch)'!$W$2:$AT$204,$AI63,17)&gt;0,IF(AND($H63&lt;&gt;"",$H63&lt;=EOMONTH(Z$3,0),$I63&gt;=Z$3),"B","U"),IF(AND($H63&lt;&gt;"",$H63&lt;=EOMONTH(Z$3,0),$I63&gt;=Z$3),"D","")))</f>
        <v/>
      </c>
      <c r="AA63" s="204" t="str">
        <f>IF($AI63="","",IF(INDEX('Roadmap Calc (Don’t Touch)'!$W$2:$AT$204,$AI63,18)&gt;0,IF(AND($H63&lt;&gt;"",$H63&lt;=EOMONTH(AA$3,0),$I63&gt;=AA$3),"B","U"),IF(AND($H63&lt;&gt;"",$H63&lt;=EOMONTH(AA$3,0),$I63&gt;=AA$3),"D","")))</f>
        <v/>
      </c>
      <c r="AB63" s="204" t="str">
        <f>IF($AI63="","",IF(INDEX('Roadmap Calc (Don’t Touch)'!$W$2:$AT$204,$AI63,19)&gt;0,IF(AND($H63&lt;&gt;"",$H63&lt;=EOMONTH(AB$3,0),$I63&gt;=AB$3),"B","U"),IF(AND($H63&lt;&gt;"",$H63&lt;=EOMONTH(AB$3,0),$I63&gt;=AB$3),"D","")))</f>
        <v/>
      </c>
      <c r="AC63" s="204" t="str">
        <f>IF($AI63="","",IF(INDEX('Roadmap Calc (Don’t Touch)'!$W$2:$AT$204,$AI63,20)&gt;0,IF(AND($H63&lt;&gt;"",$H63&lt;=EOMONTH(AC$3,0),$I63&gt;=AC$3),"B","U"),IF(AND($H63&lt;&gt;"",$H63&lt;=EOMONTH(AC$3,0),$I63&gt;=AC$3),"D","")))</f>
        <v/>
      </c>
      <c r="AD63" s="204" t="str">
        <f>IF($AI63="","",IF(INDEX('Roadmap Calc (Don’t Touch)'!$W$2:$AT$204,$AI63,21)&gt;0,IF(AND($H63&lt;&gt;"",$H63&lt;=EOMONTH(AD$3,0),$I63&gt;=AD$3),"B","U"),IF(AND($H63&lt;&gt;"",$H63&lt;=EOMONTH(AD$3,0),$I63&gt;=AD$3),"D","")))</f>
        <v/>
      </c>
      <c r="AE63" s="204" t="str">
        <f>IF($AI63="","",IF(INDEX('Roadmap Calc (Don’t Touch)'!$W$2:$AT$204,$AI63,22)&gt;0,IF(AND($H63&lt;&gt;"",$H63&lt;=EOMONTH(AE$3,0),$I63&gt;=AE$3),"B","U"),IF(AND($H63&lt;&gt;"",$H63&lt;=EOMONTH(AE$3,0),$I63&gt;=AE$3),"D","")))</f>
        <v/>
      </c>
      <c r="AF63" s="204" t="str">
        <f>IF($AI63="","",IF(INDEX('Roadmap Calc (Don’t Touch)'!$W$2:$AT$204,$AI63,23)&gt;0,IF(AND($H63&lt;&gt;"",$H63&lt;=EOMONTH(AF$3,0),$I63&gt;=AF$3),"B","U"),IF(AND($H63&lt;&gt;"",$H63&lt;=EOMONTH(AF$3,0),$I63&gt;=AF$3),"D","")))</f>
        <v/>
      </c>
      <c r="AG63" s="204" t="str">
        <f>IF($AI63="","",IF(INDEX('Roadmap Calc (Don’t Touch)'!$W$2:$AT$204,$AI63,24)&gt;0,IF(AND($H63&lt;&gt;"",$H63&lt;=EOMONTH(AG$3,0),$I63&gt;=AG$3),"B","U"),IF(AND($H63&lt;&gt;"",$H63&lt;=EOMONTH(AG$3,0),$I63&gt;=AG$3),"D","")))</f>
        <v/>
      </c>
      <c r="AH63" s="180" t="str">
        <f>IF($AI63="","",INDEX('Roadmap Calc (Don’t Touch)'!$D$2:$D$204,$AI63))</f>
        <v/>
      </c>
      <c r="AI63" s="180" t="str">
        <f>IFERROR(MATCH(57,'Roadmap Calc (Don’t Touch)'!$O$2:$O$204,0),"")</f>
        <v/>
      </c>
    </row>
    <row r="64" spans="1:35" ht="17" customHeight="1" x14ac:dyDescent="0.25">
      <c r="A64" s="197" t="str">
        <f t="shared" si="1"/>
        <v/>
      </c>
      <c r="B64" s="198" t="str">
        <f>IF($AI64="","",INDEX('Roadmap Calc (Don’t Touch)'!$B$2:$B$204,$AI64))</f>
        <v/>
      </c>
      <c r="C64" s="199" t="str">
        <f>IF($AI64="","",INDEX('Roadmap Calc (Don’t Touch)'!$E$2:$E$204,$AI64))</f>
        <v/>
      </c>
      <c r="D64" s="200" t="str">
        <f>IF($AI64="","",INDEX('Roadmap Calc (Don’t Touch)'!$F$2:$F$204,$AI64))</f>
        <v/>
      </c>
      <c r="E64" s="201" t="str">
        <f>IF($AI64="","",IF(ISNUMBER(INDEX('Roadmap Calc (Don’t Touch)'!$G$2:$G$204,$AI64)),INDEX('Roadmap Calc (Don’t Touch)'!$G$2:$G$204,$AI64),""))</f>
        <v/>
      </c>
      <c r="F64" s="201" t="str">
        <f>IF($AI64="","",IF(ISNUMBER(INDEX('Roadmap Calc (Don’t Touch)'!$H$2:$H$204,$AI64)),INDEX('Roadmap Calc (Don’t Touch)'!$H$2:$H$204,$AI64),""))</f>
        <v/>
      </c>
      <c r="G64" s="202" t="str">
        <f>IF($AI64="","",INDEX('Roadmap Calc (Don’t Touch)'!$S$2:$S$204,$AI64))</f>
        <v/>
      </c>
      <c r="H64" s="203" t="str">
        <f>IF($AI64="","",IF(ISNUMBER(INDEX('Roadmap Calc (Don’t Touch)'!$I$2:$I$204,$AI64)),INDEX('Roadmap Calc (Don’t Touch)'!$I$2:$I$204,$AI64),""))</f>
        <v/>
      </c>
      <c r="I64" s="203" t="str">
        <f>IF($AI64="","",IF(ISNUMBER(INDEX('Roadmap Calc (Don’t Touch)'!$J$2:$J$204,$AI64)),INDEX('Roadmap Calc (Don’t Touch)'!$J$2:$J$204,$AI64),""))</f>
        <v/>
      </c>
      <c r="J64" s="204" t="str">
        <f>IF($AI64="","",IF(INDEX('Roadmap Calc (Don’t Touch)'!$W$2:$AT$204,$AI64,1)&gt;0,IF(AND($H64&lt;&gt;"",$H64&lt;=EOMONTH(J$3,0),$I64&gt;=J$3),"B","U"),IF(AND($H64&lt;&gt;"",$H64&lt;=EOMONTH(J$3,0),$I64&gt;=J$3),"D","")))</f>
        <v/>
      </c>
      <c r="K64" s="204" t="str">
        <f>IF($AI64="","",IF(INDEX('Roadmap Calc (Don’t Touch)'!$W$2:$AT$204,$AI64,2)&gt;0,IF(AND($H64&lt;&gt;"",$H64&lt;=EOMONTH(K$3,0),$I64&gt;=K$3),"B","U"),IF(AND($H64&lt;&gt;"",$H64&lt;=EOMONTH(K$3,0),$I64&gt;=K$3),"D","")))</f>
        <v/>
      </c>
      <c r="L64" s="204" t="str">
        <f>IF($AI64="","",IF(INDEX('Roadmap Calc (Don’t Touch)'!$W$2:$AT$204,$AI64,3)&gt;0,IF(AND($H64&lt;&gt;"",$H64&lt;=EOMONTH(L$3,0),$I64&gt;=L$3),"B","U"),IF(AND($H64&lt;&gt;"",$H64&lt;=EOMONTH(L$3,0),$I64&gt;=L$3),"D","")))</f>
        <v/>
      </c>
      <c r="M64" s="204" t="str">
        <f>IF($AI64="","",IF(INDEX('Roadmap Calc (Don’t Touch)'!$W$2:$AT$204,$AI64,4)&gt;0,IF(AND($H64&lt;&gt;"",$H64&lt;=EOMONTH(M$3,0),$I64&gt;=M$3),"B","U"),IF(AND($H64&lt;&gt;"",$H64&lt;=EOMONTH(M$3,0),$I64&gt;=M$3),"D","")))</f>
        <v/>
      </c>
      <c r="N64" s="204" t="str">
        <f>IF($AI64="","",IF(INDEX('Roadmap Calc (Don’t Touch)'!$W$2:$AT$204,$AI64,5)&gt;0,IF(AND($H64&lt;&gt;"",$H64&lt;=EOMONTH(N$3,0),$I64&gt;=N$3),"B","U"),IF(AND($H64&lt;&gt;"",$H64&lt;=EOMONTH(N$3,0),$I64&gt;=N$3),"D","")))</f>
        <v/>
      </c>
      <c r="O64" s="204" t="str">
        <f>IF($AI64="","",IF(INDEX('Roadmap Calc (Don’t Touch)'!$W$2:$AT$204,$AI64,6)&gt;0,IF(AND($H64&lt;&gt;"",$H64&lt;=EOMONTH(O$3,0),$I64&gt;=O$3),"B","U"),IF(AND($H64&lt;&gt;"",$H64&lt;=EOMONTH(O$3,0),$I64&gt;=O$3),"D","")))</f>
        <v/>
      </c>
      <c r="P64" s="204" t="str">
        <f>IF($AI64="","",IF(INDEX('Roadmap Calc (Don’t Touch)'!$W$2:$AT$204,$AI64,7)&gt;0,IF(AND($H64&lt;&gt;"",$H64&lt;=EOMONTH(P$3,0),$I64&gt;=P$3),"B","U"),IF(AND($H64&lt;&gt;"",$H64&lt;=EOMONTH(P$3,0),$I64&gt;=P$3),"D","")))</f>
        <v/>
      </c>
      <c r="Q64" s="204" t="str">
        <f>IF($AI64="","",IF(INDEX('Roadmap Calc (Don’t Touch)'!$W$2:$AT$204,$AI64,8)&gt;0,IF(AND($H64&lt;&gt;"",$H64&lt;=EOMONTH(Q$3,0),$I64&gt;=Q$3),"B","U"),IF(AND($H64&lt;&gt;"",$H64&lt;=EOMONTH(Q$3,0),$I64&gt;=Q$3),"D","")))</f>
        <v/>
      </c>
      <c r="R64" s="204" t="str">
        <f>IF($AI64="","",IF(INDEX('Roadmap Calc (Don’t Touch)'!$W$2:$AT$204,$AI64,9)&gt;0,IF(AND($H64&lt;&gt;"",$H64&lt;=EOMONTH(R$3,0),$I64&gt;=R$3),"B","U"),IF(AND($H64&lt;&gt;"",$H64&lt;=EOMONTH(R$3,0),$I64&gt;=R$3),"D","")))</f>
        <v/>
      </c>
      <c r="S64" s="204" t="str">
        <f>IF($AI64="","",IF(INDEX('Roadmap Calc (Don’t Touch)'!$W$2:$AT$204,$AI64,10)&gt;0,IF(AND($H64&lt;&gt;"",$H64&lt;=EOMONTH(S$3,0),$I64&gt;=S$3),"B","U"),IF(AND($H64&lt;&gt;"",$H64&lt;=EOMONTH(S$3,0),$I64&gt;=S$3),"D","")))</f>
        <v/>
      </c>
      <c r="T64" s="204" t="str">
        <f>IF($AI64="","",IF(INDEX('Roadmap Calc (Don’t Touch)'!$W$2:$AT$204,$AI64,11)&gt;0,IF(AND($H64&lt;&gt;"",$H64&lt;=EOMONTH(T$3,0),$I64&gt;=T$3),"B","U"),IF(AND($H64&lt;&gt;"",$H64&lt;=EOMONTH(T$3,0),$I64&gt;=T$3),"D","")))</f>
        <v/>
      </c>
      <c r="U64" s="204" t="str">
        <f>IF($AI64="","",IF(INDEX('Roadmap Calc (Don’t Touch)'!$W$2:$AT$204,$AI64,12)&gt;0,IF(AND($H64&lt;&gt;"",$H64&lt;=EOMONTH(U$3,0),$I64&gt;=U$3),"B","U"),IF(AND($H64&lt;&gt;"",$H64&lt;=EOMONTH(U$3,0),$I64&gt;=U$3),"D","")))</f>
        <v/>
      </c>
      <c r="V64" s="204" t="str">
        <f>IF($AI64="","",IF(INDEX('Roadmap Calc (Don’t Touch)'!$W$2:$AT$204,$AI64,13)&gt;0,IF(AND($H64&lt;&gt;"",$H64&lt;=EOMONTH(V$3,0),$I64&gt;=V$3),"B","U"),IF(AND($H64&lt;&gt;"",$H64&lt;=EOMONTH(V$3,0),$I64&gt;=V$3),"D","")))</f>
        <v/>
      </c>
      <c r="W64" s="204" t="str">
        <f>IF($AI64="","",IF(INDEX('Roadmap Calc (Don’t Touch)'!$W$2:$AT$204,$AI64,14)&gt;0,IF(AND($H64&lt;&gt;"",$H64&lt;=EOMONTH(W$3,0),$I64&gt;=W$3),"B","U"),IF(AND($H64&lt;&gt;"",$H64&lt;=EOMONTH(W$3,0),$I64&gt;=W$3),"D","")))</f>
        <v/>
      </c>
      <c r="X64" s="204" t="str">
        <f>IF($AI64="","",IF(INDEX('Roadmap Calc (Don’t Touch)'!$W$2:$AT$204,$AI64,15)&gt;0,IF(AND($H64&lt;&gt;"",$H64&lt;=EOMONTH(X$3,0),$I64&gt;=X$3),"B","U"),IF(AND($H64&lt;&gt;"",$H64&lt;=EOMONTH(X$3,0),$I64&gt;=X$3),"D","")))</f>
        <v/>
      </c>
      <c r="Y64" s="204" t="str">
        <f>IF($AI64="","",IF(INDEX('Roadmap Calc (Don’t Touch)'!$W$2:$AT$204,$AI64,16)&gt;0,IF(AND($H64&lt;&gt;"",$H64&lt;=EOMONTH(Y$3,0),$I64&gt;=Y$3),"B","U"),IF(AND($H64&lt;&gt;"",$H64&lt;=EOMONTH(Y$3,0),$I64&gt;=Y$3),"D","")))</f>
        <v/>
      </c>
      <c r="Z64" s="204" t="str">
        <f>IF($AI64="","",IF(INDEX('Roadmap Calc (Don’t Touch)'!$W$2:$AT$204,$AI64,17)&gt;0,IF(AND($H64&lt;&gt;"",$H64&lt;=EOMONTH(Z$3,0),$I64&gt;=Z$3),"B","U"),IF(AND($H64&lt;&gt;"",$H64&lt;=EOMONTH(Z$3,0),$I64&gt;=Z$3),"D","")))</f>
        <v/>
      </c>
      <c r="AA64" s="204" t="str">
        <f>IF($AI64="","",IF(INDEX('Roadmap Calc (Don’t Touch)'!$W$2:$AT$204,$AI64,18)&gt;0,IF(AND($H64&lt;&gt;"",$H64&lt;=EOMONTH(AA$3,0),$I64&gt;=AA$3),"B","U"),IF(AND($H64&lt;&gt;"",$H64&lt;=EOMONTH(AA$3,0),$I64&gt;=AA$3),"D","")))</f>
        <v/>
      </c>
      <c r="AB64" s="204" t="str">
        <f>IF($AI64="","",IF(INDEX('Roadmap Calc (Don’t Touch)'!$W$2:$AT$204,$AI64,19)&gt;0,IF(AND($H64&lt;&gt;"",$H64&lt;=EOMONTH(AB$3,0),$I64&gt;=AB$3),"B","U"),IF(AND($H64&lt;&gt;"",$H64&lt;=EOMONTH(AB$3,0),$I64&gt;=AB$3),"D","")))</f>
        <v/>
      </c>
      <c r="AC64" s="204" t="str">
        <f>IF($AI64="","",IF(INDEX('Roadmap Calc (Don’t Touch)'!$W$2:$AT$204,$AI64,20)&gt;0,IF(AND($H64&lt;&gt;"",$H64&lt;=EOMONTH(AC$3,0),$I64&gt;=AC$3),"B","U"),IF(AND($H64&lt;&gt;"",$H64&lt;=EOMONTH(AC$3,0),$I64&gt;=AC$3),"D","")))</f>
        <v/>
      </c>
      <c r="AD64" s="204" t="str">
        <f>IF($AI64="","",IF(INDEX('Roadmap Calc (Don’t Touch)'!$W$2:$AT$204,$AI64,21)&gt;0,IF(AND($H64&lt;&gt;"",$H64&lt;=EOMONTH(AD$3,0),$I64&gt;=AD$3),"B","U"),IF(AND($H64&lt;&gt;"",$H64&lt;=EOMONTH(AD$3,0),$I64&gt;=AD$3),"D","")))</f>
        <v/>
      </c>
      <c r="AE64" s="204" t="str">
        <f>IF($AI64="","",IF(INDEX('Roadmap Calc (Don’t Touch)'!$W$2:$AT$204,$AI64,22)&gt;0,IF(AND($H64&lt;&gt;"",$H64&lt;=EOMONTH(AE$3,0),$I64&gt;=AE$3),"B","U"),IF(AND($H64&lt;&gt;"",$H64&lt;=EOMONTH(AE$3,0),$I64&gt;=AE$3),"D","")))</f>
        <v/>
      </c>
      <c r="AF64" s="204" t="str">
        <f>IF($AI64="","",IF(INDEX('Roadmap Calc (Don’t Touch)'!$W$2:$AT$204,$AI64,23)&gt;0,IF(AND($H64&lt;&gt;"",$H64&lt;=EOMONTH(AF$3,0),$I64&gt;=AF$3),"B","U"),IF(AND($H64&lt;&gt;"",$H64&lt;=EOMONTH(AF$3,0),$I64&gt;=AF$3),"D","")))</f>
        <v/>
      </c>
      <c r="AG64" s="204" t="str">
        <f>IF($AI64="","",IF(INDEX('Roadmap Calc (Don’t Touch)'!$W$2:$AT$204,$AI64,24)&gt;0,IF(AND($H64&lt;&gt;"",$H64&lt;=EOMONTH(AG$3,0),$I64&gt;=AG$3),"B","U"),IF(AND($H64&lt;&gt;"",$H64&lt;=EOMONTH(AG$3,0),$I64&gt;=AG$3),"D","")))</f>
        <v/>
      </c>
      <c r="AH64" s="180" t="str">
        <f>IF($AI64="","",INDEX('Roadmap Calc (Don’t Touch)'!$D$2:$D$204,$AI64))</f>
        <v/>
      </c>
      <c r="AI64" s="180" t="str">
        <f>IFERROR(MATCH(58,'Roadmap Calc (Don’t Touch)'!$O$2:$O$204,0),"")</f>
        <v/>
      </c>
    </row>
    <row r="65" spans="1:35" ht="17" customHeight="1" x14ac:dyDescent="0.25">
      <c r="A65" s="197" t="str">
        <f t="shared" si="1"/>
        <v/>
      </c>
      <c r="B65" s="198" t="str">
        <f>IF($AI65="","",INDEX('Roadmap Calc (Don’t Touch)'!$B$2:$B$204,$AI65))</f>
        <v/>
      </c>
      <c r="C65" s="199" t="str">
        <f>IF($AI65="","",INDEX('Roadmap Calc (Don’t Touch)'!$E$2:$E$204,$AI65))</f>
        <v/>
      </c>
      <c r="D65" s="200" t="str">
        <f>IF($AI65="","",INDEX('Roadmap Calc (Don’t Touch)'!$F$2:$F$204,$AI65))</f>
        <v/>
      </c>
      <c r="E65" s="201" t="str">
        <f>IF($AI65="","",IF(ISNUMBER(INDEX('Roadmap Calc (Don’t Touch)'!$G$2:$G$204,$AI65)),INDEX('Roadmap Calc (Don’t Touch)'!$G$2:$G$204,$AI65),""))</f>
        <v/>
      </c>
      <c r="F65" s="201" t="str">
        <f>IF($AI65="","",IF(ISNUMBER(INDEX('Roadmap Calc (Don’t Touch)'!$H$2:$H$204,$AI65)),INDEX('Roadmap Calc (Don’t Touch)'!$H$2:$H$204,$AI65),""))</f>
        <v/>
      </c>
      <c r="G65" s="202" t="str">
        <f>IF($AI65="","",INDEX('Roadmap Calc (Don’t Touch)'!$S$2:$S$204,$AI65))</f>
        <v/>
      </c>
      <c r="H65" s="203" t="str">
        <f>IF($AI65="","",IF(ISNUMBER(INDEX('Roadmap Calc (Don’t Touch)'!$I$2:$I$204,$AI65)),INDEX('Roadmap Calc (Don’t Touch)'!$I$2:$I$204,$AI65),""))</f>
        <v/>
      </c>
      <c r="I65" s="203" t="str">
        <f>IF($AI65="","",IF(ISNUMBER(INDEX('Roadmap Calc (Don’t Touch)'!$J$2:$J$204,$AI65)),INDEX('Roadmap Calc (Don’t Touch)'!$J$2:$J$204,$AI65),""))</f>
        <v/>
      </c>
      <c r="J65" s="204" t="str">
        <f>IF($AI65="","",IF(INDEX('Roadmap Calc (Don’t Touch)'!$W$2:$AT$204,$AI65,1)&gt;0,IF(AND($H65&lt;&gt;"",$H65&lt;=EOMONTH(J$3,0),$I65&gt;=J$3),"B","U"),IF(AND($H65&lt;&gt;"",$H65&lt;=EOMONTH(J$3,0),$I65&gt;=J$3),"D","")))</f>
        <v/>
      </c>
      <c r="K65" s="204" t="str">
        <f>IF($AI65="","",IF(INDEX('Roadmap Calc (Don’t Touch)'!$W$2:$AT$204,$AI65,2)&gt;0,IF(AND($H65&lt;&gt;"",$H65&lt;=EOMONTH(K$3,0),$I65&gt;=K$3),"B","U"),IF(AND($H65&lt;&gt;"",$H65&lt;=EOMONTH(K$3,0),$I65&gt;=K$3),"D","")))</f>
        <v/>
      </c>
      <c r="L65" s="204" t="str">
        <f>IF($AI65="","",IF(INDEX('Roadmap Calc (Don’t Touch)'!$W$2:$AT$204,$AI65,3)&gt;0,IF(AND($H65&lt;&gt;"",$H65&lt;=EOMONTH(L$3,0),$I65&gt;=L$3),"B","U"),IF(AND($H65&lt;&gt;"",$H65&lt;=EOMONTH(L$3,0),$I65&gt;=L$3),"D","")))</f>
        <v/>
      </c>
      <c r="M65" s="204" t="str">
        <f>IF($AI65="","",IF(INDEX('Roadmap Calc (Don’t Touch)'!$W$2:$AT$204,$AI65,4)&gt;0,IF(AND($H65&lt;&gt;"",$H65&lt;=EOMONTH(M$3,0),$I65&gt;=M$3),"B","U"),IF(AND($H65&lt;&gt;"",$H65&lt;=EOMONTH(M$3,0),$I65&gt;=M$3),"D","")))</f>
        <v/>
      </c>
      <c r="N65" s="204" t="str">
        <f>IF($AI65="","",IF(INDEX('Roadmap Calc (Don’t Touch)'!$W$2:$AT$204,$AI65,5)&gt;0,IF(AND($H65&lt;&gt;"",$H65&lt;=EOMONTH(N$3,0),$I65&gt;=N$3),"B","U"),IF(AND($H65&lt;&gt;"",$H65&lt;=EOMONTH(N$3,0),$I65&gt;=N$3),"D","")))</f>
        <v/>
      </c>
      <c r="O65" s="204" t="str">
        <f>IF($AI65="","",IF(INDEX('Roadmap Calc (Don’t Touch)'!$W$2:$AT$204,$AI65,6)&gt;0,IF(AND($H65&lt;&gt;"",$H65&lt;=EOMONTH(O$3,0),$I65&gt;=O$3),"B","U"),IF(AND($H65&lt;&gt;"",$H65&lt;=EOMONTH(O$3,0),$I65&gt;=O$3),"D","")))</f>
        <v/>
      </c>
      <c r="P65" s="204" t="str">
        <f>IF($AI65="","",IF(INDEX('Roadmap Calc (Don’t Touch)'!$W$2:$AT$204,$AI65,7)&gt;0,IF(AND($H65&lt;&gt;"",$H65&lt;=EOMONTH(P$3,0),$I65&gt;=P$3),"B","U"),IF(AND($H65&lt;&gt;"",$H65&lt;=EOMONTH(P$3,0),$I65&gt;=P$3),"D","")))</f>
        <v/>
      </c>
      <c r="Q65" s="204" t="str">
        <f>IF($AI65="","",IF(INDEX('Roadmap Calc (Don’t Touch)'!$W$2:$AT$204,$AI65,8)&gt;0,IF(AND($H65&lt;&gt;"",$H65&lt;=EOMONTH(Q$3,0),$I65&gt;=Q$3),"B","U"),IF(AND($H65&lt;&gt;"",$H65&lt;=EOMONTH(Q$3,0),$I65&gt;=Q$3),"D","")))</f>
        <v/>
      </c>
      <c r="R65" s="204" t="str">
        <f>IF($AI65="","",IF(INDEX('Roadmap Calc (Don’t Touch)'!$W$2:$AT$204,$AI65,9)&gt;0,IF(AND($H65&lt;&gt;"",$H65&lt;=EOMONTH(R$3,0),$I65&gt;=R$3),"B","U"),IF(AND($H65&lt;&gt;"",$H65&lt;=EOMONTH(R$3,0),$I65&gt;=R$3),"D","")))</f>
        <v/>
      </c>
      <c r="S65" s="204" t="str">
        <f>IF($AI65="","",IF(INDEX('Roadmap Calc (Don’t Touch)'!$W$2:$AT$204,$AI65,10)&gt;0,IF(AND($H65&lt;&gt;"",$H65&lt;=EOMONTH(S$3,0),$I65&gt;=S$3),"B","U"),IF(AND($H65&lt;&gt;"",$H65&lt;=EOMONTH(S$3,0),$I65&gt;=S$3),"D","")))</f>
        <v/>
      </c>
      <c r="T65" s="204" t="str">
        <f>IF($AI65="","",IF(INDEX('Roadmap Calc (Don’t Touch)'!$W$2:$AT$204,$AI65,11)&gt;0,IF(AND($H65&lt;&gt;"",$H65&lt;=EOMONTH(T$3,0),$I65&gt;=T$3),"B","U"),IF(AND($H65&lt;&gt;"",$H65&lt;=EOMONTH(T$3,0),$I65&gt;=T$3),"D","")))</f>
        <v/>
      </c>
      <c r="U65" s="204" t="str">
        <f>IF($AI65="","",IF(INDEX('Roadmap Calc (Don’t Touch)'!$W$2:$AT$204,$AI65,12)&gt;0,IF(AND($H65&lt;&gt;"",$H65&lt;=EOMONTH(U$3,0),$I65&gt;=U$3),"B","U"),IF(AND($H65&lt;&gt;"",$H65&lt;=EOMONTH(U$3,0),$I65&gt;=U$3),"D","")))</f>
        <v/>
      </c>
      <c r="V65" s="204" t="str">
        <f>IF($AI65="","",IF(INDEX('Roadmap Calc (Don’t Touch)'!$W$2:$AT$204,$AI65,13)&gt;0,IF(AND($H65&lt;&gt;"",$H65&lt;=EOMONTH(V$3,0),$I65&gt;=V$3),"B","U"),IF(AND($H65&lt;&gt;"",$H65&lt;=EOMONTH(V$3,0),$I65&gt;=V$3),"D","")))</f>
        <v/>
      </c>
      <c r="W65" s="204" t="str">
        <f>IF($AI65="","",IF(INDEX('Roadmap Calc (Don’t Touch)'!$W$2:$AT$204,$AI65,14)&gt;0,IF(AND($H65&lt;&gt;"",$H65&lt;=EOMONTH(W$3,0),$I65&gt;=W$3),"B","U"),IF(AND($H65&lt;&gt;"",$H65&lt;=EOMONTH(W$3,0),$I65&gt;=W$3),"D","")))</f>
        <v/>
      </c>
      <c r="X65" s="204" t="str">
        <f>IF($AI65="","",IF(INDEX('Roadmap Calc (Don’t Touch)'!$W$2:$AT$204,$AI65,15)&gt;0,IF(AND($H65&lt;&gt;"",$H65&lt;=EOMONTH(X$3,0),$I65&gt;=X$3),"B","U"),IF(AND($H65&lt;&gt;"",$H65&lt;=EOMONTH(X$3,0),$I65&gt;=X$3),"D","")))</f>
        <v/>
      </c>
      <c r="Y65" s="204" t="str">
        <f>IF($AI65="","",IF(INDEX('Roadmap Calc (Don’t Touch)'!$W$2:$AT$204,$AI65,16)&gt;0,IF(AND($H65&lt;&gt;"",$H65&lt;=EOMONTH(Y$3,0),$I65&gt;=Y$3),"B","U"),IF(AND($H65&lt;&gt;"",$H65&lt;=EOMONTH(Y$3,0),$I65&gt;=Y$3),"D","")))</f>
        <v/>
      </c>
      <c r="Z65" s="204" t="str">
        <f>IF($AI65="","",IF(INDEX('Roadmap Calc (Don’t Touch)'!$W$2:$AT$204,$AI65,17)&gt;0,IF(AND($H65&lt;&gt;"",$H65&lt;=EOMONTH(Z$3,0),$I65&gt;=Z$3),"B","U"),IF(AND($H65&lt;&gt;"",$H65&lt;=EOMONTH(Z$3,0),$I65&gt;=Z$3),"D","")))</f>
        <v/>
      </c>
      <c r="AA65" s="204" t="str">
        <f>IF($AI65="","",IF(INDEX('Roadmap Calc (Don’t Touch)'!$W$2:$AT$204,$AI65,18)&gt;0,IF(AND($H65&lt;&gt;"",$H65&lt;=EOMONTH(AA$3,0),$I65&gt;=AA$3),"B","U"),IF(AND($H65&lt;&gt;"",$H65&lt;=EOMONTH(AA$3,0),$I65&gt;=AA$3),"D","")))</f>
        <v/>
      </c>
      <c r="AB65" s="204" t="str">
        <f>IF($AI65="","",IF(INDEX('Roadmap Calc (Don’t Touch)'!$W$2:$AT$204,$AI65,19)&gt;0,IF(AND($H65&lt;&gt;"",$H65&lt;=EOMONTH(AB$3,0),$I65&gt;=AB$3),"B","U"),IF(AND($H65&lt;&gt;"",$H65&lt;=EOMONTH(AB$3,0),$I65&gt;=AB$3),"D","")))</f>
        <v/>
      </c>
      <c r="AC65" s="204" t="str">
        <f>IF($AI65="","",IF(INDEX('Roadmap Calc (Don’t Touch)'!$W$2:$AT$204,$AI65,20)&gt;0,IF(AND($H65&lt;&gt;"",$H65&lt;=EOMONTH(AC$3,0),$I65&gt;=AC$3),"B","U"),IF(AND($H65&lt;&gt;"",$H65&lt;=EOMONTH(AC$3,0),$I65&gt;=AC$3),"D","")))</f>
        <v/>
      </c>
      <c r="AD65" s="204" t="str">
        <f>IF($AI65="","",IF(INDEX('Roadmap Calc (Don’t Touch)'!$W$2:$AT$204,$AI65,21)&gt;0,IF(AND($H65&lt;&gt;"",$H65&lt;=EOMONTH(AD$3,0),$I65&gt;=AD$3),"B","U"),IF(AND($H65&lt;&gt;"",$H65&lt;=EOMONTH(AD$3,0),$I65&gt;=AD$3),"D","")))</f>
        <v/>
      </c>
      <c r="AE65" s="204" t="str">
        <f>IF($AI65="","",IF(INDEX('Roadmap Calc (Don’t Touch)'!$W$2:$AT$204,$AI65,22)&gt;0,IF(AND($H65&lt;&gt;"",$H65&lt;=EOMONTH(AE$3,0),$I65&gt;=AE$3),"B","U"),IF(AND($H65&lt;&gt;"",$H65&lt;=EOMONTH(AE$3,0),$I65&gt;=AE$3),"D","")))</f>
        <v/>
      </c>
      <c r="AF65" s="204" t="str">
        <f>IF($AI65="","",IF(INDEX('Roadmap Calc (Don’t Touch)'!$W$2:$AT$204,$AI65,23)&gt;0,IF(AND($H65&lt;&gt;"",$H65&lt;=EOMONTH(AF$3,0),$I65&gt;=AF$3),"B","U"),IF(AND($H65&lt;&gt;"",$H65&lt;=EOMONTH(AF$3,0),$I65&gt;=AF$3),"D","")))</f>
        <v/>
      </c>
      <c r="AG65" s="204" t="str">
        <f>IF($AI65="","",IF(INDEX('Roadmap Calc (Don’t Touch)'!$W$2:$AT$204,$AI65,24)&gt;0,IF(AND($H65&lt;&gt;"",$H65&lt;=EOMONTH(AG$3,0),$I65&gt;=AG$3),"B","U"),IF(AND($H65&lt;&gt;"",$H65&lt;=EOMONTH(AG$3,0),$I65&gt;=AG$3),"D","")))</f>
        <v/>
      </c>
      <c r="AH65" s="180" t="str">
        <f>IF($AI65="","",INDEX('Roadmap Calc (Don’t Touch)'!$D$2:$D$204,$AI65))</f>
        <v/>
      </c>
      <c r="AI65" s="180" t="str">
        <f>IFERROR(MATCH(59,'Roadmap Calc (Don’t Touch)'!$O$2:$O$204,0),"")</f>
        <v/>
      </c>
    </row>
    <row r="66" spans="1:35" ht="17" customHeight="1" x14ac:dyDescent="0.25">
      <c r="A66" s="197" t="str">
        <f t="shared" si="1"/>
        <v/>
      </c>
      <c r="B66" s="198" t="str">
        <f>IF($AI66="","",INDEX('Roadmap Calc (Don’t Touch)'!$B$2:$B$204,$AI66))</f>
        <v/>
      </c>
      <c r="C66" s="199" t="str">
        <f>IF($AI66="","",INDEX('Roadmap Calc (Don’t Touch)'!$E$2:$E$204,$AI66))</f>
        <v/>
      </c>
      <c r="D66" s="200" t="str">
        <f>IF($AI66="","",INDEX('Roadmap Calc (Don’t Touch)'!$F$2:$F$204,$AI66))</f>
        <v/>
      </c>
      <c r="E66" s="201" t="str">
        <f>IF($AI66="","",IF(ISNUMBER(INDEX('Roadmap Calc (Don’t Touch)'!$G$2:$G$204,$AI66)),INDEX('Roadmap Calc (Don’t Touch)'!$G$2:$G$204,$AI66),""))</f>
        <v/>
      </c>
      <c r="F66" s="201" t="str">
        <f>IF($AI66="","",IF(ISNUMBER(INDEX('Roadmap Calc (Don’t Touch)'!$H$2:$H$204,$AI66)),INDEX('Roadmap Calc (Don’t Touch)'!$H$2:$H$204,$AI66),""))</f>
        <v/>
      </c>
      <c r="G66" s="202" t="str">
        <f>IF($AI66="","",INDEX('Roadmap Calc (Don’t Touch)'!$S$2:$S$204,$AI66))</f>
        <v/>
      </c>
      <c r="H66" s="203" t="str">
        <f>IF($AI66="","",IF(ISNUMBER(INDEX('Roadmap Calc (Don’t Touch)'!$I$2:$I$204,$AI66)),INDEX('Roadmap Calc (Don’t Touch)'!$I$2:$I$204,$AI66),""))</f>
        <v/>
      </c>
      <c r="I66" s="203" t="str">
        <f>IF($AI66="","",IF(ISNUMBER(INDEX('Roadmap Calc (Don’t Touch)'!$J$2:$J$204,$AI66)),INDEX('Roadmap Calc (Don’t Touch)'!$J$2:$J$204,$AI66),""))</f>
        <v/>
      </c>
      <c r="J66" s="204" t="str">
        <f>IF($AI66="","",IF(INDEX('Roadmap Calc (Don’t Touch)'!$W$2:$AT$204,$AI66,1)&gt;0,IF(AND($H66&lt;&gt;"",$H66&lt;=EOMONTH(J$3,0),$I66&gt;=J$3),"B","U"),IF(AND($H66&lt;&gt;"",$H66&lt;=EOMONTH(J$3,0),$I66&gt;=J$3),"D","")))</f>
        <v/>
      </c>
      <c r="K66" s="204" t="str">
        <f>IF($AI66="","",IF(INDEX('Roadmap Calc (Don’t Touch)'!$W$2:$AT$204,$AI66,2)&gt;0,IF(AND($H66&lt;&gt;"",$H66&lt;=EOMONTH(K$3,0),$I66&gt;=K$3),"B","U"),IF(AND($H66&lt;&gt;"",$H66&lt;=EOMONTH(K$3,0),$I66&gt;=K$3),"D","")))</f>
        <v/>
      </c>
      <c r="L66" s="204" t="str">
        <f>IF($AI66="","",IF(INDEX('Roadmap Calc (Don’t Touch)'!$W$2:$AT$204,$AI66,3)&gt;0,IF(AND($H66&lt;&gt;"",$H66&lt;=EOMONTH(L$3,0),$I66&gt;=L$3),"B","U"),IF(AND($H66&lt;&gt;"",$H66&lt;=EOMONTH(L$3,0),$I66&gt;=L$3),"D","")))</f>
        <v/>
      </c>
      <c r="M66" s="204" t="str">
        <f>IF($AI66="","",IF(INDEX('Roadmap Calc (Don’t Touch)'!$W$2:$AT$204,$AI66,4)&gt;0,IF(AND($H66&lt;&gt;"",$H66&lt;=EOMONTH(M$3,0),$I66&gt;=M$3),"B","U"),IF(AND($H66&lt;&gt;"",$H66&lt;=EOMONTH(M$3,0),$I66&gt;=M$3),"D","")))</f>
        <v/>
      </c>
      <c r="N66" s="204" t="str">
        <f>IF($AI66="","",IF(INDEX('Roadmap Calc (Don’t Touch)'!$W$2:$AT$204,$AI66,5)&gt;0,IF(AND($H66&lt;&gt;"",$H66&lt;=EOMONTH(N$3,0),$I66&gt;=N$3),"B","U"),IF(AND($H66&lt;&gt;"",$H66&lt;=EOMONTH(N$3,0),$I66&gt;=N$3),"D","")))</f>
        <v/>
      </c>
      <c r="O66" s="204" t="str">
        <f>IF($AI66="","",IF(INDEX('Roadmap Calc (Don’t Touch)'!$W$2:$AT$204,$AI66,6)&gt;0,IF(AND($H66&lt;&gt;"",$H66&lt;=EOMONTH(O$3,0),$I66&gt;=O$3),"B","U"),IF(AND($H66&lt;&gt;"",$H66&lt;=EOMONTH(O$3,0),$I66&gt;=O$3),"D","")))</f>
        <v/>
      </c>
      <c r="P66" s="204" t="str">
        <f>IF($AI66="","",IF(INDEX('Roadmap Calc (Don’t Touch)'!$W$2:$AT$204,$AI66,7)&gt;0,IF(AND($H66&lt;&gt;"",$H66&lt;=EOMONTH(P$3,0),$I66&gt;=P$3),"B","U"),IF(AND($H66&lt;&gt;"",$H66&lt;=EOMONTH(P$3,0),$I66&gt;=P$3),"D","")))</f>
        <v/>
      </c>
      <c r="Q66" s="204" t="str">
        <f>IF($AI66="","",IF(INDEX('Roadmap Calc (Don’t Touch)'!$W$2:$AT$204,$AI66,8)&gt;0,IF(AND($H66&lt;&gt;"",$H66&lt;=EOMONTH(Q$3,0),$I66&gt;=Q$3),"B","U"),IF(AND($H66&lt;&gt;"",$H66&lt;=EOMONTH(Q$3,0),$I66&gt;=Q$3),"D","")))</f>
        <v/>
      </c>
      <c r="R66" s="204" t="str">
        <f>IF($AI66="","",IF(INDEX('Roadmap Calc (Don’t Touch)'!$W$2:$AT$204,$AI66,9)&gt;0,IF(AND($H66&lt;&gt;"",$H66&lt;=EOMONTH(R$3,0),$I66&gt;=R$3),"B","U"),IF(AND($H66&lt;&gt;"",$H66&lt;=EOMONTH(R$3,0),$I66&gt;=R$3),"D","")))</f>
        <v/>
      </c>
      <c r="S66" s="204" t="str">
        <f>IF($AI66="","",IF(INDEX('Roadmap Calc (Don’t Touch)'!$W$2:$AT$204,$AI66,10)&gt;0,IF(AND($H66&lt;&gt;"",$H66&lt;=EOMONTH(S$3,0),$I66&gt;=S$3),"B","U"),IF(AND($H66&lt;&gt;"",$H66&lt;=EOMONTH(S$3,0),$I66&gt;=S$3),"D","")))</f>
        <v/>
      </c>
      <c r="T66" s="204" t="str">
        <f>IF($AI66="","",IF(INDEX('Roadmap Calc (Don’t Touch)'!$W$2:$AT$204,$AI66,11)&gt;0,IF(AND($H66&lt;&gt;"",$H66&lt;=EOMONTH(T$3,0),$I66&gt;=T$3),"B","U"),IF(AND($H66&lt;&gt;"",$H66&lt;=EOMONTH(T$3,0),$I66&gt;=T$3),"D","")))</f>
        <v/>
      </c>
      <c r="U66" s="204" t="str">
        <f>IF($AI66="","",IF(INDEX('Roadmap Calc (Don’t Touch)'!$W$2:$AT$204,$AI66,12)&gt;0,IF(AND($H66&lt;&gt;"",$H66&lt;=EOMONTH(U$3,0),$I66&gt;=U$3),"B","U"),IF(AND($H66&lt;&gt;"",$H66&lt;=EOMONTH(U$3,0),$I66&gt;=U$3),"D","")))</f>
        <v/>
      </c>
      <c r="V66" s="204" t="str">
        <f>IF($AI66="","",IF(INDEX('Roadmap Calc (Don’t Touch)'!$W$2:$AT$204,$AI66,13)&gt;0,IF(AND($H66&lt;&gt;"",$H66&lt;=EOMONTH(V$3,0),$I66&gt;=V$3),"B","U"),IF(AND($H66&lt;&gt;"",$H66&lt;=EOMONTH(V$3,0),$I66&gt;=V$3),"D","")))</f>
        <v/>
      </c>
      <c r="W66" s="204" t="str">
        <f>IF($AI66="","",IF(INDEX('Roadmap Calc (Don’t Touch)'!$W$2:$AT$204,$AI66,14)&gt;0,IF(AND($H66&lt;&gt;"",$H66&lt;=EOMONTH(W$3,0),$I66&gt;=W$3),"B","U"),IF(AND($H66&lt;&gt;"",$H66&lt;=EOMONTH(W$3,0),$I66&gt;=W$3),"D","")))</f>
        <v/>
      </c>
      <c r="X66" s="204" t="str">
        <f>IF($AI66="","",IF(INDEX('Roadmap Calc (Don’t Touch)'!$W$2:$AT$204,$AI66,15)&gt;0,IF(AND($H66&lt;&gt;"",$H66&lt;=EOMONTH(X$3,0),$I66&gt;=X$3),"B","U"),IF(AND($H66&lt;&gt;"",$H66&lt;=EOMONTH(X$3,0),$I66&gt;=X$3),"D","")))</f>
        <v/>
      </c>
      <c r="Y66" s="204" t="str">
        <f>IF($AI66="","",IF(INDEX('Roadmap Calc (Don’t Touch)'!$W$2:$AT$204,$AI66,16)&gt;0,IF(AND($H66&lt;&gt;"",$H66&lt;=EOMONTH(Y$3,0),$I66&gt;=Y$3),"B","U"),IF(AND($H66&lt;&gt;"",$H66&lt;=EOMONTH(Y$3,0),$I66&gt;=Y$3),"D","")))</f>
        <v/>
      </c>
      <c r="Z66" s="204" t="str">
        <f>IF($AI66="","",IF(INDEX('Roadmap Calc (Don’t Touch)'!$W$2:$AT$204,$AI66,17)&gt;0,IF(AND($H66&lt;&gt;"",$H66&lt;=EOMONTH(Z$3,0),$I66&gt;=Z$3),"B","U"),IF(AND($H66&lt;&gt;"",$H66&lt;=EOMONTH(Z$3,0),$I66&gt;=Z$3),"D","")))</f>
        <v/>
      </c>
      <c r="AA66" s="204" t="str">
        <f>IF($AI66="","",IF(INDEX('Roadmap Calc (Don’t Touch)'!$W$2:$AT$204,$AI66,18)&gt;0,IF(AND($H66&lt;&gt;"",$H66&lt;=EOMONTH(AA$3,0),$I66&gt;=AA$3),"B","U"),IF(AND($H66&lt;&gt;"",$H66&lt;=EOMONTH(AA$3,0),$I66&gt;=AA$3),"D","")))</f>
        <v/>
      </c>
      <c r="AB66" s="204" t="str">
        <f>IF($AI66="","",IF(INDEX('Roadmap Calc (Don’t Touch)'!$W$2:$AT$204,$AI66,19)&gt;0,IF(AND($H66&lt;&gt;"",$H66&lt;=EOMONTH(AB$3,0),$I66&gt;=AB$3),"B","U"),IF(AND($H66&lt;&gt;"",$H66&lt;=EOMONTH(AB$3,0),$I66&gt;=AB$3),"D","")))</f>
        <v/>
      </c>
      <c r="AC66" s="204" t="str">
        <f>IF($AI66="","",IF(INDEX('Roadmap Calc (Don’t Touch)'!$W$2:$AT$204,$AI66,20)&gt;0,IF(AND($H66&lt;&gt;"",$H66&lt;=EOMONTH(AC$3,0),$I66&gt;=AC$3),"B","U"),IF(AND($H66&lt;&gt;"",$H66&lt;=EOMONTH(AC$3,0),$I66&gt;=AC$3),"D","")))</f>
        <v/>
      </c>
      <c r="AD66" s="204" t="str">
        <f>IF($AI66="","",IF(INDEX('Roadmap Calc (Don’t Touch)'!$W$2:$AT$204,$AI66,21)&gt;0,IF(AND($H66&lt;&gt;"",$H66&lt;=EOMONTH(AD$3,0),$I66&gt;=AD$3),"B","U"),IF(AND($H66&lt;&gt;"",$H66&lt;=EOMONTH(AD$3,0),$I66&gt;=AD$3),"D","")))</f>
        <v/>
      </c>
      <c r="AE66" s="204" t="str">
        <f>IF($AI66="","",IF(INDEX('Roadmap Calc (Don’t Touch)'!$W$2:$AT$204,$AI66,22)&gt;0,IF(AND($H66&lt;&gt;"",$H66&lt;=EOMONTH(AE$3,0),$I66&gt;=AE$3),"B","U"),IF(AND($H66&lt;&gt;"",$H66&lt;=EOMONTH(AE$3,0),$I66&gt;=AE$3),"D","")))</f>
        <v/>
      </c>
      <c r="AF66" s="204" t="str">
        <f>IF($AI66="","",IF(INDEX('Roadmap Calc (Don’t Touch)'!$W$2:$AT$204,$AI66,23)&gt;0,IF(AND($H66&lt;&gt;"",$H66&lt;=EOMONTH(AF$3,0),$I66&gt;=AF$3),"B","U"),IF(AND($H66&lt;&gt;"",$H66&lt;=EOMONTH(AF$3,0),$I66&gt;=AF$3),"D","")))</f>
        <v/>
      </c>
      <c r="AG66" s="204" t="str">
        <f>IF($AI66="","",IF(INDEX('Roadmap Calc (Don’t Touch)'!$W$2:$AT$204,$AI66,24)&gt;0,IF(AND($H66&lt;&gt;"",$H66&lt;=EOMONTH(AG$3,0),$I66&gt;=AG$3),"B","U"),IF(AND($H66&lt;&gt;"",$H66&lt;=EOMONTH(AG$3,0),$I66&gt;=AG$3),"D","")))</f>
        <v/>
      </c>
      <c r="AH66" s="180" t="str">
        <f>IF($AI66="","",INDEX('Roadmap Calc (Don’t Touch)'!$D$2:$D$204,$AI66))</f>
        <v/>
      </c>
      <c r="AI66" s="180" t="str">
        <f>IFERROR(MATCH(60,'Roadmap Calc (Don’t Touch)'!$O$2:$O$204,0),"")</f>
        <v/>
      </c>
    </row>
    <row r="67" spans="1:35" ht="17" customHeight="1" x14ac:dyDescent="0.25">
      <c r="A67" s="197" t="str">
        <f t="shared" si="1"/>
        <v/>
      </c>
      <c r="B67" s="198" t="str">
        <f>IF($AI67="","",INDEX('Roadmap Calc (Don’t Touch)'!$B$2:$B$204,$AI67))</f>
        <v/>
      </c>
      <c r="C67" s="199" t="str">
        <f>IF($AI67="","",INDEX('Roadmap Calc (Don’t Touch)'!$E$2:$E$204,$AI67))</f>
        <v/>
      </c>
      <c r="D67" s="200" t="str">
        <f>IF($AI67="","",INDEX('Roadmap Calc (Don’t Touch)'!$F$2:$F$204,$AI67))</f>
        <v/>
      </c>
      <c r="E67" s="201" t="str">
        <f>IF($AI67="","",IF(ISNUMBER(INDEX('Roadmap Calc (Don’t Touch)'!$G$2:$G$204,$AI67)),INDEX('Roadmap Calc (Don’t Touch)'!$G$2:$G$204,$AI67),""))</f>
        <v/>
      </c>
      <c r="F67" s="201" t="str">
        <f>IF($AI67="","",IF(ISNUMBER(INDEX('Roadmap Calc (Don’t Touch)'!$H$2:$H$204,$AI67)),INDEX('Roadmap Calc (Don’t Touch)'!$H$2:$H$204,$AI67),""))</f>
        <v/>
      </c>
      <c r="G67" s="202" t="str">
        <f>IF($AI67="","",INDEX('Roadmap Calc (Don’t Touch)'!$S$2:$S$204,$AI67))</f>
        <v/>
      </c>
      <c r="H67" s="203" t="str">
        <f>IF($AI67="","",IF(ISNUMBER(INDEX('Roadmap Calc (Don’t Touch)'!$I$2:$I$204,$AI67)),INDEX('Roadmap Calc (Don’t Touch)'!$I$2:$I$204,$AI67),""))</f>
        <v/>
      </c>
      <c r="I67" s="203" t="str">
        <f>IF($AI67="","",IF(ISNUMBER(INDEX('Roadmap Calc (Don’t Touch)'!$J$2:$J$204,$AI67)),INDEX('Roadmap Calc (Don’t Touch)'!$J$2:$J$204,$AI67),""))</f>
        <v/>
      </c>
      <c r="J67" s="204" t="str">
        <f>IF($AI67="","",IF(INDEX('Roadmap Calc (Don’t Touch)'!$W$2:$AT$204,$AI67,1)&gt;0,IF(AND($H67&lt;&gt;"",$H67&lt;=EOMONTH(J$3,0),$I67&gt;=J$3),"B","U"),IF(AND($H67&lt;&gt;"",$H67&lt;=EOMONTH(J$3,0),$I67&gt;=J$3),"D","")))</f>
        <v/>
      </c>
      <c r="K67" s="204" t="str">
        <f>IF($AI67="","",IF(INDEX('Roadmap Calc (Don’t Touch)'!$W$2:$AT$204,$AI67,2)&gt;0,IF(AND($H67&lt;&gt;"",$H67&lt;=EOMONTH(K$3,0),$I67&gt;=K$3),"B","U"),IF(AND($H67&lt;&gt;"",$H67&lt;=EOMONTH(K$3,0),$I67&gt;=K$3),"D","")))</f>
        <v/>
      </c>
      <c r="L67" s="204" t="str">
        <f>IF($AI67="","",IF(INDEX('Roadmap Calc (Don’t Touch)'!$W$2:$AT$204,$AI67,3)&gt;0,IF(AND($H67&lt;&gt;"",$H67&lt;=EOMONTH(L$3,0),$I67&gt;=L$3),"B","U"),IF(AND($H67&lt;&gt;"",$H67&lt;=EOMONTH(L$3,0),$I67&gt;=L$3),"D","")))</f>
        <v/>
      </c>
      <c r="M67" s="204" t="str">
        <f>IF($AI67="","",IF(INDEX('Roadmap Calc (Don’t Touch)'!$W$2:$AT$204,$AI67,4)&gt;0,IF(AND($H67&lt;&gt;"",$H67&lt;=EOMONTH(M$3,0),$I67&gt;=M$3),"B","U"),IF(AND($H67&lt;&gt;"",$H67&lt;=EOMONTH(M$3,0),$I67&gt;=M$3),"D","")))</f>
        <v/>
      </c>
      <c r="N67" s="204" t="str">
        <f>IF($AI67="","",IF(INDEX('Roadmap Calc (Don’t Touch)'!$W$2:$AT$204,$AI67,5)&gt;0,IF(AND($H67&lt;&gt;"",$H67&lt;=EOMONTH(N$3,0),$I67&gt;=N$3),"B","U"),IF(AND($H67&lt;&gt;"",$H67&lt;=EOMONTH(N$3,0),$I67&gt;=N$3),"D","")))</f>
        <v/>
      </c>
      <c r="O67" s="204" t="str">
        <f>IF($AI67="","",IF(INDEX('Roadmap Calc (Don’t Touch)'!$W$2:$AT$204,$AI67,6)&gt;0,IF(AND($H67&lt;&gt;"",$H67&lt;=EOMONTH(O$3,0),$I67&gt;=O$3),"B","U"),IF(AND($H67&lt;&gt;"",$H67&lt;=EOMONTH(O$3,0),$I67&gt;=O$3),"D","")))</f>
        <v/>
      </c>
      <c r="P67" s="204" t="str">
        <f>IF($AI67="","",IF(INDEX('Roadmap Calc (Don’t Touch)'!$W$2:$AT$204,$AI67,7)&gt;0,IF(AND($H67&lt;&gt;"",$H67&lt;=EOMONTH(P$3,0),$I67&gt;=P$3),"B","U"),IF(AND($H67&lt;&gt;"",$H67&lt;=EOMONTH(P$3,0),$I67&gt;=P$3),"D","")))</f>
        <v/>
      </c>
      <c r="Q67" s="204" t="str">
        <f>IF($AI67="","",IF(INDEX('Roadmap Calc (Don’t Touch)'!$W$2:$AT$204,$AI67,8)&gt;0,IF(AND($H67&lt;&gt;"",$H67&lt;=EOMONTH(Q$3,0),$I67&gt;=Q$3),"B","U"),IF(AND($H67&lt;&gt;"",$H67&lt;=EOMONTH(Q$3,0),$I67&gt;=Q$3),"D","")))</f>
        <v/>
      </c>
      <c r="R67" s="204" t="str">
        <f>IF($AI67="","",IF(INDEX('Roadmap Calc (Don’t Touch)'!$W$2:$AT$204,$AI67,9)&gt;0,IF(AND($H67&lt;&gt;"",$H67&lt;=EOMONTH(R$3,0),$I67&gt;=R$3),"B","U"),IF(AND($H67&lt;&gt;"",$H67&lt;=EOMONTH(R$3,0),$I67&gt;=R$3),"D","")))</f>
        <v/>
      </c>
      <c r="S67" s="204" t="str">
        <f>IF($AI67="","",IF(INDEX('Roadmap Calc (Don’t Touch)'!$W$2:$AT$204,$AI67,10)&gt;0,IF(AND($H67&lt;&gt;"",$H67&lt;=EOMONTH(S$3,0),$I67&gt;=S$3),"B","U"),IF(AND($H67&lt;&gt;"",$H67&lt;=EOMONTH(S$3,0),$I67&gt;=S$3),"D","")))</f>
        <v/>
      </c>
      <c r="T67" s="204" t="str">
        <f>IF($AI67="","",IF(INDEX('Roadmap Calc (Don’t Touch)'!$W$2:$AT$204,$AI67,11)&gt;0,IF(AND($H67&lt;&gt;"",$H67&lt;=EOMONTH(T$3,0),$I67&gt;=T$3),"B","U"),IF(AND($H67&lt;&gt;"",$H67&lt;=EOMONTH(T$3,0),$I67&gt;=T$3),"D","")))</f>
        <v/>
      </c>
      <c r="U67" s="204" t="str">
        <f>IF($AI67="","",IF(INDEX('Roadmap Calc (Don’t Touch)'!$W$2:$AT$204,$AI67,12)&gt;0,IF(AND($H67&lt;&gt;"",$H67&lt;=EOMONTH(U$3,0),$I67&gt;=U$3),"B","U"),IF(AND($H67&lt;&gt;"",$H67&lt;=EOMONTH(U$3,0),$I67&gt;=U$3),"D","")))</f>
        <v/>
      </c>
      <c r="V67" s="204" t="str">
        <f>IF($AI67="","",IF(INDEX('Roadmap Calc (Don’t Touch)'!$W$2:$AT$204,$AI67,13)&gt;0,IF(AND($H67&lt;&gt;"",$H67&lt;=EOMONTH(V$3,0),$I67&gt;=V$3),"B","U"),IF(AND($H67&lt;&gt;"",$H67&lt;=EOMONTH(V$3,0),$I67&gt;=V$3),"D","")))</f>
        <v/>
      </c>
      <c r="W67" s="204" t="str">
        <f>IF($AI67="","",IF(INDEX('Roadmap Calc (Don’t Touch)'!$W$2:$AT$204,$AI67,14)&gt;0,IF(AND($H67&lt;&gt;"",$H67&lt;=EOMONTH(W$3,0),$I67&gt;=W$3),"B","U"),IF(AND($H67&lt;&gt;"",$H67&lt;=EOMONTH(W$3,0),$I67&gt;=W$3),"D","")))</f>
        <v/>
      </c>
      <c r="X67" s="204" t="str">
        <f>IF($AI67="","",IF(INDEX('Roadmap Calc (Don’t Touch)'!$W$2:$AT$204,$AI67,15)&gt;0,IF(AND($H67&lt;&gt;"",$H67&lt;=EOMONTH(X$3,0),$I67&gt;=X$3),"B","U"),IF(AND($H67&lt;&gt;"",$H67&lt;=EOMONTH(X$3,0),$I67&gt;=X$3),"D","")))</f>
        <v/>
      </c>
      <c r="Y67" s="204" t="str">
        <f>IF($AI67="","",IF(INDEX('Roadmap Calc (Don’t Touch)'!$W$2:$AT$204,$AI67,16)&gt;0,IF(AND($H67&lt;&gt;"",$H67&lt;=EOMONTH(Y$3,0),$I67&gt;=Y$3),"B","U"),IF(AND($H67&lt;&gt;"",$H67&lt;=EOMONTH(Y$3,0),$I67&gt;=Y$3),"D","")))</f>
        <v/>
      </c>
      <c r="Z67" s="204" t="str">
        <f>IF($AI67="","",IF(INDEX('Roadmap Calc (Don’t Touch)'!$W$2:$AT$204,$AI67,17)&gt;0,IF(AND($H67&lt;&gt;"",$H67&lt;=EOMONTH(Z$3,0),$I67&gt;=Z$3),"B","U"),IF(AND($H67&lt;&gt;"",$H67&lt;=EOMONTH(Z$3,0),$I67&gt;=Z$3),"D","")))</f>
        <v/>
      </c>
      <c r="AA67" s="204" t="str">
        <f>IF($AI67="","",IF(INDEX('Roadmap Calc (Don’t Touch)'!$W$2:$AT$204,$AI67,18)&gt;0,IF(AND($H67&lt;&gt;"",$H67&lt;=EOMONTH(AA$3,0),$I67&gt;=AA$3),"B","U"),IF(AND($H67&lt;&gt;"",$H67&lt;=EOMONTH(AA$3,0),$I67&gt;=AA$3),"D","")))</f>
        <v/>
      </c>
      <c r="AB67" s="204" t="str">
        <f>IF($AI67="","",IF(INDEX('Roadmap Calc (Don’t Touch)'!$W$2:$AT$204,$AI67,19)&gt;0,IF(AND($H67&lt;&gt;"",$H67&lt;=EOMONTH(AB$3,0),$I67&gt;=AB$3),"B","U"),IF(AND($H67&lt;&gt;"",$H67&lt;=EOMONTH(AB$3,0),$I67&gt;=AB$3),"D","")))</f>
        <v/>
      </c>
      <c r="AC67" s="204" t="str">
        <f>IF($AI67="","",IF(INDEX('Roadmap Calc (Don’t Touch)'!$W$2:$AT$204,$AI67,20)&gt;0,IF(AND($H67&lt;&gt;"",$H67&lt;=EOMONTH(AC$3,0),$I67&gt;=AC$3),"B","U"),IF(AND($H67&lt;&gt;"",$H67&lt;=EOMONTH(AC$3,0),$I67&gt;=AC$3),"D","")))</f>
        <v/>
      </c>
      <c r="AD67" s="204" t="str">
        <f>IF($AI67="","",IF(INDEX('Roadmap Calc (Don’t Touch)'!$W$2:$AT$204,$AI67,21)&gt;0,IF(AND($H67&lt;&gt;"",$H67&lt;=EOMONTH(AD$3,0),$I67&gt;=AD$3),"B","U"),IF(AND($H67&lt;&gt;"",$H67&lt;=EOMONTH(AD$3,0),$I67&gt;=AD$3),"D","")))</f>
        <v/>
      </c>
      <c r="AE67" s="204" t="str">
        <f>IF($AI67="","",IF(INDEX('Roadmap Calc (Don’t Touch)'!$W$2:$AT$204,$AI67,22)&gt;0,IF(AND($H67&lt;&gt;"",$H67&lt;=EOMONTH(AE$3,0),$I67&gt;=AE$3),"B","U"),IF(AND($H67&lt;&gt;"",$H67&lt;=EOMONTH(AE$3,0),$I67&gt;=AE$3),"D","")))</f>
        <v/>
      </c>
      <c r="AF67" s="204" t="str">
        <f>IF($AI67="","",IF(INDEX('Roadmap Calc (Don’t Touch)'!$W$2:$AT$204,$AI67,23)&gt;0,IF(AND($H67&lt;&gt;"",$H67&lt;=EOMONTH(AF$3,0),$I67&gt;=AF$3),"B","U"),IF(AND($H67&lt;&gt;"",$H67&lt;=EOMONTH(AF$3,0),$I67&gt;=AF$3),"D","")))</f>
        <v/>
      </c>
      <c r="AG67" s="204" t="str">
        <f>IF($AI67="","",IF(INDEX('Roadmap Calc (Don’t Touch)'!$W$2:$AT$204,$AI67,24)&gt;0,IF(AND($H67&lt;&gt;"",$H67&lt;=EOMONTH(AG$3,0),$I67&gt;=AG$3),"B","U"),IF(AND($H67&lt;&gt;"",$H67&lt;=EOMONTH(AG$3,0),$I67&gt;=AG$3),"D","")))</f>
        <v/>
      </c>
      <c r="AH67" s="180" t="str">
        <f>IF($AI67="","",INDEX('Roadmap Calc (Don’t Touch)'!$D$2:$D$204,$AI67))</f>
        <v/>
      </c>
      <c r="AI67" s="180" t="str">
        <f>IFERROR(MATCH(61,'Roadmap Calc (Don’t Touch)'!$O$2:$O$204,0),"")</f>
        <v/>
      </c>
    </row>
    <row r="68" spans="1:35" ht="17" customHeight="1" x14ac:dyDescent="0.25">
      <c r="A68" s="197" t="str">
        <f t="shared" si="1"/>
        <v/>
      </c>
      <c r="B68" s="198" t="str">
        <f>IF($AI68="","",INDEX('Roadmap Calc (Don’t Touch)'!$B$2:$B$204,$AI68))</f>
        <v/>
      </c>
      <c r="C68" s="199" t="str">
        <f>IF($AI68="","",INDEX('Roadmap Calc (Don’t Touch)'!$E$2:$E$204,$AI68))</f>
        <v/>
      </c>
      <c r="D68" s="200" t="str">
        <f>IF($AI68="","",INDEX('Roadmap Calc (Don’t Touch)'!$F$2:$F$204,$AI68))</f>
        <v/>
      </c>
      <c r="E68" s="201" t="str">
        <f>IF($AI68="","",IF(ISNUMBER(INDEX('Roadmap Calc (Don’t Touch)'!$G$2:$G$204,$AI68)),INDEX('Roadmap Calc (Don’t Touch)'!$G$2:$G$204,$AI68),""))</f>
        <v/>
      </c>
      <c r="F68" s="201" t="str">
        <f>IF($AI68="","",IF(ISNUMBER(INDEX('Roadmap Calc (Don’t Touch)'!$H$2:$H$204,$AI68)),INDEX('Roadmap Calc (Don’t Touch)'!$H$2:$H$204,$AI68),""))</f>
        <v/>
      </c>
      <c r="G68" s="202" t="str">
        <f>IF($AI68="","",INDEX('Roadmap Calc (Don’t Touch)'!$S$2:$S$204,$AI68))</f>
        <v/>
      </c>
      <c r="H68" s="203" t="str">
        <f>IF($AI68="","",IF(ISNUMBER(INDEX('Roadmap Calc (Don’t Touch)'!$I$2:$I$204,$AI68)),INDEX('Roadmap Calc (Don’t Touch)'!$I$2:$I$204,$AI68),""))</f>
        <v/>
      </c>
      <c r="I68" s="203" t="str">
        <f>IF($AI68="","",IF(ISNUMBER(INDEX('Roadmap Calc (Don’t Touch)'!$J$2:$J$204,$AI68)),INDEX('Roadmap Calc (Don’t Touch)'!$J$2:$J$204,$AI68),""))</f>
        <v/>
      </c>
      <c r="J68" s="204" t="str">
        <f>IF($AI68="","",IF(INDEX('Roadmap Calc (Don’t Touch)'!$W$2:$AT$204,$AI68,1)&gt;0,IF(AND($H68&lt;&gt;"",$H68&lt;=EOMONTH(J$3,0),$I68&gt;=J$3),"B","U"),IF(AND($H68&lt;&gt;"",$H68&lt;=EOMONTH(J$3,0),$I68&gt;=J$3),"D","")))</f>
        <v/>
      </c>
      <c r="K68" s="204" t="str">
        <f>IF($AI68="","",IF(INDEX('Roadmap Calc (Don’t Touch)'!$W$2:$AT$204,$AI68,2)&gt;0,IF(AND($H68&lt;&gt;"",$H68&lt;=EOMONTH(K$3,0),$I68&gt;=K$3),"B","U"),IF(AND($H68&lt;&gt;"",$H68&lt;=EOMONTH(K$3,0),$I68&gt;=K$3),"D","")))</f>
        <v/>
      </c>
      <c r="L68" s="204" t="str">
        <f>IF($AI68="","",IF(INDEX('Roadmap Calc (Don’t Touch)'!$W$2:$AT$204,$AI68,3)&gt;0,IF(AND($H68&lt;&gt;"",$H68&lt;=EOMONTH(L$3,0),$I68&gt;=L$3),"B","U"),IF(AND($H68&lt;&gt;"",$H68&lt;=EOMONTH(L$3,0),$I68&gt;=L$3),"D","")))</f>
        <v/>
      </c>
      <c r="M68" s="204" t="str">
        <f>IF($AI68="","",IF(INDEX('Roadmap Calc (Don’t Touch)'!$W$2:$AT$204,$AI68,4)&gt;0,IF(AND($H68&lt;&gt;"",$H68&lt;=EOMONTH(M$3,0),$I68&gt;=M$3),"B","U"),IF(AND($H68&lt;&gt;"",$H68&lt;=EOMONTH(M$3,0),$I68&gt;=M$3),"D","")))</f>
        <v/>
      </c>
      <c r="N68" s="204" t="str">
        <f>IF($AI68="","",IF(INDEX('Roadmap Calc (Don’t Touch)'!$W$2:$AT$204,$AI68,5)&gt;0,IF(AND($H68&lt;&gt;"",$H68&lt;=EOMONTH(N$3,0),$I68&gt;=N$3),"B","U"),IF(AND($H68&lt;&gt;"",$H68&lt;=EOMONTH(N$3,0),$I68&gt;=N$3),"D","")))</f>
        <v/>
      </c>
      <c r="O68" s="204" t="str">
        <f>IF($AI68="","",IF(INDEX('Roadmap Calc (Don’t Touch)'!$W$2:$AT$204,$AI68,6)&gt;0,IF(AND($H68&lt;&gt;"",$H68&lt;=EOMONTH(O$3,0),$I68&gt;=O$3),"B","U"),IF(AND($H68&lt;&gt;"",$H68&lt;=EOMONTH(O$3,0),$I68&gt;=O$3),"D","")))</f>
        <v/>
      </c>
      <c r="P68" s="204" t="str">
        <f>IF($AI68="","",IF(INDEX('Roadmap Calc (Don’t Touch)'!$W$2:$AT$204,$AI68,7)&gt;0,IF(AND($H68&lt;&gt;"",$H68&lt;=EOMONTH(P$3,0),$I68&gt;=P$3),"B","U"),IF(AND($H68&lt;&gt;"",$H68&lt;=EOMONTH(P$3,0),$I68&gt;=P$3),"D","")))</f>
        <v/>
      </c>
      <c r="Q68" s="204" t="str">
        <f>IF($AI68="","",IF(INDEX('Roadmap Calc (Don’t Touch)'!$W$2:$AT$204,$AI68,8)&gt;0,IF(AND($H68&lt;&gt;"",$H68&lt;=EOMONTH(Q$3,0),$I68&gt;=Q$3),"B","U"),IF(AND($H68&lt;&gt;"",$H68&lt;=EOMONTH(Q$3,0),$I68&gt;=Q$3),"D","")))</f>
        <v/>
      </c>
      <c r="R68" s="204" t="str">
        <f>IF($AI68="","",IF(INDEX('Roadmap Calc (Don’t Touch)'!$W$2:$AT$204,$AI68,9)&gt;0,IF(AND($H68&lt;&gt;"",$H68&lt;=EOMONTH(R$3,0),$I68&gt;=R$3),"B","U"),IF(AND($H68&lt;&gt;"",$H68&lt;=EOMONTH(R$3,0),$I68&gt;=R$3),"D","")))</f>
        <v/>
      </c>
      <c r="S68" s="204" t="str">
        <f>IF($AI68="","",IF(INDEX('Roadmap Calc (Don’t Touch)'!$W$2:$AT$204,$AI68,10)&gt;0,IF(AND($H68&lt;&gt;"",$H68&lt;=EOMONTH(S$3,0),$I68&gt;=S$3),"B","U"),IF(AND($H68&lt;&gt;"",$H68&lt;=EOMONTH(S$3,0),$I68&gt;=S$3),"D","")))</f>
        <v/>
      </c>
      <c r="T68" s="204" t="str">
        <f>IF($AI68="","",IF(INDEX('Roadmap Calc (Don’t Touch)'!$W$2:$AT$204,$AI68,11)&gt;0,IF(AND($H68&lt;&gt;"",$H68&lt;=EOMONTH(T$3,0),$I68&gt;=T$3),"B","U"),IF(AND($H68&lt;&gt;"",$H68&lt;=EOMONTH(T$3,0),$I68&gt;=T$3),"D","")))</f>
        <v/>
      </c>
      <c r="U68" s="204" t="str">
        <f>IF($AI68="","",IF(INDEX('Roadmap Calc (Don’t Touch)'!$W$2:$AT$204,$AI68,12)&gt;0,IF(AND($H68&lt;&gt;"",$H68&lt;=EOMONTH(U$3,0),$I68&gt;=U$3),"B","U"),IF(AND($H68&lt;&gt;"",$H68&lt;=EOMONTH(U$3,0),$I68&gt;=U$3),"D","")))</f>
        <v/>
      </c>
      <c r="V68" s="204" t="str">
        <f>IF($AI68="","",IF(INDEX('Roadmap Calc (Don’t Touch)'!$W$2:$AT$204,$AI68,13)&gt;0,IF(AND($H68&lt;&gt;"",$H68&lt;=EOMONTH(V$3,0),$I68&gt;=V$3),"B","U"),IF(AND($H68&lt;&gt;"",$H68&lt;=EOMONTH(V$3,0),$I68&gt;=V$3),"D","")))</f>
        <v/>
      </c>
      <c r="W68" s="204" t="str">
        <f>IF($AI68="","",IF(INDEX('Roadmap Calc (Don’t Touch)'!$W$2:$AT$204,$AI68,14)&gt;0,IF(AND($H68&lt;&gt;"",$H68&lt;=EOMONTH(W$3,0),$I68&gt;=W$3),"B","U"),IF(AND($H68&lt;&gt;"",$H68&lt;=EOMONTH(W$3,0),$I68&gt;=W$3),"D","")))</f>
        <v/>
      </c>
      <c r="X68" s="204" t="str">
        <f>IF($AI68="","",IF(INDEX('Roadmap Calc (Don’t Touch)'!$W$2:$AT$204,$AI68,15)&gt;0,IF(AND($H68&lt;&gt;"",$H68&lt;=EOMONTH(X$3,0),$I68&gt;=X$3),"B","U"),IF(AND($H68&lt;&gt;"",$H68&lt;=EOMONTH(X$3,0),$I68&gt;=X$3),"D","")))</f>
        <v/>
      </c>
      <c r="Y68" s="204" t="str">
        <f>IF($AI68="","",IF(INDEX('Roadmap Calc (Don’t Touch)'!$W$2:$AT$204,$AI68,16)&gt;0,IF(AND($H68&lt;&gt;"",$H68&lt;=EOMONTH(Y$3,0),$I68&gt;=Y$3),"B","U"),IF(AND($H68&lt;&gt;"",$H68&lt;=EOMONTH(Y$3,0),$I68&gt;=Y$3),"D","")))</f>
        <v/>
      </c>
      <c r="Z68" s="204" t="str">
        <f>IF($AI68="","",IF(INDEX('Roadmap Calc (Don’t Touch)'!$W$2:$AT$204,$AI68,17)&gt;0,IF(AND($H68&lt;&gt;"",$H68&lt;=EOMONTH(Z$3,0),$I68&gt;=Z$3),"B","U"),IF(AND($H68&lt;&gt;"",$H68&lt;=EOMONTH(Z$3,0),$I68&gt;=Z$3),"D","")))</f>
        <v/>
      </c>
      <c r="AA68" s="204" t="str">
        <f>IF($AI68="","",IF(INDEX('Roadmap Calc (Don’t Touch)'!$W$2:$AT$204,$AI68,18)&gt;0,IF(AND($H68&lt;&gt;"",$H68&lt;=EOMONTH(AA$3,0),$I68&gt;=AA$3),"B","U"),IF(AND($H68&lt;&gt;"",$H68&lt;=EOMONTH(AA$3,0),$I68&gt;=AA$3),"D","")))</f>
        <v/>
      </c>
      <c r="AB68" s="204" t="str">
        <f>IF($AI68="","",IF(INDEX('Roadmap Calc (Don’t Touch)'!$W$2:$AT$204,$AI68,19)&gt;0,IF(AND($H68&lt;&gt;"",$H68&lt;=EOMONTH(AB$3,0),$I68&gt;=AB$3),"B","U"),IF(AND($H68&lt;&gt;"",$H68&lt;=EOMONTH(AB$3,0),$I68&gt;=AB$3),"D","")))</f>
        <v/>
      </c>
      <c r="AC68" s="204" t="str">
        <f>IF($AI68="","",IF(INDEX('Roadmap Calc (Don’t Touch)'!$W$2:$AT$204,$AI68,20)&gt;0,IF(AND($H68&lt;&gt;"",$H68&lt;=EOMONTH(AC$3,0),$I68&gt;=AC$3),"B","U"),IF(AND($H68&lt;&gt;"",$H68&lt;=EOMONTH(AC$3,0),$I68&gt;=AC$3),"D","")))</f>
        <v/>
      </c>
      <c r="AD68" s="204" t="str">
        <f>IF($AI68="","",IF(INDEX('Roadmap Calc (Don’t Touch)'!$W$2:$AT$204,$AI68,21)&gt;0,IF(AND($H68&lt;&gt;"",$H68&lt;=EOMONTH(AD$3,0),$I68&gt;=AD$3),"B","U"),IF(AND($H68&lt;&gt;"",$H68&lt;=EOMONTH(AD$3,0),$I68&gt;=AD$3),"D","")))</f>
        <v/>
      </c>
      <c r="AE68" s="204" t="str">
        <f>IF($AI68="","",IF(INDEX('Roadmap Calc (Don’t Touch)'!$W$2:$AT$204,$AI68,22)&gt;0,IF(AND($H68&lt;&gt;"",$H68&lt;=EOMONTH(AE$3,0),$I68&gt;=AE$3),"B","U"),IF(AND($H68&lt;&gt;"",$H68&lt;=EOMONTH(AE$3,0),$I68&gt;=AE$3),"D","")))</f>
        <v/>
      </c>
      <c r="AF68" s="204" t="str">
        <f>IF($AI68="","",IF(INDEX('Roadmap Calc (Don’t Touch)'!$W$2:$AT$204,$AI68,23)&gt;0,IF(AND($H68&lt;&gt;"",$H68&lt;=EOMONTH(AF$3,0),$I68&gt;=AF$3),"B","U"),IF(AND($H68&lt;&gt;"",$H68&lt;=EOMONTH(AF$3,0),$I68&gt;=AF$3),"D","")))</f>
        <v/>
      </c>
      <c r="AG68" s="204" t="str">
        <f>IF($AI68="","",IF(INDEX('Roadmap Calc (Don’t Touch)'!$W$2:$AT$204,$AI68,24)&gt;0,IF(AND($H68&lt;&gt;"",$H68&lt;=EOMONTH(AG$3,0),$I68&gt;=AG$3),"B","U"),IF(AND($H68&lt;&gt;"",$H68&lt;=EOMONTH(AG$3,0),$I68&gt;=AG$3),"D","")))</f>
        <v/>
      </c>
      <c r="AH68" s="180" t="str">
        <f>IF($AI68="","",INDEX('Roadmap Calc (Don’t Touch)'!$D$2:$D$204,$AI68))</f>
        <v/>
      </c>
      <c r="AI68" s="180" t="str">
        <f>IFERROR(MATCH(62,'Roadmap Calc (Don’t Touch)'!$O$2:$O$204,0),"")</f>
        <v/>
      </c>
    </row>
    <row r="69" spans="1:35" ht="17" customHeight="1" x14ac:dyDescent="0.25">
      <c r="A69" s="197" t="str">
        <f t="shared" si="1"/>
        <v/>
      </c>
      <c r="B69" s="198" t="str">
        <f>IF($AI69="","",INDEX('Roadmap Calc (Don’t Touch)'!$B$2:$B$204,$AI69))</f>
        <v/>
      </c>
      <c r="C69" s="199" t="str">
        <f>IF($AI69="","",INDEX('Roadmap Calc (Don’t Touch)'!$E$2:$E$204,$AI69))</f>
        <v/>
      </c>
      <c r="D69" s="200" t="str">
        <f>IF($AI69="","",INDEX('Roadmap Calc (Don’t Touch)'!$F$2:$F$204,$AI69))</f>
        <v/>
      </c>
      <c r="E69" s="201" t="str">
        <f>IF($AI69="","",IF(ISNUMBER(INDEX('Roadmap Calc (Don’t Touch)'!$G$2:$G$204,$AI69)),INDEX('Roadmap Calc (Don’t Touch)'!$G$2:$G$204,$AI69),""))</f>
        <v/>
      </c>
      <c r="F69" s="201" t="str">
        <f>IF($AI69="","",IF(ISNUMBER(INDEX('Roadmap Calc (Don’t Touch)'!$H$2:$H$204,$AI69)),INDEX('Roadmap Calc (Don’t Touch)'!$H$2:$H$204,$AI69),""))</f>
        <v/>
      </c>
      <c r="G69" s="202" t="str">
        <f>IF($AI69="","",INDEX('Roadmap Calc (Don’t Touch)'!$S$2:$S$204,$AI69))</f>
        <v/>
      </c>
      <c r="H69" s="203" t="str">
        <f>IF($AI69="","",IF(ISNUMBER(INDEX('Roadmap Calc (Don’t Touch)'!$I$2:$I$204,$AI69)),INDEX('Roadmap Calc (Don’t Touch)'!$I$2:$I$204,$AI69),""))</f>
        <v/>
      </c>
      <c r="I69" s="203" t="str">
        <f>IF($AI69="","",IF(ISNUMBER(INDEX('Roadmap Calc (Don’t Touch)'!$J$2:$J$204,$AI69)),INDEX('Roadmap Calc (Don’t Touch)'!$J$2:$J$204,$AI69),""))</f>
        <v/>
      </c>
      <c r="J69" s="204" t="str">
        <f>IF($AI69="","",IF(INDEX('Roadmap Calc (Don’t Touch)'!$W$2:$AT$204,$AI69,1)&gt;0,IF(AND($H69&lt;&gt;"",$H69&lt;=EOMONTH(J$3,0),$I69&gt;=J$3),"B","U"),IF(AND($H69&lt;&gt;"",$H69&lt;=EOMONTH(J$3,0),$I69&gt;=J$3),"D","")))</f>
        <v/>
      </c>
      <c r="K69" s="204" t="str">
        <f>IF($AI69="","",IF(INDEX('Roadmap Calc (Don’t Touch)'!$W$2:$AT$204,$AI69,2)&gt;0,IF(AND($H69&lt;&gt;"",$H69&lt;=EOMONTH(K$3,0),$I69&gt;=K$3),"B","U"),IF(AND($H69&lt;&gt;"",$H69&lt;=EOMONTH(K$3,0),$I69&gt;=K$3),"D","")))</f>
        <v/>
      </c>
      <c r="L69" s="204" t="str">
        <f>IF($AI69="","",IF(INDEX('Roadmap Calc (Don’t Touch)'!$W$2:$AT$204,$AI69,3)&gt;0,IF(AND($H69&lt;&gt;"",$H69&lt;=EOMONTH(L$3,0),$I69&gt;=L$3),"B","U"),IF(AND($H69&lt;&gt;"",$H69&lt;=EOMONTH(L$3,0),$I69&gt;=L$3),"D","")))</f>
        <v/>
      </c>
      <c r="M69" s="204" t="str">
        <f>IF($AI69="","",IF(INDEX('Roadmap Calc (Don’t Touch)'!$W$2:$AT$204,$AI69,4)&gt;0,IF(AND($H69&lt;&gt;"",$H69&lt;=EOMONTH(M$3,0),$I69&gt;=M$3),"B","U"),IF(AND($H69&lt;&gt;"",$H69&lt;=EOMONTH(M$3,0),$I69&gt;=M$3),"D","")))</f>
        <v/>
      </c>
      <c r="N69" s="204" t="str">
        <f>IF($AI69="","",IF(INDEX('Roadmap Calc (Don’t Touch)'!$W$2:$AT$204,$AI69,5)&gt;0,IF(AND($H69&lt;&gt;"",$H69&lt;=EOMONTH(N$3,0),$I69&gt;=N$3),"B","U"),IF(AND($H69&lt;&gt;"",$H69&lt;=EOMONTH(N$3,0),$I69&gt;=N$3),"D","")))</f>
        <v/>
      </c>
      <c r="O69" s="204" t="str">
        <f>IF($AI69="","",IF(INDEX('Roadmap Calc (Don’t Touch)'!$W$2:$AT$204,$AI69,6)&gt;0,IF(AND($H69&lt;&gt;"",$H69&lt;=EOMONTH(O$3,0),$I69&gt;=O$3),"B","U"),IF(AND($H69&lt;&gt;"",$H69&lt;=EOMONTH(O$3,0),$I69&gt;=O$3),"D","")))</f>
        <v/>
      </c>
      <c r="P69" s="204" t="str">
        <f>IF($AI69="","",IF(INDEX('Roadmap Calc (Don’t Touch)'!$W$2:$AT$204,$AI69,7)&gt;0,IF(AND($H69&lt;&gt;"",$H69&lt;=EOMONTH(P$3,0),$I69&gt;=P$3),"B","U"),IF(AND($H69&lt;&gt;"",$H69&lt;=EOMONTH(P$3,0),$I69&gt;=P$3),"D","")))</f>
        <v/>
      </c>
      <c r="Q69" s="204" t="str">
        <f>IF($AI69="","",IF(INDEX('Roadmap Calc (Don’t Touch)'!$W$2:$AT$204,$AI69,8)&gt;0,IF(AND($H69&lt;&gt;"",$H69&lt;=EOMONTH(Q$3,0),$I69&gt;=Q$3),"B","U"),IF(AND($H69&lt;&gt;"",$H69&lt;=EOMONTH(Q$3,0),$I69&gt;=Q$3),"D","")))</f>
        <v/>
      </c>
      <c r="R69" s="204" t="str">
        <f>IF($AI69="","",IF(INDEX('Roadmap Calc (Don’t Touch)'!$W$2:$AT$204,$AI69,9)&gt;0,IF(AND($H69&lt;&gt;"",$H69&lt;=EOMONTH(R$3,0),$I69&gt;=R$3),"B","U"),IF(AND($H69&lt;&gt;"",$H69&lt;=EOMONTH(R$3,0),$I69&gt;=R$3),"D","")))</f>
        <v/>
      </c>
      <c r="S69" s="204" t="str">
        <f>IF($AI69="","",IF(INDEX('Roadmap Calc (Don’t Touch)'!$W$2:$AT$204,$AI69,10)&gt;0,IF(AND($H69&lt;&gt;"",$H69&lt;=EOMONTH(S$3,0),$I69&gt;=S$3),"B","U"),IF(AND($H69&lt;&gt;"",$H69&lt;=EOMONTH(S$3,0),$I69&gt;=S$3),"D","")))</f>
        <v/>
      </c>
      <c r="T69" s="204" t="str">
        <f>IF($AI69="","",IF(INDEX('Roadmap Calc (Don’t Touch)'!$W$2:$AT$204,$AI69,11)&gt;0,IF(AND($H69&lt;&gt;"",$H69&lt;=EOMONTH(T$3,0),$I69&gt;=T$3),"B","U"),IF(AND($H69&lt;&gt;"",$H69&lt;=EOMONTH(T$3,0),$I69&gt;=T$3),"D","")))</f>
        <v/>
      </c>
      <c r="U69" s="204" t="str">
        <f>IF($AI69="","",IF(INDEX('Roadmap Calc (Don’t Touch)'!$W$2:$AT$204,$AI69,12)&gt;0,IF(AND($H69&lt;&gt;"",$H69&lt;=EOMONTH(U$3,0),$I69&gt;=U$3),"B","U"),IF(AND($H69&lt;&gt;"",$H69&lt;=EOMONTH(U$3,0),$I69&gt;=U$3),"D","")))</f>
        <v/>
      </c>
      <c r="V69" s="204" t="str">
        <f>IF($AI69="","",IF(INDEX('Roadmap Calc (Don’t Touch)'!$W$2:$AT$204,$AI69,13)&gt;0,IF(AND($H69&lt;&gt;"",$H69&lt;=EOMONTH(V$3,0),$I69&gt;=V$3),"B","U"),IF(AND($H69&lt;&gt;"",$H69&lt;=EOMONTH(V$3,0),$I69&gt;=V$3),"D","")))</f>
        <v/>
      </c>
      <c r="W69" s="204" t="str">
        <f>IF($AI69="","",IF(INDEX('Roadmap Calc (Don’t Touch)'!$W$2:$AT$204,$AI69,14)&gt;0,IF(AND($H69&lt;&gt;"",$H69&lt;=EOMONTH(W$3,0),$I69&gt;=W$3),"B","U"),IF(AND($H69&lt;&gt;"",$H69&lt;=EOMONTH(W$3,0),$I69&gt;=W$3),"D","")))</f>
        <v/>
      </c>
      <c r="X69" s="204" t="str">
        <f>IF($AI69="","",IF(INDEX('Roadmap Calc (Don’t Touch)'!$W$2:$AT$204,$AI69,15)&gt;0,IF(AND($H69&lt;&gt;"",$H69&lt;=EOMONTH(X$3,0),$I69&gt;=X$3),"B","U"),IF(AND($H69&lt;&gt;"",$H69&lt;=EOMONTH(X$3,0),$I69&gt;=X$3),"D","")))</f>
        <v/>
      </c>
      <c r="Y69" s="204" t="str">
        <f>IF($AI69="","",IF(INDEX('Roadmap Calc (Don’t Touch)'!$W$2:$AT$204,$AI69,16)&gt;0,IF(AND($H69&lt;&gt;"",$H69&lt;=EOMONTH(Y$3,0),$I69&gt;=Y$3),"B","U"),IF(AND($H69&lt;&gt;"",$H69&lt;=EOMONTH(Y$3,0),$I69&gt;=Y$3),"D","")))</f>
        <v/>
      </c>
      <c r="Z69" s="204" t="str">
        <f>IF($AI69="","",IF(INDEX('Roadmap Calc (Don’t Touch)'!$W$2:$AT$204,$AI69,17)&gt;0,IF(AND($H69&lt;&gt;"",$H69&lt;=EOMONTH(Z$3,0),$I69&gt;=Z$3),"B","U"),IF(AND($H69&lt;&gt;"",$H69&lt;=EOMONTH(Z$3,0),$I69&gt;=Z$3),"D","")))</f>
        <v/>
      </c>
      <c r="AA69" s="204" t="str">
        <f>IF($AI69="","",IF(INDEX('Roadmap Calc (Don’t Touch)'!$W$2:$AT$204,$AI69,18)&gt;0,IF(AND($H69&lt;&gt;"",$H69&lt;=EOMONTH(AA$3,0),$I69&gt;=AA$3),"B","U"),IF(AND($H69&lt;&gt;"",$H69&lt;=EOMONTH(AA$3,0),$I69&gt;=AA$3),"D","")))</f>
        <v/>
      </c>
      <c r="AB69" s="204" t="str">
        <f>IF($AI69="","",IF(INDEX('Roadmap Calc (Don’t Touch)'!$W$2:$AT$204,$AI69,19)&gt;0,IF(AND($H69&lt;&gt;"",$H69&lt;=EOMONTH(AB$3,0),$I69&gt;=AB$3),"B","U"),IF(AND($H69&lt;&gt;"",$H69&lt;=EOMONTH(AB$3,0),$I69&gt;=AB$3),"D","")))</f>
        <v/>
      </c>
      <c r="AC69" s="204" t="str">
        <f>IF($AI69="","",IF(INDEX('Roadmap Calc (Don’t Touch)'!$W$2:$AT$204,$AI69,20)&gt;0,IF(AND($H69&lt;&gt;"",$H69&lt;=EOMONTH(AC$3,0),$I69&gt;=AC$3),"B","U"),IF(AND($H69&lt;&gt;"",$H69&lt;=EOMONTH(AC$3,0),$I69&gt;=AC$3),"D","")))</f>
        <v/>
      </c>
      <c r="AD69" s="204" t="str">
        <f>IF($AI69="","",IF(INDEX('Roadmap Calc (Don’t Touch)'!$W$2:$AT$204,$AI69,21)&gt;0,IF(AND($H69&lt;&gt;"",$H69&lt;=EOMONTH(AD$3,0),$I69&gt;=AD$3),"B","U"),IF(AND($H69&lt;&gt;"",$H69&lt;=EOMONTH(AD$3,0),$I69&gt;=AD$3),"D","")))</f>
        <v/>
      </c>
      <c r="AE69" s="204" t="str">
        <f>IF($AI69="","",IF(INDEX('Roadmap Calc (Don’t Touch)'!$W$2:$AT$204,$AI69,22)&gt;0,IF(AND($H69&lt;&gt;"",$H69&lt;=EOMONTH(AE$3,0),$I69&gt;=AE$3),"B","U"),IF(AND($H69&lt;&gt;"",$H69&lt;=EOMONTH(AE$3,0),$I69&gt;=AE$3),"D","")))</f>
        <v/>
      </c>
      <c r="AF69" s="204" t="str">
        <f>IF($AI69="","",IF(INDEX('Roadmap Calc (Don’t Touch)'!$W$2:$AT$204,$AI69,23)&gt;0,IF(AND($H69&lt;&gt;"",$H69&lt;=EOMONTH(AF$3,0),$I69&gt;=AF$3),"B","U"),IF(AND($H69&lt;&gt;"",$H69&lt;=EOMONTH(AF$3,0),$I69&gt;=AF$3),"D","")))</f>
        <v/>
      </c>
      <c r="AG69" s="204" t="str">
        <f>IF($AI69="","",IF(INDEX('Roadmap Calc (Don’t Touch)'!$W$2:$AT$204,$AI69,24)&gt;0,IF(AND($H69&lt;&gt;"",$H69&lt;=EOMONTH(AG$3,0),$I69&gt;=AG$3),"B","U"),IF(AND($H69&lt;&gt;"",$H69&lt;=EOMONTH(AG$3,0),$I69&gt;=AG$3),"D","")))</f>
        <v/>
      </c>
      <c r="AH69" s="180" t="str">
        <f>IF($AI69="","",INDEX('Roadmap Calc (Don’t Touch)'!$D$2:$D$204,$AI69))</f>
        <v/>
      </c>
      <c r="AI69" s="180" t="str">
        <f>IFERROR(MATCH(63,'Roadmap Calc (Don’t Touch)'!$O$2:$O$204,0),"")</f>
        <v/>
      </c>
    </row>
    <row r="70" spans="1:35" ht="17" customHeight="1" x14ac:dyDescent="0.25">
      <c r="A70" s="197" t="str">
        <f t="shared" si="1"/>
        <v/>
      </c>
      <c r="B70" s="198" t="str">
        <f>IF($AI70="","",INDEX('Roadmap Calc (Don’t Touch)'!$B$2:$B$204,$AI70))</f>
        <v/>
      </c>
      <c r="C70" s="199" t="str">
        <f>IF($AI70="","",INDEX('Roadmap Calc (Don’t Touch)'!$E$2:$E$204,$AI70))</f>
        <v/>
      </c>
      <c r="D70" s="200" t="str">
        <f>IF($AI70="","",INDEX('Roadmap Calc (Don’t Touch)'!$F$2:$F$204,$AI70))</f>
        <v/>
      </c>
      <c r="E70" s="201" t="str">
        <f>IF($AI70="","",IF(ISNUMBER(INDEX('Roadmap Calc (Don’t Touch)'!$G$2:$G$204,$AI70)),INDEX('Roadmap Calc (Don’t Touch)'!$G$2:$G$204,$AI70),""))</f>
        <v/>
      </c>
      <c r="F70" s="201" t="str">
        <f>IF($AI70="","",IF(ISNUMBER(INDEX('Roadmap Calc (Don’t Touch)'!$H$2:$H$204,$AI70)),INDEX('Roadmap Calc (Don’t Touch)'!$H$2:$H$204,$AI70),""))</f>
        <v/>
      </c>
      <c r="G70" s="202" t="str">
        <f>IF($AI70="","",INDEX('Roadmap Calc (Don’t Touch)'!$S$2:$S$204,$AI70))</f>
        <v/>
      </c>
      <c r="H70" s="203" t="str">
        <f>IF($AI70="","",IF(ISNUMBER(INDEX('Roadmap Calc (Don’t Touch)'!$I$2:$I$204,$AI70)),INDEX('Roadmap Calc (Don’t Touch)'!$I$2:$I$204,$AI70),""))</f>
        <v/>
      </c>
      <c r="I70" s="203" t="str">
        <f>IF($AI70="","",IF(ISNUMBER(INDEX('Roadmap Calc (Don’t Touch)'!$J$2:$J$204,$AI70)),INDEX('Roadmap Calc (Don’t Touch)'!$J$2:$J$204,$AI70),""))</f>
        <v/>
      </c>
      <c r="J70" s="204" t="str">
        <f>IF($AI70="","",IF(INDEX('Roadmap Calc (Don’t Touch)'!$W$2:$AT$204,$AI70,1)&gt;0,IF(AND($H70&lt;&gt;"",$H70&lt;=EOMONTH(J$3,0),$I70&gt;=J$3),"B","U"),IF(AND($H70&lt;&gt;"",$H70&lt;=EOMONTH(J$3,0),$I70&gt;=J$3),"D","")))</f>
        <v/>
      </c>
      <c r="K70" s="204" t="str">
        <f>IF($AI70="","",IF(INDEX('Roadmap Calc (Don’t Touch)'!$W$2:$AT$204,$AI70,2)&gt;0,IF(AND($H70&lt;&gt;"",$H70&lt;=EOMONTH(K$3,0),$I70&gt;=K$3),"B","U"),IF(AND($H70&lt;&gt;"",$H70&lt;=EOMONTH(K$3,0),$I70&gt;=K$3),"D","")))</f>
        <v/>
      </c>
      <c r="L70" s="204" t="str">
        <f>IF($AI70="","",IF(INDEX('Roadmap Calc (Don’t Touch)'!$W$2:$AT$204,$AI70,3)&gt;0,IF(AND($H70&lt;&gt;"",$H70&lt;=EOMONTH(L$3,0),$I70&gt;=L$3),"B","U"),IF(AND($H70&lt;&gt;"",$H70&lt;=EOMONTH(L$3,0),$I70&gt;=L$3),"D","")))</f>
        <v/>
      </c>
      <c r="M70" s="204" t="str">
        <f>IF($AI70="","",IF(INDEX('Roadmap Calc (Don’t Touch)'!$W$2:$AT$204,$AI70,4)&gt;0,IF(AND($H70&lt;&gt;"",$H70&lt;=EOMONTH(M$3,0),$I70&gt;=M$3),"B","U"),IF(AND($H70&lt;&gt;"",$H70&lt;=EOMONTH(M$3,0),$I70&gt;=M$3),"D","")))</f>
        <v/>
      </c>
      <c r="N70" s="204" t="str">
        <f>IF($AI70="","",IF(INDEX('Roadmap Calc (Don’t Touch)'!$W$2:$AT$204,$AI70,5)&gt;0,IF(AND($H70&lt;&gt;"",$H70&lt;=EOMONTH(N$3,0),$I70&gt;=N$3),"B","U"),IF(AND($H70&lt;&gt;"",$H70&lt;=EOMONTH(N$3,0),$I70&gt;=N$3),"D","")))</f>
        <v/>
      </c>
      <c r="O70" s="204" t="str">
        <f>IF($AI70="","",IF(INDEX('Roadmap Calc (Don’t Touch)'!$W$2:$AT$204,$AI70,6)&gt;0,IF(AND($H70&lt;&gt;"",$H70&lt;=EOMONTH(O$3,0),$I70&gt;=O$3),"B","U"),IF(AND($H70&lt;&gt;"",$H70&lt;=EOMONTH(O$3,0),$I70&gt;=O$3),"D","")))</f>
        <v/>
      </c>
      <c r="P70" s="204" t="str">
        <f>IF($AI70="","",IF(INDEX('Roadmap Calc (Don’t Touch)'!$W$2:$AT$204,$AI70,7)&gt;0,IF(AND($H70&lt;&gt;"",$H70&lt;=EOMONTH(P$3,0),$I70&gt;=P$3),"B","U"),IF(AND($H70&lt;&gt;"",$H70&lt;=EOMONTH(P$3,0),$I70&gt;=P$3),"D","")))</f>
        <v/>
      </c>
      <c r="Q70" s="204" t="str">
        <f>IF($AI70="","",IF(INDEX('Roadmap Calc (Don’t Touch)'!$W$2:$AT$204,$AI70,8)&gt;0,IF(AND($H70&lt;&gt;"",$H70&lt;=EOMONTH(Q$3,0),$I70&gt;=Q$3),"B","U"),IF(AND($H70&lt;&gt;"",$H70&lt;=EOMONTH(Q$3,0),$I70&gt;=Q$3),"D","")))</f>
        <v/>
      </c>
      <c r="R70" s="204" t="str">
        <f>IF($AI70="","",IF(INDEX('Roadmap Calc (Don’t Touch)'!$W$2:$AT$204,$AI70,9)&gt;0,IF(AND($H70&lt;&gt;"",$H70&lt;=EOMONTH(R$3,0),$I70&gt;=R$3),"B","U"),IF(AND($H70&lt;&gt;"",$H70&lt;=EOMONTH(R$3,0),$I70&gt;=R$3),"D","")))</f>
        <v/>
      </c>
      <c r="S70" s="204" t="str">
        <f>IF($AI70="","",IF(INDEX('Roadmap Calc (Don’t Touch)'!$W$2:$AT$204,$AI70,10)&gt;0,IF(AND($H70&lt;&gt;"",$H70&lt;=EOMONTH(S$3,0),$I70&gt;=S$3),"B","U"),IF(AND($H70&lt;&gt;"",$H70&lt;=EOMONTH(S$3,0),$I70&gt;=S$3),"D","")))</f>
        <v/>
      </c>
      <c r="T70" s="204" t="str">
        <f>IF($AI70="","",IF(INDEX('Roadmap Calc (Don’t Touch)'!$W$2:$AT$204,$AI70,11)&gt;0,IF(AND($H70&lt;&gt;"",$H70&lt;=EOMONTH(T$3,0),$I70&gt;=T$3),"B","U"),IF(AND($H70&lt;&gt;"",$H70&lt;=EOMONTH(T$3,0),$I70&gt;=T$3),"D","")))</f>
        <v/>
      </c>
      <c r="U70" s="204" t="str">
        <f>IF($AI70="","",IF(INDEX('Roadmap Calc (Don’t Touch)'!$W$2:$AT$204,$AI70,12)&gt;0,IF(AND($H70&lt;&gt;"",$H70&lt;=EOMONTH(U$3,0),$I70&gt;=U$3),"B","U"),IF(AND($H70&lt;&gt;"",$H70&lt;=EOMONTH(U$3,0),$I70&gt;=U$3),"D","")))</f>
        <v/>
      </c>
      <c r="V70" s="204" t="str">
        <f>IF($AI70="","",IF(INDEX('Roadmap Calc (Don’t Touch)'!$W$2:$AT$204,$AI70,13)&gt;0,IF(AND($H70&lt;&gt;"",$H70&lt;=EOMONTH(V$3,0),$I70&gt;=V$3),"B","U"),IF(AND($H70&lt;&gt;"",$H70&lt;=EOMONTH(V$3,0),$I70&gt;=V$3),"D","")))</f>
        <v/>
      </c>
      <c r="W70" s="204" t="str">
        <f>IF($AI70="","",IF(INDEX('Roadmap Calc (Don’t Touch)'!$W$2:$AT$204,$AI70,14)&gt;0,IF(AND($H70&lt;&gt;"",$H70&lt;=EOMONTH(W$3,0),$I70&gt;=W$3),"B","U"),IF(AND($H70&lt;&gt;"",$H70&lt;=EOMONTH(W$3,0),$I70&gt;=W$3),"D","")))</f>
        <v/>
      </c>
      <c r="X70" s="204" t="str">
        <f>IF($AI70="","",IF(INDEX('Roadmap Calc (Don’t Touch)'!$W$2:$AT$204,$AI70,15)&gt;0,IF(AND($H70&lt;&gt;"",$H70&lt;=EOMONTH(X$3,0),$I70&gt;=X$3),"B","U"),IF(AND($H70&lt;&gt;"",$H70&lt;=EOMONTH(X$3,0),$I70&gt;=X$3),"D","")))</f>
        <v/>
      </c>
      <c r="Y70" s="204" t="str">
        <f>IF($AI70="","",IF(INDEX('Roadmap Calc (Don’t Touch)'!$W$2:$AT$204,$AI70,16)&gt;0,IF(AND($H70&lt;&gt;"",$H70&lt;=EOMONTH(Y$3,0),$I70&gt;=Y$3),"B","U"),IF(AND($H70&lt;&gt;"",$H70&lt;=EOMONTH(Y$3,0),$I70&gt;=Y$3),"D","")))</f>
        <v/>
      </c>
      <c r="Z70" s="204" t="str">
        <f>IF($AI70="","",IF(INDEX('Roadmap Calc (Don’t Touch)'!$W$2:$AT$204,$AI70,17)&gt;0,IF(AND($H70&lt;&gt;"",$H70&lt;=EOMONTH(Z$3,0),$I70&gt;=Z$3),"B","U"),IF(AND($H70&lt;&gt;"",$H70&lt;=EOMONTH(Z$3,0),$I70&gt;=Z$3),"D","")))</f>
        <v/>
      </c>
      <c r="AA70" s="204" t="str">
        <f>IF($AI70="","",IF(INDEX('Roadmap Calc (Don’t Touch)'!$W$2:$AT$204,$AI70,18)&gt;0,IF(AND($H70&lt;&gt;"",$H70&lt;=EOMONTH(AA$3,0),$I70&gt;=AA$3),"B","U"),IF(AND($H70&lt;&gt;"",$H70&lt;=EOMONTH(AA$3,0),$I70&gt;=AA$3),"D","")))</f>
        <v/>
      </c>
      <c r="AB70" s="204" t="str">
        <f>IF($AI70="","",IF(INDEX('Roadmap Calc (Don’t Touch)'!$W$2:$AT$204,$AI70,19)&gt;0,IF(AND($H70&lt;&gt;"",$H70&lt;=EOMONTH(AB$3,0),$I70&gt;=AB$3),"B","U"),IF(AND($H70&lt;&gt;"",$H70&lt;=EOMONTH(AB$3,0),$I70&gt;=AB$3),"D","")))</f>
        <v/>
      </c>
      <c r="AC70" s="204" t="str">
        <f>IF($AI70="","",IF(INDEX('Roadmap Calc (Don’t Touch)'!$W$2:$AT$204,$AI70,20)&gt;0,IF(AND($H70&lt;&gt;"",$H70&lt;=EOMONTH(AC$3,0),$I70&gt;=AC$3),"B","U"),IF(AND($H70&lt;&gt;"",$H70&lt;=EOMONTH(AC$3,0),$I70&gt;=AC$3),"D","")))</f>
        <v/>
      </c>
      <c r="AD70" s="204" t="str">
        <f>IF($AI70="","",IF(INDEX('Roadmap Calc (Don’t Touch)'!$W$2:$AT$204,$AI70,21)&gt;0,IF(AND($H70&lt;&gt;"",$H70&lt;=EOMONTH(AD$3,0),$I70&gt;=AD$3),"B","U"),IF(AND($H70&lt;&gt;"",$H70&lt;=EOMONTH(AD$3,0),$I70&gt;=AD$3),"D","")))</f>
        <v/>
      </c>
      <c r="AE70" s="204" t="str">
        <f>IF($AI70="","",IF(INDEX('Roadmap Calc (Don’t Touch)'!$W$2:$AT$204,$AI70,22)&gt;0,IF(AND($H70&lt;&gt;"",$H70&lt;=EOMONTH(AE$3,0),$I70&gt;=AE$3),"B","U"),IF(AND($H70&lt;&gt;"",$H70&lt;=EOMONTH(AE$3,0),$I70&gt;=AE$3),"D","")))</f>
        <v/>
      </c>
      <c r="AF70" s="204" t="str">
        <f>IF($AI70="","",IF(INDEX('Roadmap Calc (Don’t Touch)'!$W$2:$AT$204,$AI70,23)&gt;0,IF(AND($H70&lt;&gt;"",$H70&lt;=EOMONTH(AF$3,0),$I70&gt;=AF$3),"B","U"),IF(AND($H70&lt;&gt;"",$H70&lt;=EOMONTH(AF$3,0),$I70&gt;=AF$3),"D","")))</f>
        <v/>
      </c>
      <c r="AG70" s="204" t="str">
        <f>IF($AI70="","",IF(INDEX('Roadmap Calc (Don’t Touch)'!$W$2:$AT$204,$AI70,24)&gt;0,IF(AND($H70&lt;&gt;"",$H70&lt;=EOMONTH(AG$3,0),$I70&gt;=AG$3),"B","U"),IF(AND($H70&lt;&gt;"",$H70&lt;=EOMONTH(AG$3,0),$I70&gt;=AG$3),"D","")))</f>
        <v/>
      </c>
      <c r="AH70" s="180" t="str">
        <f>IF($AI70="","",INDEX('Roadmap Calc (Don’t Touch)'!$D$2:$D$204,$AI70))</f>
        <v/>
      </c>
      <c r="AI70" s="180" t="str">
        <f>IFERROR(MATCH(64,'Roadmap Calc (Don’t Touch)'!$O$2:$O$204,0),"")</f>
        <v/>
      </c>
    </row>
    <row r="71" spans="1:35" ht="17" customHeight="1" x14ac:dyDescent="0.25">
      <c r="A71" s="197" t="str">
        <f t="shared" ref="A71:A80" si="2">IF($AI71="","",IF($AH71=$AH70,"",$AH71))</f>
        <v/>
      </c>
      <c r="B71" s="198" t="str">
        <f>IF($AI71="","",INDEX('Roadmap Calc (Don’t Touch)'!$B$2:$B$204,$AI71))</f>
        <v/>
      </c>
      <c r="C71" s="199" t="str">
        <f>IF($AI71="","",INDEX('Roadmap Calc (Don’t Touch)'!$E$2:$E$204,$AI71))</f>
        <v/>
      </c>
      <c r="D71" s="200" t="str">
        <f>IF($AI71="","",INDEX('Roadmap Calc (Don’t Touch)'!$F$2:$F$204,$AI71))</f>
        <v/>
      </c>
      <c r="E71" s="201" t="str">
        <f>IF($AI71="","",IF(ISNUMBER(INDEX('Roadmap Calc (Don’t Touch)'!$G$2:$G$204,$AI71)),INDEX('Roadmap Calc (Don’t Touch)'!$G$2:$G$204,$AI71),""))</f>
        <v/>
      </c>
      <c r="F71" s="201" t="str">
        <f>IF($AI71="","",IF(ISNUMBER(INDEX('Roadmap Calc (Don’t Touch)'!$H$2:$H$204,$AI71)),INDEX('Roadmap Calc (Don’t Touch)'!$H$2:$H$204,$AI71),""))</f>
        <v/>
      </c>
      <c r="G71" s="202" t="str">
        <f>IF($AI71="","",INDEX('Roadmap Calc (Don’t Touch)'!$S$2:$S$204,$AI71))</f>
        <v/>
      </c>
      <c r="H71" s="203" t="str">
        <f>IF($AI71="","",IF(ISNUMBER(INDEX('Roadmap Calc (Don’t Touch)'!$I$2:$I$204,$AI71)),INDEX('Roadmap Calc (Don’t Touch)'!$I$2:$I$204,$AI71),""))</f>
        <v/>
      </c>
      <c r="I71" s="203" t="str">
        <f>IF($AI71="","",IF(ISNUMBER(INDEX('Roadmap Calc (Don’t Touch)'!$J$2:$J$204,$AI71)),INDEX('Roadmap Calc (Don’t Touch)'!$J$2:$J$204,$AI71),""))</f>
        <v/>
      </c>
      <c r="J71" s="204" t="str">
        <f>IF($AI71="","",IF(INDEX('Roadmap Calc (Don’t Touch)'!$W$2:$AT$204,$AI71,1)&gt;0,IF(AND($H71&lt;&gt;"",$H71&lt;=EOMONTH(J$3,0),$I71&gt;=J$3),"B","U"),IF(AND($H71&lt;&gt;"",$H71&lt;=EOMONTH(J$3,0),$I71&gt;=J$3),"D","")))</f>
        <v/>
      </c>
      <c r="K71" s="204" t="str">
        <f>IF($AI71="","",IF(INDEX('Roadmap Calc (Don’t Touch)'!$W$2:$AT$204,$AI71,2)&gt;0,IF(AND($H71&lt;&gt;"",$H71&lt;=EOMONTH(K$3,0),$I71&gt;=K$3),"B","U"),IF(AND($H71&lt;&gt;"",$H71&lt;=EOMONTH(K$3,0),$I71&gt;=K$3),"D","")))</f>
        <v/>
      </c>
      <c r="L71" s="204" t="str">
        <f>IF($AI71="","",IF(INDEX('Roadmap Calc (Don’t Touch)'!$W$2:$AT$204,$AI71,3)&gt;0,IF(AND($H71&lt;&gt;"",$H71&lt;=EOMONTH(L$3,0),$I71&gt;=L$3),"B","U"),IF(AND($H71&lt;&gt;"",$H71&lt;=EOMONTH(L$3,0),$I71&gt;=L$3),"D","")))</f>
        <v/>
      </c>
      <c r="M71" s="204" t="str">
        <f>IF($AI71="","",IF(INDEX('Roadmap Calc (Don’t Touch)'!$W$2:$AT$204,$AI71,4)&gt;0,IF(AND($H71&lt;&gt;"",$H71&lt;=EOMONTH(M$3,0),$I71&gt;=M$3),"B","U"),IF(AND($H71&lt;&gt;"",$H71&lt;=EOMONTH(M$3,0),$I71&gt;=M$3),"D","")))</f>
        <v/>
      </c>
      <c r="N71" s="204" t="str">
        <f>IF($AI71="","",IF(INDEX('Roadmap Calc (Don’t Touch)'!$W$2:$AT$204,$AI71,5)&gt;0,IF(AND($H71&lt;&gt;"",$H71&lt;=EOMONTH(N$3,0),$I71&gt;=N$3),"B","U"),IF(AND($H71&lt;&gt;"",$H71&lt;=EOMONTH(N$3,0),$I71&gt;=N$3),"D","")))</f>
        <v/>
      </c>
      <c r="O71" s="204" t="str">
        <f>IF($AI71="","",IF(INDEX('Roadmap Calc (Don’t Touch)'!$W$2:$AT$204,$AI71,6)&gt;0,IF(AND($H71&lt;&gt;"",$H71&lt;=EOMONTH(O$3,0),$I71&gt;=O$3),"B","U"),IF(AND($H71&lt;&gt;"",$H71&lt;=EOMONTH(O$3,0),$I71&gt;=O$3),"D","")))</f>
        <v/>
      </c>
      <c r="P71" s="204" t="str">
        <f>IF($AI71="","",IF(INDEX('Roadmap Calc (Don’t Touch)'!$W$2:$AT$204,$AI71,7)&gt;0,IF(AND($H71&lt;&gt;"",$H71&lt;=EOMONTH(P$3,0),$I71&gt;=P$3),"B","U"),IF(AND($H71&lt;&gt;"",$H71&lt;=EOMONTH(P$3,0),$I71&gt;=P$3),"D","")))</f>
        <v/>
      </c>
      <c r="Q71" s="204" t="str">
        <f>IF($AI71="","",IF(INDEX('Roadmap Calc (Don’t Touch)'!$W$2:$AT$204,$AI71,8)&gt;0,IF(AND($H71&lt;&gt;"",$H71&lt;=EOMONTH(Q$3,0),$I71&gt;=Q$3),"B","U"),IF(AND($H71&lt;&gt;"",$H71&lt;=EOMONTH(Q$3,0),$I71&gt;=Q$3),"D","")))</f>
        <v/>
      </c>
      <c r="R71" s="204" t="str">
        <f>IF($AI71="","",IF(INDEX('Roadmap Calc (Don’t Touch)'!$W$2:$AT$204,$AI71,9)&gt;0,IF(AND($H71&lt;&gt;"",$H71&lt;=EOMONTH(R$3,0),$I71&gt;=R$3),"B","U"),IF(AND($H71&lt;&gt;"",$H71&lt;=EOMONTH(R$3,0),$I71&gt;=R$3),"D","")))</f>
        <v/>
      </c>
      <c r="S71" s="204" t="str">
        <f>IF($AI71="","",IF(INDEX('Roadmap Calc (Don’t Touch)'!$W$2:$AT$204,$AI71,10)&gt;0,IF(AND($H71&lt;&gt;"",$H71&lt;=EOMONTH(S$3,0),$I71&gt;=S$3),"B","U"),IF(AND($H71&lt;&gt;"",$H71&lt;=EOMONTH(S$3,0),$I71&gt;=S$3),"D","")))</f>
        <v/>
      </c>
      <c r="T71" s="204" t="str">
        <f>IF($AI71="","",IF(INDEX('Roadmap Calc (Don’t Touch)'!$W$2:$AT$204,$AI71,11)&gt;0,IF(AND($H71&lt;&gt;"",$H71&lt;=EOMONTH(T$3,0),$I71&gt;=T$3),"B","U"),IF(AND($H71&lt;&gt;"",$H71&lt;=EOMONTH(T$3,0),$I71&gt;=T$3),"D","")))</f>
        <v/>
      </c>
      <c r="U71" s="204" t="str">
        <f>IF($AI71="","",IF(INDEX('Roadmap Calc (Don’t Touch)'!$W$2:$AT$204,$AI71,12)&gt;0,IF(AND($H71&lt;&gt;"",$H71&lt;=EOMONTH(U$3,0),$I71&gt;=U$3),"B","U"),IF(AND($H71&lt;&gt;"",$H71&lt;=EOMONTH(U$3,0),$I71&gt;=U$3),"D","")))</f>
        <v/>
      </c>
      <c r="V71" s="204" t="str">
        <f>IF($AI71="","",IF(INDEX('Roadmap Calc (Don’t Touch)'!$W$2:$AT$204,$AI71,13)&gt;0,IF(AND($H71&lt;&gt;"",$H71&lt;=EOMONTH(V$3,0),$I71&gt;=V$3),"B","U"),IF(AND($H71&lt;&gt;"",$H71&lt;=EOMONTH(V$3,0),$I71&gt;=V$3),"D","")))</f>
        <v/>
      </c>
      <c r="W71" s="204" t="str">
        <f>IF($AI71="","",IF(INDEX('Roadmap Calc (Don’t Touch)'!$W$2:$AT$204,$AI71,14)&gt;0,IF(AND($H71&lt;&gt;"",$H71&lt;=EOMONTH(W$3,0),$I71&gt;=W$3),"B","U"),IF(AND($H71&lt;&gt;"",$H71&lt;=EOMONTH(W$3,0),$I71&gt;=W$3),"D","")))</f>
        <v/>
      </c>
      <c r="X71" s="204" t="str">
        <f>IF($AI71="","",IF(INDEX('Roadmap Calc (Don’t Touch)'!$W$2:$AT$204,$AI71,15)&gt;0,IF(AND($H71&lt;&gt;"",$H71&lt;=EOMONTH(X$3,0),$I71&gt;=X$3),"B","U"),IF(AND($H71&lt;&gt;"",$H71&lt;=EOMONTH(X$3,0),$I71&gt;=X$3),"D","")))</f>
        <v/>
      </c>
      <c r="Y71" s="204" t="str">
        <f>IF($AI71="","",IF(INDEX('Roadmap Calc (Don’t Touch)'!$W$2:$AT$204,$AI71,16)&gt;0,IF(AND($H71&lt;&gt;"",$H71&lt;=EOMONTH(Y$3,0),$I71&gt;=Y$3),"B","U"),IF(AND($H71&lt;&gt;"",$H71&lt;=EOMONTH(Y$3,0),$I71&gt;=Y$3),"D","")))</f>
        <v/>
      </c>
      <c r="Z71" s="204" t="str">
        <f>IF($AI71="","",IF(INDEX('Roadmap Calc (Don’t Touch)'!$W$2:$AT$204,$AI71,17)&gt;0,IF(AND($H71&lt;&gt;"",$H71&lt;=EOMONTH(Z$3,0),$I71&gt;=Z$3),"B","U"),IF(AND($H71&lt;&gt;"",$H71&lt;=EOMONTH(Z$3,0),$I71&gt;=Z$3),"D","")))</f>
        <v/>
      </c>
      <c r="AA71" s="204" t="str">
        <f>IF($AI71="","",IF(INDEX('Roadmap Calc (Don’t Touch)'!$W$2:$AT$204,$AI71,18)&gt;0,IF(AND($H71&lt;&gt;"",$H71&lt;=EOMONTH(AA$3,0),$I71&gt;=AA$3),"B","U"),IF(AND($H71&lt;&gt;"",$H71&lt;=EOMONTH(AA$3,0),$I71&gt;=AA$3),"D","")))</f>
        <v/>
      </c>
      <c r="AB71" s="204" t="str">
        <f>IF($AI71="","",IF(INDEX('Roadmap Calc (Don’t Touch)'!$W$2:$AT$204,$AI71,19)&gt;0,IF(AND($H71&lt;&gt;"",$H71&lt;=EOMONTH(AB$3,0),$I71&gt;=AB$3),"B","U"),IF(AND($H71&lt;&gt;"",$H71&lt;=EOMONTH(AB$3,0),$I71&gt;=AB$3),"D","")))</f>
        <v/>
      </c>
      <c r="AC71" s="204" t="str">
        <f>IF($AI71="","",IF(INDEX('Roadmap Calc (Don’t Touch)'!$W$2:$AT$204,$AI71,20)&gt;0,IF(AND($H71&lt;&gt;"",$H71&lt;=EOMONTH(AC$3,0),$I71&gt;=AC$3),"B","U"),IF(AND($H71&lt;&gt;"",$H71&lt;=EOMONTH(AC$3,0),$I71&gt;=AC$3),"D","")))</f>
        <v/>
      </c>
      <c r="AD71" s="204" t="str">
        <f>IF($AI71="","",IF(INDEX('Roadmap Calc (Don’t Touch)'!$W$2:$AT$204,$AI71,21)&gt;0,IF(AND($H71&lt;&gt;"",$H71&lt;=EOMONTH(AD$3,0),$I71&gt;=AD$3),"B","U"),IF(AND($H71&lt;&gt;"",$H71&lt;=EOMONTH(AD$3,0),$I71&gt;=AD$3),"D","")))</f>
        <v/>
      </c>
      <c r="AE71" s="204" t="str">
        <f>IF($AI71="","",IF(INDEX('Roadmap Calc (Don’t Touch)'!$W$2:$AT$204,$AI71,22)&gt;0,IF(AND($H71&lt;&gt;"",$H71&lt;=EOMONTH(AE$3,0),$I71&gt;=AE$3),"B","U"),IF(AND($H71&lt;&gt;"",$H71&lt;=EOMONTH(AE$3,0),$I71&gt;=AE$3),"D","")))</f>
        <v/>
      </c>
      <c r="AF71" s="204" t="str">
        <f>IF($AI71="","",IF(INDEX('Roadmap Calc (Don’t Touch)'!$W$2:$AT$204,$AI71,23)&gt;0,IF(AND($H71&lt;&gt;"",$H71&lt;=EOMONTH(AF$3,0),$I71&gt;=AF$3),"B","U"),IF(AND($H71&lt;&gt;"",$H71&lt;=EOMONTH(AF$3,0),$I71&gt;=AF$3),"D","")))</f>
        <v/>
      </c>
      <c r="AG71" s="204" t="str">
        <f>IF($AI71="","",IF(INDEX('Roadmap Calc (Don’t Touch)'!$W$2:$AT$204,$AI71,24)&gt;0,IF(AND($H71&lt;&gt;"",$H71&lt;=EOMONTH(AG$3,0),$I71&gt;=AG$3),"B","U"),IF(AND($H71&lt;&gt;"",$H71&lt;=EOMONTH(AG$3,0),$I71&gt;=AG$3),"D","")))</f>
        <v/>
      </c>
      <c r="AH71" s="180" t="str">
        <f>IF($AI71="","",INDEX('Roadmap Calc (Don’t Touch)'!$D$2:$D$204,$AI71))</f>
        <v/>
      </c>
      <c r="AI71" s="180" t="str">
        <f>IFERROR(MATCH(65,'Roadmap Calc (Don’t Touch)'!$O$2:$O$204,0),"")</f>
        <v/>
      </c>
    </row>
    <row r="72" spans="1:35" ht="17" customHeight="1" x14ac:dyDescent="0.25">
      <c r="A72" s="197" t="str">
        <f t="shared" si="2"/>
        <v/>
      </c>
      <c r="B72" s="198" t="str">
        <f>IF($AI72="","",INDEX('Roadmap Calc (Don’t Touch)'!$B$2:$B$204,$AI72))</f>
        <v/>
      </c>
      <c r="C72" s="199" t="str">
        <f>IF($AI72="","",INDEX('Roadmap Calc (Don’t Touch)'!$E$2:$E$204,$AI72))</f>
        <v/>
      </c>
      <c r="D72" s="200" t="str">
        <f>IF($AI72="","",INDEX('Roadmap Calc (Don’t Touch)'!$F$2:$F$204,$AI72))</f>
        <v/>
      </c>
      <c r="E72" s="201" t="str">
        <f>IF($AI72="","",IF(ISNUMBER(INDEX('Roadmap Calc (Don’t Touch)'!$G$2:$G$204,$AI72)),INDEX('Roadmap Calc (Don’t Touch)'!$G$2:$G$204,$AI72),""))</f>
        <v/>
      </c>
      <c r="F72" s="201" t="str">
        <f>IF($AI72="","",IF(ISNUMBER(INDEX('Roadmap Calc (Don’t Touch)'!$H$2:$H$204,$AI72)),INDEX('Roadmap Calc (Don’t Touch)'!$H$2:$H$204,$AI72),""))</f>
        <v/>
      </c>
      <c r="G72" s="202" t="str">
        <f>IF($AI72="","",INDEX('Roadmap Calc (Don’t Touch)'!$S$2:$S$204,$AI72))</f>
        <v/>
      </c>
      <c r="H72" s="203" t="str">
        <f>IF($AI72="","",IF(ISNUMBER(INDEX('Roadmap Calc (Don’t Touch)'!$I$2:$I$204,$AI72)),INDEX('Roadmap Calc (Don’t Touch)'!$I$2:$I$204,$AI72),""))</f>
        <v/>
      </c>
      <c r="I72" s="203" t="str">
        <f>IF($AI72="","",IF(ISNUMBER(INDEX('Roadmap Calc (Don’t Touch)'!$J$2:$J$204,$AI72)),INDEX('Roadmap Calc (Don’t Touch)'!$J$2:$J$204,$AI72),""))</f>
        <v/>
      </c>
      <c r="J72" s="204" t="str">
        <f>IF($AI72="","",IF(INDEX('Roadmap Calc (Don’t Touch)'!$W$2:$AT$204,$AI72,1)&gt;0,IF(AND($H72&lt;&gt;"",$H72&lt;=EOMONTH(J$3,0),$I72&gt;=J$3),"B","U"),IF(AND($H72&lt;&gt;"",$H72&lt;=EOMONTH(J$3,0),$I72&gt;=J$3),"D","")))</f>
        <v/>
      </c>
      <c r="K72" s="204" t="str">
        <f>IF($AI72="","",IF(INDEX('Roadmap Calc (Don’t Touch)'!$W$2:$AT$204,$AI72,2)&gt;0,IF(AND($H72&lt;&gt;"",$H72&lt;=EOMONTH(K$3,0),$I72&gt;=K$3),"B","U"),IF(AND($H72&lt;&gt;"",$H72&lt;=EOMONTH(K$3,0),$I72&gt;=K$3),"D","")))</f>
        <v/>
      </c>
      <c r="L72" s="204" t="str">
        <f>IF($AI72="","",IF(INDEX('Roadmap Calc (Don’t Touch)'!$W$2:$AT$204,$AI72,3)&gt;0,IF(AND($H72&lt;&gt;"",$H72&lt;=EOMONTH(L$3,0),$I72&gt;=L$3),"B","U"),IF(AND($H72&lt;&gt;"",$H72&lt;=EOMONTH(L$3,0),$I72&gt;=L$3),"D","")))</f>
        <v/>
      </c>
      <c r="M72" s="204" t="str">
        <f>IF($AI72="","",IF(INDEX('Roadmap Calc (Don’t Touch)'!$W$2:$AT$204,$AI72,4)&gt;0,IF(AND($H72&lt;&gt;"",$H72&lt;=EOMONTH(M$3,0),$I72&gt;=M$3),"B","U"),IF(AND($H72&lt;&gt;"",$H72&lt;=EOMONTH(M$3,0),$I72&gt;=M$3),"D","")))</f>
        <v/>
      </c>
      <c r="N72" s="204" t="str">
        <f>IF($AI72="","",IF(INDEX('Roadmap Calc (Don’t Touch)'!$W$2:$AT$204,$AI72,5)&gt;0,IF(AND($H72&lt;&gt;"",$H72&lt;=EOMONTH(N$3,0),$I72&gt;=N$3),"B","U"),IF(AND($H72&lt;&gt;"",$H72&lt;=EOMONTH(N$3,0),$I72&gt;=N$3),"D","")))</f>
        <v/>
      </c>
      <c r="O72" s="204" t="str">
        <f>IF($AI72="","",IF(INDEX('Roadmap Calc (Don’t Touch)'!$W$2:$AT$204,$AI72,6)&gt;0,IF(AND($H72&lt;&gt;"",$H72&lt;=EOMONTH(O$3,0),$I72&gt;=O$3),"B","U"),IF(AND($H72&lt;&gt;"",$H72&lt;=EOMONTH(O$3,0),$I72&gt;=O$3),"D","")))</f>
        <v/>
      </c>
      <c r="P72" s="204" t="str">
        <f>IF($AI72="","",IF(INDEX('Roadmap Calc (Don’t Touch)'!$W$2:$AT$204,$AI72,7)&gt;0,IF(AND($H72&lt;&gt;"",$H72&lt;=EOMONTH(P$3,0),$I72&gt;=P$3),"B","U"),IF(AND($H72&lt;&gt;"",$H72&lt;=EOMONTH(P$3,0),$I72&gt;=P$3),"D","")))</f>
        <v/>
      </c>
      <c r="Q72" s="204" t="str">
        <f>IF($AI72="","",IF(INDEX('Roadmap Calc (Don’t Touch)'!$W$2:$AT$204,$AI72,8)&gt;0,IF(AND($H72&lt;&gt;"",$H72&lt;=EOMONTH(Q$3,0),$I72&gt;=Q$3),"B","U"),IF(AND($H72&lt;&gt;"",$H72&lt;=EOMONTH(Q$3,0),$I72&gt;=Q$3),"D","")))</f>
        <v/>
      </c>
      <c r="R72" s="204" t="str">
        <f>IF($AI72="","",IF(INDEX('Roadmap Calc (Don’t Touch)'!$W$2:$AT$204,$AI72,9)&gt;0,IF(AND($H72&lt;&gt;"",$H72&lt;=EOMONTH(R$3,0),$I72&gt;=R$3),"B","U"),IF(AND($H72&lt;&gt;"",$H72&lt;=EOMONTH(R$3,0),$I72&gt;=R$3),"D","")))</f>
        <v/>
      </c>
      <c r="S72" s="204" t="str">
        <f>IF($AI72="","",IF(INDEX('Roadmap Calc (Don’t Touch)'!$W$2:$AT$204,$AI72,10)&gt;0,IF(AND($H72&lt;&gt;"",$H72&lt;=EOMONTH(S$3,0),$I72&gt;=S$3),"B","U"),IF(AND($H72&lt;&gt;"",$H72&lt;=EOMONTH(S$3,0),$I72&gt;=S$3),"D","")))</f>
        <v/>
      </c>
      <c r="T72" s="204" t="str">
        <f>IF($AI72="","",IF(INDEX('Roadmap Calc (Don’t Touch)'!$W$2:$AT$204,$AI72,11)&gt;0,IF(AND($H72&lt;&gt;"",$H72&lt;=EOMONTH(T$3,0),$I72&gt;=T$3),"B","U"),IF(AND($H72&lt;&gt;"",$H72&lt;=EOMONTH(T$3,0),$I72&gt;=T$3),"D","")))</f>
        <v/>
      </c>
      <c r="U72" s="204" t="str">
        <f>IF($AI72="","",IF(INDEX('Roadmap Calc (Don’t Touch)'!$W$2:$AT$204,$AI72,12)&gt;0,IF(AND($H72&lt;&gt;"",$H72&lt;=EOMONTH(U$3,0),$I72&gt;=U$3),"B","U"),IF(AND($H72&lt;&gt;"",$H72&lt;=EOMONTH(U$3,0),$I72&gt;=U$3),"D","")))</f>
        <v/>
      </c>
      <c r="V72" s="204" t="str">
        <f>IF($AI72="","",IF(INDEX('Roadmap Calc (Don’t Touch)'!$W$2:$AT$204,$AI72,13)&gt;0,IF(AND($H72&lt;&gt;"",$H72&lt;=EOMONTH(V$3,0),$I72&gt;=V$3),"B","U"),IF(AND($H72&lt;&gt;"",$H72&lt;=EOMONTH(V$3,0),$I72&gt;=V$3),"D","")))</f>
        <v/>
      </c>
      <c r="W72" s="204" t="str">
        <f>IF($AI72="","",IF(INDEX('Roadmap Calc (Don’t Touch)'!$W$2:$AT$204,$AI72,14)&gt;0,IF(AND($H72&lt;&gt;"",$H72&lt;=EOMONTH(W$3,0),$I72&gt;=W$3),"B","U"),IF(AND($H72&lt;&gt;"",$H72&lt;=EOMONTH(W$3,0),$I72&gt;=W$3),"D","")))</f>
        <v/>
      </c>
      <c r="X72" s="204" t="str">
        <f>IF($AI72="","",IF(INDEX('Roadmap Calc (Don’t Touch)'!$W$2:$AT$204,$AI72,15)&gt;0,IF(AND($H72&lt;&gt;"",$H72&lt;=EOMONTH(X$3,0),$I72&gt;=X$3),"B","U"),IF(AND($H72&lt;&gt;"",$H72&lt;=EOMONTH(X$3,0),$I72&gt;=X$3),"D","")))</f>
        <v/>
      </c>
      <c r="Y72" s="204" t="str">
        <f>IF($AI72="","",IF(INDEX('Roadmap Calc (Don’t Touch)'!$W$2:$AT$204,$AI72,16)&gt;0,IF(AND($H72&lt;&gt;"",$H72&lt;=EOMONTH(Y$3,0),$I72&gt;=Y$3),"B","U"),IF(AND($H72&lt;&gt;"",$H72&lt;=EOMONTH(Y$3,0),$I72&gt;=Y$3),"D","")))</f>
        <v/>
      </c>
      <c r="Z72" s="204" t="str">
        <f>IF($AI72="","",IF(INDEX('Roadmap Calc (Don’t Touch)'!$W$2:$AT$204,$AI72,17)&gt;0,IF(AND($H72&lt;&gt;"",$H72&lt;=EOMONTH(Z$3,0),$I72&gt;=Z$3),"B","U"),IF(AND($H72&lt;&gt;"",$H72&lt;=EOMONTH(Z$3,0),$I72&gt;=Z$3),"D","")))</f>
        <v/>
      </c>
      <c r="AA72" s="204" t="str">
        <f>IF($AI72="","",IF(INDEX('Roadmap Calc (Don’t Touch)'!$W$2:$AT$204,$AI72,18)&gt;0,IF(AND($H72&lt;&gt;"",$H72&lt;=EOMONTH(AA$3,0),$I72&gt;=AA$3),"B","U"),IF(AND($H72&lt;&gt;"",$H72&lt;=EOMONTH(AA$3,0),$I72&gt;=AA$3),"D","")))</f>
        <v/>
      </c>
      <c r="AB72" s="204" t="str">
        <f>IF($AI72="","",IF(INDEX('Roadmap Calc (Don’t Touch)'!$W$2:$AT$204,$AI72,19)&gt;0,IF(AND($H72&lt;&gt;"",$H72&lt;=EOMONTH(AB$3,0),$I72&gt;=AB$3),"B","U"),IF(AND($H72&lt;&gt;"",$H72&lt;=EOMONTH(AB$3,0),$I72&gt;=AB$3),"D","")))</f>
        <v/>
      </c>
      <c r="AC72" s="204" t="str">
        <f>IF($AI72="","",IF(INDEX('Roadmap Calc (Don’t Touch)'!$W$2:$AT$204,$AI72,20)&gt;0,IF(AND($H72&lt;&gt;"",$H72&lt;=EOMONTH(AC$3,0),$I72&gt;=AC$3),"B","U"),IF(AND($H72&lt;&gt;"",$H72&lt;=EOMONTH(AC$3,0),$I72&gt;=AC$3),"D","")))</f>
        <v/>
      </c>
      <c r="AD72" s="204" t="str">
        <f>IF($AI72="","",IF(INDEX('Roadmap Calc (Don’t Touch)'!$W$2:$AT$204,$AI72,21)&gt;0,IF(AND($H72&lt;&gt;"",$H72&lt;=EOMONTH(AD$3,0),$I72&gt;=AD$3),"B","U"),IF(AND($H72&lt;&gt;"",$H72&lt;=EOMONTH(AD$3,0),$I72&gt;=AD$3),"D","")))</f>
        <v/>
      </c>
      <c r="AE72" s="204" t="str">
        <f>IF($AI72="","",IF(INDEX('Roadmap Calc (Don’t Touch)'!$W$2:$AT$204,$AI72,22)&gt;0,IF(AND($H72&lt;&gt;"",$H72&lt;=EOMONTH(AE$3,0),$I72&gt;=AE$3),"B","U"),IF(AND($H72&lt;&gt;"",$H72&lt;=EOMONTH(AE$3,0),$I72&gt;=AE$3),"D","")))</f>
        <v/>
      </c>
      <c r="AF72" s="204" t="str">
        <f>IF($AI72="","",IF(INDEX('Roadmap Calc (Don’t Touch)'!$W$2:$AT$204,$AI72,23)&gt;0,IF(AND($H72&lt;&gt;"",$H72&lt;=EOMONTH(AF$3,0),$I72&gt;=AF$3),"B","U"),IF(AND($H72&lt;&gt;"",$H72&lt;=EOMONTH(AF$3,0),$I72&gt;=AF$3),"D","")))</f>
        <v/>
      </c>
      <c r="AG72" s="204" t="str">
        <f>IF($AI72="","",IF(INDEX('Roadmap Calc (Don’t Touch)'!$W$2:$AT$204,$AI72,24)&gt;0,IF(AND($H72&lt;&gt;"",$H72&lt;=EOMONTH(AG$3,0),$I72&gt;=AG$3),"B","U"),IF(AND($H72&lt;&gt;"",$H72&lt;=EOMONTH(AG$3,0),$I72&gt;=AG$3),"D","")))</f>
        <v/>
      </c>
      <c r="AH72" s="180" t="str">
        <f>IF($AI72="","",INDEX('Roadmap Calc (Don’t Touch)'!$D$2:$D$204,$AI72))</f>
        <v/>
      </c>
      <c r="AI72" s="180" t="str">
        <f>IFERROR(MATCH(66,'Roadmap Calc (Don’t Touch)'!$O$2:$O$204,0),"")</f>
        <v/>
      </c>
    </row>
    <row r="73" spans="1:35" ht="17" customHeight="1" x14ac:dyDescent="0.25">
      <c r="A73" s="197" t="str">
        <f t="shared" si="2"/>
        <v/>
      </c>
      <c r="B73" s="198" t="str">
        <f>IF($AI73="","",INDEX('Roadmap Calc (Don’t Touch)'!$B$2:$B$204,$AI73))</f>
        <v/>
      </c>
      <c r="C73" s="199" t="str">
        <f>IF($AI73="","",INDEX('Roadmap Calc (Don’t Touch)'!$E$2:$E$204,$AI73))</f>
        <v/>
      </c>
      <c r="D73" s="200" t="str">
        <f>IF($AI73="","",INDEX('Roadmap Calc (Don’t Touch)'!$F$2:$F$204,$AI73))</f>
        <v/>
      </c>
      <c r="E73" s="201" t="str">
        <f>IF($AI73="","",IF(ISNUMBER(INDEX('Roadmap Calc (Don’t Touch)'!$G$2:$G$204,$AI73)),INDEX('Roadmap Calc (Don’t Touch)'!$G$2:$G$204,$AI73),""))</f>
        <v/>
      </c>
      <c r="F73" s="201" t="str">
        <f>IF($AI73="","",IF(ISNUMBER(INDEX('Roadmap Calc (Don’t Touch)'!$H$2:$H$204,$AI73)),INDEX('Roadmap Calc (Don’t Touch)'!$H$2:$H$204,$AI73),""))</f>
        <v/>
      </c>
      <c r="G73" s="202" t="str">
        <f>IF($AI73="","",INDEX('Roadmap Calc (Don’t Touch)'!$S$2:$S$204,$AI73))</f>
        <v/>
      </c>
      <c r="H73" s="203" t="str">
        <f>IF($AI73="","",IF(ISNUMBER(INDEX('Roadmap Calc (Don’t Touch)'!$I$2:$I$204,$AI73)),INDEX('Roadmap Calc (Don’t Touch)'!$I$2:$I$204,$AI73),""))</f>
        <v/>
      </c>
      <c r="I73" s="203" t="str">
        <f>IF($AI73="","",IF(ISNUMBER(INDEX('Roadmap Calc (Don’t Touch)'!$J$2:$J$204,$AI73)),INDEX('Roadmap Calc (Don’t Touch)'!$J$2:$J$204,$AI73),""))</f>
        <v/>
      </c>
      <c r="J73" s="204" t="str">
        <f>IF($AI73="","",IF(INDEX('Roadmap Calc (Don’t Touch)'!$W$2:$AT$204,$AI73,1)&gt;0,IF(AND($H73&lt;&gt;"",$H73&lt;=EOMONTH(J$3,0),$I73&gt;=J$3),"B","U"),IF(AND($H73&lt;&gt;"",$H73&lt;=EOMONTH(J$3,0),$I73&gt;=J$3),"D","")))</f>
        <v/>
      </c>
      <c r="K73" s="204" t="str">
        <f>IF($AI73="","",IF(INDEX('Roadmap Calc (Don’t Touch)'!$W$2:$AT$204,$AI73,2)&gt;0,IF(AND($H73&lt;&gt;"",$H73&lt;=EOMONTH(K$3,0),$I73&gt;=K$3),"B","U"),IF(AND($H73&lt;&gt;"",$H73&lt;=EOMONTH(K$3,0),$I73&gt;=K$3),"D","")))</f>
        <v/>
      </c>
      <c r="L73" s="204" t="str">
        <f>IF($AI73="","",IF(INDEX('Roadmap Calc (Don’t Touch)'!$W$2:$AT$204,$AI73,3)&gt;0,IF(AND($H73&lt;&gt;"",$H73&lt;=EOMONTH(L$3,0),$I73&gt;=L$3),"B","U"),IF(AND($H73&lt;&gt;"",$H73&lt;=EOMONTH(L$3,0),$I73&gt;=L$3),"D","")))</f>
        <v/>
      </c>
      <c r="M73" s="204" t="str">
        <f>IF($AI73="","",IF(INDEX('Roadmap Calc (Don’t Touch)'!$W$2:$AT$204,$AI73,4)&gt;0,IF(AND($H73&lt;&gt;"",$H73&lt;=EOMONTH(M$3,0),$I73&gt;=M$3),"B","U"),IF(AND($H73&lt;&gt;"",$H73&lt;=EOMONTH(M$3,0),$I73&gt;=M$3),"D","")))</f>
        <v/>
      </c>
      <c r="N73" s="204" t="str">
        <f>IF($AI73="","",IF(INDEX('Roadmap Calc (Don’t Touch)'!$W$2:$AT$204,$AI73,5)&gt;0,IF(AND($H73&lt;&gt;"",$H73&lt;=EOMONTH(N$3,0),$I73&gt;=N$3),"B","U"),IF(AND($H73&lt;&gt;"",$H73&lt;=EOMONTH(N$3,0),$I73&gt;=N$3),"D","")))</f>
        <v/>
      </c>
      <c r="O73" s="204" t="str">
        <f>IF($AI73="","",IF(INDEX('Roadmap Calc (Don’t Touch)'!$W$2:$AT$204,$AI73,6)&gt;0,IF(AND($H73&lt;&gt;"",$H73&lt;=EOMONTH(O$3,0),$I73&gt;=O$3),"B","U"),IF(AND($H73&lt;&gt;"",$H73&lt;=EOMONTH(O$3,0),$I73&gt;=O$3),"D","")))</f>
        <v/>
      </c>
      <c r="P73" s="204" t="str">
        <f>IF($AI73="","",IF(INDEX('Roadmap Calc (Don’t Touch)'!$W$2:$AT$204,$AI73,7)&gt;0,IF(AND($H73&lt;&gt;"",$H73&lt;=EOMONTH(P$3,0),$I73&gt;=P$3),"B","U"),IF(AND($H73&lt;&gt;"",$H73&lt;=EOMONTH(P$3,0),$I73&gt;=P$3),"D","")))</f>
        <v/>
      </c>
      <c r="Q73" s="204" t="str">
        <f>IF($AI73="","",IF(INDEX('Roadmap Calc (Don’t Touch)'!$W$2:$AT$204,$AI73,8)&gt;0,IF(AND($H73&lt;&gt;"",$H73&lt;=EOMONTH(Q$3,0),$I73&gt;=Q$3),"B","U"),IF(AND($H73&lt;&gt;"",$H73&lt;=EOMONTH(Q$3,0),$I73&gt;=Q$3),"D","")))</f>
        <v/>
      </c>
      <c r="R73" s="204" t="str">
        <f>IF($AI73="","",IF(INDEX('Roadmap Calc (Don’t Touch)'!$W$2:$AT$204,$AI73,9)&gt;0,IF(AND($H73&lt;&gt;"",$H73&lt;=EOMONTH(R$3,0),$I73&gt;=R$3),"B","U"),IF(AND($H73&lt;&gt;"",$H73&lt;=EOMONTH(R$3,0),$I73&gt;=R$3),"D","")))</f>
        <v/>
      </c>
      <c r="S73" s="204" t="str">
        <f>IF($AI73="","",IF(INDEX('Roadmap Calc (Don’t Touch)'!$W$2:$AT$204,$AI73,10)&gt;0,IF(AND($H73&lt;&gt;"",$H73&lt;=EOMONTH(S$3,0),$I73&gt;=S$3),"B","U"),IF(AND($H73&lt;&gt;"",$H73&lt;=EOMONTH(S$3,0),$I73&gt;=S$3),"D","")))</f>
        <v/>
      </c>
      <c r="T73" s="204" t="str">
        <f>IF($AI73="","",IF(INDEX('Roadmap Calc (Don’t Touch)'!$W$2:$AT$204,$AI73,11)&gt;0,IF(AND($H73&lt;&gt;"",$H73&lt;=EOMONTH(T$3,0),$I73&gt;=T$3),"B","U"),IF(AND($H73&lt;&gt;"",$H73&lt;=EOMONTH(T$3,0),$I73&gt;=T$3),"D","")))</f>
        <v/>
      </c>
      <c r="U73" s="204" t="str">
        <f>IF($AI73="","",IF(INDEX('Roadmap Calc (Don’t Touch)'!$W$2:$AT$204,$AI73,12)&gt;0,IF(AND($H73&lt;&gt;"",$H73&lt;=EOMONTH(U$3,0),$I73&gt;=U$3),"B","U"),IF(AND($H73&lt;&gt;"",$H73&lt;=EOMONTH(U$3,0),$I73&gt;=U$3),"D","")))</f>
        <v/>
      </c>
      <c r="V73" s="204" t="str">
        <f>IF($AI73="","",IF(INDEX('Roadmap Calc (Don’t Touch)'!$W$2:$AT$204,$AI73,13)&gt;0,IF(AND($H73&lt;&gt;"",$H73&lt;=EOMONTH(V$3,0),$I73&gt;=V$3),"B","U"),IF(AND($H73&lt;&gt;"",$H73&lt;=EOMONTH(V$3,0),$I73&gt;=V$3),"D","")))</f>
        <v/>
      </c>
      <c r="W73" s="204" t="str">
        <f>IF($AI73="","",IF(INDEX('Roadmap Calc (Don’t Touch)'!$W$2:$AT$204,$AI73,14)&gt;0,IF(AND($H73&lt;&gt;"",$H73&lt;=EOMONTH(W$3,0),$I73&gt;=W$3),"B","U"),IF(AND($H73&lt;&gt;"",$H73&lt;=EOMONTH(W$3,0),$I73&gt;=W$3),"D","")))</f>
        <v/>
      </c>
      <c r="X73" s="204" t="str">
        <f>IF($AI73="","",IF(INDEX('Roadmap Calc (Don’t Touch)'!$W$2:$AT$204,$AI73,15)&gt;0,IF(AND($H73&lt;&gt;"",$H73&lt;=EOMONTH(X$3,0),$I73&gt;=X$3),"B","U"),IF(AND($H73&lt;&gt;"",$H73&lt;=EOMONTH(X$3,0),$I73&gt;=X$3),"D","")))</f>
        <v/>
      </c>
      <c r="Y73" s="204" t="str">
        <f>IF($AI73="","",IF(INDEX('Roadmap Calc (Don’t Touch)'!$W$2:$AT$204,$AI73,16)&gt;0,IF(AND($H73&lt;&gt;"",$H73&lt;=EOMONTH(Y$3,0),$I73&gt;=Y$3),"B","U"),IF(AND($H73&lt;&gt;"",$H73&lt;=EOMONTH(Y$3,0),$I73&gt;=Y$3),"D","")))</f>
        <v/>
      </c>
      <c r="Z73" s="204" t="str">
        <f>IF($AI73="","",IF(INDEX('Roadmap Calc (Don’t Touch)'!$W$2:$AT$204,$AI73,17)&gt;0,IF(AND($H73&lt;&gt;"",$H73&lt;=EOMONTH(Z$3,0),$I73&gt;=Z$3),"B","U"),IF(AND($H73&lt;&gt;"",$H73&lt;=EOMONTH(Z$3,0),$I73&gt;=Z$3),"D","")))</f>
        <v/>
      </c>
      <c r="AA73" s="204" t="str">
        <f>IF($AI73="","",IF(INDEX('Roadmap Calc (Don’t Touch)'!$W$2:$AT$204,$AI73,18)&gt;0,IF(AND($H73&lt;&gt;"",$H73&lt;=EOMONTH(AA$3,0),$I73&gt;=AA$3),"B","U"),IF(AND($H73&lt;&gt;"",$H73&lt;=EOMONTH(AA$3,0),$I73&gt;=AA$3),"D","")))</f>
        <v/>
      </c>
      <c r="AB73" s="204" t="str">
        <f>IF($AI73="","",IF(INDEX('Roadmap Calc (Don’t Touch)'!$W$2:$AT$204,$AI73,19)&gt;0,IF(AND($H73&lt;&gt;"",$H73&lt;=EOMONTH(AB$3,0),$I73&gt;=AB$3),"B","U"),IF(AND($H73&lt;&gt;"",$H73&lt;=EOMONTH(AB$3,0),$I73&gt;=AB$3),"D","")))</f>
        <v/>
      </c>
      <c r="AC73" s="204" t="str">
        <f>IF($AI73="","",IF(INDEX('Roadmap Calc (Don’t Touch)'!$W$2:$AT$204,$AI73,20)&gt;0,IF(AND($H73&lt;&gt;"",$H73&lt;=EOMONTH(AC$3,0),$I73&gt;=AC$3),"B","U"),IF(AND($H73&lt;&gt;"",$H73&lt;=EOMONTH(AC$3,0),$I73&gt;=AC$3),"D","")))</f>
        <v/>
      </c>
      <c r="AD73" s="204" t="str">
        <f>IF($AI73="","",IF(INDEX('Roadmap Calc (Don’t Touch)'!$W$2:$AT$204,$AI73,21)&gt;0,IF(AND($H73&lt;&gt;"",$H73&lt;=EOMONTH(AD$3,0),$I73&gt;=AD$3),"B","U"),IF(AND($H73&lt;&gt;"",$H73&lt;=EOMONTH(AD$3,0),$I73&gt;=AD$3),"D","")))</f>
        <v/>
      </c>
      <c r="AE73" s="204" t="str">
        <f>IF($AI73="","",IF(INDEX('Roadmap Calc (Don’t Touch)'!$W$2:$AT$204,$AI73,22)&gt;0,IF(AND($H73&lt;&gt;"",$H73&lt;=EOMONTH(AE$3,0),$I73&gt;=AE$3),"B","U"),IF(AND($H73&lt;&gt;"",$H73&lt;=EOMONTH(AE$3,0),$I73&gt;=AE$3),"D","")))</f>
        <v/>
      </c>
      <c r="AF73" s="204" t="str">
        <f>IF($AI73="","",IF(INDEX('Roadmap Calc (Don’t Touch)'!$W$2:$AT$204,$AI73,23)&gt;0,IF(AND($H73&lt;&gt;"",$H73&lt;=EOMONTH(AF$3,0),$I73&gt;=AF$3),"B","U"),IF(AND($H73&lt;&gt;"",$H73&lt;=EOMONTH(AF$3,0),$I73&gt;=AF$3),"D","")))</f>
        <v/>
      </c>
      <c r="AG73" s="204" t="str">
        <f>IF($AI73="","",IF(INDEX('Roadmap Calc (Don’t Touch)'!$W$2:$AT$204,$AI73,24)&gt;0,IF(AND($H73&lt;&gt;"",$H73&lt;=EOMONTH(AG$3,0),$I73&gt;=AG$3),"B","U"),IF(AND($H73&lt;&gt;"",$H73&lt;=EOMONTH(AG$3,0),$I73&gt;=AG$3),"D","")))</f>
        <v/>
      </c>
      <c r="AH73" s="180" t="str">
        <f>IF($AI73="","",INDEX('Roadmap Calc (Don’t Touch)'!$D$2:$D$204,$AI73))</f>
        <v/>
      </c>
      <c r="AI73" s="180" t="str">
        <f>IFERROR(MATCH(67,'Roadmap Calc (Don’t Touch)'!$O$2:$O$204,0),"")</f>
        <v/>
      </c>
    </row>
    <row r="74" spans="1:35" ht="17" customHeight="1" x14ac:dyDescent="0.25">
      <c r="A74" s="197" t="str">
        <f t="shared" si="2"/>
        <v/>
      </c>
      <c r="B74" s="198" t="str">
        <f>IF($AI74="","",INDEX('Roadmap Calc (Don’t Touch)'!$B$2:$B$204,$AI74))</f>
        <v/>
      </c>
      <c r="C74" s="199" t="str">
        <f>IF($AI74="","",INDEX('Roadmap Calc (Don’t Touch)'!$E$2:$E$204,$AI74))</f>
        <v/>
      </c>
      <c r="D74" s="200" t="str">
        <f>IF($AI74="","",INDEX('Roadmap Calc (Don’t Touch)'!$F$2:$F$204,$AI74))</f>
        <v/>
      </c>
      <c r="E74" s="201" t="str">
        <f>IF($AI74="","",IF(ISNUMBER(INDEX('Roadmap Calc (Don’t Touch)'!$G$2:$G$204,$AI74)),INDEX('Roadmap Calc (Don’t Touch)'!$G$2:$G$204,$AI74),""))</f>
        <v/>
      </c>
      <c r="F74" s="201" t="str">
        <f>IF($AI74="","",IF(ISNUMBER(INDEX('Roadmap Calc (Don’t Touch)'!$H$2:$H$204,$AI74)),INDEX('Roadmap Calc (Don’t Touch)'!$H$2:$H$204,$AI74),""))</f>
        <v/>
      </c>
      <c r="G74" s="202" t="str">
        <f>IF($AI74="","",INDEX('Roadmap Calc (Don’t Touch)'!$S$2:$S$204,$AI74))</f>
        <v/>
      </c>
      <c r="H74" s="203" t="str">
        <f>IF($AI74="","",IF(ISNUMBER(INDEX('Roadmap Calc (Don’t Touch)'!$I$2:$I$204,$AI74)),INDEX('Roadmap Calc (Don’t Touch)'!$I$2:$I$204,$AI74),""))</f>
        <v/>
      </c>
      <c r="I74" s="203" t="str">
        <f>IF($AI74="","",IF(ISNUMBER(INDEX('Roadmap Calc (Don’t Touch)'!$J$2:$J$204,$AI74)),INDEX('Roadmap Calc (Don’t Touch)'!$J$2:$J$204,$AI74),""))</f>
        <v/>
      </c>
      <c r="J74" s="204" t="str">
        <f>IF($AI74="","",IF(INDEX('Roadmap Calc (Don’t Touch)'!$W$2:$AT$204,$AI74,1)&gt;0,IF(AND($H74&lt;&gt;"",$H74&lt;=EOMONTH(J$3,0),$I74&gt;=J$3),"B","U"),IF(AND($H74&lt;&gt;"",$H74&lt;=EOMONTH(J$3,0),$I74&gt;=J$3),"D","")))</f>
        <v/>
      </c>
      <c r="K74" s="204" t="str">
        <f>IF($AI74="","",IF(INDEX('Roadmap Calc (Don’t Touch)'!$W$2:$AT$204,$AI74,2)&gt;0,IF(AND($H74&lt;&gt;"",$H74&lt;=EOMONTH(K$3,0),$I74&gt;=K$3),"B","U"),IF(AND($H74&lt;&gt;"",$H74&lt;=EOMONTH(K$3,0),$I74&gt;=K$3),"D","")))</f>
        <v/>
      </c>
      <c r="L74" s="204" t="str">
        <f>IF($AI74="","",IF(INDEX('Roadmap Calc (Don’t Touch)'!$W$2:$AT$204,$AI74,3)&gt;0,IF(AND($H74&lt;&gt;"",$H74&lt;=EOMONTH(L$3,0),$I74&gt;=L$3),"B","U"),IF(AND($H74&lt;&gt;"",$H74&lt;=EOMONTH(L$3,0),$I74&gt;=L$3),"D","")))</f>
        <v/>
      </c>
      <c r="M74" s="204" t="str">
        <f>IF($AI74="","",IF(INDEX('Roadmap Calc (Don’t Touch)'!$W$2:$AT$204,$AI74,4)&gt;0,IF(AND($H74&lt;&gt;"",$H74&lt;=EOMONTH(M$3,0),$I74&gt;=M$3),"B","U"),IF(AND($H74&lt;&gt;"",$H74&lt;=EOMONTH(M$3,0),$I74&gt;=M$3),"D","")))</f>
        <v/>
      </c>
      <c r="N74" s="204" t="str">
        <f>IF($AI74="","",IF(INDEX('Roadmap Calc (Don’t Touch)'!$W$2:$AT$204,$AI74,5)&gt;0,IF(AND($H74&lt;&gt;"",$H74&lt;=EOMONTH(N$3,0),$I74&gt;=N$3),"B","U"),IF(AND($H74&lt;&gt;"",$H74&lt;=EOMONTH(N$3,0),$I74&gt;=N$3),"D","")))</f>
        <v/>
      </c>
      <c r="O74" s="204" t="str">
        <f>IF($AI74="","",IF(INDEX('Roadmap Calc (Don’t Touch)'!$W$2:$AT$204,$AI74,6)&gt;0,IF(AND($H74&lt;&gt;"",$H74&lt;=EOMONTH(O$3,0),$I74&gt;=O$3),"B","U"),IF(AND($H74&lt;&gt;"",$H74&lt;=EOMONTH(O$3,0),$I74&gt;=O$3),"D","")))</f>
        <v/>
      </c>
      <c r="P74" s="204" t="str">
        <f>IF($AI74="","",IF(INDEX('Roadmap Calc (Don’t Touch)'!$W$2:$AT$204,$AI74,7)&gt;0,IF(AND($H74&lt;&gt;"",$H74&lt;=EOMONTH(P$3,0),$I74&gt;=P$3),"B","U"),IF(AND($H74&lt;&gt;"",$H74&lt;=EOMONTH(P$3,0),$I74&gt;=P$3),"D","")))</f>
        <v/>
      </c>
      <c r="Q74" s="204" t="str">
        <f>IF($AI74="","",IF(INDEX('Roadmap Calc (Don’t Touch)'!$W$2:$AT$204,$AI74,8)&gt;0,IF(AND($H74&lt;&gt;"",$H74&lt;=EOMONTH(Q$3,0),$I74&gt;=Q$3),"B","U"),IF(AND($H74&lt;&gt;"",$H74&lt;=EOMONTH(Q$3,0),$I74&gt;=Q$3),"D","")))</f>
        <v/>
      </c>
      <c r="R74" s="204" t="str">
        <f>IF($AI74="","",IF(INDEX('Roadmap Calc (Don’t Touch)'!$W$2:$AT$204,$AI74,9)&gt;0,IF(AND($H74&lt;&gt;"",$H74&lt;=EOMONTH(R$3,0),$I74&gt;=R$3),"B","U"),IF(AND($H74&lt;&gt;"",$H74&lt;=EOMONTH(R$3,0),$I74&gt;=R$3),"D","")))</f>
        <v/>
      </c>
      <c r="S74" s="204" t="str">
        <f>IF($AI74="","",IF(INDEX('Roadmap Calc (Don’t Touch)'!$W$2:$AT$204,$AI74,10)&gt;0,IF(AND($H74&lt;&gt;"",$H74&lt;=EOMONTH(S$3,0),$I74&gt;=S$3),"B","U"),IF(AND($H74&lt;&gt;"",$H74&lt;=EOMONTH(S$3,0),$I74&gt;=S$3),"D","")))</f>
        <v/>
      </c>
      <c r="T74" s="204" t="str">
        <f>IF($AI74="","",IF(INDEX('Roadmap Calc (Don’t Touch)'!$W$2:$AT$204,$AI74,11)&gt;0,IF(AND($H74&lt;&gt;"",$H74&lt;=EOMONTH(T$3,0),$I74&gt;=T$3),"B","U"),IF(AND($H74&lt;&gt;"",$H74&lt;=EOMONTH(T$3,0),$I74&gt;=T$3),"D","")))</f>
        <v/>
      </c>
      <c r="U74" s="204" t="str">
        <f>IF($AI74="","",IF(INDEX('Roadmap Calc (Don’t Touch)'!$W$2:$AT$204,$AI74,12)&gt;0,IF(AND($H74&lt;&gt;"",$H74&lt;=EOMONTH(U$3,0),$I74&gt;=U$3),"B","U"),IF(AND($H74&lt;&gt;"",$H74&lt;=EOMONTH(U$3,0),$I74&gt;=U$3),"D","")))</f>
        <v/>
      </c>
      <c r="V74" s="204" t="str">
        <f>IF($AI74="","",IF(INDEX('Roadmap Calc (Don’t Touch)'!$W$2:$AT$204,$AI74,13)&gt;0,IF(AND($H74&lt;&gt;"",$H74&lt;=EOMONTH(V$3,0),$I74&gt;=V$3),"B","U"),IF(AND($H74&lt;&gt;"",$H74&lt;=EOMONTH(V$3,0),$I74&gt;=V$3),"D","")))</f>
        <v/>
      </c>
      <c r="W74" s="204" t="str">
        <f>IF($AI74="","",IF(INDEX('Roadmap Calc (Don’t Touch)'!$W$2:$AT$204,$AI74,14)&gt;0,IF(AND($H74&lt;&gt;"",$H74&lt;=EOMONTH(W$3,0),$I74&gt;=W$3),"B","U"),IF(AND($H74&lt;&gt;"",$H74&lt;=EOMONTH(W$3,0),$I74&gt;=W$3),"D","")))</f>
        <v/>
      </c>
      <c r="X74" s="204" t="str">
        <f>IF($AI74="","",IF(INDEX('Roadmap Calc (Don’t Touch)'!$W$2:$AT$204,$AI74,15)&gt;0,IF(AND($H74&lt;&gt;"",$H74&lt;=EOMONTH(X$3,0),$I74&gt;=X$3),"B","U"),IF(AND($H74&lt;&gt;"",$H74&lt;=EOMONTH(X$3,0),$I74&gt;=X$3),"D","")))</f>
        <v/>
      </c>
      <c r="Y74" s="204" t="str">
        <f>IF($AI74="","",IF(INDEX('Roadmap Calc (Don’t Touch)'!$W$2:$AT$204,$AI74,16)&gt;0,IF(AND($H74&lt;&gt;"",$H74&lt;=EOMONTH(Y$3,0),$I74&gt;=Y$3),"B","U"),IF(AND($H74&lt;&gt;"",$H74&lt;=EOMONTH(Y$3,0),$I74&gt;=Y$3),"D","")))</f>
        <v/>
      </c>
      <c r="Z74" s="204" t="str">
        <f>IF($AI74="","",IF(INDEX('Roadmap Calc (Don’t Touch)'!$W$2:$AT$204,$AI74,17)&gt;0,IF(AND($H74&lt;&gt;"",$H74&lt;=EOMONTH(Z$3,0),$I74&gt;=Z$3),"B","U"),IF(AND($H74&lt;&gt;"",$H74&lt;=EOMONTH(Z$3,0),$I74&gt;=Z$3),"D","")))</f>
        <v/>
      </c>
      <c r="AA74" s="204" t="str">
        <f>IF($AI74="","",IF(INDEX('Roadmap Calc (Don’t Touch)'!$W$2:$AT$204,$AI74,18)&gt;0,IF(AND($H74&lt;&gt;"",$H74&lt;=EOMONTH(AA$3,0),$I74&gt;=AA$3),"B","U"),IF(AND($H74&lt;&gt;"",$H74&lt;=EOMONTH(AA$3,0),$I74&gt;=AA$3),"D","")))</f>
        <v/>
      </c>
      <c r="AB74" s="204" t="str">
        <f>IF($AI74="","",IF(INDEX('Roadmap Calc (Don’t Touch)'!$W$2:$AT$204,$AI74,19)&gt;0,IF(AND($H74&lt;&gt;"",$H74&lt;=EOMONTH(AB$3,0),$I74&gt;=AB$3),"B","U"),IF(AND($H74&lt;&gt;"",$H74&lt;=EOMONTH(AB$3,0),$I74&gt;=AB$3),"D","")))</f>
        <v/>
      </c>
      <c r="AC74" s="204" t="str">
        <f>IF($AI74="","",IF(INDEX('Roadmap Calc (Don’t Touch)'!$W$2:$AT$204,$AI74,20)&gt;0,IF(AND($H74&lt;&gt;"",$H74&lt;=EOMONTH(AC$3,0),$I74&gt;=AC$3),"B","U"),IF(AND($H74&lt;&gt;"",$H74&lt;=EOMONTH(AC$3,0),$I74&gt;=AC$3),"D","")))</f>
        <v/>
      </c>
      <c r="AD74" s="204" t="str">
        <f>IF($AI74="","",IF(INDEX('Roadmap Calc (Don’t Touch)'!$W$2:$AT$204,$AI74,21)&gt;0,IF(AND($H74&lt;&gt;"",$H74&lt;=EOMONTH(AD$3,0),$I74&gt;=AD$3),"B","U"),IF(AND($H74&lt;&gt;"",$H74&lt;=EOMONTH(AD$3,0),$I74&gt;=AD$3),"D","")))</f>
        <v/>
      </c>
      <c r="AE74" s="204" t="str">
        <f>IF($AI74="","",IF(INDEX('Roadmap Calc (Don’t Touch)'!$W$2:$AT$204,$AI74,22)&gt;0,IF(AND($H74&lt;&gt;"",$H74&lt;=EOMONTH(AE$3,0),$I74&gt;=AE$3),"B","U"),IF(AND($H74&lt;&gt;"",$H74&lt;=EOMONTH(AE$3,0),$I74&gt;=AE$3),"D","")))</f>
        <v/>
      </c>
      <c r="AF74" s="204" t="str">
        <f>IF($AI74="","",IF(INDEX('Roadmap Calc (Don’t Touch)'!$W$2:$AT$204,$AI74,23)&gt;0,IF(AND($H74&lt;&gt;"",$H74&lt;=EOMONTH(AF$3,0),$I74&gt;=AF$3),"B","U"),IF(AND($H74&lt;&gt;"",$H74&lt;=EOMONTH(AF$3,0),$I74&gt;=AF$3),"D","")))</f>
        <v/>
      </c>
      <c r="AG74" s="204" t="str">
        <f>IF($AI74="","",IF(INDEX('Roadmap Calc (Don’t Touch)'!$W$2:$AT$204,$AI74,24)&gt;0,IF(AND($H74&lt;&gt;"",$H74&lt;=EOMONTH(AG$3,0),$I74&gt;=AG$3),"B","U"),IF(AND($H74&lt;&gt;"",$H74&lt;=EOMONTH(AG$3,0),$I74&gt;=AG$3),"D","")))</f>
        <v/>
      </c>
      <c r="AH74" s="180" t="str">
        <f>IF($AI74="","",INDEX('Roadmap Calc (Don’t Touch)'!$D$2:$D$204,$AI74))</f>
        <v/>
      </c>
      <c r="AI74" s="180" t="str">
        <f>IFERROR(MATCH(68,'Roadmap Calc (Don’t Touch)'!$O$2:$O$204,0),"")</f>
        <v/>
      </c>
    </row>
    <row r="75" spans="1:35" ht="17" customHeight="1" x14ac:dyDescent="0.25">
      <c r="A75" s="197" t="str">
        <f t="shared" si="2"/>
        <v/>
      </c>
      <c r="B75" s="198" t="str">
        <f>IF($AI75="","",INDEX('Roadmap Calc (Don’t Touch)'!$B$2:$B$204,$AI75))</f>
        <v/>
      </c>
      <c r="C75" s="199" t="str">
        <f>IF($AI75="","",INDEX('Roadmap Calc (Don’t Touch)'!$E$2:$E$204,$AI75))</f>
        <v/>
      </c>
      <c r="D75" s="200" t="str">
        <f>IF($AI75="","",INDEX('Roadmap Calc (Don’t Touch)'!$F$2:$F$204,$AI75))</f>
        <v/>
      </c>
      <c r="E75" s="201" t="str">
        <f>IF($AI75="","",IF(ISNUMBER(INDEX('Roadmap Calc (Don’t Touch)'!$G$2:$G$204,$AI75)),INDEX('Roadmap Calc (Don’t Touch)'!$G$2:$G$204,$AI75),""))</f>
        <v/>
      </c>
      <c r="F75" s="201" t="str">
        <f>IF($AI75="","",IF(ISNUMBER(INDEX('Roadmap Calc (Don’t Touch)'!$H$2:$H$204,$AI75)),INDEX('Roadmap Calc (Don’t Touch)'!$H$2:$H$204,$AI75),""))</f>
        <v/>
      </c>
      <c r="G75" s="202" t="str">
        <f>IF($AI75="","",INDEX('Roadmap Calc (Don’t Touch)'!$S$2:$S$204,$AI75))</f>
        <v/>
      </c>
      <c r="H75" s="203" t="str">
        <f>IF($AI75="","",IF(ISNUMBER(INDEX('Roadmap Calc (Don’t Touch)'!$I$2:$I$204,$AI75)),INDEX('Roadmap Calc (Don’t Touch)'!$I$2:$I$204,$AI75),""))</f>
        <v/>
      </c>
      <c r="I75" s="203" t="str">
        <f>IF($AI75="","",IF(ISNUMBER(INDEX('Roadmap Calc (Don’t Touch)'!$J$2:$J$204,$AI75)),INDEX('Roadmap Calc (Don’t Touch)'!$J$2:$J$204,$AI75),""))</f>
        <v/>
      </c>
      <c r="J75" s="204" t="str">
        <f>IF($AI75="","",IF(INDEX('Roadmap Calc (Don’t Touch)'!$W$2:$AT$204,$AI75,1)&gt;0,IF(AND($H75&lt;&gt;"",$H75&lt;=EOMONTH(J$3,0),$I75&gt;=J$3),"B","U"),IF(AND($H75&lt;&gt;"",$H75&lt;=EOMONTH(J$3,0),$I75&gt;=J$3),"D","")))</f>
        <v/>
      </c>
      <c r="K75" s="204" t="str">
        <f>IF($AI75="","",IF(INDEX('Roadmap Calc (Don’t Touch)'!$W$2:$AT$204,$AI75,2)&gt;0,IF(AND($H75&lt;&gt;"",$H75&lt;=EOMONTH(K$3,0),$I75&gt;=K$3),"B","U"),IF(AND($H75&lt;&gt;"",$H75&lt;=EOMONTH(K$3,0),$I75&gt;=K$3),"D","")))</f>
        <v/>
      </c>
      <c r="L75" s="204" t="str">
        <f>IF($AI75="","",IF(INDEX('Roadmap Calc (Don’t Touch)'!$W$2:$AT$204,$AI75,3)&gt;0,IF(AND($H75&lt;&gt;"",$H75&lt;=EOMONTH(L$3,0),$I75&gt;=L$3),"B","U"),IF(AND($H75&lt;&gt;"",$H75&lt;=EOMONTH(L$3,0),$I75&gt;=L$3),"D","")))</f>
        <v/>
      </c>
      <c r="M75" s="204" t="str">
        <f>IF($AI75="","",IF(INDEX('Roadmap Calc (Don’t Touch)'!$W$2:$AT$204,$AI75,4)&gt;0,IF(AND($H75&lt;&gt;"",$H75&lt;=EOMONTH(M$3,0),$I75&gt;=M$3),"B","U"),IF(AND($H75&lt;&gt;"",$H75&lt;=EOMONTH(M$3,0),$I75&gt;=M$3),"D","")))</f>
        <v/>
      </c>
      <c r="N75" s="204" t="str">
        <f>IF($AI75="","",IF(INDEX('Roadmap Calc (Don’t Touch)'!$W$2:$AT$204,$AI75,5)&gt;0,IF(AND($H75&lt;&gt;"",$H75&lt;=EOMONTH(N$3,0),$I75&gt;=N$3),"B","U"),IF(AND($H75&lt;&gt;"",$H75&lt;=EOMONTH(N$3,0),$I75&gt;=N$3),"D","")))</f>
        <v/>
      </c>
      <c r="O75" s="204" t="str">
        <f>IF($AI75="","",IF(INDEX('Roadmap Calc (Don’t Touch)'!$W$2:$AT$204,$AI75,6)&gt;0,IF(AND($H75&lt;&gt;"",$H75&lt;=EOMONTH(O$3,0),$I75&gt;=O$3),"B","U"),IF(AND($H75&lt;&gt;"",$H75&lt;=EOMONTH(O$3,0),$I75&gt;=O$3),"D","")))</f>
        <v/>
      </c>
      <c r="P75" s="204" t="str">
        <f>IF($AI75="","",IF(INDEX('Roadmap Calc (Don’t Touch)'!$W$2:$AT$204,$AI75,7)&gt;0,IF(AND($H75&lt;&gt;"",$H75&lt;=EOMONTH(P$3,0),$I75&gt;=P$3),"B","U"),IF(AND($H75&lt;&gt;"",$H75&lt;=EOMONTH(P$3,0),$I75&gt;=P$3),"D","")))</f>
        <v/>
      </c>
      <c r="Q75" s="204" t="str">
        <f>IF($AI75="","",IF(INDEX('Roadmap Calc (Don’t Touch)'!$W$2:$AT$204,$AI75,8)&gt;0,IF(AND($H75&lt;&gt;"",$H75&lt;=EOMONTH(Q$3,0),$I75&gt;=Q$3),"B","U"),IF(AND($H75&lt;&gt;"",$H75&lt;=EOMONTH(Q$3,0),$I75&gt;=Q$3),"D","")))</f>
        <v/>
      </c>
      <c r="R75" s="204" t="str">
        <f>IF($AI75="","",IF(INDEX('Roadmap Calc (Don’t Touch)'!$W$2:$AT$204,$AI75,9)&gt;0,IF(AND($H75&lt;&gt;"",$H75&lt;=EOMONTH(R$3,0),$I75&gt;=R$3),"B","U"),IF(AND($H75&lt;&gt;"",$H75&lt;=EOMONTH(R$3,0),$I75&gt;=R$3),"D","")))</f>
        <v/>
      </c>
      <c r="S75" s="204" t="str">
        <f>IF($AI75="","",IF(INDEX('Roadmap Calc (Don’t Touch)'!$W$2:$AT$204,$AI75,10)&gt;0,IF(AND($H75&lt;&gt;"",$H75&lt;=EOMONTH(S$3,0),$I75&gt;=S$3),"B","U"),IF(AND($H75&lt;&gt;"",$H75&lt;=EOMONTH(S$3,0),$I75&gt;=S$3),"D","")))</f>
        <v/>
      </c>
      <c r="T75" s="204" t="str">
        <f>IF($AI75="","",IF(INDEX('Roadmap Calc (Don’t Touch)'!$W$2:$AT$204,$AI75,11)&gt;0,IF(AND($H75&lt;&gt;"",$H75&lt;=EOMONTH(T$3,0),$I75&gt;=T$3),"B","U"),IF(AND($H75&lt;&gt;"",$H75&lt;=EOMONTH(T$3,0),$I75&gt;=T$3),"D","")))</f>
        <v/>
      </c>
      <c r="U75" s="204" t="str">
        <f>IF($AI75="","",IF(INDEX('Roadmap Calc (Don’t Touch)'!$W$2:$AT$204,$AI75,12)&gt;0,IF(AND($H75&lt;&gt;"",$H75&lt;=EOMONTH(U$3,0),$I75&gt;=U$3),"B","U"),IF(AND($H75&lt;&gt;"",$H75&lt;=EOMONTH(U$3,0),$I75&gt;=U$3),"D","")))</f>
        <v/>
      </c>
      <c r="V75" s="204" t="str">
        <f>IF($AI75="","",IF(INDEX('Roadmap Calc (Don’t Touch)'!$W$2:$AT$204,$AI75,13)&gt;0,IF(AND($H75&lt;&gt;"",$H75&lt;=EOMONTH(V$3,0),$I75&gt;=V$3),"B","U"),IF(AND($H75&lt;&gt;"",$H75&lt;=EOMONTH(V$3,0),$I75&gt;=V$3),"D","")))</f>
        <v/>
      </c>
      <c r="W75" s="204" t="str">
        <f>IF($AI75="","",IF(INDEX('Roadmap Calc (Don’t Touch)'!$W$2:$AT$204,$AI75,14)&gt;0,IF(AND($H75&lt;&gt;"",$H75&lt;=EOMONTH(W$3,0),$I75&gt;=W$3),"B","U"),IF(AND($H75&lt;&gt;"",$H75&lt;=EOMONTH(W$3,0),$I75&gt;=W$3),"D","")))</f>
        <v/>
      </c>
      <c r="X75" s="204" t="str">
        <f>IF($AI75="","",IF(INDEX('Roadmap Calc (Don’t Touch)'!$W$2:$AT$204,$AI75,15)&gt;0,IF(AND($H75&lt;&gt;"",$H75&lt;=EOMONTH(X$3,0),$I75&gt;=X$3),"B","U"),IF(AND($H75&lt;&gt;"",$H75&lt;=EOMONTH(X$3,0),$I75&gt;=X$3),"D","")))</f>
        <v/>
      </c>
      <c r="Y75" s="204" t="str">
        <f>IF($AI75="","",IF(INDEX('Roadmap Calc (Don’t Touch)'!$W$2:$AT$204,$AI75,16)&gt;0,IF(AND($H75&lt;&gt;"",$H75&lt;=EOMONTH(Y$3,0),$I75&gt;=Y$3),"B","U"),IF(AND($H75&lt;&gt;"",$H75&lt;=EOMONTH(Y$3,0),$I75&gt;=Y$3),"D","")))</f>
        <v/>
      </c>
      <c r="Z75" s="204" t="str">
        <f>IF($AI75="","",IF(INDEX('Roadmap Calc (Don’t Touch)'!$W$2:$AT$204,$AI75,17)&gt;0,IF(AND($H75&lt;&gt;"",$H75&lt;=EOMONTH(Z$3,0),$I75&gt;=Z$3),"B","U"),IF(AND($H75&lt;&gt;"",$H75&lt;=EOMONTH(Z$3,0),$I75&gt;=Z$3),"D","")))</f>
        <v/>
      </c>
      <c r="AA75" s="204" t="str">
        <f>IF($AI75="","",IF(INDEX('Roadmap Calc (Don’t Touch)'!$W$2:$AT$204,$AI75,18)&gt;0,IF(AND($H75&lt;&gt;"",$H75&lt;=EOMONTH(AA$3,0),$I75&gt;=AA$3),"B","U"),IF(AND($H75&lt;&gt;"",$H75&lt;=EOMONTH(AA$3,0),$I75&gt;=AA$3),"D","")))</f>
        <v/>
      </c>
      <c r="AB75" s="204" t="str">
        <f>IF($AI75="","",IF(INDEX('Roadmap Calc (Don’t Touch)'!$W$2:$AT$204,$AI75,19)&gt;0,IF(AND($H75&lt;&gt;"",$H75&lt;=EOMONTH(AB$3,0),$I75&gt;=AB$3),"B","U"),IF(AND($H75&lt;&gt;"",$H75&lt;=EOMONTH(AB$3,0),$I75&gt;=AB$3),"D","")))</f>
        <v/>
      </c>
      <c r="AC75" s="204" t="str">
        <f>IF($AI75="","",IF(INDEX('Roadmap Calc (Don’t Touch)'!$W$2:$AT$204,$AI75,20)&gt;0,IF(AND($H75&lt;&gt;"",$H75&lt;=EOMONTH(AC$3,0),$I75&gt;=AC$3),"B","U"),IF(AND($H75&lt;&gt;"",$H75&lt;=EOMONTH(AC$3,0),$I75&gt;=AC$3),"D","")))</f>
        <v/>
      </c>
      <c r="AD75" s="204" t="str">
        <f>IF($AI75="","",IF(INDEX('Roadmap Calc (Don’t Touch)'!$W$2:$AT$204,$AI75,21)&gt;0,IF(AND($H75&lt;&gt;"",$H75&lt;=EOMONTH(AD$3,0),$I75&gt;=AD$3),"B","U"),IF(AND($H75&lt;&gt;"",$H75&lt;=EOMONTH(AD$3,0),$I75&gt;=AD$3),"D","")))</f>
        <v/>
      </c>
      <c r="AE75" s="204" t="str">
        <f>IF($AI75="","",IF(INDEX('Roadmap Calc (Don’t Touch)'!$W$2:$AT$204,$AI75,22)&gt;0,IF(AND($H75&lt;&gt;"",$H75&lt;=EOMONTH(AE$3,0),$I75&gt;=AE$3),"B","U"),IF(AND($H75&lt;&gt;"",$H75&lt;=EOMONTH(AE$3,0),$I75&gt;=AE$3),"D","")))</f>
        <v/>
      </c>
      <c r="AF75" s="204" t="str">
        <f>IF($AI75="","",IF(INDEX('Roadmap Calc (Don’t Touch)'!$W$2:$AT$204,$AI75,23)&gt;0,IF(AND($H75&lt;&gt;"",$H75&lt;=EOMONTH(AF$3,0),$I75&gt;=AF$3),"B","U"),IF(AND($H75&lt;&gt;"",$H75&lt;=EOMONTH(AF$3,0),$I75&gt;=AF$3),"D","")))</f>
        <v/>
      </c>
      <c r="AG75" s="204" t="str">
        <f>IF($AI75="","",IF(INDEX('Roadmap Calc (Don’t Touch)'!$W$2:$AT$204,$AI75,24)&gt;0,IF(AND($H75&lt;&gt;"",$H75&lt;=EOMONTH(AG$3,0),$I75&gt;=AG$3),"B","U"),IF(AND($H75&lt;&gt;"",$H75&lt;=EOMONTH(AG$3,0),$I75&gt;=AG$3),"D","")))</f>
        <v/>
      </c>
      <c r="AH75" s="180" t="str">
        <f>IF($AI75="","",INDEX('Roadmap Calc (Don’t Touch)'!$D$2:$D$204,$AI75))</f>
        <v/>
      </c>
      <c r="AI75" s="180" t="str">
        <f>IFERROR(MATCH(69,'Roadmap Calc (Don’t Touch)'!$O$2:$O$204,0),"")</f>
        <v/>
      </c>
    </row>
    <row r="76" spans="1:35" ht="17" customHeight="1" x14ac:dyDescent="0.25">
      <c r="A76" s="197" t="str">
        <f t="shared" si="2"/>
        <v/>
      </c>
      <c r="B76" s="198" t="str">
        <f>IF($AI76="","",INDEX('Roadmap Calc (Don’t Touch)'!$B$2:$B$204,$AI76))</f>
        <v/>
      </c>
      <c r="C76" s="199" t="str">
        <f>IF($AI76="","",INDEX('Roadmap Calc (Don’t Touch)'!$E$2:$E$204,$AI76))</f>
        <v/>
      </c>
      <c r="D76" s="200" t="str">
        <f>IF($AI76="","",INDEX('Roadmap Calc (Don’t Touch)'!$F$2:$F$204,$AI76))</f>
        <v/>
      </c>
      <c r="E76" s="201" t="str">
        <f>IF($AI76="","",IF(ISNUMBER(INDEX('Roadmap Calc (Don’t Touch)'!$G$2:$G$204,$AI76)),INDEX('Roadmap Calc (Don’t Touch)'!$G$2:$G$204,$AI76),""))</f>
        <v/>
      </c>
      <c r="F76" s="201" t="str">
        <f>IF($AI76="","",IF(ISNUMBER(INDEX('Roadmap Calc (Don’t Touch)'!$H$2:$H$204,$AI76)),INDEX('Roadmap Calc (Don’t Touch)'!$H$2:$H$204,$AI76),""))</f>
        <v/>
      </c>
      <c r="G76" s="202" t="str">
        <f>IF($AI76="","",INDEX('Roadmap Calc (Don’t Touch)'!$S$2:$S$204,$AI76))</f>
        <v/>
      </c>
      <c r="H76" s="203" t="str">
        <f>IF($AI76="","",IF(ISNUMBER(INDEX('Roadmap Calc (Don’t Touch)'!$I$2:$I$204,$AI76)),INDEX('Roadmap Calc (Don’t Touch)'!$I$2:$I$204,$AI76),""))</f>
        <v/>
      </c>
      <c r="I76" s="203" t="str">
        <f>IF($AI76="","",IF(ISNUMBER(INDEX('Roadmap Calc (Don’t Touch)'!$J$2:$J$204,$AI76)),INDEX('Roadmap Calc (Don’t Touch)'!$J$2:$J$204,$AI76),""))</f>
        <v/>
      </c>
      <c r="J76" s="204" t="str">
        <f>IF($AI76="","",IF(INDEX('Roadmap Calc (Don’t Touch)'!$W$2:$AT$204,$AI76,1)&gt;0,IF(AND($H76&lt;&gt;"",$H76&lt;=EOMONTH(J$3,0),$I76&gt;=J$3),"B","U"),IF(AND($H76&lt;&gt;"",$H76&lt;=EOMONTH(J$3,0),$I76&gt;=J$3),"D","")))</f>
        <v/>
      </c>
      <c r="K76" s="204" t="str">
        <f>IF($AI76="","",IF(INDEX('Roadmap Calc (Don’t Touch)'!$W$2:$AT$204,$AI76,2)&gt;0,IF(AND($H76&lt;&gt;"",$H76&lt;=EOMONTH(K$3,0),$I76&gt;=K$3),"B","U"),IF(AND($H76&lt;&gt;"",$H76&lt;=EOMONTH(K$3,0),$I76&gt;=K$3),"D","")))</f>
        <v/>
      </c>
      <c r="L76" s="204" t="str">
        <f>IF($AI76="","",IF(INDEX('Roadmap Calc (Don’t Touch)'!$W$2:$AT$204,$AI76,3)&gt;0,IF(AND($H76&lt;&gt;"",$H76&lt;=EOMONTH(L$3,0),$I76&gt;=L$3),"B","U"),IF(AND($H76&lt;&gt;"",$H76&lt;=EOMONTH(L$3,0),$I76&gt;=L$3),"D","")))</f>
        <v/>
      </c>
      <c r="M76" s="204" t="str">
        <f>IF($AI76="","",IF(INDEX('Roadmap Calc (Don’t Touch)'!$W$2:$AT$204,$AI76,4)&gt;0,IF(AND($H76&lt;&gt;"",$H76&lt;=EOMONTH(M$3,0),$I76&gt;=M$3),"B","U"),IF(AND($H76&lt;&gt;"",$H76&lt;=EOMONTH(M$3,0),$I76&gt;=M$3),"D","")))</f>
        <v/>
      </c>
      <c r="N76" s="204" t="str">
        <f>IF($AI76="","",IF(INDEX('Roadmap Calc (Don’t Touch)'!$W$2:$AT$204,$AI76,5)&gt;0,IF(AND($H76&lt;&gt;"",$H76&lt;=EOMONTH(N$3,0),$I76&gt;=N$3),"B","U"),IF(AND($H76&lt;&gt;"",$H76&lt;=EOMONTH(N$3,0),$I76&gt;=N$3),"D","")))</f>
        <v/>
      </c>
      <c r="O76" s="204" t="str">
        <f>IF($AI76="","",IF(INDEX('Roadmap Calc (Don’t Touch)'!$W$2:$AT$204,$AI76,6)&gt;0,IF(AND($H76&lt;&gt;"",$H76&lt;=EOMONTH(O$3,0),$I76&gt;=O$3),"B","U"),IF(AND($H76&lt;&gt;"",$H76&lt;=EOMONTH(O$3,0),$I76&gt;=O$3),"D","")))</f>
        <v/>
      </c>
      <c r="P76" s="204" t="str">
        <f>IF($AI76="","",IF(INDEX('Roadmap Calc (Don’t Touch)'!$W$2:$AT$204,$AI76,7)&gt;0,IF(AND($H76&lt;&gt;"",$H76&lt;=EOMONTH(P$3,0),$I76&gt;=P$3),"B","U"),IF(AND($H76&lt;&gt;"",$H76&lt;=EOMONTH(P$3,0),$I76&gt;=P$3),"D","")))</f>
        <v/>
      </c>
      <c r="Q76" s="204" t="str">
        <f>IF($AI76="","",IF(INDEX('Roadmap Calc (Don’t Touch)'!$W$2:$AT$204,$AI76,8)&gt;0,IF(AND($H76&lt;&gt;"",$H76&lt;=EOMONTH(Q$3,0),$I76&gt;=Q$3),"B","U"),IF(AND($H76&lt;&gt;"",$H76&lt;=EOMONTH(Q$3,0),$I76&gt;=Q$3),"D","")))</f>
        <v/>
      </c>
      <c r="R76" s="204" t="str">
        <f>IF($AI76="","",IF(INDEX('Roadmap Calc (Don’t Touch)'!$W$2:$AT$204,$AI76,9)&gt;0,IF(AND($H76&lt;&gt;"",$H76&lt;=EOMONTH(R$3,0),$I76&gt;=R$3),"B","U"),IF(AND($H76&lt;&gt;"",$H76&lt;=EOMONTH(R$3,0),$I76&gt;=R$3),"D","")))</f>
        <v/>
      </c>
      <c r="S76" s="204" t="str">
        <f>IF($AI76="","",IF(INDEX('Roadmap Calc (Don’t Touch)'!$W$2:$AT$204,$AI76,10)&gt;0,IF(AND($H76&lt;&gt;"",$H76&lt;=EOMONTH(S$3,0),$I76&gt;=S$3),"B","U"),IF(AND($H76&lt;&gt;"",$H76&lt;=EOMONTH(S$3,0),$I76&gt;=S$3),"D","")))</f>
        <v/>
      </c>
      <c r="T76" s="204" t="str">
        <f>IF($AI76="","",IF(INDEX('Roadmap Calc (Don’t Touch)'!$W$2:$AT$204,$AI76,11)&gt;0,IF(AND($H76&lt;&gt;"",$H76&lt;=EOMONTH(T$3,0),$I76&gt;=T$3),"B","U"),IF(AND($H76&lt;&gt;"",$H76&lt;=EOMONTH(T$3,0),$I76&gt;=T$3),"D","")))</f>
        <v/>
      </c>
      <c r="U76" s="204" t="str">
        <f>IF($AI76="","",IF(INDEX('Roadmap Calc (Don’t Touch)'!$W$2:$AT$204,$AI76,12)&gt;0,IF(AND($H76&lt;&gt;"",$H76&lt;=EOMONTH(U$3,0),$I76&gt;=U$3),"B","U"),IF(AND($H76&lt;&gt;"",$H76&lt;=EOMONTH(U$3,0),$I76&gt;=U$3),"D","")))</f>
        <v/>
      </c>
      <c r="V76" s="204" t="str">
        <f>IF($AI76="","",IF(INDEX('Roadmap Calc (Don’t Touch)'!$W$2:$AT$204,$AI76,13)&gt;0,IF(AND($H76&lt;&gt;"",$H76&lt;=EOMONTH(V$3,0),$I76&gt;=V$3),"B","U"),IF(AND($H76&lt;&gt;"",$H76&lt;=EOMONTH(V$3,0),$I76&gt;=V$3),"D","")))</f>
        <v/>
      </c>
      <c r="W76" s="204" t="str">
        <f>IF($AI76="","",IF(INDEX('Roadmap Calc (Don’t Touch)'!$W$2:$AT$204,$AI76,14)&gt;0,IF(AND($H76&lt;&gt;"",$H76&lt;=EOMONTH(W$3,0),$I76&gt;=W$3),"B","U"),IF(AND($H76&lt;&gt;"",$H76&lt;=EOMONTH(W$3,0),$I76&gt;=W$3),"D","")))</f>
        <v/>
      </c>
      <c r="X76" s="204" t="str">
        <f>IF($AI76="","",IF(INDEX('Roadmap Calc (Don’t Touch)'!$W$2:$AT$204,$AI76,15)&gt;0,IF(AND($H76&lt;&gt;"",$H76&lt;=EOMONTH(X$3,0),$I76&gt;=X$3),"B","U"),IF(AND($H76&lt;&gt;"",$H76&lt;=EOMONTH(X$3,0),$I76&gt;=X$3),"D","")))</f>
        <v/>
      </c>
      <c r="Y76" s="204" t="str">
        <f>IF($AI76="","",IF(INDEX('Roadmap Calc (Don’t Touch)'!$W$2:$AT$204,$AI76,16)&gt;0,IF(AND($H76&lt;&gt;"",$H76&lt;=EOMONTH(Y$3,0),$I76&gt;=Y$3),"B","U"),IF(AND($H76&lt;&gt;"",$H76&lt;=EOMONTH(Y$3,0),$I76&gt;=Y$3),"D","")))</f>
        <v/>
      </c>
      <c r="Z76" s="204" t="str">
        <f>IF($AI76="","",IF(INDEX('Roadmap Calc (Don’t Touch)'!$W$2:$AT$204,$AI76,17)&gt;0,IF(AND($H76&lt;&gt;"",$H76&lt;=EOMONTH(Z$3,0),$I76&gt;=Z$3),"B","U"),IF(AND($H76&lt;&gt;"",$H76&lt;=EOMONTH(Z$3,0),$I76&gt;=Z$3),"D","")))</f>
        <v/>
      </c>
      <c r="AA76" s="204" t="str">
        <f>IF($AI76="","",IF(INDEX('Roadmap Calc (Don’t Touch)'!$W$2:$AT$204,$AI76,18)&gt;0,IF(AND($H76&lt;&gt;"",$H76&lt;=EOMONTH(AA$3,0),$I76&gt;=AA$3),"B","U"),IF(AND($H76&lt;&gt;"",$H76&lt;=EOMONTH(AA$3,0),$I76&gt;=AA$3),"D","")))</f>
        <v/>
      </c>
      <c r="AB76" s="204" t="str">
        <f>IF($AI76="","",IF(INDEX('Roadmap Calc (Don’t Touch)'!$W$2:$AT$204,$AI76,19)&gt;0,IF(AND($H76&lt;&gt;"",$H76&lt;=EOMONTH(AB$3,0),$I76&gt;=AB$3),"B","U"),IF(AND($H76&lt;&gt;"",$H76&lt;=EOMONTH(AB$3,0),$I76&gt;=AB$3),"D","")))</f>
        <v/>
      </c>
      <c r="AC76" s="204" t="str">
        <f>IF($AI76="","",IF(INDEX('Roadmap Calc (Don’t Touch)'!$W$2:$AT$204,$AI76,20)&gt;0,IF(AND($H76&lt;&gt;"",$H76&lt;=EOMONTH(AC$3,0),$I76&gt;=AC$3),"B","U"),IF(AND($H76&lt;&gt;"",$H76&lt;=EOMONTH(AC$3,0),$I76&gt;=AC$3),"D","")))</f>
        <v/>
      </c>
      <c r="AD76" s="204" t="str">
        <f>IF($AI76="","",IF(INDEX('Roadmap Calc (Don’t Touch)'!$W$2:$AT$204,$AI76,21)&gt;0,IF(AND($H76&lt;&gt;"",$H76&lt;=EOMONTH(AD$3,0),$I76&gt;=AD$3),"B","U"),IF(AND($H76&lt;&gt;"",$H76&lt;=EOMONTH(AD$3,0),$I76&gt;=AD$3),"D","")))</f>
        <v/>
      </c>
      <c r="AE76" s="204" t="str">
        <f>IF($AI76="","",IF(INDEX('Roadmap Calc (Don’t Touch)'!$W$2:$AT$204,$AI76,22)&gt;0,IF(AND($H76&lt;&gt;"",$H76&lt;=EOMONTH(AE$3,0),$I76&gt;=AE$3),"B","U"),IF(AND($H76&lt;&gt;"",$H76&lt;=EOMONTH(AE$3,0),$I76&gt;=AE$3),"D","")))</f>
        <v/>
      </c>
      <c r="AF76" s="204" t="str">
        <f>IF($AI76="","",IF(INDEX('Roadmap Calc (Don’t Touch)'!$W$2:$AT$204,$AI76,23)&gt;0,IF(AND($H76&lt;&gt;"",$H76&lt;=EOMONTH(AF$3,0),$I76&gt;=AF$3),"B","U"),IF(AND($H76&lt;&gt;"",$H76&lt;=EOMONTH(AF$3,0),$I76&gt;=AF$3),"D","")))</f>
        <v/>
      </c>
      <c r="AG76" s="204" t="str">
        <f>IF($AI76="","",IF(INDEX('Roadmap Calc (Don’t Touch)'!$W$2:$AT$204,$AI76,24)&gt;0,IF(AND($H76&lt;&gt;"",$H76&lt;=EOMONTH(AG$3,0),$I76&gt;=AG$3),"B","U"),IF(AND($H76&lt;&gt;"",$H76&lt;=EOMONTH(AG$3,0),$I76&gt;=AG$3),"D","")))</f>
        <v/>
      </c>
      <c r="AH76" s="180" t="str">
        <f>IF($AI76="","",INDEX('Roadmap Calc (Don’t Touch)'!$D$2:$D$204,$AI76))</f>
        <v/>
      </c>
      <c r="AI76" s="180" t="str">
        <f>IFERROR(MATCH(70,'Roadmap Calc (Don’t Touch)'!$O$2:$O$204,0),"")</f>
        <v/>
      </c>
    </row>
    <row r="77" spans="1:35" ht="17" customHeight="1" x14ac:dyDescent="0.25">
      <c r="A77" s="197" t="str">
        <f t="shared" si="2"/>
        <v/>
      </c>
      <c r="B77" s="198" t="str">
        <f>IF($AI77="","",INDEX('Roadmap Calc (Don’t Touch)'!$B$2:$B$204,$AI77))</f>
        <v/>
      </c>
      <c r="C77" s="199" t="str">
        <f>IF($AI77="","",INDEX('Roadmap Calc (Don’t Touch)'!$E$2:$E$204,$AI77))</f>
        <v/>
      </c>
      <c r="D77" s="200" t="str">
        <f>IF($AI77="","",INDEX('Roadmap Calc (Don’t Touch)'!$F$2:$F$204,$AI77))</f>
        <v/>
      </c>
      <c r="E77" s="201" t="str">
        <f>IF($AI77="","",IF(ISNUMBER(INDEX('Roadmap Calc (Don’t Touch)'!$G$2:$G$204,$AI77)),INDEX('Roadmap Calc (Don’t Touch)'!$G$2:$G$204,$AI77),""))</f>
        <v/>
      </c>
      <c r="F77" s="201" t="str">
        <f>IF($AI77="","",IF(ISNUMBER(INDEX('Roadmap Calc (Don’t Touch)'!$H$2:$H$204,$AI77)),INDEX('Roadmap Calc (Don’t Touch)'!$H$2:$H$204,$AI77),""))</f>
        <v/>
      </c>
      <c r="G77" s="202" t="str">
        <f>IF($AI77="","",INDEX('Roadmap Calc (Don’t Touch)'!$S$2:$S$204,$AI77))</f>
        <v/>
      </c>
      <c r="H77" s="203" t="str">
        <f>IF($AI77="","",IF(ISNUMBER(INDEX('Roadmap Calc (Don’t Touch)'!$I$2:$I$204,$AI77)),INDEX('Roadmap Calc (Don’t Touch)'!$I$2:$I$204,$AI77),""))</f>
        <v/>
      </c>
      <c r="I77" s="203" t="str">
        <f>IF($AI77="","",IF(ISNUMBER(INDEX('Roadmap Calc (Don’t Touch)'!$J$2:$J$204,$AI77)),INDEX('Roadmap Calc (Don’t Touch)'!$J$2:$J$204,$AI77),""))</f>
        <v/>
      </c>
      <c r="J77" s="204" t="str">
        <f>IF($AI77="","",IF(INDEX('Roadmap Calc (Don’t Touch)'!$W$2:$AT$204,$AI77,1)&gt;0,IF(AND($H77&lt;&gt;"",$H77&lt;=EOMONTH(J$3,0),$I77&gt;=J$3),"B","U"),IF(AND($H77&lt;&gt;"",$H77&lt;=EOMONTH(J$3,0),$I77&gt;=J$3),"D","")))</f>
        <v/>
      </c>
      <c r="K77" s="204" t="str">
        <f>IF($AI77="","",IF(INDEX('Roadmap Calc (Don’t Touch)'!$W$2:$AT$204,$AI77,2)&gt;0,IF(AND($H77&lt;&gt;"",$H77&lt;=EOMONTH(K$3,0),$I77&gt;=K$3),"B","U"),IF(AND($H77&lt;&gt;"",$H77&lt;=EOMONTH(K$3,0),$I77&gt;=K$3),"D","")))</f>
        <v/>
      </c>
      <c r="L77" s="204" t="str">
        <f>IF($AI77="","",IF(INDEX('Roadmap Calc (Don’t Touch)'!$W$2:$AT$204,$AI77,3)&gt;0,IF(AND($H77&lt;&gt;"",$H77&lt;=EOMONTH(L$3,0),$I77&gt;=L$3),"B","U"),IF(AND($H77&lt;&gt;"",$H77&lt;=EOMONTH(L$3,0),$I77&gt;=L$3),"D","")))</f>
        <v/>
      </c>
      <c r="M77" s="204" t="str">
        <f>IF($AI77="","",IF(INDEX('Roadmap Calc (Don’t Touch)'!$W$2:$AT$204,$AI77,4)&gt;0,IF(AND($H77&lt;&gt;"",$H77&lt;=EOMONTH(M$3,0),$I77&gt;=M$3),"B","U"),IF(AND($H77&lt;&gt;"",$H77&lt;=EOMONTH(M$3,0),$I77&gt;=M$3),"D","")))</f>
        <v/>
      </c>
      <c r="N77" s="204" t="str">
        <f>IF($AI77="","",IF(INDEX('Roadmap Calc (Don’t Touch)'!$W$2:$AT$204,$AI77,5)&gt;0,IF(AND($H77&lt;&gt;"",$H77&lt;=EOMONTH(N$3,0),$I77&gt;=N$3),"B","U"),IF(AND($H77&lt;&gt;"",$H77&lt;=EOMONTH(N$3,0),$I77&gt;=N$3),"D","")))</f>
        <v/>
      </c>
      <c r="O77" s="204" t="str">
        <f>IF($AI77="","",IF(INDEX('Roadmap Calc (Don’t Touch)'!$W$2:$AT$204,$AI77,6)&gt;0,IF(AND($H77&lt;&gt;"",$H77&lt;=EOMONTH(O$3,0),$I77&gt;=O$3),"B","U"),IF(AND($H77&lt;&gt;"",$H77&lt;=EOMONTH(O$3,0),$I77&gt;=O$3),"D","")))</f>
        <v/>
      </c>
      <c r="P77" s="204" t="str">
        <f>IF($AI77="","",IF(INDEX('Roadmap Calc (Don’t Touch)'!$W$2:$AT$204,$AI77,7)&gt;0,IF(AND($H77&lt;&gt;"",$H77&lt;=EOMONTH(P$3,0),$I77&gt;=P$3),"B","U"),IF(AND($H77&lt;&gt;"",$H77&lt;=EOMONTH(P$3,0),$I77&gt;=P$3),"D","")))</f>
        <v/>
      </c>
      <c r="Q77" s="204" t="str">
        <f>IF($AI77="","",IF(INDEX('Roadmap Calc (Don’t Touch)'!$W$2:$AT$204,$AI77,8)&gt;0,IF(AND($H77&lt;&gt;"",$H77&lt;=EOMONTH(Q$3,0),$I77&gt;=Q$3),"B","U"),IF(AND($H77&lt;&gt;"",$H77&lt;=EOMONTH(Q$3,0),$I77&gt;=Q$3),"D","")))</f>
        <v/>
      </c>
      <c r="R77" s="204" t="str">
        <f>IF($AI77="","",IF(INDEX('Roadmap Calc (Don’t Touch)'!$W$2:$AT$204,$AI77,9)&gt;0,IF(AND($H77&lt;&gt;"",$H77&lt;=EOMONTH(R$3,0),$I77&gt;=R$3),"B","U"),IF(AND($H77&lt;&gt;"",$H77&lt;=EOMONTH(R$3,0),$I77&gt;=R$3),"D","")))</f>
        <v/>
      </c>
      <c r="S77" s="204" t="str">
        <f>IF($AI77="","",IF(INDEX('Roadmap Calc (Don’t Touch)'!$W$2:$AT$204,$AI77,10)&gt;0,IF(AND($H77&lt;&gt;"",$H77&lt;=EOMONTH(S$3,0),$I77&gt;=S$3),"B","U"),IF(AND($H77&lt;&gt;"",$H77&lt;=EOMONTH(S$3,0),$I77&gt;=S$3),"D","")))</f>
        <v/>
      </c>
      <c r="T77" s="204" t="str">
        <f>IF($AI77="","",IF(INDEX('Roadmap Calc (Don’t Touch)'!$W$2:$AT$204,$AI77,11)&gt;0,IF(AND($H77&lt;&gt;"",$H77&lt;=EOMONTH(T$3,0),$I77&gt;=T$3),"B","U"),IF(AND($H77&lt;&gt;"",$H77&lt;=EOMONTH(T$3,0),$I77&gt;=T$3),"D","")))</f>
        <v/>
      </c>
      <c r="U77" s="204" t="str">
        <f>IF($AI77="","",IF(INDEX('Roadmap Calc (Don’t Touch)'!$W$2:$AT$204,$AI77,12)&gt;0,IF(AND($H77&lt;&gt;"",$H77&lt;=EOMONTH(U$3,0),$I77&gt;=U$3),"B","U"),IF(AND($H77&lt;&gt;"",$H77&lt;=EOMONTH(U$3,0),$I77&gt;=U$3),"D","")))</f>
        <v/>
      </c>
      <c r="V77" s="204" t="str">
        <f>IF($AI77="","",IF(INDEX('Roadmap Calc (Don’t Touch)'!$W$2:$AT$204,$AI77,13)&gt;0,IF(AND($H77&lt;&gt;"",$H77&lt;=EOMONTH(V$3,0),$I77&gt;=V$3),"B","U"),IF(AND($H77&lt;&gt;"",$H77&lt;=EOMONTH(V$3,0),$I77&gt;=V$3),"D","")))</f>
        <v/>
      </c>
      <c r="W77" s="204" t="str">
        <f>IF($AI77="","",IF(INDEX('Roadmap Calc (Don’t Touch)'!$W$2:$AT$204,$AI77,14)&gt;0,IF(AND($H77&lt;&gt;"",$H77&lt;=EOMONTH(W$3,0),$I77&gt;=W$3),"B","U"),IF(AND($H77&lt;&gt;"",$H77&lt;=EOMONTH(W$3,0),$I77&gt;=W$3),"D","")))</f>
        <v/>
      </c>
      <c r="X77" s="204" t="str">
        <f>IF($AI77="","",IF(INDEX('Roadmap Calc (Don’t Touch)'!$W$2:$AT$204,$AI77,15)&gt;0,IF(AND($H77&lt;&gt;"",$H77&lt;=EOMONTH(X$3,0),$I77&gt;=X$3),"B","U"),IF(AND($H77&lt;&gt;"",$H77&lt;=EOMONTH(X$3,0),$I77&gt;=X$3),"D","")))</f>
        <v/>
      </c>
      <c r="Y77" s="204" t="str">
        <f>IF($AI77="","",IF(INDEX('Roadmap Calc (Don’t Touch)'!$W$2:$AT$204,$AI77,16)&gt;0,IF(AND($H77&lt;&gt;"",$H77&lt;=EOMONTH(Y$3,0),$I77&gt;=Y$3),"B","U"),IF(AND($H77&lt;&gt;"",$H77&lt;=EOMONTH(Y$3,0),$I77&gt;=Y$3),"D","")))</f>
        <v/>
      </c>
      <c r="Z77" s="204" t="str">
        <f>IF($AI77="","",IF(INDEX('Roadmap Calc (Don’t Touch)'!$W$2:$AT$204,$AI77,17)&gt;0,IF(AND($H77&lt;&gt;"",$H77&lt;=EOMONTH(Z$3,0),$I77&gt;=Z$3),"B","U"),IF(AND($H77&lt;&gt;"",$H77&lt;=EOMONTH(Z$3,0),$I77&gt;=Z$3),"D","")))</f>
        <v/>
      </c>
      <c r="AA77" s="204" t="str">
        <f>IF($AI77="","",IF(INDEX('Roadmap Calc (Don’t Touch)'!$W$2:$AT$204,$AI77,18)&gt;0,IF(AND($H77&lt;&gt;"",$H77&lt;=EOMONTH(AA$3,0),$I77&gt;=AA$3),"B","U"),IF(AND($H77&lt;&gt;"",$H77&lt;=EOMONTH(AA$3,0),$I77&gt;=AA$3),"D","")))</f>
        <v/>
      </c>
      <c r="AB77" s="204" t="str">
        <f>IF($AI77="","",IF(INDEX('Roadmap Calc (Don’t Touch)'!$W$2:$AT$204,$AI77,19)&gt;0,IF(AND($H77&lt;&gt;"",$H77&lt;=EOMONTH(AB$3,0),$I77&gt;=AB$3),"B","U"),IF(AND($H77&lt;&gt;"",$H77&lt;=EOMONTH(AB$3,0),$I77&gt;=AB$3),"D","")))</f>
        <v/>
      </c>
      <c r="AC77" s="204" t="str">
        <f>IF($AI77="","",IF(INDEX('Roadmap Calc (Don’t Touch)'!$W$2:$AT$204,$AI77,20)&gt;0,IF(AND($H77&lt;&gt;"",$H77&lt;=EOMONTH(AC$3,0),$I77&gt;=AC$3),"B","U"),IF(AND($H77&lt;&gt;"",$H77&lt;=EOMONTH(AC$3,0),$I77&gt;=AC$3),"D","")))</f>
        <v/>
      </c>
      <c r="AD77" s="204" t="str">
        <f>IF($AI77="","",IF(INDEX('Roadmap Calc (Don’t Touch)'!$W$2:$AT$204,$AI77,21)&gt;0,IF(AND($H77&lt;&gt;"",$H77&lt;=EOMONTH(AD$3,0),$I77&gt;=AD$3),"B","U"),IF(AND($H77&lt;&gt;"",$H77&lt;=EOMONTH(AD$3,0),$I77&gt;=AD$3),"D","")))</f>
        <v/>
      </c>
      <c r="AE77" s="204" t="str">
        <f>IF($AI77="","",IF(INDEX('Roadmap Calc (Don’t Touch)'!$W$2:$AT$204,$AI77,22)&gt;0,IF(AND($H77&lt;&gt;"",$H77&lt;=EOMONTH(AE$3,0),$I77&gt;=AE$3),"B","U"),IF(AND($H77&lt;&gt;"",$H77&lt;=EOMONTH(AE$3,0),$I77&gt;=AE$3),"D","")))</f>
        <v/>
      </c>
      <c r="AF77" s="204" t="str">
        <f>IF($AI77="","",IF(INDEX('Roadmap Calc (Don’t Touch)'!$W$2:$AT$204,$AI77,23)&gt;0,IF(AND($H77&lt;&gt;"",$H77&lt;=EOMONTH(AF$3,0),$I77&gt;=AF$3),"B","U"),IF(AND($H77&lt;&gt;"",$H77&lt;=EOMONTH(AF$3,0),$I77&gt;=AF$3),"D","")))</f>
        <v/>
      </c>
      <c r="AG77" s="204" t="str">
        <f>IF($AI77="","",IF(INDEX('Roadmap Calc (Don’t Touch)'!$W$2:$AT$204,$AI77,24)&gt;0,IF(AND($H77&lt;&gt;"",$H77&lt;=EOMONTH(AG$3,0),$I77&gt;=AG$3),"B","U"),IF(AND($H77&lt;&gt;"",$H77&lt;=EOMONTH(AG$3,0),$I77&gt;=AG$3),"D","")))</f>
        <v/>
      </c>
      <c r="AH77" s="180" t="str">
        <f>IF($AI77="","",INDEX('Roadmap Calc (Don’t Touch)'!$D$2:$D$204,$AI77))</f>
        <v/>
      </c>
      <c r="AI77" s="180" t="str">
        <f>IFERROR(MATCH(71,'Roadmap Calc (Don’t Touch)'!$O$2:$O$204,0),"")</f>
        <v/>
      </c>
    </row>
    <row r="78" spans="1:35" ht="17" customHeight="1" x14ac:dyDescent="0.25">
      <c r="A78" s="197" t="str">
        <f t="shared" si="2"/>
        <v/>
      </c>
      <c r="B78" s="198" t="str">
        <f>IF($AI78="","",INDEX('Roadmap Calc (Don’t Touch)'!$B$2:$B$204,$AI78))</f>
        <v/>
      </c>
      <c r="C78" s="199" t="str">
        <f>IF($AI78="","",INDEX('Roadmap Calc (Don’t Touch)'!$E$2:$E$204,$AI78))</f>
        <v/>
      </c>
      <c r="D78" s="200" t="str">
        <f>IF($AI78="","",INDEX('Roadmap Calc (Don’t Touch)'!$F$2:$F$204,$AI78))</f>
        <v/>
      </c>
      <c r="E78" s="201" t="str">
        <f>IF($AI78="","",IF(ISNUMBER(INDEX('Roadmap Calc (Don’t Touch)'!$G$2:$G$204,$AI78)),INDEX('Roadmap Calc (Don’t Touch)'!$G$2:$G$204,$AI78),""))</f>
        <v/>
      </c>
      <c r="F78" s="201" t="str">
        <f>IF($AI78="","",IF(ISNUMBER(INDEX('Roadmap Calc (Don’t Touch)'!$H$2:$H$204,$AI78)),INDEX('Roadmap Calc (Don’t Touch)'!$H$2:$H$204,$AI78),""))</f>
        <v/>
      </c>
      <c r="G78" s="202" t="str">
        <f>IF($AI78="","",INDEX('Roadmap Calc (Don’t Touch)'!$S$2:$S$204,$AI78))</f>
        <v/>
      </c>
      <c r="H78" s="203" t="str">
        <f>IF($AI78="","",IF(ISNUMBER(INDEX('Roadmap Calc (Don’t Touch)'!$I$2:$I$204,$AI78)),INDEX('Roadmap Calc (Don’t Touch)'!$I$2:$I$204,$AI78),""))</f>
        <v/>
      </c>
      <c r="I78" s="203" t="str">
        <f>IF($AI78="","",IF(ISNUMBER(INDEX('Roadmap Calc (Don’t Touch)'!$J$2:$J$204,$AI78)),INDEX('Roadmap Calc (Don’t Touch)'!$J$2:$J$204,$AI78),""))</f>
        <v/>
      </c>
      <c r="J78" s="204" t="str">
        <f>IF($AI78="","",IF(INDEX('Roadmap Calc (Don’t Touch)'!$W$2:$AT$204,$AI78,1)&gt;0,IF(AND($H78&lt;&gt;"",$H78&lt;=EOMONTH(J$3,0),$I78&gt;=J$3),"B","U"),IF(AND($H78&lt;&gt;"",$H78&lt;=EOMONTH(J$3,0),$I78&gt;=J$3),"D","")))</f>
        <v/>
      </c>
      <c r="K78" s="204" t="str">
        <f>IF($AI78="","",IF(INDEX('Roadmap Calc (Don’t Touch)'!$W$2:$AT$204,$AI78,2)&gt;0,IF(AND($H78&lt;&gt;"",$H78&lt;=EOMONTH(K$3,0),$I78&gt;=K$3),"B","U"),IF(AND($H78&lt;&gt;"",$H78&lt;=EOMONTH(K$3,0),$I78&gt;=K$3),"D","")))</f>
        <v/>
      </c>
      <c r="L78" s="204" t="str">
        <f>IF($AI78="","",IF(INDEX('Roadmap Calc (Don’t Touch)'!$W$2:$AT$204,$AI78,3)&gt;0,IF(AND($H78&lt;&gt;"",$H78&lt;=EOMONTH(L$3,0),$I78&gt;=L$3),"B","U"),IF(AND($H78&lt;&gt;"",$H78&lt;=EOMONTH(L$3,0),$I78&gt;=L$3),"D","")))</f>
        <v/>
      </c>
      <c r="M78" s="204" t="str">
        <f>IF($AI78="","",IF(INDEX('Roadmap Calc (Don’t Touch)'!$W$2:$AT$204,$AI78,4)&gt;0,IF(AND($H78&lt;&gt;"",$H78&lt;=EOMONTH(M$3,0),$I78&gt;=M$3),"B","U"),IF(AND($H78&lt;&gt;"",$H78&lt;=EOMONTH(M$3,0),$I78&gt;=M$3),"D","")))</f>
        <v/>
      </c>
      <c r="N78" s="204" t="str">
        <f>IF($AI78="","",IF(INDEX('Roadmap Calc (Don’t Touch)'!$W$2:$AT$204,$AI78,5)&gt;0,IF(AND($H78&lt;&gt;"",$H78&lt;=EOMONTH(N$3,0),$I78&gt;=N$3),"B","U"),IF(AND($H78&lt;&gt;"",$H78&lt;=EOMONTH(N$3,0),$I78&gt;=N$3),"D","")))</f>
        <v/>
      </c>
      <c r="O78" s="204" t="str">
        <f>IF($AI78="","",IF(INDEX('Roadmap Calc (Don’t Touch)'!$W$2:$AT$204,$AI78,6)&gt;0,IF(AND($H78&lt;&gt;"",$H78&lt;=EOMONTH(O$3,0),$I78&gt;=O$3),"B","U"),IF(AND($H78&lt;&gt;"",$H78&lt;=EOMONTH(O$3,0),$I78&gt;=O$3),"D","")))</f>
        <v/>
      </c>
      <c r="P78" s="204" t="str">
        <f>IF($AI78="","",IF(INDEX('Roadmap Calc (Don’t Touch)'!$W$2:$AT$204,$AI78,7)&gt;0,IF(AND($H78&lt;&gt;"",$H78&lt;=EOMONTH(P$3,0),$I78&gt;=P$3),"B","U"),IF(AND($H78&lt;&gt;"",$H78&lt;=EOMONTH(P$3,0),$I78&gt;=P$3),"D","")))</f>
        <v/>
      </c>
      <c r="Q78" s="204" t="str">
        <f>IF($AI78="","",IF(INDEX('Roadmap Calc (Don’t Touch)'!$W$2:$AT$204,$AI78,8)&gt;0,IF(AND($H78&lt;&gt;"",$H78&lt;=EOMONTH(Q$3,0),$I78&gt;=Q$3),"B","U"),IF(AND($H78&lt;&gt;"",$H78&lt;=EOMONTH(Q$3,0),$I78&gt;=Q$3),"D","")))</f>
        <v/>
      </c>
      <c r="R78" s="204" t="str">
        <f>IF($AI78="","",IF(INDEX('Roadmap Calc (Don’t Touch)'!$W$2:$AT$204,$AI78,9)&gt;0,IF(AND($H78&lt;&gt;"",$H78&lt;=EOMONTH(R$3,0),$I78&gt;=R$3),"B","U"),IF(AND($H78&lt;&gt;"",$H78&lt;=EOMONTH(R$3,0),$I78&gt;=R$3),"D","")))</f>
        <v/>
      </c>
      <c r="S78" s="204" t="str">
        <f>IF($AI78="","",IF(INDEX('Roadmap Calc (Don’t Touch)'!$W$2:$AT$204,$AI78,10)&gt;0,IF(AND($H78&lt;&gt;"",$H78&lt;=EOMONTH(S$3,0),$I78&gt;=S$3),"B","U"),IF(AND($H78&lt;&gt;"",$H78&lt;=EOMONTH(S$3,0),$I78&gt;=S$3),"D","")))</f>
        <v/>
      </c>
      <c r="T78" s="204" t="str">
        <f>IF($AI78="","",IF(INDEX('Roadmap Calc (Don’t Touch)'!$W$2:$AT$204,$AI78,11)&gt;0,IF(AND($H78&lt;&gt;"",$H78&lt;=EOMONTH(T$3,0),$I78&gt;=T$3),"B","U"),IF(AND($H78&lt;&gt;"",$H78&lt;=EOMONTH(T$3,0),$I78&gt;=T$3),"D","")))</f>
        <v/>
      </c>
      <c r="U78" s="204" t="str">
        <f>IF($AI78="","",IF(INDEX('Roadmap Calc (Don’t Touch)'!$W$2:$AT$204,$AI78,12)&gt;0,IF(AND($H78&lt;&gt;"",$H78&lt;=EOMONTH(U$3,0),$I78&gt;=U$3),"B","U"),IF(AND($H78&lt;&gt;"",$H78&lt;=EOMONTH(U$3,0),$I78&gt;=U$3),"D","")))</f>
        <v/>
      </c>
      <c r="V78" s="204" t="str">
        <f>IF($AI78="","",IF(INDEX('Roadmap Calc (Don’t Touch)'!$W$2:$AT$204,$AI78,13)&gt;0,IF(AND($H78&lt;&gt;"",$H78&lt;=EOMONTH(V$3,0),$I78&gt;=V$3),"B","U"),IF(AND($H78&lt;&gt;"",$H78&lt;=EOMONTH(V$3,0),$I78&gt;=V$3),"D","")))</f>
        <v/>
      </c>
      <c r="W78" s="204" t="str">
        <f>IF($AI78="","",IF(INDEX('Roadmap Calc (Don’t Touch)'!$W$2:$AT$204,$AI78,14)&gt;0,IF(AND($H78&lt;&gt;"",$H78&lt;=EOMONTH(W$3,0),$I78&gt;=W$3),"B","U"),IF(AND($H78&lt;&gt;"",$H78&lt;=EOMONTH(W$3,0),$I78&gt;=W$3),"D","")))</f>
        <v/>
      </c>
      <c r="X78" s="204" t="str">
        <f>IF($AI78="","",IF(INDEX('Roadmap Calc (Don’t Touch)'!$W$2:$AT$204,$AI78,15)&gt;0,IF(AND($H78&lt;&gt;"",$H78&lt;=EOMONTH(X$3,0),$I78&gt;=X$3),"B","U"),IF(AND($H78&lt;&gt;"",$H78&lt;=EOMONTH(X$3,0),$I78&gt;=X$3),"D","")))</f>
        <v/>
      </c>
      <c r="Y78" s="204" t="str">
        <f>IF($AI78="","",IF(INDEX('Roadmap Calc (Don’t Touch)'!$W$2:$AT$204,$AI78,16)&gt;0,IF(AND($H78&lt;&gt;"",$H78&lt;=EOMONTH(Y$3,0),$I78&gt;=Y$3),"B","U"),IF(AND($H78&lt;&gt;"",$H78&lt;=EOMONTH(Y$3,0),$I78&gt;=Y$3),"D","")))</f>
        <v/>
      </c>
      <c r="Z78" s="204" t="str">
        <f>IF($AI78="","",IF(INDEX('Roadmap Calc (Don’t Touch)'!$W$2:$AT$204,$AI78,17)&gt;0,IF(AND($H78&lt;&gt;"",$H78&lt;=EOMONTH(Z$3,0),$I78&gt;=Z$3),"B","U"),IF(AND($H78&lt;&gt;"",$H78&lt;=EOMONTH(Z$3,0),$I78&gt;=Z$3),"D","")))</f>
        <v/>
      </c>
      <c r="AA78" s="204" t="str">
        <f>IF($AI78="","",IF(INDEX('Roadmap Calc (Don’t Touch)'!$W$2:$AT$204,$AI78,18)&gt;0,IF(AND($H78&lt;&gt;"",$H78&lt;=EOMONTH(AA$3,0),$I78&gt;=AA$3),"B","U"),IF(AND($H78&lt;&gt;"",$H78&lt;=EOMONTH(AA$3,0),$I78&gt;=AA$3),"D","")))</f>
        <v/>
      </c>
      <c r="AB78" s="204" t="str">
        <f>IF($AI78="","",IF(INDEX('Roadmap Calc (Don’t Touch)'!$W$2:$AT$204,$AI78,19)&gt;0,IF(AND($H78&lt;&gt;"",$H78&lt;=EOMONTH(AB$3,0),$I78&gt;=AB$3),"B","U"),IF(AND($H78&lt;&gt;"",$H78&lt;=EOMONTH(AB$3,0),$I78&gt;=AB$3),"D","")))</f>
        <v/>
      </c>
      <c r="AC78" s="204" t="str">
        <f>IF($AI78="","",IF(INDEX('Roadmap Calc (Don’t Touch)'!$W$2:$AT$204,$AI78,20)&gt;0,IF(AND($H78&lt;&gt;"",$H78&lt;=EOMONTH(AC$3,0),$I78&gt;=AC$3),"B","U"),IF(AND($H78&lt;&gt;"",$H78&lt;=EOMONTH(AC$3,0),$I78&gt;=AC$3),"D","")))</f>
        <v/>
      </c>
      <c r="AD78" s="204" t="str">
        <f>IF($AI78="","",IF(INDEX('Roadmap Calc (Don’t Touch)'!$W$2:$AT$204,$AI78,21)&gt;0,IF(AND($H78&lt;&gt;"",$H78&lt;=EOMONTH(AD$3,0),$I78&gt;=AD$3),"B","U"),IF(AND($H78&lt;&gt;"",$H78&lt;=EOMONTH(AD$3,0),$I78&gt;=AD$3),"D","")))</f>
        <v/>
      </c>
      <c r="AE78" s="204" t="str">
        <f>IF($AI78="","",IF(INDEX('Roadmap Calc (Don’t Touch)'!$W$2:$AT$204,$AI78,22)&gt;0,IF(AND($H78&lt;&gt;"",$H78&lt;=EOMONTH(AE$3,0),$I78&gt;=AE$3),"B","U"),IF(AND($H78&lt;&gt;"",$H78&lt;=EOMONTH(AE$3,0),$I78&gt;=AE$3),"D","")))</f>
        <v/>
      </c>
      <c r="AF78" s="204" t="str">
        <f>IF($AI78="","",IF(INDEX('Roadmap Calc (Don’t Touch)'!$W$2:$AT$204,$AI78,23)&gt;0,IF(AND($H78&lt;&gt;"",$H78&lt;=EOMONTH(AF$3,0),$I78&gt;=AF$3),"B","U"),IF(AND($H78&lt;&gt;"",$H78&lt;=EOMONTH(AF$3,0),$I78&gt;=AF$3),"D","")))</f>
        <v/>
      </c>
      <c r="AG78" s="204" t="str">
        <f>IF($AI78="","",IF(INDEX('Roadmap Calc (Don’t Touch)'!$W$2:$AT$204,$AI78,24)&gt;0,IF(AND($H78&lt;&gt;"",$H78&lt;=EOMONTH(AG$3,0),$I78&gt;=AG$3),"B","U"),IF(AND($H78&lt;&gt;"",$H78&lt;=EOMONTH(AG$3,0),$I78&gt;=AG$3),"D","")))</f>
        <v/>
      </c>
      <c r="AH78" s="180" t="str">
        <f>IF($AI78="","",INDEX('Roadmap Calc (Don’t Touch)'!$D$2:$D$204,$AI78))</f>
        <v/>
      </c>
      <c r="AI78" s="180" t="str">
        <f>IFERROR(MATCH(72,'Roadmap Calc (Don’t Touch)'!$O$2:$O$204,0),"")</f>
        <v/>
      </c>
    </row>
    <row r="79" spans="1:35" ht="17" customHeight="1" x14ac:dyDescent="0.25">
      <c r="A79" s="197" t="str">
        <f t="shared" si="2"/>
        <v/>
      </c>
      <c r="B79" s="198" t="str">
        <f>IF($AI79="","",INDEX('Roadmap Calc (Don’t Touch)'!$B$2:$B$204,$AI79))</f>
        <v/>
      </c>
      <c r="C79" s="199" t="str">
        <f>IF($AI79="","",INDEX('Roadmap Calc (Don’t Touch)'!$E$2:$E$204,$AI79))</f>
        <v/>
      </c>
      <c r="D79" s="200" t="str">
        <f>IF($AI79="","",INDEX('Roadmap Calc (Don’t Touch)'!$F$2:$F$204,$AI79))</f>
        <v/>
      </c>
      <c r="E79" s="201" t="str">
        <f>IF($AI79="","",IF(ISNUMBER(INDEX('Roadmap Calc (Don’t Touch)'!$G$2:$G$204,$AI79)),INDEX('Roadmap Calc (Don’t Touch)'!$G$2:$G$204,$AI79),""))</f>
        <v/>
      </c>
      <c r="F79" s="201" t="str">
        <f>IF($AI79="","",IF(ISNUMBER(INDEX('Roadmap Calc (Don’t Touch)'!$H$2:$H$204,$AI79)),INDEX('Roadmap Calc (Don’t Touch)'!$H$2:$H$204,$AI79),""))</f>
        <v/>
      </c>
      <c r="G79" s="202" t="str">
        <f>IF($AI79="","",INDEX('Roadmap Calc (Don’t Touch)'!$S$2:$S$204,$AI79))</f>
        <v/>
      </c>
      <c r="H79" s="203" t="str">
        <f>IF($AI79="","",IF(ISNUMBER(INDEX('Roadmap Calc (Don’t Touch)'!$I$2:$I$204,$AI79)),INDEX('Roadmap Calc (Don’t Touch)'!$I$2:$I$204,$AI79),""))</f>
        <v/>
      </c>
      <c r="I79" s="203" t="str">
        <f>IF($AI79="","",IF(ISNUMBER(INDEX('Roadmap Calc (Don’t Touch)'!$J$2:$J$204,$AI79)),INDEX('Roadmap Calc (Don’t Touch)'!$J$2:$J$204,$AI79),""))</f>
        <v/>
      </c>
      <c r="J79" s="204" t="str">
        <f>IF($AI79="","",IF(INDEX('Roadmap Calc (Don’t Touch)'!$W$2:$AT$204,$AI79,1)&gt;0,IF(AND($H79&lt;&gt;"",$H79&lt;=EOMONTH(J$3,0),$I79&gt;=J$3),"B","U"),IF(AND($H79&lt;&gt;"",$H79&lt;=EOMONTH(J$3,0),$I79&gt;=J$3),"D","")))</f>
        <v/>
      </c>
      <c r="K79" s="204" t="str">
        <f>IF($AI79="","",IF(INDEX('Roadmap Calc (Don’t Touch)'!$W$2:$AT$204,$AI79,2)&gt;0,IF(AND($H79&lt;&gt;"",$H79&lt;=EOMONTH(K$3,0),$I79&gt;=K$3),"B","U"),IF(AND($H79&lt;&gt;"",$H79&lt;=EOMONTH(K$3,0),$I79&gt;=K$3),"D","")))</f>
        <v/>
      </c>
      <c r="L79" s="204" t="str">
        <f>IF($AI79="","",IF(INDEX('Roadmap Calc (Don’t Touch)'!$W$2:$AT$204,$AI79,3)&gt;0,IF(AND($H79&lt;&gt;"",$H79&lt;=EOMONTH(L$3,0),$I79&gt;=L$3),"B","U"),IF(AND($H79&lt;&gt;"",$H79&lt;=EOMONTH(L$3,0),$I79&gt;=L$3),"D","")))</f>
        <v/>
      </c>
      <c r="M79" s="204" t="str">
        <f>IF($AI79="","",IF(INDEX('Roadmap Calc (Don’t Touch)'!$W$2:$AT$204,$AI79,4)&gt;0,IF(AND($H79&lt;&gt;"",$H79&lt;=EOMONTH(M$3,0),$I79&gt;=M$3),"B","U"),IF(AND($H79&lt;&gt;"",$H79&lt;=EOMONTH(M$3,0),$I79&gt;=M$3),"D","")))</f>
        <v/>
      </c>
      <c r="N79" s="204" t="str">
        <f>IF($AI79="","",IF(INDEX('Roadmap Calc (Don’t Touch)'!$W$2:$AT$204,$AI79,5)&gt;0,IF(AND($H79&lt;&gt;"",$H79&lt;=EOMONTH(N$3,0),$I79&gt;=N$3),"B","U"),IF(AND($H79&lt;&gt;"",$H79&lt;=EOMONTH(N$3,0),$I79&gt;=N$3),"D","")))</f>
        <v/>
      </c>
      <c r="O79" s="204" t="str">
        <f>IF($AI79="","",IF(INDEX('Roadmap Calc (Don’t Touch)'!$W$2:$AT$204,$AI79,6)&gt;0,IF(AND($H79&lt;&gt;"",$H79&lt;=EOMONTH(O$3,0),$I79&gt;=O$3),"B","U"),IF(AND($H79&lt;&gt;"",$H79&lt;=EOMONTH(O$3,0),$I79&gt;=O$3),"D","")))</f>
        <v/>
      </c>
      <c r="P79" s="204" t="str">
        <f>IF($AI79="","",IF(INDEX('Roadmap Calc (Don’t Touch)'!$W$2:$AT$204,$AI79,7)&gt;0,IF(AND($H79&lt;&gt;"",$H79&lt;=EOMONTH(P$3,0),$I79&gt;=P$3),"B","U"),IF(AND($H79&lt;&gt;"",$H79&lt;=EOMONTH(P$3,0),$I79&gt;=P$3),"D","")))</f>
        <v/>
      </c>
      <c r="Q79" s="204" t="str">
        <f>IF($AI79="","",IF(INDEX('Roadmap Calc (Don’t Touch)'!$W$2:$AT$204,$AI79,8)&gt;0,IF(AND($H79&lt;&gt;"",$H79&lt;=EOMONTH(Q$3,0),$I79&gt;=Q$3),"B","U"),IF(AND($H79&lt;&gt;"",$H79&lt;=EOMONTH(Q$3,0),$I79&gt;=Q$3),"D","")))</f>
        <v/>
      </c>
      <c r="R79" s="204" t="str">
        <f>IF($AI79="","",IF(INDEX('Roadmap Calc (Don’t Touch)'!$W$2:$AT$204,$AI79,9)&gt;0,IF(AND($H79&lt;&gt;"",$H79&lt;=EOMONTH(R$3,0),$I79&gt;=R$3),"B","U"),IF(AND($H79&lt;&gt;"",$H79&lt;=EOMONTH(R$3,0),$I79&gt;=R$3),"D","")))</f>
        <v/>
      </c>
      <c r="S79" s="204" t="str">
        <f>IF($AI79="","",IF(INDEX('Roadmap Calc (Don’t Touch)'!$W$2:$AT$204,$AI79,10)&gt;0,IF(AND($H79&lt;&gt;"",$H79&lt;=EOMONTH(S$3,0),$I79&gt;=S$3),"B","U"),IF(AND($H79&lt;&gt;"",$H79&lt;=EOMONTH(S$3,0),$I79&gt;=S$3),"D","")))</f>
        <v/>
      </c>
      <c r="T79" s="204" t="str">
        <f>IF($AI79="","",IF(INDEX('Roadmap Calc (Don’t Touch)'!$W$2:$AT$204,$AI79,11)&gt;0,IF(AND($H79&lt;&gt;"",$H79&lt;=EOMONTH(T$3,0),$I79&gt;=T$3),"B","U"),IF(AND($H79&lt;&gt;"",$H79&lt;=EOMONTH(T$3,0),$I79&gt;=T$3),"D","")))</f>
        <v/>
      </c>
      <c r="U79" s="204" t="str">
        <f>IF($AI79="","",IF(INDEX('Roadmap Calc (Don’t Touch)'!$W$2:$AT$204,$AI79,12)&gt;0,IF(AND($H79&lt;&gt;"",$H79&lt;=EOMONTH(U$3,0),$I79&gt;=U$3),"B","U"),IF(AND($H79&lt;&gt;"",$H79&lt;=EOMONTH(U$3,0),$I79&gt;=U$3),"D","")))</f>
        <v/>
      </c>
      <c r="V79" s="204" t="str">
        <f>IF($AI79="","",IF(INDEX('Roadmap Calc (Don’t Touch)'!$W$2:$AT$204,$AI79,13)&gt;0,IF(AND($H79&lt;&gt;"",$H79&lt;=EOMONTH(V$3,0),$I79&gt;=V$3),"B","U"),IF(AND($H79&lt;&gt;"",$H79&lt;=EOMONTH(V$3,0),$I79&gt;=V$3),"D","")))</f>
        <v/>
      </c>
      <c r="W79" s="204" t="str">
        <f>IF($AI79="","",IF(INDEX('Roadmap Calc (Don’t Touch)'!$W$2:$AT$204,$AI79,14)&gt;0,IF(AND($H79&lt;&gt;"",$H79&lt;=EOMONTH(W$3,0),$I79&gt;=W$3),"B","U"),IF(AND($H79&lt;&gt;"",$H79&lt;=EOMONTH(W$3,0),$I79&gt;=W$3),"D","")))</f>
        <v/>
      </c>
      <c r="X79" s="204" t="str">
        <f>IF($AI79="","",IF(INDEX('Roadmap Calc (Don’t Touch)'!$W$2:$AT$204,$AI79,15)&gt;0,IF(AND($H79&lt;&gt;"",$H79&lt;=EOMONTH(X$3,0),$I79&gt;=X$3),"B","U"),IF(AND($H79&lt;&gt;"",$H79&lt;=EOMONTH(X$3,0),$I79&gt;=X$3),"D","")))</f>
        <v/>
      </c>
      <c r="Y79" s="204" t="str">
        <f>IF($AI79="","",IF(INDEX('Roadmap Calc (Don’t Touch)'!$W$2:$AT$204,$AI79,16)&gt;0,IF(AND($H79&lt;&gt;"",$H79&lt;=EOMONTH(Y$3,0),$I79&gt;=Y$3),"B","U"),IF(AND($H79&lt;&gt;"",$H79&lt;=EOMONTH(Y$3,0),$I79&gt;=Y$3),"D","")))</f>
        <v/>
      </c>
      <c r="Z79" s="204" t="str">
        <f>IF($AI79="","",IF(INDEX('Roadmap Calc (Don’t Touch)'!$W$2:$AT$204,$AI79,17)&gt;0,IF(AND($H79&lt;&gt;"",$H79&lt;=EOMONTH(Z$3,0),$I79&gt;=Z$3),"B","U"),IF(AND($H79&lt;&gt;"",$H79&lt;=EOMONTH(Z$3,0),$I79&gt;=Z$3),"D","")))</f>
        <v/>
      </c>
      <c r="AA79" s="204" t="str">
        <f>IF($AI79="","",IF(INDEX('Roadmap Calc (Don’t Touch)'!$W$2:$AT$204,$AI79,18)&gt;0,IF(AND($H79&lt;&gt;"",$H79&lt;=EOMONTH(AA$3,0),$I79&gt;=AA$3),"B","U"),IF(AND($H79&lt;&gt;"",$H79&lt;=EOMONTH(AA$3,0),$I79&gt;=AA$3),"D","")))</f>
        <v/>
      </c>
      <c r="AB79" s="204" t="str">
        <f>IF($AI79="","",IF(INDEX('Roadmap Calc (Don’t Touch)'!$W$2:$AT$204,$AI79,19)&gt;0,IF(AND($H79&lt;&gt;"",$H79&lt;=EOMONTH(AB$3,0),$I79&gt;=AB$3),"B","U"),IF(AND($H79&lt;&gt;"",$H79&lt;=EOMONTH(AB$3,0),$I79&gt;=AB$3),"D","")))</f>
        <v/>
      </c>
      <c r="AC79" s="204" t="str">
        <f>IF($AI79="","",IF(INDEX('Roadmap Calc (Don’t Touch)'!$W$2:$AT$204,$AI79,20)&gt;0,IF(AND($H79&lt;&gt;"",$H79&lt;=EOMONTH(AC$3,0),$I79&gt;=AC$3),"B","U"),IF(AND($H79&lt;&gt;"",$H79&lt;=EOMONTH(AC$3,0),$I79&gt;=AC$3),"D","")))</f>
        <v/>
      </c>
      <c r="AD79" s="204" t="str">
        <f>IF($AI79="","",IF(INDEX('Roadmap Calc (Don’t Touch)'!$W$2:$AT$204,$AI79,21)&gt;0,IF(AND($H79&lt;&gt;"",$H79&lt;=EOMONTH(AD$3,0),$I79&gt;=AD$3),"B","U"),IF(AND($H79&lt;&gt;"",$H79&lt;=EOMONTH(AD$3,0),$I79&gt;=AD$3),"D","")))</f>
        <v/>
      </c>
      <c r="AE79" s="204" t="str">
        <f>IF($AI79="","",IF(INDEX('Roadmap Calc (Don’t Touch)'!$W$2:$AT$204,$AI79,22)&gt;0,IF(AND($H79&lt;&gt;"",$H79&lt;=EOMONTH(AE$3,0),$I79&gt;=AE$3),"B","U"),IF(AND($H79&lt;&gt;"",$H79&lt;=EOMONTH(AE$3,0),$I79&gt;=AE$3),"D","")))</f>
        <v/>
      </c>
      <c r="AF79" s="204" t="str">
        <f>IF($AI79="","",IF(INDEX('Roadmap Calc (Don’t Touch)'!$W$2:$AT$204,$AI79,23)&gt;0,IF(AND($H79&lt;&gt;"",$H79&lt;=EOMONTH(AF$3,0),$I79&gt;=AF$3),"B","U"),IF(AND($H79&lt;&gt;"",$H79&lt;=EOMONTH(AF$3,0),$I79&gt;=AF$3),"D","")))</f>
        <v/>
      </c>
      <c r="AG79" s="204" t="str">
        <f>IF($AI79="","",IF(INDEX('Roadmap Calc (Don’t Touch)'!$W$2:$AT$204,$AI79,24)&gt;0,IF(AND($H79&lt;&gt;"",$H79&lt;=EOMONTH(AG$3,0),$I79&gt;=AG$3),"B","U"),IF(AND($H79&lt;&gt;"",$H79&lt;=EOMONTH(AG$3,0),$I79&gt;=AG$3),"D","")))</f>
        <v/>
      </c>
      <c r="AH79" s="180" t="str">
        <f>IF($AI79="","",INDEX('Roadmap Calc (Don’t Touch)'!$D$2:$D$204,$AI79))</f>
        <v/>
      </c>
      <c r="AI79" s="180" t="str">
        <f>IFERROR(MATCH(73,'Roadmap Calc (Don’t Touch)'!$O$2:$O$204,0),"")</f>
        <v/>
      </c>
    </row>
    <row r="80" spans="1:35" ht="17" customHeight="1" x14ac:dyDescent="0.25">
      <c r="A80" s="197" t="str">
        <f t="shared" si="2"/>
        <v/>
      </c>
      <c r="B80" s="198" t="str">
        <f>IF($AI80="","",INDEX('Roadmap Calc (Don’t Touch)'!$B$2:$B$204,$AI80))</f>
        <v/>
      </c>
      <c r="C80" s="199" t="str">
        <f>IF($AI80="","",INDEX('Roadmap Calc (Don’t Touch)'!$E$2:$E$204,$AI80))</f>
        <v/>
      </c>
      <c r="D80" s="200" t="str">
        <f>IF($AI80="","",INDEX('Roadmap Calc (Don’t Touch)'!$F$2:$F$204,$AI80))</f>
        <v/>
      </c>
      <c r="E80" s="201" t="str">
        <f>IF($AI80="","",IF(ISNUMBER(INDEX('Roadmap Calc (Don’t Touch)'!$G$2:$G$204,$AI80)),INDEX('Roadmap Calc (Don’t Touch)'!$G$2:$G$204,$AI80),""))</f>
        <v/>
      </c>
      <c r="F80" s="201" t="str">
        <f>IF($AI80="","",IF(ISNUMBER(INDEX('Roadmap Calc (Don’t Touch)'!$H$2:$H$204,$AI80)),INDEX('Roadmap Calc (Don’t Touch)'!$H$2:$H$204,$AI80),""))</f>
        <v/>
      </c>
      <c r="G80" s="202" t="str">
        <f>IF($AI80="","",INDEX('Roadmap Calc (Don’t Touch)'!$S$2:$S$204,$AI80))</f>
        <v/>
      </c>
      <c r="H80" s="203" t="str">
        <f>IF($AI80="","",IF(ISNUMBER(INDEX('Roadmap Calc (Don’t Touch)'!$I$2:$I$204,$AI80)),INDEX('Roadmap Calc (Don’t Touch)'!$I$2:$I$204,$AI80),""))</f>
        <v/>
      </c>
      <c r="I80" s="203" t="str">
        <f>IF($AI80="","",IF(ISNUMBER(INDEX('Roadmap Calc (Don’t Touch)'!$J$2:$J$204,$AI80)),INDEX('Roadmap Calc (Don’t Touch)'!$J$2:$J$204,$AI80),""))</f>
        <v/>
      </c>
      <c r="J80" s="204" t="str">
        <f>IF($AI80="","",IF(INDEX('Roadmap Calc (Don’t Touch)'!$W$2:$AT$204,$AI80,1)&gt;0,IF(AND($H80&lt;&gt;"",$H80&lt;=EOMONTH(J$3,0),$I80&gt;=J$3),"B","U"),IF(AND($H80&lt;&gt;"",$H80&lt;=EOMONTH(J$3,0),$I80&gt;=J$3),"D","")))</f>
        <v/>
      </c>
      <c r="K80" s="204" t="str">
        <f>IF($AI80="","",IF(INDEX('Roadmap Calc (Don’t Touch)'!$W$2:$AT$204,$AI80,2)&gt;0,IF(AND($H80&lt;&gt;"",$H80&lt;=EOMONTH(K$3,0),$I80&gt;=K$3),"B","U"),IF(AND($H80&lt;&gt;"",$H80&lt;=EOMONTH(K$3,0),$I80&gt;=K$3),"D","")))</f>
        <v/>
      </c>
      <c r="L80" s="204" t="str">
        <f>IF($AI80="","",IF(INDEX('Roadmap Calc (Don’t Touch)'!$W$2:$AT$204,$AI80,3)&gt;0,IF(AND($H80&lt;&gt;"",$H80&lt;=EOMONTH(L$3,0),$I80&gt;=L$3),"B","U"),IF(AND($H80&lt;&gt;"",$H80&lt;=EOMONTH(L$3,0),$I80&gt;=L$3),"D","")))</f>
        <v/>
      </c>
      <c r="M80" s="204" t="str">
        <f>IF($AI80="","",IF(INDEX('Roadmap Calc (Don’t Touch)'!$W$2:$AT$204,$AI80,4)&gt;0,IF(AND($H80&lt;&gt;"",$H80&lt;=EOMONTH(M$3,0),$I80&gt;=M$3),"B","U"),IF(AND($H80&lt;&gt;"",$H80&lt;=EOMONTH(M$3,0),$I80&gt;=M$3),"D","")))</f>
        <v/>
      </c>
      <c r="N80" s="204" t="str">
        <f>IF($AI80="","",IF(INDEX('Roadmap Calc (Don’t Touch)'!$W$2:$AT$204,$AI80,5)&gt;0,IF(AND($H80&lt;&gt;"",$H80&lt;=EOMONTH(N$3,0),$I80&gt;=N$3),"B","U"),IF(AND($H80&lt;&gt;"",$H80&lt;=EOMONTH(N$3,0),$I80&gt;=N$3),"D","")))</f>
        <v/>
      </c>
      <c r="O80" s="204" t="str">
        <f>IF($AI80="","",IF(INDEX('Roadmap Calc (Don’t Touch)'!$W$2:$AT$204,$AI80,6)&gt;0,IF(AND($H80&lt;&gt;"",$H80&lt;=EOMONTH(O$3,0),$I80&gt;=O$3),"B","U"),IF(AND($H80&lt;&gt;"",$H80&lt;=EOMONTH(O$3,0),$I80&gt;=O$3),"D","")))</f>
        <v/>
      </c>
      <c r="P80" s="204" t="str">
        <f>IF($AI80="","",IF(INDEX('Roadmap Calc (Don’t Touch)'!$W$2:$AT$204,$AI80,7)&gt;0,IF(AND($H80&lt;&gt;"",$H80&lt;=EOMONTH(P$3,0),$I80&gt;=P$3),"B","U"),IF(AND($H80&lt;&gt;"",$H80&lt;=EOMONTH(P$3,0),$I80&gt;=P$3),"D","")))</f>
        <v/>
      </c>
      <c r="Q80" s="204" t="str">
        <f>IF($AI80="","",IF(INDEX('Roadmap Calc (Don’t Touch)'!$W$2:$AT$204,$AI80,8)&gt;0,IF(AND($H80&lt;&gt;"",$H80&lt;=EOMONTH(Q$3,0),$I80&gt;=Q$3),"B","U"),IF(AND($H80&lt;&gt;"",$H80&lt;=EOMONTH(Q$3,0),$I80&gt;=Q$3),"D","")))</f>
        <v/>
      </c>
      <c r="R80" s="204" t="str">
        <f>IF($AI80="","",IF(INDEX('Roadmap Calc (Don’t Touch)'!$W$2:$AT$204,$AI80,9)&gt;0,IF(AND($H80&lt;&gt;"",$H80&lt;=EOMONTH(R$3,0),$I80&gt;=R$3),"B","U"),IF(AND($H80&lt;&gt;"",$H80&lt;=EOMONTH(R$3,0),$I80&gt;=R$3),"D","")))</f>
        <v/>
      </c>
      <c r="S80" s="204" t="str">
        <f>IF($AI80="","",IF(INDEX('Roadmap Calc (Don’t Touch)'!$W$2:$AT$204,$AI80,10)&gt;0,IF(AND($H80&lt;&gt;"",$H80&lt;=EOMONTH(S$3,0),$I80&gt;=S$3),"B","U"),IF(AND($H80&lt;&gt;"",$H80&lt;=EOMONTH(S$3,0),$I80&gt;=S$3),"D","")))</f>
        <v/>
      </c>
      <c r="T80" s="204" t="str">
        <f>IF($AI80="","",IF(INDEX('Roadmap Calc (Don’t Touch)'!$W$2:$AT$204,$AI80,11)&gt;0,IF(AND($H80&lt;&gt;"",$H80&lt;=EOMONTH(T$3,0),$I80&gt;=T$3),"B","U"),IF(AND($H80&lt;&gt;"",$H80&lt;=EOMONTH(T$3,0),$I80&gt;=T$3),"D","")))</f>
        <v/>
      </c>
      <c r="U80" s="204" t="str">
        <f>IF($AI80="","",IF(INDEX('Roadmap Calc (Don’t Touch)'!$W$2:$AT$204,$AI80,12)&gt;0,IF(AND($H80&lt;&gt;"",$H80&lt;=EOMONTH(U$3,0),$I80&gt;=U$3),"B","U"),IF(AND($H80&lt;&gt;"",$H80&lt;=EOMONTH(U$3,0),$I80&gt;=U$3),"D","")))</f>
        <v/>
      </c>
      <c r="V80" s="204" t="str">
        <f>IF($AI80="","",IF(INDEX('Roadmap Calc (Don’t Touch)'!$W$2:$AT$204,$AI80,13)&gt;0,IF(AND($H80&lt;&gt;"",$H80&lt;=EOMONTH(V$3,0),$I80&gt;=V$3),"B","U"),IF(AND($H80&lt;&gt;"",$H80&lt;=EOMONTH(V$3,0),$I80&gt;=V$3),"D","")))</f>
        <v/>
      </c>
      <c r="W80" s="204" t="str">
        <f>IF($AI80="","",IF(INDEX('Roadmap Calc (Don’t Touch)'!$W$2:$AT$204,$AI80,14)&gt;0,IF(AND($H80&lt;&gt;"",$H80&lt;=EOMONTH(W$3,0),$I80&gt;=W$3),"B","U"),IF(AND($H80&lt;&gt;"",$H80&lt;=EOMONTH(W$3,0),$I80&gt;=W$3),"D","")))</f>
        <v/>
      </c>
      <c r="X80" s="204" t="str">
        <f>IF($AI80="","",IF(INDEX('Roadmap Calc (Don’t Touch)'!$W$2:$AT$204,$AI80,15)&gt;0,IF(AND($H80&lt;&gt;"",$H80&lt;=EOMONTH(X$3,0),$I80&gt;=X$3),"B","U"),IF(AND($H80&lt;&gt;"",$H80&lt;=EOMONTH(X$3,0),$I80&gt;=X$3),"D","")))</f>
        <v/>
      </c>
      <c r="Y80" s="204" t="str">
        <f>IF($AI80="","",IF(INDEX('Roadmap Calc (Don’t Touch)'!$W$2:$AT$204,$AI80,16)&gt;0,IF(AND($H80&lt;&gt;"",$H80&lt;=EOMONTH(Y$3,0),$I80&gt;=Y$3),"B","U"),IF(AND($H80&lt;&gt;"",$H80&lt;=EOMONTH(Y$3,0),$I80&gt;=Y$3),"D","")))</f>
        <v/>
      </c>
      <c r="Z80" s="204" t="str">
        <f>IF($AI80="","",IF(INDEX('Roadmap Calc (Don’t Touch)'!$W$2:$AT$204,$AI80,17)&gt;0,IF(AND($H80&lt;&gt;"",$H80&lt;=EOMONTH(Z$3,0),$I80&gt;=Z$3),"B","U"),IF(AND($H80&lt;&gt;"",$H80&lt;=EOMONTH(Z$3,0),$I80&gt;=Z$3),"D","")))</f>
        <v/>
      </c>
      <c r="AA80" s="204" t="str">
        <f>IF($AI80="","",IF(INDEX('Roadmap Calc (Don’t Touch)'!$W$2:$AT$204,$AI80,18)&gt;0,IF(AND($H80&lt;&gt;"",$H80&lt;=EOMONTH(AA$3,0),$I80&gt;=AA$3),"B","U"),IF(AND($H80&lt;&gt;"",$H80&lt;=EOMONTH(AA$3,0),$I80&gt;=AA$3),"D","")))</f>
        <v/>
      </c>
      <c r="AB80" s="204" t="str">
        <f>IF($AI80="","",IF(INDEX('Roadmap Calc (Don’t Touch)'!$W$2:$AT$204,$AI80,19)&gt;0,IF(AND($H80&lt;&gt;"",$H80&lt;=EOMONTH(AB$3,0),$I80&gt;=AB$3),"B","U"),IF(AND($H80&lt;&gt;"",$H80&lt;=EOMONTH(AB$3,0),$I80&gt;=AB$3),"D","")))</f>
        <v/>
      </c>
      <c r="AC80" s="204" t="str">
        <f>IF($AI80="","",IF(INDEX('Roadmap Calc (Don’t Touch)'!$W$2:$AT$204,$AI80,20)&gt;0,IF(AND($H80&lt;&gt;"",$H80&lt;=EOMONTH(AC$3,0),$I80&gt;=AC$3),"B","U"),IF(AND($H80&lt;&gt;"",$H80&lt;=EOMONTH(AC$3,0),$I80&gt;=AC$3),"D","")))</f>
        <v/>
      </c>
      <c r="AD80" s="204" t="str">
        <f>IF($AI80="","",IF(INDEX('Roadmap Calc (Don’t Touch)'!$W$2:$AT$204,$AI80,21)&gt;0,IF(AND($H80&lt;&gt;"",$H80&lt;=EOMONTH(AD$3,0),$I80&gt;=AD$3),"B","U"),IF(AND($H80&lt;&gt;"",$H80&lt;=EOMONTH(AD$3,0),$I80&gt;=AD$3),"D","")))</f>
        <v/>
      </c>
      <c r="AE80" s="204" t="str">
        <f>IF($AI80="","",IF(INDEX('Roadmap Calc (Don’t Touch)'!$W$2:$AT$204,$AI80,22)&gt;0,IF(AND($H80&lt;&gt;"",$H80&lt;=EOMONTH(AE$3,0),$I80&gt;=AE$3),"B","U"),IF(AND($H80&lt;&gt;"",$H80&lt;=EOMONTH(AE$3,0),$I80&gt;=AE$3),"D","")))</f>
        <v/>
      </c>
      <c r="AF80" s="204" t="str">
        <f>IF($AI80="","",IF(INDEX('Roadmap Calc (Don’t Touch)'!$W$2:$AT$204,$AI80,23)&gt;0,IF(AND($H80&lt;&gt;"",$H80&lt;=EOMONTH(AF$3,0),$I80&gt;=AF$3),"B","U"),IF(AND($H80&lt;&gt;"",$H80&lt;=EOMONTH(AF$3,0),$I80&gt;=AF$3),"D","")))</f>
        <v/>
      </c>
      <c r="AG80" s="204" t="str">
        <f>IF($AI80="","",IF(INDEX('Roadmap Calc (Don’t Touch)'!$W$2:$AT$204,$AI80,24)&gt;0,IF(AND($H80&lt;&gt;"",$H80&lt;=EOMONTH(AG$3,0),$I80&gt;=AG$3),"B","U"),IF(AND($H80&lt;&gt;"",$H80&lt;=EOMONTH(AG$3,0),$I80&gt;=AG$3),"D","")))</f>
        <v/>
      </c>
      <c r="AH80" s="180" t="str">
        <f>IF($AI80="","",INDEX('Roadmap Calc (Don’t Touch)'!$D$2:$D$204,$AI80))</f>
        <v/>
      </c>
      <c r="AI80" s="180" t="str">
        <f>IFERROR(MATCH(74,'Roadmap Calc (Don’t Touch)'!$O$2:$O$204,0),"")</f>
        <v/>
      </c>
    </row>
    <row r="82" spans="1:1" ht="14" customHeight="1" x14ac:dyDescent="0.25">
      <c r="A82" s="205" t="s">
        <v>829</v>
      </c>
    </row>
    <row r="83" spans="1:1" x14ac:dyDescent="0.25">
      <c r="A83" s="206" t="s">
        <v>830</v>
      </c>
    </row>
    <row r="84" spans="1:1" x14ac:dyDescent="0.25">
      <c r="A84" s="206" t="s">
        <v>831</v>
      </c>
    </row>
    <row r="85" spans="1:1" x14ac:dyDescent="0.25">
      <c r="A85" s="206" t="s">
        <v>832</v>
      </c>
    </row>
    <row r="86" spans="1:1" x14ac:dyDescent="0.25">
      <c r="A86" s="206" t="s">
        <v>833</v>
      </c>
    </row>
    <row r="87" spans="1:1" x14ac:dyDescent="0.25">
      <c r="A87" s="206" t="s">
        <v>834</v>
      </c>
    </row>
    <row r="88" spans="1:1" x14ac:dyDescent="0.25">
      <c r="A88" s="206" t="s">
        <v>835</v>
      </c>
    </row>
    <row r="89" spans="1:1" x14ac:dyDescent="0.25">
      <c r="A89" s="206" t="s">
        <v>836</v>
      </c>
    </row>
    <row r="90" spans="1:1" x14ac:dyDescent="0.25">
      <c r="A90" s="206" t="s">
        <v>837</v>
      </c>
    </row>
  </sheetData>
  <mergeCells count="14">
    <mergeCell ref="AB2:AG2"/>
    <mergeCell ref="J5:L5"/>
    <mergeCell ref="Y5:AA5"/>
    <mergeCell ref="S5:U5"/>
    <mergeCell ref="AB5:AD5"/>
    <mergeCell ref="AE5:AG5"/>
    <mergeCell ref="Q2:U2"/>
    <mergeCell ref="W2:AA2"/>
    <mergeCell ref="P5:R5"/>
    <mergeCell ref="V5:X5"/>
    <mergeCell ref="M5:O5"/>
    <mergeCell ref="K2:O2"/>
    <mergeCell ref="V4:AG4"/>
    <mergeCell ref="J4:U4"/>
  </mergeCells>
  <conditionalFormatting sqref="A7:AG80">
    <cfRule type="expression" dxfId="32" priority="5">
      <formula>AND($AH7&lt;&gt;"",$AH7&lt;&gt;$AH6)</formula>
    </cfRule>
    <cfRule type="expression" dxfId="31" priority="6">
      <formula>$B7&lt;&gt;""</formula>
    </cfRule>
  </conditionalFormatting>
  <conditionalFormatting sqref="D7:D80">
    <cfRule type="expression" dxfId="30" priority="7">
      <formula>OR(LEFT($D7,2)="13",LEFT($D7,2)="7.")</formula>
    </cfRule>
    <cfRule type="expression" dxfId="29" priority="8">
      <formula>OR(LEFT($D7,2)="09",LEFT($D7,2)="10",LEFT($D7,2)="11",LEFT($D7,2)="12",LEFT($D7,2)="4.",LEFT($D7,2)="5.")</formula>
    </cfRule>
    <cfRule type="expression" dxfId="28" priority="9">
      <formula>OR(LEFT($D7,2)="00",LEFT($D7,2)="99")</formula>
    </cfRule>
    <cfRule type="expression" dxfId="27" priority="10">
      <formula>$D7&lt;&gt;""</formula>
    </cfRule>
  </conditionalFormatting>
  <conditionalFormatting sqref="J6:AG6">
    <cfRule type="expression" dxfId="26" priority="17">
      <formula>AND(J$3&lt;=TODAY(),EOMONTH(J$3,0)&gt;=TODAY())</formula>
    </cfRule>
  </conditionalFormatting>
  <conditionalFormatting sqref="J7:AG80">
    <cfRule type="expression" dxfId="25" priority="1">
      <formula>J7="U"</formula>
    </cfRule>
    <cfRule type="expression" dxfId="24" priority="2">
      <formula>J7="D"</formula>
    </cfRule>
    <cfRule type="expression" dxfId="23" priority="3">
      <formula>J7="B"</formula>
    </cfRule>
    <cfRule type="expression" dxfId="22" priority="4">
      <formula>AND($B7&lt;&gt;"",J$3&lt;=TODAY(),EOMONTH(J$3,0)&gt;=TODAY())</formula>
    </cfRule>
  </conditionalFormatting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904D6-800B-284A-B57B-AB06E3920E32}">
  <dimension ref="A1:M27"/>
  <sheetViews>
    <sheetView zoomScale="129" zoomScaleNormal="129" workbookViewId="0">
      <selection activeCell="P16" sqref="P16"/>
    </sheetView>
  </sheetViews>
  <sheetFormatPr baseColWidth="10" defaultColWidth="11" defaultRowHeight="16" x14ac:dyDescent="0.2"/>
  <cols>
    <col min="1" max="1" width="57" bestFit="1" customWidth="1"/>
    <col min="2" max="2" width="21.1640625" bestFit="1" customWidth="1"/>
    <col min="3" max="3" width="16.83203125" bestFit="1" customWidth="1"/>
  </cols>
  <sheetData>
    <row r="1" spans="1:13" ht="27" thickBot="1" x14ac:dyDescent="0.35">
      <c r="A1" s="1" t="s">
        <v>0</v>
      </c>
      <c r="B1" s="2"/>
      <c r="C1" s="2"/>
      <c r="D1" s="2"/>
      <c r="E1" s="2"/>
      <c r="F1" s="2"/>
    </row>
    <row r="2" spans="1:13" ht="17" thickBot="1" x14ac:dyDescent="0.25">
      <c r="A2" s="8"/>
      <c r="B2" s="56" t="s">
        <v>270</v>
      </c>
      <c r="C2" s="56" t="s">
        <v>271</v>
      </c>
      <c r="D2" s="56" t="s">
        <v>272</v>
      </c>
      <c r="E2" s="56" t="s">
        <v>273</v>
      </c>
      <c r="F2" s="112" t="s">
        <v>274</v>
      </c>
      <c r="G2" s="113" t="s">
        <v>275</v>
      </c>
      <c r="H2" s="113" t="s">
        <v>276</v>
      </c>
      <c r="I2" s="114" t="s">
        <v>277</v>
      </c>
      <c r="J2" s="112" t="s">
        <v>278</v>
      </c>
      <c r="K2" s="113" t="s">
        <v>279</v>
      </c>
      <c r="L2" s="113" t="s">
        <v>280</v>
      </c>
      <c r="M2" s="114" t="s">
        <v>281</v>
      </c>
    </row>
    <row r="3" spans="1:13" ht="19" x14ac:dyDescent="0.2">
      <c r="A3" s="8" t="s">
        <v>5</v>
      </c>
      <c r="B3" s="9"/>
      <c r="C3" s="9"/>
      <c r="D3" s="9"/>
      <c r="E3" s="150" t="s">
        <v>6</v>
      </c>
      <c r="F3" s="101"/>
      <c r="I3" s="102"/>
      <c r="J3" s="108"/>
      <c r="M3" s="102"/>
    </row>
    <row r="4" spans="1:13" ht="19" x14ac:dyDescent="0.2">
      <c r="A4" s="10" t="s">
        <v>7</v>
      </c>
      <c r="B4" s="2"/>
      <c r="C4" s="2"/>
      <c r="D4" s="2"/>
      <c r="E4" s="151"/>
      <c r="F4" s="101"/>
      <c r="H4" s="2"/>
      <c r="I4" s="103"/>
      <c r="J4" s="109"/>
      <c r="K4" s="2"/>
      <c r="L4" s="2"/>
      <c r="M4" s="102"/>
    </row>
    <row r="5" spans="1:13" ht="19" x14ac:dyDescent="0.2">
      <c r="A5" s="11" t="s">
        <v>13</v>
      </c>
      <c r="B5" s="6" t="s">
        <v>8</v>
      </c>
      <c r="C5" s="50" t="s">
        <v>14</v>
      </c>
      <c r="D5" s="51" t="s">
        <v>15</v>
      </c>
      <c r="E5" s="151"/>
      <c r="F5" s="101"/>
      <c r="H5" s="2"/>
      <c r="I5" s="102"/>
      <c r="J5" s="108"/>
      <c r="M5" s="102"/>
    </row>
    <row r="6" spans="1:13" ht="19" x14ac:dyDescent="0.2">
      <c r="A6" s="11" t="s">
        <v>17</v>
      </c>
      <c r="B6" s="6" t="s">
        <v>8</v>
      </c>
      <c r="C6" s="50" t="s">
        <v>14</v>
      </c>
      <c r="D6" s="51" t="s">
        <v>15</v>
      </c>
      <c r="E6" s="151"/>
      <c r="F6" s="101"/>
      <c r="I6" s="102"/>
      <c r="J6" s="108"/>
      <c r="M6" s="102"/>
    </row>
    <row r="7" spans="1:13" ht="19" x14ac:dyDescent="0.2">
      <c r="A7" s="11" t="s">
        <v>19</v>
      </c>
      <c r="B7" s="6" t="s">
        <v>20</v>
      </c>
      <c r="C7" s="50" t="s">
        <v>14</v>
      </c>
      <c r="D7" s="51" t="s">
        <v>15</v>
      </c>
      <c r="E7" s="151"/>
      <c r="F7" s="101"/>
      <c r="H7" s="99"/>
      <c r="I7" s="104"/>
      <c r="J7" s="110"/>
      <c r="M7" s="102"/>
    </row>
    <row r="8" spans="1:13" ht="19" x14ac:dyDescent="0.2">
      <c r="A8" s="19" t="s">
        <v>21</v>
      </c>
      <c r="B8" s="2"/>
      <c r="D8" s="52" t="s">
        <v>22</v>
      </c>
      <c r="E8" s="151"/>
      <c r="F8" s="101"/>
      <c r="I8" s="102"/>
      <c r="J8" s="108"/>
      <c r="M8" s="102"/>
    </row>
    <row r="9" spans="1:13" ht="19" x14ac:dyDescent="0.2">
      <c r="A9" s="10" t="s">
        <v>23</v>
      </c>
      <c r="B9" s="2"/>
      <c r="C9" s="2"/>
      <c r="D9" s="2"/>
      <c r="E9" s="151"/>
      <c r="F9" s="101"/>
      <c r="H9" s="21"/>
      <c r="I9" s="102"/>
      <c r="J9" s="108"/>
      <c r="M9" s="102"/>
    </row>
    <row r="10" spans="1:13" ht="19" x14ac:dyDescent="0.2">
      <c r="A10" s="11" t="s">
        <v>24</v>
      </c>
      <c r="B10" s="6" t="s">
        <v>20</v>
      </c>
      <c r="C10" s="51" t="s">
        <v>25</v>
      </c>
      <c r="D10" s="51" t="s">
        <v>15</v>
      </c>
      <c r="E10" s="151"/>
      <c r="F10" s="101"/>
      <c r="H10" s="100"/>
      <c r="I10" s="102"/>
      <c r="J10" s="108"/>
      <c r="M10" s="102"/>
    </row>
    <row r="11" spans="1:13" ht="19" x14ac:dyDescent="0.2">
      <c r="A11" s="11" t="s">
        <v>27</v>
      </c>
      <c r="B11" s="6" t="s">
        <v>20</v>
      </c>
      <c r="C11" s="50" t="s">
        <v>14</v>
      </c>
      <c r="D11" s="51" t="s">
        <v>15</v>
      </c>
      <c r="E11" s="151"/>
      <c r="F11" s="101"/>
      <c r="I11" s="102"/>
      <c r="J11" s="108"/>
      <c r="M11" s="102"/>
    </row>
    <row r="12" spans="1:13" ht="19" x14ac:dyDescent="0.2">
      <c r="A12" s="11" t="s">
        <v>28</v>
      </c>
      <c r="B12" s="6" t="s">
        <v>20</v>
      </c>
      <c r="C12" s="2"/>
      <c r="D12" s="2"/>
      <c r="E12" s="151"/>
      <c r="F12" s="101"/>
      <c r="I12" s="102"/>
      <c r="J12" s="108"/>
      <c r="M12" s="102"/>
    </row>
    <row r="13" spans="1:13" ht="19" x14ac:dyDescent="0.2">
      <c r="A13" s="12" t="s">
        <v>29</v>
      </c>
      <c r="B13" s="53"/>
      <c r="C13" s="53"/>
      <c r="D13" s="53"/>
      <c r="E13" s="151"/>
      <c r="F13" s="101"/>
      <c r="I13" s="102"/>
      <c r="J13" s="108"/>
      <c r="M13" s="102"/>
    </row>
    <row r="14" spans="1:13" ht="19" x14ac:dyDescent="0.2">
      <c r="A14" s="13" t="s">
        <v>30</v>
      </c>
      <c r="B14" s="2"/>
      <c r="C14" s="2"/>
      <c r="D14" s="2"/>
      <c r="E14" s="151"/>
      <c r="F14" s="101"/>
      <c r="I14" s="102"/>
      <c r="J14" s="108"/>
      <c r="M14" s="102"/>
    </row>
    <row r="15" spans="1:13" ht="19" x14ac:dyDescent="0.2">
      <c r="A15" s="11" t="s">
        <v>31</v>
      </c>
      <c r="B15" s="6" t="s">
        <v>20</v>
      </c>
      <c r="C15" s="50" t="s">
        <v>14</v>
      </c>
      <c r="D15" s="51" t="s">
        <v>12</v>
      </c>
      <c r="E15" s="151"/>
      <c r="F15" s="101"/>
      <c r="I15" s="102"/>
      <c r="J15" s="108"/>
      <c r="M15" s="102"/>
    </row>
    <row r="16" spans="1:13" ht="19" x14ac:dyDescent="0.2">
      <c r="A16" s="11" t="s">
        <v>33</v>
      </c>
      <c r="B16" s="6" t="s">
        <v>20</v>
      </c>
      <c r="C16" s="50" t="s">
        <v>14</v>
      </c>
      <c r="D16" s="51" t="s">
        <v>12</v>
      </c>
      <c r="E16" s="151"/>
      <c r="F16" s="101"/>
      <c r="I16" s="102"/>
      <c r="J16" s="108"/>
      <c r="M16" s="102"/>
    </row>
    <row r="17" spans="1:13" ht="19" x14ac:dyDescent="0.2">
      <c r="A17" s="14" t="s">
        <v>34</v>
      </c>
      <c r="B17" s="6" t="s">
        <v>8</v>
      </c>
      <c r="D17" s="51" t="s">
        <v>35</v>
      </c>
      <c r="E17" s="151"/>
      <c r="F17" s="101"/>
      <c r="I17" s="102"/>
      <c r="J17" s="108"/>
      <c r="M17" s="102"/>
    </row>
    <row r="18" spans="1:13" ht="19" x14ac:dyDescent="0.2">
      <c r="A18" s="11" t="s">
        <v>36</v>
      </c>
      <c r="B18" s="2"/>
      <c r="C18" s="6" t="s">
        <v>20</v>
      </c>
      <c r="D18" s="51" t="s">
        <v>35</v>
      </c>
      <c r="E18" s="151"/>
      <c r="F18" s="101"/>
      <c r="I18" s="102"/>
      <c r="J18" s="108"/>
      <c r="M18" s="102"/>
    </row>
    <row r="19" spans="1:13" ht="19" x14ac:dyDescent="0.2">
      <c r="A19" s="13" t="s">
        <v>37</v>
      </c>
      <c r="B19" s="2"/>
      <c r="C19" s="2"/>
      <c r="D19" s="2"/>
      <c r="E19" s="151"/>
      <c r="F19" s="101"/>
      <c r="I19" s="102"/>
      <c r="J19" s="108"/>
      <c r="M19" s="102"/>
    </row>
    <row r="20" spans="1:13" ht="19" x14ac:dyDescent="0.2">
      <c r="A20" s="11" t="s">
        <v>38</v>
      </c>
      <c r="B20" s="6" t="s">
        <v>8</v>
      </c>
      <c r="C20" s="3" t="s">
        <v>10</v>
      </c>
      <c r="D20" s="51" t="s">
        <v>15</v>
      </c>
      <c r="E20" s="151"/>
      <c r="F20" s="101"/>
      <c r="I20" s="102"/>
      <c r="J20" s="108"/>
      <c r="M20" s="102"/>
    </row>
    <row r="21" spans="1:13" ht="19" x14ac:dyDescent="0.2">
      <c r="A21" s="11" t="s">
        <v>40</v>
      </c>
      <c r="B21" s="6" t="s">
        <v>8</v>
      </c>
      <c r="C21" s="3" t="s">
        <v>10</v>
      </c>
      <c r="D21" s="51" t="s">
        <v>15</v>
      </c>
      <c r="E21" s="151"/>
      <c r="F21" s="101"/>
      <c r="I21" s="102"/>
      <c r="J21" s="108"/>
      <c r="M21" s="102"/>
    </row>
    <row r="22" spans="1:13" ht="19" x14ac:dyDescent="0.2">
      <c r="A22" s="11" t="s">
        <v>41</v>
      </c>
      <c r="B22" s="2"/>
      <c r="C22" s="2"/>
      <c r="D22" s="2"/>
      <c r="E22" s="151"/>
      <c r="F22" s="101"/>
      <c r="I22" s="102"/>
      <c r="J22" s="108"/>
      <c r="M22" s="102"/>
    </row>
    <row r="23" spans="1:13" ht="19" x14ac:dyDescent="0.2">
      <c r="A23" s="13" t="s">
        <v>42</v>
      </c>
      <c r="B23" s="4" t="s">
        <v>11</v>
      </c>
      <c r="C23" s="7" t="s">
        <v>16</v>
      </c>
      <c r="D23" s="51" t="s">
        <v>12</v>
      </c>
      <c r="E23" s="151"/>
      <c r="F23" s="101"/>
      <c r="I23" s="102"/>
      <c r="J23" s="108"/>
      <c r="M23" s="102"/>
    </row>
    <row r="24" spans="1:13" ht="19" x14ac:dyDescent="0.2">
      <c r="A24" s="12" t="s">
        <v>43</v>
      </c>
      <c r="B24" s="53"/>
      <c r="C24" s="53"/>
      <c r="D24" s="53"/>
      <c r="E24" s="151"/>
      <c r="F24" s="101"/>
      <c r="I24" s="102"/>
      <c r="J24" s="108"/>
      <c r="M24" s="102"/>
    </row>
    <row r="25" spans="1:13" ht="19" x14ac:dyDescent="0.2">
      <c r="A25" s="20" t="s">
        <v>44</v>
      </c>
      <c r="B25" s="6" t="s">
        <v>20</v>
      </c>
      <c r="C25" s="50" t="s">
        <v>14</v>
      </c>
      <c r="D25" s="51" t="s">
        <v>12</v>
      </c>
      <c r="E25" s="151"/>
      <c r="F25" s="101"/>
      <c r="I25" s="102"/>
      <c r="J25" s="108"/>
      <c r="M25" s="102"/>
    </row>
    <row r="26" spans="1:13" ht="19" x14ac:dyDescent="0.2">
      <c r="A26" s="18" t="s">
        <v>46</v>
      </c>
      <c r="B26" s="54" t="s">
        <v>47</v>
      </c>
      <c r="C26" s="2"/>
      <c r="D26" s="2"/>
      <c r="E26" s="151"/>
      <c r="F26" s="101"/>
      <c r="I26" s="102"/>
      <c r="J26" s="108"/>
      <c r="M26" s="102"/>
    </row>
    <row r="27" spans="1:13" ht="20" thickBot="1" x14ac:dyDescent="0.25">
      <c r="A27" s="15" t="s">
        <v>48</v>
      </c>
      <c r="B27" s="16" t="s">
        <v>49</v>
      </c>
      <c r="C27" s="55" t="s">
        <v>10</v>
      </c>
      <c r="D27" s="17" t="s">
        <v>15</v>
      </c>
      <c r="E27" s="152"/>
      <c r="F27" s="105"/>
      <c r="G27" s="106"/>
      <c r="H27" s="106"/>
      <c r="I27" s="107"/>
      <c r="J27" s="111"/>
      <c r="K27" s="106"/>
      <c r="L27" s="106"/>
      <c r="M27" s="107"/>
    </row>
  </sheetData>
  <mergeCells count="1">
    <mergeCell ref="E3:E27"/>
  </mergeCells>
  <phoneticPr fontId="20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63EE0-91B6-2C48-AE8D-76E6CB4B934E}">
  <dimension ref="A1:Y28"/>
  <sheetViews>
    <sheetView zoomScale="123" zoomScaleNormal="123" workbookViewId="0">
      <selection activeCell="Q14" sqref="Q14"/>
    </sheetView>
  </sheetViews>
  <sheetFormatPr baseColWidth="10" defaultColWidth="11" defaultRowHeight="16" x14ac:dyDescent="0.2"/>
  <cols>
    <col min="1" max="1" width="28.83203125" customWidth="1"/>
    <col min="4" max="4" width="17.1640625" bestFit="1" customWidth="1"/>
    <col min="5" max="5" width="14.33203125" bestFit="1" customWidth="1"/>
  </cols>
  <sheetData>
    <row r="1" spans="1:25" ht="17" thickBot="1" x14ac:dyDescent="0.25"/>
    <row r="2" spans="1:25" ht="17" thickBot="1" x14ac:dyDescent="0.25">
      <c r="A2" s="30" t="s">
        <v>50</v>
      </c>
      <c r="B2" s="153" t="s">
        <v>1</v>
      </c>
      <c r="C2" s="154"/>
      <c r="D2" s="155"/>
      <c r="E2" s="153" t="s">
        <v>2</v>
      </c>
      <c r="F2" s="154"/>
      <c r="G2" s="155"/>
      <c r="H2" s="153" t="s">
        <v>3</v>
      </c>
      <c r="I2" s="154"/>
      <c r="J2" s="155"/>
      <c r="K2" s="153" t="s">
        <v>4</v>
      </c>
      <c r="L2" s="154"/>
      <c r="M2" s="155"/>
      <c r="N2" s="153" t="s">
        <v>1</v>
      </c>
      <c r="O2" s="154"/>
      <c r="P2" s="155"/>
      <c r="Q2" s="153" t="s">
        <v>2</v>
      </c>
      <c r="R2" s="154"/>
      <c r="S2" s="155"/>
      <c r="T2" s="153" t="s">
        <v>3</v>
      </c>
      <c r="U2" s="154"/>
      <c r="V2" s="155"/>
      <c r="W2" s="153" t="s">
        <v>4</v>
      </c>
      <c r="X2" s="154"/>
      <c r="Y2" s="155"/>
    </row>
    <row r="3" spans="1:25" ht="21" thickBot="1" x14ac:dyDescent="0.3">
      <c r="A3" s="119" t="s">
        <v>51</v>
      </c>
      <c r="B3" s="120" t="s">
        <v>52</v>
      </c>
      <c r="C3" s="121" t="s">
        <v>53</v>
      </c>
      <c r="D3" s="122" t="s">
        <v>54</v>
      </c>
      <c r="E3" s="120" t="s">
        <v>55</v>
      </c>
      <c r="F3" s="121" t="s">
        <v>56</v>
      </c>
      <c r="G3" s="122" t="s">
        <v>57</v>
      </c>
      <c r="H3" s="120" t="s">
        <v>58</v>
      </c>
      <c r="I3" s="121" t="s">
        <v>59</v>
      </c>
      <c r="J3" s="122" t="s">
        <v>60</v>
      </c>
      <c r="K3" s="120" t="s">
        <v>61</v>
      </c>
      <c r="L3" s="121" t="s">
        <v>62</v>
      </c>
      <c r="M3" s="122" t="s">
        <v>63</v>
      </c>
      <c r="N3" s="120" t="s">
        <v>52</v>
      </c>
      <c r="O3" s="121" t="s">
        <v>53</v>
      </c>
      <c r="P3" s="122" t="s">
        <v>54</v>
      </c>
      <c r="Q3" s="120" t="s">
        <v>55</v>
      </c>
      <c r="R3" s="121" t="s">
        <v>56</v>
      </c>
      <c r="S3" s="122" t="s">
        <v>57</v>
      </c>
      <c r="T3" s="120" t="s">
        <v>58</v>
      </c>
      <c r="U3" s="121" t="s">
        <v>59</v>
      </c>
      <c r="V3" s="122" t="s">
        <v>60</v>
      </c>
      <c r="W3" s="120" t="s">
        <v>61</v>
      </c>
      <c r="X3" s="121" t="s">
        <v>62</v>
      </c>
      <c r="Y3" s="122" t="s">
        <v>63</v>
      </c>
    </row>
    <row r="4" spans="1:25" x14ac:dyDescent="0.2">
      <c r="A4" s="22" t="s">
        <v>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157" t="s">
        <v>6</v>
      </c>
      <c r="M4" s="158"/>
      <c r="N4" s="108"/>
      <c r="Y4" s="102"/>
    </row>
    <row r="5" spans="1:25" x14ac:dyDescent="0.2">
      <c r="A5" s="23" t="s">
        <v>7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157"/>
      <c r="M5" s="158"/>
      <c r="N5" s="108"/>
      <c r="Y5" s="102"/>
    </row>
    <row r="6" spans="1:25" x14ac:dyDescent="0.2">
      <c r="A6" s="24" t="s">
        <v>64</v>
      </c>
      <c r="B6" s="40"/>
      <c r="C6" s="40"/>
      <c r="D6" s="6" t="s">
        <v>20</v>
      </c>
      <c r="E6" s="161" t="s">
        <v>10</v>
      </c>
      <c r="F6" s="162"/>
      <c r="G6" s="167" t="s">
        <v>11</v>
      </c>
      <c r="H6" s="168"/>
      <c r="I6" s="173" t="s">
        <v>12</v>
      </c>
      <c r="J6" s="40"/>
      <c r="K6" s="40"/>
      <c r="L6" s="157"/>
      <c r="M6" s="158"/>
      <c r="N6" s="108"/>
      <c r="Y6" s="102"/>
    </row>
    <row r="7" spans="1:25" x14ac:dyDescent="0.2">
      <c r="A7" s="24" t="s">
        <v>17</v>
      </c>
      <c r="B7" s="40"/>
      <c r="C7" s="40"/>
      <c r="D7" s="6" t="s">
        <v>20</v>
      </c>
      <c r="E7" s="163"/>
      <c r="F7" s="164"/>
      <c r="G7" s="169"/>
      <c r="H7" s="170"/>
      <c r="I7" s="174"/>
      <c r="J7" s="40"/>
      <c r="K7" s="40"/>
      <c r="L7" s="157"/>
      <c r="M7" s="158"/>
      <c r="N7" s="108"/>
      <c r="Y7" s="102"/>
    </row>
    <row r="8" spans="1:25" x14ac:dyDescent="0.2">
      <c r="A8" s="24" t="s">
        <v>19</v>
      </c>
      <c r="B8" s="40"/>
      <c r="C8" s="40"/>
      <c r="D8" s="6" t="s">
        <v>20</v>
      </c>
      <c r="E8" s="165"/>
      <c r="F8" s="166"/>
      <c r="G8" s="171"/>
      <c r="H8" s="172"/>
      <c r="I8" s="175"/>
      <c r="J8" s="40"/>
      <c r="K8" s="40"/>
      <c r="L8" s="157"/>
      <c r="M8" s="158"/>
      <c r="N8" s="108"/>
      <c r="Y8" s="102"/>
    </row>
    <row r="9" spans="1:25" x14ac:dyDescent="0.2">
      <c r="A9" s="25" t="s">
        <v>21</v>
      </c>
      <c r="B9" s="40"/>
      <c r="C9" s="40"/>
      <c r="D9" s="40"/>
      <c r="E9" s="6" t="s">
        <v>8</v>
      </c>
      <c r="F9" s="5" t="s">
        <v>9</v>
      </c>
      <c r="G9" s="4" t="s">
        <v>11</v>
      </c>
      <c r="H9" s="41" t="s">
        <v>12</v>
      </c>
      <c r="I9" s="40"/>
      <c r="J9" s="40"/>
      <c r="K9" s="40"/>
      <c r="L9" s="157"/>
      <c r="M9" s="158"/>
      <c r="N9" s="108"/>
      <c r="Y9" s="102"/>
    </row>
    <row r="10" spans="1:25" x14ac:dyDescent="0.2">
      <c r="A10" s="23" t="s">
        <v>23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157"/>
      <c r="M10" s="158"/>
      <c r="N10" s="108"/>
      <c r="Y10" s="102"/>
    </row>
    <row r="11" spans="1:25" x14ac:dyDescent="0.2">
      <c r="A11" s="24" t="s">
        <v>24</v>
      </c>
      <c r="B11" s="40"/>
      <c r="C11" s="40"/>
      <c r="D11" s="6" t="s">
        <v>20</v>
      </c>
      <c r="E11" s="3" t="s">
        <v>10</v>
      </c>
      <c r="F11" s="4" t="s">
        <v>11</v>
      </c>
      <c r="G11" s="40"/>
      <c r="H11" s="40"/>
      <c r="I11" s="40"/>
      <c r="J11" s="40"/>
      <c r="K11" s="40"/>
      <c r="L11" s="157"/>
      <c r="M11" s="158"/>
      <c r="N11" s="108"/>
      <c r="Y11" s="102"/>
    </row>
    <row r="12" spans="1:25" x14ac:dyDescent="0.2">
      <c r="A12" s="24" t="s">
        <v>27</v>
      </c>
      <c r="B12" s="40"/>
      <c r="C12" s="40"/>
      <c r="D12" s="6" t="s">
        <v>8</v>
      </c>
      <c r="E12" s="6" t="s">
        <v>9</v>
      </c>
      <c r="F12" s="3" t="s">
        <v>10</v>
      </c>
      <c r="G12" s="4" t="s">
        <v>11</v>
      </c>
      <c r="H12" s="40"/>
      <c r="I12" s="40"/>
      <c r="J12" s="40"/>
      <c r="K12" s="40"/>
      <c r="L12" s="157"/>
      <c r="M12" s="158"/>
      <c r="N12" s="108"/>
      <c r="Y12" s="102"/>
    </row>
    <row r="13" spans="1:25" x14ac:dyDescent="0.2">
      <c r="A13" s="24" t="s">
        <v>28</v>
      </c>
      <c r="B13" s="40"/>
      <c r="C13" s="40"/>
      <c r="D13" s="40"/>
      <c r="E13" s="40"/>
      <c r="F13" s="40"/>
      <c r="G13" s="3" t="s">
        <v>10</v>
      </c>
      <c r="H13" s="4" t="s">
        <v>11</v>
      </c>
      <c r="I13" s="4" t="s">
        <v>11</v>
      </c>
      <c r="J13" s="41" t="s">
        <v>12</v>
      </c>
      <c r="K13" s="40"/>
      <c r="L13" s="157"/>
      <c r="M13" s="158"/>
      <c r="N13" s="108"/>
      <c r="Y13" s="102"/>
    </row>
    <row r="14" spans="1:25" x14ac:dyDescent="0.2">
      <c r="A14" s="28" t="s">
        <v>65</v>
      </c>
      <c r="B14" s="156" t="s">
        <v>10</v>
      </c>
      <c r="C14" s="156"/>
      <c r="D14" s="40"/>
      <c r="E14" s="40"/>
      <c r="F14" s="4" t="s">
        <v>11</v>
      </c>
      <c r="G14" s="41" t="s">
        <v>12</v>
      </c>
      <c r="H14" s="2"/>
      <c r="I14" s="2"/>
      <c r="J14" s="2"/>
      <c r="K14" s="40"/>
      <c r="L14" s="157"/>
      <c r="M14" s="158"/>
      <c r="N14" s="108"/>
      <c r="Y14" s="102"/>
    </row>
    <row r="15" spans="1:25" x14ac:dyDescent="0.2">
      <c r="A15" s="22" t="s">
        <v>29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157"/>
      <c r="M15" s="158"/>
      <c r="N15" s="108"/>
      <c r="Y15" s="102"/>
    </row>
    <row r="16" spans="1:25" x14ac:dyDescent="0.2">
      <c r="A16" s="26" t="s">
        <v>30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157"/>
      <c r="M16" s="158"/>
      <c r="N16" s="108"/>
      <c r="Y16" s="102"/>
    </row>
    <row r="17" spans="1:25" x14ac:dyDescent="0.2">
      <c r="A17" s="24" t="s">
        <v>31</v>
      </c>
      <c r="B17" s="40"/>
      <c r="C17" s="40"/>
      <c r="D17" s="6" t="s">
        <v>20</v>
      </c>
      <c r="E17" s="3" t="s">
        <v>10</v>
      </c>
      <c r="F17" s="3" t="s">
        <v>10</v>
      </c>
      <c r="G17" s="4" t="s">
        <v>11</v>
      </c>
      <c r="H17" s="4" t="s">
        <v>11</v>
      </c>
      <c r="I17" s="41" t="s">
        <v>12</v>
      </c>
      <c r="J17" s="40"/>
      <c r="K17" s="40"/>
      <c r="L17" s="157"/>
      <c r="M17" s="158"/>
      <c r="N17" s="108"/>
      <c r="Y17" s="102"/>
    </row>
    <row r="18" spans="1:25" x14ac:dyDescent="0.2">
      <c r="A18" s="24" t="s">
        <v>33</v>
      </c>
      <c r="B18" s="40"/>
      <c r="C18" s="40"/>
      <c r="D18" s="6" t="s">
        <v>20</v>
      </c>
      <c r="E18" s="40"/>
      <c r="F18" s="3" t="s">
        <v>10</v>
      </c>
      <c r="G18" s="4" t="s">
        <v>11</v>
      </c>
      <c r="H18" s="41" t="s">
        <v>35</v>
      </c>
      <c r="I18" s="40"/>
      <c r="J18" s="40"/>
      <c r="K18" s="40"/>
      <c r="L18" s="157"/>
      <c r="M18" s="158"/>
      <c r="N18" s="108"/>
      <c r="Y18" s="102"/>
    </row>
    <row r="19" spans="1:25" x14ac:dyDescent="0.2">
      <c r="A19" s="27" t="s">
        <v>34</v>
      </c>
      <c r="B19" s="40"/>
      <c r="C19" s="40"/>
      <c r="D19" s="6" t="s">
        <v>8</v>
      </c>
      <c r="E19" s="3" t="s">
        <v>10</v>
      </c>
      <c r="F19" s="4" t="s">
        <v>11</v>
      </c>
      <c r="G19" s="41" t="s">
        <v>12</v>
      </c>
      <c r="H19" s="40"/>
      <c r="I19" s="40"/>
      <c r="J19" s="40"/>
      <c r="K19" s="40"/>
      <c r="L19" s="157"/>
      <c r="M19" s="158"/>
      <c r="N19" s="108"/>
      <c r="Y19" s="102"/>
    </row>
    <row r="20" spans="1:25" x14ac:dyDescent="0.2">
      <c r="A20" s="24" t="s">
        <v>36</v>
      </c>
      <c r="B20" s="40"/>
      <c r="C20" s="40"/>
      <c r="D20" s="40"/>
      <c r="E20" s="40"/>
      <c r="F20" s="6" t="s">
        <v>20</v>
      </c>
      <c r="G20" s="4" t="s">
        <v>11</v>
      </c>
      <c r="H20" s="41" t="s">
        <v>12</v>
      </c>
      <c r="I20" s="40"/>
      <c r="J20" s="40"/>
      <c r="K20" s="40"/>
      <c r="L20" s="157"/>
      <c r="M20" s="158"/>
      <c r="N20" s="108"/>
      <c r="Y20" s="102"/>
    </row>
    <row r="21" spans="1:25" x14ac:dyDescent="0.2">
      <c r="A21" s="26" t="s">
        <v>37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157"/>
      <c r="M21" s="158"/>
      <c r="N21" s="108"/>
      <c r="Y21" s="102"/>
    </row>
    <row r="22" spans="1:25" x14ac:dyDescent="0.2">
      <c r="A22" s="24" t="s">
        <v>38</v>
      </c>
      <c r="B22" s="6" t="s">
        <v>8</v>
      </c>
      <c r="C22" s="6" t="s">
        <v>9</v>
      </c>
      <c r="D22" s="6" t="s">
        <v>66</v>
      </c>
      <c r="E22" s="6" t="s">
        <v>66</v>
      </c>
      <c r="F22" s="4" t="s">
        <v>11</v>
      </c>
      <c r="G22" s="41" t="s">
        <v>12</v>
      </c>
      <c r="H22" s="40"/>
      <c r="I22" s="40"/>
      <c r="J22" s="40"/>
      <c r="K22" s="40"/>
      <c r="L22" s="157"/>
      <c r="M22" s="158"/>
      <c r="N22" s="108"/>
      <c r="Y22" s="102"/>
    </row>
    <row r="23" spans="1:25" x14ac:dyDescent="0.2">
      <c r="A23" s="24" t="s">
        <v>40</v>
      </c>
      <c r="B23" s="40"/>
      <c r="C23" s="40"/>
      <c r="D23" s="40"/>
      <c r="E23" s="3" t="s">
        <v>10</v>
      </c>
      <c r="F23" s="41" t="s">
        <v>35</v>
      </c>
      <c r="G23" s="40"/>
      <c r="H23" s="40"/>
      <c r="I23" s="40"/>
      <c r="J23" s="40"/>
      <c r="K23" s="40"/>
      <c r="L23" s="157"/>
      <c r="M23" s="158"/>
      <c r="N23" s="108"/>
      <c r="Y23" s="102"/>
    </row>
    <row r="24" spans="1:25" x14ac:dyDescent="0.2">
      <c r="A24" s="24" t="s">
        <v>41</v>
      </c>
      <c r="B24" s="40"/>
      <c r="C24" s="40"/>
      <c r="D24" s="40"/>
      <c r="E24" s="40"/>
      <c r="F24" s="40"/>
      <c r="G24" s="40"/>
      <c r="H24" s="6" t="s">
        <v>8</v>
      </c>
      <c r="I24" s="6" t="s">
        <v>9</v>
      </c>
      <c r="J24" s="41" t="s">
        <v>12</v>
      </c>
      <c r="K24" s="40"/>
      <c r="L24" s="157"/>
      <c r="M24" s="158"/>
      <c r="N24" s="108"/>
      <c r="Y24" s="102"/>
    </row>
    <row r="25" spans="1:25" x14ac:dyDescent="0.2">
      <c r="A25" s="26" t="s">
        <v>42</v>
      </c>
      <c r="B25" s="40"/>
      <c r="C25" s="40"/>
      <c r="D25" s="40"/>
      <c r="E25" s="3" t="s">
        <v>10</v>
      </c>
      <c r="F25" s="4" t="s">
        <v>11</v>
      </c>
      <c r="G25" s="42" t="s">
        <v>16</v>
      </c>
      <c r="H25" s="42" t="s">
        <v>16</v>
      </c>
      <c r="I25" s="41" t="s">
        <v>12</v>
      </c>
      <c r="J25" s="40"/>
      <c r="K25" s="40"/>
      <c r="L25" s="157"/>
      <c r="M25" s="158"/>
      <c r="N25" s="108"/>
      <c r="Y25" s="102"/>
    </row>
    <row r="26" spans="1:25" ht="32" x14ac:dyDescent="0.2">
      <c r="A26" s="22" t="s">
        <v>43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157"/>
      <c r="M26" s="158"/>
      <c r="N26" s="108"/>
      <c r="Y26" s="102"/>
    </row>
    <row r="27" spans="1:25" x14ac:dyDescent="0.2">
      <c r="A27" s="28" t="s">
        <v>44</v>
      </c>
      <c r="B27" s="6" t="s">
        <v>8</v>
      </c>
      <c r="C27" s="6" t="s">
        <v>9</v>
      </c>
      <c r="D27" s="176" t="s">
        <v>10</v>
      </c>
      <c r="E27" s="176"/>
      <c r="F27" s="41" t="s">
        <v>35</v>
      </c>
      <c r="G27" s="40"/>
      <c r="H27" s="40"/>
      <c r="I27" s="40"/>
      <c r="J27" s="40"/>
      <c r="K27" s="40"/>
      <c r="L27" s="157"/>
      <c r="M27" s="158"/>
      <c r="N27" s="108"/>
      <c r="Y27" s="102"/>
    </row>
    <row r="28" spans="1:25" ht="17" thickBot="1" x14ac:dyDescent="0.25">
      <c r="A28" s="29" t="s">
        <v>48</v>
      </c>
      <c r="B28" s="43" t="s">
        <v>8</v>
      </c>
      <c r="C28" s="43" t="s">
        <v>9</v>
      </c>
      <c r="D28" s="177" t="s">
        <v>10</v>
      </c>
      <c r="E28" s="177"/>
      <c r="F28" s="44" t="s">
        <v>11</v>
      </c>
      <c r="G28" s="45" t="s">
        <v>12</v>
      </c>
      <c r="H28" s="46"/>
      <c r="I28" s="46"/>
      <c r="J28" s="46"/>
      <c r="K28" s="46"/>
      <c r="L28" s="159"/>
      <c r="M28" s="160"/>
      <c r="N28" s="111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7"/>
    </row>
  </sheetData>
  <mergeCells count="15">
    <mergeCell ref="B14:C14"/>
    <mergeCell ref="L4:M28"/>
    <mergeCell ref="E6:F8"/>
    <mergeCell ref="G6:H8"/>
    <mergeCell ref="I6:I8"/>
    <mergeCell ref="D27:E27"/>
    <mergeCell ref="D28:E28"/>
    <mergeCell ref="Q2:S2"/>
    <mergeCell ref="T2:V2"/>
    <mergeCell ref="W2:Y2"/>
    <mergeCell ref="B2:D2"/>
    <mergeCell ref="E2:G2"/>
    <mergeCell ref="H2:J2"/>
    <mergeCell ref="K2:M2"/>
    <mergeCell ref="N2:P2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7A74A-974A-014C-83CF-66AB738EFD73}">
  <sheetPr>
    <pageSetUpPr fitToPage="1"/>
  </sheetPr>
  <dimension ref="A1:CT132"/>
  <sheetViews>
    <sheetView topLeftCell="B1" zoomScale="152" zoomScaleNormal="152" workbookViewId="0">
      <pane xSplit="24" ySplit="1" topLeftCell="AA2" activePane="bottomRight" state="frozen"/>
      <selection activeCell="B1" sqref="B1"/>
      <selection pane="topRight" activeCell="Y1" sqref="Y1"/>
      <selection pane="bottomLeft" activeCell="B2" sqref="B2"/>
      <selection pane="bottomRight" activeCell="AB29" sqref="AB29"/>
    </sheetView>
  </sheetViews>
  <sheetFormatPr baseColWidth="10" defaultColWidth="11" defaultRowHeight="16" x14ac:dyDescent="0.2"/>
  <cols>
    <col min="1" max="1" width="10.5" hidden="1" customWidth="1"/>
    <col min="2" max="2" width="10.83203125" bestFit="1" customWidth="1"/>
    <col min="3" max="3" width="33.5" customWidth="1"/>
    <col min="4" max="4" width="10.33203125" hidden="1" customWidth="1"/>
    <col min="5" max="5" width="40.5" customWidth="1"/>
    <col min="6" max="6" width="11.83203125" bestFit="1" customWidth="1"/>
    <col min="7" max="7" width="18.83203125" customWidth="1"/>
    <col min="8" max="22" width="0" hidden="1" customWidth="1"/>
    <col min="23" max="23" width="11" hidden="1" customWidth="1"/>
    <col min="24" max="26" width="0" hidden="1" customWidth="1"/>
  </cols>
  <sheetData>
    <row r="1" spans="1:98" s="21" customFormat="1" ht="17" thickBot="1" x14ac:dyDescent="0.25">
      <c r="A1" s="81" t="s">
        <v>67</v>
      </c>
      <c r="B1" s="129" t="s">
        <v>133</v>
      </c>
      <c r="C1" s="130" t="s">
        <v>261</v>
      </c>
      <c r="D1" s="130" t="s">
        <v>260</v>
      </c>
      <c r="E1" s="130" t="s">
        <v>68</v>
      </c>
      <c r="F1" s="130" t="s">
        <v>70</v>
      </c>
      <c r="G1" s="130" t="s">
        <v>69</v>
      </c>
      <c r="H1" s="131">
        <v>46125</v>
      </c>
      <c r="I1" s="131">
        <v>46132</v>
      </c>
      <c r="J1" s="131">
        <v>46139</v>
      </c>
      <c r="K1" s="131">
        <v>46146</v>
      </c>
      <c r="L1" s="131">
        <v>46153</v>
      </c>
      <c r="M1" s="131">
        <v>46160</v>
      </c>
      <c r="N1" s="131">
        <v>46167</v>
      </c>
      <c r="O1" s="132">
        <v>46174</v>
      </c>
      <c r="P1" s="132">
        <v>46181</v>
      </c>
      <c r="Q1" s="132">
        <v>46188</v>
      </c>
      <c r="R1" s="132">
        <v>46195</v>
      </c>
      <c r="S1" s="132">
        <v>46202</v>
      </c>
      <c r="T1" s="132">
        <v>46209</v>
      </c>
      <c r="U1" s="132">
        <v>46216</v>
      </c>
      <c r="V1" s="133">
        <v>46223</v>
      </c>
      <c r="W1" s="133">
        <v>46230</v>
      </c>
      <c r="X1" s="133">
        <v>46237</v>
      </c>
      <c r="Y1" s="133">
        <v>46244</v>
      </c>
      <c r="Z1" s="133">
        <v>46251</v>
      </c>
      <c r="AA1" s="133">
        <v>46258</v>
      </c>
      <c r="AB1" s="133">
        <v>46265</v>
      </c>
      <c r="AC1" s="133">
        <v>46272</v>
      </c>
      <c r="AD1" s="133">
        <v>46279</v>
      </c>
      <c r="AE1" s="133">
        <v>46286</v>
      </c>
      <c r="AF1" s="133">
        <v>46293</v>
      </c>
      <c r="AG1" s="133">
        <v>46300</v>
      </c>
      <c r="AH1" s="133">
        <v>46307</v>
      </c>
      <c r="AI1" s="133">
        <v>46314</v>
      </c>
      <c r="AJ1" s="133">
        <v>46321</v>
      </c>
      <c r="AK1" s="133">
        <v>46328</v>
      </c>
      <c r="AL1" s="133">
        <v>46335</v>
      </c>
      <c r="AM1" s="133">
        <v>46342</v>
      </c>
      <c r="AN1" s="133">
        <v>46349</v>
      </c>
      <c r="AO1" s="133">
        <v>46356</v>
      </c>
      <c r="AP1" s="133">
        <v>46363</v>
      </c>
      <c r="AQ1" s="133">
        <v>46370</v>
      </c>
      <c r="AR1" s="133">
        <v>46377</v>
      </c>
      <c r="AS1" s="133">
        <v>46384</v>
      </c>
      <c r="AT1" s="133">
        <v>46391</v>
      </c>
      <c r="AU1" s="133">
        <v>46398</v>
      </c>
      <c r="AV1" s="133">
        <v>46405</v>
      </c>
      <c r="AW1" s="133">
        <v>46412</v>
      </c>
      <c r="AX1" s="133">
        <v>46419</v>
      </c>
      <c r="AY1" s="133">
        <v>46426</v>
      </c>
      <c r="AZ1" s="133">
        <v>46433</v>
      </c>
      <c r="BA1" s="133">
        <v>46440</v>
      </c>
      <c r="BB1" s="133">
        <v>46447</v>
      </c>
      <c r="BC1" s="133">
        <v>46454</v>
      </c>
      <c r="BD1" s="133">
        <v>46461</v>
      </c>
      <c r="BE1" s="133">
        <v>46468</v>
      </c>
      <c r="BF1" s="133">
        <v>46475</v>
      </c>
      <c r="BG1" s="133">
        <v>46482</v>
      </c>
      <c r="BH1" s="133">
        <v>46489</v>
      </c>
      <c r="BI1" s="133">
        <v>46496</v>
      </c>
      <c r="BJ1" s="133">
        <v>46503</v>
      </c>
      <c r="BK1" s="133">
        <v>46510</v>
      </c>
      <c r="BL1" s="133">
        <v>46517</v>
      </c>
      <c r="BM1" s="133">
        <v>46524</v>
      </c>
      <c r="BN1" s="133">
        <v>46531</v>
      </c>
      <c r="BO1" s="133">
        <v>46538</v>
      </c>
      <c r="BP1" s="133">
        <v>46545</v>
      </c>
      <c r="BQ1" s="133">
        <v>46552</v>
      </c>
      <c r="BR1" s="133">
        <v>46559</v>
      </c>
      <c r="BS1" s="133">
        <v>46566</v>
      </c>
      <c r="BT1" s="133">
        <v>46573</v>
      </c>
      <c r="BU1" s="133">
        <v>46580</v>
      </c>
      <c r="BV1" s="133">
        <v>46587</v>
      </c>
      <c r="BW1" s="133">
        <v>46594</v>
      </c>
      <c r="BX1" s="133">
        <v>46601</v>
      </c>
      <c r="BY1" s="133">
        <v>46608</v>
      </c>
      <c r="BZ1" s="133">
        <v>46615</v>
      </c>
      <c r="CA1" s="133">
        <v>46622</v>
      </c>
      <c r="CB1" s="133">
        <v>46629</v>
      </c>
      <c r="CC1" s="133">
        <v>46636</v>
      </c>
      <c r="CD1" s="133">
        <v>46643</v>
      </c>
      <c r="CE1" s="133">
        <v>46650</v>
      </c>
      <c r="CF1" s="133">
        <v>46657</v>
      </c>
      <c r="CG1" s="133">
        <v>46664</v>
      </c>
      <c r="CH1" s="133">
        <v>46671</v>
      </c>
      <c r="CI1" s="133">
        <v>46678</v>
      </c>
      <c r="CJ1" s="133">
        <v>46685</v>
      </c>
      <c r="CK1" s="133">
        <v>46692</v>
      </c>
      <c r="CL1" s="133">
        <v>46699</v>
      </c>
      <c r="CM1" s="133">
        <v>46706</v>
      </c>
      <c r="CN1" s="133">
        <v>46713</v>
      </c>
      <c r="CO1" s="133">
        <v>46720</v>
      </c>
      <c r="CP1" s="133">
        <v>46727</v>
      </c>
      <c r="CQ1" s="133">
        <v>46734</v>
      </c>
      <c r="CR1" s="133">
        <v>46741</v>
      </c>
      <c r="CS1" s="133">
        <v>46748</v>
      </c>
      <c r="CT1" s="134">
        <v>46755</v>
      </c>
    </row>
    <row r="2" spans="1:98" x14ac:dyDescent="0.2">
      <c r="A2" s="69" t="s">
        <v>71</v>
      </c>
      <c r="B2" s="70" t="s">
        <v>166</v>
      </c>
      <c r="C2" s="123" t="s">
        <v>206</v>
      </c>
      <c r="D2" s="123" t="s">
        <v>204</v>
      </c>
      <c r="E2" s="123" t="s">
        <v>101</v>
      </c>
      <c r="F2" s="123" t="s">
        <v>102</v>
      </c>
      <c r="G2" s="70" t="s">
        <v>202</v>
      </c>
      <c r="H2" s="124"/>
      <c r="I2" s="124"/>
      <c r="J2" s="124"/>
      <c r="K2" s="125"/>
      <c r="L2" s="125"/>
      <c r="M2" s="125"/>
      <c r="N2" s="125"/>
      <c r="O2" s="126" t="s">
        <v>39</v>
      </c>
      <c r="P2" s="126" t="s">
        <v>39</v>
      </c>
      <c r="Q2" s="126" t="s">
        <v>39</v>
      </c>
      <c r="R2" s="126"/>
      <c r="S2" s="126"/>
      <c r="T2" s="126"/>
      <c r="U2" s="126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8"/>
      <c r="AJ2" s="128"/>
      <c r="AK2" s="128"/>
      <c r="AL2" s="128"/>
      <c r="AM2" s="128"/>
      <c r="AN2" s="128"/>
      <c r="AO2" s="128"/>
      <c r="AP2" s="128"/>
      <c r="AQ2" s="128"/>
      <c r="AR2" s="128"/>
      <c r="AS2" s="128"/>
      <c r="AT2" s="70"/>
      <c r="AU2" s="70"/>
      <c r="AV2" s="70"/>
      <c r="AW2" s="70"/>
      <c r="AX2" s="70"/>
      <c r="AY2" s="70"/>
      <c r="AZ2" s="70"/>
      <c r="BA2" s="70"/>
      <c r="BB2" s="70"/>
      <c r="BC2" s="70"/>
      <c r="BD2" s="70"/>
      <c r="BE2" s="70"/>
      <c r="BF2" s="70"/>
      <c r="BG2" s="70"/>
      <c r="BH2" s="70"/>
      <c r="BI2" s="70"/>
      <c r="BJ2" s="70"/>
      <c r="BK2" s="70"/>
      <c r="BL2" s="70"/>
      <c r="BM2" s="70"/>
      <c r="BN2" s="70"/>
      <c r="BO2" s="70"/>
      <c r="BP2" s="70"/>
      <c r="BQ2" s="70"/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  <c r="CD2" s="70"/>
      <c r="CE2" s="70"/>
      <c r="CF2" s="70"/>
      <c r="CG2" s="70"/>
      <c r="CH2" s="70"/>
      <c r="CI2" s="70"/>
      <c r="CJ2" s="70"/>
      <c r="CK2" s="70"/>
      <c r="CL2" s="70"/>
      <c r="CM2" s="70"/>
      <c r="CN2" s="70"/>
      <c r="CO2" s="70"/>
      <c r="CP2" s="70"/>
      <c r="CQ2" s="70"/>
      <c r="CR2" s="70"/>
      <c r="CS2" s="70"/>
      <c r="CT2" s="70"/>
    </row>
    <row r="3" spans="1:98" x14ac:dyDescent="0.2">
      <c r="A3" s="69" t="s">
        <v>71</v>
      </c>
      <c r="B3" s="37" t="s">
        <v>139</v>
      </c>
      <c r="C3" s="39" t="s">
        <v>211</v>
      </c>
      <c r="D3" s="37"/>
      <c r="E3" s="39" t="s">
        <v>86</v>
      </c>
      <c r="F3" s="39" t="s">
        <v>87</v>
      </c>
      <c r="G3" s="37" t="s">
        <v>202</v>
      </c>
      <c r="H3" s="33"/>
      <c r="I3" s="33"/>
      <c r="J3" s="33"/>
      <c r="K3" s="33"/>
      <c r="L3" s="32"/>
      <c r="M3" s="33"/>
      <c r="N3" s="33"/>
      <c r="O3" s="36"/>
      <c r="P3" s="62" t="s">
        <v>18</v>
      </c>
      <c r="Q3" s="62"/>
      <c r="R3" s="36"/>
      <c r="S3" s="36"/>
      <c r="T3" s="36"/>
      <c r="U3" s="36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68" t="s">
        <v>18</v>
      </c>
      <c r="AH3" s="68" t="s">
        <v>18</v>
      </c>
      <c r="AI3" s="68" t="s">
        <v>18</v>
      </c>
      <c r="AJ3" s="68" t="s">
        <v>18</v>
      </c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</row>
    <row r="4" spans="1:98" x14ac:dyDescent="0.2">
      <c r="A4" s="69" t="s">
        <v>71</v>
      </c>
      <c r="B4" s="37" t="s">
        <v>139</v>
      </c>
      <c r="C4" s="39" t="s">
        <v>205</v>
      </c>
      <c r="D4" s="37"/>
      <c r="E4" s="39" t="s">
        <v>93</v>
      </c>
      <c r="F4" s="95" t="s">
        <v>94</v>
      </c>
      <c r="G4" s="37" t="s">
        <v>195</v>
      </c>
      <c r="H4" s="33"/>
      <c r="I4" s="33" t="s">
        <v>26</v>
      </c>
      <c r="J4" s="33"/>
      <c r="K4" s="33" t="s">
        <v>26</v>
      </c>
      <c r="L4" s="32"/>
      <c r="M4" s="33"/>
      <c r="N4" s="32"/>
      <c r="O4" s="36"/>
      <c r="P4" s="62" t="s">
        <v>26</v>
      </c>
      <c r="Q4" s="36"/>
      <c r="R4" s="36"/>
      <c r="S4" s="36"/>
      <c r="T4" s="36"/>
      <c r="U4" s="36"/>
      <c r="V4" s="34"/>
      <c r="W4" s="34"/>
      <c r="X4" s="34"/>
      <c r="Y4" s="34"/>
      <c r="Z4" s="34"/>
      <c r="AA4" s="34"/>
      <c r="AB4" s="68" t="s">
        <v>26</v>
      </c>
      <c r="AC4" s="68" t="s">
        <v>26</v>
      </c>
      <c r="AD4" s="68" t="s">
        <v>26</v>
      </c>
      <c r="AE4" s="34"/>
      <c r="AF4" s="34"/>
      <c r="AG4" s="34"/>
      <c r="AH4" s="34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  <c r="CP4" s="37"/>
      <c r="CQ4" s="37"/>
      <c r="CR4" s="37"/>
      <c r="CS4" s="37"/>
      <c r="CT4" s="37"/>
    </row>
    <row r="5" spans="1:98" x14ac:dyDescent="0.2">
      <c r="A5" s="69" t="s">
        <v>71</v>
      </c>
      <c r="B5" s="37" t="s">
        <v>139</v>
      </c>
      <c r="C5" s="39" t="s">
        <v>210</v>
      </c>
      <c r="D5" s="37"/>
      <c r="E5" s="37" t="s">
        <v>177</v>
      </c>
      <c r="F5" s="39"/>
      <c r="G5" s="37" t="s">
        <v>195</v>
      </c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4"/>
      <c r="X5" s="34"/>
      <c r="Y5" s="34"/>
      <c r="Z5" s="37"/>
      <c r="AA5" s="37"/>
      <c r="AB5" s="37"/>
      <c r="AC5" s="68" t="s">
        <v>104</v>
      </c>
      <c r="AD5" s="68" t="s">
        <v>104</v>
      </c>
      <c r="AE5" s="68" t="s">
        <v>104</v>
      </c>
      <c r="AF5" s="34"/>
      <c r="AG5" s="34"/>
      <c r="AH5" s="34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</row>
    <row r="6" spans="1:98" x14ac:dyDescent="0.2">
      <c r="A6" s="69" t="s">
        <v>71</v>
      </c>
      <c r="B6" s="37" t="s">
        <v>139</v>
      </c>
      <c r="C6" s="123" t="s">
        <v>211</v>
      </c>
      <c r="D6" s="37"/>
      <c r="E6" s="39" t="s">
        <v>165</v>
      </c>
      <c r="F6" s="39" t="s">
        <v>164</v>
      </c>
      <c r="G6" s="37" t="s">
        <v>195</v>
      </c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</row>
    <row r="7" spans="1:98" x14ac:dyDescent="0.2">
      <c r="A7" s="69"/>
      <c r="B7" s="37" t="s">
        <v>166</v>
      </c>
      <c r="C7" s="39" t="s">
        <v>208</v>
      </c>
      <c r="D7" s="37"/>
      <c r="E7" s="39" t="s">
        <v>623</v>
      </c>
      <c r="F7" s="39" t="s">
        <v>622</v>
      </c>
      <c r="G7" s="37" t="s">
        <v>195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</row>
    <row r="8" spans="1:98" x14ac:dyDescent="0.2">
      <c r="A8" s="69" t="s">
        <v>71</v>
      </c>
      <c r="B8" s="37" t="s">
        <v>166</v>
      </c>
      <c r="C8" s="39" t="s">
        <v>204</v>
      </c>
      <c r="D8" s="39"/>
      <c r="E8" s="39" t="s">
        <v>127</v>
      </c>
      <c r="F8" s="39" t="s">
        <v>128</v>
      </c>
      <c r="G8" s="78" t="s">
        <v>197</v>
      </c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4"/>
      <c r="X8" s="34"/>
      <c r="Y8" s="34"/>
      <c r="Z8" s="34"/>
      <c r="AA8" s="61" t="s">
        <v>32</v>
      </c>
      <c r="AB8" s="61" t="s">
        <v>32</v>
      </c>
      <c r="AC8" s="61" t="s">
        <v>32</v>
      </c>
      <c r="AD8" s="34"/>
      <c r="AE8" s="34"/>
      <c r="AF8" s="34"/>
      <c r="AG8" s="34"/>
      <c r="AH8" s="34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</row>
    <row r="9" spans="1:98" x14ac:dyDescent="0.2">
      <c r="A9" s="69" t="s">
        <v>71</v>
      </c>
      <c r="B9" s="37" t="s">
        <v>166</v>
      </c>
      <c r="C9" s="39" t="s">
        <v>208</v>
      </c>
      <c r="D9" s="39"/>
      <c r="E9" s="39" t="s">
        <v>130</v>
      </c>
      <c r="F9" s="39" t="s">
        <v>131</v>
      </c>
      <c r="G9" s="78" t="s">
        <v>197</v>
      </c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4"/>
      <c r="X9" s="34"/>
      <c r="Y9" s="34"/>
      <c r="Z9" s="34"/>
      <c r="AA9" s="34"/>
      <c r="AB9" s="34"/>
      <c r="AC9" s="34"/>
      <c r="AD9" s="61" t="s">
        <v>32</v>
      </c>
      <c r="AE9" s="61" t="s">
        <v>32</v>
      </c>
      <c r="AF9" s="61" t="s">
        <v>32</v>
      </c>
      <c r="AG9" s="34"/>
      <c r="AH9" s="34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</row>
    <row r="10" spans="1:98" x14ac:dyDescent="0.2">
      <c r="A10" s="69" t="s">
        <v>71</v>
      </c>
      <c r="B10" s="37" t="s">
        <v>139</v>
      </c>
      <c r="C10" s="39" t="s">
        <v>205</v>
      </c>
      <c r="D10" s="37"/>
      <c r="E10" s="39" t="s">
        <v>176</v>
      </c>
      <c r="F10" s="39" t="s">
        <v>126</v>
      </c>
      <c r="G10" s="78" t="s">
        <v>197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4"/>
      <c r="X10" s="34"/>
      <c r="Y10" s="34"/>
      <c r="Z10" s="37"/>
      <c r="AA10" s="37"/>
      <c r="AB10" s="37"/>
      <c r="AC10" s="68" t="s">
        <v>104</v>
      </c>
      <c r="AD10" s="68" t="s">
        <v>104</v>
      </c>
      <c r="AE10" s="68" t="s">
        <v>104</v>
      </c>
      <c r="AF10" s="34"/>
      <c r="AG10" s="34"/>
      <c r="AH10" s="34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</row>
    <row r="11" spans="1:98" x14ac:dyDescent="0.2">
      <c r="A11" s="69" t="s">
        <v>71</v>
      </c>
      <c r="B11" s="37" t="s">
        <v>166</v>
      </c>
      <c r="C11" s="39" t="s">
        <v>209</v>
      </c>
      <c r="D11" s="39"/>
      <c r="E11" s="39" t="s">
        <v>124</v>
      </c>
      <c r="F11" s="39" t="s">
        <v>125</v>
      </c>
      <c r="G11" s="78" t="s">
        <v>197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4"/>
      <c r="X11" s="34"/>
      <c r="Y11" s="61" t="s">
        <v>32</v>
      </c>
      <c r="Z11" s="37"/>
      <c r="AA11" s="37"/>
      <c r="AB11" s="34"/>
      <c r="AC11" s="61" t="s">
        <v>32</v>
      </c>
      <c r="AD11" s="61" t="s">
        <v>32</v>
      </c>
      <c r="AE11" s="34"/>
      <c r="AF11" s="34"/>
      <c r="AG11" s="34"/>
      <c r="AH11" s="34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  <c r="CS11" s="37"/>
      <c r="CT11" s="37"/>
    </row>
    <row r="12" spans="1:98" x14ac:dyDescent="0.2">
      <c r="A12" s="69" t="s">
        <v>71</v>
      </c>
      <c r="B12" s="37" t="s">
        <v>139</v>
      </c>
      <c r="C12" s="39" t="s">
        <v>210</v>
      </c>
      <c r="D12" s="37"/>
      <c r="E12" s="39" t="s">
        <v>178</v>
      </c>
      <c r="F12" s="39" t="s">
        <v>172</v>
      </c>
      <c r="G12" s="78" t="s">
        <v>197</v>
      </c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68" t="s">
        <v>104</v>
      </c>
      <c r="Z12" s="34"/>
      <c r="AA12" s="68" t="s">
        <v>104</v>
      </c>
      <c r="AB12" s="68" t="s">
        <v>104</v>
      </c>
      <c r="AC12" s="34"/>
      <c r="AD12" s="34"/>
      <c r="AE12" s="34"/>
      <c r="AF12" s="34"/>
      <c r="AG12" s="34"/>
      <c r="AH12" s="34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  <c r="CS12" s="37"/>
      <c r="CT12" s="37"/>
    </row>
    <row r="13" spans="1:98" x14ac:dyDescent="0.2">
      <c r="A13" s="69" t="s">
        <v>71</v>
      </c>
      <c r="B13" s="37" t="s">
        <v>166</v>
      </c>
      <c r="C13" s="39" t="s">
        <v>209</v>
      </c>
      <c r="D13" s="39"/>
      <c r="E13" s="39" t="s">
        <v>119</v>
      </c>
      <c r="F13" s="39" t="s">
        <v>120</v>
      </c>
      <c r="G13" s="78" t="s">
        <v>197</v>
      </c>
      <c r="H13" s="34"/>
      <c r="I13" s="37"/>
      <c r="J13" s="37"/>
      <c r="K13" s="34"/>
      <c r="L13" s="34"/>
      <c r="M13" s="61" t="s">
        <v>121</v>
      </c>
      <c r="N13" s="61" t="s">
        <v>121</v>
      </c>
      <c r="O13" s="37"/>
      <c r="P13" s="37"/>
      <c r="Q13" s="37"/>
      <c r="R13" s="37"/>
      <c r="S13" s="37"/>
      <c r="T13" s="37"/>
      <c r="U13" s="37"/>
      <c r="V13" s="37"/>
      <c r="W13" s="34"/>
      <c r="X13" s="34"/>
      <c r="Y13" s="34"/>
      <c r="Z13" s="34"/>
      <c r="AA13" s="34"/>
      <c r="AB13" s="37"/>
      <c r="AC13" s="37"/>
      <c r="AD13" s="34"/>
      <c r="AE13" s="34"/>
      <c r="AF13" s="34"/>
      <c r="AG13" s="61" t="s">
        <v>121</v>
      </c>
      <c r="AH13" s="61" t="s">
        <v>121</v>
      </c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  <c r="CS13" s="37"/>
      <c r="CT13" s="37"/>
    </row>
    <row r="14" spans="1:98" x14ac:dyDescent="0.2">
      <c r="A14" s="69" t="s">
        <v>71</v>
      </c>
      <c r="B14" s="37" t="s">
        <v>166</v>
      </c>
      <c r="C14" s="39" t="s">
        <v>208</v>
      </c>
      <c r="D14" s="39"/>
      <c r="E14" s="39" t="s">
        <v>174</v>
      </c>
      <c r="F14" s="39" t="s">
        <v>173</v>
      </c>
      <c r="G14" s="78" t="s">
        <v>197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  <c r="CS14" s="37"/>
      <c r="CT14" s="37"/>
    </row>
    <row r="15" spans="1:98" s="31" customFormat="1" x14ac:dyDescent="0.2">
      <c r="A15" s="69" t="s">
        <v>71</v>
      </c>
      <c r="B15" s="37" t="s">
        <v>166</v>
      </c>
      <c r="C15" s="39" t="s">
        <v>209</v>
      </c>
      <c r="D15" s="39"/>
      <c r="E15" s="39" t="s">
        <v>122</v>
      </c>
      <c r="F15" s="39" t="s">
        <v>175</v>
      </c>
      <c r="G15" s="37" t="s">
        <v>198</v>
      </c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4"/>
      <c r="X15" s="61" t="s">
        <v>39</v>
      </c>
      <c r="Y15" s="61" t="s">
        <v>39</v>
      </c>
      <c r="Z15" s="61" t="s">
        <v>39</v>
      </c>
      <c r="AA15" s="61" t="s">
        <v>39</v>
      </c>
      <c r="AB15" s="34"/>
      <c r="AC15" s="34"/>
      <c r="AD15" s="34"/>
      <c r="AE15" s="34"/>
      <c r="AF15" s="34"/>
      <c r="AG15" s="34"/>
      <c r="AH15" s="34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</row>
    <row r="16" spans="1:98" s="31" customFormat="1" x14ac:dyDescent="0.2">
      <c r="A16" s="69" t="s">
        <v>71</v>
      </c>
      <c r="B16" s="37" t="s">
        <v>139</v>
      </c>
      <c r="C16" s="39" t="s">
        <v>210</v>
      </c>
      <c r="D16" s="37"/>
      <c r="E16" s="39" t="s">
        <v>179</v>
      </c>
      <c r="F16" s="39" t="s">
        <v>194</v>
      </c>
      <c r="G16" s="37" t="s">
        <v>198</v>
      </c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4"/>
      <c r="X16" s="34"/>
      <c r="Y16" s="34"/>
      <c r="Z16" s="68" t="s">
        <v>39</v>
      </c>
      <c r="AA16" s="68" t="s">
        <v>39</v>
      </c>
      <c r="AB16" s="68" t="s">
        <v>39</v>
      </c>
      <c r="AC16" s="68" t="s">
        <v>39</v>
      </c>
      <c r="AD16" s="34"/>
      <c r="AE16" s="34"/>
      <c r="AF16" s="34"/>
      <c r="AG16" s="34"/>
      <c r="AH16" s="34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7"/>
      <c r="CO16" s="57"/>
      <c r="CP16" s="57"/>
      <c r="CQ16" s="57"/>
      <c r="CR16" s="57"/>
      <c r="CS16" s="57"/>
      <c r="CT16" s="57"/>
    </row>
    <row r="17" spans="1:98" x14ac:dyDescent="0.2">
      <c r="A17" s="69" t="s">
        <v>71</v>
      </c>
      <c r="B17" s="37" t="s">
        <v>166</v>
      </c>
      <c r="C17" s="39" t="s">
        <v>209</v>
      </c>
      <c r="D17" s="37" t="s">
        <v>207</v>
      </c>
      <c r="E17" s="39" t="s">
        <v>193</v>
      </c>
      <c r="F17" s="39" t="s">
        <v>192</v>
      </c>
      <c r="G17" s="37" t="s">
        <v>198</v>
      </c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61" t="s">
        <v>104</v>
      </c>
      <c r="AB17" s="61" t="s">
        <v>104</v>
      </c>
      <c r="AC17" s="61" t="s">
        <v>104</v>
      </c>
      <c r="AD17" s="61" t="s">
        <v>104</v>
      </c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</row>
    <row r="18" spans="1:98" x14ac:dyDescent="0.2">
      <c r="A18" s="69" t="s">
        <v>71</v>
      </c>
      <c r="B18" s="37" t="s">
        <v>168</v>
      </c>
      <c r="C18" s="39" t="s">
        <v>207</v>
      </c>
      <c r="D18" s="37"/>
      <c r="E18" s="39" t="s">
        <v>162</v>
      </c>
      <c r="F18" s="39" t="s">
        <v>203</v>
      </c>
      <c r="G18" s="37" t="s">
        <v>196</v>
      </c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4"/>
      <c r="X18" s="34"/>
      <c r="Y18" s="34"/>
      <c r="Z18" s="34"/>
      <c r="AA18" s="80" t="s">
        <v>104</v>
      </c>
      <c r="AB18" s="80" t="s">
        <v>104</v>
      </c>
      <c r="AC18" s="80" t="s">
        <v>104</v>
      </c>
      <c r="AD18" s="80" t="s">
        <v>104</v>
      </c>
      <c r="AE18" s="34"/>
      <c r="AF18" s="34"/>
      <c r="AG18" s="34"/>
      <c r="AH18" s="34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</row>
    <row r="19" spans="1:98" x14ac:dyDescent="0.2">
      <c r="A19" s="69" t="s">
        <v>71</v>
      </c>
      <c r="B19" s="37" t="s">
        <v>166</v>
      </c>
      <c r="C19" s="39" t="s">
        <v>204</v>
      </c>
      <c r="D19" s="39"/>
      <c r="E19" s="39" t="s">
        <v>116</v>
      </c>
      <c r="F19" s="39" t="s">
        <v>117</v>
      </c>
      <c r="G19" s="37" t="s">
        <v>196</v>
      </c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6" t="s">
        <v>32</v>
      </c>
      <c r="V19" s="61" t="s">
        <v>32</v>
      </c>
      <c r="W19" s="61" t="s">
        <v>32</v>
      </c>
      <c r="X19" s="61" t="s">
        <v>32</v>
      </c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</row>
    <row r="20" spans="1:98" x14ac:dyDescent="0.2">
      <c r="A20" s="69" t="s">
        <v>71</v>
      </c>
      <c r="B20" s="37" t="s">
        <v>166</v>
      </c>
      <c r="C20" s="39" t="s">
        <v>204</v>
      </c>
      <c r="D20" s="39"/>
      <c r="E20" s="39" t="s">
        <v>97</v>
      </c>
      <c r="F20" s="39" t="s">
        <v>98</v>
      </c>
      <c r="G20" s="37" t="s">
        <v>196</v>
      </c>
      <c r="H20" s="33"/>
      <c r="I20" s="33" t="s">
        <v>32</v>
      </c>
      <c r="J20" s="33" t="s">
        <v>32</v>
      </c>
      <c r="K20" s="33" t="s">
        <v>32</v>
      </c>
      <c r="L20" s="33" t="s">
        <v>32</v>
      </c>
      <c r="M20" s="33" t="s">
        <v>32</v>
      </c>
      <c r="N20" s="33" t="s">
        <v>32</v>
      </c>
      <c r="O20" s="36" t="s">
        <v>32</v>
      </c>
      <c r="P20" s="36" t="s">
        <v>32</v>
      </c>
      <c r="Q20" s="36" t="s">
        <v>32</v>
      </c>
      <c r="R20" s="36" t="s">
        <v>32</v>
      </c>
      <c r="S20" s="36" t="s">
        <v>32</v>
      </c>
      <c r="T20" s="36" t="s">
        <v>32</v>
      </c>
      <c r="U20" s="36" t="s">
        <v>32</v>
      </c>
      <c r="V20" s="61" t="s">
        <v>32</v>
      </c>
      <c r="W20" s="61" t="s">
        <v>32</v>
      </c>
      <c r="X20" s="61" t="s">
        <v>32</v>
      </c>
      <c r="Y20" s="61" t="s">
        <v>32</v>
      </c>
      <c r="Z20" s="61" t="s">
        <v>32</v>
      </c>
      <c r="AA20" s="61" t="s">
        <v>32</v>
      </c>
      <c r="AB20" s="61" t="s">
        <v>32</v>
      </c>
      <c r="AC20" s="61" t="s">
        <v>32</v>
      </c>
      <c r="AD20" s="61" t="s">
        <v>32</v>
      </c>
      <c r="AE20" s="61" t="s">
        <v>32</v>
      </c>
      <c r="AF20" s="61" t="s">
        <v>32</v>
      </c>
      <c r="AG20" s="34"/>
      <c r="AH20" s="34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</row>
    <row r="21" spans="1:98" x14ac:dyDescent="0.2">
      <c r="A21" s="69" t="s">
        <v>71</v>
      </c>
      <c r="B21" s="37" t="s">
        <v>166</v>
      </c>
      <c r="C21" s="39" t="s">
        <v>209</v>
      </c>
      <c r="D21" s="39"/>
      <c r="E21" s="39" t="s">
        <v>114</v>
      </c>
      <c r="F21" s="39" t="s">
        <v>115</v>
      </c>
      <c r="G21" s="37" t="s">
        <v>196</v>
      </c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8"/>
      <c r="V21" s="61" t="s">
        <v>32</v>
      </c>
      <c r="W21" s="61" t="s">
        <v>32</v>
      </c>
      <c r="X21" s="61" t="s">
        <v>32</v>
      </c>
      <c r="Y21" s="61" t="s">
        <v>32</v>
      </c>
      <c r="Z21" s="61" t="s">
        <v>32</v>
      </c>
      <c r="AA21" s="61" t="s">
        <v>32</v>
      </c>
      <c r="AB21" s="34"/>
      <c r="AC21" s="34"/>
      <c r="AD21" s="34"/>
      <c r="AE21" s="34"/>
      <c r="AF21" s="34"/>
      <c r="AG21" s="34"/>
      <c r="AH21" s="34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</row>
    <row r="22" spans="1:98" x14ac:dyDescent="0.2">
      <c r="A22" s="69" t="s">
        <v>71</v>
      </c>
      <c r="B22" s="37" t="s">
        <v>166</v>
      </c>
      <c r="C22" s="39" t="s">
        <v>209</v>
      </c>
      <c r="D22" s="39"/>
      <c r="E22" s="96" t="s">
        <v>242</v>
      </c>
      <c r="F22" s="93" t="s">
        <v>118</v>
      </c>
      <c r="G22" s="37" t="s">
        <v>196</v>
      </c>
      <c r="H22" s="64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61" t="s">
        <v>104</v>
      </c>
      <c r="X22" s="61" t="s">
        <v>104</v>
      </c>
      <c r="Y22" s="61" t="s">
        <v>104</v>
      </c>
      <c r="Z22" s="61" t="s">
        <v>104</v>
      </c>
      <c r="AA22" s="61" t="s">
        <v>104</v>
      </c>
      <c r="AB22" s="34"/>
      <c r="AC22" s="34"/>
      <c r="AD22" s="34"/>
      <c r="AE22" s="34"/>
      <c r="AF22" s="34"/>
      <c r="AG22" s="34"/>
      <c r="AH22" s="34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</row>
    <row r="23" spans="1:98" x14ac:dyDescent="0.2">
      <c r="A23" s="69" t="s">
        <v>71</v>
      </c>
      <c r="B23" s="37" t="s">
        <v>166</v>
      </c>
      <c r="C23" s="39" t="s">
        <v>209</v>
      </c>
      <c r="D23" s="39"/>
      <c r="E23" s="39" t="s">
        <v>243</v>
      </c>
      <c r="F23" s="39" t="s">
        <v>171</v>
      </c>
      <c r="G23" s="37" t="s">
        <v>196</v>
      </c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4"/>
      <c r="X23" s="34"/>
      <c r="Y23" s="61" t="s">
        <v>123</v>
      </c>
      <c r="Z23" s="61" t="s">
        <v>123</v>
      </c>
      <c r="AA23" s="61" t="s">
        <v>123</v>
      </c>
      <c r="AB23" s="34"/>
      <c r="AC23" s="34"/>
      <c r="AD23" s="34"/>
      <c r="AE23" s="34"/>
      <c r="AF23" s="34"/>
      <c r="AG23" s="34"/>
      <c r="AH23" s="34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</row>
    <row r="24" spans="1:98" x14ac:dyDescent="0.2">
      <c r="A24" s="69" t="s">
        <v>71</v>
      </c>
      <c r="B24" s="97" t="s">
        <v>167</v>
      </c>
      <c r="C24" s="39" t="s">
        <v>208</v>
      </c>
      <c r="D24" s="37" t="s">
        <v>211</v>
      </c>
      <c r="E24" s="98" t="s">
        <v>105</v>
      </c>
      <c r="F24" s="39" t="s">
        <v>106</v>
      </c>
      <c r="G24" s="37" t="s">
        <v>196</v>
      </c>
      <c r="H24" s="32"/>
      <c r="I24" s="32"/>
      <c r="J24" s="32"/>
      <c r="K24" s="32"/>
      <c r="L24" s="32"/>
      <c r="M24" s="32"/>
      <c r="N24" s="32"/>
      <c r="O24" s="36" t="s">
        <v>104</v>
      </c>
      <c r="P24" s="36" t="s">
        <v>104</v>
      </c>
      <c r="Q24" s="36" t="s">
        <v>104</v>
      </c>
      <c r="R24" s="36" t="s">
        <v>104</v>
      </c>
      <c r="S24" s="36" t="s">
        <v>104</v>
      </c>
      <c r="T24" s="36" t="s">
        <v>104</v>
      </c>
      <c r="U24" s="36" t="s">
        <v>104</v>
      </c>
      <c r="V24" s="59" t="s">
        <v>104</v>
      </c>
      <c r="W24" s="59" t="s">
        <v>104</v>
      </c>
      <c r="X24" s="59" t="s">
        <v>104</v>
      </c>
      <c r="Y24" s="59" t="s">
        <v>104</v>
      </c>
      <c r="Z24" s="80" t="s">
        <v>104</v>
      </c>
      <c r="AA24" s="80" t="s">
        <v>104</v>
      </c>
      <c r="AB24" s="80" t="s">
        <v>104</v>
      </c>
      <c r="AC24" s="80" t="s">
        <v>104</v>
      </c>
      <c r="AD24" s="80" t="s">
        <v>104</v>
      </c>
      <c r="AE24" s="80" t="s">
        <v>104</v>
      </c>
      <c r="AF24" s="80" t="s">
        <v>104</v>
      </c>
      <c r="AG24" s="34"/>
      <c r="AH24" s="34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</row>
    <row r="25" spans="1:98" x14ac:dyDescent="0.2">
      <c r="A25" s="69" t="s">
        <v>71</v>
      </c>
      <c r="B25" s="37" t="s">
        <v>166</v>
      </c>
      <c r="C25" s="39" t="s">
        <v>204</v>
      </c>
      <c r="D25" s="39"/>
      <c r="E25" s="39" t="s">
        <v>108</v>
      </c>
      <c r="F25" s="39" t="s">
        <v>109</v>
      </c>
      <c r="G25" s="37" t="s">
        <v>199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6" t="s">
        <v>110</v>
      </c>
      <c r="U25" s="62" t="s">
        <v>110</v>
      </c>
      <c r="V25" s="63" t="s">
        <v>110</v>
      </c>
      <c r="W25" s="63" t="s">
        <v>110</v>
      </c>
      <c r="X25" s="63" t="s">
        <v>110</v>
      </c>
      <c r="Y25" s="63" t="s">
        <v>110</v>
      </c>
      <c r="Z25" s="63" t="s">
        <v>110</v>
      </c>
      <c r="AA25" s="63" t="s">
        <v>110</v>
      </c>
      <c r="AB25" s="34"/>
      <c r="AC25" s="34"/>
      <c r="AD25" s="34"/>
      <c r="AE25" s="34"/>
      <c r="AF25" s="34"/>
      <c r="AG25" s="34"/>
      <c r="AH25" s="34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  <c r="CJ25" s="37"/>
      <c r="CK25" s="37"/>
      <c r="CL25" s="37"/>
      <c r="CM25" s="37"/>
      <c r="CN25" s="37"/>
      <c r="CO25" s="37"/>
      <c r="CP25" s="37"/>
      <c r="CQ25" s="37"/>
      <c r="CR25" s="37"/>
      <c r="CS25" s="37"/>
      <c r="CT25" s="37"/>
    </row>
    <row r="26" spans="1:98" x14ac:dyDescent="0.2">
      <c r="A26" s="69" t="s">
        <v>71</v>
      </c>
      <c r="B26" s="37" t="s">
        <v>166</v>
      </c>
      <c r="C26" s="39" t="s">
        <v>204</v>
      </c>
      <c r="D26" s="39"/>
      <c r="E26" s="39" t="s">
        <v>111</v>
      </c>
      <c r="F26" s="39" t="s">
        <v>112</v>
      </c>
      <c r="G26" s="37" t="s">
        <v>224</v>
      </c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8"/>
      <c r="U26" s="36" t="s">
        <v>32</v>
      </c>
      <c r="V26" s="37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  <c r="CS26" s="37"/>
      <c r="CT26" s="37"/>
    </row>
    <row r="27" spans="1:98" x14ac:dyDescent="0.2">
      <c r="A27" s="69" t="s">
        <v>71</v>
      </c>
      <c r="B27" s="37" t="s">
        <v>166</v>
      </c>
      <c r="C27" s="39" t="s">
        <v>208</v>
      </c>
      <c r="D27" s="39"/>
      <c r="E27" s="39" t="s">
        <v>129</v>
      </c>
      <c r="F27" s="39" t="s">
        <v>215</v>
      </c>
      <c r="G27" s="37" t="s">
        <v>224</v>
      </c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4"/>
      <c r="X27" s="34"/>
      <c r="Y27" s="34"/>
      <c r="Z27" s="61" t="s">
        <v>225</v>
      </c>
      <c r="AA27" s="34"/>
      <c r="AB27" s="37"/>
      <c r="AC27" s="37"/>
      <c r="AD27" s="34"/>
      <c r="AE27" s="34"/>
      <c r="AF27" s="34"/>
      <c r="AG27" s="34"/>
      <c r="AH27" s="34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37"/>
      <c r="CI27" s="37"/>
      <c r="CJ27" s="37"/>
      <c r="CK27" s="37"/>
      <c r="CL27" s="37"/>
      <c r="CM27" s="37"/>
      <c r="CN27" s="37"/>
      <c r="CO27" s="37"/>
      <c r="CP27" s="37"/>
      <c r="CQ27" s="37"/>
      <c r="CR27" s="37"/>
      <c r="CS27" s="37"/>
      <c r="CT27" s="37"/>
    </row>
    <row r="28" spans="1:98" x14ac:dyDescent="0.2">
      <c r="A28" s="69" t="s">
        <v>71</v>
      </c>
      <c r="B28" s="37" t="s">
        <v>139</v>
      </c>
      <c r="C28" s="39" t="s">
        <v>211</v>
      </c>
      <c r="D28" s="37"/>
      <c r="E28" s="37" t="s">
        <v>72</v>
      </c>
      <c r="F28" s="39" t="s">
        <v>73</v>
      </c>
      <c r="G28" s="37" t="s">
        <v>201</v>
      </c>
      <c r="H28" s="33" t="s">
        <v>18</v>
      </c>
      <c r="I28" s="33" t="s">
        <v>18</v>
      </c>
      <c r="J28" s="33" t="s">
        <v>18</v>
      </c>
      <c r="K28" s="33" t="s">
        <v>18</v>
      </c>
      <c r="L28" s="33" t="s">
        <v>18</v>
      </c>
      <c r="M28" s="33"/>
      <c r="N28" s="32"/>
      <c r="O28" s="36"/>
      <c r="P28" s="36"/>
      <c r="Q28" s="36"/>
      <c r="R28" s="36"/>
      <c r="S28" s="36"/>
      <c r="T28" s="36"/>
      <c r="U28" s="36"/>
      <c r="V28" s="34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37"/>
      <c r="CI28" s="37"/>
      <c r="CJ28" s="37"/>
      <c r="CK28" s="37"/>
      <c r="CL28" s="37"/>
      <c r="CM28" s="37"/>
      <c r="CN28" s="37"/>
      <c r="CO28" s="37"/>
      <c r="CP28" s="37"/>
      <c r="CQ28" s="37"/>
      <c r="CR28" s="37"/>
      <c r="CS28" s="37"/>
      <c r="CT28" s="37"/>
    </row>
    <row r="29" spans="1:98" x14ac:dyDescent="0.2">
      <c r="A29" s="69" t="s">
        <v>71</v>
      </c>
      <c r="B29" s="37" t="s">
        <v>139</v>
      </c>
      <c r="C29" s="39" t="s">
        <v>211</v>
      </c>
      <c r="D29" s="37"/>
      <c r="E29" s="37" t="s">
        <v>74</v>
      </c>
      <c r="F29" s="39" t="s">
        <v>75</v>
      </c>
      <c r="G29" s="37" t="s">
        <v>201</v>
      </c>
      <c r="H29" s="33" t="s">
        <v>18</v>
      </c>
      <c r="I29" s="33" t="s">
        <v>18</v>
      </c>
      <c r="J29" s="33" t="s">
        <v>18</v>
      </c>
      <c r="K29" s="33" t="s">
        <v>18</v>
      </c>
      <c r="L29" s="33" t="s">
        <v>18</v>
      </c>
      <c r="M29" s="66" t="s">
        <v>18</v>
      </c>
      <c r="N29" s="33" t="s">
        <v>18</v>
      </c>
      <c r="O29" s="36"/>
      <c r="P29" s="36"/>
      <c r="Q29" s="36"/>
      <c r="R29" s="36"/>
      <c r="S29" s="36"/>
      <c r="T29" s="36"/>
      <c r="U29" s="36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37"/>
      <c r="CI29" s="37"/>
      <c r="CJ29" s="37"/>
      <c r="CK29" s="37"/>
      <c r="CL29" s="37"/>
      <c r="CM29" s="37"/>
      <c r="CN29" s="37"/>
      <c r="CO29" s="37"/>
      <c r="CP29" s="37"/>
      <c r="CQ29" s="37"/>
      <c r="CR29" s="37"/>
      <c r="CS29" s="37"/>
      <c r="CT29" s="37"/>
    </row>
    <row r="30" spans="1:98" x14ac:dyDescent="0.2">
      <c r="A30" s="69" t="s">
        <v>71</v>
      </c>
      <c r="B30" s="37" t="s">
        <v>139</v>
      </c>
      <c r="C30" s="39" t="s">
        <v>211</v>
      </c>
      <c r="D30" s="37"/>
      <c r="E30" s="37" t="s">
        <v>76</v>
      </c>
      <c r="F30" s="39" t="s">
        <v>77</v>
      </c>
      <c r="G30" s="37" t="s">
        <v>201</v>
      </c>
      <c r="H30" s="33"/>
      <c r="I30" s="33" t="s">
        <v>18</v>
      </c>
      <c r="J30" s="33" t="s">
        <v>18</v>
      </c>
      <c r="K30" s="33" t="s">
        <v>18</v>
      </c>
      <c r="L30" s="33" t="s">
        <v>18</v>
      </c>
      <c r="M30" s="33"/>
      <c r="N30" s="32"/>
      <c r="O30" s="36"/>
      <c r="P30" s="36"/>
      <c r="Q30" s="36"/>
      <c r="R30" s="36"/>
      <c r="S30" s="36"/>
      <c r="T30" s="36"/>
      <c r="U30" s="36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37"/>
      <c r="CI30" s="37"/>
      <c r="CJ30" s="37"/>
      <c r="CK30" s="37"/>
      <c r="CL30" s="37"/>
      <c r="CM30" s="37"/>
      <c r="CN30" s="37"/>
      <c r="CO30" s="37"/>
      <c r="CP30" s="37"/>
      <c r="CQ30" s="37"/>
      <c r="CR30" s="37"/>
      <c r="CS30" s="37"/>
      <c r="CT30" s="37"/>
    </row>
    <row r="31" spans="1:98" x14ac:dyDescent="0.2">
      <c r="A31" s="69" t="s">
        <v>71</v>
      </c>
      <c r="B31" s="37" t="s">
        <v>166</v>
      </c>
      <c r="C31" s="39" t="s">
        <v>206</v>
      </c>
      <c r="D31" s="39" t="s">
        <v>204</v>
      </c>
      <c r="E31" s="39" t="s">
        <v>217</v>
      </c>
      <c r="F31" s="39" t="s">
        <v>218</v>
      </c>
      <c r="G31" s="37" t="s">
        <v>201</v>
      </c>
      <c r="H31" s="33"/>
      <c r="I31" s="33"/>
      <c r="J31" s="33"/>
      <c r="K31" s="32"/>
      <c r="L31" s="32"/>
      <c r="M31" s="32"/>
      <c r="N31" s="32"/>
      <c r="O31" s="36"/>
      <c r="P31" s="36"/>
      <c r="Q31" s="36"/>
      <c r="R31" s="36"/>
      <c r="S31" s="36"/>
      <c r="T31" s="36"/>
      <c r="U31" s="36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37"/>
      <c r="CI31" s="37"/>
      <c r="CJ31" s="37"/>
      <c r="CK31" s="37"/>
      <c r="CL31" s="37"/>
      <c r="CM31" s="37"/>
      <c r="CN31" s="37"/>
      <c r="CO31" s="37"/>
      <c r="CP31" s="37"/>
      <c r="CQ31" s="37"/>
      <c r="CR31" s="37"/>
      <c r="CS31" s="37"/>
      <c r="CT31" s="37"/>
    </row>
    <row r="32" spans="1:98" x14ac:dyDescent="0.2">
      <c r="A32" s="75" t="s">
        <v>71</v>
      </c>
      <c r="B32" s="57" t="s">
        <v>168</v>
      </c>
      <c r="C32" s="39" t="s">
        <v>207</v>
      </c>
      <c r="D32" s="37"/>
      <c r="E32" s="93" t="s">
        <v>44</v>
      </c>
      <c r="F32" s="39" t="s">
        <v>103</v>
      </c>
      <c r="G32" s="37" t="s">
        <v>220</v>
      </c>
      <c r="H32" s="32"/>
      <c r="I32" s="32"/>
      <c r="J32" s="33" t="s">
        <v>45</v>
      </c>
      <c r="K32" s="67" t="s">
        <v>45</v>
      </c>
      <c r="L32" s="32"/>
      <c r="M32" s="32"/>
      <c r="N32" s="32"/>
      <c r="O32" s="36" t="s">
        <v>104</v>
      </c>
      <c r="P32" s="36"/>
      <c r="Q32" s="36"/>
      <c r="R32" s="36"/>
      <c r="S32" s="36"/>
      <c r="T32" s="36"/>
      <c r="U32" s="36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7"/>
      <c r="CL32" s="37"/>
      <c r="CM32" s="37"/>
      <c r="CN32" s="37"/>
      <c r="CO32" s="37"/>
      <c r="CP32" s="37"/>
      <c r="CQ32" s="37"/>
      <c r="CR32" s="37"/>
      <c r="CS32" s="37"/>
      <c r="CT32" s="37"/>
    </row>
    <row r="33" spans="1:98" x14ac:dyDescent="0.2">
      <c r="A33" s="69" t="s">
        <v>71</v>
      </c>
      <c r="B33" s="37" t="s">
        <v>139</v>
      </c>
      <c r="C33" s="123" t="s">
        <v>211</v>
      </c>
      <c r="D33" s="37"/>
      <c r="E33" s="39" t="s">
        <v>107</v>
      </c>
      <c r="F33" s="39" t="s">
        <v>191</v>
      </c>
      <c r="G33" s="37" t="s">
        <v>220</v>
      </c>
      <c r="H33" s="38"/>
      <c r="I33" s="38"/>
      <c r="J33" s="38"/>
      <c r="K33" s="38"/>
      <c r="L33" s="38"/>
      <c r="M33" s="38"/>
      <c r="N33" s="38"/>
      <c r="O33" s="38"/>
      <c r="P33" s="38"/>
      <c r="Q33" s="36" t="s">
        <v>26</v>
      </c>
      <c r="R33" s="36" t="s">
        <v>26</v>
      </c>
      <c r="S33" s="36" t="s">
        <v>26</v>
      </c>
      <c r="T33" s="62" t="s">
        <v>26</v>
      </c>
      <c r="U33" s="62" t="s">
        <v>26</v>
      </c>
      <c r="V33" s="60" t="s">
        <v>26</v>
      </c>
      <c r="W33" s="60" t="s">
        <v>26</v>
      </c>
      <c r="X33" s="60" t="s">
        <v>26</v>
      </c>
      <c r="Y33" s="68" t="s">
        <v>26</v>
      </c>
      <c r="Z33" s="34"/>
      <c r="AA33" s="34"/>
      <c r="AB33" s="34"/>
      <c r="AC33" s="34"/>
      <c r="AD33" s="34"/>
      <c r="AE33" s="34"/>
      <c r="AF33" s="34"/>
      <c r="AG33" s="34"/>
      <c r="AH33" s="34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37"/>
      <c r="CI33" s="37"/>
      <c r="CJ33" s="37"/>
      <c r="CK33" s="37"/>
      <c r="CL33" s="37"/>
      <c r="CM33" s="37"/>
      <c r="CN33" s="37"/>
      <c r="CO33" s="37"/>
      <c r="CP33" s="37"/>
      <c r="CQ33" s="37"/>
      <c r="CR33" s="37"/>
      <c r="CS33" s="37"/>
      <c r="CT33" s="37"/>
    </row>
    <row r="34" spans="1:98" x14ac:dyDescent="0.2">
      <c r="A34" s="69" t="s">
        <v>71</v>
      </c>
      <c r="B34" s="37" t="s">
        <v>168</v>
      </c>
      <c r="C34" s="39" t="s">
        <v>207</v>
      </c>
      <c r="D34" s="37"/>
      <c r="E34" s="39" t="s">
        <v>48</v>
      </c>
      <c r="F34" s="39" t="s">
        <v>219</v>
      </c>
      <c r="G34" s="37" t="s">
        <v>220</v>
      </c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  <c r="CE34" s="37"/>
      <c r="CF34" s="37"/>
      <c r="CG34" s="37"/>
      <c r="CH34" s="37"/>
      <c r="CI34" s="37"/>
      <c r="CJ34" s="37"/>
      <c r="CK34" s="37"/>
      <c r="CL34" s="37"/>
      <c r="CM34" s="37"/>
      <c r="CN34" s="37"/>
      <c r="CO34" s="37"/>
      <c r="CP34" s="37"/>
      <c r="CQ34" s="37"/>
      <c r="CR34" s="37"/>
      <c r="CS34" s="37"/>
      <c r="CT34" s="37"/>
    </row>
    <row r="35" spans="1:98" x14ac:dyDescent="0.2">
      <c r="A35" s="69" t="s">
        <v>71</v>
      </c>
      <c r="B35" s="37" t="s">
        <v>168</v>
      </c>
      <c r="C35" s="39" t="s">
        <v>207</v>
      </c>
      <c r="D35" s="37"/>
      <c r="E35" s="39" t="s">
        <v>221</v>
      </c>
      <c r="F35" s="39" t="s">
        <v>222</v>
      </c>
      <c r="G35" s="37" t="s">
        <v>214</v>
      </c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  <c r="CE35" s="37"/>
      <c r="CF35" s="37"/>
      <c r="CG35" s="37"/>
      <c r="CH35" s="37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</row>
    <row r="36" spans="1:98" x14ac:dyDescent="0.2">
      <c r="A36" s="69" t="s">
        <v>71</v>
      </c>
      <c r="B36" s="37" t="s">
        <v>166</v>
      </c>
      <c r="C36" s="39" t="s">
        <v>204</v>
      </c>
      <c r="D36" s="39"/>
      <c r="E36" s="37" t="s">
        <v>113</v>
      </c>
      <c r="F36" s="39"/>
      <c r="G36" s="37" t="s">
        <v>214</v>
      </c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6" t="s">
        <v>32</v>
      </c>
      <c r="V36" s="61" t="s">
        <v>32</v>
      </c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  <c r="CD36" s="37"/>
      <c r="CE36" s="37"/>
      <c r="CF36" s="37"/>
      <c r="CG36" s="37"/>
      <c r="CH36" s="37"/>
      <c r="CI36" s="37"/>
      <c r="CJ36" s="37"/>
      <c r="CK36" s="37"/>
      <c r="CL36" s="37"/>
      <c r="CM36" s="37"/>
      <c r="CN36" s="37"/>
      <c r="CO36" s="37"/>
      <c r="CP36" s="37"/>
      <c r="CQ36" s="37"/>
      <c r="CR36" s="37"/>
      <c r="CS36" s="37"/>
      <c r="CT36" s="37"/>
    </row>
    <row r="37" spans="1:98" x14ac:dyDescent="0.2">
      <c r="A37" s="75" t="s">
        <v>71</v>
      </c>
      <c r="B37" s="57" t="s">
        <v>166</v>
      </c>
      <c r="C37" s="39" t="s">
        <v>209</v>
      </c>
      <c r="D37" s="39"/>
      <c r="E37" s="93" t="s">
        <v>99</v>
      </c>
      <c r="F37" s="39" t="s">
        <v>100</v>
      </c>
      <c r="G37" s="37" t="s">
        <v>266</v>
      </c>
      <c r="H37" s="33"/>
      <c r="I37" s="33"/>
      <c r="J37" s="33" t="s">
        <v>39</v>
      </c>
      <c r="K37" s="33" t="s">
        <v>39</v>
      </c>
      <c r="L37" s="33"/>
      <c r="M37" s="33"/>
      <c r="N37" s="33"/>
      <c r="O37" s="36"/>
      <c r="P37" s="36"/>
      <c r="Q37" s="36"/>
      <c r="R37" s="36"/>
      <c r="S37" s="36"/>
      <c r="T37" s="36"/>
      <c r="U37" s="36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  <c r="CD37" s="37"/>
      <c r="CE37" s="37"/>
      <c r="CF37" s="37"/>
      <c r="CG37" s="37"/>
      <c r="CH37" s="37"/>
      <c r="CI37" s="37"/>
      <c r="CJ37" s="37"/>
      <c r="CK37" s="37"/>
      <c r="CL37" s="37"/>
      <c r="CM37" s="37"/>
      <c r="CN37" s="37"/>
      <c r="CO37" s="37"/>
      <c r="CP37" s="37"/>
      <c r="CQ37" s="37"/>
      <c r="CR37" s="37"/>
      <c r="CS37" s="37"/>
      <c r="CT37" s="37"/>
    </row>
    <row r="38" spans="1:98" x14ac:dyDescent="0.2">
      <c r="A38" s="69"/>
      <c r="B38" s="37" t="s">
        <v>168</v>
      </c>
      <c r="C38" s="39" t="s">
        <v>207</v>
      </c>
      <c r="D38" s="37"/>
      <c r="E38" s="39" t="s">
        <v>226</v>
      </c>
      <c r="F38" s="39" t="s">
        <v>230</v>
      </c>
      <c r="G38" s="37" t="s">
        <v>263</v>
      </c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37"/>
      <c r="CI38" s="37"/>
      <c r="CJ38" s="37"/>
      <c r="CK38" s="37"/>
      <c r="CL38" s="37"/>
      <c r="CM38" s="37"/>
      <c r="CN38" s="37"/>
      <c r="CO38" s="37"/>
      <c r="CP38" s="37"/>
      <c r="CQ38" s="37"/>
      <c r="CR38" s="37"/>
      <c r="CS38" s="37"/>
      <c r="CT38" s="37"/>
    </row>
    <row r="39" spans="1:98" x14ac:dyDescent="0.2">
      <c r="B39" s="37" t="s">
        <v>168</v>
      </c>
      <c r="C39" s="39" t="s">
        <v>207</v>
      </c>
      <c r="D39" s="37"/>
      <c r="E39" s="94" t="s">
        <v>227</v>
      </c>
      <c r="F39" s="39" t="s">
        <v>231</v>
      </c>
      <c r="G39" s="37" t="s">
        <v>263</v>
      </c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  <c r="CD39" s="37"/>
      <c r="CE39" s="37"/>
      <c r="CF39" s="37"/>
      <c r="CG39" s="37"/>
      <c r="CH39" s="37"/>
      <c r="CI39" s="37"/>
      <c r="CJ39" s="37"/>
      <c r="CK39" s="37"/>
      <c r="CL39" s="37"/>
      <c r="CM39" s="37"/>
      <c r="CN39" s="37"/>
      <c r="CO39" s="37"/>
      <c r="CP39" s="37"/>
      <c r="CQ39" s="37"/>
      <c r="CR39" s="37"/>
      <c r="CS39" s="37"/>
      <c r="CT39" s="37"/>
    </row>
    <row r="40" spans="1:98" x14ac:dyDescent="0.2">
      <c r="B40" s="37" t="s">
        <v>168</v>
      </c>
      <c r="C40" s="39" t="s">
        <v>207</v>
      </c>
      <c r="D40" s="37"/>
      <c r="E40" s="94" t="s">
        <v>229</v>
      </c>
      <c r="F40" s="39" t="s">
        <v>233</v>
      </c>
      <c r="G40" s="37" t="s">
        <v>263</v>
      </c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7"/>
      <c r="CB40" s="37"/>
      <c r="CC40" s="37"/>
      <c r="CD40" s="37"/>
      <c r="CE40" s="37"/>
      <c r="CF40" s="37"/>
      <c r="CG40" s="37"/>
      <c r="CH40" s="37"/>
      <c r="CI40" s="37"/>
      <c r="CJ40" s="37"/>
      <c r="CK40" s="37"/>
      <c r="CL40" s="37"/>
      <c r="CM40" s="37"/>
      <c r="CN40" s="37"/>
      <c r="CO40" s="37"/>
      <c r="CP40" s="37"/>
      <c r="CQ40" s="37"/>
      <c r="CR40" s="37"/>
      <c r="CS40" s="37"/>
      <c r="CT40" s="37"/>
    </row>
    <row r="41" spans="1:98" x14ac:dyDescent="0.2">
      <c r="B41" s="37" t="s">
        <v>168</v>
      </c>
      <c r="C41" s="39" t="s">
        <v>207</v>
      </c>
      <c r="D41" s="37"/>
      <c r="E41" s="94" t="s">
        <v>235</v>
      </c>
      <c r="F41" s="39" t="s">
        <v>237</v>
      </c>
      <c r="G41" s="37" t="s">
        <v>263</v>
      </c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  <c r="CE41" s="37"/>
      <c r="CF41" s="37"/>
      <c r="CG41" s="37"/>
      <c r="CH41" s="37"/>
      <c r="CI41" s="37"/>
      <c r="CJ41" s="37"/>
      <c r="CK41" s="37"/>
      <c r="CL41" s="37"/>
      <c r="CM41" s="37"/>
      <c r="CN41" s="37"/>
      <c r="CO41" s="37"/>
      <c r="CP41" s="37"/>
      <c r="CQ41" s="37"/>
      <c r="CR41" s="37"/>
      <c r="CS41" s="37"/>
      <c r="CT41" s="37"/>
    </row>
    <row r="42" spans="1:98" x14ac:dyDescent="0.2">
      <c r="B42" s="37" t="s">
        <v>168</v>
      </c>
      <c r="C42" s="39" t="s">
        <v>207</v>
      </c>
      <c r="D42" s="37"/>
      <c r="E42" s="94" t="s">
        <v>236</v>
      </c>
      <c r="F42" s="39" t="s">
        <v>238</v>
      </c>
      <c r="G42" s="37" t="s">
        <v>263</v>
      </c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37"/>
      <c r="CD42" s="37"/>
      <c r="CE42" s="37"/>
      <c r="CF42" s="37"/>
      <c r="CG42" s="37"/>
      <c r="CH42" s="37"/>
      <c r="CI42" s="37"/>
      <c r="CJ42" s="37"/>
      <c r="CK42" s="37"/>
      <c r="CL42" s="37"/>
      <c r="CM42" s="37"/>
      <c r="CN42" s="37"/>
      <c r="CO42" s="37"/>
      <c r="CP42" s="37"/>
      <c r="CQ42" s="37"/>
      <c r="CR42" s="37"/>
      <c r="CS42" s="37"/>
      <c r="CT42" s="37"/>
    </row>
    <row r="43" spans="1:98" x14ac:dyDescent="0.2">
      <c r="B43" s="37" t="s">
        <v>168</v>
      </c>
      <c r="C43" s="39" t="s">
        <v>207</v>
      </c>
      <c r="D43" s="37"/>
      <c r="E43" s="39" t="s">
        <v>145</v>
      </c>
      <c r="F43" s="39" t="s">
        <v>239</v>
      </c>
      <c r="G43" s="37" t="s">
        <v>263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37"/>
      <c r="CD43" s="37"/>
      <c r="CE43" s="37"/>
      <c r="CF43" s="37"/>
      <c r="CG43" s="37"/>
      <c r="CH43" s="37"/>
      <c r="CI43" s="37"/>
      <c r="CJ43" s="37"/>
      <c r="CK43" s="37"/>
      <c r="CL43" s="37"/>
      <c r="CM43" s="37"/>
      <c r="CN43" s="37"/>
      <c r="CO43" s="37"/>
      <c r="CP43" s="37"/>
      <c r="CQ43" s="37"/>
      <c r="CR43" s="37"/>
      <c r="CS43" s="37"/>
      <c r="CT43" s="37"/>
    </row>
    <row r="44" spans="1:98" x14ac:dyDescent="0.2">
      <c r="A44" t="s">
        <v>71</v>
      </c>
      <c r="B44" s="37" t="s">
        <v>139</v>
      </c>
      <c r="C44" s="39" t="s">
        <v>211</v>
      </c>
      <c r="D44" s="37"/>
      <c r="E44" s="95" t="s">
        <v>95</v>
      </c>
      <c r="F44" s="95" t="s">
        <v>96</v>
      </c>
      <c r="G44" s="37" t="s">
        <v>263</v>
      </c>
      <c r="H44" s="33"/>
      <c r="I44" s="33"/>
      <c r="J44" s="33"/>
      <c r="K44" s="33" t="s">
        <v>26</v>
      </c>
      <c r="L44" s="33"/>
      <c r="M44" s="33"/>
      <c r="N44" s="32"/>
      <c r="O44" s="36"/>
      <c r="P44" s="36"/>
      <c r="Q44" s="36" t="s">
        <v>26</v>
      </c>
      <c r="R44" s="36"/>
      <c r="S44" s="36"/>
      <c r="T44" s="36"/>
      <c r="U44" s="36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37"/>
      <c r="CI44" s="37"/>
      <c r="CJ44" s="37"/>
      <c r="CK44" s="37"/>
      <c r="CL44" s="37"/>
      <c r="CM44" s="37"/>
      <c r="CN44" s="37"/>
      <c r="CO44" s="37"/>
      <c r="CP44" s="37"/>
      <c r="CQ44" s="37"/>
      <c r="CR44" s="37"/>
      <c r="CS44" s="37"/>
      <c r="CT44" s="37"/>
    </row>
    <row r="45" spans="1:98" x14ac:dyDescent="0.2">
      <c r="B45" s="37" t="s">
        <v>166</v>
      </c>
      <c r="C45" s="123" t="s">
        <v>206</v>
      </c>
      <c r="D45" s="37"/>
      <c r="E45" s="39" t="s">
        <v>152</v>
      </c>
      <c r="F45" s="39" t="s">
        <v>234</v>
      </c>
      <c r="G45" s="37" t="s">
        <v>263</v>
      </c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7"/>
      <c r="BY45" s="37"/>
      <c r="BZ45" s="37"/>
      <c r="CA45" s="37"/>
      <c r="CB45" s="37"/>
      <c r="CC45" s="37"/>
      <c r="CD45" s="37"/>
      <c r="CE45" s="37"/>
      <c r="CF45" s="37"/>
      <c r="CG45" s="37"/>
      <c r="CH45" s="37"/>
      <c r="CI45" s="37"/>
      <c r="CJ45" s="37"/>
      <c r="CK45" s="37"/>
      <c r="CL45" s="37"/>
      <c r="CM45" s="37"/>
      <c r="CN45" s="37"/>
      <c r="CO45" s="37"/>
      <c r="CP45" s="37"/>
      <c r="CQ45" s="37"/>
      <c r="CR45" s="37"/>
      <c r="CS45" s="37"/>
      <c r="CT45" s="37"/>
    </row>
    <row r="46" spans="1:98" x14ac:dyDescent="0.2">
      <c r="B46" s="37" t="s">
        <v>166</v>
      </c>
      <c r="C46" s="39" t="s">
        <v>209</v>
      </c>
      <c r="D46" s="39"/>
      <c r="E46" s="94" t="s">
        <v>228</v>
      </c>
      <c r="F46" s="39" t="s">
        <v>232</v>
      </c>
      <c r="G46" s="37" t="s">
        <v>263</v>
      </c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37"/>
      <c r="CD46" s="37"/>
      <c r="CE46" s="37"/>
      <c r="CF46" s="37"/>
      <c r="CG46" s="37"/>
      <c r="CH46" s="37"/>
      <c r="CI46" s="37"/>
      <c r="CJ46" s="37"/>
      <c r="CK46" s="37"/>
      <c r="CL46" s="37"/>
      <c r="CM46" s="37"/>
      <c r="CN46" s="37"/>
      <c r="CO46" s="37"/>
      <c r="CP46" s="37"/>
      <c r="CQ46" s="37"/>
      <c r="CR46" s="37"/>
      <c r="CS46" s="37"/>
      <c r="CT46" s="37"/>
    </row>
    <row r="47" spans="1:98" x14ac:dyDescent="0.2"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37"/>
      <c r="CB47" s="37"/>
      <c r="CC47" s="37"/>
      <c r="CD47" s="37"/>
      <c r="CE47" s="37"/>
      <c r="CF47" s="37"/>
      <c r="CG47" s="37"/>
      <c r="CH47" s="37"/>
      <c r="CI47" s="37"/>
      <c r="CJ47" s="37"/>
      <c r="CK47" s="37"/>
      <c r="CL47" s="37"/>
      <c r="CM47" s="37"/>
      <c r="CN47" s="37"/>
      <c r="CO47" s="37"/>
      <c r="CP47" s="37"/>
      <c r="CQ47" s="37"/>
      <c r="CR47" s="37"/>
      <c r="CS47" s="37"/>
      <c r="CT47" s="37"/>
    </row>
    <row r="48" spans="1:98" x14ac:dyDescent="0.2"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37"/>
      <c r="CG48" s="37"/>
      <c r="CH48" s="37"/>
      <c r="CI48" s="37"/>
      <c r="CJ48" s="37"/>
      <c r="CK48" s="37"/>
      <c r="CL48" s="37"/>
      <c r="CM48" s="37"/>
      <c r="CN48" s="37"/>
      <c r="CO48" s="37"/>
      <c r="CP48" s="37"/>
      <c r="CQ48" s="37"/>
      <c r="CR48" s="37"/>
      <c r="CS48" s="37"/>
      <c r="CT48" s="37"/>
    </row>
    <row r="49" spans="2:98" x14ac:dyDescent="0.2"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37"/>
      <c r="CG49" s="37"/>
      <c r="CH49" s="37"/>
      <c r="CI49" s="37"/>
      <c r="CJ49" s="37"/>
      <c r="CK49" s="37"/>
      <c r="CL49" s="37"/>
      <c r="CM49" s="37"/>
      <c r="CN49" s="37"/>
      <c r="CO49" s="37"/>
      <c r="CP49" s="37"/>
      <c r="CQ49" s="37"/>
      <c r="CR49" s="37"/>
      <c r="CS49" s="37"/>
      <c r="CT49" s="37"/>
    </row>
    <row r="50" spans="2:98" x14ac:dyDescent="0.2"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  <c r="CE50" s="37"/>
      <c r="CF50" s="37"/>
      <c r="CG50" s="37"/>
      <c r="CH50" s="37"/>
      <c r="CI50" s="37"/>
      <c r="CJ50" s="37"/>
      <c r="CK50" s="37"/>
      <c r="CL50" s="37"/>
      <c r="CM50" s="37"/>
      <c r="CN50" s="37"/>
      <c r="CO50" s="37"/>
      <c r="CP50" s="37"/>
      <c r="CQ50" s="37"/>
      <c r="CR50" s="37"/>
      <c r="CS50" s="37"/>
      <c r="CT50" s="37"/>
    </row>
    <row r="51" spans="2:98" x14ac:dyDescent="0.2"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37"/>
      <c r="CG51" s="37"/>
      <c r="CH51" s="37"/>
      <c r="CI51" s="37"/>
      <c r="CJ51" s="37"/>
      <c r="CK51" s="37"/>
      <c r="CL51" s="37"/>
      <c r="CM51" s="37"/>
      <c r="CN51" s="37"/>
      <c r="CO51" s="37"/>
      <c r="CP51" s="37"/>
      <c r="CQ51" s="37"/>
      <c r="CR51" s="37"/>
      <c r="CS51" s="37"/>
      <c r="CT51" s="37"/>
    </row>
    <row r="52" spans="2:98" x14ac:dyDescent="0.2"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37"/>
      <c r="CG52" s="37"/>
      <c r="CH52" s="37"/>
      <c r="CI52" s="37"/>
      <c r="CJ52" s="37"/>
      <c r="CK52" s="37"/>
      <c r="CL52" s="37"/>
      <c r="CM52" s="37"/>
      <c r="CN52" s="37"/>
      <c r="CO52" s="37"/>
      <c r="CP52" s="37"/>
      <c r="CQ52" s="37"/>
      <c r="CR52" s="37"/>
      <c r="CS52" s="37"/>
      <c r="CT52" s="37"/>
    </row>
    <row r="53" spans="2:98" x14ac:dyDescent="0.2"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37"/>
      <c r="CI53" s="37"/>
      <c r="CJ53" s="37"/>
      <c r="CK53" s="37"/>
      <c r="CL53" s="37"/>
      <c r="CM53" s="37"/>
      <c r="CN53" s="37"/>
      <c r="CO53" s="37"/>
      <c r="CP53" s="37"/>
      <c r="CQ53" s="37"/>
      <c r="CR53" s="37"/>
      <c r="CS53" s="37"/>
      <c r="CT53" s="37"/>
    </row>
    <row r="54" spans="2:98" x14ac:dyDescent="0.2"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37"/>
      <c r="CI54" s="37"/>
      <c r="CJ54" s="37"/>
      <c r="CK54" s="37"/>
      <c r="CL54" s="37"/>
      <c r="CM54" s="37"/>
      <c r="CN54" s="37"/>
      <c r="CO54" s="37"/>
      <c r="CP54" s="37"/>
      <c r="CQ54" s="37"/>
      <c r="CR54" s="37"/>
      <c r="CS54" s="37"/>
      <c r="CT54" s="37"/>
    </row>
    <row r="55" spans="2:98" x14ac:dyDescent="0.2"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</row>
    <row r="56" spans="2:98" x14ac:dyDescent="0.2"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37"/>
      <c r="CI56" s="37"/>
      <c r="CJ56" s="37"/>
      <c r="CK56" s="37"/>
      <c r="CL56" s="37"/>
      <c r="CM56" s="37"/>
      <c r="CN56" s="37"/>
      <c r="CO56" s="37"/>
      <c r="CP56" s="37"/>
      <c r="CQ56" s="37"/>
      <c r="CR56" s="37"/>
      <c r="CS56" s="37"/>
      <c r="CT56" s="37"/>
    </row>
    <row r="57" spans="2:98" x14ac:dyDescent="0.2"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37"/>
      <c r="CG57" s="37"/>
      <c r="CH57" s="37"/>
      <c r="CI57" s="37"/>
      <c r="CJ57" s="37"/>
      <c r="CK57" s="37"/>
      <c r="CL57" s="37"/>
      <c r="CM57" s="37"/>
      <c r="CN57" s="37"/>
      <c r="CO57" s="37"/>
      <c r="CP57" s="37"/>
      <c r="CQ57" s="37"/>
      <c r="CR57" s="37"/>
      <c r="CS57" s="37"/>
      <c r="CT57" s="37"/>
    </row>
    <row r="58" spans="2:98" x14ac:dyDescent="0.2"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37"/>
      <c r="CG58" s="37"/>
      <c r="CH58" s="37"/>
      <c r="CI58" s="37"/>
      <c r="CJ58" s="37"/>
      <c r="CK58" s="37"/>
      <c r="CL58" s="37"/>
      <c r="CM58" s="37"/>
      <c r="CN58" s="37"/>
      <c r="CO58" s="37"/>
      <c r="CP58" s="37"/>
      <c r="CQ58" s="37"/>
      <c r="CR58" s="37"/>
      <c r="CS58" s="37"/>
      <c r="CT58" s="37"/>
    </row>
    <row r="59" spans="2:98" x14ac:dyDescent="0.2"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37"/>
      <c r="CI59" s="37"/>
      <c r="CJ59" s="37"/>
      <c r="CK59" s="37"/>
      <c r="CL59" s="37"/>
      <c r="CM59" s="37"/>
      <c r="CN59" s="37"/>
      <c r="CO59" s="37"/>
      <c r="CP59" s="37"/>
      <c r="CQ59" s="37"/>
      <c r="CR59" s="37"/>
      <c r="CS59" s="37"/>
      <c r="CT59" s="37"/>
    </row>
    <row r="60" spans="2:98" x14ac:dyDescent="0.2"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37"/>
      <c r="CG60" s="37"/>
      <c r="CH60" s="37"/>
      <c r="CI60" s="37"/>
      <c r="CJ60" s="37"/>
      <c r="CK60" s="37"/>
      <c r="CL60" s="37"/>
      <c r="CM60" s="37"/>
      <c r="CN60" s="37"/>
      <c r="CO60" s="37"/>
      <c r="CP60" s="37"/>
      <c r="CQ60" s="37"/>
      <c r="CR60" s="37"/>
      <c r="CS60" s="37"/>
      <c r="CT60" s="37"/>
    </row>
    <row r="61" spans="2:98" x14ac:dyDescent="0.2"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37"/>
      <c r="CG61" s="37"/>
      <c r="CH61" s="37"/>
      <c r="CI61" s="37"/>
      <c r="CJ61" s="37"/>
      <c r="CK61" s="37"/>
      <c r="CL61" s="37"/>
      <c r="CM61" s="37"/>
      <c r="CN61" s="37"/>
      <c r="CO61" s="37"/>
      <c r="CP61" s="37"/>
      <c r="CQ61" s="37"/>
      <c r="CR61" s="37"/>
      <c r="CS61" s="37"/>
      <c r="CT61" s="37"/>
    </row>
    <row r="62" spans="2:98" x14ac:dyDescent="0.2"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37"/>
      <c r="CI62" s="37"/>
      <c r="CJ62" s="37"/>
      <c r="CK62" s="37"/>
      <c r="CL62" s="37"/>
      <c r="CM62" s="37"/>
      <c r="CN62" s="37"/>
      <c r="CO62" s="37"/>
      <c r="CP62" s="37"/>
      <c r="CQ62" s="37"/>
      <c r="CR62" s="37"/>
      <c r="CS62" s="37"/>
      <c r="CT62" s="37"/>
    </row>
    <row r="63" spans="2:98" x14ac:dyDescent="0.2"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37"/>
      <c r="CG63" s="37"/>
      <c r="CH63" s="37"/>
      <c r="CI63" s="37"/>
      <c r="CJ63" s="37"/>
      <c r="CK63" s="37"/>
      <c r="CL63" s="37"/>
      <c r="CM63" s="37"/>
      <c r="CN63" s="37"/>
      <c r="CO63" s="37"/>
      <c r="CP63" s="37"/>
      <c r="CQ63" s="37"/>
      <c r="CR63" s="37"/>
      <c r="CS63" s="37"/>
      <c r="CT63" s="37"/>
    </row>
    <row r="64" spans="2:98" x14ac:dyDescent="0.2"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37"/>
      <c r="CG64" s="37"/>
      <c r="CH64" s="37"/>
      <c r="CI64" s="37"/>
      <c r="CJ64" s="37"/>
      <c r="CK64" s="37"/>
      <c r="CL64" s="37"/>
      <c r="CM64" s="37"/>
      <c r="CN64" s="37"/>
      <c r="CO64" s="37"/>
      <c r="CP64" s="37"/>
      <c r="CQ64" s="37"/>
      <c r="CR64" s="37"/>
      <c r="CS64" s="37"/>
      <c r="CT64" s="37"/>
    </row>
    <row r="65" spans="2:98" x14ac:dyDescent="0.2"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37"/>
      <c r="CI65" s="37"/>
      <c r="CJ65" s="37"/>
      <c r="CK65" s="37"/>
      <c r="CL65" s="37"/>
      <c r="CM65" s="37"/>
      <c r="CN65" s="37"/>
      <c r="CO65" s="37"/>
      <c r="CP65" s="37"/>
      <c r="CQ65" s="37"/>
      <c r="CR65" s="37"/>
      <c r="CS65" s="37"/>
      <c r="CT65" s="37"/>
    </row>
    <row r="66" spans="2:98" x14ac:dyDescent="0.2"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  <c r="CF66" s="37"/>
      <c r="CG66" s="37"/>
      <c r="CH66" s="37"/>
      <c r="CI66" s="37"/>
      <c r="CJ66" s="37"/>
      <c r="CK66" s="37"/>
      <c r="CL66" s="37"/>
      <c r="CM66" s="37"/>
      <c r="CN66" s="37"/>
      <c r="CO66" s="37"/>
      <c r="CP66" s="37"/>
      <c r="CQ66" s="37"/>
      <c r="CR66" s="37"/>
      <c r="CS66" s="37"/>
      <c r="CT66" s="37"/>
    </row>
    <row r="67" spans="2:98" x14ac:dyDescent="0.2"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  <c r="CF67" s="37"/>
      <c r="CG67" s="37"/>
      <c r="CH67" s="37"/>
      <c r="CI67" s="37"/>
      <c r="CJ67" s="37"/>
      <c r="CK67" s="37"/>
      <c r="CL67" s="37"/>
      <c r="CM67" s="37"/>
      <c r="CN67" s="37"/>
      <c r="CO67" s="37"/>
      <c r="CP67" s="37"/>
      <c r="CQ67" s="37"/>
      <c r="CR67" s="37"/>
      <c r="CS67" s="37"/>
      <c r="CT67" s="37"/>
    </row>
    <row r="68" spans="2:98" x14ac:dyDescent="0.2"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37"/>
      <c r="CI68" s="37"/>
      <c r="CJ68" s="37"/>
      <c r="CK68" s="37"/>
      <c r="CL68" s="37"/>
      <c r="CM68" s="37"/>
      <c r="CN68" s="37"/>
      <c r="CO68" s="37"/>
      <c r="CP68" s="37"/>
      <c r="CQ68" s="37"/>
      <c r="CR68" s="37"/>
      <c r="CS68" s="37"/>
      <c r="CT68" s="37"/>
    </row>
    <row r="69" spans="2:98" x14ac:dyDescent="0.2"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  <c r="CF69" s="37"/>
      <c r="CG69" s="37"/>
      <c r="CH69" s="37"/>
      <c r="CI69" s="37"/>
      <c r="CJ69" s="37"/>
      <c r="CK69" s="37"/>
      <c r="CL69" s="37"/>
      <c r="CM69" s="37"/>
      <c r="CN69" s="37"/>
      <c r="CO69" s="37"/>
      <c r="CP69" s="37"/>
      <c r="CQ69" s="37"/>
      <c r="CR69" s="37"/>
      <c r="CS69" s="37"/>
      <c r="CT69" s="37"/>
    </row>
    <row r="70" spans="2:98" x14ac:dyDescent="0.2"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  <c r="CF70" s="37"/>
      <c r="CG70" s="37"/>
      <c r="CH70" s="37"/>
      <c r="CI70" s="37"/>
      <c r="CJ70" s="37"/>
      <c r="CK70" s="37"/>
      <c r="CL70" s="37"/>
      <c r="CM70" s="37"/>
      <c r="CN70" s="37"/>
      <c r="CO70" s="37"/>
      <c r="CP70" s="37"/>
      <c r="CQ70" s="37"/>
      <c r="CR70" s="37"/>
      <c r="CS70" s="37"/>
      <c r="CT70" s="37"/>
    </row>
    <row r="71" spans="2:98" x14ac:dyDescent="0.2"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  <c r="CF71" s="37"/>
      <c r="CG71" s="37"/>
      <c r="CH71" s="37"/>
      <c r="CI71" s="37"/>
      <c r="CJ71" s="37"/>
      <c r="CK71" s="37"/>
      <c r="CL71" s="37"/>
      <c r="CM71" s="37"/>
      <c r="CN71" s="37"/>
      <c r="CO71" s="37"/>
      <c r="CP71" s="37"/>
      <c r="CQ71" s="37"/>
      <c r="CR71" s="37"/>
      <c r="CS71" s="37"/>
      <c r="CT71" s="37"/>
    </row>
    <row r="72" spans="2:98" x14ac:dyDescent="0.2"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37"/>
      <c r="CI72" s="37"/>
      <c r="CJ72" s="37"/>
      <c r="CK72" s="37"/>
      <c r="CL72" s="37"/>
      <c r="CM72" s="37"/>
      <c r="CN72" s="37"/>
      <c r="CO72" s="37"/>
      <c r="CP72" s="37"/>
      <c r="CQ72" s="37"/>
      <c r="CR72" s="37"/>
      <c r="CS72" s="37"/>
      <c r="CT72" s="37"/>
    </row>
    <row r="73" spans="2:98" x14ac:dyDescent="0.2"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  <c r="CF73" s="37"/>
      <c r="CG73" s="37"/>
      <c r="CH73" s="37"/>
      <c r="CI73" s="37"/>
      <c r="CJ73" s="37"/>
      <c r="CK73" s="37"/>
      <c r="CL73" s="37"/>
      <c r="CM73" s="37"/>
      <c r="CN73" s="37"/>
      <c r="CO73" s="37"/>
      <c r="CP73" s="37"/>
      <c r="CQ73" s="37"/>
      <c r="CR73" s="37"/>
      <c r="CS73" s="37"/>
      <c r="CT73" s="37"/>
    </row>
    <row r="74" spans="2:98" x14ac:dyDescent="0.2"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37"/>
      <c r="CI74" s="37"/>
      <c r="CJ74" s="37"/>
      <c r="CK74" s="37"/>
      <c r="CL74" s="37"/>
      <c r="CM74" s="37"/>
      <c r="CN74" s="37"/>
      <c r="CO74" s="37"/>
      <c r="CP74" s="37"/>
      <c r="CQ74" s="37"/>
      <c r="CR74" s="37"/>
      <c r="CS74" s="37"/>
      <c r="CT74" s="37"/>
    </row>
    <row r="75" spans="2:98" x14ac:dyDescent="0.2"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  <c r="CF75" s="37"/>
      <c r="CG75" s="37"/>
      <c r="CH75" s="37"/>
      <c r="CI75" s="37"/>
      <c r="CJ75" s="37"/>
      <c r="CK75" s="37"/>
      <c r="CL75" s="37"/>
      <c r="CM75" s="37"/>
      <c r="CN75" s="37"/>
      <c r="CO75" s="37"/>
      <c r="CP75" s="37"/>
      <c r="CQ75" s="37"/>
      <c r="CR75" s="37"/>
      <c r="CS75" s="37"/>
      <c r="CT75" s="37"/>
    </row>
    <row r="76" spans="2:98" x14ac:dyDescent="0.2"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  <c r="CF76" s="37"/>
      <c r="CG76" s="37"/>
      <c r="CH76" s="37"/>
      <c r="CI76" s="37"/>
      <c r="CJ76" s="37"/>
      <c r="CK76" s="37"/>
      <c r="CL76" s="37"/>
      <c r="CM76" s="37"/>
      <c r="CN76" s="37"/>
      <c r="CO76" s="37"/>
      <c r="CP76" s="37"/>
      <c r="CQ76" s="37"/>
      <c r="CR76" s="37"/>
      <c r="CS76" s="37"/>
      <c r="CT76" s="37"/>
    </row>
    <row r="77" spans="2:98" x14ac:dyDescent="0.2"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  <c r="CF77" s="37"/>
      <c r="CG77" s="37"/>
      <c r="CH77" s="37"/>
      <c r="CI77" s="37"/>
      <c r="CJ77" s="37"/>
      <c r="CK77" s="37"/>
      <c r="CL77" s="37"/>
      <c r="CM77" s="37"/>
      <c r="CN77" s="37"/>
      <c r="CO77" s="37"/>
      <c r="CP77" s="37"/>
      <c r="CQ77" s="37"/>
      <c r="CR77" s="37"/>
      <c r="CS77" s="37"/>
      <c r="CT77" s="37"/>
    </row>
    <row r="78" spans="2:98" x14ac:dyDescent="0.2"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  <c r="CE78" s="37"/>
      <c r="CF78" s="37"/>
      <c r="CG78" s="37"/>
      <c r="CH78" s="37"/>
      <c r="CI78" s="37"/>
      <c r="CJ78" s="37"/>
      <c r="CK78" s="37"/>
      <c r="CL78" s="37"/>
      <c r="CM78" s="37"/>
      <c r="CN78" s="37"/>
      <c r="CO78" s="37"/>
      <c r="CP78" s="37"/>
      <c r="CQ78" s="37"/>
      <c r="CR78" s="37"/>
      <c r="CS78" s="37"/>
      <c r="CT78" s="37"/>
    </row>
    <row r="79" spans="2:98" x14ac:dyDescent="0.2"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  <c r="CE79" s="37"/>
      <c r="CF79" s="37"/>
      <c r="CG79" s="37"/>
      <c r="CH79" s="37"/>
      <c r="CI79" s="37"/>
      <c r="CJ79" s="37"/>
      <c r="CK79" s="37"/>
      <c r="CL79" s="37"/>
      <c r="CM79" s="37"/>
      <c r="CN79" s="37"/>
      <c r="CO79" s="37"/>
      <c r="CP79" s="37"/>
      <c r="CQ79" s="37"/>
      <c r="CR79" s="37"/>
      <c r="CS79" s="37"/>
      <c r="CT79" s="37"/>
    </row>
    <row r="80" spans="2:98" x14ac:dyDescent="0.2"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  <c r="CF80" s="37"/>
      <c r="CG80" s="37"/>
      <c r="CH80" s="37"/>
      <c r="CI80" s="37"/>
      <c r="CJ80" s="37"/>
      <c r="CK80" s="37"/>
      <c r="CL80" s="37"/>
      <c r="CM80" s="37"/>
      <c r="CN80" s="37"/>
      <c r="CO80" s="37"/>
      <c r="CP80" s="37"/>
      <c r="CQ80" s="37"/>
      <c r="CR80" s="37"/>
      <c r="CS80" s="37"/>
      <c r="CT80" s="37"/>
    </row>
    <row r="81" spans="2:98" x14ac:dyDescent="0.2"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</row>
    <row r="82" spans="2:98" x14ac:dyDescent="0.2"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  <c r="CE82" s="37"/>
      <c r="CF82" s="37"/>
      <c r="CG82" s="37"/>
      <c r="CH82" s="37"/>
      <c r="CI82" s="37"/>
      <c r="CJ82" s="37"/>
      <c r="CK82" s="37"/>
      <c r="CL82" s="37"/>
      <c r="CM82" s="37"/>
      <c r="CN82" s="37"/>
      <c r="CO82" s="37"/>
      <c r="CP82" s="37"/>
      <c r="CQ82" s="37"/>
      <c r="CR82" s="37"/>
      <c r="CS82" s="37"/>
      <c r="CT82" s="37"/>
    </row>
    <row r="83" spans="2:98" x14ac:dyDescent="0.2"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  <c r="CE83" s="37"/>
      <c r="CF83" s="37"/>
      <c r="CG83" s="37"/>
      <c r="CH83" s="37"/>
      <c r="CI83" s="37"/>
      <c r="CJ83" s="37"/>
      <c r="CK83" s="37"/>
      <c r="CL83" s="37"/>
      <c r="CM83" s="37"/>
      <c r="CN83" s="37"/>
      <c r="CO83" s="37"/>
      <c r="CP83" s="37"/>
      <c r="CQ83" s="37"/>
      <c r="CR83" s="37"/>
      <c r="CS83" s="37"/>
      <c r="CT83" s="37"/>
    </row>
    <row r="84" spans="2:98" x14ac:dyDescent="0.2"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  <c r="CE84" s="37"/>
      <c r="CF84" s="37"/>
      <c r="CG84" s="37"/>
      <c r="CH84" s="37"/>
      <c r="CI84" s="37"/>
      <c r="CJ84" s="37"/>
      <c r="CK84" s="37"/>
      <c r="CL84" s="37"/>
      <c r="CM84" s="37"/>
      <c r="CN84" s="37"/>
      <c r="CO84" s="37"/>
      <c r="CP84" s="37"/>
      <c r="CQ84" s="37"/>
      <c r="CR84" s="37"/>
      <c r="CS84" s="37"/>
      <c r="CT84" s="37"/>
    </row>
    <row r="85" spans="2:98" x14ac:dyDescent="0.2"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  <c r="CE85" s="37"/>
      <c r="CF85" s="37"/>
      <c r="CG85" s="37"/>
      <c r="CH85" s="37"/>
      <c r="CI85" s="37"/>
      <c r="CJ85" s="37"/>
      <c r="CK85" s="37"/>
      <c r="CL85" s="37"/>
      <c r="CM85" s="37"/>
      <c r="CN85" s="37"/>
      <c r="CO85" s="37"/>
      <c r="CP85" s="37"/>
      <c r="CQ85" s="37"/>
      <c r="CR85" s="37"/>
      <c r="CS85" s="37"/>
      <c r="CT85" s="37"/>
    </row>
    <row r="86" spans="2:98" x14ac:dyDescent="0.2"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  <c r="CF86" s="37"/>
      <c r="CG86" s="37"/>
      <c r="CH86" s="37"/>
      <c r="CI86" s="37"/>
      <c r="CJ86" s="37"/>
      <c r="CK86" s="37"/>
      <c r="CL86" s="37"/>
      <c r="CM86" s="37"/>
      <c r="CN86" s="37"/>
      <c r="CO86" s="37"/>
      <c r="CP86" s="37"/>
      <c r="CQ86" s="37"/>
      <c r="CR86" s="37"/>
      <c r="CS86" s="37"/>
      <c r="CT86" s="37"/>
    </row>
    <row r="87" spans="2:98" x14ac:dyDescent="0.2"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  <c r="CF87" s="37"/>
      <c r="CG87" s="37"/>
      <c r="CH87" s="37"/>
      <c r="CI87" s="37"/>
      <c r="CJ87" s="37"/>
      <c r="CK87" s="37"/>
      <c r="CL87" s="37"/>
      <c r="CM87" s="37"/>
      <c r="CN87" s="37"/>
      <c r="CO87" s="37"/>
      <c r="CP87" s="37"/>
      <c r="CQ87" s="37"/>
      <c r="CR87" s="37"/>
      <c r="CS87" s="37"/>
      <c r="CT87" s="37"/>
    </row>
    <row r="88" spans="2:98" x14ac:dyDescent="0.2"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37"/>
      <c r="CI88" s="37"/>
      <c r="CJ88" s="37"/>
      <c r="CK88" s="37"/>
      <c r="CL88" s="37"/>
      <c r="CM88" s="37"/>
      <c r="CN88" s="37"/>
      <c r="CO88" s="37"/>
      <c r="CP88" s="37"/>
      <c r="CQ88" s="37"/>
      <c r="CR88" s="37"/>
      <c r="CS88" s="37"/>
      <c r="CT88" s="37"/>
    </row>
    <row r="89" spans="2:98" x14ac:dyDescent="0.2"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</row>
    <row r="90" spans="2:98" x14ac:dyDescent="0.2"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</row>
    <row r="91" spans="2:98" x14ac:dyDescent="0.2"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/>
      <c r="BV91" s="37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</row>
    <row r="92" spans="2:98" x14ac:dyDescent="0.2"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</row>
    <row r="93" spans="2:98" x14ac:dyDescent="0.2"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</row>
    <row r="94" spans="2:98" x14ac:dyDescent="0.2"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  <c r="CE94" s="37"/>
      <c r="CF94" s="37"/>
      <c r="CG94" s="37"/>
      <c r="CH94" s="37"/>
      <c r="CI94" s="37"/>
      <c r="CJ94" s="37"/>
      <c r="CK94" s="37"/>
      <c r="CL94" s="37"/>
      <c r="CM94" s="37"/>
      <c r="CN94" s="37"/>
      <c r="CO94" s="37"/>
      <c r="CP94" s="37"/>
      <c r="CQ94" s="37"/>
      <c r="CR94" s="37"/>
      <c r="CS94" s="37"/>
      <c r="CT94" s="37"/>
    </row>
    <row r="95" spans="2:98" x14ac:dyDescent="0.2"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  <c r="CE95" s="37"/>
      <c r="CF95" s="37"/>
      <c r="CG95" s="37"/>
      <c r="CH95" s="37"/>
      <c r="CI95" s="37"/>
      <c r="CJ95" s="37"/>
      <c r="CK95" s="37"/>
      <c r="CL95" s="37"/>
      <c r="CM95" s="37"/>
      <c r="CN95" s="37"/>
      <c r="CO95" s="37"/>
      <c r="CP95" s="37"/>
      <c r="CQ95" s="37"/>
      <c r="CR95" s="37"/>
      <c r="CS95" s="37"/>
      <c r="CT95" s="37"/>
    </row>
    <row r="96" spans="2:98" x14ac:dyDescent="0.2"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  <c r="CE96" s="37"/>
      <c r="CF96" s="37"/>
      <c r="CG96" s="37"/>
      <c r="CH96" s="37"/>
      <c r="CI96" s="37"/>
      <c r="CJ96" s="37"/>
      <c r="CK96" s="37"/>
      <c r="CL96" s="37"/>
      <c r="CM96" s="37"/>
      <c r="CN96" s="37"/>
      <c r="CO96" s="37"/>
      <c r="CP96" s="37"/>
      <c r="CQ96" s="37"/>
      <c r="CR96" s="37"/>
      <c r="CS96" s="37"/>
      <c r="CT96" s="37"/>
    </row>
    <row r="97" spans="2:98" x14ac:dyDescent="0.2"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  <c r="CE97" s="37"/>
      <c r="CF97" s="37"/>
      <c r="CG97" s="37"/>
      <c r="CH97" s="37"/>
      <c r="CI97" s="37"/>
      <c r="CJ97" s="37"/>
      <c r="CK97" s="37"/>
      <c r="CL97" s="37"/>
      <c r="CM97" s="37"/>
      <c r="CN97" s="37"/>
      <c r="CO97" s="37"/>
      <c r="CP97" s="37"/>
      <c r="CQ97" s="37"/>
      <c r="CR97" s="37"/>
      <c r="CS97" s="37"/>
      <c r="CT97" s="37"/>
    </row>
    <row r="98" spans="2:98" x14ac:dyDescent="0.2"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  <c r="CE98" s="37"/>
      <c r="CF98" s="37"/>
      <c r="CG98" s="37"/>
      <c r="CH98" s="37"/>
      <c r="CI98" s="37"/>
      <c r="CJ98" s="37"/>
      <c r="CK98" s="37"/>
      <c r="CL98" s="37"/>
      <c r="CM98" s="37"/>
      <c r="CN98" s="37"/>
      <c r="CO98" s="37"/>
      <c r="CP98" s="37"/>
      <c r="CQ98" s="37"/>
      <c r="CR98" s="37"/>
      <c r="CS98" s="37"/>
      <c r="CT98" s="37"/>
    </row>
    <row r="99" spans="2:98" x14ac:dyDescent="0.2"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  <c r="CE99" s="37"/>
      <c r="CF99" s="37"/>
      <c r="CG99" s="37"/>
      <c r="CH99" s="37"/>
      <c r="CI99" s="37"/>
      <c r="CJ99" s="37"/>
      <c r="CK99" s="37"/>
      <c r="CL99" s="37"/>
      <c r="CM99" s="37"/>
      <c r="CN99" s="37"/>
      <c r="CO99" s="37"/>
      <c r="CP99" s="37"/>
      <c r="CQ99" s="37"/>
      <c r="CR99" s="37"/>
      <c r="CS99" s="37"/>
      <c r="CT99" s="37"/>
    </row>
    <row r="100" spans="2:98" x14ac:dyDescent="0.2"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  <c r="CE100" s="37"/>
      <c r="CF100" s="37"/>
      <c r="CG100" s="37"/>
      <c r="CH100" s="37"/>
      <c r="CI100" s="37"/>
      <c r="CJ100" s="37"/>
      <c r="CK100" s="37"/>
      <c r="CL100" s="37"/>
      <c r="CM100" s="37"/>
      <c r="CN100" s="37"/>
      <c r="CO100" s="37"/>
      <c r="CP100" s="37"/>
      <c r="CQ100" s="37"/>
      <c r="CR100" s="37"/>
      <c r="CS100" s="37"/>
      <c r="CT100" s="37"/>
    </row>
    <row r="101" spans="2:98" x14ac:dyDescent="0.2"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  <c r="CF101" s="37"/>
      <c r="CG101" s="37"/>
      <c r="CH101" s="37"/>
      <c r="CI101" s="37"/>
      <c r="CJ101" s="37"/>
      <c r="CK101" s="37"/>
      <c r="CL101" s="37"/>
      <c r="CM101" s="37"/>
      <c r="CN101" s="37"/>
      <c r="CO101" s="37"/>
      <c r="CP101" s="37"/>
      <c r="CQ101" s="37"/>
      <c r="CR101" s="37"/>
      <c r="CS101" s="37"/>
      <c r="CT101" s="37"/>
    </row>
    <row r="102" spans="2:98" x14ac:dyDescent="0.2"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/>
      <c r="CG102" s="37"/>
      <c r="CH102" s="37"/>
      <c r="CI102" s="37"/>
      <c r="CJ102" s="37"/>
      <c r="CK102" s="37"/>
      <c r="CL102" s="37"/>
      <c r="CM102" s="37"/>
      <c r="CN102" s="37"/>
      <c r="CO102" s="37"/>
      <c r="CP102" s="37"/>
      <c r="CQ102" s="37"/>
      <c r="CR102" s="37"/>
      <c r="CS102" s="37"/>
      <c r="CT102" s="37"/>
    </row>
    <row r="103" spans="2:98" x14ac:dyDescent="0.2"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/>
      <c r="CH103" s="37"/>
      <c r="CI103" s="37"/>
      <c r="CJ103" s="37"/>
      <c r="CK103" s="37"/>
      <c r="CL103" s="37"/>
      <c r="CM103" s="37"/>
      <c r="CN103" s="37"/>
      <c r="CO103" s="37"/>
      <c r="CP103" s="37"/>
      <c r="CQ103" s="37"/>
      <c r="CR103" s="37"/>
      <c r="CS103" s="37"/>
      <c r="CT103" s="37"/>
    </row>
    <row r="104" spans="2:98" x14ac:dyDescent="0.2"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/>
      <c r="CI104" s="37"/>
      <c r="CJ104" s="37"/>
      <c r="CK104" s="37"/>
      <c r="CL104" s="37"/>
      <c r="CM104" s="37"/>
      <c r="CN104" s="37"/>
      <c r="CO104" s="37"/>
      <c r="CP104" s="37"/>
      <c r="CQ104" s="37"/>
      <c r="CR104" s="37"/>
      <c r="CS104" s="37"/>
      <c r="CT104" s="37"/>
    </row>
    <row r="105" spans="2:98" x14ac:dyDescent="0.2"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/>
      <c r="CJ105" s="37"/>
      <c r="CK105" s="37"/>
      <c r="CL105" s="37"/>
      <c r="CM105" s="37"/>
      <c r="CN105" s="37"/>
      <c r="CO105" s="37"/>
      <c r="CP105" s="37"/>
      <c r="CQ105" s="37"/>
      <c r="CR105" s="37"/>
      <c r="CS105" s="37"/>
      <c r="CT105" s="37"/>
    </row>
    <row r="106" spans="2:98" x14ac:dyDescent="0.2"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/>
      <c r="CK106" s="37"/>
      <c r="CL106" s="37"/>
      <c r="CM106" s="37"/>
      <c r="CN106" s="37"/>
      <c r="CO106" s="37"/>
      <c r="CP106" s="37"/>
      <c r="CQ106" s="37"/>
      <c r="CR106" s="37"/>
      <c r="CS106" s="37"/>
      <c r="CT106" s="37"/>
    </row>
    <row r="107" spans="2:98" x14ac:dyDescent="0.2"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/>
      <c r="CL107" s="37"/>
      <c r="CM107" s="37"/>
      <c r="CN107" s="37"/>
      <c r="CO107" s="37"/>
      <c r="CP107" s="37"/>
      <c r="CQ107" s="37"/>
      <c r="CR107" s="37"/>
      <c r="CS107" s="37"/>
      <c r="CT107" s="37"/>
    </row>
    <row r="108" spans="2:98" x14ac:dyDescent="0.2"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/>
      <c r="CM108" s="37"/>
      <c r="CN108" s="37"/>
      <c r="CO108" s="37"/>
      <c r="CP108" s="37"/>
      <c r="CQ108" s="37"/>
      <c r="CR108" s="37"/>
      <c r="CS108" s="37"/>
      <c r="CT108" s="37"/>
    </row>
    <row r="109" spans="2:98" x14ac:dyDescent="0.2"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/>
      <c r="CN109" s="37"/>
      <c r="CO109" s="37"/>
      <c r="CP109" s="37"/>
      <c r="CQ109" s="37"/>
      <c r="CR109" s="37"/>
      <c r="CS109" s="37"/>
      <c r="CT109" s="37"/>
    </row>
    <row r="110" spans="2:98" x14ac:dyDescent="0.2"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/>
      <c r="CO110" s="37"/>
      <c r="CP110" s="37"/>
      <c r="CQ110" s="37"/>
      <c r="CR110" s="37"/>
      <c r="CS110" s="37"/>
      <c r="CT110" s="37"/>
    </row>
    <row r="111" spans="2:98" x14ac:dyDescent="0.2"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/>
      <c r="CP111" s="37"/>
      <c r="CQ111" s="37"/>
      <c r="CR111" s="37"/>
      <c r="CS111" s="37"/>
      <c r="CT111" s="37"/>
    </row>
    <row r="112" spans="2:98" x14ac:dyDescent="0.2"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/>
      <c r="CQ112" s="37"/>
      <c r="CR112" s="37"/>
      <c r="CS112" s="37"/>
      <c r="CT112" s="37"/>
    </row>
    <row r="113" spans="2:98" x14ac:dyDescent="0.2"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/>
      <c r="CR113" s="37"/>
      <c r="CS113" s="37"/>
      <c r="CT113" s="37"/>
    </row>
    <row r="114" spans="2:98" x14ac:dyDescent="0.2"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/>
      <c r="CS114" s="37"/>
      <c r="CT114" s="37"/>
    </row>
    <row r="115" spans="2:98" x14ac:dyDescent="0.2"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/>
      <c r="CT115" s="37"/>
    </row>
    <row r="116" spans="2:98" x14ac:dyDescent="0.2"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/>
    </row>
    <row r="117" spans="2:98" x14ac:dyDescent="0.2"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</row>
    <row r="118" spans="2:98" x14ac:dyDescent="0.2"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</row>
    <row r="119" spans="2:98" x14ac:dyDescent="0.2"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</row>
    <row r="120" spans="2:98" x14ac:dyDescent="0.2"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</row>
    <row r="121" spans="2:98" x14ac:dyDescent="0.2"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</row>
    <row r="122" spans="2:98" x14ac:dyDescent="0.2"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</row>
    <row r="123" spans="2:98" x14ac:dyDescent="0.2"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</row>
    <row r="124" spans="2:98" x14ac:dyDescent="0.2"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</row>
    <row r="125" spans="2:98" x14ac:dyDescent="0.2"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</row>
    <row r="126" spans="2:98" x14ac:dyDescent="0.2"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  <c r="CE126" s="37"/>
      <c r="CF126" s="37"/>
      <c r="CG126" s="37"/>
      <c r="CH126" s="37"/>
      <c r="CI126" s="37"/>
      <c r="CJ126" s="37"/>
      <c r="CK126" s="37"/>
      <c r="CL126" s="37"/>
      <c r="CM126" s="37"/>
      <c r="CN126" s="37"/>
      <c r="CO126" s="37"/>
      <c r="CP126" s="37"/>
      <c r="CQ126" s="37"/>
      <c r="CR126" s="37"/>
      <c r="CS126" s="37"/>
      <c r="CT126" s="37"/>
    </row>
    <row r="127" spans="2:98" x14ac:dyDescent="0.2"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  <c r="CE127" s="37"/>
      <c r="CF127" s="37"/>
      <c r="CG127" s="37"/>
      <c r="CH127" s="37"/>
      <c r="CI127" s="37"/>
      <c r="CJ127" s="37"/>
      <c r="CK127" s="37"/>
      <c r="CL127" s="37"/>
      <c r="CM127" s="37"/>
      <c r="CN127" s="37"/>
      <c r="CO127" s="37"/>
      <c r="CP127" s="37"/>
      <c r="CQ127" s="37"/>
      <c r="CR127" s="37"/>
      <c r="CS127" s="37"/>
      <c r="CT127" s="37"/>
    </row>
    <row r="128" spans="2:98" x14ac:dyDescent="0.2"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  <c r="CE128" s="37"/>
      <c r="CF128" s="37"/>
      <c r="CG128" s="37"/>
      <c r="CH128" s="37"/>
      <c r="CI128" s="37"/>
      <c r="CJ128" s="37"/>
      <c r="CK128" s="37"/>
      <c r="CL128" s="37"/>
      <c r="CM128" s="37"/>
      <c r="CN128" s="37"/>
      <c r="CO128" s="37"/>
      <c r="CP128" s="37"/>
      <c r="CQ128" s="37"/>
      <c r="CR128" s="37"/>
      <c r="CS128" s="37"/>
      <c r="CT128" s="37"/>
    </row>
    <row r="129" spans="2:98" x14ac:dyDescent="0.2"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  <c r="CE129" s="37"/>
      <c r="CF129" s="37"/>
      <c r="CG129" s="37"/>
      <c r="CH129" s="37"/>
      <c r="CI129" s="37"/>
      <c r="CJ129" s="37"/>
      <c r="CK129" s="37"/>
      <c r="CL129" s="37"/>
      <c r="CM129" s="37"/>
      <c r="CN129" s="37"/>
      <c r="CO129" s="37"/>
      <c r="CP129" s="37"/>
      <c r="CQ129" s="37"/>
      <c r="CR129" s="37"/>
      <c r="CS129" s="37"/>
      <c r="CT129" s="37"/>
    </row>
    <row r="130" spans="2:98" x14ac:dyDescent="0.2"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  <c r="CE130" s="37"/>
      <c r="CF130" s="37"/>
      <c r="CG130" s="37"/>
      <c r="CH130" s="37"/>
      <c r="CI130" s="37"/>
      <c r="CJ130" s="37"/>
      <c r="CK130" s="37"/>
      <c r="CL130" s="37"/>
      <c r="CM130" s="37"/>
      <c r="CN130" s="37"/>
      <c r="CO130" s="37"/>
      <c r="CP130" s="37"/>
      <c r="CQ130" s="37"/>
      <c r="CR130" s="37"/>
      <c r="CS130" s="37"/>
      <c r="CT130" s="37"/>
    </row>
    <row r="131" spans="2:98" x14ac:dyDescent="0.2"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37"/>
      <c r="CI131" s="37"/>
      <c r="CJ131" s="37"/>
      <c r="CK131" s="37"/>
      <c r="CL131" s="37"/>
      <c r="CM131" s="37"/>
      <c r="CN131" s="37"/>
      <c r="CO131" s="37"/>
      <c r="CP131" s="37"/>
      <c r="CQ131" s="37"/>
      <c r="CR131" s="37"/>
      <c r="CS131" s="37"/>
      <c r="CT131" s="37"/>
    </row>
    <row r="132" spans="2:98" x14ac:dyDescent="0.2"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37"/>
      <c r="CI132" s="37"/>
      <c r="CJ132" s="37"/>
      <c r="CK132" s="37"/>
      <c r="CL132" s="37"/>
      <c r="CM132" s="37"/>
      <c r="CN132" s="37"/>
      <c r="CO132" s="37"/>
      <c r="CP132" s="37"/>
      <c r="CQ132" s="37"/>
      <c r="CR132" s="37"/>
      <c r="CS132" s="37"/>
      <c r="CT132" s="37"/>
    </row>
  </sheetData>
  <autoFilter ref="A1:AS46" xr:uid="{D617A74A-974A-014C-83CF-66AB738EFD73}">
    <sortState xmlns:xlrd2="http://schemas.microsoft.com/office/spreadsheetml/2017/richdata2" ref="A2:AS46">
      <sortCondition ref="G1:G46"/>
    </sortState>
  </autoFilter>
  <conditionalFormatting sqref="B1:B407">
    <cfRule type="cellIs" dxfId="21" priority="5" stopIfTrue="1" operator="equal">
      <formula>"Find"</formula>
    </cfRule>
  </conditionalFormatting>
  <conditionalFormatting sqref="B1:B4097">
    <cfRule type="cellIs" dxfId="20" priority="6" operator="equal">
      <formula>"Used"</formula>
    </cfRule>
    <cfRule type="cellIs" dxfId="19" priority="7" stopIfTrue="1" operator="equal">
      <formula>"B2B"</formula>
    </cfRule>
  </conditionalFormatting>
  <conditionalFormatting sqref="F37">
    <cfRule type="cellIs" dxfId="18" priority="1" stopIfTrue="1" operator="equal">
      <formula>"Find"</formula>
    </cfRule>
    <cfRule type="cellIs" dxfId="17" priority="2" operator="equal">
      <formula>"Used"</formula>
    </cfRule>
    <cfRule type="cellIs" dxfId="16" priority="3" stopIfTrue="1" operator="equal">
      <formula>"B2B"</formula>
    </cfRule>
  </conditionalFormatting>
  <hyperlinks>
    <hyperlink ref="F30" r:id="rId1" display="https://jira.bnh.com/browse/BHUX-32257" xr:uid="{1C354678-9971-9D4A-A8AC-E5BBDDCCE013}"/>
    <hyperlink ref="F29" r:id="rId2" display="https://jira.bnh.com/browse/BHUX-31874" xr:uid="{7A61BEF3-985C-DE49-9810-3B7AA96C37F4}"/>
    <hyperlink ref="F28" r:id="rId3" tooltip="https://jira.bnh.com/browse/bhux-26541" display="https://jira.bnh.com/browse/BHUX-26541" xr:uid="{4F4FA8AC-5B96-824E-96FF-6F0487BD9D79}"/>
    <hyperlink ref="F4" r:id="rId4" display="https://jira.bnh.com/browse/BHUX-33434" xr:uid="{48B8F246-87C7-974B-92DE-04DD88DE8E39}"/>
    <hyperlink ref="F20" r:id="rId5" display="https://jira.bnh.com/browse/BHUX-33009" xr:uid="{1550CF72-27B8-9A4D-B1B3-6ACE965DBE3F}"/>
    <hyperlink ref="F37" r:id="rId6" display="https://jira.bnh.com/browse/BHUX-33519" xr:uid="{274503DF-5655-534C-83F1-397A28F8A4F3}"/>
    <hyperlink ref="F32" r:id="rId7" display="https://jira.bnh.com/browse/BHUX-29580" xr:uid="{AC3EF1E9-C7B5-6441-8A4A-FD0B5401DF03}"/>
    <hyperlink ref="F2" r:id="rId8" display="https://jira.bnh.com/browse/BHUX-33510" xr:uid="{0093F7F4-29CF-EF42-B621-529D5614C679}"/>
    <hyperlink ref="F44" r:id="rId9" display="https://jira.bnh.com/browse/BHUX-25601" xr:uid="{9C0A745D-1AD2-428F-80A5-45D22A760249}"/>
    <hyperlink ref="F3" r:id="rId10" xr:uid="{52EBE770-197D-C64C-9023-D4AECB64343B}"/>
    <hyperlink ref="F24" r:id="rId11" xr:uid="{D47F3920-6283-EC4E-BDF9-396F18F5CFD0}"/>
    <hyperlink ref="F26" r:id="rId12" xr:uid="{F4B206DE-30A4-8848-9A71-872B9DF716DF}"/>
    <hyperlink ref="F19" r:id="rId13" xr:uid="{F67A537A-1441-4463-A878-15E37D9F7A9E}"/>
    <hyperlink ref="F22" r:id="rId14" xr:uid="{29318F78-DC1C-B545-AE41-743063DF9A87}"/>
    <hyperlink ref="F8" r:id="rId15" xr:uid="{1B63E88D-B34C-3342-B97C-6B8679CB5133}"/>
    <hyperlink ref="F9" r:id="rId16" xr:uid="{12EBEDEE-C94C-6D47-B1BB-087369F4D7A0}"/>
    <hyperlink ref="F10" r:id="rId17" xr:uid="{9A954CFA-8612-1042-B812-977E61E32E0D}"/>
    <hyperlink ref="F11" r:id="rId18" xr:uid="{888A79F7-D085-FE4A-9FF7-071CEAD0388B}"/>
    <hyperlink ref="F25" r:id="rId19" xr:uid="{AF84EE80-342A-4446-8F72-9906F7FDC91D}"/>
    <hyperlink ref="F15" r:id="rId20" xr:uid="{A1DCF875-1CF1-9B4C-B7A5-3169E5B54A57}"/>
    <hyperlink ref="F6" r:id="rId21" xr:uid="{3CA236C1-3268-5143-AC97-795D87FAD8A3}"/>
    <hyperlink ref="F23" r:id="rId22" xr:uid="{E7FF6711-78F6-7F4B-8338-D76928FBC43D}"/>
    <hyperlink ref="F13" r:id="rId23" xr:uid="{0C216D9E-C519-AA49-97F8-151B855E066C}"/>
    <hyperlink ref="F12" r:id="rId24" xr:uid="{18CD5813-B83E-4549-92EC-6C3D116ED54E}"/>
    <hyperlink ref="F14" r:id="rId25" xr:uid="{FBB2D68B-E12D-434D-B9C8-A3EEDC568A78}"/>
    <hyperlink ref="F33" r:id="rId26" xr:uid="{FCDA5FFA-8DC3-2547-9D25-5BEC9BD64DE2}"/>
    <hyperlink ref="F17" r:id="rId27" display="https://jira.bnh.com/browse/BHUX-35303" xr:uid="{25815AAD-0620-024D-8599-004E501A4D5A}"/>
    <hyperlink ref="F16" r:id="rId28" display="https://jira.bnh.com/browse/BHUX-35304" xr:uid="{CD2CDBC0-4BF2-C447-BAA3-47C078088A53}"/>
    <hyperlink ref="F18" r:id="rId29" display="https://jira.bnh.com/browse/BHUX-35302" xr:uid="{6937F591-2287-B143-8E47-4AE79AF27F1D}"/>
    <hyperlink ref="F27" r:id="rId30" display="https://jira.bnh.com/browse/BHUX-35309" xr:uid="{81521203-423D-7749-8201-0A37D43F2EBB}"/>
    <hyperlink ref="F31" r:id="rId31" display="https://jira.bnh.com/browse/BHJ-121278" xr:uid="{DB9410EC-0A9A-EB48-B601-8376A62CF053}"/>
    <hyperlink ref="F34" r:id="rId32" display="https://jira.bnh.com/browse/BHUX-32621" xr:uid="{C1BA8E57-AA11-6349-BE5E-3DEBA0D407E0}"/>
    <hyperlink ref="F35" r:id="rId33" display="https://jira.bnh.com/browse/BHUX-32543" xr:uid="{A13D8EC9-CB84-0B49-A7C6-7D32C923FD94}"/>
    <hyperlink ref="E46" r:id="rId34" xr:uid="{90AD36D7-1C9F-AC40-BCED-6F7300E7C21A}"/>
    <hyperlink ref="E39" r:id="rId35" xr:uid="{C94E2A4F-AB50-F043-B86A-1C5C7056BAA9}"/>
    <hyperlink ref="E38" r:id="rId36" xr:uid="{87F19C9A-BFD1-744D-B8FF-4868F93DA700}"/>
    <hyperlink ref="E40" r:id="rId37" xr:uid="{A1A9AFCD-1B41-AA4F-A69D-D4B64098F15B}"/>
    <hyperlink ref="F39" r:id="rId38" display="https://jira.bnh.com/browse/BHUX-23755" xr:uid="{492578A2-7A0C-924D-AF89-3449ECDC29B6}"/>
    <hyperlink ref="F38" r:id="rId39" display="https://jira.bnh.com/browse/BHUX-17615" xr:uid="{CE0EFA80-D40D-0041-AA2C-BBD984F07D1C}"/>
    <hyperlink ref="F46" r:id="rId40" display="https://jira.bnh.com/browse/BHUX-31354" xr:uid="{80265E8C-186C-8542-AAE3-9344D641CFDC}"/>
    <hyperlink ref="F40" r:id="rId41" display="https://jira.bnh.com/browse/BHUX-28124" xr:uid="{04792098-93D2-204C-B987-C74B907FF69B}"/>
    <hyperlink ref="F45" r:id="rId42" display="https://jira.bnh.com/browse/BHP-4563" xr:uid="{0E855850-35CF-7D46-A477-1115A384E455}"/>
    <hyperlink ref="E41" r:id="rId43" display="https://jira.bnh.com/browse/MRCH-2202" xr:uid="{A791D908-EE5C-1149-8D9D-A0BB860BE8DE}"/>
    <hyperlink ref="E42" r:id="rId44" display="https://jira.bnh.com/browse/BHJ-119850" xr:uid="{06F0F574-6B5B-2643-A54F-593DE5927D93}"/>
    <hyperlink ref="F41" r:id="rId45" display="https://jira.bnh.com/browse/BHUX-31245" xr:uid="{37A7D823-39F7-6947-86FC-3AE82E93C053}"/>
    <hyperlink ref="F42" r:id="rId46" display="https://jira.bnh.com/browse/BHUX-32071" xr:uid="{1EF920D6-BBA7-3146-9D78-880CEBF15369}"/>
    <hyperlink ref="E43" r:id="rId47" xr:uid="{24B93257-9A2A-9343-8E2E-E1498C4A3268}"/>
    <hyperlink ref="F43" r:id="rId48" display="https://jira.bnh.com/browse/BHUX-29921" xr:uid="{BB7FDE87-8A8F-A649-B181-0A7979D05778}"/>
    <hyperlink ref="E6" r:id="rId49" xr:uid="{209D0604-8A94-FF46-A5BD-1CC94908AA6F}"/>
    <hyperlink ref="E8" r:id="rId50" xr:uid="{506C25D1-AAD7-8146-87AE-A51FC6D5512F}"/>
    <hyperlink ref="E9" r:id="rId51" xr:uid="{657D79B4-3A8D-464C-ABBB-98667367518C}"/>
    <hyperlink ref="E10" r:id="rId52" xr:uid="{58C4BDA6-70C1-B345-96CC-103BCAE180B6}"/>
    <hyperlink ref="E14" r:id="rId53" xr:uid="{0A720F02-3335-1045-98FF-795D51946938}"/>
    <hyperlink ref="E13" r:id="rId54" xr:uid="{ABC90719-B4F6-6842-8A3C-7D0565C4D6AB}"/>
    <hyperlink ref="E11" r:id="rId55" xr:uid="{3A86AF73-CEF6-C846-8DBC-13017CB83659}"/>
    <hyperlink ref="E12" r:id="rId56" xr:uid="{0D5FEBB6-1DF5-7142-A1C0-4E12324F7489}"/>
    <hyperlink ref="E44" r:id="rId57" xr:uid="{8D1C4B0E-072D-0E4A-9975-DA9803ACCA6B}"/>
    <hyperlink ref="E37" r:id="rId58" xr:uid="{174820D0-E08C-CF4C-A6A1-C3E639F12BAB}"/>
    <hyperlink ref="E16" r:id="rId59" xr:uid="{A349F528-1F4D-C743-8A20-8DAF3DF4352F}"/>
    <hyperlink ref="E2" r:id="rId60" xr:uid="{700E7516-749B-D246-8368-19E784A4BC0C}"/>
    <hyperlink ref="E3" r:id="rId61" xr:uid="{14ED9DE8-816F-5248-B414-215F8C1D719C}"/>
    <hyperlink ref="E4" r:id="rId62" xr:uid="{C0EAA880-A62F-EF43-A384-EBD5DC7860B2}"/>
    <hyperlink ref="E15" r:id="rId63" xr:uid="{72AA99BA-29BC-6B46-92EF-F4068B769490}"/>
    <hyperlink ref="E17" r:id="rId64" xr:uid="{60AFF4C1-5EE5-F045-ADFF-45B8DA777C0E}"/>
    <hyperlink ref="E19" r:id="rId65" xr:uid="{C066D304-E04A-3441-9682-C773A0070737}"/>
    <hyperlink ref="E20" r:id="rId66" xr:uid="{70FB7C7B-5DAF-4543-AE04-E30195EA8DF5}"/>
    <hyperlink ref="E18" r:id="rId67" xr:uid="{073BE6F8-C73B-D94A-89BF-2AFEB0AB100E}"/>
    <hyperlink ref="F21" r:id="rId68" xr:uid="{FB860B6B-E5C4-1E4D-B5AB-E297C457ACDC}"/>
    <hyperlink ref="E21" r:id="rId69" xr:uid="{968919CD-4B50-CD4A-A0A6-19A0BDD27BAB}"/>
    <hyperlink ref="E22" r:id="rId70" xr:uid="{0E5177AB-108F-F441-B68F-D44E1A38E76C}"/>
    <hyperlink ref="E23" r:id="rId71" xr:uid="{64D8C5E2-060F-254D-B389-EFAD78F578A1}"/>
    <hyperlink ref="E24" r:id="rId72" xr:uid="{CAE9F427-AC26-C147-A561-4F905D1FEA4F}"/>
    <hyperlink ref="E25" r:id="rId73" xr:uid="{9DA2335C-398C-EB44-ADD2-9B763DE36B7B}"/>
    <hyperlink ref="E27" r:id="rId74" xr:uid="{3A7FF314-20A4-7E4C-9B0A-D9975AF66A70}"/>
    <hyperlink ref="E31" r:id="rId75" xr:uid="{3D0908E3-39EF-AA41-9BA9-04B477AA2072}"/>
    <hyperlink ref="E32" r:id="rId76" xr:uid="{E2F12535-4BAD-4B4E-9FC2-83FDBAE3AD8E}"/>
    <hyperlink ref="E33" r:id="rId77" xr:uid="{B612000D-0FE8-B344-A4A9-AB55BA868E5B}"/>
    <hyperlink ref="E34" r:id="rId78" xr:uid="{9D64C9B6-AB57-E447-B48B-543C63D74AE6}"/>
    <hyperlink ref="E35" r:id="rId79" xr:uid="{EA200AC6-AEC0-E44C-8347-89B96EAC4887}"/>
    <hyperlink ref="D2" location="Control!R6C5" display="Improve Trade In User Flow" xr:uid="{11C4031B-DBF0-374C-B775-42E42BD644C7}"/>
    <hyperlink ref="D31" location="Control!R6C5" display="Improve Trade In User Flow" xr:uid="{49AE2EB7-BE63-C542-8957-25267F4C7EC5}"/>
    <hyperlink ref="C18" location="'Control (Don’t Touch)'!R4C5" display="Improve Discovery" xr:uid="{16ECDCB1-E106-3D4D-8127-442010B04E01}"/>
    <hyperlink ref="C8" location="Control!R6C5" display="Improve Trade In User Flow" xr:uid="{567E155A-5595-3C47-B137-898AD1547378}"/>
    <hyperlink ref="C3" location="Control!R11C5" display="Increase B2B Acquisition" xr:uid="{A1CE1BC1-2BE7-304E-8E5D-15E0BE805C45}"/>
    <hyperlink ref="C11" location="'Control (Don’t Touch)'!R8C5" display="Increase Buy Used Awareness" xr:uid="{0FA3F8A8-D1BF-CE43-BB9D-BF3DFF5E4C4F}"/>
    <hyperlink ref="C5" location="Control!R12C5" display="Increase The Studio B&amp;H Awareness" xr:uid="{2159CDCF-6B42-694F-B67D-1B6F5DFB5768}"/>
    <hyperlink ref="C9" location="Control!R5C5" display="Increase Trade In Awareness" xr:uid="{68C5DC55-D6F0-534A-9C01-82FC3EFF7A8A}"/>
    <hyperlink ref="C2" location="'Control (Don’t Touch)'!R9C5" display="Improve Buy Used Customer Experience" xr:uid="{A2A6FF3E-1996-BC45-AA95-559B7B4BCCA0}"/>
    <hyperlink ref="C3:C4" location="Control!R9C5" display="Improve Buy Used Customer Experience" xr:uid="{F18C1B0D-493E-2845-8568-B3D6B51110E3}"/>
    <hyperlink ref="C10" location="Control!R13C5" display="Improve The Studio B&amp;H Customer Experience" xr:uid="{A2398013-94EB-754D-9DFF-479A9E76DB53}"/>
    <hyperlink ref="C4" location="Control!R13C5" display="Improve The Studio B&amp;H Customer Experience" xr:uid="{F374E649-6A1E-DF48-8429-ADBDB257F46C}"/>
    <hyperlink ref="E26" r:id="rId80" xr:uid="{3555A129-45FC-5A4D-84C5-4BACE137BDBD}"/>
    <hyperlink ref="E45" r:id="rId81" xr:uid="{9EA2491D-F77D-3548-A4EC-AA15642FC001}"/>
    <hyperlink ref="C14" location="'Control (Don’t Touch)'!R5C5" display="Increase Trade In Awareness" xr:uid="{07C1B625-417D-5245-AD81-99DB0D4088EE}"/>
    <hyperlink ref="C12" location="Control!R12C5" display="Increase The Studio B&amp;H Awareness" xr:uid="{233E8C82-7DE9-A24D-AB09-FB5EA034481B}"/>
    <hyperlink ref="C16" location="Control!R12C5" display="Increase The Studio B&amp;H Awareness" xr:uid="{BD1282E3-8FE5-E941-B3A6-1AE7F0E23B7C}"/>
    <hyperlink ref="C19" location="'Control (Don’t Touch)'!R6C5" display="Improve Trade In User Flow" xr:uid="{00A5341F-1727-624D-88AC-2DBC304D4DFF}"/>
    <hyperlink ref="F7" r:id="rId82" xr:uid="{7FE9E0CB-F8F6-9443-927E-05F5251EF69E}"/>
    <hyperlink ref="E7" r:id="rId83" xr:uid="{334BBC84-91C1-F748-91DB-DA8ABF919820}"/>
    <hyperlink ref="C7" location="Control!R5C5" display="Increase Trade In Awareness" xr:uid="{86CEEC0C-2EB5-164A-977B-BDDB0F527291}"/>
    <hyperlink ref="C31" location="'Control (Don’t Touch)'!R9C5" display="Improve Buy Used Customer Experience" xr:uid="{220751A9-70C2-AF4B-96BF-6A740F925E2E}"/>
    <hyperlink ref="C45" location="'Control (Don’t Touch)'!R9C5" display="Improve Buy Used Customer Experience" xr:uid="{1EC99352-3BA3-674B-A888-F2D6B39D7926}"/>
    <hyperlink ref="C13" location="'Control (Don’t Touch)'!R8C5" display="Increase Buy Used Awareness" xr:uid="{CB890338-7F88-1A41-A04A-151AF4F7E451}"/>
    <hyperlink ref="C15" location="'Control (Don’t Touch)'!R8C5" display="Increase Buy Used Awareness" xr:uid="{2D13AD1C-3E0D-024C-A8DB-C91CC4368339}"/>
    <hyperlink ref="C17" location="'Control (Don’t Touch)'!R8C5" display="Increase Buy Used Awareness" xr:uid="{541FCB83-011C-2145-8B0B-87980F756D0A}"/>
    <hyperlink ref="C21:C23" location="'Control (Don’t Touch)'!R8C5" display="Increase Buy Used Awareness" xr:uid="{4AF20B2B-0CEB-E24C-8F54-5173DE1E1606}"/>
    <hyperlink ref="C37" location="'Control (Don’t Touch)'!R8C5" display="Increase Buy Used Awareness" xr:uid="{F83C8AB9-BF77-3D42-8C55-19F82EC7BD83}"/>
    <hyperlink ref="C46" location="'Control (Don’t Touch)'!R8C5" display="Increase Buy Used Awareness" xr:uid="{8F072F67-9906-9C4E-AAFA-C838E218296E}"/>
    <hyperlink ref="C24" location="'Control (Don’t Touch)'!R5C5" display="Increase Trade In Awareness" xr:uid="{EFEEC31B-78C3-0B42-9EA1-68A8115242BB}"/>
    <hyperlink ref="C27" location="'Control (Don’t Touch)'!R5C5" display="Increase Trade In Awareness" xr:uid="{E5705B32-F98C-A044-9E4B-37B9F3007D8B}"/>
    <hyperlink ref="C20" location="'Control (Don’t Touch)'!R6C5" display="Improve Trade In User Flow" xr:uid="{C37E3413-99CF-6B49-830E-24D203EEE626}"/>
    <hyperlink ref="C25:C26" location="'Control (Don’t Touch)'!R6C5" display="Improve Trade In User Flow" xr:uid="{3BAA5D70-3CBA-6742-9533-0C122DB53874}"/>
    <hyperlink ref="C36" location="'Control (Don’t Touch)'!R6C5" display="Improve Trade In User Flow" xr:uid="{62B96A87-AD5B-5445-8697-DC55C835A01C}"/>
    <hyperlink ref="C32" location="'Control (Don’t Touch)'!R4C5" display="Improve Discovery" xr:uid="{9D296C0E-FE73-7F4E-9961-FA83927045DE}"/>
    <hyperlink ref="C34:C35" location="'Control (Don’t Touch)'!R4C5" display="Improve Discovery" xr:uid="{7974219A-68A2-8941-B260-15FD93368756}"/>
    <hyperlink ref="C38:C43" location="'Control (Don’t Touch)'!R4C5" display="Improve Discovery" xr:uid="{596553D3-6E6B-474F-ABDC-3C4A70F1F0E1}"/>
    <hyperlink ref="C33" location="'Control (Don’t Touch)'!R11C5" display="Increase B2B Acquisition" xr:uid="{B147E840-3D5F-254C-A02E-1709572554DD}"/>
    <hyperlink ref="C30:C32" location="'Control (Don’t Touch)'!R11C5" display="Increase B2B Acquisition" xr:uid="{2F4CB414-5F92-A245-891F-A8C5B08B10AA}"/>
    <hyperlink ref="C44" location="'Control (Don’t Touch)'!R11C5" display="Increase B2B Acquisition" xr:uid="{64CCF75F-DCA0-7B43-B585-5AD4E5FA3E60}"/>
    <hyperlink ref="C6" location="'Control (Don’t Touch)'!R11C5" display="Increase B2B Acquisition" xr:uid="{2B6E1077-5700-3D4D-8DDB-7FA1D8055708}"/>
  </hyperlinks>
  <pageMargins left="0.7" right="0.7" top="0.75" bottom="0.75" header="0.3" footer="0.3"/>
  <pageSetup scale="68" orientation="landscape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63EA9B0-69B6-A541-AA0D-DA9373690895}">
          <x14:formula1>
            <xm:f>'Control (Don’t Touch)'!$B$4:$B$19</xm:f>
          </x14:formula1>
          <xm:sqref>G2:G45</xm:sqref>
        </x14:dataValidation>
        <x14:dataValidation type="list" allowBlank="1" showInputMessage="1" showErrorMessage="1" xr:uid="{647E7BC1-7E87-6E44-9304-E439ED7F69E8}">
          <x14:formula1>
            <xm:f>'Control (Don’t Touch)'!$E$4:$E$34</xm:f>
          </x14:formula1>
          <xm:sqref>C2:C132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9113-BFF1-B540-AE75-735869F650C3}">
  <dimension ref="A1:K73"/>
  <sheetViews>
    <sheetView tabSelected="1" zoomScaleNormal="100" workbookViewId="0">
      <pane xSplit="4" ySplit="1" topLeftCell="H2" activePane="bottomRight" state="frozen"/>
      <selection pane="topRight" activeCell="E1" sqref="E1"/>
      <selection pane="bottomLeft" activeCell="A2" sqref="A2"/>
      <selection pane="bottomRight" activeCell="K31" sqref="K31"/>
    </sheetView>
  </sheetViews>
  <sheetFormatPr baseColWidth="10" defaultColWidth="11" defaultRowHeight="16" x14ac:dyDescent="0.2"/>
  <cols>
    <col min="2" max="2" width="45" bestFit="1" customWidth="1"/>
    <col min="3" max="3" width="30.6640625" hidden="1" customWidth="1"/>
    <col min="4" max="4" width="64.1640625" customWidth="1"/>
    <col min="5" max="5" width="35" customWidth="1"/>
    <col min="6" max="6" width="21.33203125" bestFit="1" customWidth="1"/>
    <col min="7" max="8" width="30.33203125" customWidth="1"/>
    <col min="9" max="9" width="16" bestFit="1" customWidth="1"/>
    <col min="10" max="10" width="14.6640625" bestFit="1" customWidth="1"/>
    <col min="11" max="11" width="112" bestFit="1" customWidth="1"/>
  </cols>
  <sheetData>
    <row r="1" spans="1:11" ht="22" x14ac:dyDescent="0.3">
      <c r="A1" s="47" t="str">
        <f>'UX Weekly'!B1</f>
        <v>Portfolio</v>
      </c>
      <c r="B1" s="47" t="str">
        <f>'UX Weekly'!C1</f>
        <v>Theme #1</v>
      </c>
      <c r="C1" s="47" t="str">
        <f>'UX Weekly'!D1</f>
        <v>Theme #2</v>
      </c>
      <c r="D1" s="47" t="s">
        <v>68</v>
      </c>
      <c r="E1" s="47" t="s">
        <v>132</v>
      </c>
      <c r="F1" s="47" t="s">
        <v>69</v>
      </c>
      <c r="G1" s="47" t="s">
        <v>134</v>
      </c>
      <c r="H1" s="47" t="s">
        <v>135</v>
      </c>
      <c r="I1" s="47" t="s">
        <v>136</v>
      </c>
      <c r="J1" s="47" t="s">
        <v>137</v>
      </c>
      <c r="K1" s="47" t="s">
        <v>138</v>
      </c>
    </row>
    <row r="2" spans="1:11" ht="22" x14ac:dyDescent="0.3">
      <c r="A2" s="48" t="str">
        <f>'UX Weekly'!B2</f>
        <v>Used</v>
      </c>
      <c r="B2" s="48" t="str">
        <f>'UX Weekly'!C2</f>
        <v>Improve Buy Used Customer Experience</v>
      </c>
      <c r="C2" s="48" t="str">
        <f>'UX Weekly'!D2</f>
        <v>Improve Trade In User Flow</v>
      </c>
      <c r="D2" s="48" t="str">
        <f>'UX Weekly'!E2</f>
        <v>New Condition Rating Scale</v>
      </c>
      <c r="E2" s="48" t="str">
        <f>'UX Weekly'!F2</f>
        <v>BHUX-33510</v>
      </c>
      <c r="F2" s="48" t="str">
        <f>'UX Weekly'!G2</f>
        <v>00. Parking Lot</v>
      </c>
      <c r="G2" s="48" t="s">
        <v>140</v>
      </c>
      <c r="H2" s="48" t="s">
        <v>141</v>
      </c>
      <c r="I2" s="207" t="s">
        <v>186</v>
      </c>
      <c r="J2" s="207" t="s">
        <v>186</v>
      </c>
      <c r="K2" s="48"/>
    </row>
    <row r="3" spans="1:11" ht="22" x14ac:dyDescent="0.3">
      <c r="A3" s="48" t="str">
        <f>'UX Weekly'!B3</f>
        <v>B2B</v>
      </c>
      <c r="B3" s="48" t="str">
        <f>'UX Weekly'!C3</f>
        <v>Increase B2B Acquisition</v>
      </c>
      <c r="C3" s="48">
        <f>'UX Weekly'!D3</f>
        <v>0</v>
      </c>
      <c r="D3" s="48" t="str">
        <f>'UX Weekly'!E3</f>
        <v>B2B Hub - Logged In B2B Experience</v>
      </c>
      <c r="E3" s="48" t="str">
        <f>'UX Weekly'!F3</f>
        <v>BHP-6901</v>
      </c>
      <c r="F3" s="48" t="str">
        <f>'UX Weekly'!G3</f>
        <v>00. Parking Lot</v>
      </c>
      <c r="G3" s="48" t="s">
        <v>142</v>
      </c>
      <c r="H3" s="48" t="s">
        <v>141</v>
      </c>
      <c r="I3" s="207" t="s">
        <v>185</v>
      </c>
      <c r="J3" s="207" t="s">
        <v>857</v>
      </c>
      <c r="K3" s="39"/>
    </row>
    <row r="4" spans="1:11" ht="22" x14ac:dyDescent="0.3">
      <c r="A4" s="48" t="str">
        <f>'UX Weekly'!B4</f>
        <v>B2B</v>
      </c>
      <c r="B4" s="48" t="str">
        <f>'UX Weekly'!C4</f>
        <v>Improve The Studio B&amp;H Customer Experience</v>
      </c>
      <c r="C4" s="48">
        <f>'UX Weekly'!D4</f>
        <v>0</v>
      </c>
      <c r="D4" s="48" t="str">
        <f>'UX Weekly'!E4</f>
        <v>B2B - The Studio Categories</v>
      </c>
      <c r="E4" s="48" t="str">
        <f>'UX Weekly'!F4</f>
        <v>BHUX-33434</v>
      </c>
      <c r="F4" s="48" t="str">
        <f>'UX Weekly'!G4</f>
        <v>01. Prod Discovery</v>
      </c>
      <c r="G4" s="48" t="s">
        <v>65</v>
      </c>
      <c r="H4" s="48" t="s">
        <v>141</v>
      </c>
      <c r="I4" s="207" t="s">
        <v>865</v>
      </c>
      <c r="J4" s="207" t="s">
        <v>186</v>
      </c>
      <c r="K4" s="48"/>
    </row>
    <row r="5" spans="1:11" ht="22" x14ac:dyDescent="0.3">
      <c r="A5" s="48" t="str">
        <f>'UX Weekly'!B5</f>
        <v>B2B</v>
      </c>
      <c r="B5" s="48" t="str">
        <f>'UX Weekly'!C5</f>
        <v>Increase The Studio B&amp;H Awareness</v>
      </c>
      <c r="C5" s="48">
        <f>'UX Weekly'!D5</f>
        <v>0</v>
      </c>
      <c r="D5" s="48" t="str">
        <f>'UX Weekly'!E5</f>
        <v>The Studio - Stand Alone Website</v>
      </c>
      <c r="E5" s="48">
        <f>'UX Weekly'!F5</f>
        <v>0</v>
      </c>
      <c r="F5" s="48" t="str">
        <f>'UX Weekly'!G5</f>
        <v>01. Prod Discovery</v>
      </c>
      <c r="G5" s="48" t="s">
        <v>140</v>
      </c>
      <c r="H5" s="48" t="s">
        <v>141</v>
      </c>
      <c r="I5" s="207" t="s">
        <v>186</v>
      </c>
      <c r="J5" s="207" t="s">
        <v>185</v>
      </c>
      <c r="K5" s="48"/>
    </row>
    <row r="6" spans="1:11" ht="22" x14ac:dyDescent="0.3">
      <c r="A6" s="48" t="str">
        <f>'UX Weekly'!B6</f>
        <v>B2B</v>
      </c>
      <c r="B6" s="48" t="str">
        <f>'UX Weekly'!C6</f>
        <v>Increase B2B Acquisition</v>
      </c>
      <c r="C6" s="48">
        <f>'UX Weekly'!D6</f>
        <v>0</v>
      </c>
      <c r="D6" s="48" t="str">
        <f>'UX Weekly'!E6</f>
        <v>Homepage Header: B2B</v>
      </c>
      <c r="E6" s="48" t="str">
        <f>'UX Weekly'!F6</f>
        <v>BHP-7274</v>
      </c>
      <c r="F6" s="48" t="str">
        <f>'UX Weekly'!G6</f>
        <v>01. Prod Discovery</v>
      </c>
      <c r="G6" s="48" t="s">
        <v>140</v>
      </c>
      <c r="H6" s="48" t="s">
        <v>141</v>
      </c>
      <c r="I6" s="207"/>
      <c r="J6" s="207"/>
      <c r="K6" s="49"/>
    </row>
    <row r="7" spans="1:11" ht="22" x14ac:dyDescent="0.3">
      <c r="A7" s="48" t="str">
        <f>'UX Weekly'!B7</f>
        <v>Used</v>
      </c>
      <c r="B7" s="48" t="str">
        <f>'UX Weekly'!C7</f>
        <v>Increase Trade In Awareness</v>
      </c>
      <c r="C7" s="48">
        <f>'UX Weekly'!D7</f>
        <v>0</v>
      </c>
      <c r="D7" s="48" t="str">
        <f>'UX Weekly'!E7</f>
        <v>Decouple Sell Used from Used Hub</v>
      </c>
      <c r="E7" s="48" t="str">
        <f>'UX Weekly'!F7</f>
        <v>BHP-7431</v>
      </c>
      <c r="F7" s="48" t="str">
        <f>'UX Weekly'!G7</f>
        <v>01. Prod Discovery</v>
      </c>
      <c r="G7" s="48" t="s">
        <v>143</v>
      </c>
      <c r="H7" s="48" t="s">
        <v>144</v>
      </c>
      <c r="I7" s="207"/>
      <c r="J7" s="207"/>
      <c r="K7" s="48"/>
    </row>
    <row r="8" spans="1:11" ht="22" x14ac:dyDescent="0.3">
      <c r="A8" s="48" t="str">
        <f>'UX Weekly'!B8</f>
        <v>Used</v>
      </c>
      <c r="B8" s="48" t="str">
        <f>'UX Weekly'!C8</f>
        <v>Improve Trade In User Flow</v>
      </c>
      <c r="C8" s="48">
        <f>'UX Weekly'!D8</f>
        <v>0</v>
      </c>
      <c r="D8" s="48" t="str">
        <f>'UX Weekly'!E8</f>
        <v>Sell Used Purchase Look Up</v>
      </c>
      <c r="E8" s="48" t="str">
        <f>'UX Weekly'!F8</f>
        <v>BHP-7236</v>
      </c>
      <c r="F8" s="48" t="str">
        <f>'UX Weekly'!G8</f>
        <v>02. UX Req</v>
      </c>
      <c r="G8" s="58" t="s">
        <v>146</v>
      </c>
      <c r="H8" s="58" t="s">
        <v>147</v>
      </c>
      <c r="I8" s="207" t="s">
        <v>864</v>
      </c>
      <c r="J8" s="207" t="s">
        <v>186</v>
      </c>
      <c r="K8" s="48"/>
    </row>
    <row r="9" spans="1:11" ht="22" x14ac:dyDescent="0.3">
      <c r="A9" s="48" t="str">
        <f>'UX Weekly'!B9</f>
        <v>Used</v>
      </c>
      <c r="B9" s="48" t="str">
        <f>'UX Weekly'!C9</f>
        <v>Increase Trade In Awareness</v>
      </c>
      <c r="C9" s="48">
        <f>'UX Weekly'!D9</f>
        <v>0</v>
      </c>
      <c r="D9" s="48" t="str">
        <f>'UX Weekly'!E9</f>
        <v>Used Activity Notification</v>
      </c>
      <c r="E9" s="48" t="str">
        <f>'UX Weekly'!F9</f>
        <v>BHP-7237</v>
      </c>
      <c r="F9" s="48" t="str">
        <f>'UX Weekly'!G9</f>
        <v>02. UX Req</v>
      </c>
      <c r="G9" s="48" t="s">
        <v>148</v>
      </c>
      <c r="H9" s="48" t="s">
        <v>149</v>
      </c>
      <c r="I9" s="207" t="s">
        <v>865</v>
      </c>
      <c r="J9" s="207" t="s">
        <v>186</v>
      </c>
      <c r="K9" s="48"/>
    </row>
    <row r="10" spans="1:11" ht="22" x14ac:dyDescent="0.3">
      <c r="A10" s="48" t="str">
        <f>'UX Weekly'!B10</f>
        <v>B2B</v>
      </c>
      <c r="B10" s="48" t="str">
        <f>'UX Weekly'!C10</f>
        <v>Improve The Studio B&amp;H Customer Experience</v>
      </c>
      <c r="C10" s="48">
        <f>'UX Weekly'!D10</f>
        <v>0</v>
      </c>
      <c r="D10" s="48" t="str">
        <f>'UX Weekly'!E10</f>
        <v>The Studio - Enhanced Landing Page</v>
      </c>
      <c r="E10" s="48" t="str">
        <f>'UX Weekly'!F10</f>
        <v>BHP-6444</v>
      </c>
      <c r="F10" s="48" t="str">
        <f>'UX Weekly'!G10</f>
        <v>02. UX Req</v>
      </c>
      <c r="G10" s="48" t="s">
        <v>150</v>
      </c>
      <c r="H10" s="48" t="s">
        <v>151</v>
      </c>
      <c r="I10" s="207" t="s">
        <v>186</v>
      </c>
      <c r="J10" s="207" t="s">
        <v>186</v>
      </c>
      <c r="K10" s="65"/>
    </row>
    <row r="11" spans="1:11" ht="22" x14ac:dyDescent="0.3">
      <c r="A11" s="48" t="str">
        <f>'UX Weekly'!B11</f>
        <v>Used</v>
      </c>
      <c r="B11" s="48" t="str">
        <f>'UX Weekly'!C11</f>
        <v>Increase Buy Used Awareness</v>
      </c>
      <c r="C11" s="48">
        <f>'UX Weekly'!D11</f>
        <v>0</v>
      </c>
      <c r="D11" s="48" t="str">
        <f>'UX Weekly'!E11</f>
        <v>Used Hub - Just Added Component</v>
      </c>
      <c r="E11" s="48" t="str">
        <f>'UX Weekly'!F11</f>
        <v>BHP-7229</v>
      </c>
      <c r="F11" s="48" t="str">
        <f>'UX Weekly'!G11</f>
        <v>02. UX Req</v>
      </c>
      <c r="G11" s="48" t="s">
        <v>153</v>
      </c>
      <c r="H11" s="48" t="s">
        <v>154</v>
      </c>
      <c r="I11" s="207" t="s">
        <v>855</v>
      </c>
      <c r="J11" s="207" t="s">
        <v>855</v>
      </c>
      <c r="K11" s="49"/>
    </row>
    <row r="12" spans="1:11" ht="22" x14ac:dyDescent="0.3">
      <c r="A12" s="48" t="str">
        <f>'UX Weekly'!B12</f>
        <v>B2B</v>
      </c>
      <c r="B12" s="48" t="str">
        <f>'UX Weekly'!C12</f>
        <v>Increase The Studio B&amp;H Awareness</v>
      </c>
      <c r="C12" s="48">
        <f>'UX Weekly'!D12</f>
        <v>0</v>
      </c>
      <c r="D12" s="48" t="str">
        <f>'UX Weekly'!E12</f>
        <v>The Studio - Category Hybrid Page</v>
      </c>
      <c r="E12" s="48" t="str">
        <f>'UX Weekly'!F12</f>
        <v>BHP-7301</v>
      </c>
      <c r="F12" s="48" t="str">
        <f>'UX Weekly'!G12</f>
        <v>02. UX Req</v>
      </c>
      <c r="G12" s="49" t="s">
        <v>155</v>
      </c>
      <c r="H12" s="49" t="s">
        <v>156</v>
      </c>
      <c r="I12" s="207" t="s">
        <v>180</v>
      </c>
      <c r="J12" s="207" t="s">
        <v>180</v>
      </c>
      <c r="K12" s="49"/>
    </row>
    <row r="13" spans="1:11" ht="22" x14ac:dyDescent="0.3">
      <c r="A13" s="48" t="str">
        <f>'UX Weekly'!B13</f>
        <v>Used</v>
      </c>
      <c r="B13" s="48" t="str">
        <f>'UX Weekly'!C13</f>
        <v>Increase Buy Used Awareness</v>
      </c>
      <c r="C13" s="48">
        <f>'UX Weekly'!D13</f>
        <v>0</v>
      </c>
      <c r="D13" s="48" t="str">
        <f>'UX Weekly'!E13</f>
        <v>Used Just Added Page</v>
      </c>
      <c r="E13" s="48" t="str">
        <f>'UX Weekly'!F13</f>
        <v>BHP-7230</v>
      </c>
      <c r="F13" s="48" t="str">
        <f>'UX Weekly'!G13</f>
        <v>02. UX Req</v>
      </c>
      <c r="G13" s="49" t="s">
        <v>148</v>
      </c>
      <c r="H13" s="49" t="s">
        <v>157</v>
      </c>
      <c r="I13" s="207" t="s">
        <v>855</v>
      </c>
      <c r="J13" s="207" t="s">
        <v>855</v>
      </c>
      <c r="K13" s="49"/>
    </row>
    <row r="14" spans="1:11" ht="22" x14ac:dyDescent="0.3">
      <c r="A14" s="48" t="str">
        <f>'UX Weekly'!B14</f>
        <v>Used</v>
      </c>
      <c r="B14" s="48" t="str">
        <f>'UX Weekly'!C14</f>
        <v>Increase Trade In Awareness</v>
      </c>
      <c r="C14" s="48">
        <f>'UX Weekly'!D14</f>
        <v>0</v>
      </c>
      <c r="D14" s="48" t="str">
        <f>'UX Weekly'!E14</f>
        <v>Increase Awareness of Trade In Offers - Best Buy Inspiration/Competitive Effort</v>
      </c>
      <c r="E14" s="48" t="str">
        <f>'UX Weekly'!F14</f>
        <v>BHP-6827</v>
      </c>
      <c r="F14" s="48" t="str">
        <f>'UX Weekly'!G14</f>
        <v>02. UX Req</v>
      </c>
      <c r="G14" s="48" t="s">
        <v>146</v>
      </c>
      <c r="H14" s="48" t="s">
        <v>158</v>
      </c>
      <c r="I14" s="207" t="s">
        <v>180</v>
      </c>
      <c r="J14" s="207" t="s">
        <v>180</v>
      </c>
      <c r="K14" s="48"/>
    </row>
    <row r="15" spans="1:11" ht="22" x14ac:dyDescent="0.3">
      <c r="A15" s="48" t="str">
        <f>'UX Weekly'!B15</f>
        <v>Used</v>
      </c>
      <c r="B15" s="48" t="str">
        <f>'UX Weekly'!C15</f>
        <v>Increase Buy Used Awareness</v>
      </c>
      <c r="C15" s="48">
        <f>'UX Weekly'!D15</f>
        <v>0</v>
      </c>
      <c r="D15" s="48" t="str">
        <f>'UX Weekly'!E15</f>
        <v>Out of stock Alerts for used products</v>
      </c>
      <c r="E15" s="48" t="str">
        <f>'UX Weekly'!F15</f>
        <v>BHUX-35020</v>
      </c>
      <c r="F15" s="48" t="str">
        <f>'UX Weekly'!G15</f>
        <v>03. UX Discovery</v>
      </c>
      <c r="G15" s="48" t="s">
        <v>160</v>
      </c>
      <c r="H15" s="48" t="s">
        <v>158</v>
      </c>
      <c r="I15" s="207" t="s">
        <v>180</v>
      </c>
      <c r="J15" s="207" t="s">
        <v>180</v>
      </c>
      <c r="K15" s="48"/>
    </row>
    <row r="16" spans="1:11" ht="22" x14ac:dyDescent="0.3">
      <c r="A16" s="48" t="str">
        <f>'UX Weekly'!B16</f>
        <v>B2B</v>
      </c>
      <c r="B16" s="48" t="str">
        <f>'UX Weekly'!C16</f>
        <v>Increase The Studio B&amp;H Awareness</v>
      </c>
      <c r="C16" s="48">
        <f>'UX Weekly'!D16</f>
        <v>0</v>
      </c>
      <c r="D16" s="48" t="str">
        <f>'UX Weekly'!E16</f>
        <v>The Studio - B&amp;H Awareness on High Ticket Items</v>
      </c>
      <c r="E16" s="48" t="str">
        <f>'UX Weekly'!F16</f>
        <v>BHUX-35304</v>
      </c>
      <c r="F16" s="48" t="str">
        <f>'UX Weekly'!G16</f>
        <v>03. UX Discovery</v>
      </c>
      <c r="G16" s="58" t="s">
        <v>143</v>
      </c>
      <c r="H16" s="58" t="s">
        <v>141</v>
      </c>
      <c r="I16" s="207" t="s">
        <v>180</v>
      </c>
      <c r="J16" s="207" t="s">
        <v>180</v>
      </c>
      <c r="K16" s="58"/>
    </row>
    <row r="17" spans="1:11" ht="22" x14ac:dyDescent="0.3">
      <c r="A17" s="48" t="str">
        <f>'UX Weekly'!B17</f>
        <v>Used</v>
      </c>
      <c r="B17" s="48" t="str">
        <f>'UX Weekly'!C17</f>
        <v>Increase Buy Used Awareness</v>
      </c>
      <c r="C17" s="48" t="str">
        <f>'UX Weekly'!D17</f>
        <v>Improve Discovery</v>
      </c>
      <c r="D17" s="48" t="str">
        <f>'UX Weekly'!E17</f>
        <v>Add New | Used tab to all listing pages and search results pages</v>
      </c>
      <c r="E17" s="48" t="str">
        <f>'UX Weekly'!F17</f>
        <v>BHUX-35303</v>
      </c>
      <c r="F17" s="48" t="str">
        <f>'UX Weekly'!G17</f>
        <v>03. UX Discovery</v>
      </c>
      <c r="G17" s="58" t="s">
        <v>161</v>
      </c>
      <c r="H17" s="58" t="s">
        <v>154</v>
      </c>
      <c r="I17" s="207" t="s">
        <v>864</v>
      </c>
      <c r="J17" s="207" t="s">
        <v>864</v>
      </c>
      <c r="K17" s="58"/>
    </row>
    <row r="18" spans="1:11" ht="22" x14ac:dyDescent="0.3">
      <c r="A18" s="48" t="str">
        <f>'UX Weekly'!B18</f>
        <v>Find</v>
      </c>
      <c r="B18" s="48" t="str">
        <f>'UX Weekly'!C18</f>
        <v>Improve Discovery</v>
      </c>
      <c r="C18" s="48">
        <f>'UX Weekly'!D18</f>
        <v>0</v>
      </c>
      <c r="D18" s="48" t="str">
        <f>'UX Weekly'!E18</f>
        <v>Highlighted Refinements Enhancement</v>
      </c>
      <c r="E18" s="48" t="str">
        <f>'UX Weekly'!F18</f>
        <v>BHUX-35302 </v>
      </c>
      <c r="F18" s="48" t="str">
        <f>'UX Weekly'!G18</f>
        <v>04. UX Design</v>
      </c>
      <c r="G18" s="71" t="s">
        <v>146</v>
      </c>
      <c r="H18" s="71" t="s">
        <v>158</v>
      </c>
      <c r="I18" s="207" t="s">
        <v>180</v>
      </c>
      <c r="J18" s="207" t="s">
        <v>180</v>
      </c>
      <c r="K18" s="71"/>
    </row>
    <row r="19" spans="1:11" ht="22" x14ac:dyDescent="0.3">
      <c r="A19" s="48" t="str">
        <f>'UX Weekly'!B19</f>
        <v>Used</v>
      </c>
      <c r="B19" s="48" t="str">
        <f>'UX Weekly'!C19</f>
        <v>Improve Trade In User Flow</v>
      </c>
      <c r="C19" s="48">
        <f>'UX Weekly'!D19</f>
        <v>0</v>
      </c>
      <c r="D19" s="48" t="str">
        <f>'UX Weekly'!E19</f>
        <v>Trade In Email - Comprehensive Refresh Discovery</v>
      </c>
      <c r="E19" s="48" t="str">
        <f>'UX Weekly'!F19</f>
        <v>BHUX-34772</v>
      </c>
      <c r="F19" s="48" t="str">
        <f>'UX Weekly'!G19</f>
        <v>04. UX Design</v>
      </c>
      <c r="G19" s="48" t="s">
        <v>23</v>
      </c>
      <c r="H19" s="48" t="s">
        <v>141</v>
      </c>
      <c r="I19" s="207" t="s">
        <v>180</v>
      </c>
      <c r="J19" s="207" t="s">
        <v>180</v>
      </c>
      <c r="K19" s="48"/>
    </row>
    <row r="20" spans="1:11" ht="22" x14ac:dyDescent="0.3">
      <c r="A20" s="48" t="str">
        <f>'UX Weekly'!B20</f>
        <v>Used</v>
      </c>
      <c r="B20" s="48" t="str">
        <f>'UX Weekly'!C20</f>
        <v>Improve Trade In User Flow</v>
      </c>
      <c r="C20" s="48">
        <f>'UX Weekly'!D20</f>
        <v>0</v>
      </c>
      <c r="D20" s="48" t="str">
        <f>'UX Weekly'!E20</f>
        <v>Used - Sell Used Experience</v>
      </c>
      <c r="E20" s="48" t="str">
        <f>'UX Weekly'!F20</f>
        <v>BHUX-33009</v>
      </c>
      <c r="F20" s="48" t="str">
        <f>'UX Weekly'!G20</f>
        <v>04. UX Design</v>
      </c>
      <c r="G20" s="48" t="s">
        <v>140</v>
      </c>
      <c r="H20" s="48" t="s">
        <v>141</v>
      </c>
      <c r="I20" s="207" t="s">
        <v>186</v>
      </c>
      <c r="J20" s="207" t="s">
        <v>185</v>
      </c>
      <c r="K20" s="48"/>
    </row>
    <row r="21" spans="1:11" ht="22" x14ac:dyDescent="0.3">
      <c r="A21" s="48" t="str">
        <f>'UX Weekly'!B21</f>
        <v>Used</v>
      </c>
      <c r="B21" s="48" t="str">
        <f>'UX Weekly'!C21</f>
        <v>Increase Buy Used Awareness</v>
      </c>
      <c r="C21" s="48">
        <f>'UX Weekly'!D21</f>
        <v>0</v>
      </c>
      <c r="D21" s="48" t="str">
        <f>'UX Weekly'!E21</f>
        <v>Add 'shop by popular brands' section to Used Homepage</v>
      </c>
      <c r="E21" s="48" t="str">
        <f>'UX Weekly'!F21</f>
        <v>BHUX-34844</v>
      </c>
      <c r="F21" s="48" t="str">
        <f>'UX Weekly'!G21</f>
        <v>04. UX Design</v>
      </c>
      <c r="G21" s="48" t="s">
        <v>146</v>
      </c>
      <c r="H21" s="48" t="s">
        <v>141</v>
      </c>
      <c r="I21" s="207" t="s">
        <v>864</v>
      </c>
      <c r="J21" s="207" t="s">
        <v>864</v>
      </c>
      <c r="K21" s="48"/>
    </row>
    <row r="22" spans="1:11" ht="22" x14ac:dyDescent="0.3">
      <c r="A22" s="48" t="str">
        <f>'UX Weekly'!B22</f>
        <v>Used</v>
      </c>
      <c r="B22" s="48" t="str">
        <f>'UX Weekly'!C22</f>
        <v>Increase Buy Used Awareness</v>
      </c>
      <c r="C22" s="48">
        <f>'UX Weekly'!D22</f>
        <v>0</v>
      </c>
      <c r="D22" s="48" t="str">
        <f>'UX Weekly'!E22</f>
        <v>Shop By Popular Brand' Listing Pages Discovery</v>
      </c>
      <c r="E22" s="48" t="str">
        <f>'UX Weekly'!F22</f>
        <v>BHUX-34845</v>
      </c>
      <c r="F22" s="48" t="str">
        <f>'UX Weekly'!G22</f>
        <v>04. UX Design</v>
      </c>
      <c r="G22" s="48" t="s">
        <v>189</v>
      </c>
      <c r="H22" s="48" t="s">
        <v>141</v>
      </c>
      <c r="I22" s="207" t="s">
        <v>864</v>
      </c>
      <c r="J22" s="207" t="s">
        <v>864</v>
      </c>
      <c r="K22" s="48"/>
    </row>
    <row r="23" spans="1:11" ht="22" x14ac:dyDescent="0.3">
      <c r="A23" s="48" t="str">
        <f>'UX Weekly'!B23</f>
        <v>Used</v>
      </c>
      <c r="B23" s="48" t="str">
        <f>'UX Weekly'!C23</f>
        <v>Increase Buy Used Awareness</v>
      </c>
      <c r="C23" s="48">
        <f>'UX Weekly'!D23</f>
        <v>0</v>
      </c>
      <c r="D23" s="48" t="str">
        <f>'UX Weekly'!E23</f>
        <v>My Account &gt; Trade In Awareness</v>
      </c>
      <c r="E23" s="48" t="str">
        <f>'UX Weekly'!F23</f>
        <v>BHUX-35010</v>
      </c>
      <c r="F23" s="48" t="str">
        <f>'UX Weekly'!G23</f>
        <v>04. UX Design</v>
      </c>
      <c r="G23" s="48" t="s">
        <v>148</v>
      </c>
      <c r="H23" s="48" t="s">
        <v>190</v>
      </c>
      <c r="I23" s="207" t="s">
        <v>865</v>
      </c>
      <c r="J23" s="207" t="s">
        <v>865</v>
      </c>
      <c r="K23" s="48"/>
    </row>
    <row r="24" spans="1:11" ht="22" x14ac:dyDescent="0.3">
      <c r="A24" s="48" t="str">
        <f>'UX Weekly'!B24</f>
        <v>B2B/Used</v>
      </c>
      <c r="B24" s="48" t="str">
        <f>'UX Weekly'!C24</f>
        <v>Increase Trade In Awareness</v>
      </c>
      <c r="C24" s="48" t="str">
        <f>'UX Weekly'!D24</f>
        <v>Increase B2B Acquisition</v>
      </c>
      <c r="D24" s="48" t="str">
        <f>'UX Weekly'!E24</f>
        <v>B2B &amp; Used Visibility in the Nav</v>
      </c>
      <c r="E24" s="48" t="str">
        <f>'UX Weekly'!F24</f>
        <v>BHUX-34378</v>
      </c>
      <c r="F24" s="48" t="str">
        <f>'UX Weekly'!G24</f>
        <v>04. UX Design</v>
      </c>
      <c r="G24" s="48" t="s">
        <v>189</v>
      </c>
      <c r="H24" s="48" t="s">
        <v>154</v>
      </c>
      <c r="I24" s="207" t="s">
        <v>855</v>
      </c>
      <c r="J24" s="207" t="s">
        <v>855</v>
      </c>
      <c r="K24" s="48"/>
    </row>
    <row r="25" spans="1:11" ht="22" x14ac:dyDescent="0.3">
      <c r="A25" s="48" t="str">
        <f>'UX Weekly'!B25</f>
        <v>Used</v>
      </c>
      <c r="B25" s="48" t="str">
        <f>'UX Weekly'!C25</f>
        <v>Improve Trade In User Flow</v>
      </c>
      <c r="C25" s="48">
        <f>'UX Weekly'!D25</f>
        <v>0</v>
      </c>
      <c r="D25" s="48" t="str">
        <f>'UX Weekly'!E25</f>
        <v>Sell Used User Flow Design Validation</v>
      </c>
      <c r="E25" s="48" t="str">
        <f>'UX Weekly'!F25</f>
        <v>BHUR-133</v>
      </c>
      <c r="F25" s="48" t="str">
        <f>'UX Weekly'!G25</f>
        <v>04A. Research - Design Validation</v>
      </c>
      <c r="G25" s="48"/>
      <c r="H25" s="48" t="s">
        <v>141</v>
      </c>
      <c r="I25" s="207"/>
      <c r="J25" s="207"/>
      <c r="K25" s="48"/>
    </row>
    <row r="26" spans="1:11" ht="22" x14ac:dyDescent="0.3">
      <c r="A26" s="48" t="str">
        <f>'UX Weekly'!B26</f>
        <v>Used</v>
      </c>
      <c r="B26" s="48" t="str">
        <f>'UX Weekly'!C26</f>
        <v>Improve Trade In User Flow</v>
      </c>
      <c r="C26" s="48">
        <f>'UX Weekly'!D26</f>
        <v>0</v>
      </c>
      <c r="D26" s="48" t="str">
        <f>'UX Weekly'!E26</f>
        <v>Used Status Email Update</v>
      </c>
      <c r="E26" s="48" t="str">
        <f>'UX Weekly'!F26</f>
        <v>BHUX-34723</v>
      </c>
      <c r="F26" s="48" t="str">
        <f>'UX Weekly'!G26</f>
        <v>06. Architecture</v>
      </c>
      <c r="G26" s="48" t="s">
        <v>188</v>
      </c>
      <c r="H26" s="48" t="s">
        <v>190</v>
      </c>
      <c r="I26" s="207" t="s">
        <v>180</v>
      </c>
      <c r="J26" s="207" t="s">
        <v>180</v>
      </c>
      <c r="K26" s="48"/>
    </row>
    <row r="27" spans="1:11" ht="22" x14ac:dyDescent="0.3">
      <c r="A27" s="48" t="str">
        <f>'UX Weekly'!B27</f>
        <v>Used</v>
      </c>
      <c r="B27" s="48" t="str">
        <f>'UX Weekly'!C27</f>
        <v>Increase Trade In Awareness</v>
      </c>
      <c r="C27" s="48">
        <f>'UX Weekly'!D27</f>
        <v>0</v>
      </c>
      <c r="D27" s="48" t="str">
        <f>'UX Weekly'!E27</f>
        <v>PDP Purchased in 20XX, Trade In Value is $YYY.YY</v>
      </c>
      <c r="E27" s="48" t="str">
        <f>'UX Weekly'!F27</f>
        <v>BHUX-35309</v>
      </c>
      <c r="F27" s="48" t="str">
        <f>'UX Weekly'!G27</f>
        <v>06. Architecture</v>
      </c>
      <c r="G27" s="48" t="s">
        <v>146</v>
      </c>
      <c r="H27" s="48" t="s">
        <v>141</v>
      </c>
      <c r="I27" s="207" t="s">
        <v>180</v>
      </c>
      <c r="J27" s="207" t="s">
        <v>180</v>
      </c>
      <c r="K27" s="48"/>
    </row>
    <row r="28" spans="1:11" ht="22" x14ac:dyDescent="0.3">
      <c r="A28" s="48" t="str">
        <f>'UX Weekly'!B28</f>
        <v>B2B</v>
      </c>
      <c r="B28" s="48" t="str">
        <f>'UX Weekly'!C28</f>
        <v>Increase B2B Acquisition</v>
      </c>
      <c r="C28" s="48">
        <f>'UX Weekly'!D28</f>
        <v>0</v>
      </c>
      <c r="D28" s="48" t="str">
        <f>'UX Weekly'!E28</f>
        <v>B2B Hub Landing Page - redesign</v>
      </c>
      <c r="E28" s="48" t="str">
        <f>'UX Weekly'!F28</f>
        <v>BHUX-26541 </v>
      </c>
      <c r="F28" s="48" t="str">
        <f>'UX Weekly'!G28</f>
        <v>07. Grooming</v>
      </c>
      <c r="G28" s="48"/>
      <c r="H28" s="48" t="s">
        <v>141</v>
      </c>
      <c r="I28" s="207" t="s">
        <v>181</v>
      </c>
      <c r="J28" s="207" t="s">
        <v>865</v>
      </c>
      <c r="K28" s="48"/>
    </row>
    <row r="29" spans="1:11" ht="22" x14ac:dyDescent="0.3">
      <c r="A29" s="48" t="str">
        <f>'UX Weekly'!B29</f>
        <v>B2B</v>
      </c>
      <c r="B29" s="48" t="str">
        <f>'UX Weekly'!C29</f>
        <v>Increase B2B Acquisition</v>
      </c>
      <c r="C29" s="48">
        <f>'UX Weekly'!D29</f>
        <v>0</v>
      </c>
      <c r="D29" s="48" t="str">
        <f>'UX Weekly'!E29</f>
        <v>B2B Hub - Revisit Signup Flow</v>
      </c>
      <c r="E29" s="48" t="str">
        <f>'UX Weekly'!F29</f>
        <v>BHUX-31874</v>
      </c>
      <c r="F29" s="48" t="str">
        <f>'UX Weekly'!G29</f>
        <v>07. Grooming</v>
      </c>
      <c r="G29" s="48" t="s">
        <v>146</v>
      </c>
      <c r="H29" s="48" t="s">
        <v>141</v>
      </c>
      <c r="I29" s="207" t="s">
        <v>181</v>
      </c>
      <c r="J29" s="207" t="s">
        <v>865</v>
      </c>
      <c r="K29" s="48"/>
    </row>
    <row r="30" spans="1:11" ht="22" x14ac:dyDescent="0.3">
      <c r="A30" s="48" t="str">
        <f>'UX Weekly'!B30</f>
        <v>B2B</v>
      </c>
      <c r="B30" s="48" t="str">
        <f>'UX Weekly'!C30</f>
        <v>Increase B2B Acquisition</v>
      </c>
      <c r="C30" s="48">
        <f>'UX Weekly'!D30</f>
        <v>0</v>
      </c>
      <c r="D30" s="48" t="str">
        <f>'UX Weekly'!E30</f>
        <v>B2B Hub Redesign - Internal Pages</v>
      </c>
      <c r="E30" s="48" t="str">
        <f>'UX Weekly'!F30</f>
        <v>BHUX-32257</v>
      </c>
      <c r="F30" s="48" t="str">
        <f>'UX Weekly'!G30</f>
        <v>07. Grooming</v>
      </c>
      <c r="I30" s="207" t="s">
        <v>180</v>
      </c>
      <c r="J30" s="207" t="s">
        <v>865</v>
      </c>
    </row>
    <row r="31" spans="1:11" ht="22" x14ac:dyDescent="0.3">
      <c r="A31" s="48" t="str">
        <f>'UX Weekly'!B31</f>
        <v>Used</v>
      </c>
      <c r="B31" s="48" t="str">
        <f>'UX Weekly'!C31</f>
        <v>Improve Buy Used Customer Experience</v>
      </c>
      <c r="C31" s="48" t="str">
        <f>'UX Weekly'!D31</f>
        <v>Improve Trade In User Flow</v>
      </c>
      <c r="D31" s="48" t="str">
        <f>'UX Weekly'!E31</f>
        <v>New Condition Rating Scale (Intermediate Step)</v>
      </c>
      <c r="E31" s="48" t="str">
        <f>'UX Weekly'!F31</f>
        <v>BHJ-121278</v>
      </c>
      <c r="F31" s="48" t="str">
        <f>'UX Weekly'!G31</f>
        <v>07. Grooming</v>
      </c>
      <c r="I31" s="207" t="s">
        <v>180</v>
      </c>
      <c r="J31" s="207" t="s">
        <v>180</v>
      </c>
    </row>
    <row r="32" spans="1:11" ht="22" x14ac:dyDescent="0.3">
      <c r="A32" s="48" t="str">
        <f>'UX Weekly'!B32</f>
        <v>Find</v>
      </c>
      <c r="B32" s="48" t="str">
        <f>'UX Weekly'!C32</f>
        <v>Improve Discovery</v>
      </c>
      <c r="C32" s="48">
        <f>'UX Weekly'!D32</f>
        <v>0</v>
      </c>
      <c r="D32" s="48" t="str">
        <f>'UX Weekly'!E32</f>
        <v>Mega Menu</v>
      </c>
      <c r="E32" s="48" t="str">
        <f>'UX Weekly'!F32</f>
        <v>BHUX-29580</v>
      </c>
      <c r="F32" s="48" t="str">
        <f>'UX Weekly'!G32</f>
        <v>08. Ready for Dev</v>
      </c>
      <c r="I32" s="207" t="s">
        <v>181</v>
      </c>
      <c r="J32" s="207" t="s">
        <v>181</v>
      </c>
    </row>
    <row r="33" spans="1:10" ht="22" x14ac:dyDescent="0.3">
      <c r="A33" s="48" t="str">
        <f>'UX Weekly'!B33</f>
        <v>B2B</v>
      </c>
      <c r="B33" s="48" t="str">
        <f>'UX Weekly'!C33</f>
        <v>Increase B2B Acquisition</v>
      </c>
      <c r="C33" s="48">
        <f>'UX Weekly'!D33</f>
        <v>0</v>
      </c>
      <c r="D33" s="48" t="str">
        <f>'UX Weekly'!E33</f>
        <v>School Safety Landing Page</v>
      </c>
      <c r="E33" s="48" t="str">
        <f>'UX Weekly'!F33</f>
        <v>BHUX-34377</v>
      </c>
      <c r="F33" s="48" t="str">
        <f>'UX Weekly'!G33</f>
        <v>08. Ready for Dev</v>
      </c>
      <c r="I33" s="207" t="s">
        <v>181</v>
      </c>
      <c r="J33" s="207" t="s">
        <v>181</v>
      </c>
    </row>
    <row r="34" spans="1:10" ht="22" x14ac:dyDescent="0.3">
      <c r="A34" s="48" t="str">
        <f>'UX Weekly'!B34</f>
        <v>Find</v>
      </c>
      <c r="B34" s="48" t="str">
        <f>'UX Weekly'!C34</f>
        <v>Improve Discovery</v>
      </c>
      <c r="C34" s="48">
        <f>'UX Weekly'!D34</f>
        <v>0</v>
      </c>
      <c r="D34" s="48" t="str">
        <f>'UX Weekly'!E34</f>
        <v>Nested Refinements</v>
      </c>
      <c r="E34" s="48" t="str">
        <f>'UX Weekly'!F34</f>
        <v>BHUX-32621</v>
      </c>
      <c r="F34" s="48" t="str">
        <f>'UX Weekly'!G34</f>
        <v>08. Ready for Dev</v>
      </c>
      <c r="I34" s="207" t="s">
        <v>180</v>
      </c>
      <c r="J34" s="207" t="s">
        <v>180</v>
      </c>
    </row>
    <row r="35" spans="1:10" ht="22" x14ac:dyDescent="0.3">
      <c r="A35" s="48" t="str">
        <f>'UX Weekly'!B35</f>
        <v>Find</v>
      </c>
      <c r="B35" s="48" t="str">
        <f>'UX Weekly'!C35</f>
        <v>Improve Discovery</v>
      </c>
      <c r="C35" s="48">
        <f>'UX Weekly'!D35</f>
        <v>0</v>
      </c>
      <c r="D35" s="48" t="str">
        <f>'UX Weekly'!E35</f>
        <v>Sunset Modals for Drawers</v>
      </c>
      <c r="E35" s="48" t="str">
        <f>'UX Weekly'!F35</f>
        <v>BHUX-32543 </v>
      </c>
      <c r="F35" s="48" t="str">
        <f>'UX Weekly'!G35</f>
        <v>09. In Dev</v>
      </c>
      <c r="I35" s="207" t="s">
        <v>182</v>
      </c>
      <c r="J35" s="207" t="s">
        <v>182</v>
      </c>
    </row>
    <row r="36" spans="1:10" ht="22" x14ac:dyDescent="0.3">
      <c r="A36" s="48" t="str">
        <f>'UX Weekly'!B36</f>
        <v>Used</v>
      </c>
      <c r="B36" s="48" t="str">
        <f>'UX Weekly'!C36</f>
        <v>Improve Trade In User Flow</v>
      </c>
      <c r="C36" s="48">
        <f>'UX Weekly'!D36</f>
        <v>0</v>
      </c>
      <c r="D36" s="48" t="str">
        <f>'UX Weekly'!E36</f>
        <v>Trade In Discrepancy Email Refresh (Copy Only)</v>
      </c>
      <c r="E36" s="48">
        <f>'UX Weekly'!F36</f>
        <v>0</v>
      </c>
      <c r="F36" s="48" t="str">
        <f>'UX Weekly'!G36</f>
        <v>09. In Dev</v>
      </c>
      <c r="I36" s="207" t="s">
        <v>187</v>
      </c>
      <c r="J36" s="207" t="s">
        <v>187</v>
      </c>
    </row>
    <row r="37" spans="1:10" ht="22" x14ac:dyDescent="0.3">
      <c r="A37" s="48" t="str">
        <f>'UX Weekly'!B37</f>
        <v>Used</v>
      </c>
      <c r="B37" s="48" t="str">
        <f>'UX Weekly'!C37</f>
        <v>Increase Buy Used Awareness</v>
      </c>
      <c r="C37" s="48">
        <f>'UX Weekly'!D37</f>
        <v>0</v>
      </c>
      <c r="D37" s="48" t="str">
        <f>'UX Weekly'!E37</f>
        <v>Condition Grouping</v>
      </c>
      <c r="E37" s="48" t="str">
        <f>'UX Weekly'!F37</f>
        <v>BHUX-33519</v>
      </c>
      <c r="F37" s="48" t="str">
        <f>'UX Weekly'!G37</f>
        <v>10. QA</v>
      </c>
      <c r="I37" s="207" t="s">
        <v>182</v>
      </c>
      <c r="J37" s="207" t="s">
        <v>182</v>
      </c>
    </row>
    <row r="38" spans="1:10" ht="22" x14ac:dyDescent="0.3">
      <c r="A38" s="48" t="str">
        <f>'UX Weekly'!B38</f>
        <v>Find</v>
      </c>
      <c r="B38" s="48" t="str">
        <f>'UX Weekly'!C38</f>
        <v>Improve Discovery</v>
      </c>
      <c r="C38" s="48">
        <f>'UX Weekly'!D38</f>
        <v>0</v>
      </c>
      <c r="D38" s="48" t="str">
        <f>'UX Weekly'!E38</f>
        <v>Sliders</v>
      </c>
      <c r="E38" s="48" t="str">
        <f>'UX Weekly'!F38</f>
        <v>BHUX-17615</v>
      </c>
      <c r="F38" s="48" t="str">
        <f>'UX Weekly'!G38</f>
        <v>13. Live</v>
      </c>
      <c r="I38" s="207"/>
      <c r="J38" s="207"/>
    </row>
    <row r="39" spans="1:10" ht="22" x14ac:dyDescent="0.3">
      <c r="A39" s="48" t="str">
        <f>'UX Weekly'!B39</f>
        <v>Find</v>
      </c>
      <c r="B39" s="48" t="str">
        <f>'UX Weekly'!C39</f>
        <v>Improve Discovery</v>
      </c>
      <c r="C39" s="48">
        <f>'UX Weekly'!D39</f>
        <v>0</v>
      </c>
      <c r="D39" s="48" t="str">
        <f>'UX Weekly'!E39</f>
        <v>Refinement - Select All/Deselect All</v>
      </c>
      <c r="E39" s="48" t="str">
        <f>'UX Weekly'!F39</f>
        <v>BHUX-23755</v>
      </c>
      <c r="F39" s="48" t="str">
        <f>'UX Weekly'!G39</f>
        <v>13. Live</v>
      </c>
      <c r="I39" s="207"/>
      <c r="J39" s="207"/>
    </row>
    <row r="40" spans="1:10" ht="22" x14ac:dyDescent="0.3">
      <c r="A40" s="48" t="str">
        <f>'UX Weekly'!B40</f>
        <v>Find</v>
      </c>
      <c r="B40" s="48" t="str">
        <f>'UX Weekly'!C40</f>
        <v>Improve Discovery</v>
      </c>
      <c r="C40" s="48">
        <f>'UX Weekly'!D40</f>
        <v>0</v>
      </c>
      <c r="D40" s="48" t="str">
        <f>'UX Weekly'!E40</f>
        <v>My Gear 2 - Tray</v>
      </c>
      <c r="E40" s="48" t="str">
        <f>'UX Weekly'!F40</f>
        <v>BHUX-28124</v>
      </c>
      <c r="F40" s="48" t="str">
        <f>'UX Weekly'!G40</f>
        <v>13. Live</v>
      </c>
      <c r="I40" s="207"/>
      <c r="J40" s="207"/>
    </row>
    <row r="41" spans="1:10" ht="22" x14ac:dyDescent="0.3">
      <c r="A41" s="48" t="str">
        <f>'UX Weekly'!B41</f>
        <v>Find</v>
      </c>
      <c r="B41" s="48" t="str">
        <f>'UX Weekly'!C41</f>
        <v>Improve Discovery</v>
      </c>
      <c r="C41" s="48">
        <f>'UX Weekly'!D41</f>
        <v>0</v>
      </c>
      <c r="D41" s="48" t="str">
        <f>'UX Weekly'!E41</f>
        <v>H2 on listing pages</v>
      </c>
      <c r="E41" s="48" t="str">
        <f>'UX Weekly'!F41</f>
        <v>BHUX-31245</v>
      </c>
      <c r="F41" s="48" t="str">
        <f>'UX Weekly'!G41</f>
        <v>13. Live</v>
      </c>
      <c r="I41" s="207"/>
      <c r="J41" s="207"/>
    </row>
    <row r="42" spans="1:10" ht="22" x14ac:dyDescent="0.3">
      <c r="A42" s="48" t="str">
        <f>'UX Weekly'!B42</f>
        <v>Find</v>
      </c>
      <c r="B42" s="48" t="str">
        <f>'UX Weekly'!C42</f>
        <v>Improve Discovery</v>
      </c>
      <c r="C42" s="48">
        <f>'UX Weekly'!D42</f>
        <v>0</v>
      </c>
      <c r="D42" s="48" t="str">
        <f>'UX Weekly'!E42</f>
        <v>Sunset Dealzone</v>
      </c>
      <c r="E42" s="48" t="str">
        <f>'UX Weekly'!F42</f>
        <v>BHUX-32071</v>
      </c>
      <c r="F42" s="48" t="str">
        <f>'UX Weekly'!G42</f>
        <v>13. Live</v>
      </c>
      <c r="I42" s="207"/>
      <c r="J42" s="207"/>
    </row>
    <row r="43" spans="1:10" ht="22" x14ac:dyDescent="0.3">
      <c r="A43" s="48" t="str">
        <f>'UX Weekly'!B43</f>
        <v>Find</v>
      </c>
      <c r="B43" s="48" t="str">
        <f>'UX Weekly'!C43</f>
        <v>Improve Discovery</v>
      </c>
      <c r="C43" s="48">
        <f>'UX Weekly'!D43</f>
        <v>0</v>
      </c>
      <c r="D43" s="48" t="str">
        <f>'UX Weekly'!E43</f>
        <v>Highlighted Refinements</v>
      </c>
      <c r="E43" s="48" t="str">
        <f>'UX Weekly'!F43</f>
        <v>BHUX-29921</v>
      </c>
      <c r="F43" s="48" t="str">
        <f>'UX Weekly'!G43</f>
        <v>13. Live</v>
      </c>
      <c r="I43" s="207"/>
      <c r="J43" s="207"/>
    </row>
    <row r="44" spans="1:10" ht="22" x14ac:dyDescent="0.3">
      <c r="A44" s="48" t="str">
        <f>'UX Weekly'!B44</f>
        <v>B2B</v>
      </c>
      <c r="B44" s="48" t="str">
        <f>'UX Weekly'!C44</f>
        <v>Increase B2B Acquisition</v>
      </c>
      <c r="C44" s="48">
        <f>'UX Weekly'!D44</f>
        <v>0</v>
      </c>
      <c r="D44" s="48" t="str">
        <f>'UX Weekly'!E44</f>
        <v>EDU Homepage</v>
      </c>
      <c r="E44" s="48" t="str">
        <f>'UX Weekly'!F44</f>
        <v>BHUX-25601</v>
      </c>
      <c r="F44" s="48" t="str">
        <f>'UX Weekly'!G44</f>
        <v>13. Live</v>
      </c>
      <c r="I44" s="207" t="s">
        <v>182</v>
      </c>
      <c r="J44" s="207" t="s">
        <v>182</v>
      </c>
    </row>
    <row r="45" spans="1:10" ht="22" x14ac:dyDescent="0.3">
      <c r="A45" s="48" t="str">
        <f>'UX Weekly'!B45</f>
        <v>Used</v>
      </c>
      <c r="B45" s="48" t="str">
        <f>'UX Weekly'!C45</f>
        <v>Improve Buy Used Customer Experience</v>
      </c>
      <c r="C45" s="48">
        <f>'UX Weekly'!D45</f>
        <v>0</v>
      </c>
      <c r="D45" s="48" t="str">
        <f>'UX Weekly'!E45</f>
        <v>Actual Used Images</v>
      </c>
      <c r="E45" s="48" t="str">
        <f>'UX Weekly'!F45</f>
        <v>BHP-4563</v>
      </c>
      <c r="F45" s="48" t="str">
        <f>'UX Weekly'!G45</f>
        <v>13. Live</v>
      </c>
      <c r="I45" s="207"/>
      <c r="J45" s="207"/>
    </row>
    <row r="46" spans="1:10" ht="22" x14ac:dyDescent="0.3">
      <c r="A46" s="48" t="str">
        <f>'UX Weekly'!B46</f>
        <v>Used</v>
      </c>
      <c r="B46" s="48" t="str">
        <f>'UX Weekly'!C46</f>
        <v>Increase Buy Used Awareness</v>
      </c>
      <c r="C46" s="48">
        <f>'UX Weekly'!D46</f>
        <v>0</v>
      </c>
      <c r="D46" s="48" t="str">
        <f>'UX Weekly'!E46</f>
        <v>Used Hub Enhancements</v>
      </c>
      <c r="E46" s="48" t="str">
        <f>'UX Weekly'!F46</f>
        <v>BHUX-31354 </v>
      </c>
      <c r="F46" s="48" t="str">
        <f>'UX Weekly'!G46</f>
        <v>13. Live</v>
      </c>
      <c r="I46" s="207"/>
      <c r="J46" s="207"/>
    </row>
    <row r="47" spans="1:10" ht="22" x14ac:dyDescent="0.3">
      <c r="D47" s="48">
        <f>'UX Weekly'!E47</f>
        <v>0</v>
      </c>
      <c r="E47" s="48">
        <f>'UX Weekly'!F47</f>
        <v>0</v>
      </c>
      <c r="F47" s="48">
        <f>'UX Weekly'!G47</f>
        <v>0</v>
      </c>
    </row>
    <row r="48" spans="1:10" ht="22" x14ac:dyDescent="0.3">
      <c r="D48" s="48">
        <f>'UX Weekly'!E48</f>
        <v>0</v>
      </c>
      <c r="E48" s="48">
        <f>'UX Weekly'!F48</f>
        <v>0</v>
      </c>
      <c r="F48" s="48">
        <f>'UX Weekly'!G48</f>
        <v>0</v>
      </c>
    </row>
    <row r="49" spans="4:6" ht="22" x14ac:dyDescent="0.3">
      <c r="D49" s="48">
        <f>'UX Weekly'!E49</f>
        <v>0</v>
      </c>
      <c r="E49" s="48">
        <f>'UX Weekly'!F49</f>
        <v>0</v>
      </c>
      <c r="F49" s="48">
        <f>'UX Weekly'!G49</f>
        <v>0</v>
      </c>
    </row>
    <row r="50" spans="4:6" ht="22" x14ac:dyDescent="0.3">
      <c r="D50" s="48"/>
    </row>
    <row r="51" spans="4:6" ht="22" x14ac:dyDescent="0.3">
      <c r="D51" s="48"/>
    </row>
    <row r="52" spans="4:6" ht="22" x14ac:dyDescent="0.3">
      <c r="D52" s="48"/>
    </row>
    <row r="53" spans="4:6" ht="22" x14ac:dyDescent="0.3">
      <c r="D53" s="48"/>
    </row>
    <row r="54" spans="4:6" ht="22" x14ac:dyDescent="0.3">
      <c r="D54" s="48"/>
    </row>
    <row r="55" spans="4:6" ht="22" x14ac:dyDescent="0.3">
      <c r="D55" s="48"/>
    </row>
    <row r="56" spans="4:6" ht="22" x14ac:dyDescent="0.3">
      <c r="D56" s="48"/>
    </row>
    <row r="57" spans="4:6" ht="22" x14ac:dyDescent="0.3">
      <c r="D57" s="48"/>
    </row>
    <row r="58" spans="4:6" ht="22" x14ac:dyDescent="0.3">
      <c r="D58" s="48"/>
    </row>
    <row r="59" spans="4:6" ht="22" x14ac:dyDescent="0.3">
      <c r="D59" s="48"/>
    </row>
    <row r="60" spans="4:6" ht="22" x14ac:dyDescent="0.3">
      <c r="D60" s="48"/>
    </row>
    <row r="61" spans="4:6" ht="22" x14ac:dyDescent="0.3">
      <c r="D61" s="48"/>
    </row>
    <row r="62" spans="4:6" ht="22" x14ac:dyDescent="0.3">
      <c r="D62" s="48"/>
    </row>
    <row r="63" spans="4:6" ht="22" x14ac:dyDescent="0.3">
      <c r="D63" s="48"/>
    </row>
    <row r="64" spans="4:6" ht="22" x14ac:dyDescent="0.3">
      <c r="D64" s="48"/>
    </row>
    <row r="65" spans="4:4" ht="22" x14ac:dyDescent="0.3">
      <c r="D65" s="48"/>
    </row>
    <row r="66" spans="4:4" ht="22" x14ac:dyDescent="0.3">
      <c r="D66" s="48"/>
    </row>
    <row r="67" spans="4:4" ht="22" x14ac:dyDescent="0.3">
      <c r="D67" s="48"/>
    </row>
    <row r="68" spans="4:4" ht="22" x14ac:dyDescent="0.3">
      <c r="D68" s="48"/>
    </row>
    <row r="69" spans="4:4" ht="22" x14ac:dyDescent="0.3">
      <c r="D69" s="48"/>
    </row>
    <row r="70" spans="4:4" ht="22" x14ac:dyDescent="0.3">
      <c r="D70" s="48"/>
    </row>
    <row r="71" spans="4:4" ht="22" x14ac:dyDescent="0.3">
      <c r="D71" s="48"/>
    </row>
    <row r="72" spans="4:4" ht="22" x14ac:dyDescent="0.3">
      <c r="D72" s="48"/>
    </row>
    <row r="73" spans="4:4" ht="22" x14ac:dyDescent="0.3">
      <c r="D73" s="48"/>
    </row>
  </sheetData>
  <autoFilter ref="A1:K1" xr:uid="{A58D9113-BFF1-B540-AE75-735869F650C3}"/>
  <phoneticPr fontId="20" type="noConversion"/>
  <conditionalFormatting sqref="G13:H16">
    <cfRule type="cellIs" dxfId="15" priority="42" operator="equal">
      <formula>"Merchandising"</formula>
    </cfRule>
    <cfRule type="cellIs" dxfId="14" priority="43" operator="equal">
      <formula>"B2B"</formula>
    </cfRule>
    <cfRule type="cellIs" dxfId="13" priority="44" operator="equal">
      <formula>"Used Operations"</formula>
    </cfRule>
    <cfRule type="cellIs" dxfId="12" priority="45" operator="equal">
      <formula>"Web Experience"</formula>
    </cfRule>
  </conditionalFormatting>
  <conditionalFormatting sqref="D50:D73 A1:C1 A2:I2 D3:F49 A3:C46 G3:H12 I3:I46 J2:J46">
    <cfRule type="cellIs" dxfId="11" priority="5" operator="equal">
      <formula>"The Studio - B2B"</formula>
    </cfRule>
    <cfRule type="cellIs" dxfId="10" priority="26" operator="equal">
      <formula>"Merchandising"</formula>
    </cfRule>
    <cfRule type="cellIs" dxfId="9" priority="27" operator="equal">
      <formula>"B2B"</formula>
    </cfRule>
    <cfRule type="cellIs" dxfId="8" priority="28" operator="equal">
      <formula>"Used Operations"</formula>
    </cfRule>
    <cfRule type="cellIs" dxfId="7" priority="29" operator="equal">
      <formula>"Web Experience"</formula>
    </cfRule>
  </conditionalFormatting>
  <conditionalFormatting sqref="K2">
    <cfRule type="cellIs" dxfId="6" priority="46" operator="equal">
      <formula>"Merchandising"</formula>
    </cfRule>
    <cfRule type="cellIs" dxfId="5" priority="47" operator="equal">
      <formula>"B2B"</formula>
    </cfRule>
    <cfRule type="cellIs" dxfId="4" priority="48" operator="equal">
      <formula>"Used Operations"</formula>
    </cfRule>
    <cfRule type="cellIs" dxfId="3" priority="49" operator="equal">
      <formula>"Web Experience"</formula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E2472F0-C683-C14C-9376-238114CEF74F}">
          <x14:formula1>
            <xm:f>'Control (Don’t Touch)'!$N$5:$N$28</xm:f>
          </x14:formula1>
          <xm:sqref>I2:J46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0C237-3161-8B48-8A76-B4B9CD85A021}">
  <dimension ref="B3:R42"/>
  <sheetViews>
    <sheetView workbookViewId="0">
      <selection activeCell="B39" sqref="B39"/>
    </sheetView>
  </sheetViews>
  <sheetFormatPr baseColWidth="10" defaultRowHeight="16" x14ac:dyDescent="0.2"/>
  <cols>
    <col min="2" max="2" width="95.1640625" customWidth="1"/>
    <col min="3" max="3" width="69.33203125" customWidth="1"/>
  </cols>
  <sheetData>
    <row r="3" spans="2:18" ht="46" customHeight="1" x14ac:dyDescent="0.3">
      <c r="B3" s="178" t="s">
        <v>797</v>
      </c>
      <c r="C3" s="178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</row>
    <row r="4" spans="2:18" ht="22" x14ac:dyDescent="0.3">
      <c r="B4" s="141" t="s">
        <v>794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</row>
    <row r="5" spans="2:18" ht="22" x14ac:dyDescent="0.3">
      <c r="B5" s="141" t="s">
        <v>732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</row>
    <row r="6" spans="2:18" ht="22" x14ac:dyDescent="0.3">
      <c r="B6" s="141" t="s">
        <v>733</v>
      </c>
    </row>
    <row r="7" spans="2:18" ht="22" x14ac:dyDescent="0.3">
      <c r="B7" s="141" t="s">
        <v>734</v>
      </c>
    </row>
    <row r="8" spans="2:18" ht="22" x14ac:dyDescent="0.3">
      <c r="B8" s="141" t="s">
        <v>735</v>
      </c>
    </row>
    <row r="37" spans="2:3" ht="22" x14ac:dyDescent="0.3">
      <c r="B37" s="88" t="s">
        <v>795</v>
      </c>
      <c r="C37" s="89" t="s">
        <v>796</v>
      </c>
    </row>
    <row r="38" spans="2:3" ht="46" x14ac:dyDescent="0.3">
      <c r="B38" s="88" t="s">
        <v>216</v>
      </c>
      <c r="C38" s="90" t="s">
        <v>624</v>
      </c>
    </row>
    <row r="39" spans="2:3" ht="23" x14ac:dyDescent="0.3">
      <c r="B39" s="88" t="s">
        <v>799</v>
      </c>
      <c r="C39" s="90" t="s">
        <v>798</v>
      </c>
    </row>
    <row r="40" spans="2:3" ht="22" x14ac:dyDescent="0.3">
      <c r="B40" s="88" t="s">
        <v>627</v>
      </c>
      <c r="C40" s="89" t="s">
        <v>628</v>
      </c>
    </row>
    <row r="41" spans="2:3" ht="22" x14ac:dyDescent="0.3">
      <c r="B41" s="88" t="s">
        <v>525</v>
      </c>
      <c r="C41" s="89" t="s">
        <v>626</v>
      </c>
    </row>
    <row r="42" spans="2:3" ht="22" x14ac:dyDescent="0.3">
      <c r="B42" s="88" t="s">
        <v>304</v>
      </c>
      <c r="C42" s="89" t="s">
        <v>625</v>
      </c>
    </row>
  </sheetData>
  <mergeCells count="1">
    <mergeCell ref="B3:C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F1C9-7E05-4346-A958-24362E06B0FE}">
  <dimension ref="A3:AG9"/>
  <sheetViews>
    <sheetView workbookViewId="0">
      <selection activeCell="D11" sqref="D11"/>
    </sheetView>
  </sheetViews>
  <sheetFormatPr baseColWidth="10" defaultRowHeight="16" x14ac:dyDescent="0.2"/>
  <cols>
    <col min="1" max="1" width="13.6640625" bestFit="1" customWidth="1"/>
  </cols>
  <sheetData>
    <row r="3" spans="1:33" ht="17" thickBot="1" x14ac:dyDescent="0.25">
      <c r="A3" s="78" t="s">
        <v>67</v>
      </c>
      <c r="B3" s="78" t="s">
        <v>133</v>
      </c>
      <c r="C3" s="79" t="s">
        <v>216</v>
      </c>
      <c r="D3" s="78" t="s">
        <v>68</v>
      </c>
      <c r="E3" s="78" t="s">
        <v>70</v>
      </c>
      <c r="F3" s="81" t="s">
        <v>69</v>
      </c>
    </row>
    <row r="4" spans="1:33" ht="18" thickTop="1" thickBot="1" x14ac:dyDescent="0.25">
      <c r="A4" s="69" t="s">
        <v>78</v>
      </c>
      <c r="B4" s="77"/>
      <c r="C4" s="77"/>
      <c r="D4" s="73" t="s">
        <v>81</v>
      </c>
      <c r="E4" s="39" t="s">
        <v>82</v>
      </c>
      <c r="F4" t="s">
        <v>200</v>
      </c>
      <c r="G4" s="82"/>
      <c r="H4" s="82"/>
      <c r="I4" s="76"/>
      <c r="J4" s="82"/>
      <c r="K4" s="82"/>
      <c r="L4" s="82"/>
      <c r="M4" s="82"/>
      <c r="N4" s="83"/>
      <c r="O4" s="83"/>
      <c r="P4" s="83"/>
      <c r="Q4" s="83"/>
      <c r="R4" s="83"/>
      <c r="S4" s="84"/>
      <c r="T4" s="83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</row>
    <row r="5" spans="1:33" ht="17" thickTop="1" x14ac:dyDescent="0.2">
      <c r="A5" s="37" t="s">
        <v>78</v>
      </c>
      <c r="B5" s="70" t="s">
        <v>139</v>
      </c>
      <c r="C5" s="70"/>
      <c r="D5" s="72" t="s">
        <v>79</v>
      </c>
      <c r="E5" s="74" t="s">
        <v>80</v>
      </c>
      <c r="F5" t="s">
        <v>213</v>
      </c>
      <c r="G5" s="76"/>
      <c r="H5" s="76"/>
      <c r="I5" s="76"/>
      <c r="J5" s="76"/>
      <c r="K5" s="76"/>
      <c r="L5" s="76"/>
      <c r="M5" s="82"/>
      <c r="N5" s="83"/>
      <c r="O5" s="83"/>
      <c r="P5" s="83"/>
      <c r="Q5" s="83"/>
      <c r="R5" s="83"/>
      <c r="S5" s="84"/>
      <c r="T5" s="83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</row>
    <row r="6" spans="1:33" ht="34" x14ac:dyDescent="0.2">
      <c r="A6" s="37" t="s">
        <v>78</v>
      </c>
      <c r="B6" s="37" t="s">
        <v>170</v>
      </c>
      <c r="C6" s="37"/>
      <c r="D6" s="37" t="s">
        <v>163</v>
      </c>
      <c r="E6" s="64" t="s">
        <v>88</v>
      </c>
      <c r="F6" t="s">
        <v>213</v>
      </c>
      <c r="G6" s="76"/>
      <c r="H6" s="76"/>
      <c r="I6" s="76"/>
      <c r="J6" s="76"/>
      <c r="K6" s="82"/>
      <c r="L6" s="76"/>
      <c r="M6" s="76"/>
      <c r="N6" s="85"/>
      <c r="O6" s="85"/>
      <c r="P6" s="83"/>
      <c r="Q6" s="83"/>
      <c r="R6" s="83"/>
      <c r="S6" s="84"/>
      <c r="T6" s="83"/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  <c r="AF6" s="84"/>
      <c r="AG6" s="84"/>
    </row>
    <row r="7" spans="1:33" x14ac:dyDescent="0.2">
      <c r="A7" s="37" t="s">
        <v>78</v>
      </c>
      <c r="B7" s="37" t="s">
        <v>169</v>
      </c>
      <c r="C7" s="37"/>
      <c r="D7" s="37" t="s">
        <v>89</v>
      </c>
      <c r="E7" s="39" t="s">
        <v>90</v>
      </c>
      <c r="F7" t="s">
        <v>213</v>
      </c>
      <c r="G7" s="76"/>
      <c r="H7" s="76"/>
      <c r="I7" s="76"/>
      <c r="J7" s="76"/>
      <c r="K7" s="82"/>
      <c r="L7" s="76"/>
      <c r="M7" s="82"/>
      <c r="N7" s="85"/>
      <c r="O7" s="83"/>
      <c r="P7" s="85"/>
      <c r="Q7" s="83"/>
      <c r="R7" s="83"/>
      <c r="S7" s="84"/>
      <c r="T7" s="83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</row>
    <row r="8" spans="1:33" ht="34" x14ac:dyDescent="0.2">
      <c r="A8" s="37" t="s">
        <v>78</v>
      </c>
      <c r="B8" s="37" t="s">
        <v>139</v>
      </c>
      <c r="C8" s="37"/>
      <c r="D8" s="37" t="s">
        <v>91</v>
      </c>
      <c r="E8" s="64" t="s">
        <v>92</v>
      </c>
      <c r="F8" t="s">
        <v>213</v>
      </c>
      <c r="G8" s="76"/>
      <c r="H8" s="76"/>
      <c r="I8" s="76"/>
      <c r="J8" s="76"/>
      <c r="K8" s="76"/>
      <c r="L8" s="76"/>
      <c r="M8" s="76"/>
      <c r="N8" s="85"/>
      <c r="O8" s="83"/>
      <c r="P8" s="83"/>
      <c r="Q8" s="83"/>
      <c r="R8" s="83"/>
      <c r="S8" s="84"/>
      <c r="T8" s="83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</row>
    <row r="9" spans="1:33" x14ac:dyDescent="0.2">
      <c r="A9" s="37" t="s">
        <v>78</v>
      </c>
      <c r="B9" s="37" t="s">
        <v>139</v>
      </c>
      <c r="C9" s="37"/>
      <c r="D9" s="37" t="s">
        <v>83</v>
      </c>
      <c r="E9" s="39" t="s">
        <v>85</v>
      </c>
      <c r="F9" t="s">
        <v>84</v>
      </c>
      <c r="G9" s="82"/>
      <c r="H9" s="82"/>
      <c r="I9" s="82"/>
      <c r="J9" s="82"/>
      <c r="K9" s="86"/>
      <c r="L9" s="87"/>
      <c r="M9" s="76"/>
      <c r="N9" s="83"/>
      <c r="O9" s="83"/>
      <c r="P9" s="83"/>
      <c r="Q9" s="83"/>
      <c r="R9" s="83"/>
      <c r="S9" s="84"/>
      <c r="T9" s="83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</row>
  </sheetData>
  <conditionalFormatting sqref="B3:B9">
    <cfRule type="cellIs" dxfId="2" priority="1" stopIfTrue="1" operator="equal">
      <formula>"Find"</formula>
    </cfRule>
    <cfRule type="cellIs" dxfId="1" priority="2" operator="equal">
      <formula>"Used"</formula>
    </cfRule>
    <cfRule type="cellIs" dxfId="0" priority="3" stopIfTrue="1" operator="equal">
      <formula>"B2B"</formula>
    </cfRule>
  </conditionalFormatting>
  <hyperlinks>
    <hyperlink ref="E5" r:id="rId1" display="https://jira.bnh.com/browse/BHUX-33186" xr:uid="{074C5F84-8EF1-E045-B283-08C54B5C01CF}"/>
    <hyperlink ref="E7" r:id="rId2" tooltip="https://jira.bnh.com/browse/bhux-33409" display="https://jira.bnh.com/browse/BHUX-33409" xr:uid="{00DF9B98-BF11-AE41-AFE0-88BF4AF6C360}"/>
    <hyperlink ref="E4" r:id="rId3" display="https://jira.bnh.com/browse/BHUX-33524" xr:uid="{55D4151B-8B54-4054-8569-1F33DAA4EE99}"/>
    <hyperlink ref="E9" r:id="rId4" xr:uid="{2A7F7C1C-FA9B-4845-BC7B-DFAA0430B083}"/>
    <hyperlink ref="E8" r:id="rId5" xr:uid="{702B82B1-994C-4B69-9082-A4B41DCCB7EE}"/>
    <hyperlink ref="E6" r:id="rId6" xr:uid="{0F8E3B74-CDDF-4F84-B5FB-B1871B98445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82EB7-3761-CD40-9A90-764016143F0F}">
  <dimension ref="A3:O28"/>
  <sheetViews>
    <sheetView workbookViewId="0">
      <selection activeCell="N3" sqref="N3"/>
    </sheetView>
  </sheetViews>
  <sheetFormatPr baseColWidth="10" defaultRowHeight="22" x14ac:dyDescent="0.3"/>
  <cols>
    <col min="2" max="2" width="38" bestFit="1" customWidth="1"/>
    <col min="5" max="5" width="51.5" bestFit="1" customWidth="1"/>
    <col min="6" max="6" width="48.33203125" customWidth="1"/>
    <col min="7" max="7" width="38.1640625" customWidth="1"/>
    <col min="8" max="8" width="37.5" customWidth="1"/>
    <col min="10" max="10" width="33.6640625" customWidth="1"/>
    <col min="11" max="11" width="33.33203125" bestFit="1" customWidth="1"/>
    <col min="14" max="14" width="10.83203125" style="89"/>
  </cols>
  <sheetData>
    <row r="3" spans="1:15" x14ac:dyDescent="0.3">
      <c r="A3" s="88" t="s">
        <v>133</v>
      </c>
      <c r="B3" s="88" t="s">
        <v>69</v>
      </c>
      <c r="C3" s="88"/>
      <c r="D3" s="88"/>
      <c r="E3" s="47" t="s">
        <v>216</v>
      </c>
      <c r="F3" s="47" t="s">
        <v>240</v>
      </c>
      <c r="G3" s="47" t="s">
        <v>247</v>
      </c>
      <c r="H3" s="47" t="s">
        <v>241</v>
      </c>
      <c r="J3" s="88"/>
      <c r="K3" s="88" t="s">
        <v>694</v>
      </c>
      <c r="N3" s="88" t="s">
        <v>849</v>
      </c>
    </row>
    <row r="4" spans="1:15" x14ac:dyDescent="0.3">
      <c r="A4" s="89" t="s">
        <v>139</v>
      </c>
      <c r="B4" s="89" t="s">
        <v>202</v>
      </c>
      <c r="E4" s="49" t="s">
        <v>207</v>
      </c>
      <c r="F4" s="89" t="s">
        <v>269</v>
      </c>
      <c r="G4" s="91"/>
      <c r="H4" s="91"/>
      <c r="K4" s="136"/>
    </row>
    <row r="5" spans="1:15" ht="92" x14ac:dyDescent="0.3">
      <c r="A5" s="89" t="s">
        <v>166</v>
      </c>
      <c r="B5" s="89" t="s">
        <v>223</v>
      </c>
      <c r="E5" s="49" t="s">
        <v>208</v>
      </c>
      <c r="F5" s="91" t="s">
        <v>614</v>
      </c>
      <c r="G5" s="91" t="s">
        <v>248</v>
      </c>
      <c r="H5" s="91" t="s">
        <v>259</v>
      </c>
      <c r="K5" s="135" t="s">
        <v>645</v>
      </c>
      <c r="N5" s="228" t="s">
        <v>851</v>
      </c>
      <c r="O5" s="208"/>
    </row>
    <row r="6" spans="1:15" ht="115" x14ac:dyDescent="0.3">
      <c r="A6" s="89" t="s">
        <v>168</v>
      </c>
      <c r="B6" s="89" t="s">
        <v>195</v>
      </c>
      <c r="E6" s="49" t="s">
        <v>204</v>
      </c>
      <c r="F6" s="91" t="s">
        <v>615</v>
      </c>
      <c r="G6" s="91" t="s">
        <v>251</v>
      </c>
      <c r="H6" s="92" t="s">
        <v>252</v>
      </c>
      <c r="K6" s="140" t="s">
        <v>562</v>
      </c>
      <c r="N6" s="228" t="s">
        <v>852</v>
      </c>
      <c r="O6" s="208"/>
    </row>
    <row r="7" spans="1:15" ht="92" x14ac:dyDescent="0.3">
      <c r="A7" s="89"/>
      <c r="B7" s="89" t="s">
        <v>197</v>
      </c>
      <c r="E7" s="49" t="s">
        <v>212</v>
      </c>
      <c r="F7" s="91" t="s">
        <v>245</v>
      </c>
      <c r="G7" s="91" t="s">
        <v>253</v>
      </c>
      <c r="H7" s="91" t="s">
        <v>254</v>
      </c>
      <c r="K7" s="140" t="s">
        <v>695</v>
      </c>
      <c r="N7" s="228" t="s">
        <v>183</v>
      </c>
      <c r="O7" s="208"/>
    </row>
    <row r="8" spans="1:15" ht="161" x14ac:dyDescent="0.3">
      <c r="A8" s="89"/>
      <c r="B8" s="89" t="s">
        <v>198</v>
      </c>
      <c r="E8" s="49" t="s">
        <v>209</v>
      </c>
      <c r="F8" s="91" t="s">
        <v>244</v>
      </c>
      <c r="G8" s="91" t="s">
        <v>249</v>
      </c>
      <c r="H8" s="91" t="s">
        <v>250</v>
      </c>
      <c r="K8" s="140" t="s">
        <v>696</v>
      </c>
      <c r="N8" s="228" t="s">
        <v>854</v>
      </c>
      <c r="O8" s="208"/>
    </row>
    <row r="9" spans="1:15" ht="115" x14ac:dyDescent="0.3">
      <c r="A9" s="89"/>
      <c r="B9" s="89" t="s">
        <v>196</v>
      </c>
      <c r="E9" s="49" t="s">
        <v>206</v>
      </c>
      <c r="F9" s="91" t="s">
        <v>616</v>
      </c>
      <c r="G9" s="91" t="s">
        <v>255</v>
      </c>
      <c r="H9" s="91" t="s">
        <v>256</v>
      </c>
      <c r="K9" s="140" t="s">
        <v>697</v>
      </c>
      <c r="N9" s="228" t="s">
        <v>853</v>
      </c>
      <c r="O9" s="208"/>
    </row>
    <row r="10" spans="1:15" ht="92" x14ac:dyDescent="0.3">
      <c r="A10" s="89"/>
      <c r="B10" s="89" t="s">
        <v>199</v>
      </c>
      <c r="E10" s="49" t="s">
        <v>246</v>
      </c>
      <c r="F10" s="91" t="s">
        <v>617</v>
      </c>
      <c r="G10" s="91" t="s">
        <v>257</v>
      </c>
      <c r="H10" s="91" t="s">
        <v>258</v>
      </c>
      <c r="K10" s="140" t="s">
        <v>698</v>
      </c>
      <c r="N10" s="228" t="s">
        <v>184</v>
      </c>
      <c r="O10" s="208"/>
    </row>
    <row r="11" spans="1:15" x14ac:dyDescent="0.3">
      <c r="A11" s="89"/>
      <c r="B11" s="89" t="s">
        <v>213</v>
      </c>
      <c r="E11" s="49" t="s">
        <v>211</v>
      </c>
      <c r="F11" s="91"/>
      <c r="G11" s="91"/>
      <c r="H11" s="91"/>
      <c r="K11" s="140" t="s">
        <v>699</v>
      </c>
      <c r="N11" s="228" t="s">
        <v>187</v>
      </c>
      <c r="O11" s="208"/>
    </row>
    <row r="12" spans="1:15" x14ac:dyDescent="0.3">
      <c r="A12" s="89"/>
      <c r="B12" s="89" t="s">
        <v>224</v>
      </c>
      <c r="E12" s="49" t="s">
        <v>210</v>
      </c>
      <c r="F12" s="91"/>
      <c r="G12" s="91"/>
      <c r="H12" s="91"/>
      <c r="K12" s="140" t="s">
        <v>700</v>
      </c>
      <c r="N12" s="228" t="s">
        <v>182</v>
      </c>
      <c r="O12" s="208"/>
    </row>
    <row r="13" spans="1:15" x14ac:dyDescent="0.3">
      <c r="A13" s="89"/>
      <c r="B13" s="89" t="s">
        <v>201</v>
      </c>
      <c r="E13" s="49" t="s">
        <v>205</v>
      </c>
      <c r="F13" s="91"/>
      <c r="G13" s="91"/>
      <c r="H13" s="91"/>
      <c r="K13" s="140" t="s">
        <v>701</v>
      </c>
      <c r="N13" s="228" t="s">
        <v>181</v>
      </c>
      <c r="O13" s="208"/>
    </row>
    <row r="14" spans="1:15" ht="138" x14ac:dyDescent="0.3">
      <c r="A14" s="89"/>
      <c r="B14" s="89" t="s">
        <v>220</v>
      </c>
      <c r="E14" s="49" t="s">
        <v>262</v>
      </c>
      <c r="F14" s="91" t="s">
        <v>268</v>
      </c>
      <c r="G14" s="91"/>
      <c r="H14" s="91"/>
      <c r="K14" s="140" t="s">
        <v>702</v>
      </c>
      <c r="N14" s="228" t="s">
        <v>180</v>
      </c>
      <c r="O14" s="208"/>
    </row>
    <row r="15" spans="1:15" ht="138" x14ac:dyDescent="0.3">
      <c r="A15" s="89"/>
      <c r="B15" s="89" t="s">
        <v>214</v>
      </c>
      <c r="E15" s="48" t="s">
        <v>524</v>
      </c>
      <c r="F15" s="91" t="s">
        <v>267</v>
      </c>
      <c r="G15" s="37"/>
      <c r="H15" s="37"/>
      <c r="K15" s="140" t="s">
        <v>703</v>
      </c>
      <c r="N15" s="228" t="s">
        <v>864</v>
      </c>
      <c r="O15" s="208"/>
    </row>
    <row r="16" spans="1:15" x14ac:dyDescent="0.3">
      <c r="A16" s="89"/>
      <c r="B16" s="89" t="s">
        <v>266</v>
      </c>
      <c r="E16" s="48"/>
      <c r="F16" s="37"/>
      <c r="G16" s="37"/>
      <c r="H16" s="37"/>
      <c r="K16" s="140" t="s">
        <v>704</v>
      </c>
      <c r="N16" s="228" t="s">
        <v>865</v>
      </c>
      <c r="O16" s="208"/>
    </row>
    <row r="17" spans="1:15" x14ac:dyDescent="0.3">
      <c r="A17" s="89"/>
      <c r="B17" s="89" t="s">
        <v>265</v>
      </c>
      <c r="K17" s="140" t="s">
        <v>705</v>
      </c>
      <c r="N17" s="228" t="s">
        <v>186</v>
      </c>
      <c r="O17" s="208"/>
    </row>
    <row r="18" spans="1:15" x14ac:dyDescent="0.3">
      <c r="A18" s="89"/>
      <c r="B18" s="89" t="s">
        <v>264</v>
      </c>
      <c r="K18" s="140" t="s">
        <v>706</v>
      </c>
      <c r="N18" s="228" t="s">
        <v>855</v>
      </c>
      <c r="O18" s="208"/>
    </row>
    <row r="19" spans="1:15" x14ac:dyDescent="0.3">
      <c r="A19" s="89"/>
      <c r="B19" s="89" t="s">
        <v>263</v>
      </c>
      <c r="K19" s="140" t="s">
        <v>707</v>
      </c>
      <c r="N19" s="228" t="s">
        <v>185</v>
      </c>
    </row>
    <row r="20" spans="1:15" x14ac:dyDescent="0.3">
      <c r="K20" s="140" t="s">
        <v>708</v>
      </c>
      <c r="N20" s="228" t="s">
        <v>856</v>
      </c>
    </row>
    <row r="21" spans="1:15" x14ac:dyDescent="0.3">
      <c r="K21" s="140" t="s">
        <v>709</v>
      </c>
      <c r="N21" s="228" t="s">
        <v>857</v>
      </c>
    </row>
    <row r="22" spans="1:15" x14ac:dyDescent="0.3">
      <c r="K22" s="140" t="s">
        <v>710</v>
      </c>
      <c r="N22" s="228" t="s">
        <v>858</v>
      </c>
    </row>
    <row r="23" spans="1:15" x14ac:dyDescent="0.3">
      <c r="K23" s="140" t="s">
        <v>711</v>
      </c>
      <c r="N23" s="228" t="s">
        <v>859</v>
      </c>
    </row>
    <row r="24" spans="1:15" x14ac:dyDescent="0.3">
      <c r="K24" s="140" t="s">
        <v>712</v>
      </c>
      <c r="N24" s="228" t="s">
        <v>860</v>
      </c>
    </row>
    <row r="25" spans="1:15" x14ac:dyDescent="0.3">
      <c r="K25" s="140" t="s">
        <v>713</v>
      </c>
      <c r="N25" s="228" t="s">
        <v>861</v>
      </c>
    </row>
    <row r="26" spans="1:15" x14ac:dyDescent="0.3">
      <c r="K26" s="140" t="s">
        <v>714</v>
      </c>
      <c r="N26" s="228" t="s">
        <v>850</v>
      </c>
    </row>
    <row r="27" spans="1:15" x14ac:dyDescent="0.3">
      <c r="K27" s="115"/>
      <c r="N27" s="228" t="s">
        <v>862</v>
      </c>
    </row>
    <row r="28" spans="1:15" x14ac:dyDescent="0.3">
      <c r="N28" s="228" t="s">
        <v>863</v>
      </c>
    </row>
  </sheetData>
  <phoneticPr fontId="2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11510-08D4-994D-AE3B-74BB50A6D518}">
  <dimension ref="A2:K55"/>
  <sheetViews>
    <sheetView zoomScale="115" zoomScaleNormal="11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RowHeight="16" x14ac:dyDescent="0.2"/>
  <cols>
    <col min="2" max="2" width="45" bestFit="1" customWidth="1"/>
    <col min="3" max="3" width="56.5" bestFit="1" customWidth="1"/>
    <col min="4" max="5" width="56.5" customWidth="1"/>
    <col min="6" max="6" width="56.6640625" bestFit="1" customWidth="1"/>
    <col min="8" max="8" width="30.6640625" bestFit="1" customWidth="1"/>
    <col min="9" max="10" width="26.83203125" style="138" customWidth="1"/>
  </cols>
  <sheetData>
    <row r="2" spans="1:11" ht="22" customHeight="1" x14ac:dyDescent="0.3">
      <c r="A2" s="47" t="s">
        <v>133</v>
      </c>
      <c r="B2" s="47" t="s">
        <v>216</v>
      </c>
      <c r="C2" s="47" t="s">
        <v>282</v>
      </c>
      <c r="D2" s="47" t="s">
        <v>240</v>
      </c>
      <c r="E2" s="47" t="s">
        <v>323</v>
      </c>
      <c r="F2" s="47" t="s">
        <v>324</v>
      </c>
      <c r="G2" s="47" t="s">
        <v>286</v>
      </c>
      <c r="H2" s="47" t="s">
        <v>288</v>
      </c>
      <c r="I2" s="137" t="s">
        <v>525</v>
      </c>
      <c r="J2" s="137"/>
      <c r="K2" s="47" t="s">
        <v>289</v>
      </c>
    </row>
    <row r="3" spans="1:11" ht="69" x14ac:dyDescent="0.3">
      <c r="A3" s="48" t="s">
        <v>166</v>
      </c>
      <c r="B3" s="116" t="s">
        <v>208</v>
      </c>
      <c r="C3" s="117" t="s">
        <v>283</v>
      </c>
      <c r="D3" s="117" t="s">
        <v>526</v>
      </c>
      <c r="E3" s="117" t="s">
        <v>523</v>
      </c>
      <c r="F3" s="117" t="s">
        <v>522</v>
      </c>
      <c r="G3" s="48" t="s">
        <v>287</v>
      </c>
      <c r="H3" s="48" t="s">
        <v>304</v>
      </c>
      <c r="I3" s="65" t="s">
        <v>527</v>
      </c>
      <c r="J3" s="65"/>
      <c r="K3" s="48"/>
    </row>
    <row r="4" spans="1:11" ht="69" x14ac:dyDescent="0.3">
      <c r="A4" s="48" t="s">
        <v>166</v>
      </c>
      <c r="B4" s="116" t="s">
        <v>208</v>
      </c>
      <c r="C4" s="48" t="s">
        <v>284</v>
      </c>
      <c r="D4" s="65" t="s">
        <v>521</v>
      </c>
      <c r="E4" s="65" t="s">
        <v>520</v>
      </c>
      <c r="F4" s="65" t="s">
        <v>519</v>
      </c>
      <c r="G4" s="48" t="s">
        <v>287</v>
      </c>
      <c r="H4" s="48" t="s">
        <v>304</v>
      </c>
      <c r="I4" s="65" t="s">
        <v>527</v>
      </c>
      <c r="J4" s="65"/>
      <c r="K4" s="48"/>
    </row>
    <row r="5" spans="1:11" ht="69" x14ac:dyDescent="0.3">
      <c r="A5" s="48" t="s">
        <v>166</v>
      </c>
      <c r="B5" s="116" t="s">
        <v>208</v>
      </c>
      <c r="C5" s="48" t="s">
        <v>285</v>
      </c>
      <c r="D5" s="65" t="s">
        <v>518</v>
      </c>
      <c r="E5" s="65" t="s">
        <v>517</v>
      </c>
      <c r="F5" s="65" t="s">
        <v>516</v>
      </c>
      <c r="G5" s="48" t="s">
        <v>287</v>
      </c>
      <c r="H5" s="48" t="s">
        <v>304</v>
      </c>
      <c r="I5" s="65" t="s">
        <v>527</v>
      </c>
      <c r="J5" s="65"/>
      <c r="K5" s="48"/>
    </row>
    <row r="6" spans="1:11" ht="69" x14ac:dyDescent="0.3">
      <c r="A6" s="48" t="s">
        <v>166</v>
      </c>
      <c r="B6" s="116" t="s">
        <v>208</v>
      </c>
      <c r="C6" s="118" t="s">
        <v>291</v>
      </c>
      <c r="D6" s="118" t="s">
        <v>515</v>
      </c>
      <c r="E6" s="118" t="s">
        <v>514</v>
      </c>
      <c r="F6" s="118" t="s">
        <v>513</v>
      </c>
      <c r="G6" s="48" t="s">
        <v>293</v>
      </c>
      <c r="H6" s="48" t="s">
        <v>457</v>
      </c>
      <c r="I6" s="65" t="s">
        <v>540</v>
      </c>
      <c r="J6" s="65"/>
      <c r="K6" s="48"/>
    </row>
    <row r="7" spans="1:11" ht="69" x14ac:dyDescent="0.3">
      <c r="A7" s="48" t="s">
        <v>166</v>
      </c>
      <c r="B7" s="116" t="s">
        <v>208</v>
      </c>
      <c r="C7" s="48" t="s">
        <v>292</v>
      </c>
      <c r="D7" s="65" t="s">
        <v>512</v>
      </c>
      <c r="E7" s="65" t="s">
        <v>511</v>
      </c>
      <c r="F7" s="65" t="s">
        <v>510</v>
      </c>
      <c r="G7" s="48" t="s">
        <v>293</v>
      </c>
      <c r="H7" s="48" t="s">
        <v>497</v>
      </c>
      <c r="I7" s="65"/>
      <c r="J7" s="65"/>
      <c r="K7" s="48"/>
    </row>
    <row r="8" spans="1:11" ht="69" x14ac:dyDescent="0.3">
      <c r="A8" s="48" t="s">
        <v>166</v>
      </c>
      <c r="B8" s="116" t="s">
        <v>208</v>
      </c>
      <c r="C8" s="48" t="s">
        <v>290</v>
      </c>
      <c r="D8" s="65" t="s">
        <v>509</v>
      </c>
      <c r="E8" s="65" t="s">
        <v>508</v>
      </c>
      <c r="F8" s="65" t="s">
        <v>507</v>
      </c>
      <c r="G8" s="48" t="s">
        <v>293</v>
      </c>
      <c r="H8" s="48" t="s">
        <v>506</v>
      </c>
      <c r="I8" s="65" t="s">
        <v>527</v>
      </c>
      <c r="J8" s="65"/>
      <c r="K8" s="48"/>
    </row>
    <row r="9" spans="1:11" ht="69" x14ac:dyDescent="0.3">
      <c r="A9" s="48" t="s">
        <v>166</v>
      </c>
      <c r="B9" s="48" t="s">
        <v>208</v>
      </c>
      <c r="C9" s="48" t="s">
        <v>505</v>
      </c>
      <c r="D9" s="65" t="s">
        <v>504</v>
      </c>
      <c r="E9" s="65" t="s">
        <v>503</v>
      </c>
      <c r="F9" s="65" t="s">
        <v>502</v>
      </c>
      <c r="G9" s="48" t="s">
        <v>287</v>
      </c>
      <c r="H9" s="48" t="s">
        <v>304</v>
      </c>
      <c r="I9" s="65" t="s">
        <v>541</v>
      </c>
      <c r="J9" s="65"/>
      <c r="K9" s="48"/>
    </row>
    <row r="10" spans="1:11" ht="69" x14ac:dyDescent="0.3">
      <c r="A10" s="48" t="s">
        <v>166</v>
      </c>
      <c r="B10" s="48" t="s">
        <v>208</v>
      </c>
      <c r="C10" s="48" t="s">
        <v>501</v>
      </c>
      <c r="D10" s="65" t="s">
        <v>500</v>
      </c>
      <c r="E10" s="65" t="s">
        <v>499</v>
      </c>
      <c r="F10" s="65" t="s">
        <v>498</v>
      </c>
      <c r="G10" s="48" t="s">
        <v>293</v>
      </c>
      <c r="H10" s="48" t="s">
        <v>497</v>
      </c>
      <c r="I10" s="65" t="s">
        <v>541</v>
      </c>
      <c r="J10" s="65"/>
      <c r="K10" s="48"/>
    </row>
    <row r="11" spans="1:11" ht="69" x14ac:dyDescent="0.3">
      <c r="A11" s="48" t="s">
        <v>166</v>
      </c>
      <c r="B11" s="48" t="s">
        <v>204</v>
      </c>
      <c r="C11" s="118" t="s">
        <v>295</v>
      </c>
      <c r="D11" s="118" t="s">
        <v>496</v>
      </c>
      <c r="E11" s="118" t="s">
        <v>495</v>
      </c>
      <c r="F11" s="118" t="s">
        <v>494</v>
      </c>
      <c r="G11" s="48" t="s">
        <v>287</v>
      </c>
      <c r="H11" s="48" t="s">
        <v>457</v>
      </c>
      <c r="I11" s="65"/>
      <c r="J11" s="65"/>
      <c r="K11" s="48"/>
    </row>
    <row r="12" spans="1:11" ht="69" x14ac:dyDescent="0.3">
      <c r="A12" s="48" t="s">
        <v>166</v>
      </c>
      <c r="B12" s="48" t="s">
        <v>204</v>
      </c>
      <c r="C12" s="48" t="s">
        <v>294</v>
      </c>
      <c r="D12" s="65" t="s">
        <v>493</v>
      </c>
      <c r="E12" s="65" t="s">
        <v>492</v>
      </c>
      <c r="F12" s="65" t="s">
        <v>491</v>
      </c>
      <c r="G12" s="48" t="s">
        <v>287</v>
      </c>
      <c r="H12" s="48" t="s">
        <v>457</v>
      </c>
      <c r="I12" s="65"/>
      <c r="J12" s="65"/>
      <c r="K12" s="48"/>
    </row>
    <row r="13" spans="1:11" ht="69" x14ac:dyDescent="0.3">
      <c r="A13" s="48" t="s">
        <v>166</v>
      </c>
      <c r="B13" s="48" t="s">
        <v>204</v>
      </c>
      <c r="C13" s="48" t="s">
        <v>296</v>
      </c>
      <c r="D13" s="65" t="s">
        <v>490</v>
      </c>
      <c r="E13" s="65" t="s">
        <v>489</v>
      </c>
      <c r="F13" s="65" t="s">
        <v>488</v>
      </c>
      <c r="G13" s="48" t="s">
        <v>287</v>
      </c>
      <c r="H13" s="48" t="s">
        <v>487</v>
      </c>
      <c r="I13" s="65" t="s">
        <v>551</v>
      </c>
      <c r="J13" s="65"/>
      <c r="K13" s="48"/>
    </row>
    <row r="14" spans="1:11" ht="69" x14ac:dyDescent="0.3">
      <c r="A14" s="48" t="s">
        <v>166</v>
      </c>
      <c r="B14" s="48" t="s">
        <v>204</v>
      </c>
      <c r="C14" s="65" t="s">
        <v>301</v>
      </c>
      <c r="D14" s="65" t="s">
        <v>486</v>
      </c>
      <c r="E14" s="65" t="s">
        <v>485</v>
      </c>
      <c r="F14" s="65" t="s">
        <v>484</v>
      </c>
      <c r="G14" s="48" t="s">
        <v>293</v>
      </c>
      <c r="H14" s="48" t="s">
        <v>457</v>
      </c>
      <c r="I14" s="65" t="s">
        <v>549</v>
      </c>
      <c r="J14" s="65"/>
      <c r="K14" s="48"/>
    </row>
    <row r="15" spans="1:11" ht="115" x14ac:dyDescent="0.3">
      <c r="A15" s="48" t="s">
        <v>166</v>
      </c>
      <c r="B15" s="48" t="s">
        <v>204</v>
      </c>
      <c r="C15" s="65" t="s">
        <v>302</v>
      </c>
      <c r="D15" s="65" t="s">
        <v>483</v>
      </c>
      <c r="E15" s="65" t="s">
        <v>482</v>
      </c>
      <c r="F15" s="65" t="s">
        <v>481</v>
      </c>
      <c r="G15" s="48" t="s">
        <v>293</v>
      </c>
      <c r="H15" s="48" t="s">
        <v>304</v>
      </c>
      <c r="I15" s="65" t="s">
        <v>550</v>
      </c>
      <c r="J15" s="65"/>
      <c r="K15" s="48"/>
    </row>
    <row r="16" spans="1:11" ht="69" x14ac:dyDescent="0.3">
      <c r="A16" s="48" t="s">
        <v>166</v>
      </c>
      <c r="B16" s="48" t="s">
        <v>204</v>
      </c>
      <c r="C16" s="48" t="s">
        <v>303</v>
      </c>
      <c r="D16" s="65" t="s">
        <v>480</v>
      </c>
      <c r="E16" s="65" t="s">
        <v>479</v>
      </c>
      <c r="F16" s="65" t="s">
        <v>478</v>
      </c>
      <c r="G16" s="48" t="s">
        <v>293</v>
      </c>
      <c r="H16" s="48" t="s">
        <v>337</v>
      </c>
      <c r="I16" s="65"/>
      <c r="J16" s="65"/>
      <c r="K16" s="48"/>
    </row>
    <row r="17" spans="1:11" ht="69" x14ac:dyDescent="0.3">
      <c r="A17" s="48" t="s">
        <v>166</v>
      </c>
      <c r="B17" s="48" t="s">
        <v>204</v>
      </c>
      <c r="C17" s="48" t="s">
        <v>300</v>
      </c>
      <c r="D17" s="65" t="s">
        <v>477</v>
      </c>
      <c r="E17" s="65" t="s">
        <v>476</v>
      </c>
      <c r="F17" s="65" t="s">
        <v>475</v>
      </c>
      <c r="G17" s="48" t="s">
        <v>293</v>
      </c>
      <c r="H17" s="48" t="s">
        <v>474</v>
      </c>
      <c r="I17" s="65"/>
      <c r="J17" s="65"/>
      <c r="K17" s="48"/>
    </row>
    <row r="18" spans="1:11" ht="46" x14ac:dyDescent="0.3">
      <c r="A18" s="48" t="s">
        <v>166</v>
      </c>
      <c r="B18" s="48" t="s">
        <v>204</v>
      </c>
      <c r="C18" s="48" t="s">
        <v>299</v>
      </c>
      <c r="D18" s="65" t="s">
        <v>473</v>
      </c>
      <c r="E18" s="65" t="s">
        <v>472</v>
      </c>
      <c r="F18" s="65" t="s">
        <v>471</v>
      </c>
      <c r="G18" s="48" t="s">
        <v>293</v>
      </c>
      <c r="H18" s="48" t="s">
        <v>470</v>
      </c>
      <c r="I18" s="65"/>
      <c r="J18" s="65"/>
      <c r="K18" s="48"/>
    </row>
    <row r="19" spans="1:11" ht="46" x14ac:dyDescent="0.3">
      <c r="A19" s="48" t="s">
        <v>166</v>
      </c>
      <c r="B19" s="48" t="s">
        <v>212</v>
      </c>
      <c r="C19" s="118" t="s">
        <v>298</v>
      </c>
      <c r="D19" s="118" t="s">
        <v>469</v>
      </c>
      <c r="E19" s="118" t="s">
        <v>405</v>
      </c>
      <c r="F19" s="118" t="s">
        <v>468</v>
      </c>
      <c r="G19" s="48" t="s">
        <v>287</v>
      </c>
      <c r="H19" s="48" t="s">
        <v>400</v>
      </c>
      <c r="I19" s="65" t="s">
        <v>556</v>
      </c>
      <c r="J19" s="65"/>
      <c r="K19" s="48"/>
    </row>
    <row r="20" spans="1:11" ht="46" x14ac:dyDescent="0.3">
      <c r="A20" s="48" t="s">
        <v>166</v>
      </c>
      <c r="B20" s="48" t="s">
        <v>212</v>
      </c>
      <c r="C20" s="48" t="s">
        <v>322</v>
      </c>
      <c r="D20" s="65" t="s">
        <v>467</v>
      </c>
      <c r="E20" s="65" t="s">
        <v>466</v>
      </c>
      <c r="F20" s="65" t="s">
        <v>465</v>
      </c>
      <c r="G20" s="48" t="s">
        <v>287</v>
      </c>
      <c r="H20" s="48" t="s">
        <v>400</v>
      </c>
      <c r="I20" s="65" t="s">
        <v>555</v>
      </c>
      <c r="J20" s="65"/>
      <c r="K20" s="48"/>
    </row>
    <row r="21" spans="1:11" ht="69" x14ac:dyDescent="0.3">
      <c r="A21" s="48" t="s">
        <v>166</v>
      </c>
      <c r="B21" s="48" t="s">
        <v>212</v>
      </c>
      <c r="C21" s="48" t="s">
        <v>297</v>
      </c>
      <c r="D21" s="65" t="s">
        <v>464</v>
      </c>
      <c r="E21" s="65" t="s">
        <v>463</v>
      </c>
      <c r="F21" s="65" t="s">
        <v>462</v>
      </c>
      <c r="G21" s="48" t="s">
        <v>287</v>
      </c>
      <c r="H21" s="48" t="s">
        <v>461</v>
      </c>
      <c r="I21" s="65"/>
      <c r="J21" s="65"/>
      <c r="K21" s="48"/>
    </row>
    <row r="22" spans="1:11" ht="69" x14ac:dyDescent="0.3">
      <c r="A22" s="48" t="s">
        <v>166</v>
      </c>
      <c r="B22" s="48" t="s">
        <v>212</v>
      </c>
      <c r="C22" s="118" t="s">
        <v>306</v>
      </c>
      <c r="D22" s="118" t="s">
        <v>460</v>
      </c>
      <c r="E22" s="118" t="s">
        <v>459</v>
      </c>
      <c r="F22" s="118" t="s">
        <v>458</v>
      </c>
      <c r="G22" s="48" t="s">
        <v>293</v>
      </c>
      <c r="H22" s="48" t="s">
        <v>457</v>
      </c>
      <c r="I22" s="65"/>
      <c r="J22" s="65"/>
      <c r="K22" s="48"/>
    </row>
    <row r="23" spans="1:11" ht="46" x14ac:dyDescent="0.3">
      <c r="A23" s="48" t="s">
        <v>166</v>
      </c>
      <c r="B23" s="48" t="s">
        <v>212</v>
      </c>
      <c r="C23" s="48" t="s">
        <v>307</v>
      </c>
      <c r="D23" s="65" t="s">
        <v>456</v>
      </c>
      <c r="E23" s="65" t="s">
        <v>455</v>
      </c>
      <c r="F23" s="65" t="s">
        <v>454</v>
      </c>
      <c r="G23" s="48" t="s">
        <v>293</v>
      </c>
      <c r="H23" s="48" t="s">
        <v>453</v>
      </c>
      <c r="I23" s="65"/>
      <c r="J23" s="65"/>
      <c r="K23" s="48"/>
    </row>
    <row r="24" spans="1:11" ht="69" x14ac:dyDescent="0.3">
      <c r="A24" s="48" t="s">
        <v>166</v>
      </c>
      <c r="B24" s="48" t="s">
        <v>212</v>
      </c>
      <c r="C24" s="48" t="s">
        <v>305</v>
      </c>
      <c r="D24" s="65" t="s">
        <v>452</v>
      </c>
      <c r="E24" s="65" t="s">
        <v>451</v>
      </c>
      <c r="F24" s="65" t="s">
        <v>450</v>
      </c>
      <c r="G24" s="48" t="s">
        <v>293</v>
      </c>
      <c r="H24" s="48" t="s">
        <v>384</v>
      </c>
      <c r="I24" s="65"/>
      <c r="J24" s="65"/>
      <c r="K24" s="48"/>
    </row>
    <row r="25" spans="1:11" ht="69" x14ac:dyDescent="0.3">
      <c r="A25" s="48" t="s">
        <v>166</v>
      </c>
      <c r="B25" s="48" t="s">
        <v>209</v>
      </c>
      <c r="C25" s="118" t="s">
        <v>311</v>
      </c>
      <c r="D25" s="118" t="s">
        <v>449</v>
      </c>
      <c r="E25" s="118" t="s">
        <v>448</v>
      </c>
      <c r="F25" s="118" t="s">
        <v>447</v>
      </c>
      <c r="G25" s="48" t="s">
        <v>287</v>
      </c>
      <c r="H25" s="48" t="s">
        <v>304</v>
      </c>
      <c r="I25" s="65" t="s">
        <v>618</v>
      </c>
      <c r="J25" s="65"/>
      <c r="K25" s="48"/>
    </row>
    <row r="26" spans="1:11" ht="69" x14ac:dyDescent="0.3">
      <c r="A26" s="48" t="s">
        <v>166</v>
      </c>
      <c r="B26" s="48" t="s">
        <v>209</v>
      </c>
      <c r="C26" s="48" t="s">
        <v>310</v>
      </c>
      <c r="D26" s="65" t="s">
        <v>446</v>
      </c>
      <c r="E26" s="65" t="s">
        <v>445</v>
      </c>
      <c r="F26" s="65" t="s">
        <v>444</v>
      </c>
      <c r="G26" s="48" t="s">
        <v>287</v>
      </c>
      <c r="H26" s="48" t="s">
        <v>443</v>
      </c>
      <c r="I26" s="65"/>
      <c r="J26" s="65"/>
      <c r="K26" s="48"/>
    </row>
    <row r="27" spans="1:11" ht="69" x14ac:dyDescent="0.3">
      <c r="A27" s="48" t="s">
        <v>166</v>
      </c>
      <c r="B27" s="48" t="s">
        <v>209</v>
      </c>
      <c r="C27" s="48" t="s">
        <v>309</v>
      </c>
      <c r="D27" s="65" t="s">
        <v>442</v>
      </c>
      <c r="E27" s="65" t="s">
        <v>441</v>
      </c>
      <c r="F27" s="65" t="s">
        <v>440</v>
      </c>
      <c r="G27" s="48" t="s">
        <v>287</v>
      </c>
      <c r="H27" s="48" t="s">
        <v>304</v>
      </c>
      <c r="I27" s="65" t="s">
        <v>633</v>
      </c>
      <c r="J27" s="65"/>
      <c r="K27" s="48"/>
    </row>
    <row r="28" spans="1:11" ht="69" x14ac:dyDescent="0.3">
      <c r="A28" s="48" t="s">
        <v>166</v>
      </c>
      <c r="B28" s="48" t="s">
        <v>209</v>
      </c>
      <c r="C28" s="48" t="s">
        <v>308</v>
      </c>
      <c r="D28" s="65" t="s">
        <v>439</v>
      </c>
      <c r="E28" s="65" t="s">
        <v>438</v>
      </c>
      <c r="F28" s="65" t="s">
        <v>437</v>
      </c>
      <c r="G28" s="48" t="s">
        <v>287</v>
      </c>
      <c r="H28" s="48" t="s">
        <v>304</v>
      </c>
      <c r="I28" s="65"/>
      <c r="J28" s="65"/>
      <c r="K28" s="48"/>
    </row>
    <row r="29" spans="1:11" ht="69" x14ac:dyDescent="0.3">
      <c r="A29" s="48" t="s">
        <v>166</v>
      </c>
      <c r="B29" s="48" t="s">
        <v>209</v>
      </c>
      <c r="C29" s="118" t="s">
        <v>314</v>
      </c>
      <c r="D29" s="118" t="s">
        <v>436</v>
      </c>
      <c r="E29" s="118" t="s">
        <v>435</v>
      </c>
      <c r="F29" s="118" t="s">
        <v>434</v>
      </c>
      <c r="G29" s="48" t="s">
        <v>293</v>
      </c>
      <c r="H29" s="48" t="s">
        <v>304</v>
      </c>
      <c r="I29" s="65"/>
      <c r="J29" s="65"/>
      <c r="K29" s="48"/>
    </row>
    <row r="30" spans="1:11" ht="46" x14ac:dyDescent="0.3">
      <c r="A30" s="48" t="s">
        <v>166</v>
      </c>
      <c r="B30" s="48" t="s">
        <v>209</v>
      </c>
      <c r="C30" s="48" t="s">
        <v>315</v>
      </c>
      <c r="D30" s="65" t="s">
        <v>433</v>
      </c>
      <c r="E30" s="65" t="s">
        <v>432</v>
      </c>
      <c r="F30" s="65" t="s">
        <v>431</v>
      </c>
      <c r="G30" s="48" t="s">
        <v>293</v>
      </c>
      <c r="H30" s="48" t="s">
        <v>304</v>
      </c>
      <c r="I30" s="65"/>
      <c r="J30" s="65"/>
      <c r="K30" s="48"/>
    </row>
    <row r="31" spans="1:11" ht="161" x14ac:dyDescent="0.3">
      <c r="A31" s="48" t="s">
        <v>166</v>
      </c>
      <c r="B31" s="48" t="s">
        <v>209</v>
      </c>
      <c r="C31" s="48" t="s">
        <v>313</v>
      </c>
      <c r="D31" s="65" t="s">
        <v>430</v>
      </c>
      <c r="E31" s="65" t="s">
        <v>429</v>
      </c>
      <c r="F31" s="65" t="s">
        <v>428</v>
      </c>
      <c r="G31" s="48" t="s">
        <v>293</v>
      </c>
      <c r="H31" s="48" t="s">
        <v>304</v>
      </c>
      <c r="I31" s="65" t="s">
        <v>552</v>
      </c>
      <c r="J31" s="65"/>
      <c r="K31" s="48"/>
    </row>
    <row r="32" spans="1:11" ht="69" x14ac:dyDescent="0.3">
      <c r="A32" s="48" t="s">
        <v>166</v>
      </c>
      <c r="B32" s="48" t="s">
        <v>209</v>
      </c>
      <c r="C32" s="48" t="s">
        <v>312</v>
      </c>
      <c r="D32" s="65" t="s">
        <v>427</v>
      </c>
      <c r="E32" s="65" t="s">
        <v>426</v>
      </c>
      <c r="F32" s="65" t="s">
        <v>425</v>
      </c>
      <c r="G32" s="48" t="s">
        <v>293</v>
      </c>
      <c r="H32" s="48" t="s">
        <v>304</v>
      </c>
      <c r="I32" s="65" t="s">
        <v>553</v>
      </c>
      <c r="J32" s="65"/>
      <c r="K32" s="48"/>
    </row>
    <row r="33" spans="1:11" ht="92" x14ac:dyDescent="0.3">
      <c r="A33" s="48" t="s">
        <v>166</v>
      </c>
      <c r="B33" s="48" t="s">
        <v>206</v>
      </c>
      <c r="C33" s="48" t="s">
        <v>317</v>
      </c>
      <c r="D33" s="65" t="s">
        <v>424</v>
      </c>
      <c r="E33" s="65" t="s">
        <v>423</v>
      </c>
      <c r="F33" s="65" t="s">
        <v>422</v>
      </c>
      <c r="G33" s="48" t="s">
        <v>287</v>
      </c>
      <c r="H33" s="48" t="s">
        <v>304</v>
      </c>
      <c r="I33" s="65" t="s">
        <v>554</v>
      </c>
      <c r="J33" s="65"/>
      <c r="K33" s="48"/>
    </row>
    <row r="34" spans="1:11" ht="69" x14ac:dyDescent="0.3">
      <c r="A34" s="48" t="s">
        <v>166</v>
      </c>
      <c r="B34" s="48" t="s">
        <v>206</v>
      </c>
      <c r="C34" s="48" t="s">
        <v>318</v>
      </c>
      <c r="D34" s="65" t="s">
        <v>421</v>
      </c>
      <c r="E34" s="65" t="s">
        <v>420</v>
      </c>
      <c r="F34" s="65" t="s">
        <v>419</v>
      </c>
      <c r="G34" s="48" t="s">
        <v>287</v>
      </c>
      <c r="H34" s="48" t="s">
        <v>304</v>
      </c>
      <c r="I34" s="65"/>
      <c r="J34" s="65"/>
      <c r="K34" s="48"/>
    </row>
    <row r="35" spans="1:11" ht="69" x14ac:dyDescent="0.3">
      <c r="A35" s="48" t="s">
        <v>166</v>
      </c>
      <c r="B35" s="48" t="s">
        <v>206</v>
      </c>
      <c r="C35" s="48" t="s">
        <v>316</v>
      </c>
      <c r="D35" s="65" t="s">
        <v>418</v>
      </c>
      <c r="E35" s="65" t="s">
        <v>417</v>
      </c>
      <c r="F35" s="65" t="s">
        <v>416</v>
      </c>
      <c r="G35" s="48" t="s">
        <v>287</v>
      </c>
      <c r="H35" s="48" t="s">
        <v>304</v>
      </c>
      <c r="I35" s="65" t="s">
        <v>632</v>
      </c>
      <c r="J35" s="65"/>
      <c r="K35" s="48"/>
    </row>
    <row r="36" spans="1:11" ht="69" x14ac:dyDescent="0.3">
      <c r="A36" s="48" t="s">
        <v>166</v>
      </c>
      <c r="B36" s="48" t="s">
        <v>206</v>
      </c>
      <c r="C36" s="118" t="s">
        <v>320</v>
      </c>
      <c r="D36" s="118" t="s">
        <v>415</v>
      </c>
      <c r="E36" s="118" t="s">
        <v>414</v>
      </c>
      <c r="F36" s="118" t="s">
        <v>413</v>
      </c>
      <c r="G36" s="48" t="s">
        <v>293</v>
      </c>
      <c r="H36" s="48" t="s">
        <v>304</v>
      </c>
      <c r="I36" s="65" t="s">
        <v>629</v>
      </c>
      <c r="J36" s="65"/>
      <c r="K36" s="48"/>
    </row>
    <row r="37" spans="1:11" ht="69" x14ac:dyDescent="0.3">
      <c r="A37" s="48" t="s">
        <v>166</v>
      </c>
      <c r="B37" s="48" t="s">
        <v>206</v>
      </c>
      <c r="C37" s="48" t="s">
        <v>321</v>
      </c>
      <c r="D37" s="65" t="s">
        <v>412</v>
      </c>
      <c r="E37" s="65" t="s">
        <v>411</v>
      </c>
      <c r="F37" s="65" t="s">
        <v>410</v>
      </c>
      <c r="G37" s="48" t="s">
        <v>293</v>
      </c>
      <c r="H37" s="48" t="s">
        <v>304</v>
      </c>
      <c r="I37" s="65" t="s">
        <v>630</v>
      </c>
      <c r="J37" s="65"/>
      <c r="K37" s="48"/>
    </row>
    <row r="38" spans="1:11" ht="69" x14ac:dyDescent="0.3">
      <c r="A38" s="48" t="s">
        <v>166</v>
      </c>
      <c r="B38" s="48" t="s">
        <v>206</v>
      </c>
      <c r="C38" s="48" t="s">
        <v>319</v>
      </c>
      <c r="D38" s="65" t="s">
        <v>409</v>
      </c>
      <c r="E38" s="65" t="s">
        <v>408</v>
      </c>
      <c r="F38" s="65" t="s">
        <v>407</v>
      </c>
      <c r="G38" s="48" t="s">
        <v>293</v>
      </c>
      <c r="H38" s="48" t="s">
        <v>337</v>
      </c>
      <c r="I38" s="65" t="s">
        <v>631</v>
      </c>
      <c r="J38" s="65"/>
      <c r="K38" s="48"/>
    </row>
    <row r="39" spans="1:11" ht="46" x14ac:dyDescent="0.3">
      <c r="A39" s="48" t="s">
        <v>166</v>
      </c>
      <c r="B39" s="48" t="s">
        <v>246</v>
      </c>
      <c r="C39" s="118" t="s">
        <v>327</v>
      </c>
      <c r="D39" s="118" t="s">
        <v>406</v>
      </c>
      <c r="E39" s="118" t="s">
        <v>405</v>
      </c>
      <c r="F39" s="118" t="s">
        <v>404</v>
      </c>
      <c r="G39" s="48" t="s">
        <v>287</v>
      </c>
      <c r="H39" s="48" t="s">
        <v>400</v>
      </c>
      <c r="I39" s="65"/>
      <c r="J39" s="65"/>
      <c r="K39" s="48"/>
    </row>
    <row r="40" spans="1:11" ht="46" x14ac:dyDescent="0.3">
      <c r="A40" s="48" t="s">
        <v>166</v>
      </c>
      <c r="B40" s="48" t="s">
        <v>246</v>
      </c>
      <c r="C40" s="48" t="s">
        <v>326</v>
      </c>
      <c r="D40" s="65" t="s">
        <v>403</v>
      </c>
      <c r="E40" s="65" t="s">
        <v>402</v>
      </c>
      <c r="F40" s="65" t="s">
        <v>401</v>
      </c>
      <c r="G40" s="48" t="s">
        <v>287</v>
      </c>
      <c r="H40" s="48" t="s">
        <v>400</v>
      </c>
      <c r="I40" s="65" t="s">
        <v>549</v>
      </c>
      <c r="J40" s="65"/>
      <c r="K40" s="48"/>
    </row>
    <row r="41" spans="1:11" ht="69" x14ac:dyDescent="0.3">
      <c r="A41" s="48" t="s">
        <v>166</v>
      </c>
      <c r="B41" s="48" t="s">
        <v>246</v>
      </c>
      <c r="C41" s="48" t="s">
        <v>325</v>
      </c>
      <c r="D41" s="65" t="s">
        <v>399</v>
      </c>
      <c r="E41" s="65" t="s">
        <v>398</v>
      </c>
      <c r="F41" s="65" t="s">
        <v>397</v>
      </c>
      <c r="G41" s="48" t="s">
        <v>287</v>
      </c>
      <c r="H41" s="48" t="s">
        <v>396</v>
      </c>
      <c r="I41" s="65" t="s">
        <v>548</v>
      </c>
      <c r="J41" s="65"/>
      <c r="K41" s="48"/>
    </row>
    <row r="42" spans="1:11" ht="69" x14ac:dyDescent="0.3">
      <c r="A42" s="48" t="s">
        <v>166</v>
      </c>
      <c r="B42" s="48" t="s">
        <v>246</v>
      </c>
      <c r="C42" s="118" t="s">
        <v>329</v>
      </c>
      <c r="D42" s="65" t="s">
        <v>395</v>
      </c>
      <c r="E42" s="65" t="s">
        <v>394</v>
      </c>
      <c r="F42" s="65" t="s">
        <v>393</v>
      </c>
      <c r="G42" s="48" t="s">
        <v>293</v>
      </c>
      <c r="H42" s="48" t="s">
        <v>392</v>
      </c>
      <c r="I42" s="65"/>
      <c r="J42" s="65"/>
      <c r="K42" s="48"/>
    </row>
    <row r="43" spans="1:11" ht="46" x14ac:dyDescent="0.3">
      <c r="A43" s="48" t="s">
        <v>166</v>
      </c>
      <c r="B43" s="48" t="s">
        <v>246</v>
      </c>
      <c r="C43" s="48" t="s">
        <v>330</v>
      </c>
      <c r="D43" s="65" t="s">
        <v>391</v>
      </c>
      <c r="E43" s="65" t="s">
        <v>390</v>
      </c>
      <c r="F43" s="65" t="s">
        <v>389</v>
      </c>
      <c r="G43" s="48" t="s">
        <v>293</v>
      </c>
      <c r="H43" s="48" t="s">
        <v>388</v>
      </c>
      <c r="I43" s="65"/>
      <c r="J43" s="65"/>
      <c r="K43" s="48"/>
    </row>
    <row r="44" spans="1:11" ht="69" x14ac:dyDescent="0.3">
      <c r="A44" s="48" t="s">
        <v>166</v>
      </c>
      <c r="B44" s="48" t="s">
        <v>246</v>
      </c>
      <c r="C44" s="48" t="s">
        <v>328</v>
      </c>
      <c r="D44" s="65" t="s">
        <v>387</v>
      </c>
      <c r="E44" s="65" t="s">
        <v>386</v>
      </c>
      <c r="F44" s="65" t="s">
        <v>385</v>
      </c>
      <c r="G44" s="48" t="s">
        <v>293</v>
      </c>
      <c r="H44" s="48" t="s">
        <v>384</v>
      </c>
      <c r="I44" s="65"/>
      <c r="J44" s="65"/>
      <c r="K44" s="48"/>
    </row>
    <row r="45" spans="1:11" ht="69" x14ac:dyDescent="0.3">
      <c r="A45" s="48" t="s">
        <v>166</v>
      </c>
      <c r="B45" s="48" t="s">
        <v>361</v>
      </c>
      <c r="C45" s="48" t="s">
        <v>383</v>
      </c>
      <c r="D45" s="65" t="s">
        <v>382</v>
      </c>
      <c r="E45" s="65" t="s">
        <v>381</v>
      </c>
      <c r="F45" s="65" t="s">
        <v>380</v>
      </c>
      <c r="G45" s="48" t="s">
        <v>287</v>
      </c>
      <c r="H45" s="48" t="s">
        <v>375</v>
      </c>
      <c r="I45" s="65" t="s">
        <v>547</v>
      </c>
      <c r="J45" s="65"/>
      <c r="K45" s="48"/>
    </row>
    <row r="46" spans="1:11" ht="69" x14ac:dyDescent="0.3">
      <c r="A46" s="48" t="s">
        <v>166</v>
      </c>
      <c r="B46" s="48" t="s">
        <v>361</v>
      </c>
      <c r="C46" s="48" t="s">
        <v>379</v>
      </c>
      <c r="D46" s="65" t="s">
        <v>378</v>
      </c>
      <c r="E46" s="65" t="s">
        <v>377</v>
      </c>
      <c r="F46" s="65" t="s">
        <v>376</v>
      </c>
      <c r="G46" s="48" t="s">
        <v>287</v>
      </c>
      <c r="H46" s="48" t="s">
        <v>375</v>
      </c>
      <c r="I46" s="65" t="s">
        <v>543</v>
      </c>
      <c r="J46" s="65"/>
      <c r="K46" s="48"/>
    </row>
    <row r="47" spans="1:11" ht="69" x14ac:dyDescent="0.3">
      <c r="A47" s="48" t="s">
        <v>166</v>
      </c>
      <c r="B47" s="48" t="s">
        <v>361</v>
      </c>
      <c r="C47" s="48" t="s">
        <v>374</v>
      </c>
      <c r="D47" s="65" t="s">
        <v>373</v>
      </c>
      <c r="E47" s="65" t="s">
        <v>372</v>
      </c>
      <c r="F47" s="65" t="s">
        <v>371</v>
      </c>
      <c r="G47" s="48" t="s">
        <v>287</v>
      </c>
      <c r="H47" s="48" t="s">
        <v>304</v>
      </c>
      <c r="I47" s="65" t="s">
        <v>544</v>
      </c>
      <c r="J47" s="65"/>
      <c r="K47" s="48"/>
    </row>
    <row r="48" spans="1:11" ht="46" x14ac:dyDescent="0.3">
      <c r="A48" s="48" t="s">
        <v>166</v>
      </c>
      <c r="B48" s="48" t="s">
        <v>361</v>
      </c>
      <c r="C48" s="48" t="s">
        <v>370</v>
      </c>
      <c r="D48" s="65" t="s">
        <v>369</v>
      </c>
      <c r="E48" s="65" t="s">
        <v>368</v>
      </c>
      <c r="F48" s="65" t="s">
        <v>367</v>
      </c>
      <c r="G48" s="48" t="s">
        <v>293</v>
      </c>
      <c r="H48" s="48" t="s">
        <v>366</v>
      </c>
      <c r="I48" s="65" t="s">
        <v>545</v>
      </c>
      <c r="J48" s="65"/>
      <c r="K48" s="48"/>
    </row>
    <row r="49" spans="1:11" ht="69" x14ac:dyDescent="0.3">
      <c r="A49" s="48" t="s">
        <v>166</v>
      </c>
      <c r="B49" s="48" t="s">
        <v>361</v>
      </c>
      <c r="C49" s="48" t="s">
        <v>365</v>
      </c>
      <c r="D49" s="65" t="s">
        <v>364</v>
      </c>
      <c r="E49" s="65" t="s">
        <v>363</v>
      </c>
      <c r="F49" s="65" t="s">
        <v>362</v>
      </c>
      <c r="G49" s="48" t="s">
        <v>293</v>
      </c>
      <c r="H49" s="48" t="s">
        <v>304</v>
      </c>
      <c r="I49" s="65" t="s">
        <v>543</v>
      </c>
      <c r="J49" s="65"/>
      <c r="K49" s="48"/>
    </row>
    <row r="50" spans="1:11" ht="69" x14ac:dyDescent="0.3">
      <c r="A50" s="48" t="s">
        <v>166</v>
      </c>
      <c r="B50" s="48" t="s">
        <v>361</v>
      </c>
      <c r="C50" s="48" t="s">
        <v>360</v>
      </c>
      <c r="D50" s="65" t="s">
        <v>359</v>
      </c>
      <c r="E50" s="65" t="s">
        <v>358</v>
      </c>
      <c r="F50" s="65" t="s">
        <v>357</v>
      </c>
      <c r="G50" s="48" t="s">
        <v>293</v>
      </c>
      <c r="H50" s="48" t="s">
        <v>356</v>
      </c>
      <c r="I50" s="65" t="s">
        <v>542</v>
      </c>
      <c r="J50" s="65"/>
      <c r="K50" s="48"/>
    </row>
    <row r="51" spans="1:11" ht="69" x14ac:dyDescent="0.3">
      <c r="A51" s="48" t="s">
        <v>166</v>
      </c>
      <c r="B51" s="48" t="s">
        <v>336</v>
      </c>
      <c r="C51" s="48" t="s">
        <v>355</v>
      </c>
      <c r="D51" s="65" t="s">
        <v>354</v>
      </c>
      <c r="E51" s="65" t="s">
        <v>353</v>
      </c>
      <c r="F51" s="65" t="s">
        <v>352</v>
      </c>
      <c r="G51" s="48" t="s">
        <v>287</v>
      </c>
      <c r="H51" s="48" t="s">
        <v>304</v>
      </c>
      <c r="I51" s="65" t="s">
        <v>546</v>
      </c>
      <c r="J51" s="65"/>
      <c r="K51" s="48"/>
    </row>
    <row r="52" spans="1:11" ht="115" x14ac:dyDescent="0.3">
      <c r="A52" s="48" t="s">
        <v>166</v>
      </c>
      <c r="B52" s="48" t="s">
        <v>336</v>
      </c>
      <c r="C52" s="48" t="s">
        <v>351</v>
      </c>
      <c r="D52" s="65" t="s">
        <v>350</v>
      </c>
      <c r="E52" s="65" t="s">
        <v>349</v>
      </c>
      <c r="F52" s="65" t="s">
        <v>348</v>
      </c>
      <c r="G52" s="48" t="s">
        <v>287</v>
      </c>
      <c r="H52" s="48" t="s">
        <v>347</v>
      </c>
      <c r="I52" s="65"/>
      <c r="J52" s="65"/>
      <c r="K52" s="48"/>
    </row>
    <row r="53" spans="1:11" ht="69" x14ac:dyDescent="0.3">
      <c r="A53" s="48" t="s">
        <v>166</v>
      </c>
      <c r="B53" s="48" t="s">
        <v>336</v>
      </c>
      <c r="C53" s="48" t="s">
        <v>346</v>
      </c>
      <c r="D53" s="65" t="s">
        <v>345</v>
      </c>
      <c r="E53" s="65" t="s">
        <v>344</v>
      </c>
      <c r="F53" s="65" t="s">
        <v>343</v>
      </c>
      <c r="G53" s="48" t="s">
        <v>293</v>
      </c>
      <c r="H53" s="48" t="s">
        <v>342</v>
      </c>
      <c r="I53" s="65"/>
      <c r="J53" s="65"/>
      <c r="K53" s="48"/>
    </row>
    <row r="54" spans="1:11" ht="92" x14ac:dyDescent="0.3">
      <c r="A54" s="48" t="s">
        <v>166</v>
      </c>
      <c r="B54" s="48" t="s">
        <v>336</v>
      </c>
      <c r="C54" s="48" t="s">
        <v>341</v>
      </c>
      <c r="D54" s="65" t="s">
        <v>340</v>
      </c>
      <c r="E54" s="65" t="s">
        <v>339</v>
      </c>
      <c r="F54" s="65" t="s">
        <v>338</v>
      </c>
      <c r="G54" s="48" t="s">
        <v>293</v>
      </c>
      <c r="H54" s="48" t="s">
        <v>337</v>
      </c>
      <c r="I54" s="65"/>
      <c r="J54" s="65"/>
      <c r="K54" s="48"/>
    </row>
    <row r="55" spans="1:11" ht="69" x14ac:dyDescent="0.3">
      <c r="A55" s="48" t="s">
        <v>166</v>
      </c>
      <c r="B55" s="48" t="s">
        <v>336</v>
      </c>
      <c r="C55" s="48" t="s">
        <v>335</v>
      </c>
      <c r="D55" s="65" t="s">
        <v>334</v>
      </c>
      <c r="E55" s="65" t="s">
        <v>333</v>
      </c>
      <c r="F55" s="65" t="s">
        <v>332</v>
      </c>
      <c r="G55" s="48" t="s">
        <v>293</v>
      </c>
      <c r="H55" s="48" t="s">
        <v>331</v>
      </c>
      <c r="I55" s="65"/>
      <c r="J55" s="65"/>
      <c r="K55" s="4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7A999-5ED7-4747-93B4-C24326F0A523}">
  <dimension ref="B2:U97"/>
  <sheetViews>
    <sheetView zoomScale="97" zoomScaleNormal="97" workbookViewId="0">
      <selection activeCell="C63" sqref="C63"/>
    </sheetView>
  </sheetViews>
  <sheetFormatPr baseColWidth="10" defaultRowHeight="22" x14ac:dyDescent="0.3"/>
  <cols>
    <col min="2" max="2" width="12" style="115" bestFit="1" customWidth="1"/>
    <col min="3" max="3" width="68.1640625" style="115" bestFit="1" customWidth="1"/>
    <col min="4" max="4" width="50.5" style="115" customWidth="1"/>
    <col min="5" max="5" width="24.6640625" style="115" bestFit="1" customWidth="1"/>
    <col min="6" max="6" width="27.33203125" style="115" customWidth="1"/>
    <col min="7" max="7" width="31.1640625" style="115" customWidth="1"/>
    <col min="8" max="8" width="13.33203125" style="115" bestFit="1" customWidth="1"/>
    <col min="9" max="9" width="10.83203125" style="115"/>
    <col min="10" max="10" width="16.33203125" style="115" bestFit="1" customWidth="1"/>
    <col min="11" max="11" width="38.6640625" style="115" customWidth="1"/>
    <col min="12" max="14" width="10.83203125" style="115"/>
    <col min="15" max="15" width="26.33203125" style="115" bestFit="1" customWidth="1"/>
  </cols>
  <sheetData>
    <row r="2" spans="2:15" x14ac:dyDescent="0.3">
      <c r="B2" s="88" t="s">
        <v>566</v>
      </c>
      <c r="C2" s="88" t="s">
        <v>690</v>
      </c>
      <c r="D2" s="88" t="s">
        <v>684</v>
      </c>
      <c r="E2" s="88" t="s">
        <v>561</v>
      </c>
      <c r="F2" s="88" t="s">
        <v>563</v>
      </c>
      <c r="G2" s="88" t="s">
        <v>560</v>
      </c>
      <c r="H2" s="88" t="s">
        <v>559</v>
      </c>
      <c r="I2" s="88" t="s">
        <v>557</v>
      </c>
      <c r="J2" s="88" t="s">
        <v>558</v>
      </c>
      <c r="K2" s="88" t="s">
        <v>683</v>
      </c>
      <c r="L2" s="88" t="s">
        <v>634</v>
      </c>
    </row>
    <row r="3" spans="2:15" x14ac:dyDescent="0.3">
      <c r="B3" s="115" t="s">
        <v>568</v>
      </c>
      <c r="D3" s="115" t="s">
        <v>722</v>
      </c>
      <c r="E3" s="115" t="s">
        <v>635</v>
      </c>
      <c r="F3" s="115" t="s">
        <v>636</v>
      </c>
      <c r="G3" s="115" t="s">
        <v>636</v>
      </c>
      <c r="H3" s="115" t="s">
        <v>636</v>
      </c>
      <c r="I3" s="115" t="s">
        <v>637</v>
      </c>
      <c r="J3" s="115" t="s">
        <v>638</v>
      </c>
      <c r="K3" s="115" t="s">
        <v>716</v>
      </c>
      <c r="L3" s="115" t="s">
        <v>639</v>
      </c>
    </row>
    <row r="4" spans="2:15" x14ac:dyDescent="0.3">
      <c r="B4" s="115" t="s">
        <v>568</v>
      </c>
      <c r="D4" s="115" t="s">
        <v>722</v>
      </c>
      <c r="E4" s="115" t="s">
        <v>640</v>
      </c>
      <c r="F4" s="115" t="s">
        <v>636</v>
      </c>
      <c r="G4" s="115" t="s">
        <v>636</v>
      </c>
      <c r="H4" s="115" t="s">
        <v>636</v>
      </c>
      <c r="I4" s="115" t="s">
        <v>637</v>
      </c>
      <c r="J4" s="115" t="s">
        <v>638</v>
      </c>
      <c r="K4" s="115" t="s">
        <v>717</v>
      </c>
      <c r="L4" s="115" t="s">
        <v>639</v>
      </c>
      <c r="O4" s="136"/>
    </row>
    <row r="5" spans="2:15" x14ac:dyDescent="0.3">
      <c r="B5" s="115" t="s">
        <v>568</v>
      </c>
      <c r="D5" s="115" t="s">
        <v>722</v>
      </c>
      <c r="E5" s="115" t="s">
        <v>640</v>
      </c>
      <c r="F5" s="115" t="s">
        <v>636</v>
      </c>
      <c r="G5" s="115" t="s">
        <v>636</v>
      </c>
      <c r="H5" s="115" t="s">
        <v>636</v>
      </c>
      <c r="I5" s="115" t="s">
        <v>641</v>
      </c>
      <c r="J5" s="115" t="s">
        <v>641</v>
      </c>
      <c r="K5" s="115" t="s">
        <v>718</v>
      </c>
      <c r="L5" s="115" t="s">
        <v>642</v>
      </c>
      <c r="O5" s="139"/>
    </row>
    <row r="6" spans="2:15" x14ac:dyDescent="0.3">
      <c r="B6" s="115" t="s">
        <v>568</v>
      </c>
      <c r="D6" s="115" t="s">
        <v>722</v>
      </c>
      <c r="E6" s="115" t="s">
        <v>643</v>
      </c>
      <c r="F6" s="115" t="s">
        <v>636</v>
      </c>
      <c r="G6" s="115" t="s">
        <v>636</v>
      </c>
      <c r="H6" s="115" t="s">
        <v>636</v>
      </c>
      <c r="I6" s="115" t="s">
        <v>637</v>
      </c>
      <c r="J6" s="115" t="s">
        <v>638</v>
      </c>
      <c r="K6" s="115" t="s">
        <v>719</v>
      </c>
      <c r="L6" s="115" t="s">
        <v>639</v>
      </c>
    </row>
    <row r="7" spans="2:15" x14ac:dyDescent="0.3">
      <c r="B7" s="115" t="s">
        <v>568</v>
      </c>
      <c r="D7" s="115" t="s">
        <v>722</v>
      </c>
      <c r="E7" s="115" t="s">
        <v>643</v>
      </c>
      <c r="F7" s="115" t="s">
        <v>636</v>
      </c>
      <c r="G7" s="115" t="s">
        <v>636</v>
      </c>
      <c r="H7" s="115" t="s">
        <v>636</v>
      </c>
      <c r="I7" s="115" t="s">
        <v>637</v>
      </c>
      <c r="J7" s="115" t="s">
        <v>638</v>
      </c>
      <c r="K7" s="115" t="s">
        <v>720</v>
      </c>
      <c r="L7" s="115" t="s">
        <v>639</v>
      </c>
    </row>
    <row r="8" spans="2:15" x14ac:dyDescent="0.3">
      <c r="B8" s="115" t="s">
        <v>568</v>
      </c>
      <c r="D8" s="115" t="s">
        <v>722</v>
      </c>
      <c r="E8" s="115" t="s">
        <v>643</v>
      </c>
      <c r="F8" s="115" t="s">
        <v>636</v>
      </c>
      <c r="G8" s="115" t="s">
        <v>636</v>
      </c>
      <c r="H8" s="115" t="s">
        <v>636</v>
      </c>
      <c r="I8" s="115" t="s">
        <v>637</v>
      </c>
      <c r="J8" s="115" t="s">
        <v>638</v>
      </c>
      <c r="K8" s="115" t="s">
        <v>721</v>
      </c>
      <c r="L8" s="115" t="s">
        <v>639</v>
      </c>
      <c r="O8" s="139"/>
    </row>
    <row r="9" spans="2:15" x14ac:dyDescent="0.3">
      <c r="B9" s="115" t="s">
        <v>567</v>
      </c>
      <c r="C9" s="136" t="s">
        <v>529</v>
      </c>
      <c r="D9" s="136" t="s">
        <v>592</v>
      </c>
      <c r="E9" s="115" t="s">
        <v>565</v>
      </c>
      <c r="O9" s="139"/>
    </row>
    <row r="10" spans="2:15" x14ac:dyDescent="0.3">
      <c r="B10" s="115" t="s">
        <v>567</v>
      </c>
      <c r="C10" s="115" t="s">
        <v>574</v>
      </c>
      <c r="D10" s="115" t="s">
        <v>143</v>
      </c>
      <c r="E10" s="115" t="s">
        <v>697</v>
      </c>
      <c r="F10" s="115" t="s">
        <v>574</v>
      </c>
      <c r="G10" s="115" t="s">
        <v>727</v>
      </c>
      <c r="H10" s="115" t="s">
        <v>636</v>
      </c>
      <c r="I10" s="115" t="s">
        <v>637</v>
      </c>
      <c r="J10" s="115" t="s">
        <v>731</v>
      </c>
    </row>
    <row r="11" spans="2:15" x14ac:dyDescent="0.3">
      <c r="B11" s="115" t="s">
        <v>567</v>
      </c>
      <c r="C11" s="115" t="s">
        <v>575</v>
      </c>
      <c r="D11" s="115" t="s">
        <v>728</v>
      </c>
      <c r="E11" s="115" t="s">
        <v>697</v>
      </c>
      <c r="F11" s="115" t="s">
        <v>729</v>
      </c>
      <c r="G11" s="115" t="s">
        <v>730</v>
      </c>
      <c r="H11" s="115" t="s">
        <v>636</v>
      </c>
    </row>
    <row r="12" spans="2:15" x14ac:dyDescent="0.3">
      <c r="B12" s="115" t="s">
        <v>567</v>
      </c>
      <c r="C12" s="115" t="s">
        <v>572</v>
      </c>
      <c r="D12" s="115" t="s">
        <v>724</v>
      </c>
      <c r="E12" s="115" t="s">
        <v>696</v>
      </c>
      <c r="F12" s="115" t="s">
        <v>724</v>
      </c>
      <c r="G12" s="115" t="s">
        <v>725</v>
      </c>
      <c r="I12" s="115" t="s">
        <v>637</v>
      </c>
      <c r="J12" s="115" t="s">
        <v>726</v>
      </c>
    </row>
    <row r="13" spans="2:15" x14ac:dyDescent="0.3">
      <c r="B13" s="115" t="s">
        <v>567</v>
      </c>
      <c r="C13" s="115" t="s">
        <v>573</v>
      </c>
      <c r="D13" s="115" t="s">
        <v>724</v>
      </c>
      <c r="E13" s="115" t="s">
        <v>698</v>
      </c>
      <c r="F13" s="115" t="s">
        <v>723</v>
      </c>
      <c r="G13" s="115" t="s">
        <v>636</v>
      </c>
      <c r="H13" s="115" t="s">
        <v>636</v>
      </c>
      <c r="I13" s="115" t="s">
        <v>636</v>
      </c>
      <c r="J13" s="115" t="s">
        <v>636</v>
      </c>
    </row>
    <row r="14" spans="2:15" x14ac:dyDescent="0.3">
      <c r="B14" s="115" t="s">
        <v>567</v>
      </c>
      <c r="C14" s="115" t="s">
        <v>570</v>
      </c>
      <c r="D14" s="115" t="s">
        <v>528</v>
      </c>
      <c r="I14" s="115" t="s">
        <v>637</v>
      </c>
      <c r="J14" s="115" t="s">
        <v>638</v>
      </c>
    </row>
    <row r="15" spans="2:15" x14ac:dyDescent="0.3">
      <c r="B15" s="115" t="s">
        <v>567</v>
      </c>
      <c r="C15" s="115" t="s">
        <v>576</v>
      </c>
      <c r="D15" s="115" t="s">
        <v>588</v>
      </c>
      <c r="I15" s="115" t="s">
        <v>637</v>
      </c>
      <c r="J15" s="115" t="s">
        <v>638</v>
      </c>
    </row>
    <row r="16" spans="2:15" x14ac:dyDescent="0.3">
      <c r="B16" s="115" t="s">
        <v>568</v>
      </c>
      <c r="C16" s="115" t="s">
        <v>570</v>
      </c>
      <c r="D16" s="115" t="s">
        <v>644</v>
      </c>
      <c r="E16" s="115" t="s">
        <v>645</v>
      </c>
      <c r="F16" s="115" t="s">
        <v>646</v>
      </c>
      <c r="G16" s="115" t="s">
        <v>636</v>
      </c>
      <c r="H16" s="115" t="s">
        <v>636</v>
      </c>
      <c r="I16" s="115" t="s">
        <v>637</v>
      </c>
      <c r="J16" s="115" t="s">
        <v>638</v>
      </c>
      <c r="K16" s="115" t="s">
        <v>681</v>
      </c>
      <c r="L16" s="115" t="s">
        <v>639</v>
      </c>
    </row>
    <row r="17" spans="2:21" x14ac:dyDescent="0.3">
      <c r="B17" s="115" t="s">
        <v>568</v>
      </c>
      <c r="C17" s="115" t="s">
        <v>570</v>
      </c>
      <c r="D17" s="115" t="s">
        <v>644</v>
      </c>
      <c r="E17" s="115" t="s">
        <v>645</v>
      </c>
      <c r="F17" s="115" t="s">
        <v>646</v>
      </c>
      <c r="G17" s="115" t="s">
        <v>636</v>
      </c>
      <c r="H17" s="115" t="s">
        <v>636</v>
      </c>
      <c r="I17" s="115" t="s">
        <v>637</v>
      </c>
      <c r="J17" s="115" t="s">
        <v>638</v>
      </c>
      <c r="K17" s="115" t="s">
        <v>682</v>
      </c>
      <c r="L17" s="115" t="s">
        <v>647</v>
      </c>
    </row>
    <row r="18" spans="2:21" x14ac:dyDescent="0.3">
      <c r="B18" s="115" t="s">
        <v>568</v>
      </c>
      <c r="C18" s="115" t="s">
        <v>570</v>
      </c>
      <c r="D18" s="115" t="s">
        <v>644</v>
      </c>
      <c r="E18" s="115" t="s">
        <v>645</v>
      </c>
      <c r="F18" s="115" t="s">
        <v>648</v>
      </c>
      <c r="G18" s="115" t="s">
        <v>649</v>
      </c>
      <c r="H18" s="115" t="s">
        <v>636</v>
      </c>
      <c r="I18" s="115" t="s">
        <v>637</v>
      </c>
      <c r="J18" s="115" t="s">
        <v>638</v>
      </c>
      <c r="K18" s="115" t="s">
        <v>650</v>
      </c>
      <c r="L18" s="115" t="s">
        <v>639</v>
      </c>
    </row>
    <row r="19" spans="2:21" x14ac:dyDescent="0.3">
      <c r="B19" s="115" t="s">
        <v>568</v>
      </c>
      <c r="C19" s="115" t="s">
        <v>570</v>
      </c>
      <c r="D19" s="115" t="s">
        <v>644</v>
      </c>
      <c r="E19" s="115" t="s">
        <v>645</v>
      </c>
      <c r="F19" s="115" t="s">
        <v>651</v>
      </c>
      <c r="G19" s="115" t="s">
        <v>652</v>
      </c>
      <c r="H19" s="115" t="s">
        <v>636</v>
      </c>
      <c r="I19" s="115" t="s">
        <v>637</v>
      </c>
      <c r="J19" s="115" t="s">
        <v>638</v>
      </c>
      <c r="K19" s="115" t="s">
        <v>653</v>
      </c>
      <c r="L19" s="115" t="s">
        <v>654</v>
      </c>
    </row>
    <row r="20" spans="2:21" x14ac:dyDescent="0.3">
      <c r="B20" s="115" t="s">
        <v>568</v>
      </c>
      <c r="C20" s="115" t="s">
        <v>570</v>
      </c>
      <c r="D20" s="115" t="s">
        <v>644</v>
      </c>
      <c r="E20" s="115" t="s">
        <v>645</v>
      </c>
      <c r="F20" s="115" t="s">
        <v>655</v>
      </c>
      <c r="G20" s="115" t="s">
        <v>656</v>
      </c>
      <c r="H20" s="115" t="s">
        <v>636</v>
      </c>
      <c r="I20" s="115" t="s">
        <v>637</v>
      </c>
      <c r="J20" s="115" t="s">
        <v>638</v>
      </c>
      <c r="K20" s="115" t="s">
        <v>657</v>
      </c>
      <c r="L20" s="115" t="s">
        <v>658</v>
      </c>
      <c r="R20" s="115"/>
      <c r="S20" s="115"/>
      <c r="T20" s="115"/>
      <c r="U20" s="115"/>
    </row>
    <row r="21" spans="2:21" x14ac:dyDescent="0.3">
      <c r="B21" s="115" t="s">
        <v>568</v>
      </c>
      <c r="C21" s="115" t="s">
        <v>570</v>
      </c>
      <c r="D21" s="115" t="s">
        <v>686</v>
      </c>
      <c r="E21" s="115" t="s">
        <v>645</v>
      </c>
      <c r="F21" s="115" t="s">
        <v>659</v>
      </c>
      <c r="G21" s="115" t="s">
        <v>660</v>
      </c>
      <c r="H21" s="115" t="s">
        <v>636</v>
      </c>
      <c r="I21" s="115" t="s">
        <v>637</v>
      </c>
      <c r="J21" s="115" t="s">
        <v>638</v>
      </c>
      <c r="K21" s="115" t="s">
        <v>661</v>
      </c>
      <c r="L21" s="115" t="s">
        <v>662</v>
      </c>
      <c r="R21" s="115"/>
      <c r="S21" s="115"/>
      <c r="T21" s="115"/>
      <c r="U21" s="115"/>
    </row>
    <row r="22" spans="2:21" x14ac:dyDescent="0.3">
      <c r="B22" s="115" t="s">
        <v>568</v>
      </c>
      <c r="C22" s="115" t="s">
        <v>570</v>
      </c>
      <c r="D22" s="115" t="s">
        <v>686</v>
      </c>
      <c r="E22" s="115" t="s">
        <v>645</v>
      </c>
      <c r="F22" s="115" t="s">
        <v>659</v>
      </c>
      <c r="G22" s="115" t="s">
        <v>663</v>
      </c>
      <c r="H22" s="115" t="s">
        <v>636</v>
      </c>
      <c r="I22" s="115" t="s">
        <v>637</v>
      </c>
      <c r="J22" s="115" t="s">
        <v>638</v>
      </c>
      <c r="K22" s="115" t="s">
        <v>664</v>
      </c>
      <c r="L22" s="115" t="s">
        <v>639</v>
      </c>
      <c r="R22" s="115"/>
      <c r="S22" s="115"/>
      <c r="T22" s="115"/>
      <c r="U22" s="115"/>
    </row>
    <row r="23" spans="2:21" x14ac:dyDescent="0.3">
      <c r="B23" s="115" t="s">
        <v>568</v>
      </c>
      <c r="C23" s="115" t="s">
        <v>570</v>
      </c>
      <c r="D23" s="115" t="s">
        <v>686</v>
      </c>
      <c r="E23" s="115" t="s">
        <v>645</v>
      </c>
      <c r="F23" s="115" t="s">
        <v>665</v>
      </c>
      <c r="G23" s="115" t="s">
        <v>666</v>
      </c>
      <c r="H23" s="115" t="s">
        <v>636</v>
      </c>
      <c r="I23" s="115" t="s">
        <v>637</v>
      </c>
      <c r="J23" s="115" t="s">
        <v>638</v>
      </c>
      <c r="K23" s="115" t="s">
        <v>667</v>
      </c>
      <c r="L23" s="115" t="s">
        <v>639</v>
      </c>
      <c r="R23" s="115"/>
      <c r="S23" s="115"/>
      <c r="T23" s="115"/>
      <c r="U23" s="115"/>
    </row>
    <row r="24" spans="2:21" x14ac:dyDescent="0.3">
      <c r="B24" s="115" t="s">
        <v>568</v>
      </c>
      <c r="C24" s="115" t="s">
        <v>570</v>
      </c>
      <c r="D24" s="115" t="s">
        <v>686</v>
      </c>
      <c r="E24" s="115" t="s">
        <v>645</v>
      </c>
      <c r="F24" s="115" t="s">
        <v>668</v>
      </c>
      <c r="G24" s="115" t="s">
        <v>669</v>
      </c>
      <c r="H24" s="115" t="s">
        <v>636</v>
      </c>
      <c r="I24" s="115" t="s">
        <v>637</v>
      </c>
      <c r="J24" s="115" t="s">
        <v>638</v>
      </c>
      <c r="K24" s="115" t="s">
        <v>685</v>
      </c>
      <c r="L24" s="115" t="s">
        <v>639</v>
      </c>
      <c r="R24" s="115"/>
      <c r="S24" s="115"/>
      <c r="T24" s="115"/>
      <c r="U24" s="115"/>
    </row>
    <row r="25" spans="2:21" x14ac:dyDescent="0.3">
      <c r="B25" s="115" t="s">
        <v>567</v>
      </c>
      <c r="D25" s="115" t="s">
        <v>715</v>
      </c>
      <c r="E25" s="115" t="s">
        <v>670</v>
      </c>
      <c r="F25" s="115" t="s">
        <v>671</v>
      </c>
      <c r="G25" s="115" t="s">
        <v>636</v>
      </c>
      <c r="H25" s="115" t="s">
        <v>636</v>
      </c>
      <c r="I25" s="115" t="s">
        <v>637</v>
      </c>
      <c r="J25" s="115" t="s">
        <v>638</v>
      </c>
      <c r="K25" s="115" t="s">
        <v>687</v>
      </c>
      <c r="L25" s="115" t="s">
        <v>639</v>
      </c>
      <c r="R25" s="115"/>
      <c r="S25" s="115"/>
      <c r="T25" s="115"/>
      <c r="U25" s="115"/>
    </row>
    <row r="26" spans="2:21" x14ac:dyDescent="0.3">
      <c r="B26" s="115" t="s">
        <v>567</v>
      </c>
      <c r="C26" s="115" t="s">
        <v>571</v>
      </c>
      <c r="D26" s="115" t="s">
        <v>715</v>
      </c>
      <c r="E26" s="115" t="s">
        <v>645</v>
      </c>
      <c r="F26" s="115" t="s">
        <v>672</v>
      </c>
      <c r="G26" s="115" t="s">
        <v>166</v>
      </c>
      <c r="H26" s="115" t="s">
        <v>673</v>
      </c>
      <c r="I26" s="115" t="s">
        <v>637</v>
      </c>
      <c r="J26" s="115" t="s">
        <v>638</v>
      </c>
      <c r="K26" s="115" t="s">
        <v>688</v>
      </c>
      <c r="L26" s="115" t="s">
        <v>639</v>
      </c>
      <c r="R26" s="115"/>
      <c r="S26" s="115"/>
      <c r="T26" s="115"/>
      <c r="U26" s="115"/>
    </row>
    <row r="27" spans="2:21" x14ac:dyDescent="0.3">
      <c r="B27" s="115" t="s">
        <v>567</v>
      </c>
      <c r="C27" s="115" t="s">
        <v>571</v>
      </c>
      <c r="D27" s="115" t="s">
        <v>715</v>
      </c>
      <c r="E27" s="115" t="s">
        <v>645</v>
      </c>
      <c r="F27" s="115" t="s">
        <v>674</v>
      </c>
      <c r="G27" s="115" t="s">
        <v>636</v>
      </c>
      <c r="H27" s="115" t="s">
        <v>636</v>
      </c>
      <c r="I27" s="115" t="s">
        <v>637</v>
      </c>
      <c r="J27" s="115" t="s">
        <v>638</v>
      </c>
      <c r="K27" s="115" t="s">
        <v>689</v>
      </c>
      <c r="L27" s="115" t="s">
        <v>675</v>
      </c>
      <c r="R27" s="115"/>
      <c r="S27" s="115"/>
      <c r="T27" s="115"/>
      <c r="U27" s="115"/>
    </row>
    <row r="28" spans="2:21" x14ac:dyDescent="0.3">
      <c r="B28" s="115" t="s">
        <v>567</v>
      </c>
      <c r="C28" s="115" t="s">
        <v>571</v>
      </c>
      <c r="D28" s="115" t="s">
        <v>715</v>
      </c>
      <c r="E28" s="115" t="s">
        <v>645</v>
      </c>
      <c r="F28" s="115" t="s">
        <v>676</v>
      </c>
      <c r="G28" s="115" t="s">
        <v>636</v>
      </c>
      <c r="H28" s="115" t="s">
        <v>636</v>
      </c>
      <c r="I28" s="115" t="s">
        <v>637</v>
      </c>
      <c r="J28" s="115" t="s">
        <v>638</v>
      </c>
      <c r="K28" s="115" t="s">
        <v>677</v>
      </c>
      <c r="L28" s="115" t="s">
        <v>675</v>
      </c>
      <c r="R28" s="115"/>
      <c r="S28" s="115"/>
      <c r="T28" s="115"/>
      <c r="U28" s="115"/>
    </row>
    <row r="29" spans="2:21" x14ac:dyDescent="0.3">
      <c r="B29" s="115" t="s">
        <v>567</v>
      </c>
      <c r="D29" s="115" t="s">
        <v>691</v>
      </c>
      <c r="E29" s="115" t="s">
        <v>565</v>
      </c>
      <c r="F29" s="115" t="s">
        <v>636</v>
      </c>
      <c r="G29" s="115" t="s">
        <v>636</v>
      </c>
      <c r="H29" s="115" t="s">
        <v>636</v>
      </c>
      <c r="I29" s="115" t="s">
        <v>637</v>
      </c>
      <c r="J29" s="115" t="s">
        <v>638</v>
      </c>
      <c r="K29" s="115" t="s">
        <v>692</v>
      </c>
      <c r="L29" s="115" t="s">
        <v>639</v>
      </c>
      <c r="R29" s="115"/>
      <c r="S29" s="115"/>
      <c r="T29" s="115"/>
      <c r="U29" s="115"/>
    </row>
    <row r="30" spans="2:21" x14ac:dyDescent="0.3">
      <c r="B30" s="115" t="s">
        <v>567</v>
      </c>
      <c r="D30" s="115" t="s">
        <v>691</v>
      </c>
      <c r="E30" s="115" t="s">
        <v>678</v>
      </c>
      <c r="F30" s="115" t="s">
        <v>679</v>
      </c>
      <c r="G30" s="115" t="s">
        <v>636</v>
      </c>
      <c r="H30" s="115" t="s">
        <v>636</v>
      </c>
      <c r="I30" s="115" t="s">
        <v>637</v>
      </c>
      <c r="J30" s="115" t="s">
        <v>638</v>
      </c>
      <c r="K30" s="115" t="s">
        <v>693</v>
      </c>
      <c r="L30" s="115" t="s">
        <v>639</v>
      </c>
      <c r="R30" s="115"/>
      <c r="S30" s="115"/>
      <c r="T30" s="115"/>
      <c r="U30" s="115"/>
    </row>
    <row r="31" spans="2:21" ht="23" x14ac:dyDescent="0.3">
      <c r="B31" s="115" t="s">
        <v>567</v>
      </c>
      <c r="C31" s="139" t="s">
        <v>569</v>
      </c>
      <c r="D31" s="115" t="s">
        <v>759</v>
      </c>
      <c r="E31" s="115" t="s">
        <v>562</v>
      </c>
      <c r="F31" s="115" t="s">
        <v>736</v>
      </c>
      <c r="G31" s="115" t="s">
        <v>737</v>
      </c>
      <c r="H31" s="115" t="s">
        <v>738</v>
      </c>
      <c r="I31" s="115" t="s">
        <v>637</v>
      </c>
      <c r="J31" s="115" t="s">
        <v>731</v>
      </c>
      <c r="K31" s="115" t="s">
        <v>746</v>
      </c>
      <c r="L31" s="115" t="s">
        <v>739</v>
      </c>
      <c r="R31" s="115"/>
      <c r="S31" s="115"/>
      <c r="T31" s="115"/>
      <c r="U31" s="115"/>
    </row>
    <row r="32" spans="2:21" ht="23" x14ac:dyDescent="0.3">
      <c r="B32" s="115" t="s">
        <v>567</v>
      </c>
      <c r="C32" s="139" t="s">
        <v>569</v>
      </c>
      <c r="D32" s="115" t="s">
        <v>759</v>
      </c>
      <c r="E32" s="115" t="s">
        <v>562</v>
      </c>
      <c r="F32" s="115" t="s">
        <v>736</v>
      </c>
      <c r="G32" s="115" t="s">
        <v>740</v>
      </c>
      <c r="H32" s="115" t="s">
        <v>741</v>
      </c>
      <c r="I32" s="115" t="s">
        <v>637</v>
      </c>
      <c r="J32" s="115" t="s">
        <v>731</v>
      </c>
      <c r="K32" s="115" t="s">
        <v>742</v>
      </c>
      <c r="L32" s="115" t="s">
        <v>739</v>
      </c>
      <c r="R32" s="115"/>
      <c r="S32" s="115"/>
      <c r="T32" s="115"/>
      <c r="U32" s="115"/>
    </row>
    <row r="33" spans="2:21" ht="23" x14ac:dyDescent="0.3">
      <c r="B33" s="115" t="s">
        <v>567</v>
      </c>
      <c r="C33" s="139" t="s">
        <v>569</v>
      </c>
      <c r="D33" s="115" t="s">
        <v>759</v>
      </c>
      <c r="E33" s="115" t="s">
        <v>562</v>
      </c>
      <c r="F33" s="115" t="s">
        <v>736</v>
      </c>
      <c r="G33" s="115" t="s">
        <v>743</v>
      </c>
      <c r="H33" s="115" t="s">
        <v>744</v>
      </c>
      <c r="I33" s="115" t="s">
        <v>637</v>
      </c>
      <c r="J33" s="115" t="s">
        <v>731</v>
      </c>
      <c r="K33" s="115" t="s">
        <v>747</v>
      </c>
      <c r="L33" s="115" t="s">
        <v>745</v>
      </c>
      <c r="R33" s="115"/>
      <c r="S33" s="115"/>
      <c r="T33" s="115"/>
      <c r="U33" s="115"/>
    </row>
    <row r="34" spans="2:21" ht="23" x14ac:dyDescent="0.3">
      <c r="B34" s="115" t="s">
        <v>567</v>
      </c>
      <c r="C34" s="139" t="s">
        <v>569</v>
      </c>
      <c r="D34" s="115" t="s">
        <v>758</v>
      </c>
      <c r="E34" s="115" t="s">
        <v>562</v>
      </c>
      <c r="F34" s="115" t="s">
        <v>748</v>
      </c>
      <c r="G34" s="115" t="s">
        <v>749</v>
      </c>
      <c r="H34" s="115" t="s">
        <v>636</v>
      </c>
      <c r="I34" s="115" t="s">
        <v>637</v>
      </c>
      <c r="J34" s="115" t="s">
        <v>731</v>
      </c>
      <c r="K34" s="115" t="s">
        <v>750</v>
      </c>
      <c r="L34" s="115" t="s">
        <v>639</v>
      </c>
      <c r="R34" s="115"/>
      <c r="S34" s="115"/>
      <c r="T34" s="115"/>
      <c r="U34" s="115"/>
    </row>
    <row r="35" spans="2:21" ht="23" x14ac:dyDescent="0.3">
      <c r="B35" s="115" t="s">
        <v>567</v>
      </c>
      <c r="C35" s="139" t="s">
        <v>569</v>
      </c>
      <c r="D35" s="115" t="s">
        <v>758</v>
      </c>
      <c r="E35" s="115" t="s">
        <v>562</v>
      </c>
      <c r="F35" s="115" t="s">
        <v>751</v>
      </c>
      <c r="G35" s="115" t="s">
        <v>636</v>
      </c>
      <c r="H35" s="115" t="s">
        <v>636</v>
      </c>
      <c r="I35" s="115" t="s">
        <v>637</v>
      </c>
      <c r="J35" s="115" t="s">
        <v>731</v>
      </c>
      <c r="K35" s="115" t="s">
        <v>752</v>
      </c>
      <c r="L35" s="115" t="s">
        <v>753</v>
      </c>
      <c r="R35" s="115"/>
      <c r="S35" s="115"/>
      <c r="T35" s="115"/>
      <c r="U35" s="115"/>
    </row>
    <row r="36" spans="2:21" ht="23" x14ac:dyDescent="0.3">
      <c r="B36" s="115" t="s">
        <v>567</v>
      </c>
      <c r="C36" s="139" t="s">
        <v>569</v>
      </c>
      <c r="D36" s="115" t="s">
        <v>758</v>
      </c>
      <c r="E36" s="115" t="s">
        <v>562</v>
      </c>
      <c r="F36" s="115" t="s">
        <v>754</v>
      </c>
      <c r="G36" s="115" t="s">
        <v>636</v>
      </c>
      <c r="H36" s="115" t="s">
        <v>636</v>
      </c>
      <c r="I36" s="115" t="s">
        <v>637</v>
      </c>
      <c r="J36" s="115" t="s">
        <v>731</v>
      </c>
      <c r="K36" s="115" t="s">
        <v>755</v>
      </c>
      <c r="L36" s="115" t="s">
        <v>753</v>
      </c>
      <c r="R36" s="115"/>
      <c r="S36" s="115"/>
      <c r="T36" s="115"/>
      <c r="U36" s="115"/>
    </row>
    <row r="37" spans="2:21" ht="23" x14ac:dyDescent="0.3">
      <c r="B37" s="115" t="s">
        <v>567</v>
      </c>
      <c r="C37" s="139" t="s">
        <v>569</v>
      </c>
      <c r="D37" s="115" t="s">
        <v>758</v>
      </c>
      <c r="E37" s="115" t="s">
        <v>562</v>
      </c>
      <c r="F37" s="115" t="s">
        <v>756</v>
      </c>
      <c r="G37" s="115" t="s">
        <v>674</v>
      </c>
      <c r="H37" s="115" t="s">
        <v>636</v>
      </c>
      <c r="I37" s="115" t="s">
        <v>637</v>
      </c>
      <c r="J37" s="115" t="s">
        <v>731</v>
      </c>
      <c r="K37" s="115" t="s">
        <v>757</v>
      </c>
      <c r="L37" s="115" t="s">
        <v>639</v>
      </c>
      <c r="R37" s="115"/>
      <c r="S37" s="115"/>
      <c r="T37" s="115"/>
      <c r="U37" s="115"/>
    </row>
    <row r="38" spans="2:21" ht="23" x14ac:dyDescent="0.3">
      <c r="B38" s="115" t="s">
        <v>567</v>
      </c>
      <c r="C38" s="139" t="s">
        <v>569</v>
      </c>
      <c r="D38" s="115" t="s">
        <v>760</v>
      </c>
      <c r="E38" s="115" t="s">
        <v>565</v>
      </c>
      <c r="F38" s="115" t="s">
        <v>636</v>
      </c>
      <c r="G38" s="115" t="s">
        <v>636</v>
      </c>
      <c r="H38" s="115" t="s">
        <v>636</v>
      </c>
      <c r="I38" s="115" t="s">
        <v>637</v>
      </c>
      <c r="J38" s="115" t="s">
        <v>731</v>
      </c>
      <c r="K38" s="115" t="s">
        <v>764</v>
      </c>
      <c r="L38" s="115" t="s">
        <v>639</v>
      </c>
      <c r="R38" s="115"/>
      <c r="S38" s="115"/>
      <c r="T38" s="115"/>
      <c r="U38" s="115"/>
    </row>
    <row r="39" spans="2:21" ht="23" x14ac:dyDescent="0.3">
      <c r="B39" s="115" t="s">
        <v>567</v>
      </c>
      <c r="C39" s="139" t="s">
        <v>569</v>
      </c>
      <c r="D39" s="115" t="s">
        <v>760</v>
      </c>
      <c r="E39" s="115" t="s">
        <v>565</v>
      </c>
      <c r="F39" s="115" t="s">
        <v>636</v>
      </c>
      <c r="G39" s="115" t="s">
        <v>636</v>
      </c>
      <c r="H39" s="115" t="s">
        <v>636</v>
      </c>
      <c r="I39" s="115" t="s">
        <v>637</v>
      </c>
      <c r="J39" s="115" t="s">
        <v>731</v>
      </c>
      <c r="K39" s="115" t="s">
        <v>765</v>
      </c>
      <c r="L39" s="115" t="s">
        <v>639</v>
      </c>
      <c r="R39" s="115"/>
      <c r="S39" s="115"/>
      <c r="T39" s="115"/>
      <c r="U39" s="115"/>
    </row>
    <row r="40" spans="2:21" ht="23" x14ac:dyDescent="0.3">
      <c r="B40" s="115" t="s">
        <v>567</v>
      </c>
      <c r="C40" s="139" t="s">
        <v>569</v>
      </c>
      <c r="D40" s="115" t="s">
        <v>760</v>
      </c>
      <c r="E40" s="115" t="s">
        <v>699</v>
      </c>
      <c r="F40" s="115" t="s">
        <v>761</v>
      </c>
      <c r="G40" s="115" t="s">
        <v>636</v>
      </c>
      <c r="H40" s="115" t="s">
        <v>636</v>
      </c>
      <c r="I40" s="115" t="s">
        <v>637</v>
      </c>
      <c r="J40" s="115" t="s">
        <v>731</v>
      </c>
      <c r="K40" s="115" t="s">
        <v>762</v>
      </c>
      <c r="L40" s="115" t="s">
        <v>763</v>
      </c>
      <c r="R40" s="115"/>
      <c r="S40" s="115"/>
      <c r="T40" s="115"/>
      <c r="U40" s="115"/>
    </row>
    <row r="41" spans="2:21" x14ac:dyDescent="0.3">
      <c r="B41" s="115" t="s">
        <v>568</v>
      </c>
      <c r="C41" s="115" t="s">
        <v>189</v>
      </c>
      <c r="E41" s="115" t="s">
        <v>766</v>
      </c>
      <c r="F41" s="115" t="s">
        <v>636</v>
      </c>
      <c r="G41" s="115" t="s">
        <v>636</v>
      </c>
      <c r="H41" s="115" t="s">
        <v>636</v>
      </c>
      <c r="I41" s="115" t="s">
        <v>637</v>
      </c>
      <c r="J41" s="115" t="s">
        <v>767</v>
      </c>
      <c r="K41" s="115" t="s">
        <v>770</v>
      </c>
      <c r="L41" s="115" t="s">
        <v>768</v>
      </c>
      <c r="R41" s="115"/>
      <c r="S41" s="115"/>
      <c r="T41" s="115"/>
      <c r="U41" s="115"/>
    </row>
    <row r="42" spans="2:21" x14ac:dyDescent="0.3">
      <c r="B42" s="115" t="s">
        <v>568</v>
      </c>
      <c r="C42" s="115" t="s">
        <v>189</v>
      </c>
      <c r="E42" s="115" t="s">
        <v>766</v>
      </c>
      <c r="F42" s="115" t="s">
        <v>636</v>
      </c>
      <c r="G42" s="115" t="s">
        <v>636</v>
      </c>
      <c r="H42" s="115" t="s">
        <v>636</v>
      </c>
      <c r="I42" s="115" t="s">
        <v>641</v>
      </c>
      <c r="J42" s="115" t="s">
        <v>641</v>
      </c>
      <c r="K42" s="115" t="s">
        <v>771</v>
      </c>
      <c r="L42" s="115" t="s">
        <v>769</v>
      </c>
      <c r="R42" s="115"/>
      <c r="S42" s="115"/>
      <c r="T42" s="115"/>
      <c r="U42" s="115"/>
    </row>
    <row r="43" spans="2:21" x14ac:dyDescent="0.3">
      <c r="B43" s="115" t="s">
        <v>568</v>
      </c>
      <c r="C43" s="115" t="s">
        <v>189</v>
      </c>
      <c r="E43" s="115" t="s">
        <v>635</v>
      </c>
      <c r="F43" s="115" t="s">
        <v>636</v>
      </c>
      <c r="G43" s="115" t="s">
        <v>636</v>
      </c>
      <c r="H43" s="115" t="s">
        <v>636</v>
      </c>
      <c r="I43" s="115" t="s">
        <v>637</v>
      </c>
      <c r="J43" s="115" t="s">
        <v>767</v>
      </c>
      <c r="K43" s="115" t="s">
        <v>772</v>
      </c>
      <c r="L43" s="115" t="s">
        <v>769</v>
      </c>
      <c r="R43" s="115"/>
      <c r="S43" s="115"/>
      <c r="T43" s="115"/>
      <c r="U43" s="115"/>
    </row>
    <row r="44" spans="2:21" x14ac:dyDescent="0.3">
      <c r="B44" s="115" t="s">
        <v>568</v>
      </c>
      <c r="C44" s="115" t="s">
        <v>189</v>
      </c>
      <c r="E44" s="115" t="s">
        <v>643</v>
      </c>
      <c r="F44" s="115" t="s">
        <v>636</v>
      </c>
      <c r="G44" s="115" t="s">
        <v>636</v>
      </c>
      <c r="H44" s="115" t="s">
        <v>636</v>
      </c>
      <c r="I44" s="115" t="s">
        <v>637</v>
      </c>
      <c r="J44" s="115" t="s">
        <v>767</v>
      </c>
      <c r="K44" s="115" t="s">
        <v>773</v>
      </c>
      <c r="L44" s="115" t="s">
        <v>639</v>
      </c>
      <c r="R44" s="115"/>
      <c r="S44" s="115"/>
      <c r="T44" s="115"/>
      <c r="U44" s="115"/>
    </row>
    <row r="45" spans="2:21" x14ac:dyDescent="0.3">
      <c r="B45" s="115" t="s">
        <v>166</v>
      </c>
      <c r="C45" s="115" t="s">
        <v>537</v>
      </c>
      <c r="D45" s="115" t="s">
        <v>783</v>
      </c>
      <c r="E45" s="115" t="s">
        <v>695</v>
      </c>
      <c r="F45" s="115" t="s">
        <v>774</v>
      </c>
      <c r="G45" s="115" t="s">
        <v>636</v>
      </c>
      <c r="H45" s="115" t="s">
        <v>636</v>
      </c>
      <c r="I45" s="115" t="s">
        <v>637</v>
      </c>
      <c r="J45" s="115" t="s">
        <v>767</v>
      </c>
      <c r="K45" s="115" t="s">
        <v>779</v>
      </c>
      <c r="L45" s="115" t="s">
        <v>775</v>
      </c>
      <c r="R45" s="115"/>
      <c r="S45" s="115"/>
      <c r="T45" s="115"/>
      <c r="U45" s="115"/>
    </row>
    <row r="46" spans="2:21" x14ac:dyDescent="0.3">
      <c r="B46" s="115" t="s">
        <v>166</v>
      </c>
      <c r="C46" s="115" t="s">
        <v>537</v>
      </c>
      <c r="D46" s="115" t="s">
        <v>783</v>
      </c>
      <c r="E46" s="115" t="s">
        <v>695</v>
      </c>
      <c r="F46" s="115" t="s">
        <v>672</v>
      </c>
      <c r="G46" s="115" t="s">
        <v>567</v>
      </c>
      <c r="H46" s="115" t="s">
        <v>636</v>
      </c>
      <c r="I46" s="115" t="s">
        <v>637</v>
      </c>
      <c r="J46" s="115" t="s">
        <v>767</v>
      </c>
      <c r="K46" s="115" t="s">
        <v>780</v>
      </c>
      <c r="L46" s="115" t="s">
        <v>776</v>
      </c>
      <c r="R46" s="115"/>
      <c r="S46" s="115"/>
      <c r="T46" s="115"/>
      <c r="U46" s="115"/>
    </row>
    <row r="47" spans="2:21" x14ac:dyDescent="0.3">
      <c r="B47" s="115" t="s">
        <v>166</v>
      </c>
      <c r="C47" s="115" t="s">
        <v>537</v>
      </c>
      <c r="D47" s="115" t="s">
        <v>783</v>
      </c>
      <c r="E47" s="115" t="s">
        <v>695</v>
      </c>
      <c r="F47" s="115" t="s">
        <v>777</v>
      </c>
      <c r="G47" s="115" t="s">
        <v>636</v>
      </c>
      <c r="H47" s="115" t="s">
        <v>636</v>
      </c>
      <c r="I47" s="115" t="s">
        <v>637</v>
      </c>
      <c r="J47" s="115" t="s">
        <v>767</v>
      </c>
      <c r="K47" s="115" t="s">
        <v>781</v>
      </c>
      <c r="L47" s="115" t="s">
        <v>639</v>
      </c>
      <c r="R47" s="115"/>
      <c r="S47" s="115"/>
      <c r="T47" s="115"/>
      <c r="U47" s="115"/>
    </row>
    <row r="48" spans="2:21" x14ac:dyDescent="0.3">
      <c r="B48" s="115" t="s">
        <v>166</v>
      </c>
      <c r="C48" s="115" t="s">
        <v>537</v>
      </c>
      <c r="D48" s="115" t="s">
        <v>783</v>
      </c>
      <c r="E48" s="115" t="s">
        <v>678</v>
      </c>
      <c r="F48" s="115" t="s">
        <v>679</v>
      </c>
      <c r="G48" s="115" t="s">
        <v>636</v>
      </c>
      <c r="H48" s="115" t="s">
        <v>636</v>
      </c>
      <c r="I48" s="115" t="s">
        <v>637</v>
      </c>
      <c r="J48" s="115" t="s">
        <v>767</v>
      </c>
      <c r="K48" s="115" t="s">
        <v>782</v>
      </c>
      <c r="L48" s="115" t="s">
        <v>778</v>
      </c>
      <c r="R48" s="115"/>
      <c r="S48" s="115"/>
      <c r="T48" s="115"/>
      <c r="U48" s="115"/>
    </row>
    <row r="49" spans="2:21" x14ac:dyDescent="0.3">
      <c r="B49" s="115" t="s">
        <v>568</v>
      </c>
      <c r="C49" s="115" t="s">
        <v>189</v>
      </c>
      <c r="D49" s="115" t="s">
        <v>793</v>
      </c>
      <c r="E49" s="115" t="s">
        <v>695</v>
      </c>
      <c r="F49" s="115" t="s">
        <v>784</v>
      </c>
      <c r="G49" s="115" t="s">
        <v>636</v>
      </c>
      <c r="H49" s="115" t="s">
        <v>636</v>
      </c>
      <c r="I49" s="115" t="s">
        <v>637</v>
      </c>
      <c r="J49" s="115" t="s">
        <v>767</v>
      </c>
      <c r="K49" s="115" t="s">
        <v>785</v>
      </c>
      <c r="L49" s="115" t="s">
        <v>775</v>
      </c>
      <c r="R49" s="115"/>
      <c r="S49" s="115"/>
      <c r="T49" s="115"/>
      <c r="U49" s="115"/>
    </row>
    <row r="50" spans="2:21" x14ac:dyDescent="0.3">
      <c r="B50" s="115" t="s">
        <v>568</v>
      </c>
      <c r="C50" s="115" t="s">
        <v>189</v>
      </c>
      <c r="D50" s="115" t="s">
        <v>793</v>
      </c>
      <c r="E50" s="115" t="s">
        <v>695</v>
      </c>
      <c r="F50" s="115" t="s">
        <v>676</v>
      </c>
      <c r="G50" s="115" t="s">
        <v>636</v>
      </c>
      <c r="H50" s="115" t="s">
        <v>636</v>
      </c>
      <c r="I50" s="115" t="s">
        <v>637</v>
      </c>
      <c r="J50" s="115" t="s">
        <v>767</v>
      </c>
      <c r="K50" s="115" t="s">
        <v>786</v>
      </c>
      <c r="L50" s="115" t="s">
        <v>639</v>
      </c>
      <c r="R50" s="115"/>
      <c r="S50" s="115"/>
      <c r="T50" s="115"/>
      <c r="U50" s="115"/>
    </row>
    <row r="51" spans="2:21" x14ac:dyDescent="0.3">
      <c r="B51" s="115" t="s">
        <v>568</v>
      </c>
      <c r="C51" s="115" t="s">
        <v>189</v>
      </c>
      <c r="D51" s="115" t="s">
        <v>793</v>
      </c>
      <c r="E51" s="115" t="s">
        <v>695</v>
      </c>
      <c r="F51" s="115" t="s">
        <v>787</v>
      </c>
      <c r="G51" s="115" t="s">
        <v>788</v>
      </c>
      <c r="H51" s="115" t="s">
        <v>636</v>
      </c>
      <c r="I51" s="115" t="s">
        <v>637</v>
      </c>
      <c r="J51" s="115" t="s">
        <v>767</v>
      </c>
      <c r="K51" s="115" t="s">
        <v>791</v>
      </c>
      <c r="L51" s="115" t="s">
        <v>789</v>
      </c>
      <c r="R51" s="115"/>
      <c r="S51" s="115"/>
      <c r="T51" s="115"/>
      <c r="U51" s="115"/>
    </row>
    <row r="52" spans="2:21" x14ac:dyDescent="0.3">
      <c r="B52" s="115" t="s">
        <v>568</v>
      </c>
      <c r="C52" s="115" t="s">
        <v>189</v>
      </c>
      <c r="D52" s="115" t="s">
        <v>793</v>
      </c>
      <c r="E52" s="115" t="s">
        <v>636</v>
      </c>
      <c r="F52" s="115" t="s">
        <v>636</v>
      </c>
      <c r="G52" s="115" t="s">
        <v>636</v>
      </c>
      <c r="H52" s="115" t="s">
        <v>636</v>
      </c>
      <c r="I52" s="115" t="s">
        <v>636</v>
      </c>
      <c r="J52" s="115" t="s">
        <v>636</v>
      </c>
      <c r="K52" s="115" t="s">
        <v>792</v>
      </c>
      <c r="L52" s="115" t="s">
        <v>790</v>
      </c>
      <c r="R52" s="115"/>
      <c r="S52" s="115"/>
      <c r="T52" s="115"/>
      <c r="U52" s="115"/>
    </row>
    <row r="53" spans="2:21" x14ac:dyDescent="0.3">
      <c r="B53" s="115" t="s">
        <v>567</v>
      </c>
      <c r="C53" s="115" t="s">
        <v>577</v>
      </c>
    </row>
    <row r="54" spans="2:21" x14ac:dyDescent="0.3">
      <c r="B54" s="115" t="s">
        <v>568</v>
      </c>
      <c r="C54" s="115" t="s">
        <v>578</v>
      </c>
    </row>
    <row r="55" spans="2:21" x14ac:dyDescent="0.3">
      <c r="B55" s="115" t="s">
        <v>568</v>
      </c>
      <c r="C55" s="115" t="s">
        <v>579</v>
      </c>
    </row>
    <row r="56" spans="2:21" x14ac:dyDescent="0.3">
      <c r="B56" s="115" t="s">
        <v>568</v>
      </c>
      <c r="C56" s="115" t="s">
        <v>530</v>
      </c>
      <c r="E56" s="115" t="s">
        <v>562</v>
      </c>
    </row>
    <row r="57" spans="2:21" x14ac:dyDescent="0.3">
      <c r="B57" s="115" t="s">
        <v>166</v>
      </c>
      <c r="C57" s="115" t="s">
        <v>580</v>
      </c>
      <c r="D57" s="115" t="s">
        <v>595</v>
      </c>
    </row>
    <row r="58" spans="2:21" x14ac:dyDescent="0.3">
      <c r="B58" s="115" t="s">
        <v>166</v>
      </c>
      <c r="C58" s="115" t="s">
        <v>581</v>
      </c>
    </row>
    <row r="59" spans="2:21" x14ac:dyDescent="0.3">
      <c r="B59" s="115" t="s">
        <v>166</v>
      </c>
      <c r="C59" s="115" t="s">
        <v>582</v>
      </c>
    </row>
    <row r="60" spans="2:21" x14ac:dyDescent="0.3">
      <c r="B60" s="115" t="s">
        <v>166</v>
      </c>
      <c r="C60" s="115" t="s">
        <v>583</v>
      </c>
      <c r="D60" s="115" t="s">
        <v>586</v>
      </c>
    </row>
    <row r="61" spans="2:21" x14ac:dyDescent="0.3">
      <c r="B61" s="115" t="s">
        <v>166</v>
      </c>
      <c r="C61" s="115" t="s">
        <v>589</v>
      </c>
      <c r="D61" s="115" t="s">
        <v>586</v>
      </c>
    </row>
    <row r="62" spans="2:21" x14ac:dyDescent="0.3">
      <c r="B62" s="115" t="s">
        <v>166</v>
      </c>
      <c r="C62" s="115" t="s">
        <v>590</v>
      </c>
      <c r="D62" s="115" t="s">
        <v>586</v>
      </c>
    </row>
    <row r="63" spans="2:21" x14ac:dyDescent="0.3">
      <c r="B63" s="115" t="s">
        <v>166</v>
      </c>
      <c r="C63" s="115" t="s">
        <v>591</v>
      </c>
      <c r="D63" s="115" t="s">
        <v>586</v>
      </c>
    </row>
    <row r="64" spans="2:21" x14ac:dyDescent="0.3">
      <c r="B64" s="115" t="s">
        <v>166</v>
      </c>
      <c r="C64" s="115" t="s">
        <v>584</v>
      </c>
      <c r="D64" s="115" t="s">
        <v>587</v>
      </c>
    </row>
    <row r="65" spans="2:4" x14ac:dyDescent="0.3">
      <c r="B65" s="115" t="s">
        <v>166</v>
      </c>
      <c r="C65" s="115" t="s">
        <v>596</v>
      </c>
      <c r="D65" s="115" t="s">
        <v>586</v>
      </c>
    </row>
    <row r="66" spans="2:4" x14ac:dyDescent="0.3">
      <c r="B66" s="115" t="s">
        <v>166</v>
      </c>
      <c r="C66" s="115" t="s">
        <v>585</v>
      </c>
      <c r="D66" s="115" t="s">
        <v>588</v>
      </c>
    </row>
    <row r="67" spans="2:4" x14ac:dyDescent="0.3">
      <c r="B67" s="115" t="s">
        <v>166</v>
      </c>
      <c r="C67" s="115" t="s">
        <v>598</v>
      </c>
      <c r="D67" s="115" t="s">
        <v>597</v>
      </c>
    </row>
    <row r="68" spans="2:4" x14ac:dyDescent="0.3">
      <c r="B68" s="115" t="s">
        <v>166</v>
      </c>
      <c r="C68" s="115" t="s">
        <v>599</v>
      </c>
    </row>
    <row r="69" spans="2:4" x14ac:dyDescent="0.3">
      <c r="B69" s="115" t="s">
        <v>166</v>
      </c>
      <c r="C69" s="115" t="s">
        <v>600</v>
      </c>
    </row>
    <row r="70" spans="2:4" x14ac:dyDescent="0.3">
      <c r="B70" s="115" t="s">
        <v>166</v>
      </c>
      <c r="C70" s="115" t="s">
        <v>601</v>
      </c>
    </row>
    <row r="71" spans="2:4" x14ac:dyDescent="0.3">
      <c r="B71" s="115" t="s">
        <v>166</v>
      </c>
      <c r="C71" s="115" t="s">
        <v>602</v>
      </c>
    </row>
    <row r="72" spans="2:4" x14ac:dyDescent="0.3">
      <c r="B72" s="115" t="s">
        <v>166</v>
      </c>
      <c r="C72" s="115" t="s">
        <v>604</v>
      </c>
    </row>
    <row r="73" spans="2:4" x14ac:dyDescent="0.3">
      <c r="B73" s="115" t="s">
        <v>166</v>
      </c>
      <c r="C73" s="115" t="s">
        <v>603</v>
      </c>
    </row>
    <row r="74" spans="2:4" x14ac:dyDescent="0.3">
      <c r="B74" s="115" t="s">
        <v>166</v>
      </c>
      <c r="C74" s="115" t="s">
        <v>605</v>
      </c>
      <c r="D74" s="115" t="s">
        <v>586</v>
      </c>
    </row>
    <row r="75" spans="2:4" x14ac:dyDescent="0.3">
      <c r="B75" s="115" t="s">
        <v>166</v>
      </c>
      <c r="C75" s="115" t="s">
        <v>606</v>
      </c>
    </row>
    <row r="76" spans="2:4" x14ac:dyDescent="0.3">
      <c r="B76" s="115" t="s">
        <v>166</v>
      </c>
      <c r="C76" s="115" t="s">
        <v>607</v>
      </c>
    </row>
    <row r="77" spans="2:4" x14ac:dyDescent="0.3">
      <c r="B77" s="115" t="s">
        <v>166</v>
      </c>
      <c r="C77" s="115" t="s">
        <v>608</v>
      </c>
      <c r="D77" s="115" t="s">
        <v>621</v>
      </c>
    </row>
    <row r="78" spans="2:4" x14ac:dyDescent="0.3">
      <c r="B78" s="115" t="s">
        <v>166</v>
      </c>
      <c r="C78" s="115" t="s">
        <v>609</v>
      </c>
      <c r="D78" s="115" t="s">
        <v>586</v>
      </c>
    </row>
    <row r="79" spans="2:4" x14ac:dyDescent="0.3">
      <c r="B79" s="115" t="s">
        <v>166</v>
      </c>
      <c r="C79" s="115" t="s">
        <v>610</v>
      </c>
      <c r="D79" s="115" t="s">
        <v>594</v>
      </c>
    </row>
    <row r="80" spans="2:4" x14ac:dyDescent="0.3">
      <c r="B80" s="115" t="s">
        <v>166</v>
      </c>
      <c r="C80" s="115" t="s">
        <v>611</v>
      </c>
      <c r="D80" s="115" t="s">
        <v>620</v>
      </c>
    </row>
    <row r="81" spans="2:4" ht="23" x14ac:dyDescent="0.3">
      <c r="B81" s="115" t="s">
        <v>166</v>
      </c>
      <c r="C81" s="139" t="s">
        <v>535</v>
      </c>
      <c r="D81" s="139" t="s">
        <v>528</v>
      </c>
    </row>
    <row r="82" spans="2:4" x14ac:dyDescent="0.3">
      <c r="B82" s="115" t="s">
        <v>166</v>
      </c>
      <c r="C82" s="115" t="s">
        <v>536</v>
      </c>
      <c r="D82" s="115" t="s">
        <v>528</v>
      </c>
    </row>
    <row r="83" spans="2:4" x14ac:dyDescent="0.3">
      <c r="B83" s="115" t="s">
        <v>166</v>
      </c>
      <c r="C83" s="115" t="s">
        <v>680</v>
      </c>
    </row>
    <row r="84" spans="2:4" x14ac:dyDescent="0.3">
      <c r="B84" s="115" t="s">
        <v>166</v>
      </c>
    </row>
    <row r="85" spans="2:4" x14ac:dyDescent="0.3">
      <c r="B85" s="115" t="s">
        <v>166</v>
      </c>
      <c r="C85" s="115" t="s">
        <v>612</v>
      </c>
      <c r="D85" s="115" t="s">
        <v>593</v>
      </c>
    </row>
    <row r="86" spans="2:4" x14ac:dyDescent="0.3">
      <c r="B86" s="115" t="s">
        <v>166</v>
      </c>
      <c r="C86" s="115" t="s">
        <v>613</v>
      </c>
      <c r="D86" s="115" t="s">
        <v>588</v>
      </c>
    </row>
    <row r="87" spans="2:4" x14ac:dyDescent="0.3">
      <c r="B87" s="115" t="s">
        <v>166</v>
      </c>
      <c r="C87" s="115" t="s">
        <v>537</v>
      </c>
      <c r="D87" s="115" t="s">
        <v>189</v>
      </c>
    </row>
    <row r="88" spans="2:4" x14ac:dyDescent="0.3">
      <c r="B88" s="115" t="s">
        <v>166</v>
      </c>
      <c r="C88" s="115" t="s">
        <v>619</v>
      </c>
      <c r="D88" s="115" t="s">
        <v>528</v>
      </c>
    </row>
    <row r="89" spans="2:4" ht="23" x14ac:dyDescent="0.3">
      <c r="B89" s="115" t="s">
        <v>166</v>
      </c>
      <c r="C89" s="139" t="s">
        <v>531</v>
      </c>
    </row>
    <row r="90" spans="2:4" ht="23" x14ac:dyDescent="0.3">
      <c r="B90" s="115" t="s">
        <v>166</v>
      </c>
      <c r="C90" s="139" t="s">
        <v>532</v>
      </c>
    </row>
    <row r="91" spans="2:4" ht="23" x14ac:dyDescent="0.3">
      <c r="B91" s="115" t="s">
        <v>166</v>
      </c>
      <c r="C91" s="139" t="s">
        <v>538</v>
      </c>
    </row>
    <row r="92" spans="2:4" ht="23" x14ac:dyDescent="0.3">
      <c r="B92" s="115" t="s">
        <v>166</v>
      </c>
      <c r="C92" s="139" t="s">
        <v>533</v>
      </c>
    </row>
    <row r="93" spans="2:4" ht="23" x14ac:dyDescent="0.3">
      <c r="B93" s="115" t="s">
        <v>166</v>
      </c>
      <c r="C93" s="139" t="s">
        <v>534</v>
      </c>
    </row>
    <row r="94" spans="2:4" ht="23" x14ac:dyDescent="0.3">
      <c r="B94" s="115" t="s">
        <v>166</v>
      </c>
      <c r="C94" s="139" t="s">
        <v>564</v>
      </c>
    </row>
    <row r="95" spans="2:4" ht="23" x14ac:dyDescent="0.3">
      <c r="B95" s="115" t="s">
        <v>166</v>
      </c>
      <c r="C95" s="139" t="s">
        <v>535</v>
      </c>
    </row>
    <row r="96" spans="2:4" ht="23" x14ac:dyDescent="0.3">
      <c r="B96" s="115" t="s">
        <v>166</v>
      </c>
      <c r="C96" s="139" t="s">
        <v>536</v>
      </c>
    </row>
    <row r="97" spans="2:3" ht="23" x14ac:dyDescent="0.3">
      <c r="B97" s="115" t="s">
        <v>568</v>
      </c>
      <c r="C97" s="139" t="s">
        <v>539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AA5B1"/>
  </sheetPr>
  <dimension ref="A1:AV204"/>
  <sheetViews>
    <sheetView workbookViewId="0">
      <pane xSplit="1" ySplit="1" topLeftCell="B2" activePane="bottomRight" state="frozen"/>
      <selection pane="topRight"/>
      <selection pane="bottomLeft"/>
      <selection pane="bottomRight" activeCell="B8" sqref="B8"/>
    </sheetView>
  </sheetViews>
  <sheetFormatPr baseColWidth="10" defaultColWidth="8.83203125" defaultRowHeight="16" x14ac:dyDescent="0.2"/>
  <cols>
    <col min="1" max="1" width="9" customWidth="1"/>
    <col min="2" max="2" width="42" customWidth="1"/>
    <col min="3" max="3" width="14" customWidth="1"/>
    <col min="4" max="4" width="34" customWidth="1"/>
    <col min="5" max="5" width="14" customWidth="1"/>
    <col min="6" max="6" width="24" customWidth="1"/>
    <col min="7" max="8" width="12" customWidth="1"/>
    <col min="9" max="11" width="11" customWidth="1"/>
    <col min="12" max="13" width="7" customWidth="1"/>
    <col min="14" max="14" width="12" customWidth="1"/>
    <col min="15" max="15" width="7" customWidth="1"/>
    <col min="16" max="17" width="11" customWidth="1"/>
    <col min="18" max="18" width="3" customWidth="1"/>
    <col min="19" max="19" width="9" customWidth="1"/>
    <col min="20" max="20" width="3" customWidth="1"/>
  </cols>
  <sheetData>
    <row r="1" spans="1:48" ht="28" customHeight="1" x14ac:dyDescent="0.2">
      <c r="A1" s="143" t="s">
        <v>838</v>
      </c>
      <c r="B1" s="143" t="s">
        <v>68</v>
      </c>
      <c r="C1" s="143" t="s">
        <v>133</v>
      </c>
      <c r="D1" s="143" t="s">
        <v>216</v>
      </c>
      <c r="E1" s="143" t="s">
        <v>70</v>
      </c>
      <c r="F1" s="143" t="s">
        <v>69</v>
      </c>
      <c r="G1" s="143" t="s">
        <v>812</v>
      </c>
      <c r="H1" s="143" t="s">
        <v>813</v>
      </c>
      <c r="I1" s="143" t="s">
        <v>815</v>
      </c>
      <c r="J1" s="143" t="s">
        <v>816</v>
      </c>
      <c r="K1" s="143" t="s">
        <v>839</v>
      </c>
      <c r="L1" s="143" t="s">
        <v>840</v>
      </c>
      <c r="M1" s="143" t="s">
        <v>841</v>
      </c>
      <c r="N1" s="143" t="s">
        <v>842</v>
      </c>
      <c r="O1" s="143" t="s">
        <v>843</v>
      </c>
      <c r="P1" s="143" t="s">
        <v>844</v>
      </c>
      <c r="Q1" s="143" t="s">
        <v>845</v>
      </c>
      <c r="S1" s="143" t="s">
        <v>846</v>
      </c>
      <c r="U1" s="144" t="s">
        <v>847</v>
      </c>
      <c r="W1" s="145">
        <v>46023</v>
      </c>
      <c r="X1" s="145">
        <v>46054</v>
      </c>
      <c r="Y1" s="145">
        <v>46082</v>
      </c>
      <c r="Z1" s="145">
        <v>46113</v>
      </c>
      <c r="AA1" s="145">
        <v>46143</v>
      </c>
      <c r="AB1" s="145">
        <v>46174</v>
      </c>
      <c r="AC1" s="145">
        <v>46204</v>
      </c>
      <c r="AD1" s="145">
        <v>46235</v>
      </c>
      <c r="AE1" s="145">
        <v>46266</v>
      </c>
      <c r="AF1" s="145">
        <v>46296</v>
      </c>
      <c r="AG1" s="145">
        <v>46327</v>
      </c>
      <c r="AH1" s="145">
        <v>46357</v>
      </c>
      <c r="AI1" s="145">
        <v>46388</v>
      </c>
      <c r="AJ1" s="145">
        <v>46419</v>
      </c>
      <c r="AK1" s="145">
        <v>46447</v>
      </c>
      <c r="AL1" s="145">
        <v>46478</v>
      </c>
      <c r="AM1" s="145">
        <v>46508</v>
      </c>
      <c r="AN1" s="145">
        <v>46539</v>
      </c>
      <c r="AO1" s="145">
        <v>46569</v>
      </c>
      <c r="AP1" s="145">
        <v>46600</v>
      </c>
      <c r="AQ1" s="145">
        <v>46631</v>
      </c>
      <c r="AR1" s="145">
        <v>46661</v>
      </c>
      <c r="AS1" s="145">
        <v>46692</v>
      </c>
      <c r="AT1" s="145">
        <v>46722</v>
      </c>
      <c r="AV1" s="146" t="s">
        <v>848</v>
      </c>
    </row>
    <row r="2" spans="1:48" x14ac:dyDescent="0.2">
      <c r="A2" s="147">
        <v>2</v>
      </c>
      <c r="B2" s="147" t="str">
        <f>IF(TRIM('UX Weekly'!E2)="","",TRIM('UX Weekly'!E2))</f>
        <v>New Condition Rating Scale</v>
      </c>
      <c r="C2" s="147" t="str">
        <f>IF($B2="","",'UX Weekly'!B2)</f>
        <v>Used</v>
      </c>
      <c r="D2" s="147" t="str">
        <f>IF($B2="","",IF(TRIM('UX Weekly'!C2)="","(No theme assigned)",TRIM('UX Weekly'!C2)))</f>
        <v>Improve Buy Used Customer Experience</v>
      </c>
      <c r="E2" s="147" t="str">
        <f>IF($B2="","",TRIM('UX Weekly'!F2))</f>
        <v>BHUX-33510</v>
      </c>
      <c r="F2" s="147" t="str">
        <f>IF($B2="","",'UX Weekly'!G2)</f>
        <v>00. Parking Lot</v>
      </c>
      <c r="G2" s="148">
        <f t="array" ref="G2">IF($B2="","",IF($S2=0,"",IFERROR(MIN(IF('UX Weekly'!$H2:$CT2&lt;&gt;"",'UX Weekly'!$H$1:$CT$1)),"")))</f>
        <v>46174</v>
      </c>
      <c r="H2" s="148">
        <f t="array" ref="H2">IF($B2="","",IF($S2=0,"",IFERROR(MAX(IF('UX Weekly'!$H2:$CT2&lt;&gt;"",'UX Weekly'!$H$1:$CT$1)),"")))</f>
        <v>46188</v>
      </c>
      <c r="I2" s="149">
        <f t="shared" ref="I2:I32" ca="1" si="0">IF($Q2&lt;&gt;"",IF($P2&lt;&gt;"",$P2,$Q2),IF($P2&lt;&gt;"",$P2,""))</f>
        <v>46388</v>
      </c>
      <c r="J2" s="149">
        <f t="shared" ref="J2:J32" ca="1" si="1">IF($Q2&lt;&gt;"",EOMONTH($Q2,0),IF($P2&lt;&gt;"",EOMONTH($P2,0),""))</f>
        <v>46418</v>
      </c>
      <c r="K2" s="147">
        <f>IF($B2="","",IFERROR(MATCH($B2,'Dev Tracker'!$D$2:$D$196,0),IF($E2="","",IFERROR(MATCH($E2,'Dev Tracker'!$E$2:$E$196,0),""))))</f>
        <v>1</v>
      </c>
      <c r="L2" s="147">
        <f>IF($B2="","",IFERROR(MATCH($D2,'Control (Don’t Touch)'!$E$4:$E$30,0),99))</f>
        <v>6</v>
      </c>
      <c r="M2" s="147">
        <f>IF($B2="","",IFERROR(MATCH($F2,'Control (Don’t Touch)'!$B$4:$B$30,0),99))</f>
        <v>1</v>
      </c>
      <c r="N2" s="147">
        <f t="shared" ref="N2:N32" si="2">IF($B2="","",$L2*1000000+$M2*10000+ROW())</f>
        <v>6010002</v>
      </c>
      <c r="O2" s="147">
        <f>IF($B2="","",COUNTIF($N$2:$N$204,"&lt;"&amp;$N2)+1)</f>
        <v>31</v>
      </c>
      <c r="P2" s="149">
        <f ca="1">IF($K2="","",IFERROR(DATE(IFERROR(VALUE(RIGHT(TRIM(INDEX('Dev Tracker'!$I$2:$I$196,$K2)),4)),YEAR(TODAY())),MATCH(LEFT(TRIM(INDEX('Dev Tracker'!$I$2:$I$196,$K2)),3),$U$2:$U$12,0),1),""))</f>
        <v>46388</v>
      </c>
      <c r="Q2" s="149">
        <f ca="1">IF($K2="","",IFERROR(DATE(IFERROR(VALUE(RIGHT(TRIM(INDEX('Dev Tracker'!$J$2:$J$196,$K2)),4)),YEAR(TODAY())),MATCH(LEFT(TRIM(INDEX('Dev Tracker'!$J$2:$J$196,$K2)),3),$U$2:$U$12,0),1),""))</f>
        <v>46388</v>
      </c>
      <c r="R2" s="147"/>
      <c r="S2" s="147">
        <f>IF($B2="","",COUNTA('UX Weekly'!$H2:$CT2))</f>
        <v>3</v>
      </c>
      <c r="U2" s="142" t="s">
        <v>817</v>
      </c>
      <c r="W2">
        <f>IF($B2="",0,COUNTIFS('UX Weekly'!$H$1:$CT$1,"&gt;="&amp;W$1,'UX Weekly'!$H$1:$CT$1,"&lt;="&amp;EOMONTH(W$1,0),'UX Weekly'!$H2:$CT2,"&lt;&gt;"))</f>
        <v>0</v>
      </c>
      <c r="X2">
        <f>IF($B2="",0,COUNTIFS('UX Weekly'!$H$1:$CT$1,"&gt;="&amp;X$1,'UX Weekly'!$H$1:$CT$1,"&lt;="&amp;EOMONTH(X$1,0),'UX Weekly'!$H2:$CT2,"&lt;&gt;"))</f>
        <v>0</v>
      </c>
      <c r="Y2">
        <f>IF($B2="",0,COUNTIFS('UX Weekly'!$H$1:$CT$1,"&gt;="&amp;Y$1,'UX Weekly'!$H$1:$CT$1,"&lt;="&amp;EOMONTH(Y$1,0),'UX Weekly'!$H2:$CT2,"&lt;&gt;"))</f>
        <v>0</v>
      </c>
      <c r="Z2">
        <f>IF($B2="",0,COUNTIFS('UX Weekly'!$H$1:$CT$1,"&gt;="&amp;Z$1,'UX Weekly'!$H$1:$CT$1,"&lt;="&amp;EOMONTH(Z$1,0),'UX Weekly'!$H2:$CT2,"&lt;&gt;"))</f>
        <v>0</v>
      </c>
      <c r="AA2">
        <f>IF($B2="",0,COUNTIFS('UX Weekly'!$H$1:$CT$1,"&gt;="&amp;AA$1,'UX Weekly'!$H$1:$CT$1,"&lt;="&amp;EOMONTH(AA$1,0),'UX Weekly'!$H2:$CT2,"&lt;&gt;"))</f>
        <v>0</v>
      </c>
      <c r="AB2">
        <f>IF($B2="",0,COUNTIFS('UX Weekly'!$H$1:$CT$1,"&gt;="&amp;AB$1,'UX Weekly'!$H$1:$CT$1,"&lt;="&amp;EOMONTH(AB$1,0),'UX Weekly'!$H2:$CT2,"&lt;&gt;"))</f>
        <v>3</v>
      </c>
      <c r="AC2">
        <f>IF($B2="",0,COUNTIFS('UX Weekly'!$H$1:$CT$1,"&gt;="&amp;AC$1,'UX Weekly'!$H$1:$CT$1,"&lt;="&amp;EOMONTH(AC$1,0),'UX Weekly'!$H2:$CT2,"&lt;&gt;"))</f>
        <v>0</v>
      </c>
      <c r="AD2">
        <f>IF($B2="",0,COUNTIFS('UX Weekly'!$H$1:$CT$1,"&gt;="&amp;AD$1,'UX Weekly'!$H$1:$CT$1,"&lt;="&amp;EOMONTH(AD$1,0),'UX Weekly'!$H2:$CT2,"&lt;&gt;"))</f>
        <v>0</v>
      </c>
      <c r="AE2">
        <f>IF($B2="",0,COUNTIFS('UX Weekly'!$H$1:$CT$1,"&gt;="&amp;AE$1,'UX Weekly'!$H$1:$CT$1,"&lt;="&amp;EOMONTH(AE$1,0),'UX Weekly'!$H2:$CT2,"&lt;&gt;"))</f>
        <v>0</v>
      </c>
      <c r="AF2">
        <f>IF($B2="",0,COUNTIFS('UX Weekly'!$H$1:$CT$1,"&gt;="&amp;AF$1,'UX Weekly'!$H$1:$CT$1,"&lt;="&amp;EOMONTH(AF$1,0),'UX Weekly'!$H2:$CT2,"&lt;&gt;"))</f>
        <v>0</v>
      </c>
      <c r="AG2">
        <f>IF($B2="",0,COUNTIFS('UX Weekly'!$H$1:$CT$1,"&gt;="&amp;AG$1,'UX Weekly'!$H$1:$CT$1,"&lt;="&amp;EOMONTH(AG$1,0),'UX Weekly'!$H2:$CT2,"&lt;&gt;"))</f>
        <v>0</v>
      </c>
      <c r="AH2">
        <f>IF($B2="",0,COUNTIFS('UX Weekly'!$H$1:$CT$1,"&gt;="&amp;AH$1,'UX Weekly'!$H$1:$CT$1,"&lt;="&amp;EOMONTH(AH$1,0),'UX Weekly'!$H2:$CT2,"&lt;&gt;"))</f>
        <v>0</v>
      </c>
      <c r="AI2">
        <f>IF($B2="",0,COUNTIFS('UX Weekly'!$H$1:$CT$1,"&gt;="&amp;AI$1,'UX Weekly'!$H$1:$CT$1,"&lt;="&amp;EOMONTH(AI$1,0),'UX Weekly'!$H2:$CT2,"&lt;&gt;"))</f>
        <v>0</v>
      </c>
      <c r="AJ2">
        <f>IF($B2="",0,COUNTIFS('UX Weekly'!$H$1:$CT$1,"&gt;="&amp;AJ$1,'UX Weekly'!$H$1:$CT$1,"&lt;="&amp;EOMONTH(AJ$1,0),'UX Weekly'!$H2:$CT2,"&lt;&gt;"))</f>
        <v>0</v>
      </c>
      <c r="AK2">
        <f>IF($B2="",0,COUNTIFS('UX Weekly'!$H$1:$CT$1,"&gt;="&amp;AK$1,'UX Weekly'!$H$1:$CT$1,"&lt;="&amp;EOMONTH(AK$1,0),'UX Weekly'!$H2:$CT2,"&lt;&gt;"))</f>
        <v>0</v>
      </c>
      <c r="AL2">
        <f>IF($B2="",0,COUNTIFS('UX Weekly'!$H$1:$CT$1,"&gt;="&amp;AL$1,'UX Weekly'!$H$1:$CT$1,"&lt;="&amp;EOMONTH(AL$1,0),'UX Weekly'!$H2:$CT2,"&lt;&gt;"))</f>
        <v>0</v>
      </c>
      <c r="AM2">
        <f>IF($B2="",0,COUNTIFS('UX Weekly'!$H$1:$CT$1,"&gt;="&amp;AM$1,'UX Weekly'!$H$1:$CT$1,"&lt;="&amp;EOMONTH(AM$1,0),'UX Weekly'!$H2:$CT2,"&lt;&gt;"))</f>
        <v>0</v>
      </c>
      <c r="AN2">
        <f>IF($B2="",0,COUNTIFS('UX Weekly'!$H$1:$CT$1,"&gt;="&amp;AN$1,'UX Weekly'!$H$1:$CT$1,"&lt;="&amp;EOMONTH(AN$1,0),'UX Weekly'!$H2:$CT2,"&lt;&gt;"))</f>
        <v>0</v>
      </c>
      <c r="AO2">
        <f>IF($B2="",0,COUNTIFS('UX Weekly'!$H$1:$CT$1,"&gt;="&amp;AO$1,'UX Weekly'!$H$1:$CT$1,"&lt;="&amp;EOMONTH(AO$1,0),'UX Weekly'!$H2:$CT2,"&lt;&gt;"))</f>
        <v>0</v>
      </c>
      <c r="AP2">
        <f>IF($B2="",0,COUNTIFS('UX Weekly'!$H$1:$CT$1,"&gt;="&amp;AP$1,'UX Weekly'!$H$1:$CT$1,"&lt;="&amp;EOMONTH(AP$1,0),'UX Weekly'!$H2:$CT2,"&lt;&gt;"))</f>
        <v>0</v>
      </c>
      <c r="AQ2">
        <f>IF($B2="",0,COUNTIFS('UX Weekly'!$H$1:$CT$1,"&gt;="&amp;AQ$1,'UX Weekly'!$H$1:$CT$1,"&lt;="&amp;EOMONTH(AQ$1,0),'UX Weekly'!$H2:$CT2,"&lt;&gt;"))</f>
        <v>0</v>
      </c>
      <c r="AR2">
        <f>IF($B2="",0,COUNTIFS('UX Weekly'!$H$1:$CT$1,"&gt;="&amp;AR$1,'UX Weekly'!$H$1:$CT$1,"&lt;="&amp;EOMONTH(AR$1,0),'UX Weekly'!$H2:$CT2,"&lt;&gt;"))</f>
        <v>0</v>
      </c>
      <c r="AS2">
        <f>IF($B2="",0,COUNTIFS('UX Weekly'!$H$1:$CT$1,"&gt;="&amp;AS$1,'UX Weekly'!$H$1:$CT$1,"&lt;="&amp;EOMONTH(AS$1,0),'UX Weekly'!$H2:$CT2,"&lt;&gt;"))</f>
        <v>0</v>
      </c>
      <c r="AT2">
        <f>IF($B2="",0,COUNTIFS('UX Weekly'!$H$1:$CT$1,"&gt;="&amp;AT$1,'UX Weekly'!$H$1:$CT$1,"&lt;="&amp;EOMONTH(AT$1,0),'UX Weekly'!$H2:$CT2,"&lt;&gt;"))</f>
        <v>0</v>
      </c>
    </row>
    <row r="3" spans="1:48" x14ac:dyDescent="0.2">
      <c r="A3" s="147">
        <v>3</v>
      </c>
      <c r="B3" s="147" t="str">
        <f>IF(TRIM('UX Weekly'!E3)="","",TRIM('UX Weekly'!E3))</f>
        <v>B2B Hub - Logged In B2B Experience</v>
      </c>
      <c r="C3" s="147" t="str">
        <f>IF($B3="","",'UX Weekly'!B3)</f>
        <v>B2B</v>
      </c>
      <c r="D3" s="147" t="str">
        <f>IF($B3="","",IF(TRIM('UX Weekly'!C3)="","(No theme assigned)",TRIM('UX Weekly'!C3)))</f>
        <v>Increase B2B Acquisition</v>
      </c>
      <c r="E3" s="147" t="str">
        <f>IF($B3="","",TRIM('UX Weekly'!F3))</f>
        <v>BHP-6901</v>
      </c>
      <c r="F3" s="147" t="str">
        <f>IF($B3="","",'UX Weekly'!G3)</f>
        <v>00. Parking Lot</v>
      </c>
      <c r="G3" s="148">
        <f t="array" ref="G3">IF($B3="","",IF($S3=0,"",IFERROR(MIN(IF('UX Weekly'!$H3:$CT3&lt;&gt;"",'UX Weekly'!$H$1:$CT$1)),"")))</f>
        <v>46181</v>
      </c>
      <c r="H3" s="148">
        <f t="array" ref="H3">IF($B3="","",IF($S3=0,"",IFERROR(MAX(IF('UX Weekly'!$H3:$CT3&lt;&gt;"",'UX Weekly'!$H$1:$CT$1)),"")))</f>
        <v>46321</v>
      </c>
      <c r="I3" s="149">
        <f t="shared" ca="1" si="0"/>
        <v>46447</v>
      </c>
      <c r="J3" s="149">
        <f t="shared" ca="1" si="1"/>
        <v>46538</v>
      </c>
      <c r="K3" s="147">
        <f>IF($B3="","",IFERROR(MATCH($B3,'Dev Tracker'!$D$2:$D$196,0),IF($E3="","",IFERROR(MATCH($E3,'Dev Tracker'!$E$2:$E$196,0),""))))</f>
        <v>2</v>
      </c>
      <c r="L3" s="147">
        <f>IF($B3="","",IFERROR(MATCH($D3,'Control (Don’t Touch)'!$E$4:$E$30,0),99))</f>
        <v>8</v>
      </c>
      <c r="M3" s="147">
        <f>IF($B3="","",IFERROR(MATCH($F3,'Control (Don’t Touch)'!$B$4:$B$30,0),99))</f>
        <v>1</v>
      </c>
      <c r="N3" s="147">
        <f t="shared" si="2"/>
        <v>8010003</v>
      </c>
      <c r="O3" s="147">
        <f>IF($B3="","",COUNTIF($N$2:$N$204,"&lt;"&amp;$N3)+1)</f>
        <v>34</v>
      </c>
      <c r="P3" s="149">
        <f ca="1">IF($K3="","",IFERROR(DATE(IFERROR(VALUE(RIGHT(TRIM(INDEX('Dev Tracker'!$I$2:$I$196,$K3)),4)),YEAR(TODAY())),MATCH(LEFT(TRIM(INDEX('Dev Tracker'!$I$2:$I$196,$K3)),3),$U$2:$U$12,0),1),""))</f>
        <v>46447</v>
      </c>
      <c r="Q3" s="149">
        <f ca="1">IF($K3="","",IFERROR(DATE(IFERROR(VALUE(RIGHT(TRIM(INDEX('Dev Tracker'!$J$2:$J$196,$K3)),4)),YEAR(TODAY())),MATCH(LEFT(TRIM(INDEX('Dev Tracker'!$J$2:$J$196,$K3)),3),$U$2:$U$12,0),1),""))</f>
        <v>46508</v>
      </c>
      <c r="R3" s="147"/>
      <c r="S3" s="147">
        <f>IF($B3="","",COUNTA('UX Weekly'!$H3:$CT3))</f>
        <v>5</v>
      </c>
      <c r="U3" s="142" t="s">
        <v>818</v>
      </c>
      <c r="W3">
        <f>IF($B3="",0,COUNTIFS('UX Weekly'!$H$1:$CT$1,"&gt;="&amp;W$1,'UX Weekly'!$H$1:$CT$1,"&lt;="&amp;EOMONTH(W$1,0),'UX Weekly'!$H3:$CT3,"&lt;&gt;"))</f>
        <v>0</v>
      </c>
      <c r="X3">
        <f>IF($B3="",0,COUNTIFS('UX Weekly'!$H$1:$CT$1,"&gt;="&amp;X$1,'UX Weekly'!$H$1:$CT$1,"&lt;="&amp;EOMONTH(X$1,0),'UX Weekly'!$H3:$CT3,"&lt;&gt;"))</f>
        <v>0</v>
      </c>
      <c r="Y3">
        <f>IF($B3="",0,COUNTIFS('UX Weekly'!$H$1:$CT$1,"&gt;="&amp;Y$1,'UX Weekly'!$H$1:$CT$1,"&lt;="&amp;EOMONTH(Y$1,0),'UX Weekly'!$H3:$CT3,"&lt;&gt;"))</f>
        <v>0</v>
      </c>
      <c r="Z3">
        <f>IF($B3="",0,COUNTIFS('UX Weekly'!$H$1:$CT$1,"&gt;="&amp;Z$1,'UX Weekly'!$H$1:$CT$1,"&lt;="&amp;EOMONTH(Z$1,0),'UX Weekly'!$H3:$CT3,"&lt;&gt;"))</f>
        <v>0</v>
      </c>
      <c r="AA3">
        <f>IF($B3="",0,COUNTIFS('UX Weekly'!$H$1:$CT$1,"&gt;="&amp;AA$1,'UX Weekly'!$H$1:$CT$1,"&lt;="&amp;EOMONTH(AA$1,0),'UX Weekly'!$H3:$CT3,"&lt;&gt;"))</f>
        <v>0</v>
      </c>
      <c r="AB3">
        <f>IF($B3="",0,COUNTIFS('UX Weekly'!$H$1:$CT$1,"&gt;="&amp;AB$1,'UX Weekly'!$H$1:$CT$1,"&lt;="&amp;EOMONTH(AB$1,0),'UX Weekly'!$H3:$CT3,"&lt;&gt;"))</f>
        <v>1</v>
      </c>
      <c r="AC3">
        <f>IF($B3="",0,COUNTIFS('UX Weekly'!$H$1:$CT$1,"&gt;="&amp;AC$1,'UX Weekly'!$H$1:$CT$1,"&lt;="&amp;EOMONTH(AC$1,0),'UX Weekly'!$H3:$CT3,"&lt;&gt;"))</f>
        <v>0</v>
      </c>
      <c r="AD3">
        <f>IF($B3="",0,COUNTIFS('UX Weekly'!$H$1:$CT$1,"&gt;="&amp;AD$1,'UX Weekly'!$H$1:$CT$1,"&lt;="&amp;EOMONTH(AD$1,0),'UX Weekly'!$H3:$CT3,"&lt;&gt;"))</f>
        <v>0</v>
      </c>
      <c r="AE3">
        <f>IF($B3="",0,COUNTIFS('UX Weekly'!$H$1:$CT$1,"&gt;="&amp;AE$1,'UX Weekly'!$H$1:$CT$1,"&lt;="&amp;EOMONTH(AE$1,0),'UX Weekly'!$H3:$CT3,"&lt;&gt;"))</f>
        <v>0</v>
      </c>
      <c r="AF3">
        <f>IF($B3="",0,COUNTIFS('UX Weekly'!$H$1:$CT$1,"&gt;="&amp;AF$1,'UX Weekly'!$H$1:$CT$1,"&lt;="&amp;EOMONTH(AF$1,0),'UX Weekly'!$H3:$CT3,"&lt;&gt;"))</f>
        <v>4</v>
      </c>
      <c r="AG3">
        <f>IF($B3="",0,COUNTIFS('UX Weekly'!$H$1:$CT$1,"&gt;="&amp;AG$1,'UX Weekly'!$H$1:$CT$1,"&lt;="&amp;EOMONTH(AG$1,0),'UX Weekly'!$H3:$CT3,"&lt;&gt;"))</f>
        <v>0</v>
      </c>
      <c r="AH3">
        <f>IF($B3="",0,COUNTIFS('UX Weekly'!$H$1:$CT$1,"&gt;="&amp;AH$1,'UX Weekly'!$H$1:$CT$1,"&lt;="&amp;EOMONTH(AH$1,0),'UX Weekly'!$H3:$CT3,"&lt;&gt;"))</f>
        <v>0</v>
      </c>
      <c r="AI3">
        <f>IF($B3="",0,COUNTIFS('UX Weekly'!$H$1:$CT$1,"&gt;="&amp;AI$1,'UX Weekly'!$H$1:$CT$1,"&lt;="&amp;EOMONTH(AI$1,0),'UX Weekly'!$H3:$CT3,"&lt;&gt;"))</f>
        <v>0</v>
      </c>
      <c r="AJ3">
        <f>IF($B3="",0,COUNTIFS('UX Weekly'!$H$1:$CT$1,"&gt;="&amp;AJ$1,'UX Weekly'!$H$1:$CT$1,"&lt;="&amp;EOMONTH(AJ$1,0),'UX Weekly'!$H3:$CT3,"&lt;&gt;"))</f>
        <v>0</v>
      </c>
      <c r="AK3">
        <f>IF($B3="",0,COUNTIFS('UX Weekly'!$H$1:$CT$1,"&gt;="&amp;AK$1,'UX Weekly'!$H$1:$CT$1,"&lt;="&amp;EOMONTH(AK$1,0),'UX Weekly'!$H3:$CT3,"&lt;&gt;"))</f>
        <v>0</v>
      </c>
      <c r="AL3">
        <f>IF($B3="",0,COUNTIFS('UX Weekly'!$H$1:$CT$1,"&gt;="&amp;AL$1,'UX Weekly'!$H$1:$CT$1,"&lt;="&amp;EOMONTH(AL$1,0),'UX Weekly'!$H3:$CT3,"&lt;&gt;"))</f>
        <v>0</v>
      </c>
      <c r="AM3">
        <f>IF($B3="",0,COUNTIFS('UX Weekly'!$H$1:$CT$1,"&gt;="&amp;AM$1,'UX Weekly'!$H$1:$CT$1,"&lt;="&amp;EOMONTH(AM$1,0),'UX Weekly'!$H3:$CT3,"&lt;&gt;"))</f>
        <v>0</v>
      </c>
      <c r="AN3">
        <f>IF($B3="",0,COUNTIFS('UX Weekly'!$H$1:$CT$1,"&gt;="&amp;AN$1,'UX Weekly'!$H$1:$CT$1,"&lt;="&amp;EOMONTH(AN$1,0),'UX Weekly'!$H3:$CT3,"&lt;&gt;"))</f>
        <v>0</v>
      </c>
      <c r="AO3">
        <f>IF($B3="",0,COUNTIFS('UX Weekly'!$H$1:$CT$1,"&gt;="&amp;AO$1,'UX Weekly'!$H$1:$CT$1,"&lt;="&amp;EOMONTH(AO$1,0),'UX Weekly'!$H3:$CT3,"&lt;&gt;"))</f>
        <v>0</v>
      </c>
      <c r="AP3">
        <f>IF($B3="",0,COUNTIFS('UX Weekly'!$H$1:$CT$1,"&gt;="&amp;AP$1,'UX Weekly'!$H$1:$CT$1,"&lt;="&amp;EOMONTH(AP$1,0),'UX Weekly'!$H3:$CT3,"&lt;&gt;"))</f>
        <v>0</v>
      </c>
      <c r="AQ3">
        <f>IF($B3="",0,COUNTIFS('UX Weekly'!$H$1:$CT$1,"&gt;="&amp;AQ$1,'UX Weekly'!$H$1:$CT$1,"&lt;="&amp;EOMONTH(AQ$1,0),'UX Weekly'!$H3:$CT3,"&lt;&gt;"))</f>
        <v>0</v>
      </c>
      <c r="AR3">
        <f>IF($B3="",0,COUNTIFS('UX Weekly'!$H$1:$CT$1,"&gt;="&amp;AR$1,'UX Weekly'!$H$1:$CT$1,"&lt;="&amp;EOMONTH(AR$1,0),'UX Weekly'!$H3:$CT3,"&lt;&gt;"))</f>
        <v>0</v>
      </c>
      <c r="AS3">
        <f>IF($B3="",0,COUNTIFS('UX Weekly'!$H$1:$CT$1,"&gt;="&amp;AS$1,'UX Weekly'!$H$1:$CT$1,"&lt;="&amp;EOMONTH(AS$1,0),'UX Weekly'!$H3:$CT3,"&lt;&gt;"))</f>
        <v>0</v>
      </c>
      <c r="AT3">
        <f>IF($B3="",0,COUNTIFS('UX Weekly'!$H$1:$CT$1,"&gt;="&amp;AT$1,'UX Weekly'!$H$1:$CT$1,"&lt;="&amp;EOMONTH(AT$1,0),'UX Weekly'!$H3:$CT3,"&lt;&gt;"))</f>
        <v>0</v>
      </c>
    </row>
    <row r="4" spans="1:48" x14ac:dyDescent="0.2">
      <c r="A4" s="147">
        <v>4</v>
      </c>
      <c r="B4" s="147" t="str">
        <f>IF(TRIM('UX Weekly'!E4)="","",TRIM('UX Weekly'!E4))</f>
        <v>B2B - The Studio Categories</v>
      </c>
      <c r="C4" s="147" t="str">
        <f>IF($B4="","",'UX Weekly'!B4)</f>
        <v>B2B</v>
      </c>
      <c r="D4" s="147" t="str">
        <f>IF($B4="","",IF(TRIM('UX Weekly'!C4)="","(No theme assigned)",TRIM('UX Weekly'!C4)))</f>
        <v>Improve The Studio B&amp;H Customer Experience</v>
      </c>
      <c r="E4" s="147" t="str">
        <f>IF($B4="","",TRIM('UX Weekly'!F4))</f>
        <v>BHUX-33434</v>
      </c>
      <c r="F4" s="147" t="str">
        <f>IF($B4="","",'UX Weekly'!G4)</f>
        <v>01. Prod Discovery</v>
      </c>
      <c r="G4" s="148">
        <f t="array" ref="G4">IF($B4="","",IF($S4=0,"",IFERROR(MIN(IF('UX Weekly'!$H4:$CT4&lt;&gt;"",'UX Weekly'!$H$1:$CT$1)),"")))</f>
        <v>46132</v>
      </c>
      <c r="H4" s="148">
        <f t="array" ref="H4">IF($B4="","",IF($S4=0,"",IFERROR(MAX(IF('UX Weekly'!$H4:$CT4&lt;&gt;"",'UX Weekly'!$H$1:$CT$1)),"")))</f>
        <v>46279</v>
      </c>
      <c r="I4" s="149">
        <f t="shared" ca="1" si="0"/>
        <v>46327</v>
      </c>
      <c r="J4" s="149">
        <f t="shared" ca="1" si="1"/>
        <v>46418</v>
      </c>
      <c r="K4" s="147">
        <f>IF($B4="","",IFERROR(MATCH($B4,'Dev Tracker'!$D$2:$D$196,0),IF($E4="","",IFERROR(MATCH($E4,'Dev Tracker'!$E$2:$E$196,0),""))))</f>
        <v>3</v>
      </c>
      <c r="L4" s="147">
        <f>IF($B4="","",IFERROR(MATCH($D4,'Control (Don’t Touch)'!$E$4:$E$30,0),99))</f>
        <v>10</v>
      </c>
      <c r="M4" s="147">
        <f>IF($B4="","",IFERROR(MATCH($F4,'Control (Don’t Touch)'!$B$4:$B$30,0),99))</f>
        <v>3</v>
      </c>
      <c r="N4" s="147">
        <f t="shared" si="2"/>
        <v>10030004</v>
      </c>
      <c r="O4" s="147">
        <f>IF($B4="","",COUNTIF($N$2:$N$204,"&lt;"&amp;$N4)+1)</f>
        <v>44</v>
      </c>
      <c r="P4" s="149">
        <f ca="1">IF($K4="","",IFERROR(DATE(IFERROR(VALUE(RIGHT(TRIM(INDEX('Dev Tracker'!$I$2:$I$196,$K4)),4)),YEAR(TODAY())),MATCH(LEFT(TRIM(INDEX('Dev Tracker'!$I$2:$I$196,$K4)),3),$U$2:$U$12,0),1),""))</f>
        <v>46327</v>
      </c>
      <c r="Q4" s="149">
        <f ca="1">IF($K4="","",IFERROR(DATE(IFERROR(VALUE(RIGHT(TRIM(INDEX('Dev Tracker'!$J$2:$J$196,$K4)),4)),YEAR(TODAY())),MATCH(LEFT(TRIM(INDEX('Dev Tracker'!$J$2:$J$196,$K4)),3),$U$2:$U$12,0),1),""))</f>
        <v>46388</v>
      </c>
      <c r="R4" s="147"/>
      <c r="S4" s="147">
        <f>IF($B4="","",COUNTA('UX Weekly'!$H4:$CT4))</f>
        <v>6</v>
      </c>
      <c r="U4" s="142" t="s">
        <v>819</v>
      </c>
      <c r="W4">
        <f>IF($B4="",0,COUNTIFS('UX Weekly'!$H$1:$CT$1,"&gt;="&amp;W$1,'UX Weekly'!$H$1:$CT$1,"&lt;="&amp;EOMONTH(W$1,0),'UX Weekly'!$H4:$CT4,"&lt;&gt;"))</f>
        <v>0</v>
      </c>
      <c r="X4">
        <f>IF($B4="",0,COUNTIFS('UX Weekly'!$H$1:$CT$1,"&gt;="&amp;X$1,'UX Weekly'!$H$1:$CT$1,"&lt;="&amp;EOMONTH(X$1,0),'UX Weekly'!$H4:$CT4,"&lt;&gt;"))</f>
        <v>0</v>
      </c>
      <c r="Y4">
        <f>IF($B4="",0,COUNTIFS('UX Weekly'!$H$1:$CT$1,"&gt;="&amp;Y$1,'UX Weekly'!$H$1:$CT$1,"&lt;="&amp;EOMONTH(Y$1,0),'UX Weekly'!$H4:$CT4,"&lt;&gt;"))</f>
        <v>0</v>
      </c>
      <c r="Z4">
        <f>IF($B4="",0,COUNTIFS('UX Weekly'!$H$1:$CT$1,"&gt;="&amp;Z$1,'UX Weekly'!$H$1:$CT$1,"&lt;="&amp;EOMONTH(Z$1,0),'UX Weekly'!$H4:$CT4,"&lt;&gt;"))</f>
        <v>1</v>
      </c>
      <c r="AA4">
        <f>IF($B4="",0,COUNTIFS('UX Weekly'!$H$1:$CT$1,"&gt;="&amp;AA$1,'UX Weekly'!$H$1:$CT$1,"&lt;="&amp;EOMONTH(AA$1,0),'UX Weekly'!$H4:$CT4,"&lt;&gt;"))</f>
        <v>1</v>
      </c>
      <c r="AB4">
        <f>IF($B4="",0,COUNTIFS('UX Weekly'!$H$1:$CT$1,"&gt;="&amp;AB$1,'UX Weekly'!$H$1:$CT$1,"&lt;="&amp;EOMONTH(AB$1,0),'UX Weekly'!$H4:$CT4,"&lt;&gt;"))</f>
        <v>1</v>
      </c>
      <c r="AC4">
        <f>IF($B4="",0,COUNTIFS('UX Weekly'!$H$1:$CT$1,"&gt;="&amp;AC$1,'UX Weekly'!$H$1:$CT$1,"&lt;="&amp;EOMONTH(AC$1,0),'UX Weekly'!$H4:$CT4,"&lt;&gt;"))</f>
        <v>0</v>
      </c>
      <c r="AD4">
        <f>IF($B4="",0,COUNTIFS('UX Weekly'!$H$1:$CT$1,"&gt;="&amp;AD$1,'UX Weekly'!$H$1:$CT$1,"&lt;="&amp;EOMONTH(AD$1,0),'UX Weekly'!$H4:$CT4,"&lt;&gt;"))</f>
        <v>1</v>
      </c>
      <c r="AE4">
        <f>IF($B4="",0,COUNTIFS('UX Weekly'!$H$1:$CT$1,"&gt;="&amp;AE$1,'UX Weekly'!$H$1:$CT$1,"&lt;="&amp;EOMONTH(AE$1,0),'UX Weekly'!$H4:$CT4,"&lt;&gt;"))</f>
        <v>2</v>
      </c>
      <c r="AF4">
        <f>IF($B4="",0,COUNTIFS('UX Weekly'!$H$1:$CT$1,"&gt;="&amp;AF$1,'UX Weekly'!$H$1:$CT$1,"&lt;="&amp;EOMONTH(AF$1,0),'UX Weekly'!$H4:$CT4,"&lt;&gt;"))</f>
        <v>0</v>
      </c>
      <c r="AG4">
        <f>IF($B4="",0,COUNTIFS('UX Weekly'!$H$1:$CT$1,"&gt;="&amp;AG$1,'UX Weekly'!$H$1:$CT$1,"&lt;="&amp;EOMONTH(AG$1,0),'UX Weekly'!$H4:$CT4,"&lt;&gt;"))</f>
        <v>0</v>
      </c>
      <c r="AH4">
        <f>IF($B4="",0,COUNTIFS('UX Weekly'!$H$1:$CT$1,"&gt;="&amp;AH$1,'UX Weekly'!$H$1:$CT$1,"&lt;="&amp;EOMONTH(AH$1,0),'UX Weekly'!$H4:$CT4,"&lt;&gt;"))</f>
        <v>0</v>
      </c>
      <c r="AI4">
        <f>IF($B4="",0,COUNTIFS('UX Weekly'!$H$1:$CT$1,"&gt;="&amp;AI$1,'UX Weekly'!$H$1:$CT$1,"&lt;="&amp;EOMONTH(AI$1,0),'UX Weekly'!$H4:$CT4,"&lt;&gt;"))</f>
        <v>0</v>
      </c>
      <c r="AJ4">
        <f>IF($B4="",0,COUNTIFS('UX Weekly'!$H$1:$CT$1,"&gt;="&amp;AJ$1,'UX Weekly'!$H$1:$CT$1,"&lt;="&amp;EOMONTH(AJ$1,0),'UX Weekly'!$H4:$CT4,"&lt;&gt;"))</f>
        <v>0</v>
      </c>
      <c r="AK4">
        <f>IF($B4="",0,COUNTIFS('UX Weekly'!$H$1:$CT$1,"&gt;="&amp;AK$1,'UX Weekly'!$H$1:$CT$1,"&lt;="&amp;EOMONTH(AK$1,0),'UX Weekly'!$H4:$CT4,"&lt;&gt;"))</f>
        <v>0</v>
      </c>
      <c r="AL4">
        <f>IF($B4="",0,COUNTIFS('UX Weekly'!$H$1:$CT$1,"&gt;="&amp;AL$1,'UX Weekly'!$H$1:$CT$1,"&lt;="&amp;EOMONTH(AL$1,0),'UX Weekly'!$H4:$CT4,"&lt;&gt;"))</f>
        <v>0</v>
      </c>
      <c r="AM4">
        <f>IF($B4="",0,COUNTIFS('UX Weekly'!$H$1:$CT$1,"&gt;="&amp;AM$1,'UX Weekly'!$H$1:$CT$1,"&lt;="&amp;EOMONTH(AM$1,0),'UX Weekly'!$H4:$CT4,"&lt;&gt;"))</f>
        <v>0</v>
      </c>
      <c r="AN4">
        <f>IF($B4="",0,COUNTIFS('UX Weekly'!$H$1:$CT$1,"&gt;="&amp;AN$1,'UX Weekly'!$H$1:$CT$1,"&lt;="&amp;EOMONTH(AN$1,0),'UX Weekly'!$H4:$CT4,"&lt;&gt;"))</f>
        <v>0</v>
      </c>
      <c r="AO4">
        <f>IF($B4="",0,COUNTIFS('UX Weekly'!$H$1:$CT$1,"&gt;="&amp;AO$1,'UX Weekly'!$H$1:$CT$1,"&lt;="&amp;EOMONTH(AO$1,0),'UX Weekly'!$H4:$CT4,"&lt;&gt;"))</f>
        <v>0</v>
      </c>
      <c r="AP4">
        <f>IF($B4="",0,COUNTIFS('UX Weekly'!$H$1:$CT$1,"&gt;="&amp;AP$1,'UX Weekly'!$H$1:$CT$1,"&lt;="&amp;EOMONTH(AP$1,0),'UX Weekly'!$H4:$CT4,"&lt;&gt;"))</f>
        <v>0</v>
      </c>
      <c r="AQ4">
        <f>IF($B4="",0,COUNTIFS('UX Weekly'!$H$1:$CT$1,"&gt;="&amp;AQ$1,'UX Weekly'!$H$1:$CT$1,"&lt;="&amp;EOMONTH(AQ$1,0),'UX Weekly'!$H4:$CT4,"&lt;&gt;"))</f>
        <v>0</v>
      </c>
      <c r="AR4">
        <f>IF($B4="",0,COUNTIFS('UX Weekly'!$H$1:$CT$1,"&gt;="&amp;AR$1,'UX Weekly'!$H$1:$CT$1,"&lt;="&amp;EOMONTH(AR$1,0),'UX Weekly'!$H4:$CT4,"&lt;&gt;"))</f>
        <v>0</v>
      </c>
      <c r="AS4">
        <f>IF($B4="",0,COUNTIFS('UX Weekly'!$H$1:$CT$1,"&gt;="&amp;AS$1,'UX Weekly'!$H$1:$CT$1,"&lt;="&amp;EOMONTH(AS$1,0),'UX Weekly'!$H4:$CT4,"&lt;&gt;"))</f>
        <v>0</v>
      </c>
      <c r="AT4">
        <f>IF($B4="",0,COUNTIFS('UX Weekly'!$H$1:$CT$1,"&gt;="&amp;AT$1,'UX Weekly'!$H$1:$CT$1,"&lt;="&amp;EOMONTH(AT$1,0),'UX Weekly'!$H4:$CT4,"&lt;&gt;"))</f>
        <v>0</v>
      </c>
    </row>
    <row r="5" spans="1:48" x14ac:dyDescent="0.2">
      <c r="A5" s="147">
        <v>5</v>
      </c>
      <c r="B5" s="147" t="str">
        <f>IF(TRIM('UX Weekly'!E5)="","",TRIM('UX Weekly'!E5))</f>
        <v>The Studio - Stand Alone Website</v>
      </c>
      <c r="C5" s="147" t="str">
        <f>IF($B5="","",'UX Weekly'!B5)</f>
        <v>B2B</v>
      </c>
      <c r="D5" s="147" t="str">
        <f>IF($B5="","",IF(TRIM('UX Weekly'!C5)="","(No theme assigned)",TRIM('UX Weekly'!C5)))</f>
        <v>Increase The Studio B&amp;H Awareness</v>
      </c>
      <c r="E5" s="147" t="str">
        <f>IF($B5="","",TRIM('UX Weekly'!F5))</f>
        <v/>
      </c>
      <c r="F5" s="147" t="str">
        <f>IF($B5="","",'UX Weekly'!G5)</f>
        <v>01. Prod Discovery</v>
      </c>
      <c r="G5" s="148">
        <f t="array" ref="G5">IF($B5="","",IF($S5=0,"",IFERROR(MIN(IF('UX Weekly'!$H5:$CT5&lt;&gt;"",'UX Weekly'!$H$1:$CT$1)),"")))</f>
        <v>46272</v>
      </c>
      <c r="H5" s="148">
        <f t="array" ref="H5">IF($B5="","",IF($S5=0,"",IFERROR(MAX(IF('UX Weekly'!$H5:$CT5&lt;&gt;"",'UX Weekly'!$H$1:$CT$1)),"")))</f>
        <v>46286</v>
      </c>
      <c r="I5" s="149">
        <f t="shared" ca="1" si="0"/>
        <v>46388</v>
      </c>
      <c r="J5" s="149">
        <f t="shared" ca="1" si="1"/>
        <v>46477</v>
      </c>
      <c r="K5" s="147">
        <f>IF($B5="","",IFERROR(MATCH($B5,'Dev Tracker'!$D$2:$D$196,0),IF($E5="","",IFERROR(MATCH($E5,'Dev Tracker'!$E$2:$E$196,0),""))))</f>
        <v>4</v>
      </c>
      <c r="L5" s="147">
        <f>IF($B5="","",IFERROR(MATCH($D5,'Control (Don’t Touch)'!$E$4:$E$30,0),99))</f>
        <v>9</v>
      </c>
      <c r="M5" s="147">
        <f>IF($B5="","",IFERROR(MATCH($F5,'Control (Don’t Touch)'!$B$4:$B$30,0),99))</f>
        <v>3</v>
      </c>
      <c r="N5" s="147">
        <f t="shared" si="2"/>
        <v>9030005</v>
      </c>
      <c r="O5" s="147">
        <f>IF($B5="","",COUNTIF($N$2:$N$204,"&lt;"&amp;$N5)+1)</f>
        <v>41</v>
      </c>
      <c r="P5" s="149">
        <f ca="1">IF($K5="","",IFERROR(DATE(IFERROR(VALUE(RIGHT(TRIM(INDEX('Dev Tracker'!$I$2:$I$196,$K5)),4)),YEAR(TODAY())),MATCH(LEFT(TRIM(INDEX('Dev Tracker'!$I$2:$I$196,$K5)),3),$U$2:$U$12,0),1),""))</f>
        <v>46388</v>
      </c>
      <c r="Q5" s="149">
        <f ca="1">IF($K5="","",IFERROR(DATE(IFERROR(VALUE(RIGHT(TRIM(INDEX('Dev Tracker'!$J$2:$J$196,$K5)),4)),YEAR(TODAY())),MATCH(LEFT(TRIM(INDEX('Dev Tracker'!$J$2:$J$196,$K5)),3),$U$2:$U$12,0),1),""))</f>
        <v>46447</v>
      </c>
      <c r="R5" s="147"/>
      <c r="S5" s="147">
        <f>IF($B5="","",COUNTA('UX Weekly'!$H5:$CT5))</f>
        <v>3</v>
      </c>
      <c r="U5" s="142" t="s">
        <v>820</v>
      </c>
      <c r="W5">
        <f>IF($B5="",0,COUNTIFS('UX Weekly'!$H$1:$CT$1,"&gt;="&amp;W$1,'UX Weekly'!$H$1:$CT$1,"&lt;="&amp;EOMONTH(W$1,0),'UX Weekly'!$H5:$CT5,"&lt;&gt;"))</f>
        <v>0</v>
      </c>
      <c r="X5">
        <f>IF($B5="",0,COUNTIFS('UX Weekly'!$H$1:$CT$1,"&gt;="&amp;X$1,'UX Weekly'!$H$1:$CT$1,"&lt;="&amp;EOMONTH(X$1,0),'UX Weekly'!$H5:$CT5,"&lt;&gt;"))</f>
        <v>0</v>
      </c>
      <c r="Y5">
        <f>IF($B5="",0,COUNTIFS('UX Weekly'!$H$1:$CT$1,"&gt;="&amp;Y$1,'UX Weekly'!$H$1:$CT$1,"&lt;="&amp;EOMONTH(Y$1,0),'UX Weekly'!$H5:$CT5,"&lt;&gt;"))</f>
        <v>0</v>
      </c>
      <c r="Z5">
        <f>IF($B5="",0,COUNTIFS('UX Weekly'!$H$1:$CT$1,"&gt;="&amp;Z$1,'UX Weekly'!$H$1:$CT$1,"&lt;="&amp;EOMONTH(Z$1,0),'UX Weekly'!$H5:$CT5,"&lt;&gt;"))</f>
        <v>0</v>
      </c>
      <c r="AA5">
        <f>IF($B5="",0,COUNTIFS('UX Weekly'!$H$1:$CT$1,"&gt;="&amp;AA$1,'UX Weekly'!$H$1:$CT$1,"&lt;="&amp;EOMONTH(AA$1,0),'UX Weekly'!$H5:$CT5,"&lt;&gt;"))</f>
        <v>0</v>
      </c>
      <c r="AB5">
        <f>IF($B5="",0,COUNTIFS('UX Weekly'!$H$1:$CT$1,"&gt;="&amp;AB$1,'UX Weekly'!$H$1:$CT$1,"&lt;="&amp;EOMONTH(AB$1,0),'UX Weekly'!$H5:$CT5,"&lt;&gt;"))</f>
        <v>0</v>
      </c>
      <c r="AC5">
        <f>IF($B5="",0,COUNTIFS('UX Weekly'!$H$1:$CT$1,"&gt;="&amp;AC$1,'UX Weekly'!$H$1:$CT$1,"&lt;="&amp;EOMONTH(AC$1,0),'UX Weekly'!$H5:$CT5,"&lt;&gt;"))</f>
        <v>0</v>
      </c>
      <c r="AD5">
        <f>IF($B5="",0,COUNTIFS('UX Weekly'!$H$1:$CT$1,"&gt;="&amp;AD$1,'UX Weekly'!$H$1:$CT$1,"&lt;="&amp;EOMONTH(AD$1,0),'UX Weekly'!$H5:$CT5,"&lt;&gt;"))</f>
        <v>0</v>
      </c>
      <c r="AE5">
        <f>IF($B5="",0,COUNTIFS('UX Weekly'!$H$1:$CT$1,"&gt;="&amp;AE$1,'UX Weekly'!$H$1:$CT$1,"&lt;="&amp;EOMONTH(AE$1,0),'UX Weekly'!$H5:$CT5,"&lt;&gt;"))</f>
        <v>3</v>
      </c>
      <c r="AF5">
        <f>IF($B5="",0,COUNTIFS('UX Weekly'!$H$1:$CT$1,"&gt;="&amp;AF$1,'UX Weekly'!$H$1:$CT$1,"&lt;="&amp;EOMONTH(AF$1,0),'UX Weekly'!$H5:$CT5,"&lt;&gt;"))</f>
        <v>0</v>
      </c>
      <c r="AG5">
        <f>IF($B5="",0,COUNTIFS('UX Weekly'!$H$1:$CT$1,"&gt;="&amp;AG$1,'UX Weekly'!$H$1:$CT$1,"&lt;="&amp;EOMONTH(AG$1,0),'UX Weekly'!$H5:$CT5,"&lt;&gt;"))</f>
        <v>0</v>
      </c>
      <c r="AH5">
        <f>IF($B5="",0,COUNTIFS('UX Weekly'!$H$1:$CT$1,"&gt;="&amp;AH$1,'UX Weekly'!$H$1:$CT$1,"&lt;="&amp;EOMONTH(AH$1,0),'UX Weekly'!$H5:$CT5,"&lt;&gt;"))</f>
        <v>0</v>
      </c>
      <c r="AI5">
        <f>IF($B5="",0,COUNTIFS('UX Weekly'!$H$1:$CT$1,"&gt;="&amp;AI$1,'UX Weekly'!$H$1:$CT$1,"&lt;="&amp;EOMONTH(AI$1,0),'UX Weekly'!$H5:$CT5,"&lt;&gt;"))</f>
        <v>0</v>
      </c>
      <c r="AJ5">
        <f>IF($B5="",0,COUNTIFS('UX Weekly'!$H$1:$CT$1,"&gt;="&amp;AJ$1,'UX Weekly'!$H$1:$CT$1,"&lt;="&amp;EOMONTH(AJ$1,0),'UX Weekly'!$H5:$CT5,"&lt;&gt;"))</f>
        <v>0</v>
      </c>
      <c r="AK5">
        <f>IF($B5="",0,COUNTIFS('UX Weekly'!$H$1:$CT$1,"&gt;="&amp;AK$1,'UX Weekly'!$H$1:$CT$1,"&lt;="&amp;EOMONTH(AK$1,0),'UX Weekly'!$H5:$CT5,"&lt;&gt;"))</f>
        <v>0</v>
      </c>
      <c r="AL5">
        <f>IF($B5="",0,COUNTIFS('UX Weekly'!$H$1:$CT$1,"&gt;="&amp;AL$1,'UX Weekly'!$H$1:$CT$1,"&lt;="&amp;EOMONTH(AL$1,0),'UX Weekly'!$H5:$CT5,"&lt;&gt;"))</f>
        <v>0</v>
      </c>
      <c r="AM5">
        <f>IF($B5="",0,COUNTIFS('UX Weekly'!$H$1:$CT$1,"&gt;="&amp;AM$1,'UX Weekly'!$H$1:$CT$1,"&lt;="&amp;EOMONTH(AM$1,0),'UX Weekly'!$H5:$CT5,"&lt;&gt;"))</f>
        <v>0</v>
      </c>
      <c r="AN5">
        <f>IF($B5="",0,COUNTIFS('UX Weekly'!$H$1:$CT$1,"&gt;="&amp;AN$1,'UX Weekly'!$H$1:$CT$1,"&lt;="&amp;EOMONTH(AN$1,0),'UX Weekly'!$H5:$CT5,"&lt;&gt;"))</f>
        <v>0</v>
      </c>
      <c r="AO5">
        <f>IF($B5="",0,COUNTIFS('UX Weekly'!$H$1:$CT$1,"&gt;="&amp;AO$1,'UX Weekly'!$H$1:$CT$1,"&lt;="&amp;EOMONTH(AO$1,0),'UX Weekly'!$H5:$CT5,"&lt;&gt;"))</f>
        <v>0</v>
      </c>
      <c r="AP5">
        <f>IF($B5="",0,COUNTIFS('UX Weekly'!$H$1:$CT$1,"&gt;="&amp;AP$1,'UX Weekly'!$H$1:$CT$1,"&lt;="&amp;EOMONTH(AP$1,0),'UX Weekly'!$H5:$CT5,"&lt;&gt;"))</f>
        <v>0</v>
      </c>
      <c r="AQ5">
        <f>IF($B5="",0,COUNTIFS('UX Weekly'!$H$1:$CT$1,"&gt;="&amp;AQ$1,'UX Weekly'!$H$1:$CT$1,"&lt;="&amp;EOMONTH(AQ$1,0),'UX Weekly'!$H5:$CT5,"&lt;&gt;"))</f>
        <v>0</v>
      </c>
      <c r="AR5">
        <f>IF($B5="",0,COUNTIFS('UX Weekly'!$H$1:$CT$1,"&gt;="&amp;AR$1,'UX Weekly'!$H$1:$CT$1,"&lt;="&amp;EOMONTH(AR$1,0),'UX Weekly'!$H5:$CT5,"&lt;&gt;"))</f>
        <v>0</v>
      </c>
      <c r="AS5">
        <f>IF($B5="",0,COUNTIFS('UX Weekly'!$H$1:$CT$1,"&gt;="&amp;AS$1,'UX Weekly'!$H$1:$CT$1,"&lt;="&amp;EOMONTH(AS$1,0),'UX Weekly'!$H5:$CT5,"&lt;&gt;"))</f>
        <v>0</v>
      </c>
      <c r="AT5">
        <f>IF($B5="",0,COUNTIFS('UX Weekly'!$H$1:$CT$1,"&gt;="&amp;AT$1,'UX Weekly'!$H$1:$CT$1,"&lt;="&amp;EOMONTH(AT$1,0),'UX Weekly'!$H5:$CT5,"&lt;&gt;"))</f>
        <v>0</v>
      </c>
    </row>
    <row r="6" spans="1:48" x14ac:dyDescent="0.2">
      <c r="A6" s="147">
        <v>6</v>
      </c>
      <c r="B6" s="147" t="str">
        <f>IF(TRIM('UX Weekly'!E6)="","",TRIM('UX Weekly'!E6))</f>
        <v>Homepage Header: B2B</v>
      </c>
      <c r="C6" s="147" t="str">
        <f>IF($B6="","",'UX Weekly'!B6)</f>
        <v>B2B</v>
      </c>
      <c r="D6" s="147" t="str">
        <f>IF($B6="","",IF(TRIM('UX Weekly'!C6)="","(No theme assigned)",TRIM('UX Weekly'!C6)))</f>
        <v>Increase B2B Acquisition</v>
      </c>
      <c r="E6" s="147" t="str">
        <f>IF($B6="","",TRIM('UX Weekly'!F6))</f>
        <v>BHP-7274</v>
      </c>
      <c r="F6" s="147" t="str">
        <f>IF($B6="","",'UX Weekly'!G6)</f>
        <v>01. Prod Discovery</v>
      </c>
      <c r="G6" s="148" t="str">
        <f t="array" ref="G6">IF($B6="","",IF($S6=0,"",IFERROR(MIN(IF('UX Weekly'!$H6:$CT6&lt;&gt;"",'UX Weekly'!$H$1:$CT$1)),"")))</f>
        <v/>
      </c>
      <c r="H6" s="148" t="str">
        <f t="array" ref="H6">IF($B6="","",IF($S6=0,"",IFERROR(MAX(IF('UX Weekly'!$H6:$CT6&lt;&gt;"",'UX Weekly'!$H$1:$CT$1)),"")))</f>
        <v/>
      </c>
      <c r="I6" s="149" t="str">
        <f t="shared" ca="1" si="0"/>
        <v/>
      </c>
      <c r="J6" s="149" t="str">
        <f t="shared" ca="1" si="1"/>
        <v/>
      </c>
      <c r="K6" s="147">
        <f>IF($B6="","",IFERROR(MATCH($B6,'Dev Tracker'!$D$2:$D$196,0),IF($E6="","",IFERROR(MATCH($E6,'Dev Tracker'!$E$2:$E$196,0),""))))</f>
        <v>5</v>
      </c>
      <c r="L6" s="147">
        <f>IF($B6="","",IFERROR(MATCH($D6,'Control (Don’t Touch)'!$E$4:$E$30,0),99))</f>
        <v>8</v>
      </c>
      <c r="M6" s="147">
        <f>IF($B6="","",IFERROR(MATCH($F6,'Control (Don’t Touch)'!$B$4:$B$30,0),99))</f>
        <v>3</v>
      </c>
      <c r="N6" s="147">
        <f t="shared" si="2"/>
        <v>8030006</v>
      </c>
      <c r="O6" s="147">
        <f>IF($B6="","",COUNTIF($N$2:$N$204,"&lt;"&amp;$N6)+1)</f>
        <v>35</v>
      </c>
      <c r="P6" s="149" t="str">
        <f ca="1">IF($K6="","",IFERROR(DATE(IFERROR(VALUE(RIGHT(TRIM(INDEX('Dev Tracker'!$I$2:$I$196,$K6)),4)),YEAR(TODAY())),MATCH(LEFT(TRIM(INDEX('Dev Tracker'!$I$2:$I$196,$K6)),3),$U$2:$U$12,0),1),""))</f>
        <v/>
      </c>
      <c r="Q6" s="149" t="str">
        <f ca="1">IF($K6="","",IFERROR(DATE(IFERROR(VALUE(RIGHT(TRIM(INDEX('Dev Tracker'!$J$2:$J$196,$K6)),4)),YEAR(TODAY())),MATCH(LEFT(TRIM(INDEX('Dev Tracker'!$J$2:$J$196,$K6)),3),$U$2:$U$12,0),1),""))</f>
        <v/>
      </c>
      <c r="R6" s="147"/>
      <c r="S6" s="147">
        <f>IF($B6="","",COUNTA('UX Weekly'!$H6:$CT6))</f>
        <v>0</v>
      </c>
      <c r="U6" s="142" t="s">
        <v>56</v>
      </c>
      <c r="W6">
        <f>IF($B6="",0,COUNTIFS('UX Weekly'!$H$1:$CT$1,"&gt;="&amp;W$1,'UX Weekly'!$H$1:$CT$1,"&lt;="&amp;EOMONTH(W$1,0),'UX Weekly'!$H6:$CT6,"&lt;&gt;"))</f>
        <v>0</v>
      </c>
      <c r="X6">
        <f>IF($B6="",0,COUNTIFS('UX Weekly'!$H$1:$CT$1,"&gt;="&amp;X$1,'UX Weekly'!$H$1:$CT$1,"&lt;="&amp;EOMONTH(X$1,0),'UX Weekly'!$H6:$CT6,"&lt;&gt;"))</f>
        <v>0</v>
      </c>
      <c r="Y6">
        <f>IF($B6="",0,COUNTIFS('UX Weekly'!$H$1:$CT$1,"&gt;="&amp;Y$1,'UX Weekly'!$H$1:$CT$1,"&lt;="&amp;EOMONTH(Y$1,0),'UX Weekly'!$H6:$CT6,"&lt;&gt;"))</f>
        <v>0</v>
      </c>
      <c r="Z6">
        <f>IF($B6="",0,COUNTIFS('UX Weekly'!$H$1:$CT$1,"&gt;="&amp;Z$1,'UX Weekly'!$H$1:$CT$1,"&lt;="&amp;EOMONTH(Z$1,0),'UX Weekly'!$H6:$CT6,"&lt;&gt;"))</f>
        <v>0</v>
      </c>
      <c r="AA6">
        <f>IF($B6="",0,COUNTIFS('UX Weekly'!$H$1:$CT$1,"&gt;="&amp;AA$1,'UX Weekly'!$H$1:$CT$1,"&lt;="&amp;EOMONTH(AA$1,0),'UX Weekly'!$H6:$CT6,"&lt;&gt;"))</f>
        <v>0</v>
      </c>
      <c r="AB6">
        <f>IF($B6="",0,COUNTIFS('UX Weekly'!$H$1:$CT$1,"&gt;="&amp;AB$1,'UX Weekly'!$H$1:$CT$1,"&lt;="&amp;EOMONTH(AB$1,0),'UX Weekly'!$H6:$CT6,"&lt;&gt;"))</f>
        <v>0</v>
      </c>
      <c r="AC6">
        <f>IF($B6="",0,COUNTIFS('UX Weekly'!$H$1:$CT$1,"&gt;="&amp;AC$1,'UX Weekly'!$H$1:$CT$1,"&lt;="&amp;EOMONTH(AC$1,0),'UX Weekly'!$H6:$CT6,"&lt;&gt;"))</f>
        <v>0</v>
      </c>
      <c r="AD6">
        <f>IF($B6="",0,COUNTIFS('UX Weekly'!$H$1:$CT$1,"&gt;="&amp;AD$1,'UX Weekly'!$H$1:$CT$1,"&lt;="&amp;EOMONTH(AD$1,0),'UX Weekly'!$H6:$CT6,"&lt;&gt;"))</f>
        <v>0</v>
      </c>
      <c r="AE6">
        <f>IF($B6="",0,COUNTIFS('UX Weekly'!$H$1:$CT$1,"&gt;="&amp;AE$1,'UX Weekly'!$H$1:$CT$1,"&lt;="&amp;EOMONTH(AE$1,0),'UX Weekly'!$H6:$CT6,"&lt;&gt;"))</f>
        <v>0</v>
      </c>
      <c r="AF6">
        <f>IF($B6="",0,COUNTIFS('UX Weekly'!$H$1:$CT$1,"&gt;="&amp;AF$1,'UX Weekly'!$H$1:$CT$1,"&lt;="&amp;EOMONTH(AF$1,0),'UX Weekly'!$H6:$CT6,"&lt;&gt;"))</f>
        <v>0</v>
      </c>
      <c r="AG6">
        <f>IF($B6="",0,COUNTIFS('UX Weekly'!$H$1:$CT$1,"&gt;="&amp;AG$1,'UX Weekly'!$H$1:$CT$1,"&lt;="&amp;EOMONTH(AG$1,0),'UX Weekly'!$H6:$CT6,"&lt;&gt;"))</f>
        <v>0</v>
      </c>
      <c r="AH6">
        <f>IF($B6="",0,COUNTIFS('UX Weekly'!$H$1:$CT$1,"&gt;="&amp;AH$1,'UX Weekly'!$H$1:$CT$1,"&lt;="&amp;EOMONTH(AH$1,0),'UX Weekly'!$H6:$CT6,"&lt;&gt;"))</f>
        <v>0</v>
      </c>
      <c r="AI6">
        <f>IF($B6="",0,COUNTIFS('UX Weekly'!$H$1:$CT$1,"&gt;="&amp;AI$1,'UX Weekly'!$H$1:$CT$1,"&lt;="&amp;EOMONTH(AI$1,0),'UX Weekly'!$H6:$CT6,"&lt;&gt;"))</f>
        <v>0</v>
      </c>
      <c r="AJ6">
        <f>IF($B6="",0,COUNTIFS('UX Weekly'!$H$1:$CT$1,"&gt;="&amp;AJ$1,'UX Weekly'!$H$1:$CT$1,"&lt;="&amp;EOMONTH(AJ$1,0),'UX Weekly'!$H6:$CT6,"&lt;&gt;"))</f>
        <v>0</v>
      </c>
      <c r="AK6">
        <f>IF($B6="",0,COUNTIFS('UX Weekly'!$H$1:$CT$1,"&gt;="&amp;AK$1,'UX Weekly'!$H$1:$CT$1,"&lt;="&amp;EOMONTH(AK$1,0),'UX Weekly'!$H6:$CT6,"&lt;&gt;"))</f>
        <v>0</v>
      </c>
      <c r="AL6">
        <f>IF($B6="",0,COUNTIFS('UX Weekly'!$H$1:$CT$1,"&gt;="&amp;AL$1,'UX Weekly'!$H$1:$CT$1,"&lt;="&amp;EOMONTH(AL$1,0),'UX Weekly'!$H6:$CT6,"&lt;&gt;"))</f>
        <v>0</v>
      </c>
      <c r="AM6">
        <f>IF($B6="",0,COUNTIFS('UX Weekly'!$H$1:$CT$1,"&gt;="&amp;AM$1,'UX Weekly'!$H$1:$CT$1,"&lt;="&amp;EOMONTH(AM$1,0),'UX Weekly'!$H6:$CT6,"&lt;&gt;"))</f>
        <v>0</v>
      </c>
      <c r="AN6">
        <f>IF($B6="",0,COUNTIFS('UX Weekly'!$H$1:$CT$1,"&gt;="&amp;AN$1,'UX Weekly'!$H$1:$CT$1,"&lt;="&amp;EOMONTH(AN$1,0),'UX Weekly'!$H6:$CT6,"&lt;&gt;"))</f>
        <v>0</v>
      </c>
      <c r="AO6">
        <f>IF($B6="",0,COUNTIFS('UX Weekly'!$H$1:$CT$1,"&gt;="&amp;AO$1,'UX Weekly'!$H$1:$CT$1,"&lt;="&amp;EOMONTH(AO$1,0),'UX Weekly'!$H6:$CT6,"&lt;&gt;"))</f>
        <v>0</v>
      </c>
      <c r="AP6">
        <f>IF($B6="",0,COUNTIFS('UX Weekly'!$H$1:$CT$1,"&gt;="&amp;AP$1,'UX Weekly'!$H$1:$CT$1,"&lt;="&amp;EOMONTH(AP$1,0),'UX Weekly'!$H6:$CT6,"&lt;&gt;"))</f>
        <v>0</v>
      </c>
      <c r="AQ6">
        <f>IF($B6="",0,COUNTIFS('UX Weekly'!$H$1:$CT$1,"&gt;="&amp;AQ$1,'UX Weekly'!$H$1:$CT$1,"&lt;="&amp;EOMONTH(AQ$1,0),'UX Weekly'!$H6:$CT6,"&lt;&gt;"))</f>
        <v>0</v>
      </c>
      <c r="AR6">
        <f>IF($B6="",0,COUNTIFS('UX Weekly'!$H$1:$CT$1,"&gt;="&amp;AR$1,'UX Weekly'!$H$1:$CT$1,"&lt;="&amp;EOMONTH(AR$1,0),'UX Weekly'!$H6:$CT6,"&lt;&gt;"))</f>
        <v>0</v>
      </c>
      <c r="AS6">
        <f>IF($B6="",0,COUNTIFS('UX Weekly'!$H$1:$CT$1,"&gt;="&amp;AS$1,'UX Weekly'!$H$1:$CT$1,"&lt;="&amp;EOMONTH(AS$1,0),'UX Weekly'!$H6:$CT6,"&lt;&gt;"))</f>
        <v>0</v>
      </c>
      <c r="AT6">
        <f>IF($B6="",0,COUNTIFS('UX Weekly'!$H$1:$CT$1,"&gt;="&amp;AT$1,'UX Weekly'!$H$1:$CT$1,"&lt;="&amp;EOMONTH(AT$1,0),'UX Weekly'!$H6:$CT6,"&lt;&gt;"))</f>
        <v>0</v>
      </c>
    </row>
    <row r="7" spans="1:48" x14ac:dyDescent="0.2">
      <c r="A7" s="147">
        <v>7</v>
      </c>
      <c r="B7" s="147" t="str">
        <f>IF(TRIM('UX Weekly'!E7)="","",TRIM('UX Weekly'!E7))</f>
        <v>Decouple Sell Used from Used Hub</v>
      </c>
      <c r="C7" s="147" t="str">
        <f>IF($B7="","",'UX Weekly'!B7)</f>
        <v>Used</v>
      </c>
      <c r="D7" s="147" t="str">
        <f>IF($B7="","",IF(TRIM('UX Weekly'!C7)="","(No theme assigned)",TRIM('UX Weekly'!C7)))</f>
        <v>Increase Trade In Awareness</v>
      </c>
      <c r="E7" s="147" t="str">
        <f>IF($B7="","",TRIM('UX Weekly'!F7))</f>
        <v>BHP-7431</v>
      </c>
      <c r="F7" s="147" t="str">
        <f>IF($B7="","",'UX Weekly'!G7)</f>
        <v>01. Prod Discovery</v>
      </c>
      <c r="G7" s="148" t="str">
        <f t="array" ref="G7">IF($B7="","",IF($S7=0,"",IFERROR(MIN(IF('UX Weekly'!$H7:$CT7&lt;&gt;"",'UX Weekly'!$H$1:$CT$1)),"")))</f>
        <v/>
      </c>
      <c r="H7" s="148" t="str">
        <f t="array" ref="H7">IF($B7="","",IF($S7=0,"",IFERROR(MAX(IF('UX Weekly'!$H7:$CT7&lt;&gt;"",'UX Weekly'!$H$1:$CT$1)),"")))</f>
        <v/>
      </c>
      <c r="I7" s="149" t="str">
        <f t="shared" ca="1" si="0"/>
        <v/>
      </c>
      <c r="J7" s="149" t="str">
        <f t="shared" ca="1" si="1"/>
        <v/>
      </c>
      <c r="K7" s="147">
        <f>IF($B7="","",IFERROR(MATCH($B7,'Dev Tracker'!$D$2:$D$196,0),IF($E7="","",IFERROR(MATCH($E7,'Dev Tracker'!$E$2:$E$196,0),""))))</f>
        <v>6</v>
      </c>
      <c r="L7" s="147">
        <f>IF($B7="","",IFERROR(MATCH($D7,'Control (Don’t Touch)'!$E$4:$E$30,0),99))</f>
        <v>2</v>
      </c>
      <c r="M7" s="147">
        <f>IF($B7="","",IFERROR(MATCH($F7,'Control (Don’t Touch)'!$B$4:$B$30,0),99))</f>
        <v>3</v>
      </c>
      <c r="N7" s="147">
        <f t="shared" si="2"/>
        <v>2030007</v>
      </c>
      <c r="O7" s="147">
        <f>IF($B7="","",COUNTIF($N$2:$N$204,"&lt;"&amp;$N7)+1)</f>
        <v>11</v>
      </c>
      <c r="P7" s="149" t="str">
        <f ca="1">IF($K7="","",IFERROR(DATE(IFERROR(VALUE(RIGHT(TRIM(INDEX('Dev Tracker'!$I$2:$I$196,$K7)),4)),YEAR(TODAY())),MATCH(LEFT(TRIM(INDEX('Dev Tracker'!$I$2:$I$196,$K7)),3),$U$2:$U$12,0),1),""))</f>
        <v/>
      </c>
      <c r="Q7" s="149" t="str">
        <f ca="1">IF($K7="","",IFERROR(DATE(IFERROR(VALUE(RIGHT(TRIM(INDEX('Dev Tracker'!$J$2:$J$196,$K7)),4)),YEAR(TODAY())),MATCH(LEFT(TRIM(INDEX('Dev Tracker'!$J$2:$J$196,$K7)),3),$U$2:$U$12,0),1),""))</f>
        <v/>
      </c>
      <c r="R7" s="147"/>
      <c r="S7" s="147">
        <f>IF($B7="","",COUNTA('UX Weekly'!$H7:$CT7))</f>
        <v>0</v>
      </c>
      <c r="U7" s="142" t="s">
        <v>821</v>
      </c>
      <c r="W7">
        <f>IF($B7="",0,COUNTIFS('UX Weekly'!$H$1:$CT$1,"&gt;="&amp;W$1,'UX Weekly'!$H$1:$CT$1,"&lt;="&amp;EOMONTH(W$1,0),'UX Weekly'!$H7:$CT7,"&lt;&gt;"))</f>
        <v>0</v>
      </c>
      <c r="X7">
        <f>IF($B7="",0,COUNTIFS('UX Weekly'!$H$1:$CT$1,"&gt;="&amp;X$1,'UX Weekly'!$H$1:$CT$1,"&lt;="&amp;EOMONTH(X$1,0),'UX Weekly'!$H7:$CT7,"&lt;&gt;"))</f>
        <v>0</v>
      </c>
      <c r="Y7">
        <f>IF($B7="",0,COUNTIFS('UX Weekly'!$H$1:$CT$1,"&gt;="&amp;Y$1,'UX Weekly'!$H$1:$CT$1,"&lt;="&amp;EOMONTH(Y$1,0),'UX Weekly'!$H7:$CT7,"&lt;&gt;"))</f>
        <v>0</v>
      </c>
      <c r="Z7">
        <f>IF($B7="",0,COUNTIFS('UX Weekly'!$H$1:$CT$1,"&gt;="&amp;Z$1,'UX Weekly'!$H$1:$CT$1,"&lt;="&amp;EOMONTH(Z$1,0),'UX Weekly'!$H7:$CT7,"&lt;&gt;"))</f>
        <v>0</v>
      </c>
      <c r="AA7">
        <f>IF($B7="",0,COUNTIFS('UX Weekly'!$H$1:$CT$1,"&gt;="&amp;AA$1,'UX Weekly'!$H$1:$CT$1,"&lt;="&amp;EOMONTH(AA$1,0),'UX Weekly'!$H7:$CT7,"&lt;&gt;"))</f>
        <v>0</v>
      </c>
      <c r="AB7">
        <f>IF($B7="",0,COUNTIFS('UX Weekly'!$H$1:$CT$1,"&gt;="&amp;AB$1,'UX Weekly'!$H$1:$CT$1,"&lt;="&amp;EOMONTH(AB$1,0),'UX Weekly'!$H7:$CT7,"&lt;&gt;"))</f>
        <v>0</v>
      </c>
      <c r="AC7">
        <f>IF($B7="",0,COUNTIFS('UX Weekly'!$H$1:$CT$1,"&gt;="&amp;AC$1,'UX Weekly'!$H$1:$CT$1,"&lt;="&amp;EOMONTH(AC$1,0),'UX Weekly'!$H7:$CT7,"&lt;&gt;"))</f>
        <v>0</v>
      </c>
      <c r="AD7">
        <f>IF($B7="",0,COUNTIFS('UX Weekly'!$H$1:$CT$1,"&gt;="&amp;AD$1,'UX Weekly'!$H$1:$CT$1,"&lt;="&amp;EOMONTH(AD$1,0),'UX Weekly'!$H7:$CT7,"&lt;&gt;"))</f>
        <v>0</v>
      </c>
      <c r="AE7">
        <f>IF($B7="",0,COUNTIFS('UX Weekly'!$H$1:$CT$1,"&gt;="&amp;AE$1,'UX Weekly'!$H$1:$CT$1,"&lt;="&amp;EOMONTH(AE$1,0),'UX Weekly'!$H7:$CT7,"&lt;&gt;"))</f>
        <v>0</v>
      </c>
      <c r="AF7">
        <f>IF($B7="",0,COUNTIFS('UX Weekly'!$H$1:$CT$1,"&gt;="&amp;AF$1,'UX Weekly'!$H$1:$CT$1,"&lt;="&amp;EOMONTH(AF$1,0),'UX Weekly'!$H7:$CT7,"&lt;&gt;"))</f>
        <v>0</v>
      </c>
      <c r="AG7">
        <f>IF($B7="",0,COUNTIFS('UX Weekly'!$H$1:$CT$1,"&gt;="&amp;AG$1,'UX Weekly'!$H$1:$CT$1,"&lt;="&amp;EOMONTH(AG$1,0),'UX Weekly'!$H7:$CT7,"&lt;&gt;"))</f>
        <v>0</v>
      </c>
      <c r="AH7">
        <f>IF($B7="",0,COUNTIFS('UX Weekly'!$H$1:$CT$1,"&gt;="&amp;AH$1,'UX Weekly'!$H$1:$CT$1,"&lt;="&amp;EOMONTH(AH$1,0),'UX Weekly'!$H7:$CT7,"&lt;&gt;"))</f>
        <v>0</v>
      </c>
      <c r="AI7">
        <f>IF($B7="",0,COUNTIFS('UX Weekly'!$H$1:$CT$1,"&gt;="&amp;AI$1,'UX Weekly'!$H$1:$CT$1,"&lt;="&amp;EOMONTH(AI$1,0),'UX Weekly'!$H7:$CT7,"&lt;&gt;"))</f>
        <v>0</v>
      </c>
      <c r="AJ7">
        <f>IF($B7="",0,COUNTIFS('UX Weekly'!$H$1:$CT$1,"&gt;="&amp;AJ$1,'UX Weekly'!$H$1:$CT$1,"&lt;="&amp;EOMONTH(AJ$1,0),'UX Weekly'!$H7:$CT7,"&lt;&gt;"))</f>
        <v>0</v>
      </c>
      <c r="AK7">
        <f>IF($B7="",0,COUNTIFS('UX Weekly'!$H$1:$CT$1,"&gt;="&amp;AK$1,'UX Weekly'!$H$1:$CT$1,"&lt;="&amp;EOMONTH(AK$1,0),'UX Weekly'!$H7:$CT7,"&lt;&gt;"))</f>
        <v>0</v>
      </c>
      <c r="AL7">
        <f>IF($B7="",0,COUNTIFS('UX Weekly'!$H$1:$CT$1,"&gt;="&amp;AL$1,'UX Weekly'!$H$1:$CT$1,"&lt;="&amp;EOMONTH(AL$1,0),'UX Weekly'!$H7:$CT7,"&lt;&gt;"))</f>
        <v>0</v>
      </c>
      <c r="AM7">
        <f>IF($B7="",0,COUNTIFS('UX Weekly'!$H$1:$CT$1,"&gt;="&amp;AM$1,'UX Weekly'!$H$1:$CT$1,"&lt;="&amp;EOMONTH(AM$1,0),'UX Weekly'!$H7:$CT7,"&lt;&gt;"))</f>
        <v>0</v>
      </c>
      <c r="AN7">
        <f>IF($B7="",0,COUNTIFS('UX Weekly'!$H$1:$CT$1,"&gt;="&amp;AN$1,'UX Weekly'!$H$1:$CT$1,"&lt;="&amp;EOMONTH(AN$1,0),'UX Weekly'!$H7:$CT7,"&lt;&gt;"))</f>
        <v>0</v>
      </c>
      <c r="AO7">
        <f>IF($B7="",0,COUNTIFS('UX Weekly'!$H$1:$CT$1,"&gt;="&amp;AO$1,'UX Weekly'!$H$1:$CT$1,"&lt;="&amp;EOMONTH(AO$1,0),'UX Weekly'!$H7:$CT7,"&lt;&gt;"))</f>
        <v>0</v>
      </c>
      <c r="AP7">
        <f>IF($B7="",0,COUNTIFS('UX Weekly'!$H$1:$CT$1,"&gt;="&amp;AP$1,'UX Weekly'!$H$1:$CT$1,"&lt;="&amp;EOMONTH(AP$1,0),'UX Weekly'!$H7:$CT7,"&lt;&gt;"))</f>
        <v>0</v>
      </c>
      <c r="AQ7">
        <f>IF($B7="",0,COUNTIFS('UX Weekly'!$H$1:$CT$1,"&gt;="&amp;AQ$1,'UX Weekly'!$H$1:$CT$1,"&lt;="&amp;EOMONTH(AQ$1,0),'UX Weekly'!$H7:$CT7,"&lt;&gt;"))</f>
        <v>0</v>
      </c>
      <c r="AR7">
        <f>IF($B7="",0,COUNTIFS('UX Weekly'!$H$1:$CT$1,"&gt;="&amp;AR$1,'UX Weekly'!$H$1:$CT$1,"&lt;="&amp;EOMONTH(AR$1,0),'UX Weekly'!$H7:$CT7,"&lt;&gt;"))</f>
        <v>0</v>
      </c>
      <c r="AS7">
        <f>IF($B7="",0,COUNTIFS('UX Weekly'!$H$1:$CT$1,"&gt;="&amp;AS$1,'UX Weekly'!$H$1:$CT$1,"&lt;="&amp;EOMONTH(AS$1,0),'UX Weekly'!$H7:$CT7,"&lt;&gt;"))</f>
        <v>0</v>
      </c>
      <c r="AT7">
        <f>IF($B7="",0,COUNTIFS('UX Weekly'!$H$1:$CT$1,"&gt;="&amp;AT$1,'UX Weekly'!$H$1:$CT$1,"&lt;="&amp;EOMONTH(AT$1,0),'UX Weekly'!$H7:$CT7,"&lt;&gt;"))</f>
        <v>0</v>
      </c>
    </row>
    <row r="8" spans="1:48" x14ac:dyDescent="0.2">
      <c r="A8" s="147">
        <v>8</v>
      </c>
      <c r="B8" s="147" t="str">
        <f>IF(TRIM('UX Weekly'!E8)="","",TRIM('UX Weekly'!E8))</f>
        <v>Sell Used Purchase Look Up</v>
      </c>
      <c r="C8" s="147" t="str">
        <f>IF($B8="","",'UX Weekly'!B8)</f>
        <v>Used</v>
      </c>
      <c r="D8" s="147" t="str">
        <f>IF($B8="","",IF(TRIM('UX Weekly'!C8)="","(No theme assigned)",TRIM('UX Weekly'!C8)))</f>
        <v>Improve Trade In User Flow</v>
      </c>
      <c r="E8" s="147" t="str">
        <f>IF($B8="","",TRIM('UX Weekly'!F8))</f>
        <v>BHP-7236</v>
      </c>
      <c r="F8" s="147" t="str">
        <f>IF($B8="","",'UX Weekly'!G8)</f>
        <v>02. UX Req</v>
      </c>
      <c r="G8" s="148">
        <f t="array" ref="G8">IF($B8="","",IF($S8=0,"",IFERROR(MIN(IF('UX Weekly'!$H8:$CT8&lt;&gt;"",'UX Weekly'!$H$1:$CT$1)),"")))</f>
        <v>46258</v>
      </c>
      <c r="H8" s="148">
        <f t="array" ref="H8">IF($B8="","",IF($S8=0,"",IFERROR(MAX(IF('UX Weekly'!$H8:$CT8&lt;&gt;"",'UX Weekly'!$H$1:$CT$1)),"")))</f>
        <v>46272</v>
      </c>
      <c r="I8" s="149">
        <f t="shared" ca="1" si="0"/>
        <v>46296</v>
      </c>
      <c r="J8" s="149">
        <f t="shared" ca="1" si="1"/>
        <v>46418</v>
      </c>
      <c r="K8" s="147">
        <f>IF($B8="","",IFERROR(MATCH($B8,'Dev Tracker'!$D$2:$D$196,0),IF($E8="","",IFERROR(MATCH($E8,'Dev Tracker'!$E$2:$E$196,0),""))))</f>
        <v>7</v>
      </c>
      <c r="L8" s="147">
        <f>IF($B8="","",IFERROR(MATCH($D8,'Control (Don’t Touch)'!$E$4:$E$30,0),99))</f>
        <v>3</v>
      </c>
      <c r="M8" s="147">
        <f>IF($B8="","",IFERROR(MATCH($F8,'Control (Don’t Touch)'!$B$4:$B$30,0),99))</f>
        <v>4</v>
      </c>
      <c r="N8" s="147">
        <f t="shared" si="2"/>
        <v>3040008</v>
      </c>
      <c r="O8" s="147">
        <f>IF($B8="","",COUNTIF($N$2:$N$204,"&lt;"&amp;$N8)+1)</f>
        <v>16</v>
      </c>
      <c r="P8" s="149">
        <f ca="1">IF($K8="","",IFERROR(DATE(IFERROR(VALUE(RIGHT(TRIM(INDEX('Dev Tracker'!$I$2:$I$196,$K8)),4)),YEAR(TODAY())),MATCH(LEFT(TRIM(INDEX('Dev Tracker'!$I$2:$I$196,$K8)),3),$U$2:$U$12,0),1),""))</f>
        <v>46296</v>
      </c>
      <c r="Q8" s="149">
        <f ca="1">IF($K8="","",IFERROR(DATE(IFERROR(VALUE(RIGHT(TRIM(INDEX('Dev Tracker'!$J$2:$J$196,$K8)),4)),YEAR(TODAY())),MATCH(LEFT(TRIM(INDEX('Dev Tracker'!$J$2:$J$196,$K8)),3),$U$2:$U$12,0),1),""))</f>
        <v>46388</v>
      </c>
      <c r="R8" s="147"/>
      <c r="S8" s="147">
        <f>IF($B8="","",COUNTA('UX Weekly'!$H8:$CT8))</f>
        <v>3</v>
      </c>
      <c r="U8" s="142" t="s">
        <v>822</v>
      </c>
      <c r="W8">
        <f>IF($B8="",0,COUNTIFS('UX Weekly'!$H$1:$CT$1,"&gt;="&amp;W$1,'UX Weekly'!$H$1:$CT$1,"&lt;="&amp;EOMONTH(W$1,0),'UX Weekly'!$H8:$CT8,"&lt;&gt;"))</f>
        <v>0</v>
      </c>
      <c r="X8">
        <f>IF($B8="",0,COUNTIFS('UX Weekly'!$H$1:$CT$1,"&gt;="&amp;X$1,'UX Weekly'!$H$1:$CT$1,"&lt;="&amp;EOMONTH(X$1,0),'UX Weekly'!$H8:$CT8,"&lt;&gt;"))</f>
        <v>0</v>
      </c>
      <c r="Y8">
        <f>IF($B8="",0,COUNTIFS('UX Weekly'!$H$1:$CT$1,"&gt;="&amp;Y$1,'UX Weekly'!$H$1:$CT$1,"&lt;="&amp;EOMONTH(Y$1,0),'UX Weekly'!$H8:$CT8,"&lt;&gt;"))</f>
        <v>0</v>
      </c>
      <c r="Z8">
        <f>IF($B8="",0,COUNTIFS('UX Weekly'!$H$1:$CT$1,"&gt;="&amp;Z$1,'UX Weekly'!$H$1:$CT$1,"&lt;="&amp;EOMONTH(Z$1,0),'UX Weekly'!$H8:$CT8,"&lt;&gt;"))</f>
        <v>0</v>
      </c>
      <c r="AA8">
        <f>IF($B8="",0,COUNTIFS('UX Weekly'!$H$1:$CT$1,"&gt;="&amp;AA$1,'UX Weekly'!$H$1:$CT$1,"&lt;="&amp;EOMONTH(AA$1,0),'UX Weekly'!$H8:$CT8,"&lt;&gt;"))</f>
        <v>0</v>
      </c>
      <c r="AB8">
        <f>IF($B8="",0,COUNTIFS('UX Weekly'!$H$1:$CT$1,"&gt;="&amp;AB$1,'UX Weekly'!$H$1:$CT$1,"&lt;="&amp;EOMONTH(AB$1,0),'UX Weekly'!$H8:$CT8,"&lt;&gt;"))</f>
        <v>0</v>
      </c>
      <c r="AC8">
        <f>IF($B8="",0,COUNTIFS('UX Weekly'!$H$1:$CT$1,"&gt;="&amp;AC$1,'UX Weekly'!$H$1:$CT$1,"&lt;="&amp;EOMONTH(AC$1,0),'UX Weekly'!$H8:$CT8,"&lt;&gt;"))</f>
        <v>0</v>
      </c>
      <c r="AD8">
        <f>IF($B8="",0,COUNTIFS('UX Weekly'!$H$1:$CT$1,"&gt;="&amp;AD$1,'UX Weekly'!$H$1:$CT$1,"&lt;="&amp;EOMONTH(AD$1,0),'UX Weekly'!$H8:$CT8,"&lt;&gt;"))</f>
        <v>2</v>
      </c>
      <c r="AE8">
        <f>IF($B8="",0,COUNTIFS('UX Weekly'!$H$1:$CT$1,"&gt;="&amp;AE$1,'UX Weekly'!$H$1:$CT$1,"&lt;="&amp;EOMONTH(AE$1,0),'UX Weekly'!$H8:$CT8,"&lt;&gt;"))</f>
        <v>1</v>
      </c>
      <c r="AF8">
        <f>IF($B8="",0,COUNTIFS('UX Weekly'!$H$1:$CT$1,"&gt;="&amp;AF$1,'UX Weekly'!$H$1:$CT$1,"&lt;="&amp;EOMONTH(AF$1,0),'UX Weekly'!$H8:$CT8,"&lt;&gt;"))</f>
        <v>0</v>
      </c>
      <c r="AG8">
        <f>IF($B8="",0,COUNTIFS('UX Weekly'!$H$1:$CT$1,"&gt;="&amp;AG$1,'UX Weekly'!$H$1:$CT$1,"&lt;="&amp;EOMONTH(AG$1,0),'UX Weekly'!$H8:$CT8,"&lt;&gt;"))</f>
        <v>0</v>
      </c>
      <c r="AH8">
        <f>IF($B8="",0,COUNTIFS('UX Weekly'!$H$1:$CT$1,"&gt;="&amp;AH$1,'UX Weekly'!$H$1:$CT$1,"&lt;="&amp;EOMONTH(AH$1,0),'UX Weekly'!$H8:$CT8,"&lt;&gt;"))</f>
        <v>0</v>
      </c>
      <c r="AI8">
        <f>IF($B8="",0,COUNTIFS('UX Weekly'!$H$1:$CT$1,"&gt;="&amp;AI$1,'UX Weekly'!$H$1:$CT$1,"&lt;="&amp;EOMONTH(AI$1,0),'UX Weekly'!$H8:$CT8,"&lt;&gt;"))</f>
        <v>0</v>
      </c>
      <c r="AJ8">
        <f>IF($B8="",0,COUNTIFS('UX Weekly'!$H$1:$CT$1,"&gt;="&amp;AJ$1,'UX Weekly'!$H$1:$CT$1,"&lt;="&amp;EOMONTH(AJ$1,0),'UX Weekly'!$H8:$CT8,"&lt;&gt;"))</f>
        <v>0</v>
      </c>
      <c r="AK8">
        <f>IF($B8="",0,COUNTIFS('UX Weekly'!$H$1:$CT$1,"&gt;="&amp;AK$1,'UX Weekly'!$H$1:$CT$1,"&lt;="&amp;EOMONTH(AK$1,0),'UX Weekly'!$H8:$CT8,"&lt;&gt;"))</f>
        <v>0</v>
      </c>
      <c r="AL8">
        <f>IF($B8="",0,COUNTIFS('UX Weekly'!$H$1:$CT$1,"&gt;="&amp;AL$1,'UX Weekly'!$H$1:$CT$1,"&lt;="&amp;EOMONTH(AL$1,0),'UX Weekly'!$H8:$CT8,"&lt;&gt;"))</f>
        <v>0</v>
      </c>
      <c r="AM8">
        <f>IF($B8="",0,COUNTIFS('UX Weekly'!$H$1:$CT$1,"&gt;="&amp;AM$1,'UX Weekly'!$H$1:$CT$1,"&lt;="&amp;EOMONTH(AM$1,0),'UX Weekly'!$H8:$CT8,"&lt;&gt;"))</f>
        <v>0</v>
      </c>
      <c r="AN8">
        <f>IF($B8="",0,COUNTIFS('UX Weekly'!$H$1:$CT$1,"&gt;="&amp;AN$1,'UX Weekly'!$H$1:$CT$1,"&lt;="&amp;EOMONTH(AN$1,0),'UX Weekly'!$H8:$CT8,"&lt;&gt;"))</f>
        <v>0</v>
      </c>
      <c r="AO8">
        <f>IF($B8="",0,COUNTIFS('UX Weekly'!$H$1:$CT$1,"&gt;="&amp;AO$1,'UX Weekly'!$H$1:$CT$1,"&lt;="&amp;EOMONTH(AO$1,0),'UX Weekly'!$H8:$CT8,"&lt;&gt;"))</f>
        <v>0</v>
      </c>
      <c r="AP8">
        <f>IF($B8="",0,COUNTIFS('UX Weekly'!$H$1:$CT$1,"&gt;="&amp;AP$1,'UX Weekly'!$H$1:$CT$1,"&lt;="&amp;EOMONTH(AP$1,0),'UX Weekly'!$H8:$CT8,"&lt;&gt;"))</f>
        <v>0</v>
      </c>
      <c r="AQ8">
        <f>IF($B8="",0,COUNTIFS('UX Weekly'!$H$1:$CT$1,"&gt;="&amp;AQ$1,'UX Weekly'!$H$1:$CT$1,"&lt;="&amp;EOMONTH(AQ$1,0),'UX Weekly'!$H8:$CT8,"&lt;&gt;"))</f>
        <v>0</v>
      </c>
      <c r="AR8">
        <f>IF($B8="",0,COUNTIFS('UX Weekly'!$H$1:$CT$1,"&gt;="&amp;AR$1,'UX Weekly'!$H$1:$CT$1,"&lt;="&amp;EOMONTH(AR$1,0),'UX Weekly'!$H8:$CT8,"&lt;&gt;"))</f>
        <v>0</v>
      </c>
      <c r="AS8">
        <f>IF($B8="",0,COUNTIFS('UX Weekly'!$H$1:$CT$1,"&gt;="&amp;AS$1,'UX Weekly'!$H$1:$CT$1,"&lt;="&amp;EOMONTH(AS$1,0),'UX Weekly'!$H8:$CT8,"&lt;&gt;"))</f>
        <v>0</v>
      </c>
      <c r="AT8">
        <f>IF($B8="",0,COUNTIFS('UX Weekly'!$H$1:$CT$1,"&gt;="&amp;AT$1,'UX Weekly'!$H$1:$CT$1,"&lt;="&amp;EOMONTH(AT$1,0),'UX Weekly'!$H8:$CT8,"&lt;&gt;"))</f>
        <v>0</v>
      </c>
    </row>
    <row r="9" spans="1:48" x14ac:dyDescent="0.2">
      <c r="A9" s="147">
        <v>9</v>
      </c>
      <c r="B9" s="147" t="str">
        <f>IF(TRIM('UX Weekly'!E9)="","",TRIM('UX Weekly'!E9))</f>
        <v>Used Activity Notification</v>
      </c>
      <c r="C9" s="147" t="str">
        <f>IF($B9="","",'UX Weekly'!B9)</f>
        <v>Used</v>
      </c>
      <c r="D9" s="147" t="str">
        <f>IF($B9="","",IF(TRIM('UX Weekly'!C9)="","(No theme assigned)",TRIM('UX Weekly'!C9)))</f>
        <v>Increase Trade In Awareness</v>
      </c>
      <c r="E9" s="147" t="str">
        <f>IF($B9="","",TRIM('UX Weekly'!F9))</f>
        <v>BHP-7237</v>
      </c>
      <c r="F9" s="147" t="str">
        <f>IF($B9="","",'UX Weekly'!G9)</f>
        <v>02. UX Req</v>
      </c>
      <c r="G9" s="148">
        <f t="array" ref="G9">IF($B9="","",IF($S9=0,"",IFERROR(MIN(IF('UX Weekly'!$H9:$CT9&lt;&gt;"",'UX Weekly'!$H$1:$CT$1)),"")))</f>
        <v>46279</v>
      </c>
      <c r="H9" s="148">
        <f t="array" ref="H9">IF($B9="","",IF($S9=0,"",IFERROR(MAX(IF('UX Weekly'!$H9:$CT9&lt;&gt;"",'UX Weekly'!$H$1:$CT$1)),"")))</f>
        <v>46293</v>
      </c>
      <c r="I9" s="149">
        <f t="shared" ca="1" si="0"/>
        <v>46327</v>
      </c>
      <c r="J9" s="149">
        <f t="shared" ca="1" si="1"/>
        <v>46418</v>
      </c>
      <c r="K9" s="147">
        <f>IF($B9="","",IFERROR(MATCH($B9,'Dev Tracker'!$D$2:$D$196,0),IF($E9="","",IFERROR(MATCH($E9,'Dev Tracker'!$E$2:$E$196,0),""))))</f>
        <v>8</v>
      </c>
      <c r="L9" s="147">
        <f>IF($B9="","",IFERROR(MATCH($D9,'Control (Don’t Touch)'!$E$4:$E$30,0),99))</f>
        <v>2</v>
      </c>
      <c r="M9" s="147">
        <f>IF($B9="","",IFERROR(MATCH($F9,'Control (Don’t Touch)'!$B$4:$B$30,0),99))</f>
        <v>4</v>
      </c>
      <c r="N9" s="147">
        <f t="shared" si="2"/>
        <v>2040009</v>
      </c>
      <c r="O9" s="147">
        <f>IF($B9="","",COUNTIF($N$2:$N$204,"&lt;"&amp;$N9)+1)</f>
        <v>12</v>
      </c>
      <c r="P9" s="149">
        <f ca="1">IF($K9="","",IFERROR(DATE(IFERROR(VALUE(RIGHT(TRIM(INDEX('Dev Tracker'!$I$2:$I$196,$K9)),4)),YEAR(TODAY())),MATCH(LEFT(TRIM(INDEX('Dev Tracker'!$I$2:$I$196,$K9)),3),$U$2:$U$12,0),1),""))</f>
        <v>46327</v>
      </c>
      <c r="Q9" s="149">
        <f ca="1">IF($K9="","",IFERROR(DATE(IFERROR(VALUE(RIGHT(TRIM(INDEX('Dev Tracker'!$J$2:$J$196,$K9)),4)),YEAR(TODAY())),MATCH(LEFT(TRIM(INDEX('Dev Tracker'!$J$2:$J$196,$K9)),3),$U$2:$U$12,0),1),""))</f>
        <v>46388</v>
      </c>
      <c r="R9" s="147"/>
      <c r="S9" s="147">
        <f>IF($B9="","",COUNTA('UX Weekly'!$H9:$CT9))</f>
        <v>3</v>
      </c>
      <c r="U9" s="142" t="s">
        <v>823</v>
      </c>
      <c r="W9">
        <f>IF($B9="",0,COUNTIFS('UX Weekly'!$H$1:$CT$1,"&gt;="&amp;W$1,'UX Weekly'!$H$1:$CT$1,"&lt;="&amp;EOMONTH(W$1,0),'UX Weekly'!$H9:$CT9,"&lt;&gt;"))</f>
        <v>0</v>
      </c>
      <c r="X9">
        <f>IF($B9="",0,COUNTIFS('UX Weekly'!$H$1:$CT$1,"&gt;="&amp;X$1,'UX Weekly'!$H$1:$CT$1,"&lt;="&amp;EOMONTH(X$1,0),'UX Weekly'!$H9:$CT9,"&lt;&gt;"))</f>
        <v>0</v>
      </c>
      <c r="Y9">
        <f>IF($B9="",0,COUNTIFS('UX Weekly'!$H$1:$CT$1,"&gt;="&amp;Y$1,'UX Weekly'!$H$1:$CT$1,"&lt;="&amp;EOMONTH(Y$1,0),'UX Weekly'!$H9:$CT9,"&lt;&gt;"))</f>
        <v>0</v>
      </c>
      <c r="Z9">
        <f>IF($B9="",0,COUNTIFS('UX Weekly'!$H$1:$CT$1,"&gt;="&amp;Z$1,'UX Weekly'!$H$1:$CT$1,"&lt;="&amp;EOMONTH(Z$1,0),'UX Weekly'!$H9:$CT9,"&lt;&gt;"))</f>
        <v>0</v>
      </c>
      <c r="AA9">
        <f>IF($B9="",0,COUNTIFS('UX Weekly'!$H$1:$CT$1,"&gt;="&amp;AA$1,'UX Weekly'!$H$1:$CT$1,"&lt;="&amp;EOMONTH(AA$1,0),'UX Weekly'!$H9:$CT9,"&lt;&gt;"))</f>
        <v>0</v>
      </c>
      <c r="AB9">
        <f>IF($B9="",0,COUNTIFS('UX Weekly'!$H$1:$CT$1,"&gt;="&amp;AB$1,'UX Weekly'!$H$1:$CT$1,"&lt;="&amp;EOMONTH(AB$1,0),'UX Weekly'!$H9:$CT9,"&lt;&gt;"))</f>
        <v>0</v>
      </c>
      <c r="AC9">
        <f>IF($B9="",0,COUNTIFS('UX Weekly'!$H$1:$CT$1,"&gt;="&amp;AC$1,'UX Weekly'!$H$1:$CT$1,"&lt;="&amp;EOMONTH(AC$1,0),'UX Weekly'!$H9:$CT9,"&lt;&gt;"))</f>
        <v>0</v>
      </c>
      <c r="AD9">
        <f>IF($B9="",0,COUNTIFS('UX Weekly'!$H$1:$CT$1,"&gt;="&amp;AD$1,'UX Weekly'!$H$1:$CT$1,"&lt;="&amp;EOMONTH(AD$1,0),'UX Weekly'!$H9:$CT9,"&lt;&gt;"))</f>
        <v>0</v>
      </c>
      <c r="AE9">
        <f>IF($B9="",0,COUNTIFS('UX Weekly'!$H$1:$CT$1,"&gt;="&amp;AE$1,'UX Weekly'!$H$1:$CT$1,"&lt;="&amp;EOMONTH(AE$1,0),'UX Weekly'!$H9:$CT9,"&lt;&gt;"))</f>
        <v>3</v>
      </c>
      <c r="AF9">
        <f>IF($B9="",0,COUNTIFS('UX Weekly'!$H$1:$CT$1,"&gt;="&amp;AF$1,'UX Weekly'!$H$1:$CT$1,"&lt;="&amp;EOMONTH(AF$1,0),'UX Weekly'!$H9:$CT9,"&lt;&gt;"))</f>
        <v>0</v>
      </c>
      <c r="AG9">
        <f>IF($B9="",0,COUNTIFS('UX Weekly'!$H$1:$CT$1,"&gt;="&amp;AG$1,'UX Weekly'!$H$1:$CT$1,"&lt;="&amp;EOMONTH(AG$1,0),'UX Weekly'!$H9:$CT9,"&lt;&gt;"))</f>
        <v>0</v>
      </c>
      <c r="AH9">
        <f>IF($B9="",0,COUNTIFS('UX Weekly'!$H$1:$CT$1,"&gt;="&amp;AH$1,'UX Weekly'!$H$1:$CT$1,"&lt;="&amp;EOMONTH(AH$1,0),'UX Weekly'!$H9:$CT9,"&lt;&gt;"))</f>
        <v>0</v>
      </c>
      <c r="AI9">
        <f>IF($B9="",0,COUNTIFS('UX Weekly'!$H$1:$CT$1,"&gt;="&amp;AI$1,'UX Weekly'!$H$1:$CT$1,"&lt;="&amp;EOMONTH(AI$1,0),'UX Weekly'!$H9:$CT9,"&lt;&gt;"))</f>
        <v>0</v>
      </c>
      <c r="AJ9">
        <f>IF($B9="",0,COUNTIFS('UX Weekly'!$H$1:$CT$1,"&gt;="&amp;AJ$1,'UX Weekly'!$H$1:$CT$1,"&lt;="&amp;EOMONTH(AJ$1,0),'UX Weekly'!$H9:$CT9,"&lt;&gt;"))</f>
        <v>0</v>
      </c>
      <c r="AK9">
        <f>IF($B9="",0,COUNTIFS('UX Weekly'!$H$1:$CT$1,"&gt;="&amp;AK$1,'UX Weekly'!$H$1:$CT$1,"&lt;="&amp;EOMONTH(AK$1,0),'UX Weekly'!$H9:$CT9,"&lt;&gt;"))</f>
        <v>0</v>
      </c>
      <c r="AL9">
        <f>IF($B9="",0,COUNTIFS('UX Weekly'!$H$1:$CT$1,"&gt;="&amp;AL$1,'UX Weekly'!$H$1:$CT$1,"&lt;="&amp;EOMONTH(AL$1,0),'UX Weekly'!$H9:$CT9,"&lt;&gt;"))</f>
        <v>0</v>
      </c>
      <c r="AM9">
        <f>IF($B9="",0,COUNTIFS('UX Weekly'!$H$1:$CT$1,"&gt;="&amp;AM$1,'UX Weekly'!$H$1:$CT$1,"&lt;="&amp;EOMONTH(AM$1,0),'UX Weekly'!$H9:$CT9,"&lt;&gt;"))</f>
        <v>0</v>
      </c>
      <c r="AN9">
        <f>IF($B9="",0,COUNTIFS('UX Weekly'!$H$1:$CT$1,"&gt;="&amp;AN$1,'UX Weekly'!$H$1:$CT$1,"&lt;="&amp;EOMONTH(AN$1,0),'UX Weekly'!$H9:$CT9,"&lt;&gt;"))</f>
        <v>0</v>
      </c>
      <c r="AO9">
        <f>IF($B9="",0,COUNTIFS('UX Weekly'!$H$1:$CT$1,"&gt;="&amp;AO$1,'UX Weekly'!$H$1:$CT$1,"&lt;="&amp;EOMONTH(AO$1,0),'UX Weekly'!$H9:$CT9,"&lt;&gt;"))</f>
        <v>0</v>
      </c>
      <c r="AP9">
        <f>IF($B9="",0,COUNTIFS('UX Weekly'!$H$1:$CT$1,"&gt;="&amp;AP$1,'UX Weekly'!$H$1:$CT$1,"&lt;="&amp;EOMONTH(AP$1,0),'UX Weekly'!$H9:$CT9,"&lt;&gt;"))</f>
        <v>0</v>
      </c>
      <c r="AQ9">
        <f>IF($B9="",0,COUNTIFS('UX Weekly'!$H$1:$CT$1,"&gt;="&amp;AQ$1,'UX Weekly'!$H$1:$CT$1,"&lt;="&amp;EOMONTH(AQ$1,0),'UX Weekly'!$H9:$CT9,"&lt;&gt;"))</f>
        <v>0</v>
      </c>
      <c r="AR9">
        <f>IF($B9="",0,COUNTIFS('UX Weekly'!$H$1:$CT$1,"&gt;="&amp;AR$1,'UX Weekly'!$H$1:$CT$1,"&lt;="&amp;EOMONTH(AR$1,0),'UX Weekly'!$H9:$CT9,"&lt;&gt;"))</f>
        <v>0</v>
      </c>
      <c r="AS9">
        <f>IF($B9="",0,COUNTIFS('UX Weekly'!$H$1:$CT$1,"&gt;="&amp;AS$1,'UX Weekly'!$H$1:$CT$1,"&lt;="&amp;EOMONTH(AS$1,0),'UX Weekly'!$H9:$CT9,"&lt;&gt;"))</f>
        <v>0</v>
      </c>
      <c r="AT9">
        <f>IF($B9="",0,COUNTIFS('UX Weekly'!$H$1:$CT$1,"&gt;="&amp;AT$1,'UX Weekly'!$H$1:$CT$1,"&lt;="&amp;EOMONTH(AT$1,0),'UX Weekly'!$H9:$CT9,"&lt;&gt;"))</f>
        <v>0</v>
      </c>
    </row>
    <row r="10" spans="1:48" x14ac:dyDescent="0.2">
      <c r="A10" s="147">
        <v>10</v>
      </c>
      <c r="B10" s="147" t="str">
        <f>IF(TRIM('UX Weekly'!E10)="","",TRIM('UX Weekly'!E10))</f>
        <v>The Studio - Enhanced Landing Page</v>
      </c>
      <c r="C10" s="147" t="str">
        <f>IF($B10="","",'UX Weekly'!B10)</f>
        <v>B2B</v>
      </c>
      <c r="D10" s="147" t="str">
        <f>IF($B10="","",IF(TRIM('UX Weekly'!C10)="","(No theme assigned)",TRIM('UX Weekly'!C10)))</f>
        <v>Improve The Studio B&amp;H Customer Experience</v>
      </c>
      <c r="E10" s="147" t="str">
        <f>IF($B10="","",TRIM('UX Weekly'!F10))</f>
        <v>BHP-6444</v>
      </c>
      <c r="F10" s="147" t="str">
        <f>IF($B10="","",'UX Weekly'!G10)</f>
        <v>02. UX Req</v>
      </c>
      <c r="G10" s="148">
        <f t="array" ref="G10">IF($B10="","",IF($S10=0,"",IFERROR(MIN(IF('UX Weekly'!$H10:$CT10&lt;&gt;"",'UX Weekly'!$H$1:$CT$1)),"")))</f>
        <v>46272</v>
      </c>
      <c r="H10" s="148">
        <f t="array" ref="H10">IF($B10="","",IF($S10=0,"",IFERROR(MAX(IF('UX Weekly'!$H10:$CT10&lt;&gt;"",'UX Weekly'!$H$1:$CT$1)),"")))</f>
        <v>46286</v>
      </c>
      <c r="I10" s="149">
        <f t="shared" ca="1" si="0"/>
        <v>46388</v>
      </c>
      <c r="J10" s="149">
        <f t="shared" ca="1" si="1"/>
        <v>46418</v>
      </c>
      <c r="K10" s="147">
        <f>IF($B10="","",IFERROR(MATCH($B10,'Dev Tracker'!$D$2:$D$196,0),IF($E10="","",IFERROR(MATCH($E10,'Dev Tracker'!$E$2:$E$196,0),""))))</f>
        <v>9</v>
      </c>
      <c r="L10" s="147">
        <f>IF($B10="","",IFERROR(MATCH($D10,'Control (Don’t Touch)'!$E$4:$E$30,0),99))</f>
        <v>10</v>
      </c>
      <c r="M10" s="147">
        <f>IF($B10="","",IFERROR(MATCH($F10,'Control (Don’t Touch)'!$B$4:$B$30,0),99))</f>
        <v>4</v>
      </c>
      <c r="N10" s="147">
        <f t="shared" si="2"/>
        <v>10040010</v>
      </c>
      <c r="O10" s="147">
        <f>IF($B10="","",COUNTIF($N$2:$N$204,"&lt;"&amp;$N10)+1)</f>
        <v>45</v>
      </c>
      <c r="P10" s="149">
        <f ca="1">IF($K10="","",IFERROR(DATE(IFERROR(VALUE(RIGHT(TRIM(INDEX('Dev Tracker'!$I$2:$I$196,$K10)),4)),YEAR(TODAY())),MATCH(LEFT(TRIM(INDEX('Dev Tracker'!$I$2:$I$196,$K10)),3),$U$2:$U$12,0),1),""))</f>
        <v>46388</v>
      </c>
      <c r="Q10" s="149">
        <f ca="1">IF($K10="","",IFERROR(DATE(IFERROR(VALUE(RIGHT(TRIM(INDEX('Dev Tracker'!$J$2:$J$196,$K10)),4)),YEAR(TODAY())),MATCH(LEFT(TRIM(INDEX('Dev Tracker'!$J$2:$J$196,$K10)),3),$U$2:$U$12,0),1),""))</f>
        <v>46388</v>
      </c>
      <c r="R10" s="147"/>
      <c r="S10" s="147">
        <f>IF($B10="","",COUNTA('UX Weekly'!$H10:$CT10))</f>
        <v>3</v>
      </c>
      <c r="U10" s="142" t="s">
        <v>824</v>
      </c>
      <c r="W10">
        <f>IF($B10="",0,COUNTIFS('UX Weekly'!$H$1:$CT$1,"&gt;="&amp;W$1,'UX Weekly'!$H$1:$CT$1,"&lt;="&amp;EOMONTH(W$1,0),'UX Weekly'!$H10:$CT10,"&lt;&gt;"))</f>
        <v>0</v>
      </c>
      <c r="X10">
        <f>IF($B10="",0,COUNTIFS('UX Weekly'!$H$1:$CT$1,"&gt;="&amp;X$1,'UX Weekly'!$H$1:$CT$1,"&lt;="&amp;EOMONTH(X$1,0),'UX Weekly'!$H10:$CT10,"&lt;&gt;"))</f>
        <v>0</v>
      </c>
      <c r="Y10">
        <f>IF($B10="",0,COUNTIFS('UX Weekly'!$H$1:$CT$1,"&gt;="&amp;Y$1,'UX Weekly'!$H$1:$CT$1,"&lt;="&amp;EOMONTH(Y$1,0),'UX Weekly'!$H10:$CT10,"&lt;&gt;"))</f>
        <v>0</v>
      </c>
      <c r="Z10">
        <f>IF($B10="",0,COUNTIFS('UX Weekly'!$H$1:$CT$1,"&gt;="&amp;Z$1,'UX Weekly'!$H$1:$CT$1,"&lt;="&amp;EOMONTH(Z$1,0),'UX Weekly'!$H10:$CT10,"&lt;&gt;"))</f>
        <v>0</v>
      </c>
      <c r="AA10">
        <f>IF($B10="",0,COUNTIFS('UX Weekly'!$H$1:$CT$1,"&gt;="&amp;AA$1,'UX Weekly'!$H$1:$CT$1,"&lt;="&amp;EOMONTH(AA$1,0),'UX Weekly'!$H10:$CT10,"&lt;&gt;"))</f>
        <v>0</v>
      </c>
      <c r="AB10">
        <f>IF($B10="",0,COUNTIFS('UX Weekly'!$H$1:$CT$1,"&gt;="&amp;AB$1,'UX Weekly'!$H$1:$CT$1,"&lt;="&amp;EOMONTH(AB$1,0),'UX Weekly'!$H10:$CT10,"&lt;&gt;"))</f>
        <v>0</v>
      </c>
      <c r="AC10">
        <f>IF($B10="",0,COUNTIFS('UX Weekly'!$H$1:$CT$1,"&gt;="&amp;AC$1,'UX Weekly'!$H$1:$CT$1,"&lt;="&amp;EOMONTH(AC$1,0),'UX Weekly'!$H10:$CT10,"&lt;&gt;"))</f>
        <v>0</v>
      </c>
      <c r="AD10">
        <f>IF($B10="",0,COUNTIFS('UX Weekly'!$H$1:$CT$1,"&gt;="&amp;AD$1,'UX Weekly'!$H$1:$CT$1,"&lt;="&amp;EOMONTH(AD$1,0),'UX Weekly'!$H10:$CT10,"&lt;&gt;"))</f>
        <v>0</v>
      </c>
      <c r="AE10">
        <f>IF($B10="",0,COUNTIFS('UX Weekly'!$H$1:$CT$1,"&gt;="&amp;AE$1,'UX Weekly'!$H$1:$CT$1,"&lt;="&amp;EOMONTH(AE$1,0),'UX Weekly'!$H10:$CT10,"&lt;&gt;"))</f>
        <v>3</v>
      </c>
      <c r="AF10">
        <f>IF($B10="",0,COUNTIFS('UX Weekly'!$H$1:$CT$1,"&gt;="&amp;AF$1,'UX Weekly'!$H$1:$CT$1,"&lt;="&amp;EOMONTH(AF$1,0),'UX Weekly'!$H10:$CT10,"&lt;&gt;"))</f>
        <v>0</v>
      </c>
      <c r="AG10">
        <f>IF($B10="",0,COUNTIFS('UX Weekly'!$H$1:$CT$1,"&gt;="&amp;AG$1,'UX Weekly'!$H$1:$CT$1,"&lt;="&amp;EOMONTH(AG$1,0),'UX Weekly'!$H10:$CT10,"&lt;&gt;"))</f>
        <v>0</v>
      </c>
      <c r="AH10">
        <f>IF($B10="",0,COUNTIFS('UX Weekly'!$H$1:$CT$1,"&gt;="&amp;AH$1,'UX Weekly'!$H$1:$CT$1,"&lt;="&amp;EOMONTH(AH$1,0),'UX Weekly'!$H10:$CT10,"&lt;&gt;"))</f>
        <v>0</v>
      </c>
      <c r="AI10">
        <f>IF($B10="",0,COUNTIFS('UX Weekly'!$H$1:$CT$1,"&gt;="&amp;AI$1,'UX Weekly'!$H$1:$CT$1,"&lt;="&amp;EOMONTH(AI$1,0),'UX Weekly'!$H10:$CT10,"&lt;&gt;"))</f>
        <v>0</v>
      </c>
      <c r="AJ10">
        <f>IF($B10="",0,COUNTIFS('UX Weekly'!$H$1:$CT$1,"&gt;="&amp;AJ$1,'UX Weekly'!$H$1:$CT$1,"&lt;="&amp;EOMONTH(AJ$1,0),'UX Weekly'!$H10:$CT10,"&lt;&gt;"))</f>
        <v>0</v>
      </c>
      <c r="AK10">
        <f>IF($B10="",0,COUNTIFS('UX Weekly'!$H$1:$CT$1,"&gt;="&amp;AK$1,'UX Weekly'!$H$1:$CT$1,"&lt;="&amp;EOMONTH(AK$1,0),'UX Weekly'!$H10:$CT10,"&lt;&gt;"))</f>
        <v>0</v>
      </c>
      <c r="AL10">
        <f>IF($B10="",0,COUNTIFS('UX Weekly'!$H$1:$CT$1,"&gt;="&amp;AL$1,'UX Weekly'!$H$1:$CT$1,"&lt;="&amp;EOMONTH(AL$1,0),'UX Weekly'!$H10:$CT10,"&lt;&gt;"))</f>
        <v>0</v>
      </c>
      <c r="AM10">
        <f>IF($B10="",0,COUNTIFS('UX Weekly'!$H$1:$CT$1,"&gt;="&amp;AM$1,'UX Weekly'!$H$1:$CT$1,"&lt;="&amp;EOMONTH(AM$1,0),'UX Weekly'!$H10:$CT10,"&lt;&gt;"))</f>
        <v>0</v>
      </c>
      <c r="AN10">
        <f>IF($B10="",0,COUNTIFS('UX Weekly'!$H$1:$CT$1,"&gt;="&amp;AN$1,'UX Weekly'!$H$1:$CT$1,"&lt;="&amp;EOMONTH(AN$1,0),'UX Weekly'!$H10:$CT10,"&lt;&gt;"))</f>
        <v>0</v>
      </c>
      <c r="AO10">
        <f>IF($B10="",0,COUNTIFS('UX Weekly'!$H$1:$CT$1,"&gt;="&amp;AO$1,'UX Weekly'!$H$1:$CT$1,"&lt;="&amp;EOMONTH(AO$1,0),'UX Weekly'!$H10:$CT10,"&lt;&gt;"))</f>
        <v>0</v>
      </c>
      <c r="AP10">
        <f>IF($B10="",0,COUNTIFS('UX Weekly'!$H$1:$CT$1,"&gt;="&amp;AP$1,'UX Weekly'!$H$1:$CT$1,"&lt;="&amp;EOMONTH(AP$1,0),'UX Weekly'!$H10:$CT10,"&lt;&gt;"))</f>
        <v>0</v>
      </c>
      <c r="AQ10">
        <f>IF($B10="",0,COUNTIFS('UX Weekly'!$H$1:$CT$1,"&gt;="&amp;AQ$1,'UX Weekly'!$H$1:$CT$1,"&lt;="&amp;EOMONTH(AQ$1,0),'UX Weekly'!$H10:$CT10,"&lt;&gt;"))</f>
        <v>0</v>
      </c>
      <c r="AR10">
        <f>IF($B10="",0,COUNTIFS('UX Weekly'!$H$1:$CT$1,"&gt;="&amp;AR$1,'UX Weekly'!$H$1:$CT$1,"&lt;="&amp;EOMONTH(AR$1,0),'UX Weekly'!$H10:$CT10,"&lt;&gt;"))</f>
        <v>0</v>
      </c>
      <c r="AS10">
        <f>IF($B10="",0,COUNTIFS('UX Weekly'!$H$1:$CT$1,"&gt;="&amp;AS$1,'UX Weekly'!$H$1:$CT$1,"&lt;="&amp;EOMONTH(AS$1,0),'UX Weekly'!$H10:$CT10,"&lt;&gt;"))</f>
        <v>0</v>
      </c>
      <c r="AT10">
        <f>IF($B10="",0,COUNTIFS('UX Weekly'!$H$1:$CT$1,"&gt;="&amp;AT$1,'UX Weekly'!$H$1:$CT$1,"&lt;="&amp;EOMONTH(AT$1,0),'UX Weekly'!$H10:$CT10,"&lt;&gt;"))</f>
        <v>0</v>
      </c>
    </row>
    <row r="11" spans="1:48" x14ac:dyDescent="0.2">
      <c r="A11" s="147">
        <v>12</v>
      </c>
      <c r="B11" s="147" t="str">
        <f>IF(TRIM('UX Weekly'!E11)="","",TRIM('UX Weekly'!E11))</f>
        <v>Used Hub - Just Added Component</v>
      </c>
      <c r="C11" s="147" t="str">
        <f>IF($B11="","",'UX Weekly'!B11)</f>
        <v>Used</v>
      </c>
      <c r="D11" s="147" t="str">
        <f>IF($B11="","",IF(TRIM('UX Weekly'!C11)="","(No theme assigned)",TRIM('UX Weekly'!C11)))</f>
        <v>Increase Buy Used Awareness</v>
      </c>
      <c r="E11" s="147" t="str">
        <f>IF($B11="","",TRIM('UX Weekly'!F11))</f>
        <v>BHP-7229</v>
      </c>
      <c r="F11" s="147" t="str">
        <f>IF($B11="","",'UX Weekly'!G11)</f>
        <v>02. UX Req</v>
      </c>
      <c r="G11" s="148">
        <f t="array" ref="G11">IF($B11="","",IF($S11=0,"",IFERROR(MIN(IF('UX Weekly'!$H11:$CT11&lt;&gt;"",'UX Weekly'!$H$1:$CT$1)),"")))</f>
        <v>46244</v>
      </c>
      <c r="H11" s="148">
        <f t="array" ref="H11">IF($B11="","",IF($S11=0,"",IFERROR(MAX(IF('UX Weekly'!$H11:$CT11&lt;&gt;"",'UX Weekly'!$H$1:$CT$1)),"")))</f>
        <v>46279</v>
      </c>
      <c r="I11" s="149">
        <f t="shared" ca="1" si="0"/>
        <v>46419</v>
      </c>
      <c r="J11" s="149">
        <f t="shared" ca="1" si="1"/>
        <v>46446</v>
      </c>
      <c r="K11" s="147">
        <f>IF($B11="","",IFERROR(MATCH($B11,'Dev Tracker'!$D$2:$D$196,0),IF($E11="","",IFERROR(MATCH($E11,'Dev Tracker'!$E$2:$E$196,0),""))))</f>
        <v>10</v>
      </c>
      <c r="L11" s="147">
        <f>IF($B11="","",IFERROR(MATCH($D11,'Control (Don’t Touch)'!$E$4:$E$30,0),99))</f>
        <v>5</v>
      </c>
      <c r="M11" s="147">
        <f>IF($B11="","",IFERROR(MATCH($F11,'Control (Don’t Touch)'!$B$4:$B$30,0),99))</f>
        <v>4</v>
      </c>
      <c r="N11" s="147">
        <f t="shared" si="2"/>
        <v>5040011</v>
      </c>
      <c r="O11" s="147">
        <f>IF($B11="","",COUNTIF($N$2:$N$204,"&lt;"&amp;$N11)+1)</f>
        <v>22</v>
      </c>
      <c r="P11" s="149">
        <f ca="1">IF($K11="","",IFERROR(DATE(IFERROR(VALUE(RIGHT(TRIM(INDEX('Dev Tracker'!$I$2:$I$196,$K11)),4)),YEAR(TODAY())),MATCH(LEFT(TRIM(INDEX('Dev Tracker'!$I$2:$I$196,$K11)),3),$U$2:$U$12,0),1),""))</f>
        <v>46419</v>
      </c>
      <c r="Q11" s="149">
        <f ca="1">IF($K11="","",IFERROR(DATE(IFERROR(VALUE(RIGHT(TRIM(INDEX('Dev Tracker'!$J$2:$J$196,$K11)),4)),YEAR(TODAY())),MATCH(LEFT(TRIM(INDEX('Dev Tracker'!$J$2:$J$196,$K11)),3),$U$2:$U$12,0),1),""))</f>
        <v>46419</v>
      </c>
      <c r="R11" s="147"/>
      <c r="S11" s="147">
        <f>IF($B11="","",COUNTA('UX Weekly'!$H11:$CT11))</f>
        <v>3</v>
      </c>
      <c r="U11" s="142" t="s">
        <v>159</v>
      </c>
      <c r="W11">
        <f>IF($B11="",0,COUNTIFS('UX Weekly'!$H$1:$CT$1,"&gt;="&amp;W$1,'UX Weekly'!$H$1:$CT$1,"&lt;="&amp;EOMONTH(W$1,0),'UX Weekly'!$H11:$CT11,"&lt;&gt;"))</f>
        <v>0</v>
      </c>
      <c r="X11">
        <f>IF($B11="",0,COUNTIFS('UX Weekly'!$H$1:$CT$1,"&gt;="&amp;X$1,'UX Weekly'!$H$1:$CT$1,"&lt;="&amp;EOMONTH(X$1,0),'UX Weekly'!$H11:$CT11,"&lt;&gt;"))</f>
        <v>0</v>
      </c>
      <c r="Y11">
        <f>IF($B11="",0,COUNTIFS('UX Weekly'!$H$1:$CT$1,"&gt;="&amp;Y$1,'UX Weekly'!$H$1:$CT$1,"&lt;="&amp;EOMONTH(Y$1,0),'UX Weekly'!$H11:$CT11,"&lt;&gt;"))</f>
        <v>0</v>
      </c>
      <c r="Z11">
        <f>IF($B11="",0,COUNTIFS('UX Weekly'!$H$1:$CT$1,"&gt;="&amp;Z$1,'UX Weekly'!$H$1:$CT$1,"&lt;="&amp;EOMONTH(Z$1,0),'UX Weekly'!$H11:$CT11,"&lt;&gt;"))</f>
        <v>0</v>
      </c>
      <c r="AA11">
        <f>IF($B11="",0,COUNTIFS('UX Weekly'!$H$1:$CT$1,"&gt;="&amp;AA$1,'UX Weekly'!$H$1:$CT$1,"&lt;="&amp;EOMONTH(AA$1,0),'UX Weekly'!$H11:$CT11,"&lt;&gt;"))</f>
        <v>0</v>
      </c>
      <c r="AB11">
        <f>IF($B11="",0,COUNTIFS('UX Weekly'!$H$1:$CT$1,"&gt;="&amp;AB$1,'UX Weekly'!$H$1:$CT$1,"&lt;="&amp;EOMONTH(AB$1,0),'UX Weekly'!$H11:$CT11,"&lt;&gt;"))</f>
        <v>0</v>
      </c>
      <c r="AC11">
        <f>IF($B11="",0,COUNTIFS('UX Weekly'!$H$1:$CT$1,"&gt;="&amp;AC$1,'UX Weekly'!$H$1:$CT$1,"&lt;="&amp;EOMONTH(AC$1,0),'UX Weekly'!$H11:$CT11,"&lt;&gt;"))</f>
        <v>0</v>
      </c>
      <c r="AD11">
        <f>IF($B11="",0,COUNTIFS('UX Weekly'!$H$1:$CT$1,"&gt;="&amp;AD$1,'UX Weekly'!$H$1:$CT$1,"&lt;="&amp;EOMONTH(AD$1,0),'UX Weekly'!$H11:$CT11,"&lt;&gt;"))</f>
        <v>1</v>
      </c>
      <c r="AE11">
        <f>IF($B11="",0,COUNTIFS('UX Weekly'!$H$1:$CT$1,"&gt;="&amp;AE$1,'UX Weekly'!$H$1:$CT$1,"&lt;="&amp;EOMONTH(AE$1,0),'UX Weekly'!$H11:$CT11,"&lt;&gt;"))</f>
        <v>2</v>
      </c>
      <c r="AF11">
        <f>IF($B11="",0,COUNTIFS('UX Weekly'!$H$1:$CT$1,"&gt;="&amp;AF$1,'UX Weekly'!$H$1:$CT$1,"&lt;="&amp;EOMONTH(AF$1,0),'UX Weekly'!$H11:$CT11,"&lt;&gt;"))</f>
        <v>0</v>
      </c>
      <c r="AG11">
        <f>IF($B11="",0,COUNTIFS('UX Weekly'!$H$1:$CT$1,"&gt;="&amp;AG$1,'UX Weekly'!$H$1:$CT$1,"&lt;="&amp;EOMONTH(AG$1,0),'UX Weekly'!$H11:$CT11,"&lt;&gt;"))</f>
        <v>0</v>
      </c>
      <c r="AH11">
        <f>IF($B11="",0,COUNTIFS('UX Weekly'!$H$1:$CT$1,"&gt;="&amp;AH$1,'UX Weekly'!$H$1:$CT$1,"&lt;="&amp;EOMONTH(AH$1,0),'UX Weekly'!$H11:$CT11,"&lt;&gt;"))</f>
        <v>0</v>
      </c>
      <c r="AI11">
        <f>IF($B11="",0,COUNTIFS('UX Weekly'!$H$1:$CT$1,"&gt;="&amp;AI$1,'UX Weekly'!$H$1:$CT$1,"&lt;="&amp;EOMONTH(AI$1,0),'UX Weekly'!$H11:$CT11,"&lt;&gt;"))</f>
        <v>0</v>
      </c>
      <c r="AJ11">
        <f>IF($B11="",0,COUNTIFS('UX Weekly'!$H$1:$CT$1,"&gt;="&amp;AJ$1,'UX Weekly'!$H$1:$CT$1,"&lt;="&amp;EOMONTH(AJ$1,0),'UX Weekly'!$H11:$CT11,"&lt;&gt;"))</f>
        <v>0</v>
      </c>
      <c r="AK11">
        <f>IF($B11="",0,COUNTIFS('UX Weekly'!$H$1:$CT$1,"&gt;="&amp;AK$1,'UX Weekly'!$H$1:$CT$1,"&lt;="&amp;EOMONTH(AK$1,0),'UX Weekly'!$H11:$CT11,"&lt;&gt;"))</f>
        <v>0</v>
      </c>
      <c r="AL11">
        <f>IF($B11="",0,COUNTIFS('UX Weekly'!$H$1:$CT$1,"&gt;="&amp;AL$1,'UX Weekly'!$H$1:$CT$1,"&lt;="&amp;EOMONTH(AL$1,0),'UX Weekly'!$H11:$CT11,"&lt;&gt;"))</f>
        <v>0</v>
      </c>
      <c r="AM11">
        <f>IF($B11="",0,COUNTIFS('UX Weekly'!$H$1:$CT$1,"&gt;="&amp;AM$1,'UX Weekly'!$H$1:$CT$1,"&lt;="&amp;EOMONTH(AM$1,0),'UX Weekly'!$H11:$CT11,"&lt;&gt;"))</f>
        <v>0</v>
      </c>
      <c r="AN11">
        <f>IF($B11="",0,COUNTIFS('UX Weekly'!$H$1:$CT$1,"&gt;="&amp;AN$1,'UX Weekly'!$H$1:$CT$1,"&lt;="&amp;EOMONTH(AN$1,0),'UX Weekly'!$H11:$CT11,"&lt;&gt;"))</f>
        <v>0</v>
      </c>
      <c r="AO11">
        <f>IF($B11="",0,COUNTIFS('UX Weekly'!$H$1:$CT$1,"&gt;="&amp;AO$1,'UX Weekly'!$H$1:$CT$1,"&lt;="&amp;EOMONTH(AO$1,0),'UX Weekly'!$H11:$CT11,"&lt;&gt;"))</f>
        <v>0</v>
      </c>
      <c r="AP11">
        <f>IF($B11="",0,COUNTIFS('UX Weekly'!$H$1:$CT$1,"&gt;="&amp;AP$1,'UX Weekly'!$H$1:$CT$1,"&lt;="&amp;EOMONTH(AP$1,0),'UX Weekly'!$H11:$CT11,"&lt;&gt;"))</f>
        <v>0</v>
      </c>
      <c r="AQ11">
        <f>IF($B11="",0,COUNTIFS('UX Weekly'!$H$1:$CT$1,"&gt;="&amp;AQ$1,'UX Weekly'!$H$1:$CT$1,"&lt;="&amp;EOMONTH(AQ$1,0),'UX Weekly'!$H11:$CT11,"&lt;&gt;"))</f>
        <v>0</v>
      </c>
      <c r="AR11">
        <f>IF($B11="",0,COUNTIFS('UX Weekly'!$H$1:$CT$1,"&gt;="&amp;AR$1,'UX Weekly'!$H$1:$CT$1,"&lt;="&amp;EOMONTH(AR$1,0),'UX Weekly'!$H11:$CT11,"&lt;&gt;"))</f>
        <v>0</v>
      </c>
      <c r="AS11">
        <f>IF($B11="",0,COUNTIFS('UX Weekly'!$H$1:$CT$1,"&gt;="&amp;AS$1,'UX Weekly'!$H$1:$CT$1,"&lt;="&amp;EOMONTH(AS$1,0),'UX Weekly'!$H11:$CT11,"&lt;&gt;"))</f>
        <v>0</v>
      </c>
      <c r="AT11">
        <f>IF($B11="",0,COUNTIFS('UX Weekly'!$H$1:$CT$1,"&gt;="&amp;AT$1,'UX Weekly'!$H$1:$CT$1,"&lt;="&amp;EOMONTH(AT$1,0),'UX Weekly'!$H11:$CT11,"&lt;&gt;"))</f>
        <v>0</v>
      </c>
    </row>
    <row r="12" spans="1:48" x14ac:dyDescent="0.2">
      <c r="A12" s="147">
        <v>13</v>
      </c>
      <c r="B12" s="147" t="str">
        <f>IF(TRIM('UX Weekly'!E12)="","",TRIM('UX Weekly'!E12))</f>
        <v>The Studio - Category Hybrid Page</v>
      </c>
      <c r="C12" s="147" t="str">
        <f>IF($B12="","",'UX Weekly'!B12)</f>
        <v>B2B</v>
      </c>
      <c r="D12" s="147" t="str">
        <f>IF($B12="","",IF(TRIM('UX Weekly'!C12)="","(No theme assigned)",TRIM('UX Weekly'!C12)))</f>
        <v>Increase The Studio B&amp;H Awareness</v>
      </c>
      <c r="E12" s="147" t="str">
        <f>IF($B12="","",TRIM('UX Weekly'!F12))</f>
        <v>BHP-7301</v>
      </c>
      <c r="F12" s="147" t="str">
        <f>IF($B12="","",'UX Weekly'!G12)</f>
        <v>02. UX Req</v>
      </c>
      <c r="G12" s="148">
        <f t="array" ref="G12">IF($B12="","",IF($S12=0,"",IFERROR(MIN(IF('UX Weekly'!$H12:$CT12&lt;&gt;"",'UX Weekly'!$H$1:$CT$1)),"")))</f>
        <v>46244</v>
      </c>
      <c r="H12" s="148">
        <f t="array" ref="H12">IF($B12="","",IF($S12=0,"",IFERROR(MAX(IF('UX Weekly'!$H12:$CT12&lt;&gt;"",'UX Weekly'!$H$1:$CT$1)),"")))</f>
        <v>46265</v>
      </c>
      <c r="I12" s="149" t="str">
        <f t="shared" ca="1" si="0"/>
        <v/>
      </c>
      <c r="J12" s="149" t="str">
        <f t="shared" ca="1" si="1"/>
        <v/>
      </c>
      <c r="K12" s="147">
        <f>IF($B12="","",IFERROR(MATCH($B12,'Dev Tracker'!$D$2:$D$196,0),IF($E12="","",IFERROR(MATCH($E12,'Dev Tracker'!$E$2:$E$196,0),""))))</f>
        <v>11</v>
      </c>
      <c r="L12" s="147">
        <f>IF($B12="","",IFERROR(MATCH($D12,'Control (Don’t Touch)'!$E$4:$E$30,0),99))</f>
        <v>9</v>
      </c>
      <c r="M12" s="147">
        <f>IF($B12="","",IFERROR(MATCH($F12,'Control (Don’t Touch)'!$B$4:$B$30,0),99))</f>
        <v>4</v>
      </c>
      <c r="N12" s="147">
        <f t="shared" si="2"/>
        <v>9040012</v>
      </c>
      <c r="O12" s="147">
        <f>IF($B12="","",COUNTIF($N$2:$N$204,"&lt;"&amp;$N12)+1)</f>
        <v>42</v>
      </c>
      <c r="P12" s="149" t="str">
        <f ca="1">IF($K12="","",IFERROR(DATE(IFERROR(VALUE(RIGHT(TRIM(INDEX('Dev Tracker'!$I$2:$I$196,$K12)),4)),YEAR(TODAY())),MATCH(LEFT(TRIM(INDEX('Dev Tracker'!$I$2:$I$196,$K12)),3),$U$2:$U$12,0),1),""))</f>
        <v/>
      </c>
      <c r="Q12" s="149" t="str">
        <f ca="1">IF($K12="","",IFERROR(DATE(IFERROR(VALUE(RIGHT(TRIM(INDEX('Dev Tracker'!$J$2:$J$196,$K12)),4)),YEAR(TODAY())),MATCH(LEFT(TRIM(INDEX('Dev Tracker'!$J$2:$J$196,$K12)),3),$U$2:$U$12,0),1),""))</f>
        <v/>
      </c>
      <c r="R12" s="147"/>
      <c r="S12" s="147">
        <f>IF($B12="","",COUNTA('UX Weekly'!$H12:$CT12))</f>
        <v>3</v>
      </c>
      <c r="U12" s="142" t="s">
        <v>826</v>
      </c>
      <c r="W12">
        <f>IF($B12="",0,COUNTIFS('UX Weekly'!$H$1:$CT$1,"&gt;="&amp;W$1,'UX Weekly'!$H$1:$CT$1,"&lt;="&amp;EOMONTH(W$1,0),'UX Weekly'!$H12:$CT12,"&lt;&gt;"))</f>
        <v>0</v>
      </c>
      <c r="X12">
        <f>IF($B12="",0,COUNTIFS('UX Weekly'!$H$1:$CT$1,"&gt;="&amp;X$1,'UX Weekly'!$H$1:$CT$1,"&lt;="&amp;EOMONTH(X$1,0),'UX Weekly'!$H12:$CT12,"&lt;&gt;"))</f>
        <v>0</v>
      </c>
      <c r="Y12">
        <f>IF($B12="",0,COUNTIFS('UX Weekly'!$H$1:$CT$1,"&gt;="&amp;Y$1,'UX Weekly'!$H$1:$CT$1,"&lt;="&amp;EOMONTH(Y$1,0),'UX Weekly'!$H12:$CT12,"&lt;&gt;"))</f>
        <v>0</v>
      </c>
      <c r="Z12">
        <f>IF($B12="",0,COUNTIFS('UX Weekly'!$H$1:$CT$1,"&gt;="&amp;Z$1,'UX Weekly'!$H$1:$CT$1,"&lt;="&amp;EOMONTH(Z$1,0),'UX Weekly'!$H12:$CT12,"&lt;&gt;"))</f>
        <v>0</v>
      </c>
      <c r="AA12">
        <f>IF($B12="",0,COUNTIFS('UX Weekly'!$H$1:$CT$1,"&gt;="&amp;AA$1,'UX Weekly'!$H$1:$CT$1,"&lt;="&amp;EOMONTH(AA$1,0),'UX Weekly'!$H12:$CT12,"&lt;&gt;"))</f>
        <v>0</v>
      </c>
      <c r="AB12">
        <f>IF($B12="",0,COUNTIFS('UX Weekly'!$H$1:$CT$1,"&gt;="&amp;AB$1,'UX Weekly'!$H$1:$CT$1,"&lt;="&amp;EOMONTH(AB$1,0),'UX Weekly'!$H12:$CT12,"&lt;&gt;"))</f>
        <v>0</v>
      </c>
      <c r="AC12">
        <f>IF($B12="",0,COUNTIFS('UX Weekly'!$H$1:$CT$1,"&gt;="&amp;AC$1,'UX Weekly'!$H$1:$CT$1,"&lt;="&amp;EOMONTH(AC$1,0),'UX Weekly'!$H12:$CT12,"&lt;&gt;"))</f>
        <v>0</v>
      </c>
      <c r="AD12">
        <f>IF($B12="",0,COUNTIFS('UX Weekly'!$H$1:$CT$1,"&gt;="&amp;AD$1,'UX Weekly'!$H$1:$CT$1,"&lt;="&amp;EOMONTH(AD$1,0),'UX Weekly'!$H12:$CT12,"&lt;&gt;"))</f>
        <v>3</v>
      </c>
      <c r="AE12">
        <f>IF($B12="",0,COUNTIFS('UX Weekly'!$H$1:$CT$1,"&gt;="&amp;AE$1,'UX Weekly'!$H$1:$CT$1,"&lt;="&amp;EOMONTH(AE$1,0),'UX Weekly'!$H12:$CT12,"&lt;&gt;"))</f>
        <v>0</v>
      </c>
      <c r="AF12">
        <f>IF($B12="",0,COUNTIFS('UX Weekly'!$H$1:$CT$1,"&gt;="&amp;AF$1,'UX Weekly'!$H$1:$CT$1,"&lt;="&amp;EOMONTH(AF$1,0),'UX Weekly'!$H12:$CT12,"&lt;&gt;"))</f>
        <v>0</v>
      </c>
      <c r="AG12">
        <f>IF($B12="",0,COUNTIFS('UX Weekly'!$H$1:$CT$1,"&gt;="&amp;AG$1,'UX Weekly'!$H$1:$CT$1,"&lt;="&amp;EOMONTH(AG$1,0),'UX Weekly'!$H12:$CT12,"&lt;&gt;"))</f>
        <v>0</v>
      </c>
      <c r="AH12">
        <f>IF($B12="",0,COUNTIFS('UX Weekly'!$H$1:$CT$1,"&gt;="&amp;AH$1,'UX Weekly'!$H$1:$CT$1,"&lt;="&amp;EOMONTH(AH$1,0),'UX Weekly'!$H12:$CT12,"&lt;&gt;"))</f>
        <v>0</v>
      </c>
      <c r="AI12">
        <f>IF($B12="",0,COUNTIFS('UX Weekly'!$H$1:$CT$1,"&gt;="&amp;AI$1,'UX Weekly'!$H$1:$CT$1,"&lt;="&amp;EOMONTH(AI$1,0),'UX Weekly'!$H12:$CT12,"&lt;&gt;"))</f>
        <v>0</v>
      </c>
      <c r="AJ12">
        <f>IF($B12="",0,COUNTIFS('UX Weekly'!$H$1:$CT$1,"&gt;="&amp;AJ$1,'UX Weekly'!$H$1:$CT$1,"&lt;="&amp;EOMONTH(AJ$1,0),'UX Weekly'!$H12:$CT12,"&lt;&gt;"))</f>
        <v>0</v>
      </c>
      <c r="AK12">
        <f>IF($B12="",0,COUNTIFS('UX Weekly'!$H$1:$CT$1,"&gt;="&amp;AK$1,'UX Weekly'!$H$1:$CT$1,"&lt;="&amp;EOMONTH(AK$1,0),'UX Weekly'!$H12:$CT12,"&lt;&gt;"))</f>
        <v>0</v>
      </c>
      <c r="AL12">
        <f>IF($B12="",0,COUNTIFS('UX Weekly'!$H$1:$CT$1,"&gt;="&amp;AL$1,'UX Weekly'!$H$1:$CT$1,"&lt;="&amp;EOMONTH(AL$1,0),'UX Weekly'!$H12:$CT12,"&lt;&gt;"))</f>
        <v>0</v>
      </c>
      <c r="AM12">
        <f>IF($B12="",0,COUNTIFS('UX Weekly'!$H$1:$CT$1,"&gt;="&amp;AM$1,'UX Weekly'!$H$1:$CT$1,"&lt;="&amp;EOMONTH(AM$1,0),'UX Weekly'!$H12:$CT12,"&lt;&gt;"))</f>
        <v>0</v>
      </c>
      <c r="AN12">
        <f>IF($B12="",0,COUNTIFS('UX Weekly'!$H$1:$CT$1,"&gt;="&amp;AN$1,'UX Weekly'!$H$1:$CT$1,"&lt;="&amp;EOMONTH(AN$1,0),'UX Weekly'!$H12:$CT12,"&lt;&gt;"))</f>
        <v>0</v>
      </c>
      <c r="AO12">
        <f>IF($B12="",0,COUNTIFS('UX Weekly'!$H$1:$CT$1,"&gt;="&amp;AO$1,'UX Weekly'!$H$1:$CT$1,"&lt;="&amp;EOMONTH(AO$1,0),'UX Weekly'!$H12:$CT12,"&lt;&gt;"))</f>
        <v>0</v>
      </c>
      <c r="AP12">
        <f>IF($B12="",0,COUNTIFS('UX Weekly'!$H$1:$CT$1,"&gt;="&amp;AP$1,'UX Weekly'!$H$1:$CT$1,"&lt;="&amp;EOMONTH(AP$1,0),'UX Weekly'!$H12:$CT12,"&lt;&gt;"))</f>
        <v>0</v>
      </c>
      <c r="AQ12">
        <f>IF($B12="",0,COUNTIFS('UX Weekly'!$H$1:$CT$1,"&gt;="&amp;AQ$1,'UX Weekly'!$H$1:$CT$1,"&lt;="&amp;EOMONTH(AQ$1,0),'UX Weekly'!$H12:$CT12,"&lt;&gt;"))</f>
        <v>0</v>
      </c>
      <c r="AR12">
        <f>IF($B12="",0,COUNTIFS('UX Weekly'!$H$1:$CT$1,"&gt;="&amp;AR$1,'UX Weekly'!$H$1:$CT$1,"&lt;="&amp;EOMONTH(AR$1,0),'UX Weekly'!$H12:$CT12,"&lt;&gt;"))</f>
        <v>0</v>
      </c>
      <c r="AS12">
        <f>IF($B12="",0,COUNTIFS('UX Weekly'!$H$1:$CT$1,"&gt;="&amp;AS$1,'UX Weekly'!$H$1:$CT$1,"&lt;="&amp;EOMONTH(AS$1,0),'UX Weekly'!$H12:$CT12,"&lt;&gt;"))</f>
        <v>0</v>
      </c>
      <c r="AT12">
        <f>IF($B12="",0,COUNTIFS('UX Weekly'!$H$1:$CT$1,"&gt;="&amp;AT$1,'UX Weekly'!$H$1:$CT$1,"&lt;="&amp;EOMONTH(AT$1,0),'UX Weekly'!$H12:$CT12,"&lt;&gt;"))</f>
        <v>0</v>
      </c>
    </row>
    <row r="13" spans="1:48" x14ac:dyDescent="0.2">
      <c r="A13" s="147">
        <v>14</v>
      </c>
      <c r="B13" s="147" t="str">
        <f>IF(TRIM('UX Weekly'!E13)="","",TRIM('UX Weekly'!E13))</f>
        <v>Used Just Added Page</v>
      </c>
      <c r="C13" s="147" t="str">
        <f>IF($B13="","",'UX Weekly'!B13)</f>
        <v>Used</v>
      </c>
      <c r="D13" s="147" t="str">
        <f>IF($B13="","",IF(TRIM('UX Weekly'!C13)="","(No theme assigned)",TRIM('UX Weekly'!C13)))</f>
        <v>Increase Buy Used Awareness</v>
      </c>
      <c r="E13" s="147" t="str">
        <f>IF($B13="","",TRIM('UX Weekly'!F13))</f>
        <v>BHP-7230</v>
      </c>
      <c r="F13" s="147" t="str">
        <f>IF($B13="","",'UX Weekly'!G13)</f>
        <v>02. UX Req</v>
      </c>
      <c r="G13" s="148">
        <f t="array" ref="G13">IF($B13="","",IF($S13=0,"",IFERROR(MIN(IF('UX Weekly'!$H13:$CT13&lt;&gt;"",'UX Weekly'!$H$1:$CT$1)),"")))</f>
        <v>46160</v>
      </c>
      <c r="H13" s="148">
        <f t="array" ref="H13">IF($B13="","",IF($S13=0,"",IFERROR(MAX(IF('UX Weekly'!$H13:$CT13&lt;&gt;"",'UX Weekly'!$H$1:$CT$1)),"")))</f>
        <v>46307</v>
      </c>
      <c r="I13" s="149">
        <f t="shared" ca="1" si="0"/>
        <v>46419</v>
      </c>
      <c r="J13" s="149">
        <f t="shared" ca="1" si="1"/>
        <v>46446</v>
      </c>
      <c r="K13" s="147">
        <f>IF($B13="","",IFERROR(MATCH($B13,'Dev Tracker'!$D$2:$D$196,0),IF($E13="","",IFERROR(MATCH($E13,'Dev Tracker'!$E$2:$E$196,0),""))))</f>
        <v>12</v>
      </c>
      <c r="L13" s="147">
        <f>IF($B13="","",IFERROR(MATCH($D13,'Control (Don’t Touch)'!$E$4:$E$30,0),99))</f>
        <v>5</v>
      </c>
      <c r="M13" s="147">
        <f>IF($B13="","",IFERROR(MATCH($F13,'Control (Don’t Touch)'!$B$4:$B$30,0),99))</f>
        <v>4</v>
      </c>
      <c r="N13" s="147">
        <f t="shared" si="2"/>
        <v>5040013</v>
      </c>
      <c r="O13" s="147">
        <f>IF($B13="","",COUNTIF($N$2:$N$204,"&lt;"&amp;$N13)+1)</f>
        <v>23</v>
      </c>
      <c r="P13" s="149">
        <f ca="1">IF($K13="","",IFERROR(DATE(IFERROR(VALUE(RIGHT(TRIM(INDEX('Dev Tracker'!$I$2:$I$196,$K13)),4)),YEAR(TODAY())),MATCH(LEFT(TRIM(INDEX('Dev Tracker'!$I$2:$I$196,$K13)),3),$U$2:$U$12,0),1),""))</f>
        <v>46419</v>
      </c>
      <c r="Q13" s="149">
        <f ca="1">IF($K13="","",IFERROR(DATE(IFERROR(VALUE(RIGHT(TRIM(INDEX('Dev Tracker'!$J$2:$J$196,$K13)),4)),YEAR(TODAY())),MATCH(LEFT(TRIM(INDEX('Dev Tracker'!$J$2:$J$196,$K13)),3),$U$2:$U$12,0),1),""))</f>
        <v>46419</v>
      </c>
      <c r="R13" s="147"/>
      <c r="S13" s="147">
        <f>IF($B13="","",COUNTA('UX Weekly'!$H13:$CT13))</f>
        <v>4</v>
      </c>
      <c r="W13">
        <f>IF($B13="",0,COUNTIFS('UX Weekly'!$H$1:$CT$1,"&gt;="&amp;W$1,'UX Weekly'!$H$1:$CT$1,"&lt;="&amp;EOMONTH(W$1,0),'UX Weekly'!$H13:$CT13,"&lt;&gt;"))</f>
        <v>0</v>
      </c>
      <c r="X13">
        <f>IF($B13="",0,COUNTIFS('UX Weekly'!$H$1:$CT$1,"&gt;="&amp;X$1,'UX Weekly'!$H$1:$CT$1,"&lt;="&amp;EOMONTH(X$1,0),'UX Weekly'!$H13:$CT13,"&lt;&gt;"))</f>
        <v>0</v>
      </c>
      <c r="Y13">
        <f>IF($B13="",0,COUNTIFS('UX Weekly'!$H$1:$CT$1,"&gt;="&amp;Y$1,'UX Weekly'!$H$1:$CT$1,"&lt;="&amp;EOMONTH(Y$1,0),'UX Weekly'!$H13:$CT13,"&lt;&gt;"))</f>
        <v>0</v>
      </c>
      <c r="Z13">
        <f>IF($B13="",0,COUNTIFS('UX Weekly'!$H$1:$CT$1,"&gt;="&amp;Z$1,'UX Weekly'!$H$1:$CT$1,"&lt;="&amp;EOMONTH(Z$1,0),'UX Weekly'!$H13:$CT13,"&lt;&gt;"))</f>
        <v>0</v>
      </c>
      <c r="AA13">
        <f>IF($B13="",0,COUNTIFS('UX Weekly'!$H$1:$CT$1,"&gt;="&amp;AA$1,'UX Weekly'!$H$1:$CT$1,"&lt;="&amp;EOMONTH(AA$1,0),'UX Weekly'!$H13:$CT13,"&lt;&gt;"))</f>
        <v>2</v>
      </c>
      <c r="AB13">
        <f>IF($B13="",0,COUNTIFS('UX Weekly'!$H$1:$CT$1,"&gt;="&amp;AB$1,'UX Weekly'!$H$1:$CT$1,"&lt;="&amp;EOMONTH(AB$1,0),'UX Weekly'!$H13:$CT13,"&lt;&gt;"))</f>
        <v>0</v>
      </c>
      <c r="AC13">
        <f>IF($B13="",0,COUNTIFS('UX Weekly'!$H$1:$CT$1,"&gt;="&amp;AC$1,'UX Weekly'!$H$1:$CT$1,"&lt;="&amp;EOMONTH(AC$1,0),'UX Weekly'!$H13:$CT13,"&lt;&gt;"))</f>
        <v>0</v>
      </c>
      <c r="AD13">
        <f>IF($B13="",0,COUNTIFS('UX Weekly'!$H$1:$CT$1,"&gt;="&amp;AD$1,'UX Weekly'!$H$1:$CT$1,"&lt;="&amp;EOMONTH(AD$1,0),'UX Weekly'!$H13:$CT13,"&lt;&gt;"))</f>
        <v>0</v>
      </c>
      <c r="AE13">
        <f>IF($B13="",0,COUNTIFS('UX Weekly'!$H$1:$CT$1,"&gt;="&amp;AE$1,'UX Weekly'!$H$1:$CT$1,"&lt;="&amp;EOMONTH(AE$1,0),'UX Weekly'!$H13:$CT13,"&lt;&gt;"))</f>
        <v>0</v>
      </c>
      <c r="AF13">
        <f>IF($B13="",0,COUNTIFS('UX Weekly'!$H$1:$CT$1,"&gt;="&amp;AF$1,'UX Weekly'!$H$1:$CT$1,"&lt;="&amp;EOMONTH(AF$1,0),'UX Weekly'!$H13:$CT13,"&lt;&gt;"))</f>
        <v>2</v>
      </c>
      <c r="AG13">
        <f>IF($B13="",0,COUNTIFS('UX Weekly'!$H$1:$CT$1,"&gt;="&amp;AG$1,'UX Weekly'!$H$1:$CT$1,"&lt;="&amp;EOMONTH(AG$1,0),'UX Weekly'!$H13:$CT13,"&lt;&gt;"))</f>
        <v>0</v>
      </c>
      <c r="AH13">
        <f>IF($B13="",0,COUNTIFS('UX Weekly'!$H$1:$CT$1,"&gt;="&amp;AH$1,'UX Weekly'!$H$1:$CT$1,"&lt;="&amp;EOMONTH(AH$1,0),'UX Weekly'!$H13:$CT13,"&lt;&gt;"))</f>
        <v>0</v>
      </c>
      <c r="AI13">
        <f>IF($B13="",0,COUNTIFS('UX Weekly'!$H$1:$CT$1,"&gt;="&amp;AI$1,'UX Weekly'!$H$1:$CT$1,"&lt;="&amp;EOMONTH(AI$1,0),'UX Weekly'!$H13:$CT13,"&lt;&gt;"))</f>
        <v>0</v>
      </c>
      <c r="AJ13">
        <f>IF($B13="",0,COUNTIFS('UX Weekly'!$H$1:$CT$1,"&gt;="&amp;AJ$1,'UX Weekly'!$H$1:$CT$1,"&lt;="&amp;EOMONTH(AJ$1,0),'UX Weekly'!$H13:$CT13,"&lt;&gt;"))</f>
        <v>0</v>
      </c>
      <c r="AK13">
        <f>IF($B13="",0,COUNTIFS('UX Weekly'!$H$1:$CT$1,"&gt;="&amp;AK$1,'UX Weekly'!$H$1:$CT$1,"&lt;="&amp;EOMONTH(AK$1,0),'UX Weekly'!$H13:$CT13,"&lt;&gt;"))</f>
        <v>0</v>
      </c>
      <c r="AL13">
        <f>IF($B13="",0,COUNTIFS('UX Weekly'!$H$1:$CT$1,"&gt;="&amp;AL$1,'UX Weekly'!$H$1:$CT$1,"&lt;="&amp;EOMONTH(AL$1,0),'UX Weekly'!$H13:$CT13,"&lt;&gt;"))</f>
        <v>0</v>
      </c>
      <c r="AM13">
        <f>IF($B13="",0,COUNTIFS('UX Weekly'!$H$1:$CT$1,"&gt;="&amp;AM$1,'UX Weekly'!$H$1:$CT$1,"&lt;="&amp;EOMONTH(AM$1,0),'UX Weekly'!$H13:$CT13,"&lt;&gt;"))</f>
        <v>0</v>
      </c>
      <c r="AN13">
        <f>IF($B13="",0,COUNTIFS('UX Weekly'!$H$1:$CT$1,"&gt;="&amp;AN$1,'UX Weekly'!$H$1:$CT$1,"&lt;="&amp;EOMONTH(AN$1,0),'UX Weekly'!$H13:$CT13,"&lt;&gt;"))</f>
        <v>0</v>
      </c>
      <c r="AO13">
        <f>IF($B13="",0,COUNTIFS('UX Weekly'!$H$1:$CT$1,"&gt;="&amp;AO$1,'UX Weekly'!$H$1:$CT$1,"&lt;="&amp;EOMONTH(AO$1,0),'UX Weekly'!$H13:$CT13,"&lt;&gt;"))</f>
        <v>0</v>
      </c>
      <c r="AP13">
        <f>IF($B13="",0,COUNTIFS('UX Weekly'!$H$1:$CT$1,"&gt;="&amp;AP$1,'UX Weekly'!$H$1:$CT$1,"&lt;="&amp;EOMONTH(AP$1,0),'UX Weekly'!$H13:$CT13,"&lt;&gt;"))</f>
        <v>0</v>
      </c>
      <c r="AQ13">
        <f>IF($B13="",0,COUNTIFS('UX Weekly'!$H$1:$CT$1,"&gt;="&amp;AQ$1,'UX Weekly'!$H$1:$CT$1,"&lt;="&amp;EOMONTH(AQ$1,0),'UX Weekly'!$H13:$CT13,"&lt;&gt;"))</f>
        <v>0</v>
      </c>
      <c r="AR13">
        <f>IF($B13="",0,COUNTIFS('UX Weekly'!$H$1:$CT$1,"&gt;="&amp;AR$1,'UX Weekly'!$H$1:$CT$1,"&lt;="&amp;EOMONTH(AR$1,0),'UX Weekly'!$H13:$CT13,"&lt;&gt;"))</f>
        <v>0</v>
      </c>
      <c r="AS13">
        <f>IF($B13="",0,COUNTIFS('UX Weekly'!$H$1:$CT$1,"&gt;="&amp;AS$1,'UX Weekly'!$H$1:$CT$1,"&lt;="&amp;EOMONTH(AS$1,0),'UX Weekly'!$H13:$CT13,"&lt;&gt;"))</f>
        <v>0</v>
      </c>
      <c r="AT13">
        <f>IF($B13="",0,COUNTIFS('UX Weekly'!$H$1:$CT$1,"&gt;="&amp;AT$1,'UX Weekly'!$H$1:$CT$1,"&lt;="&amp;EOMONTH(AT$1,0),'UX Weekly'!$H13:$CT13,"&lt;&gt;"))</f>
        <v>0</v>
      </c>
    </row>
    <row r="14" spans="1:48" x14ac:dyDescent="0.2">
      <c r="A14" s="147">
        <v>15</v>
      </c>
      <c r="B14" s="147" t="str">
        <f>IF(TRIM('UX Weekly'!E14)="","",TRIM('UX Weekly'!E14))</f>
        <v>Increase Awareness of Trade In Offers - Best Buy Inspiration/Competitive Effort</v>
      </c>
      <c r="C14" s="147" t="str">
        <f>IF($B14="","",'UX Weekly'!B14)</f>
        <v>Used</v>
      </c>
      <c r="D14" s="147" t="str">
        <f>IF($B14="","",IF(TRIM('UX Weekly'!C14)="","(No theme assigned)",TRIM('UX Weekly'!C14)))</f>
        <v>Increase Trade In Awareness</v>
      </c>
      <c r="E14" s="147" t="str">
        <f>IF($B14="","",TRIM('UX Weekly'!F14))</f>
        <v>BHP-6827</v>
      </c>
      <c r="F14" s="147" t="str">
        <f>IF($B14="","",'UX Weekly'!G14)</f>
        <v>02. UX Req</v>
      </c>
      <c r="G14" s="148" t="str">
        <f t="array" ref="G14">IF($B14="","",IF($S14=0,"",IFERROR(MIN(IF('UX Weekly'!$H14:$CT14&lt;&gt;"",'UX Weekly'!$H$1:$CT$1)),"")))</f>
        <v/>
      </c>
      <c r="H14" s="148" t="str">
        <f t="array" ref="H14">IF($B14="","",IF($S14=0,"",IFERROR(MAX(IF('UX Weekly'!$H14:$CT14&lt;&gt;"",'UX Weekly'!$H$1:$CT$1)),"")))</f>
        <v/>
      </c>
      <c r="I14" s="149" t="str">
        <f t="shared" ca="1" si="0"/>
        <v/>
      </c>
      <c r="J14" s="149" t="str">
        <f t="shared" ca="1" si="1"/>
        <v/>
      </c>
      <c r="K14" s="147">
        <f>IF($B14="","",IFERROR(MATCH($B14,'Dev Tracker'!$D$2:$D$196,0),IF($E14="","",IFERROR(MATCH($E14,'Dev Tracker'!$E$2:$E$196,0),""))))</f>
        <v>13</v>
      </c>
      <c r="L14" s="147">
        <f>IF($B14="","",IFERROR(MATCH($D14,'Control (Don’t Touch)'!$E$4:$E$30,0),99))</f>
        <v>2</v>
      </c>
      <c r="M14" s="147">
        <f>IF($B14="","",IFERROR(MATCH($F14,'Control (Don’t Touch)'!$B$4:$B$30,0),99))</f>
        <v>4</v>
      </c>
      <c r="N14" s="147">
        <f t="shared" si="2"/>
        <v>2040014</v>
      </c>
      <c r="O14" s="147">
        <f>IF($B14="","",COUNTIF($N$2:$N$204,"&lt;"&amp;$N14)+1)</f>
        <v>13</v>
      </c>
      <c r="P14" s="149" t="str">
        <f ca="1">IF($K14="","",IFERROR(DATE(IFERROR(VALUE(RIGHT(TRIM(INDEX('Dev Tracker'!$I$2:$I$196,$K14)),4)),YEAR(TODAY())),MATCH(LEFT(TRIM(INDEX('Dev Tracker'!$I$2:$I$196,$K14)),3),$U$2:$U$12,0),1),""))</f>
        <v/>
      </c>
      <c r="Q14" s="149" t="str">
        <f ca="1">IF($K14="","",IFERROR(DATE(IFERROR(VALUE(RIGHT(TRIM(INDEX('Dev Tracker'!$J$2:$J$196,$K14)),4)),YEAR(TODAY())),MATCH(LEFT(TRIM(INDEX('Dev Tracker'!$J$2:$J$196,$K14)),3),$U$2:$U$12,0),1),""))</f>
        <v/>
      </c>
      <c r="R14" s="147"/>
      <c r="S14" s="147">
        <f>IF($B14="","",COUNTA('UX Weekly'!$H14:$CT14))</f>
        <v>0</v>
      </c>
      <c r="W14">
        <f>IF($B14="",0,COUNTIFS('UX Weekly'!$H$1:$CT$1,"&gt;="&amp;W$1,'UX Weekly'!$H$1:$CT$1,"&lt;="&amp;EOMONTH(W$1,0),'UX Weekly'!$H14:$CT14,"&lt;&gt;"))</f>
        <v>0</v>
      </c>
      <c r="X14">
        <f>IF($B14="",0,COUNTIFS('UX Weekly'!$H$1:$CT$1,"&gt;="&amp;X$1,'UX Weekly'!$H$1:$CT$1,"&lt;="&amp;EOMONTH(X$1,0),'UX Weekly'!$H14:$CT14,"&lt;&gt;"))</f>
        <v>0</v>
      </c>
      <c r="Y14">
        <f>IF($B14="",0,COUNTIFS('UX Weekly'!$H$1:$CT$1,"&gt;="&amp;Y$1,'UX Weekly'!$H$1:$CT$1,"&lt;="&amp;EOMONTH(Y$1,0),'UX Weekly'!$H14:$CT14,"&lt;&gt;"))</f>
        <v>0</v>
      </c>
      <c r="Z14">
        <f>IF($B14="",0,COUNTIFS('UX Weekly'!$H$1:$CT$1,"&gt;="&amp;Z$1,'UX Weekly'!$H$1:$CT$1,"&lt;="&amp;EOMONTH(Z$1,0),'UX Weekly'!$H14:$CT14,"&lt;&gt;"))</f>
        <v>0</v>
      </c>
      <c r="AA14">
        <f>IF($B14="",0,COUNTIFS('UX Weekly'!$H$1:$CT$1,"&gt;="&amp;AA$1,'UX Weekly'!$H$1:$CT$1,"&lt;="&amp;EOMONTH(AA$1,0),'UX Weekly'!$H14:$CT14,"&lt;&gt;"))</f>
        <v>0</v>
      </c>
      <c r="AB14">
        <f>IF($B14="",0,COUNTIFS('UX Weekly'!$H$1:$CT$1,"&gt;="&amp;AB$1,'UX Weekly'!$H$1:$CT$1,"&lt;="&amp;EOMONTH(AB$1,0),'UX Weekly'!$H14:$CT14,"&lt;&gt;"))</f>
        <v>0</v>
      </c>
      <c r="AC14">
        <f>IF($B14="",0,COUNTIFS('UX Weekly'!$H$1:$CT$1,"&gt;="&amp;AC$1,'UX Weekly'!$H$1:$CT$1,"&lt;="&amp;EOMONTH(AC$1,0),'UX Weekly'!$H14:$CT14,"&lt;&gt;"))</f>
        <v>0</v>
      </c>
      <c r="AD14">
        <f>IF($B14="",0,COUNTIFS('UX Weekly'!$H$1:$CT$1,"&gt;="&amp;AD$1,'UX Weekly'!$H$1:$CT$1,"&lt;="&amp;EOMONTH(AD$1,0),'UX Weekly'!$H14:$CT14,"&lt;&gt;"))</f>
        <v>0</v>
      </c>
      <c r="AE14">
        <f>IF($B14="",0,COUNTIFS('UX Weekly'!$H$1:$CT$1,"&gt;="&amp;AE$1,'UX Weekly'!$H$1:$CT$1,"&lt;="&amp;EOMONTH(AE$1,0),'UX Weekly'!$H14:$CT14,"&lt;&gt;"))</f>
        <v>0</v>
      </c>
      <c r="AF14">
        <f>IF($B14="",0,COUNTIFS('UX Weekly'!$H$1:$CT$1,"&gt;="&amp;AF$1,'UX Weekly'!$H$1:$CT$1,"&lt;="&amp;EOMONTH(AF$1,0),'UX Weekly'!$H14:$CT14,"&lt;&gt;"))</f>
        <v>0</v>
      </c>
      <c r="AG14">
        <f>IF($B14="",0,COUNTIFS('UX Weekly'!$H$1:$CT$1,"&gt;="&amp;AG$1,'UX Weekly'!$H$1:$CT$1,"&lt;="&amp;EOMONTH(AG$1,0),'UX Weekly'!$H14:$CT14,"&lt;&gt;"))</f>
        <v>0</v>
      </c>
      <c r="AH14">
        <f>IF($B14="",0,COUNTIFS('UX Weekly'!$H$1:$CT$1,"&gt;="&amp;AH$1,'UX Weekly'!$H$1:$CT$1,"&lt;="&amp;EOMONTH(AH$1,0),'UX Weekly'!$H14:$CT14,"&lt;&gt;"))</f>
        <v>0</v>
      </c>
      <c r="AI14">
        <f>IF($B14="",0,COUNTIFS('UX Weekly'!$H$1:$CT$1,"&gt;="&amp;AI$1,'UX Weekly'!$H$1:$CT$1,"&lt;="&amp;EOMONTH(AI$1,0),'UX Weekly'!$H14:$CT14,"&lt;&gt;"))</f>
        <v>0</v>
      </c>
      <c r="AJ14">
        <f>IF($B14="",0,COUNTIFS('UX Weekly'!$H$1:$CT$1,"&gt;="&amp;AJ$1,'UX Weekly'!$H$1:$CT$1,"&lt;="&amp;EOMONTH(AJ$1,0),'UX Weekly'!$H14:$CT14,"&lt;&gt;"))</f>
        <v>0</v>
      </c>
      <c r="AK14">
        <f>IF($B14="",0,COUNTIFS('UX Weekly'!$H$1:$CT$1,"&gt;="&amp;AK$1,'UX Weekly'!$H$1:$CT$1,"&lt;="&amp;EOMONTH(AK$1,0),'UX Weekly'!$H14:$CT14,"&lt;&gt;"))</f>
        <v>0</v>
      </c>
      <c r="AL14">
        <f>IF($B14="",0,COUNTIFS('UX Weekly'!$H$1:$CT$1,"&gt;="&amp;AL$1,'UX Weekly'!$H$1:$CT$1,"&lt;="&amp;EOMONTH(AL$1,0),'UX Weekly'!$H14:$CT14,"&lt;&gt;"))</f>
        <v>0</v>
      </c>
      <c r="AM14">
        <f>IF($B14="",0,COUNTIFS('UX Weekly'!$H$1:$CT$1,"&gt;="&amp;AM$1,'UX Weekly'!$H$1:$CT$1,"&lt;="&amp;EOMONTH(AM$1,0),'UX Weekly'!$H14:$CT14,"&lt;&gt;"))</f>
        <v>0</v>
      </c>
      <c r="AN14">
        <f>IF($B14="",0,COUNTIFS('UX Weekly'!$H$1:$CT$1,"&gt;="&amp;AN$1,'UX Weekly'!$H$1:$CT$1,"&lt;="&amp;EOMONTH(AN$1,0),'UX Weekly'!$H14:$CT14,"&lt;&gt;"))</f>
        <v>0</v>
      </c>
      <c r="AO14">
        <f>IF($B14="",0,COUNTIFS('UX Weekly'!$H$1:$CT$1,"&gt;="&amp;AO$1,'UX Weekly'!$H$1:$CT$1,"&lt;="&amp;EOMONTH(AO$1,0),'UX Weekly'!$H14:$CT14,"&lt;&gt;"))</f>
        <v>0</v>
      </c>
      <c r="AP14">
        <f>IF($B14="",0,COUNTIFS('UX Weekly'!$H$1:$CT$1,"&gt;="&amp;AP$1,'UX Weekly'!$H$1:$CT$1,"&lt;="&amp;EOMONTH(AP$1,0),'UX Weekly'!$H14:$CT14,"&lt;&gt;"))</f>
        <v>0</v>
      </c>
      <c r="AQ14">
        <f>IF($B14="",0,COUNTIFS('UX Weekly'!$H$1:$CT$1,"&gt;="&amp;AQ$1,'UX Weekly'!$H$1:$CT$1,"&lt;="&amp;EOMONTH(AQ$1,0),'UX Weekly'!$H14:$CT14,"&lt;&gt;"))</f>
        <v>0</v>
      </c>
      <c r="AR14">
        <f>IF($B14="",0,COUNTIFS('UX Weekly'!$H$1:$CT$1,"&gt;="&amp;AR$1,'UX Weekly'!$H$1:$CT$1,"&lt;="&amp;EOMONTH(AR$1,0),'UX Weekly'!$H14:$CT14,"&lt;&gt;"))</f>
        <v>0</v>
      </c>
      <c r="AS14">
        <f>IF($B14="",0,COUNTIFS('UX Weekly'!$H$1:$CT$1,"&gt;="&amp;AS$1,'UX Weekly'!$H$1:$CT$1,"&lt;="&amp;EOMONTH(AS$1,0),'UX Weekly'!$H14:$CT14,"&lt;&gt;"))</f>
        <v>0</v>
      </c>
      <c r="AT14">
        <f>IF($B14="",0,COUNTIFS('UX Weekly'!$H$1:$CT$1,"&gt;="&amp;AT$1,'UX Weekly'!$H$1:$CT$1,"&lt;="&amp;EOMONTH(AT$1,0),'UX Weekly'!$H14:$CT14,"&lt;&gt;"))</f>
        <v>0</v>
      </c>
    </row>
    <row r="15" spans="1:48" x14ac:dyDescent="0.2">
      <c r="A15" s="147">
        <v>16</v>
      </c>
      <c r="B15" s="147" t="str">
        <f>IF(TRIM('UX Weekly'!E15)="","",TRIM('UX Weekly'!E15))</f>
        <v>Out of stock Alerts for used products</v>
      </c>
      <c r="C15" s="147" t="str">
        <f>IF($B15="","",'UX Weekly'!B15)</f>
        <v>Used</v>
      </c>
      <c r="D15" s="147" t="str">
        <f>IF($B15="","",IF(TRIM('UX Weekly'!C15)="","(No theme assigned)",TRIM('UX Weekly'!C15)))</f>
        <v>Increase Buy Used Awareness</v>
      </c>
      <c r="E15" s="147" t="str">
        <f>IF($B15="","",TRIM('UX Weekly'!F15))</f>
        <v>BHUX-35020</v>
      </c>
      <c r="F15" s="147" t="str">
        <f>IF($B15="","",'UX Weekly'!G15)</f>
        <v>03. UX Discovery</v>
      </c>
      <c r="G15" s="148">
        <f t="array" ref="G15">IF($B15="","",IF($S15=0,"",IFERROR(MIN(IF('UX Weekly'!$H15:$CT15&lt;&gt;"",'UX Weekly'!$H$1:$CT$1)),"")))</f>
        <v>46237</v>
      </c>
      <c r="H15" s="148">
        <f t="array" ref="H15">IF($B15="","",IF($S15=0,"",IFERROR(MAX(IF('UX Weekly'!$H15:$CT15&lt;&gt;"",'UX Weekly'!$H$1:$CT$1)),"")))</f>
        <v>46258</v>
      </c>
      <c r="I15" s="149" t="str">
        <f t="shared" ca="1" si="0"/>
        <v/>
      </c>
      <c r="J15" s="149" t="str">
        <f t="shared" ca="1" si="1"/>
        <v/>
      </c>
      <c r="K15" s="147">
        <f>IF($B15="","",IFERROR(MATCH($B15,'Dev Tracker'!$D$2:$D$196,0),IF($E15="","",IFERROR(MATCH($E15,'Dev Tracker'!$E$2:$E$196,0),""))))</f>
        <v>14</v>
      </c>
      <c r="L15" s="147">
        <f>IF($B15="","",IFERROR(MATCH($D15,'Control (Don’t Touch)'!$E$4:$E$30,0),99))</f>
        <v>5</v>
      </c>
      <c r="M15" s="147">
        <f>IF($B15="","",IFERROR(MATCH($F15,'Control (Don’t Touch)'!$B$4:$B$30,0),99))</f>
        <v>5</v>
      </c>
      <c r="N15" s="147">
        <f t="shared" si="2"/>
        <v>5050015</v>
      </c>
      <c r="O15" s="147">
        <f>IF($B15="","",COUNTIF($N$2:$N$204,"&lt;"&amp;$N15)+1)</f>
        <v>24</v>
      </c>
      <c r="P15" s="149" t="str">
        <f ca="1">IF($K15="","",IFERROR(DATE(IFERROR(VALUE(RIGHT(TRIM(INDEX('Dev Tracker'!$I$2:$I$196,$K15)),4)),YEAR(TODAY())),MATCH(LEFT(TRIM(INDEX('Dev Tracker'!$I$2:$I$196,$K15)),3),$U$2:$U$12,0),1),""))</f>
        <v/>
      </c>
      <c r="Q15" s="149" t="str">
        <f ca="1">IF($K15="","",IFERROR(DATE(IFERROR(VALUE(RIGHT(TRIM(INDEX('Dev Tracker'!$J$2:$J$196,$K15)),4)),YEAR(TODAY())),MATCH(LEFT(TRIM(INDEX('Dev Tracker'!$J$2:$J$196,$K15)),3),$U$2:$U$12,0),1),""))</f>
        <v/>
      </c>
      <c r="R15" s="147"/>
      <c r="S15" s="147">
        <f>IF($B15="","",COUNTA('UX Weekly'!$H15:$CT15))</f>
        <v>4</v>
      </c>
      <c r="W15">
        <f>IF($B15="",0,COUNTIFS('UX Weekly'!$H$1:$CT$1,"&gt;="&amp;W$1,'UX Weekly'!$H$1:$CT$1,"&lt;="&amp;EOMONTH(W$1,0),'UX Weekly'!$H15:$CT15,"&lt;&gt;"))</f>
        <v>0</v>
      </c>
      <c r="X15">
        <f>IF($B15="",0,COUNTIFS('UX Weekly'!$H$1:$CT$1,"&gt;="&amp;X$1,'UX Weekly'!$H$1:$CT$1,"&lt;="&amp;EOMONTH(X$1,0),'UX Weekly'!$H15:$CT15,"&lt;&gt;"))</f>
        <v>0</v>
      </c>
      <c r="Y15">
        <f>IF($B15="",0,COUNTIFS('UX Weekly'!$H$1:$CT$1,"&gt;="&amp;Y$1,'UX Weekly'!$H$1:$CT$1,"&lt;="&amp;EOMONTH(Y$1,0),'UX Weekly'!$H15:$CT15,"&lt;&gt;"))</f>
        <v>0</v>
      </c>
      <c r="Z15">
        <f>IF($B15="",0,COUNTIFS('UX Weekly'!$H$1:$CT$1,"&gt;="&amp;Z$1,'UX Weekly'!$H$1:$CT$1,"&lt;="&amp;EOMONTH(Z$1,0),'UX Weekly'!$H15:$CT15,"&lt;&gt;"))</f>
        <v>0</v>
      </c>
      <c r="AA15">
        <f>IF($B15="",0,COUNTIFS('UX Weekly'!$H$1:$CT$1,"&gt;="&amp;AA$1,'UX Weekly'!$H$1:$CT$1,"&lt;="&amp;EOMONTH(AA$1,0),'UX Weekly'!$H15:$CT15,"&lt;&gt;"))</f>
        <v>0</v>
      </c>
      <c r="AB15">
        <f>IF($B15="",0,COUNTIFS('UX Weekly'!$H$1:$CT$1,"&gt;="&amp;AB$1,'UX Weekly'!$H$1:$CT$1,"&lt;="&amp;EOMONTH(AB$1,0),'UX Weekly'!$H15:$CT15,"&lt;&gt;"))</f>
        <v>0</v>
      </c>
      <c r="AC15">
        <f>IF($B15="",0,COUNTIFS('UX Weekly'!$H$1:$CT$1,"&gt;="&amp;AC$1,'UX Weekly'!$H$1:$CT$1,"&lt;="&amp;EOMONTH(AC$1,0),'UX Weekly'!$H15:$CT15,"&lt;&gt;"))</f>
        <v>0</v>
      </c>
      <c r="AD15">
        <f>IF($B15="",0,COUNTIFS('UX Weekly'!$H$1:$CT$1,"&gt;="&amp;AD$1,'UX Weekly'!$H$1:$CT$1,"&lt;="&amp;EOMONTH(AD$1,0),'UX Weekly'!$H15:$CT15,"&lt;&gt;"))</f>
        <v>4</v>
      </c>
      <c r="AE15">
        <f>IF($B15="",0,COUNTIFS('UX Weekly'!$H$1:$CT$1,"&gt;="&amp;AE$1,'UX Weekly'!$H$1:$CT$1,"&lt;="&amp;EOMONTH(AE$1,0),'UX Weekly'!$H15:$CT15,"&lt;&gt;"))</f>
        <v>0</v>
      </c>
      <c r="AF15">
        <f>IF($B15="",0,COUNTIFS('UX Weekly'!$H$1:$CT$1,"&gt;="&amp;AF$1,'UX Weekly'!$H$1:$CT$1,"&lt;="&amp;EOMONTH(AF$1,0),'UX Weekly'!$H15:$CT15,"&lt;&gt;"))</f>
        <v>0</v>
      </c>
      <c r="AG15">
        <f>IF($B15="",0,COUNTIFS('UX Weekly'!$H$1:$CT$1,"&gt;="&amp;AG$1,'UX Weekly'!$H$1:$CT$1,"&lt;="&amp;EOMONTH(AG$1,0),'UX Weekly'!$H15:$CT15,"&lt;&gt;"))</f>
        <v>0</v>
      </c>
      <c r="AH15">
        <f>IF($B15="",0,COUNTIFS('UX Weekly'!$H$1:$CT$1,"&gt;="&amp;AH$1,'UX Weekly'!$H$1:$CT$1,"&lt;="&amp;EOMONTH(AH$1,0),'UX Weekly'!$H15:$CT15,"&lt;&gt;"))</f>
        <v>0</v>
      </c>
      <c r="AI15">
        <f>IF($B15="",0,COUNTIFS('UX Weekly'!$H$1:$CT$1,"&gt;="&amp;AI$1,'UX Weekly'!$H$1:$CT$1,"&lt;="&amp;EOMONTH(AI$1,0),'UX Weekly'!$H15:$CT15,"&lt;&gt;"))</f>
        <v>0</v>
      </c>
      <c r="AJ15">
        <f>IF($B15="",0,COUNTIFS('UX Weekly'!$H$1:$CT$1,"&gt;="&amp;AJ$1,'UX Weekly'!$H$1:$CT$1,"&lt;="&amp;EOMONTH(AJ$1,0),'UX Weekly'!$H15:$CT15,"&lt;&gt;"))</f>
        <v>0</v>
      </c>
      <c r="AK15">
        <f>IF($B15="",0,COUNTIFS('UX Weekly'!$H$1:$CT$1,"&gt;="&amp;AK$1,'UX Weekly'!$H$1:$CT$1,"&lt;="&amp;EOMONTH(AK$1,0),'UX Weekly'!$H15:$CT15,"&lt;&gt;"))</f>
        <v>0</v>
      </c>
      <c r="AL15">
        <f>IF($B15="",0,COUNTIFS('UX Weekly'!$H$1:$CT$1,"&gt;="&amp;AL$1,'UX Weekly'!$H$1:$CT$1,"&lt;="&amp;EOMONTH(AL$1,0),'UX Weekly'!$H15:$CT15,"&lt;&gt;"))</f>
        <v>0</v>
      </c>
      <c r="AM15">
        <f>IF($B15="",0,COUNTIFS('UX Weekly'!$H$1:$CT$1,"&gt;="&amp;AM$1,'UX Weekly'!$H$1:$CT$1,"&lt;="&amp;EOMONTH(AM$1,0),'UX Weekly'!$H15:$CT15,"&lt;&gt;"))</f>
        <v>0</v>
      </c>
      <c r="AN15">
        <f>IF($B15="",0,COUNTIFS('UX Weekly'!$H$1:$CT$1,"&gt;="&amp;AN$1,'UX Weekly'!$H$1:$CT$1,"&lt;="&amp;EOMONTH(AN$1,0),'UX Weekly'!$H15:$CT15,"&lt;&gt;"))</f>
        <v>0</v>
      </c>
      <c r="AO15">
        <f>IF($B15="",0,COUNTIFS('UX Weekly'!$H$1:$CT$1,"&gt;="&amp;AO$1,'UX Weekly'!$H$1:$CT$1,"&lt;="&amp;EOMONTH(AO$1,0),'UX Weekly'!$H15:$CT15,"&lt;&gt;"))</f>
        <v>0</v>
      </c>
      <c r="AP15">
        <f>IF($B15="",0,COUNTIFS('UX Weekly'!$H$1:$CT$1,"&gt;="&amp;AP$1,'UX Weekly'!$H$1:$CT$1,"&lt;="&amp;EOMONTH(AP$1,0),'UX Weekly'!$H15:$CT15,"&lt;&gt;"))</f>
        <v>0</v>
      </c>
      <c r="AQ15">
        <f>IF($B15="",0,COUNTIFS('UX Weekly'!$H$1:$CT$1,"&gt;="&amp;AQ$1,'UX Weekly'!$H$1:$CT$1,"&lt;="&amp;EOMONTH(AQ$1,0),'UX Weekly'!$H15:$CT15,"&lt;&gt;"))</f>
        <v>0</v>
      </c>
      <c r="AR15">
        <f>IF($B15="",0,COUNTIFS('UX Weekly'!$H$1:$CT$1,"&gt;="&amp;AR$1,'UX Weekly'!$H$1:$CT$1,"&lt;="&amp;EOMONTH(AR$1,0),'UX Weekly'!$H15:$CT15,"&lt;&gt;"))</f>
        <v>0</v>
      </c>
      <c r="AS15">
        <f>IF($B15="",0,COUNTIFS('UX Weekly'!$H$1:$CT$1,"&gt;="&amp;AS$1,'UX Weekly'!$H$1:$CT$1,"&lt;="&amp;EOMONTH(AS$1,0),'UX Weekly'!$H15:$CT15,"&lt;&gt;"))</f>
        <v>0</v>
      </c>
      <c r="AT15">
        <f>IF($B15="",0,COUNTIFS('UX Weekly'!$H$1:$CT$1,"&gt;="&amp;AT$1,'UX Weekly'!$H$1:$CT$1,"&lt;="&amp;EOMONTH(AT$1,0),'UX Weekly'!$H15:$CT15,"&lt;&gt;"))</f>
        <v>0</v>
      </c>
    </row>
    <row r="16" spans="1:48" x14ac:dyDescent="0.2">
      <c r="A16" s="147">
        <v>17</v>
      </c>
      <c r="B16" s="147" t="str">
        <f>IF(TRIM('UX Weekly'!E16)="","",TRIM('UX Weekly'!E16))</f>
        <v>The Studio - B&amp;H Awareness on High Ticket Items</v>
      </c>
      <c r="C16" s="147" t="str">
        <f>IF($B16="","",'UX Weekly'!B16)</f>
        <v>B2B</v>
      </c>
      <c r="D16" s="147" t="str">
        <f>IF($B16="","",IF(TRIM('UX Weekly'!C16)="","(No theme assigned)",TRIM('UX Weekly'!C16)))</f>
        <v>Increase The Studio B&amp;H Awareness</v>
      </c>
      <c r="E16" s="147" t="str">
        <f>IF($B16="","",TRIM('UX Weekly'!F16))</f>
        <v>BHUX-35304</v>
      </c>
      <c r="F16" s="147" t="str">
        <f>IF($B16="","",'UX Weekly'!G16)</f>
        <v>03. UX Discovery</v>
      </c>
      <c r="G16" s="148">
        <f t="array" ref="G16">IF($B16="","",IF($S16=0,"",IFERROR(MIN(IF('UX Weekly'!$H16:$CT16&lt;&gt;"",'UX Weekly'!$H$1:$CT$1)),"")))</f>
        <v>46251</v>
      </c>
      <c r="H16" s="148">
        <f t="array" ref="H16">IF($B16="","",IF($S16=0,"",IFERROR(MAX(IF('UX Weekly'!$H16:$CT16&lt;&gt;"",'UX Weekly'!$H$1:$CT$1)),"")))</f>
        <v>46272</v>
      </c>
      <c r="I16" s="149" t="str">
        <f t="shared" ca="1" si="0"/>
        <v/>
      </c>
      <c r="J16" s="149" t="str">
        <f t="shared" ca="1" si="1"/>
        <v/>
      </c>
      <c r="K16" s="147">
        <f>IF($B16="","",IFERROR(MATCH($B16,'Dev Tracker'!$D$2:$D$196,0),IF($E16="","",IFERROR(MATCH($E16,'Dev Tracker'!$E$2:$E$196,0),""))))</f>
        <v>15</v>
      </c>
      <c r="L16" s="147">
        <f>IF($B16="","",IFERROR(MATCH($D16,'Control (Don’t Touch)'!$E$4:$E$30,0),99))</f>
        <v>9</v>
      </c>
      <c r="M16" s="147">
        <f>IF($B16="","",IFERROR(MATCH($F16,'Control (Don’t Touch)'!$B$4:$B$30,0),99))</f>
        <v>5</v>
      </c>
      <c r="N16" s="147">
        <f t="shared" si="2"/>
        <v>9050016</v>
      </c>
      <c r="O16" s="147">
        <f>IF($B16="","",COUNTIF($N$2:$N$204,"&lt;"&amp;$N16)+1)</f>
        <v>43</v>
      </c>
      <c r="P16" s="149" t="str">
        <f ca="1">IF($K16="","",IFERROR(DATE(IFERROR(VALUE(RIGHT(TRIM(INDEX('Dev Tracker'!$I$2:$I$196,$K16)),4)),YEAR(TODAY())),MATCH(LEFT(TRIM(INDEX('Dev Tracker'!$I$2:$I$196,$K16)),3),$U$2:$U$12,0),1),""))</f>
        <v/>
      </c>
      <c r="Q16" s="149" t="str">
        <f ca="1">IF($K16="","",IFERROR(DATE(IFERROR(VALUE(RIGHT(TRIM(INDEX('Dev Tracker'!$J$2:$J$196,$K16)),4)),YEAR(TODAY())),MATCH(LEFT(TRIM(INDEX('Dev Tracker'!$J$2:$J$196,$K16)),3),$U$2:$U$12,0),1),""))</f>
        <v/>
      </c>
      <c r="R16" s="147"/>
      <c r="S16" s="147">
        <f>IF($B16="","",COUNTA('UX Weekly'!$H16:$CT16))</f>
        <v>4</v>
      </c>
      <c r="W16">
        <f>IF($B16="",0,COUNTIFS('UX Weekly'!$H$1:$CT$1,"&gt;="&amp;W$1,'UX Weekly'!$H$1:$CT$1,"&lt;="&amp;EOMONTH(W$1,0),'UX Weekly'!$H16:$CT16,"&lt;&gt;"))</f>
        <v>0</v>
      </c>
      <c r="X16">
        <f>IF($B16="",0,COUNTIFS('UX Weekly'!$H$1:$CT$1,"&gt;="&amp;X$1,'UX Weekly'!$H$1:$CT$1,"&lt;="&amp;EOMONTH(X$1,0),'UX Weekly'!$H16:$CT16,"&lt;&gt;"))</f>
        <v>0</v>
      </c>
      <c r="Y16">
        <f>IF($B16="",0,COUNTIFS('UX Weekly'!$H$1:$CT$1,"&gt;="&amp;Y$1,'UX Weekly'!$H$1:$CT$1,"&lt;="&amp;EOMONTH(Y$1,0),'UX Weekly'!$H16:$CT16,"&lt;&gt;"))</f>
        <v>0</v>
      </c>
      <c r="Z16">
        <f>IF($B16="",0,COUNTIFS('UX Weekly'!$H$1:$CT$1,"&gt;="&amp;Z$1,'UX Weekly'!$H$1:$CT$1,"&lt;="&amp;EOMONTH(Z$1,0),'UX Weekly'!$H16:$CT16,"&lt;&gt;"))</f>
        <v>0</v>
      </c>
      <c r="AA16">
        <f>IF($B16="",0,COUNTIFS('UX Weekly'!$H$1:$CT$1,"&gt;="&amp;AA$1,'UX Weekly'!$H$1:$CT$1,"&lt;="&amp;EOMONTH(AA$1,0),'UX Weekly'!$H16:$CT16,"&lt;&gt;"))</f>
        <v>0</v>
      </c>
      <c r="AB16">
        <f>IF($B16="",0,COUNTIFS('UX Weekly'!$H$1:$CT$1,"&gt;="&amp;AB$1,'UX Weekly'!$H$1:$CT$1,"&lt;="&amp;EOMONTH(AB$1,0),'UX Weekly'!$H16:$CT16,"&lt;&gt;"))</f>
        <v>0</v>
      </c>
      <c r="AC16">
        <f>IF($B16="",0,COUNTIFS('UX Weekly'!$H$1:$CT$1,"&gt;="&amp;AC$1,'UX Weekly'!$H$1:$CT$1,"&lt;="&amp;EOMONTH(AC$1,0),'UX Weekly'!$H16:$CT16,"&lt;&gt;"))</f>
        <v>0</v>
      </c>
      <c r="AD16">
        <f>IF($B16="",0,COUNTIFS('UX Weekly'!$H$1:$CT$1,"&gt;="&amp;AD$1,'UX Weekly'!$H$1:$CT$1,"&lt;="&amp;EOMONTH(AD$1,0),'UX Weekly'!$H16:$CT16,"&lt;&gt;"))</f>
        <v>3</v>
      </c>
      <c r="AE16">
        <f>IF($B16="",0,COUNTIFS('UX Weekly'!$H$1:$CT$1,"&gt;="&amp;AE$1,'UX Weekly'!$H$1:$CT$1,"&lt;="&amp;EOMONTH(AE$1,0),'UX Weekly'!$H16:$CT16,"&lt;&gt;"))</f>
        <v>1</v>
      </c>
      <c r="AF16">
        <f>IF($B16="",0,COUNTIFS('UX Weekly'!$H$1:$CT$1,"&gt;="&amp;AF$1,'UX Weekly'!$H$1:$CT$1,"&lt;="&amp;EOMONTH(AF$1,0),'UX Weekly'!$H16:$CT16,"&lt;&gt;"))</f>
        <v>0</v>
      </c>
      <c r="AG16">
        <f>IF($B16="",0,COUNTIFS('UX Weekly'!$H$1:$CT$1,"&gt;="&amp;AG$1,'UX Weekly'!$H$1:$CT$1,"&lt;="&amp;EOMONTH(AG$1,0),'UX Weekly'!$H16:$CT16,"&lt;&gt;"))</f>
        <v>0</v>
      </c>
      <c r="AH16">
        <f>IF($B16="",0,COUNTIFS('UX Weekly'!$H$1:$CT$1,"&gt;="&amp;AH$1,'UX Weekly'!$H$1:$CT$1,"&lt;="&amp;EOMONTH(AH$1,0),'UX Weekly'!$H16:$CT16,"&lt;&gt;"))</f>
        <v>0</v>
      </c>
      <c r="AI16">
        <f>IF($B16="",0,COUNTIFS('UX Weekly'!$H$1:$CT$1,"&gt;="&amp;AI$1,'UX Weekly'!$H$1:$CT$1,"&lt;="&amp;EOMONTH(AI$1,0),'UX Weekly'!$H16:$CT16,"&lt;&gt;"))</f>
        <v>0</v>
      </c>
      <c r="AJ16">
        <f>IF($B16="",0,COUNTIFS('UX Weekly'!$H$1:$CT$1,"&gt;="&amp;AJ$1,'UX Weekly'!$H$1:$CT$1,"&lt;="&amp;EOMONTH(AJ$1,0),'UX Weekly'!$H16:$CT16,"&lt;&gt;"))</f>
        <v>0</v>
      </c>
      <c r="AK16">
        <f>IF($B16="",0,COUNTIFS('UX Weekly'!$H$1:$CT$1,"&gt;="&amp;AK$1,'UX Weekly'!$H$1:$CT$1,"&lt;="&amp;EOMONTH(AK$1,0),'UX Weekly'!$H16:$CT16,"&lt;&gt;"))</f>
        <v>0</v>
      </c>
      <c r="AL16">
        <f>IF($B16="",0,COUNTIFS('UX Weekly'!$H$1:$CT$1,"&gt;="&amp;AL$1,'UX Weekly'!$H$1:$CT$1,"&lt;="&amp;EOMONTH(AL$1,0),'UX Weekly'!$H16:$CT16,"&lt;&gt;"))</f>
        <v>0</v>
      </c>
      <c r="AM16">
        <f>IF($B16="",0,COUNTIFS('UX Weekly'!$H$1:$CT$1,"&gt;="&amp;AM$1,'UX Weekly'!$H$1:$CT$1,"&lt;="&amp;EOMONTH(AM$1,0),'UX Weekly'!$H16:$CT16,"&lt;&gt;"))</f>
        <v>0</v>
      </c>
      <c r="AN16">
        <f>IF($B16="",0,COUNTIFS('UX Weekly'!$H$1:$CT$1,"&gt;="&amp;AN$1,'UX Weekly'!$H$1:$CT$1,"&lt;="&amp;EOMONTH(AN$1,0),'UX Weekly'!$H16:$CT16,"&lt;&gt;"))</f>
        <v>0</v>
      </c>
      <c r="AO16">
        <f>IF($B16="",0,COUNTIFS('UX Weekly'!$H$1:$CT$1,"&gt;="&amp;AO$1,'UX Weekly'!$H$1:$CT$1,"&lt;="&amp;EOMONTH(AO$1,0),'UX Weekly'!$H16:$CT16,"&lt;&gt;"))</f>
        <v>0</v>
      </c>
      <c r="AP16">
        <f>IF($B16="",0,COUNTIFS('UX Weekly'!$H$1:$CT$1,"&gt;="&amp;AP$1,'UX Weekly'!$H$1:$CT$1,"&lt;="&amp;EOMONTH(AP$1,0),'UX Weekly'!$H16:$CT16,"&lt;&gt;"))</f>
        <v>0</v>
      </c>
      <c r="AQ16">
        <f>IF($B16="",0,COUNTIFS('UX Weekly'!$H$1:$CT$1,"&gt;="&amp;AQ$1,'UX Weekly'!$H$1:$CT$1,"&lt;="&amp;EOMONTH(AQ$1,0),'UX Weekly'!$H16:$CT16,"&lt;&gt;"))</f>
        <v>0</v>
      </c>
      <c r="AR16">
        <f>IF($B16="",0,COUNTIFS('UX Weekly'!$H$1:$CT$1,"&gt;="&amp;AR$1,'UX Weekly'!$H$1:$CT$1,"&lt;="&amp;EOMONTH(AR$1,0),'UX Weekly'!$H16:$CT16,"&lt;&gt;"))</f>
        <v>0</v>
      </c>
      <c r="AS16">
        <f>IF($B16="",0,COUNTIFS('UX Weekly'!$H$1:$CT$1,"&gt;="&amp;AS$1,'UX Weekly'!$H$1:$CT$1,"&lt;="&amp;EOMONTH(AS$1,0),'UX Weekly'!$H16:$CT16,"&lt;&gt;"))</f>
        <v>0</v>
      </c>
      <c r="AT16">
        <f>IF($B16="",0,COUNTIFS('UX Weekly'!$H$1:$CT$1,"&gt;="&amp;AT$1,'UX Weekly'!$H$1:$CT$1,"&lt;="&amp;EOMONTH(AT$1,0),'UX Weekly'!$H16:$CT16,"&lt;&gt;"))</f>
        <v>0</v>
      </c>
    </row>
    <row r="17" spans="1:46" x14ac:dyDescent="0.2">
      <c r="A17" s="147">
        <v>18</v>
      </c>
      <c r="B17" s="147" t="str">
        <f>IF(TRIM('UX Weekly'!E17)="","",TRIM('UX Weekly'!E17))</f>
        <v>Add New | Used tab to all listing pages and search results pages</v>
      </c>
      <c r="C17" s="147" t="str">
        <f>IF($B17="","",'UX Weekly'!B17)</f>
        <v>Used</v>
      </c>
      <c r="D17" s="147" t="str">
        <f>IF($B17="","",IF(TRIM('UX Weekly'!C17)="","(No theme assigned)",TRIM('UX Weekly'!C17)))</f>
        <v>Increase Buy Used Awareness</v>
      </c>
      <c r="E17" s="147" t="str">
        <f>IF($B17="","",TRIM('UX Weekly'!F17))</f>
        <v>BHUX-35303</v>
      </c>
      <c r="F17" s="147" t="str">
        <f>IF($B17="","",'UX Weekly'!G17)</f>
        <v>03. UX Discovery</v>
      </c>
      <c r="G17" s="148">
        <f t="array" ref="G17">IF($B17="","",IF($S17=0,"",IFERROR(MIN(IF('UX Weekly'!$H17:$CT17&lt;&gt;"",'UX Weekly'!$H$1:$CT$1)),"")))</f>
        <v>46258</v>
      </c>
      <c r="H17" s="148">
        <f t="array" ref="H17">IF($B17="","",IF($S17=0,"",IFERROR(MAX(IF('UX Weekly'!$H17:$CT17&lt;&gt;"",'UX Weekly'!$H$1:$CT$1)),"")))</f>
        <v>46279</v>
      </c>
      <c r="I17" s="149">
        <f t="shared" ca="1" si="0"/>
        <v>46296</v>
      </c>
      <c r="J17" s="149">
        <f t="shared" ca="1" si="1"/>
        <v>46326</v>
      </c>
      <c r="K17" s="147">
        <f>IF($B17="","",IFERROR(MATCH($B17,'Dev Tracker'!$D$2:$D$196,0),IF($E17="","",IFERROR(MATCH($E17,'Dev Tracker'!$E$2:$E$196,0),""))))</f>
        <v>16</v>
      </c>
      <c r="L17" s="147">
        <f>IF($B17="","",IFERROR(MATCH($D17,'Control (Don’t Touch)'!$E$4:$E$30,0),99))</f>
        <v>5</v>
      </c>
      <c r="M17" s="147">
        <f>IF($B17="","",IFERROR(MATCH($F17,'Control (Don’t Touch)'!$B$4:$B$30,0),99))</f>
        <v>5</v>
      </c>
      <c r="N17" s="147">
        <f t="shared" si="2"/>
        <v>5050017</v>
      </c>
      <c r="O17" s="147">
        <f>IF($B17="","",COUNTIF($N$2:$N$204,"&lt;"&amp;$N17)+1)</f>
        <v>25</v>
      </c>
      <c r="P17" s="149">
        <f ca="1">IF($K17="","",IFERROR(DATE(IFERROR(VALUE(RIGHT(TRIM(INDEX('Dev Tracker'!$I$2:$I$196,$K17)),4)),YEAR(TODAY())),MATCH(LEFT(TRIM(INDEX('Dev Tracker'!$I$2:$I$196,$K17)),3),$U$2:$U$12,0),1),""))</f>
        <v>46296</v>
      </c>
      <c r="Q17" s="149">
        <f ca="1">IF($K17="","",IFERROR(DATE(IFERROR(VALUE(RIGHT(TRIM(INDEX('Dev Tracker'!$J$2:$J$196,$K17)),4)),YEAR(TODAY())),MATCH(LEFT(TRIM(INDEX('Dev Tracker'!$J$2:$J$196,$K17)),3),$U$2:$U$12,0),1),""))</f>
        <v>46296</v>
      </c>
      <c r="R17" s="147"/>
      <c r="S17" s="147">
        <f>IF($B17="","",COUNTA('UX Weekly'!$H17:$CT17))</f>
        <v>4</v>
      </c>
      <c r="W17">
        <f>IF($B17="",0,COUNTIFS('UX Weekly'!$H$1:$CT$1,"&gt;="&amp;W$1,'UX Weekly'!$H$1:$CT$1,"&lt;="&amp;EOMONTH(W$1,0),'UX Weekly'!$H17:$CT17,"&lt;&gt;"))</f>
        <v>0</v>
      </c>
      <c r="X17">
        <f>IF($B17="",0,COUNTIFS('UX Weekly'!$H$1:$CT$1,"&gt;="&amp;X$1,'UX Weekly'!$H$1:$CT$1,"&lt;="&amp;EOMONTH(X$1,0),'UX Weekly'!$H17:$CT17,"&lt;&gt;"))</f>
        <v>0</v>
      </c>
      <c r="Y17">
        <f>IF($B17="",0,COUNTIFS('UX Weekly'!$H$1:$CT$1,"&gt;="&amp;Y$1,'UX Weekly'!$H$1:$CT$1,"&lt;="&amp;EOMONTH(Y$1,0),'UX Weekly'!$H17:$CT17,"&lt;&gt;"))</f>
        <v>0</v>
      </c>
      <c r="Z17">
        <f>IF($B17="",0,COUNTIFS('UX Weekly'!$H$1:$CT$1,"&gt;="&amp;Z$1,'UX Weekly'!$H$1:$CT$1,"&lt;="&amp;EOMONTH(Z$1,0),'UX Weekly'!$H17:$CT17,"&lt;&gt;"))</f>
        <v>0</v>
      </c>
      <c r="AA17">
        <f>IF($B17="",0,COUNTIFS('UX Weekly'!$H$1:$CT$1,"&gt;="&amp;AA$1,'UX Weekly'!$H$1:$CT$1,"&lt;="&amp;EOMONTH(AA$1,0),'UX Weekly'!$H17:$CT17,"&lt;&gt;"))</f>
        <v>0</v>
      </c>
      <c r="AB17">
        <f>IF($B17="",0,COUNTIFS('UX Weekly'!$H$1:$CT$1,"&gt;="&amp;AB$1,'UX Weekly'!$H$1:$CT$1,"&lt;="&amp;EOMONTH(AB$1,0),'UX Weekly'!$H17:$CT17,"&lt;&gt;"))</f>
        <v>0</v>
      </c>
      <c r="AC17">
        <f>IF($B17="",0,COUNTIFS('UX Weekly'!$H$1:$CT$1,"&gt;="&amp;AC$1,'UX Weekly'!$H$1:$CT$1,"&lt;="&amp;EOMONTH(AC$1,0),'UX Weekly'!$H17:$CT17,"&lt;&gt;"))</f>
        <v>0</v>
      </c>
      <c r="AD17">
        <f>IF($B17="",0,COUNTIFS('UX Weekly'!$H$1:$CT$1,"&gt;="&amp;AD$1,'UX Weekly'!$H$1:$CT$1,"&lt;="&amp;EOMONTH(AD$1,0),'UX Weekly'!$H17:$CT17,"&lt;&gt;"))</f>
        <v>2</v>
      </c>
      <c r="AE17">
        <f>IF($B17="",0,COUNTIFS('UX Weekly'!$H$1:$CT$1,"&gt;="&amp;AE$1,'UX Weekly'!$H$1:$CT$1,"&lt;="&amp;EOMONTH(AE$1,0),'UX Weekly'!$H17:$CT17,"&lt;&gt;"))</f>
        <v>2</v>
      </c>
      <c r="AF17">
        <f>IF($B17="",0,COUNTIFS('UX Weekly'!$H$1:$CT$1,"&gt;="&amp;AF$1,'UX Weekly'!$H$1:$CT$1,"&lt;="&amp;EOMONTH(AF$1,0),'UX Weekly'!$H17:$CT17,"&lt;&gt;"))</f>
        <v>0</v>
      </c>
      <c r="AG17">
        <f>IF($B17="",0,COUNTIFS('UX Weekly'!$H$1:$CT$1,"&gt;="&amp;AG$1,'UX Weekly'!$H$1:$CT$1,"&lt;="&amp;EOMONTH(AG$1,0),'UX Weekly'!$H17:$CT17,"&lt;&gt;"))</f>
        <v>0</v>
      </c>
      <c r="AH17">
        <f>IF($B17="",0,COUNTIFS('UX Weekly'!$H$1:$CT$1,"&gt;="&amp;AH$1,'UX Weekly'!$H$1:$CT$1,"&lt;="&amp;EOMONTH(AH$1,0),'UX Weekly'!$H17:$CT17,"&lt;&gt;"))</f>
        <v>0</v>
      </c>
      <c r="AI17">
        <f>IF($B17="",0,COUNTIFS('UX Weekly'!$H$1:$CT$1,"&gt;="&amp;AI$1,'UX Weekly'!$H$1:$CT$1,"&lt;="&amp;EOMONTH(AI$1,0),'UX Weekly'!$H17:$CT17,"&lt;&gt;"))</f>
        <v>0</v>
      </c>
      <c r="AJ17">
        <f>IF($B17="",0,COUNTIFS('UX Weekly'!$H$1:$CT$1,"&gt;="&amp;AJ$1,'UX Weekly'!$H$1:$CT$1,"&lt;="&amp;EOMONTH(AJ$1,0),'UX Weekly'!$H17:$CT17,"&lt;&gt;"))</f>
        <v>0</v>
      </c>
      <c r="AK17">
        <f>IF($B17="",0,COUNTIFS('UX Weekly'!$H$1:$CT$1,"&gt;="&amp;AK$1,'UX Weekly'!$H$1:$CT$1,"&lt;="&amp;EOMONTH(AK$1,0),'UX Weekly'!$H17:$CT17,"&lt;&gt;"))</f>
        <v>0</v>
      </c>
      <c r="AL17">
        <f>IF($B17="",0,COUNTIFS('UX Weekly'!$H$1:$CT$1,"&gt;="&amp;AL$1,'UX Weekly'!$H$1:$CT$1,"&lt;="&amp;EOMONTH(AL$1,0),'UX Weekly'!$H17:$CT17,"&lt;&gt;"))</f>
        <v>0</v>
      </c>
      <c r="AM17">
        <f>IF($B17="",0,COUNTIFS('UX Weekly'!$H$1:$CT$1,"&gt;="&amp;AM$1,'UX Weekly'!$H$1:$CT$1,"&lt;="&amp;EOMONTH(AM$1,0),'UX Weekly'!$H17:$CT17,"&lt;&gt;"))</f>
        <v>0</v>
      </c>
      <c r="AN17">
        <f>IF($B17="",0,COUNTIFS('UX Weekly'!$H$1:$CT$1,"&gt;="&amp;AN$1,'UX Weekly'!$H$1:$CT$1,"&lt;="&amp;EOMONTH(AN$1,0),'UX Weekly'!$H17:$CT17,"&lt;&gt;"))</f>
        <v>0</v>
      </c>
      <c r="AO17">
        <f>IF($B17="",0,COUNTIFS('UX Weekly'!$H$1:$CT$1,"&gt;="&amp;AO$1,'UX Weekly'!$H$1:$CT$1,"&lt;="&amp;EOMONTH(AO$1,0),'UX Weekly'!$H17:$CT17,"&lt;&gt;"))</f>
        <v>0</v>
      </c>
      <c r="AP17">
        <f>IF($B17="",0,COUNTIFS('UX Weekly'!$H$1:$CT$1,"&gt;="&amp;AP$1,'UX Weekly'!$H$1:$CT$1,"&lt;="&amp;EOMONTH(AP$1,0),'UX Weekly'!$H17:$CT17,"&lt;&gt;"))</f>
        <v>0</v>
      </c>
      <c r="AQ17">
        <f>IF($B17="",0,COUNTIFS('UX Weekly'!$H$1:$CT$1,"&gt;="&amp;AQ$1,'UX Weekly'!$H$1:$CT$1,"&lt;="&amp;EOMONTH(AQ$1,0),'UX Weekly'!$H17:$CT17,"&lt;&gt;"))</f>
        <v>0</v>
      </c>
      <c r="AR17">
        <f>IF($B17="",0,COUNTIFS('UX Weekly'!$H$1:$CT$1,"&gt;="&amp;AR$1,'UX Weekly'!$H$1:$CT$1,"&lt;="&amp;EOMONTH(AR$1,0),'UX Weekly'!$H17:$CT17,"&lt;&gt;"))</f>
        <v>0</v>
      </c>
      <c r="AS17">
        <f>IF($B17="",0,COUNTIFS('UX Weekly'!$H$1:$CT$1,"&gt;="&amp;AS$1,'UX Weekly'!$H$1:$CT$1,"&lt;="&amp;EOMONTH(AS$1,0),'UX Weekly'!$H17:$CT17,"&lt;&gt;"))</f>
        <v>0</v>
      </c>
      <c r="AT17">
        <f>IF($B17="",0,COUNTIFS('UX Weekly'!$H$1:$CT$1,"&gt;="&amp;AT$1,'UX Weekly'!$H$1:$CT$1,"&lt;="&amp;EOMONTH(AT$1,0),'UX Weekly'!$H17:$CT17,"&lt;&gt;"))</f>
        <v>0</v>
      </c>
    </row>
    <row r="18" spans="1:46" x14ac:dyDescent="0.2">
      <c r="A18" s="147">
        <v>19</v>
      </c>
      <c r="B18" s="147" t="str">
        <f>IF(TRIM('UX Weekly'!E18)="","",TRIM('UX Weekly'!E18))</f>
        <v>Highlighted Refinements Enhancement</v>
      </c>
      <c r="C18" s="147" t="str">
        <f>IF($B18="","",'UX Weekly'!B18)</f>
        <v>Find</v>
      </c>
      <c r="D18" s="147" t="str">
        <f>IF($B18="","",IF(TRIM('UX Weekly'!C18)="","(No theme assigned)",TRIM('UX Weekly'!C18)))</f>
        <v>Improve Discovery</v>
      </c>
      <c r="E18" s="147" t="str">
        <f>IF($B18="","",TRIM('UX Weekly'!F18))</f>
        <v>BHUX-35302 </v>
      </c>
      <c r="F18" s="147" t="str">
        <f>IF($B18="","",'UX Weekly'!G18)</f>
        <v>04. UX Design</v>
      </c>
      <c r="G18" s="148">
        <f t="array" ref="G18">IF($B18="","",IF($S18=0,"",IFERROR(MIN(IF('UX Weekly'!$H18:$CT18&lt;&gt;"",'UX Weekly'!$H$1:$CT$1)),"")))</f>
        <v>46258</v>
      </c>
      <c r="H18" s="148">
        <f t="array" ref="H18">IF($B18="","",IF($S18=0,"",IFERROR(MAX(IF('UX Weekly'!$H18:$CT18&lt;&gt;"",'UX Weekly'!$H$1:$CT$1)),"")))</f>
        <v>46279</v>
      </c>
      <c r="I18" s="149" t="str">
        <f t="shared" ca="1" si="0"/>
        <v/>
      </c>
      <c r="J18" s="149" t="str">
        <f t="shared" ca="1" si="1"/>
        <v/>
      </c>
      <c r="K18" s="147">
        <f>IF($B18="","",IFERROR(MATCH($B18,'Dev Tracker'!$D$2:$D$196,0),IF($E18="","",IFERROR(MATCH($E18,'Dev Tracker'!$E$2:$E$196,0),""))))</f>
        <v>17</v>
      </c>
      <c r="L18" s="147">
        <f>IF($B18="","",IFERROR(MATCH($D18,'Control (Don’t Touch)'!$E$4:$E$30,0),99))</f>
        <v>1</v>
      </c>
      <c r="M18" s="147">
        <f>IF($B18="","",IFERROR(MATCH($F18,'Control (Don’t Touch)'!$B$4:$B$30,0),99))</f>
        <v>6</v>
      </c>
      <c r="N18" s="147">
        <f t="shared" si="2"/>
        <v>1060018</v>
      </c>
      <c r="O18" s="147">
        <f>IF($B18="","",COUNTIF($N$2:$N$204,"&lt;"&amp;$N18)+1)</f>
        <v>1</v>
      </c>
      <c r="P18" s="149" t="str">
        <f ca="1">IF($K18="","",IFERROR(DATE(IFERROR(VALUE(RIGHT(TRIM(INDEX('Dev Tracker'!$I$2:$I$196,$K18)),4)),YEAR(TODAY())),MATCH(LEFT(TRIM(INDEX('Dev Tracker'!$I$2:$I$196,$K18)),3),$U$2:$U$12,0),1),""))</f>
        <v/>
      </c>
      <c r="Q18" s="149" t="str">
        <f ca="1">IF($K18="","",IFERROR(DATE(IFERROR(VALUE(RIGHT(TRIM(INDEX('Dev Tracker'!$J$2:$J$196,$K18)),4)),YEAR(TODAY())),MATCH(LEFT(TRIM(INDEX('Dev Tracker'!$J$2:$J$196,$K18)),3),$U$2:$U$12,0),1),""))</f>
        <v/>
      </c>
      <c r="R18" s="147"/>
      <c r="S18" s="147">
        <f>IF($B18="","",COUNTA('UX Weekly'!$H18:$CT18))</f>
        <v>4</v>
      </c>
      <c r="W18">
        <f>IF($B18="",0,COUNTIFS('UX Weekly'!$H$1:$CT$1,"&gt;="&amp;W$1,'UX Weekly'!$H$1:$CT$1,"&lt;="&amp;EOMONTH(W$1,0),'UX Weekly'!$H18:$CT18,"&lt;&gt;"))</f>
        <v>0</v>
      </c>
      <c r="X18">
        <f>IF($B18="",0,COUNTIFS('UX Weekly'!$H$1:$CT$1,"&gt;="&amp;X$1,'UX Weekly'!$H$1:$CT$1,"&lt;="&amp;EOMONTH(X$1,0),'UX Weekly'!$H18:$CT18,"&lt;&gt;"))</f>
        <v>0</v>
      </c>
      <c r="Y18">
        <f>IF($B18="",0,COUNTIFS('UX Weekly'!$H$1:$CT$1,"&gt;="&amp;Y$1,'UX Weekly'!$H$1:$CT$1,"&lt;="&amp;EOMONTH(Y$1,0),'UX Weekly'!$H18:$CT18,"&lt;&gt;"))</f>
        <v>0</v>
      </c>
      <c r="Z18">
        <f>IF($B18="",0,COUNTIFS('UX Weekly'!$H$1:$CT$1,"&gt;="&amp;Z$1,'UX Weekly'!$H$1:$CT$1,"&lt;="&amp;EOMONTH(Z$1,0),'UX Weekly'!$H18:$CT18,"&lt;&gt;"))</f>
        <v>0</v>
      </c>
      <c r="AA18">
        <f>IF($B18="",0,COUNTIFS('UX Weekly'!$H$1:$CT$1,"&gt;="&amp;AA$1,'UX Weekly'!$H$1:$CT$1,"&lt;="&amp;EOMONTH(AA$1,0),'UX Weekly'!$H18:$CT18,"&lt;&gt;"))</f>
        <v>0</v>
      </c>
      <c r="AB18">
        <f>IF($B18="",0,COUNTIFS('UX Weekly'!$H$1:$CT$1,"&gt;="&amp;AB$1,'UX Weekly'!$H$1:$CT$1,"&lt;="&amp;EOMONTH(AB$1,0),'UX Weekly'!$H18:$CT18,"&lt;&gt;"))</f>
        <v>0</v>
      </c>
      <c r="AC18">
        <f>IF($B18="",0,COUNTIFS('UX Weekly'!$H$1:$CT$1,"&gt;="&amp;AC$1,'UX Weekly'!$H$1:$CT$1,"&lt;="&amp;EOMONTH(AC$1,0),'UX Weekly'!$H18:$CT18,"&lt;&gt;"))</f>
        <v>0</v>
      </c>
      <c r="AD18">
        <f>IF($B18="",0,COUNTIFS('UX Weekly'!$H$1:$CT$1,"&gt;="&amp;AD$1,'UX Weekly'!$H$1:$CT$1,"&lt;="&amp;EOMONTH(AD$1,0),'UX Weekly'!$H18:$CT18,"&lt;&gt;"))</f>
        <v>2</v>
      </c>
      <c r="AE18">
        <f>IF($B18="",0,COUNTIFS('UX Weekly'!$H$1:$CT$1,"&gt;="&amp;AE$1,'UX Weekly'!$H$1:$CT$1,"&lt;="&amp;EOMONTH(AE$1,0),'UX Weekly'!$H18:$CT18,"&lt;&gt;"))</f>
        <v>2</v>
      </c>
      <c r="AF18">
        <f>IF($B18="",0,COUNTIFS('UX Weekly'!$H$1:$CT$1,"&gt;="&amp;AF$1,'UX Weekly'!$H$1:$CT$1,"&lt;="&amp;EOMONTH(AF$1,0),'UX Weekly'!$H18:$CT18,"&lt;&gt;"))</f>
        <v>0</v>
      </c>
      <c r="AG18">
        <f>IF($B18="",0,COUNTIFS('UX Weekly'!$H$1:$CT$1,"&gt;="&amp;AG$1,'UX Weekly'!$H$1:$CT$1,"&lt;="&amp;EOMONTH(AG$1,0),'UX Weekly'!$H18:$CT18,"&lt;&gt;"))</f>
        <v>0</v>
      </c>
      <c r="AH18">
        <f>IF($B18="",0,COUNTIFS('UX Weekly'!$H$1:$CT$1,"&gt;="&amp;AH$1,'UX Weekly'!$H$1:$CT$1,"&lt;="&amp;EOMONTH(AH$1,0),'UX Weekly'!$H18:$CT18,"&lt;&gt;"))</f>
        <v>0</v>
      </c>
      <c r="AI18">
        <f>IF($B18="",0,COUNTIFS('UX Weekly'!$H$1:$CT$1,"&gt;="&amp;AI$1,'UX Weekly'!$H$1:$CT$1,"&lt;="&amp;EOMONTH(AI$1,0),'UX Weekly'!$H18:$CT18,"&lt;&gt;"))</f>
        <v>0</v>
      </c>
      <c r="AJ18">
        <f>IF($B18="",0,COUNTIFS('UX Weekly'!$H$1:$CT$1,"&gt;="&amp;AJ$1,'UX Weekly'!$H$1:$CT$1,"&lt;="&amp;EOMONTH(AJ$1,0),'UX Weekly'!$H18:$CT18,"&lt;&gt;"))</f>
        <v>0</v>
      </c>
      <c r="AK18">
        <f>IF($B18="",0,COUNTIFS('UX Weekly'!$H$1:$CT$1,"&gt;="&amp;AK$1,'UX Weekly'!$H$1:$CT$1,"&lt;="&amp;EOMONTH(AK$1,0),'UX Weekly'!$H18:$CT18,"&lt;&gt;"))</f>
        <v>0</v>
      </c>
      <c r="AL18">
        <f>IF($B18="",0,COUNTIFS('UX Weekly'!$H$1:$CT$1,"&gt;="&amp;AL$1,'UX Weekly'!$H$1:$CT$1,"&lt;="&amp;EOMONTH(AL$1,0),'UX Weekly'!$H18:$CT18,"&lt;&gt;"))</f>
        <v>0</v>
      </c>
      <c r="AM18">
        <f>IF($B18="",0,COUNTIFS('UX Weekly'!$H$1:$CT$1,"&gt;="&amp;AM$1,'UX Weekly'!$H$1:$CT$1,"&lt;="&amp;EOMONTH(AM$1,0),'UX Weekly'!$H18:$CT18,"&lt;&gt;"))</f>
        <v>0</v>
      </c>
      <c r="AN18">
        <f>IF($B18="",0,COUNTIFS('UX Weekly'!$H$1:$CT$1,"&gt;="&amp;AN$1,'UX Weekly'!$H$1:$CT$1,"&lt;="&amp;EOMONTH(AN$1,0),'UX Weekly'!$H18:$CT18,"&lt;&gt;"))</f>
        <v>0</v>
      </c>
      <c r="AO18">
        <f>IF($B18="",0,COUNTIFS('UX Weekly'!$H$1:$CT$1,"&gt;="&amp;AO$1,'UX Weekly'!$H$1:$CT$1,"&lt;="&amp;EOMONTH(AO$1,0),'UX Weekly'!$H18:$CT18,"&lt;&gt;"))</f>
        <v>0</v>
      </c>
      <c r="AP18">
        <f>IF($B18="",0,COUNTIFS('UX Weekly'!$H$1:$CT$1,"&gt;="&amp;AP$1,'UX Weekly'!$H$1:$CT$1,"&lt;="&amp;EOMONTH(AP$1,0),'UX Weekly'!$H18:$CT18,"&lt;&gt;"))</f>
        <v>0</v>
      </c>
      <c r="AQ18">
        <f>IF($B18="",0,COUNTIFS('UX Weekly'!$H$1:$CT$1,"&gt;="&amp;AQ$1,'UX Weekly'!$H$1:$CT$1,"&lt;="&amp;EOMONTH(AQ$1,0),'UX Weekly'!$H18:$CT18,"&lt;&gt;"))</f>
        <v>0</v>
      </c>
      <c r="AR18">
        <f>IF($B18="",0,COUNTIFS('UX Weekly'!$H$1:$CT$1,"&gt;="&amp;AR$1,'UX Weekly'!$H$1:$CT$1,"&lt;="&amp;EOMONTH(AR$1,0),'UX Weekly'!$H18:$CT18,"&lt;&gt;"))</f>
        <v>0</v>
      </c>
      <c r="AS18">
        <f>IF($B18="",0,COUNTIFS('UX Weekly'!$H$1:$CT$1,"&gt;="&amp;AS$1,'UX Weekly'!$H$1:$CT$1,"&lt;="&amp;EOMONTH(AS$1,0),'UX Weekly'!$H18:$CT18,"&lt;&gt;"))</f>
        <v>0</v>
      </c>
      <c r="AT18">
        <f>IF($B18="",0,COUNTIFS('UX Weekly'!$H$1:$CT$1,"&gt;="&amp;AT$1,'UX Weekly'!$H$1:$CT$1,"&lt;="&amp;EOMONTH(AT$1,0),'UX Weekly'!$H18:$CT18,"&lt;&gt;"))</f>
        <v>0</v>
      </c>
    </row>
    <row r="19" spans="1:46" x14ac:dyDescent="0.2">
      <c r="A19" s="147">
        <v>20</v>
      </c>
      <c r="B19" s="147" t="str">
        <f>IF(TRIM('UX Weekly'!E19)="","",TRIM('UX Weekly'!E19))</f>
        <v>Trade In Email - Comprehensive Refresh Discovery</v>
      </c>
      <c r="C19" s="147" t="str">
        <f>IF($B19="","",'UX Weekly'!B19)</f>
        <v>Used</v>
      </c>
      <c r="D19" s="147" t="str">
        <f>IF($B19="","",IF(TRIM('UX Weekly'!C19)="","(No theme assigned)",TRIM('UX Weekly'!C19)))</f>
        <v>Improve Trade In User Flow</v>
      </c>
      <c r="E19" s="147" t="str">
        <f>IF($B19="","",TRIM('UX Weekly'!F19))</f>
        <v>BHUX-34772</v>
      </c>
      <c r="F19" s="147" t="str">
        <f>IF($B19="","",'UX Weekly'!G19)</f>
        <v>04. UX Design</v>
      </c>
      <c r="G19" s="148">
        <f t="array" ref="G19">IF($B19="","",IF($S19=0,"",IFERROR(MIN(IF('UX Weekly'!$H19:$CT19&lt;&gt;"",'UX Weekly'!$H$1:$CT$1)),"")))</f>
        <v>46216</v>
      </c>
      <c r="H19" s="148">
        <f t="array" ref="H19">IF($B19="","",IF($S19=0,"",IFERROR(MAX(IF('UX Weekly'!$H19:$CT19&lt;&gt;"",'UX Weekly'!$H$1:$CT$1)),"")))</f>
        <v>46237</v>
      </c>
      <c r="I19" s="149" t="str">
        <f t="shared" ca="1" si="0"/>
        <v/>
      </c>
      <c r="J19" s="149" t="str">
        <f t="shared" ca="1" si="1"/>
        <v/>
      </c>
      <c r="K19" s="147">
        <f>IF($B19="","",IFERROR(MATCH($B19,'Dev Tracker'!$D$2:$D$196,0),IF($E19="","",IFERROR(MATCH($E19,'Dev Tracker'!$E$2:$E$196,0),""))))</f>
        <v>18</v>
      </c>
      <c r="L19" s="147">
        <f>IF($B19="","",IFERROR(MATCH($D19,'Control (Don’t Touch)'!$E$4:$E$30,0),99))</f>
        <v>3</v>
      </c>
      <c r="M19" s="147">
        <f>IF($B19="","",IFERROR(MATCH($F19,'Control (Don’t Touch)'!$B$4:$B$30,0),99))</f>
        <v>6</v>
      </c>
      <c r="N19" s="147">
        <f t="shared" si="2"/>
        <v>3060019</v>
      </c>
      <c r="O19" s="147">
        <f>IF($B19="","",COUNTIF($N$2:$N$204,"&lt;"&amp;$N19)+1)</f>
        <v>17</v>
      </c>
      <c r="P19" s="149" t="str">
        <f ca="1">IF($K19="","",IFERROR(DATE(IFERROR(VALUE(RIGHT(TRIM(INDEX('Dev Tracker'!$I$2:$I$196,$K19)),4)),YEAR(TODAY())),MATCH(LEFT(TRIM(INDEX('Dev Tracker'!$I$2:$I$196,$K19)),3),$U$2:$U$12,0),1),""))</f>
        <v/>
      </c>
      <c r="Q19" s="149" t="str">
        <f ca="1">IF($K19="","",IFERROR(DATE(IFERROR(VALUE(RIGHT(TRIM(INDEX('Dev Tracker'!$J$2:$J$196,$K19)),4)),YEAR(TODAY())),MATCH(LEFT(TRIM(INDEX('Dev Tracker'!$J$2:$J$196,$K19)),3),$U$2:$U$12,0),1),""))</f>
        <v/>
      </c>
      <c r="R19" s="147"/>
      <c r="S19" s="147">
        <f>IF($B19="","",COUNTA('UX Weekly'!$H19:$CT19))</f>
        <v>4</v>
      </c>
      <c r="W19">
        <f>IF($B19="",0,COUNTIFS('UX Weekly'!$H$1:$CT$1,"&gt;="&amp;W$1,'UX Weekly'!$H$1:$CT$1,"&lt;="&amp;EOMONTH(W$1,0),'UX Weekly'!$H19:$CT19,"&lt;&gt;"))</f>
        <v>0</v>
      </c>
      <c r="X19">
        <f>IF($B19="",0,COUNTIFS('UX Weekly'!$H$1:$CT$1,"&gt;="&amp;X$1,'UX Weekly'!$H$1:$CT$1,"&lt;="&amp;EOMONTH(X$1,0),'UX Weekly'!$H19:$CT19,"&lt;&gt;"))</f>
        <v>0</v>
      </c>
      <c r="Y19">
        <f>IF($B19="",0,COUNTIFS('UX Weekly'!$H$1:$CT$1,"&gt;="&amp;Y$1,'UX Weekly'!$H$1:$CT$1,"&lt;="&amp;EOMONTH(Y$1,0),'UX Weekly'!$H19:$CT19,"&lt;&gt;"))</f>
        <v>0</v>
      </c>
      <c r="Z19">
        <f>IF($B19="",0,COUNTIFS('UX Weekly'!$H$1:$CT$1,"&gt;="&amp;Z$1,'UX Weekly'!$H$1:$CT$1,"&lt;="&amp;EOMONTH(Z$1,0),'UX Weekly'!$H19:$CT19,"&lt;&gt;"))</f>
        <v>0</v>
      </c>
      <c r="AA19">
        <f>IF($B19="",0,COUNTIFS('UX Weekly'!$H$1:$CT$1,"&gt;="&amp;AA$1,'UX Weekly'!$H$1:$CT$1,"&lt;="&amp;EOMONTH(AA$1,0),'UX Weekly'!$H19:$CT19,"&lt;&gt;"))</f>
        <v>0</v>
      </c>
      <c r="AB19">
        <f>IF($B19="",0,COUNTIFS('UX Weekly'!$H$1:$CT$1,"&gt;="&amp;AB$1,'UX Weekly'!$H$1:$CT$1,"&lt;="&amp;EOMONTH(AB$1,0),'UX Weekly'!$H19:$CT19,"&lt;&gt;"))</f>
        <v>0</v>
      </c>
      <c r="AC19">
        <f>IF($B19="",0,COUNTIFS('UX Weekly'!$H$1:$CT$1,"&gt;="&amp;AC$1,'UX Weekly'!$H$1:$CT$1,"&lt;="&amp;EOMONTH(AC$1,0),'UX Weekly'!$H19:$CT19,"&lt;&gt;"))</f>
        <v>3</v>
      </c>
      <c r="AD19">
        <f>IF($B19="",0,COUNTIFS('UX Weekly'!$H$1:$CT$1,"&gt;="&amp;AD$1,'UX Weekly'!$H$1:$CT$1,"&lt;="&amp;EOMONTH(AD$1,0),'UX Weekly'!$H19:$CT19,"&lt;&gt;"))</f>
        <v>1</v>
      </c>
      <c r="AE19">
        <f>IF($B19="",0,COUNTIFS('UX Weekly'!$H$1:$CT$1,"&gt;="&amp;AE$1,'UX Weekly'!$H$1:$CT$1,"&lt;="&amp;EOMONTH(AE$1,0),'UX Weekly'!$H19:$CT19,"&lt;&gt;"))</f>
        <v>0</v>
      </c>
      <c r="AF19">
        <f>IF($B19="",0,COUNTIFS('UX Weekly'!$H$1:$CT$1,"&gt;="&amp;AF$1,'UX Weekly'!$H$1:$CT$1,"&lt;="&amp;EOMONTH(AF$1,0),'UX Weekly'!$H19:$CT19,"&lt;&gt;"))</f>
        <v>0</v>
      </c>
      <c r="AG19">
        <f>IF($B19="",0,COUNTIFS('UX Weekly'!$H$1:$CT$1,"&gt;="&amp;AG$1,'UX Weekly'!$H$1:$CT$1,"&lt;="&amp;EOMONTH(AG$1,0),'UX Weekly'!$H19:$CT19,"&lt;&gt;"))</f>
        <v>0</v>
      </c>
      <c r="AH19">
        <f>IF($B19="",0,COUNTIFS('UX Weekly'!$H$1:$CT$1,"&gt;="&amp;AH$1,'UX Weekly'!$H$1:$CT$1,"&lt;="&amp;EOMONTH(AH$1,0),'UX Weekly'!$H19:$CT19,"&lt;&gt;"))</f>
        <v>0</v>
      </c>
      <c r="AI19">
        <f>IF($B19="",0,COUNTIFS('UX Weekly'!$H$1:$CT$1,"&gt;="&amp;AI$1,'UX Weekly'!$H$1:$CT$1,"&lt;="&amp;EOMONTH(AI$1,0),'UX Weekly'!$H19:$CT19,"&lt;&gt;"))</f>
        <v>0</v>
      </c>
      <c r="AJ19">
        <f>IF($B19="",0,COUNTIFS('UX Weekly'!$H$1:$CT$1,"&gt;="&amp;AJ$1,'UX Weekly'!$H$1:$CT$1,"&lt;="&amp;EOMONTH(AJ$1,0),'UX Weekly'!$H19:$CT19,"&lt;&gt;"))</f>
        <v>0</v>
      </c>
      <c r="AK19">
        <f>IF($B19="",0,COUNTIFS('UX Weekly'!$H$1:$CT$1,"&gt;="&amp;AK$1,'UX Weekly'!$H$1:$CT$1,"&lt;="&amp;EOMONTH(AK$1,0),'UX Weekly'!$H19:$CT19,"&lt;&gt;"))</f>
        <v>0</v>
      </c>
      <c r="AL19">
        <f>IF($B19="",0,COUNTIFS('UX Weekly'!$H$1:$CT$1,"&gt;="&amp;AL$1,'UX Weekly'!$H$1:$CT$1,"&lt;="&amp;EOMONTH(AL$1,0),'UX Weekly'!$H19:$CT19,"&lt;&gt;"))</f>
        <v>0</v>
      </c>
      <c r="AM19">
        <f>IF($B19="",0,COUNTIFS('UX Weekly'!$H$1:$CT$1,"&gt;="&amp;AM$1,'UX Weekly'!$H$1:$CT$1,"&lt;="&amp;EOMONTH(AM$1,0),'UX Weekly'!$H19:$CT19,"&lt;&gt;"))</f>
        <v>0</v>
      </c>
      <c r="AN19">
        <f>IF($B19="",0,COUNTIFS('UX Weekly'!$H$1:$CT$1,"&gt;="&amp;AN$1,'UX Weekly'!$H$1:$CT$1,"&lt;="&amp;EOMONTH(AN$1,0),'UX Weekly'!$H19:$CT19,"&lt;&gt;"))</f>
        <v>0</v>
      </c>
      <c r="AO19">
        <f>IF($B19="",0,COUNTIFS('UX Weekly'!$H$1:$CT$1,"&gt;="&amp;AO$1,'UX Weekly'!$H$1:$CT$1,"&lt;="&amp;EOMONTH(AO$1,0),'UX Weekly'!$H19:$CT19,"&lt;&gt;"))</f>
        <v>0</v>
      </c>
      <c r="AP19">
        <f>IF($B19="",0,COUNTIFS('UX Weekly'!$H$1:$CT$1,"&gt;="&amp;AP$1,'UX Weekly'!$H$1:$CT$1,"&lt;="&amp;EOMONTH(AP$1,0),'UX Weekly'!$H19:$CT19,"&lt;&gt;"))</f>
        <v>0</v>
      </c>
      <c r="AQ19">
        <f>IF($B19="",0,COUNTIFS('UX Weekly'!$H$1:$CT$1,"&gt;="&amp;AQ$1,'UX Weekly'!$H$1:$CT$1,"&lt;="&amp;EOMONTH(AQ$1,0),'UX Weekly'!$H19:$CT19,"&lt;&gt;"))</f>
        <v>0</v>
      </c>
      <c r="AR19">
        <f>IF($B19="",0,COUNTIFS('UX Weekly'!$H$1:$CT$1,"&gt;="&amp;AR$1,'UX Weekly'!$H$1:$CT$1,"&lt;="&amp;EOMONTH(AR$1,0),'UX Weekly'!$H19:$CT19,"&lt;&gt;"))</f>
        <v>0</v>
      </c>
      <c r="AS19">
        <f>IF($B19="",0,COUNTIFS('UX Weekly'!$H$1:$CT$1,"&gt;="&amp;AS$1,'UX Weekly'!$H$1:$CT$1,"&lt;="&amp;EOMONTH(AS$1,0),'UX Weekly'!$H19:$CT19,"&lt;&gt;"))</f>
        <v>0</v>
      </c>
      <c r="AT19">
        <f>IF($B19="",0,COUNTIFS('UX Weekly'!$H$1:$CT$1,"&gt;="&amp;AT$1,'UX Weekly'!$H$1:$CT$1,"&lt;="&amp;EOMONTH(AT$1,0),'UX Weekly'!$H19:$CT19,"&lt;&gt;"))</f>
        <v>0</v>
      </c>
    </row>
    <row r="20" spans="1:46" x14ac:dyDescent="0.2">
      <c r="A20" s="147">
        <v>21</v>
      </c>
      <c r="B20" s="147" t="str">
        <f>IF(TRIM('UX Weekly'!E20)="","",TRIM('UX Weekly'!E20))</f>
        <v>Used - Sell Used Experience</v>
      </c>
      <c r="C20" s="147" t="str">
        <f>IF($B20="","",'UX Weekly'!B20)</f>
        <v>Used</v>
      </c>
      <c r="D20" s="147" t="str">
        <f>IF($B20="","",IF(TRIM('UX Weekly'!C20)="","(No theme assigned)",TRIM('UX Weekly'!C20)))</f>
        <v>Improve Trade In User Flow</v>
      </c>
      <c r="E20" s="147" t="str">
        <f>IF($B20="","",TRIM('UX Weekly'!F20))</f>
        <v>BHUX-33009</v>
      </c>
      <c r="F20" s="147" t="str">
        <f>IF($B20="","",'UX Weekly'!G20)</f>
        <v>04. UX Design</v>
      </c>
      <c r="G20" s="148">
        <f t="array" ref="G20">IF($B20="","",IF($S20=0,"",IFERROR(MIN(IF('UX Weekly'!$H20:$CT20&lt;&gt;"",'UX Weekly'!$H$1:$CT$1)),"")))</f>
        <v>46132</v>
      </c>
      <c r="H20" s="148">
        <f t="array" ref="H20">IF($B20="","",IF($S20=0,"",IFERROR(MAX(IF('UX Weekly'!$H20:$CT20&lt;&gt;"",'UX Weekly'!$H$1:$CT$1)),"")))</f>
        <v>46293</v>
      </c>
      <c r="I20" s="149">
        <f t="shared" ca="1" si="0"/>
        <v>46388</v>
      </c>
      <c r="J20" s="149">
        <f t="shared" ca="1" si="1"/>
        <v>46477</v>
      </c>
      <c r="K20" s="147">
        <f>IF($B20="","",IFERROR(MATCH($B20,'Dev Tracker'!$D$2:$D$196,0),IF($E20="","",IFERROR(MATCH($E20,'Dev Tracker'!$E$2:$E$196,0),""))))</f>
        <v>19</v>
      </c>
      <c r="L20" s="147">
        <f>IF($B20="","",IFERROR(MATCH($D20,'Control (Don’t Touch)'!$E$4:$E$30,0),99))</f>
        <v>3</v>
      </c>
      <c r="M20" s="147">
        <f>IF($B20="","",IFERROR(MATCH($F20,'Control (Don’t Touch)'!$B$4:$B$30,0),99))</f>
        <v>6</v>
      </c>
      <c r="N20" s="147">
        <f t="shared" si="2"/>
        <v>3060020</v>
      </c>
      <c r="O20" s="147">
        <f>IF($B20="","",COUNTIF($N$2:$N$204,"&lt;"&amp;$N20)+1)</f>
        <v>18</v>
      </c>
      <c r="P20" s="149">
        <f ca="1">IF($K20="","",IFERROR(DATE(IFERROR(VALUE(RIGHT(TRIM(INDEX('Dev Tracker'!$I$2:$I$196,$K20)),4)),YEAR(TODAY())),MATCH(LEFT(TRIM(INDEX('Dev Tracker'!$I$2:$I$196,$K20)),3),$U$2:$U$12,0),1),""))</f>
        <v>46388</v>
      </c>
      <c r="Q20" s="149">
        <f ca="1">IF($K20="","",IFERROR(DATE(IFERROR(VALUE(RIGHT(TRIM(INDEX('Dev Tracker'!$J$2:$J$196,$K20)),4)),YEAR(TODAY())),MATCH(LEFT(TRIM(INDEX('Dev Tracker'!$J$2:$J$196,$K20)),3),$U$2:$U$12,0),1),""))</f>
        <v>46447</v>
      </c>
      <c r="R20" s="147"/>
      <c r="S20" s="147">
        <f>IF($B20="","",COUNTA('UX Weekly'!$H20:$CT20))</f>
        <v>24</v>
      </c>
      <c r="W20">
        <f>IF($B20="",0,COUNTIFS('UX Weekly'!$H$1:$CT$1,"&gt;="&amp;W$1,'UX Weekly'!$H$1:$CT$1,"&lt;="&amp;EOMONTH(W$1,0),'UX Weekly'!$H20:$CT20,"&lt;&gt;"))</f>
        <v>0</v>
      </c>
      <c r="X20">
        <f>IF($B20="",0,COUNTIFS('UX Weekly'!$H$1:$CT$1,"&gt;="&amp;X$1,'UX Weekly'!$H$1:$CT$1,"&lt;="&amp;EOMONTH(X$1,0),'UX Weekly'!$H20:$CT20,"&lt;&gt;"))</f>
        <v>0</v>
      </c>
      <c r="Y20">
        <f>IF($B20="",0,COUNTIFS('UX Weekly'!$H$1:$CT$1,"&gt;="&amp;Y$1,'UX Weekly'!$H$1:$CT$1,"&lt;="&amp;EOMONTH(Y$1,0),'UX Weekly'!$H20:$CT20,"&lt;&gt;"))</f>
        <v>0</v>
      </c>
      <c r="Z20">
        <f>IF($B20="",0,COUNTIFS('UX Weekly'!$H$1:$CT$1,"&gt;="&amp;Z$1,'UX Weekly'!$H$1:$CT$1,"&lt;="&amp;EOMONTH(Z$1,0),'UX Weekly'!$H20:$CT20,"&lt;&gt;"))</f>
        <v>2</v>
      </c>
      <c r="AA20">
        <f>IF($B20="",0,COUNTIFS('UX Weekly'!$H$1:$CT$1,"&gt;="&amp;AA$1,'UX Weekly'!$H$1:$CT$1,"&lt;="&amp;EOMONTH(AA$1,0),'UX Weekly'!$H20:$CT20,"&lt;&gt;"))</f>
        <v>4</v>
      </c>
      <c r="AB20">
        <f>IF($B20="",0,COUNTIFS('UX Weekly'!$H$1:$CT$1,"&gt;="&amp;AB$1,'UX Weekly'!$H$1:$CT$1,"&lt;="&amp;EOMONTH(AB$1,0),'UX Weekly'!$H20:$CT20,"&lt;&gt;"))</f>
        <v>5</v>
      </c>
      <c r="AC20">
        <f>IF($B20="",0,COUNTIFS('UX Weekly'!$H$1:$CT$1,"&gt;="&amp;AC$1,'UX Weekly'!$H$1:$CT$1,"&lt;="&amp;EOMONTH(AC$1,0),'UX Weekly'!$H20:$CT20,"&lt;&gt;"))</f>
        <v>4</v>
      </c>
      <c r="AD20">
        <f>IF($B20="",0,COUNTIFS('UX Weekly'!$H$1:$CT$1,"&gt;="&amp;AD$1,'UX Weekly'!$H$1:$CT$1,"&lt;="&amp;EOMONTH(AD$1,0),'UX Weekly'!$H20:$CT20,"&lt;&gt;"))</f>
        <v>5</v>
      </c>
      <c r="AE20">
        <f>IF($B20="",0,COUNTIFS('UX Weekly'!$H$1:$CT$1,"&gt;="&amp;AE$1,'UX Weekly'!$H$1:$CT$1,"&lt;="&amp;EOMONTH(AE$1,0),'UX Weekly'!$H20:$CT20,"&lt;&gt;"))</f>
        <v>4</v>
      </c>
      <c r="AF20">
        <f>IF($B20="",0,COUNTIFS('UX Weekly'!$H$1:$CT$1,"&gt;="&amp;AF$1,'UX Weekly'!$H$1:$CT$1,"&lt;="&amp;EOMONTH(AF$1,0),'UX Weekly'!$H20:$CT20,"&lt;&gt;"))</f>
        <v>0</v>
      </c>
      <c r="AG20">
        <f>IF($B20="",0,COUNTIFS('UX Weekly'!$H$1:$CT$1,"&gt;="&amp;AG$1,'UX Weekly'!$H$1:$CT$1,"&lt;="&amp;EOMONTH(AG$1,0),'UX Weekly'!$H20:$CT20,"&lt;&gt;"))</f>
        <v>0</v>
      </c>
      <c r="AH20">
        <f>IF($B20="",0,COUNTIFS('UX Weekly'!$H$1:$CT$1,"&gt;="&amp;AH$1,'UX Weekly'!$H$1:$CT$1,"&lt;="&amp;EOMONTH(AH$1,0),'UX Weekly'!$H20:$CT20,"&lt;&gt;"))</f>
        <v>0</v>
      </c>
      <c r="AI20">
        <f>IF($B20="",0,COUNTIFS('UX Weekly'!$H$1:$CT$1,"&gt;="&amp;AI$1,'UX Weekly'!$H$1:$CT$1,"&lt;="&amp;EOMONTH(AI$1,0),'UX Weekly'!$H20:$CT20,"&lt;&gt;"))</f>
        <v>0</v>
      </c>
      <c r="AJ20">
        <f>IF($B20="",0,COUNTIFS('UX Weekly'!$H$1:$CT$1,"&gt;="&amp;AJ$1,'UX Weekly'!$H$1:$CT$1,"&lt;="&amp;EOMONTH(AJ$1,0),'UX Weekly'!$H20:$CT20,"&lt;&gt;"))</f>
        <v>0</v>
      </c>
      <c r="AK20">
        <f>IF($B20="",0,COUNTIFS('UX Weekly'!$H$1:$CT$1,"&gt;="&amp;AK$1,'UX Weekly'!$H$1:$CT$1,"&lt;="&amp;EOMONTH(AK$1,0),'UX Weekly'!$H20:$CT20,"&lt;&gt;"))</f>
        <v>0</v>
      </c>
      <c r="AL20">
        <f>IF($B20="",0,COUNTIFS('UX Weekly'!$H$1:$CT$1,"&gt;="&amp;AL$1,'UX Weekly'!$H$1:$CT$1,"&lt;="&amp;EOMONTH(AL$1,0),'UX Weekly'!$H20:$CT20,"&lt;&gt;"))</f>
        <v>0</v>
      </c>
      <c r="AM20">
        <f>IF($B20="",0,COUNTIFS('UX Weekly'!$H$1:$CT$1,"&gt;="&amp;AM$1,'UX Weekly'!$H$1:$CT$1,"&lt;="&amp;EOMONTH(AM$1,0),'UX Weekly'!$H20:$CT20,"&lt;&gt;"))</f>
        <v>0</v>
      </c>
      <c r="AN20">
        <f>IF($B20="",0,COUNTIFS('UX Weekly'!$H$1:$CT$1,"&gt;="&amp;AN$1,'UX Weekly'!$H$1:$CT$1,"&lt;="&amp;EOMONTH(AN$1,0),'UX Weekly'!$H20:$CT20,"&lt;&gt;"))</f>
        <v>0</v>
      </c>
      <c r="AO20">
        <f>IF($B20="",0,COUNTIFS('UX Weekly'!$H$1:$CT$1,"&gt;="&amp;AO$1,'UX Weekly'!$H$1:$CT$1,"&lt;="&amp;EOMONTH(AO$1,0),'UX Weekly'!$H20:$CT20,"&lt;&gt;"))</f>
        <v>0</v>
      </c>
      <c r="AP20">
        <f>IF($B20="",0,COUNTIFS('UX Weekly'!$H$1:$CT$1,"&gt;="&amp;AP$1,'UX Weekly'!$H$1:$CT$1,"&lt;="&amp;EOMONTH(AP$1,0),'UX Weekly'!$H20:$CT20,"&lt;&gt;"))</f>
        <v>0</v>
      </c>
      <c r="AQ20">
        <f>IF($B20="",0,COUNTIFS('UX Weekly'!$H$1:$CT$1,"&gt;="&amp;AQ$1,'UX Weekly'!$H$1:$CT$1,"&lt;="&amp;EOMONTH(AQ$1,0),'UX Weekly'!$H20:$CT20,"&lt;&gt;"))</f>
        <v>0</v>
      </c>
      <c r="AR20">
        <f>IF($B20="",0,COUNTIFS('UX Weekly'!$H$1:$CT$1,"&gt;="&amp;AR$1,'UX Weekly'!$H$1:$CT$1,"&lt;="&amp;EOMONTH(AR$1,0),'UX Weekly'!$H20:$CT20,"&lt;&gt;"))</f>
        <v>0</v>
      </c>
      <c r="AS20">
        <f>IF($B20="",0,COUNTIFS('UX Weekly'!$H$1:$CT$1,"&gt;="&amp;AS$1,'UX Weekly'!$H$1:$CT$1,"&lt;="&amp;EOMONTH(AS$1,0),'UX Weekly'!$H20:$CT20,"&lt;&gt;"))</f>
        <v>0</v>
      </c>
      <c r="AT20">
        <f>IF($B20="",0,COUNTIFS('UX Weekly'!$H$1:$CT$1,"&gt;="&amp;AT$1,'UX Weekly'!$H$1:$CT$1,"&lt;="&amp;EOMONTH(AT$1,0),'UX Weekly'!$H20:$CT20,"&lt;&gt;"))</f>
        <v>0</v>
      </c>
    </row>
    <row r="21" spans="1:46" x14ac:dyDescent="0.2">
      <c r="A21" s="147">
        <v>22</v>
      </c>
      <c r="B21" s="147" t="str">
        <f>IF(TRIM('UX Weekly'!E21)="","",TRIM('UX Weekly'!E21))</f>
        <v>Add 'shop by popular brands' section to Used Homepage</v>
      </c>
      <c r="C21" s="147" t="str">
        <f>IF($B21="","",'UX Weekly'!B21)</f>
        <v>Used</v>
      </c>
      <c r="D21" s="147" t="str">
        <f>IF($B21="","",IF(TRIM('UX Weekly'!C21)="","(No theme assigned)",TRIM('UX Weekly'!C21)))</f>
        <v>Increase Buy Used Awareness</v>
      </c>
      <c r="E21" s="147" t="str">
        <f>IF($B21="","",TRIM('UX Weekly'!F21))</f>
        <v>BHUX-34844</v>
      </c>
      <c r="F21" s="147" t="str">
        <f>IF($B21="","",'UX Weekly'!G21)</f>
        <v>04. UX Design</v>
      </c>
      <c r="G21" s="148">
        <f t="array" ref="G21">IF($B21="","",IF($S21=0,"",IFERROR(MIN(IF('UX Weekly'!$H21:$CT21&lt;&gt;"",'UX Weekly'!$H$1:$CT$1)),"")))</f>
        <v>46223</v>
      </c>
      <c r="H21" s="148">
        <f t="array" ref="H21">IF($B21="","",IF($S21=0,"",IFERROR(MAX(IF('UX Weekly'!$H21:$CT21&lt;&gt;"",'UX Weekly'!$H$1:$CT$1)),"")))</f>
        <v>46258</v>
      </c>
      <c r="I21" s="149">
        <f t="shared" ca="1" si="0"/>
        <v>46296</v>
      </c>
      <c r="J21" s="149">
        <f t="shared" ca="1" si="1"/>
        <v>46326</v>
      </c>
      <c r="K21" s="147">
        <f>IF($B21="","",IFERROR(MATCH($B21,'Dev Tracker'!$D$2:$D$196,0),IF($E21="","",IFERROR(MATCH($E21,'Dev Tracker'!$E$2:$E$196,0),""))))</f>
        <v>20</v>
      </c>
      <c r="L21" s="147">
        <f>IF($B21="","",IFERROR(MATCH($D21,'Control (Don’t Touch)'!$E$4:$E$30,0),99))</f>
        <v>5</v>
      </c>
      <c r="M21" s="147">
        <f>IF($B21="","",IFERROR(MATCH($F21,'Control (Don’t Touch)'!$B$4:$B$30,0),99))</f>
        <v>6</v>
      </c>
      <c r="N21" s="147">
        <f t="shared" si="2"/>
        <v>5060021</v>
      </c>
      <c r="O21" s="147">
        <f>IF($B21="","",COUNTIF($N$2:$N$204,"&lt;"&amp;$N21)+1)</f>
        <v>26</v>
      </c>
      <c r="P21" s="149">
        <f ca="1">IF($K21="","",IFERROR(DATE(IFERROR(VALUE(RIGHT(TRIM(INDEX('Dev Tracker'!$I$2:$I$196,$K21)),4)),YEAR(TODAY())),MATCH(LEFT(TRIM(INDEX('Dev Tracker'!$I$2:$I$196,$K21)),3),$U$2:$U$12,0),1),""))</f>
        <v>46296</v>
      </c>
      <c r="Q21" s="149">
        <f ca="1">IF($K21="","",IFERROR(DATE(IFERROR(VALUE(RIGHT(TRIM(INDEX('Dev Tracker'!$J$2:$J$196,$K21)),4)),YEAR(TODAY())),MATCH(LEFT(TRIM(INDEX('Dev Tracker'!$J$2:$J$196,$K21)),3),$U$2:$U$12,0),1),""))</f>
        <v>46296</v>
      </c>
      <c r="R21" s="147"/>
      <c r="S21" s="147">
        <f>IF($B21="","",COUNTA('UX Weekly'!$H21:$CT21))</f>
        <v>6</v>
      </c>
      <c r="W21">
        <f>IF($B21="",0,COUNTIFS('UX Weekly'!$H$1:$CT$1,"&gt;="&amp;W$1,'UX Weekly'!$H$1:$CT$1,"&lt;="&amp;EOMONTH(W$1,0),'UX Weekly'!$H21:$CT21,"&lt;&gt;"))</f>
        <v>0</v>
      </c>
      <c r="X21">
        <f>IF($B21="",0,COUNTIFS('UX Weekly'!$H$1:$CT$1,"&gt;="&amp;X$1,'UX Weekly'!$H$1:$CT$1,"&lt;="&amp;EOMONTH(X$1,0),'UX Weekly'!$H21:$CT21,"&lt;&gt;"))</f>
        <v>0</v>
      </c>
      <c r="Y21">
        <f>IF($B21="",0,COUNTIFS('UX Weekly'!$H$1:$CT$1,"&gt;="&amp;Y$1,'UX Weekly'!$H$1:$CT$1,"&lt;="&amp;EOMONTH(Y$1,0),'UX Weekly'!$H21:$CT21,"&lt;&gt;"))</f>
        <v>0</v>
      </c>
      <c r="Z21">
        <f>IF($B21="",0,COUNTIFS('UX Weekly'!$H$1:$CT$1,"&gt;="&amp;Z$1,'UX Weekly'!$H$1:$CT$1,"&lt;="&amp;EOMONTH(Z$1,0),'UX Weekly'!$H21:$CT21,"&lt;&gt;"))</f>
        <v>0</v>
      </c>
      <c r="AA21">
        <f>IF($B21="",0,COUNTIFS('UX Weekly'!$H$1:$CT$1,"&gt;="&amp;AA$1,'UX Weekly'!$H$1:$CT$1,"&lt;="&amp;EOMONTH(AA$1,0),'UX Weekly'!$H21:$CT21,"&lt;&gt;"))</f>
        <v>0</v>
      </c>
      <c r="AB21">
        <f>IF($B21="",0,COUNTIFS('UX Weekly'!$H$1:$CT$1,"&gt;="&amp;AB$1,'UX Weekly'!$H$1:$CT$1,"&lt;="&amp;EOMONTH(AB$1,0),'UX Weekly'!$H21:$CT21,"&lt;&gt;"))</f>
        <v>0</v>
      </c>
      <c r="AC21">
        <f>IF($B21="",0,COUNTIFS('UX Weekly'!$H$1:$CT$1,"&gt;="&amp;AC$1,'UX Weekly'!$H$1:$CT$1,"&lt;="&amp;EOMONTH(AC$1,0),'UX Weekly'!$H21:$CT21,"&lt;&gt;"))</f>
        <v>2</v>
      </c>
      <c r="AD21">
        <f>IF($B21="",0,COUNTIFS('UX Weekly'!$H$1:$CT$1,"&gt;="&amp;AD$1,'UX Weekly'!$H$1:$CT$1,"&lt;="&amp;EOMONTH(AD$1,0),'UX Weekly'!$H21:$CT21,"&lt;&gt;"))</f>
        <v>4</v>
      </c>
      <c r="AE21">
        <f>IF($B21="",0,COUNTIFS('UX Weekly'!$H$1:$CT$1,"&gt;="&amp;AE$1,'UX Weekly'!$H$1:$CT$1,"&lt;="&amp;EOMONTH(AE$1,0),'UX Weekly'!$H21:$CT21,"&lt;&gt;"))</f>
        <v>0</v>
      </c>
      <c r="AF21">
        <f>IF($B21="",0,COUNTIFS('UX Weekly'!$H$1:$CT$1,"&gt;="&amp;AF$1,'UX Weekly'!$H$1:$CT$1,"&lt;="&amp;EOMONTH(AF$1,0),'UX Weekly'!$H21:$CT21,"&lt;&gt;"))</f>
        <v>0</v>
      </c>
      <c r="AG21">
        <f>IF($B21="",0,COUNTIFS('UX Weekly'!$H$1:$CT$1,"&gt;="&amp;AG$1,'UX Weekly'!$H$1:$CT$1,"&lt;="&amp;EOMONTH(AG$1,0),'UX Weekly'!$H21:$CT21,"&lt;&gt;"))</f>
        <v>0</v>
      </c>
      <c r="AH21">
        <f>IF($B21="",0,COUNTIFS('UX Weekly'!$H$1:$CT$1,"&gt;="&amp;AH$1,'UX Weekly'!$H$1:$CT$1,"&lt;="&amp;EOMONTH(AH$1,0),'UX Weekly'!$H21:$CT21,"&lt;&gt;"))</f>
        <v>0</v>
      </c>
      <c r="AI21">
        <f>IF($B21="",0,COUNTIFS('UX Weekly'!$H$1:$CT$1,"&gt;="&amp;AI$1,'UX Weekly'!$H$1:$CT$1,"&lt;="&amp;EOMONTH(AI$1,0),'UX Weekly'!$H21:$CT21,"&lt;&gt;"))</f>
        <v>0</v>
      </c>
      <c r="AJ21">
        <f>IF($B21="",0,COUNTIFS('UX Weekly'!$H$1:$CT$1,"&gt;="&amp;AJ$1,'UX Weekly'!$H$1:$CT$1,"&lt;="&amp;EOMONTH(AJ$1,0),'UX Weekly'!$H21:$CT21,"&lt;&gt;"))</f>
        <v>0</v>
      </c>
      <c r="AK21">
        <f>IF($B21="",0,COUNTIFS('UX Weekly'!$H$1:$CT$1,"&gt;="&amp;AK$1,'UX Weekly'!$H$1:$CT$1,"&lt;="&amp;EOMONTH(AK$1,0),'UX Weekly'!$H21:$CT21,"&lt;&gt;"))</f>
        <v>0</v>
      </c>
      <c r="AL21">
        <f>IF($B21="",0,COUNTIFS('UX Weekly'!$H$1:$CT$1,"&gt;="&amp;AL$1,'UX Weekly'!$H$1:$CT$1,"&lt;="&amp;EOMONTH(AL$1,0),'UX Weekly'!$H21:$CT21,"&lt;&gt;"))</f>
        <v>0</v>
      </c>
      <c r="AM21">
        <f>IF($B21="",0,COUNTIFS('UX Weekly'!$H$1:$CT$1,"&gt;="&amp;AM$1,'UX Weekly'!$H$1:$CT$1,"&lt;="&amp;EOMONTH(AM$1,0),'UX Weekly'!$H21:$CT21,"&lt;&gt;"))</f>
        <v>0</v>
      </c>
      <c r="AN21">
        <f>IF($B21="",0,COUNTIFS('UX Weekly'!$H$1:$CT$1,"&gt;="&amp;AN$1,'UX Weekly'!$H$1:$CT$1,"&lt;="&amp;EOMONTH(AN$1,0),'UX Weekly'!$H21:$CT21,"&lt;&gt;"))</f>
        <v>0</v>
      </c>
      <c r="AO21">
        <f>IF($B21="",0,COUNTIFS('UX Weekly'!$H$1:$CT$1,"&gt;="&amp;AO$1,'UX Weekly'!$H$1:$CT$1,"&lt;="&amp;EOMONTH(AO$1,0),'UX Weekly'!$H21:$CT21,"&lt;&gt;"))</f>
        <v>0</v>
      </c>
      <c r="AP21">
        <f>IF($B21="",0,COUNTIFS('UX Weekly'!$H$1:$CT$1,"&gt;="&amp;AP$1,'UX Weekly'!$H$1:$CT$1,"&lt;="&amp;EOMONTH(AP$1,0),'UX Weekly'!$H21:$CT21,"&lt;&gt;"))</f>
        <v>0</v>
      </c>
      <c r="AQ21">
        <f>IF($B21="",0,COUNTIFS('UX Weekly'!$H$1:$CT$1,"&gt;="&amp;AQ$1,'UX Weekly'!$H$1:$CT$1,"&lt;="&amp;EOMONTH(AQ$1,0),'UX Weekly'!$H21:$CT21,"&lt;&gt;"))</f>
        <v>0</v>
      </c>
      <c r="AR21">
        <f>IF($B21="",0,COUNTIFS('UX Weekly'!$H$1:$CT$1,"&gt;="&amp;AR$1,'UX Weekly'!$H$1:$CT$1,"&lt;="&amp;EOMONTH(AR$1,0),'UX Weekly'!$H21:$CT21,"&lt;&gt;"))</f>
        <v>0</v>
      </c>
      <c r="AS21">
        <f>IF($B21="",0,COUNTIFS('UX Weekly'!$H$1:$CT$1,"&gt;="&amp;AS$1,'UX Weekly'!$H$1:$CT$1,"&lt;="&amp;EOMONTH(AS$1,0),'UX Weekly'!$H21:$CT21,"&lt;&gt;"))</f>
        <v>0</v>
      </c>
      <c r="AT21">
        <f>IF($B21="",0,COUNTIFS('UX Weekly'!$H$1:$CT$1,"&gt;="&amp;AT$1,'UX Weekly'!$H$1:$CT$1,"&lt;="&amp;EOMONTH(AT$1,0),'UX Weekly'!$H21:$CT21,"&lt;&gt;"))</f>
        <v>0</v>
      </c>
    </row>
    <row r="22" spans="1:46" x14ac:dyDescent="0.2">
      <c r="A22" s="147">
        <v>23</v>
      </c>
      <c r="B22" s="147" t="str">
        <f>IF(TRIM('UX Weekly'!E22)="","",TRIM('UX Weekly'!E22))</f>
        <v>Shop By Popular Brand' Listing Pages Discovery</v>
      </c>
      <c r="C22" s="147" t="str">
        <f>IF($B22="","",'UX Weekly'!B22)</f>
        <v>Used</v>
      </c>
      <c r="D22" s="147" t="str">
        <f>IF($B22="","",IF(TRIM('UX Weekly'!C22)="","(No theme assigned)",TRIM('UX Weekly'!C22)))</f>
        <v>Increase Buy Used Awareness</v>
      </c>
      <c r="E22" s="147" t="str">
        <f>IF($B22="","",TRIM('UX Weekly'!F22))</f>
        <v>BHUX-34845</v>
      </c>
      <c r="F22" s="147" t="str">
        <f>IF($B22="","",'UX Weekly'!G22)</f>
        <v>04. UX Design</v>
      </c>
      <c r="G22" s="148">
        <f t="array" ref="G22">IF($B22="","",IF($S22=0,"",IFERROR(MIN(IF('UX Weekly'!$H22:$CT22&lt;&gt;"",'UX Weekly'!$H$1:$CT$1)),"")))</f>
        <v>46230</v>
      </c>
      <c r="H22" s="148">
        <f t="array" ref="H22">IF($B22="","",IF($S22=0,"",IFERROR(MAX(IF('UX Weekly'!$H22:$CT22&lt;&gt;"",'UX Weekly'!$H$1:$CT$1)),"")))</f>
        <v>46258</v>
      </c>
      <c r="I22" s="149">
        <f t="shared" ca="1" si="0"/>
        <v>46296</v>
      </c>
      <c r="J22" s="149">
        <f t="shared" ca="1" si="1"/>
        <v>46326</v>
      </c>
      <c r="K22" s="147">
        <f>IF($B22="","",IFERROR(MATCH($B22,'Dev Tracker'!$D$2:$D$196,0),IF($E22="","",IFERROR(MATCH($E22,'Dev Tracker'!$E$2:$E$196,0),""))))</f>
        <v>21</v>
      </c>
      <c r="L22" s="147">
        <f>IF($B22="","",IFERROR(MATCH($D22,'Control (Don’t Touch)'!$E$4:$E$30,0),99))</f>
        <v>5</v>
      </c>
      <c r="M22" s="147">
        <f>IF($B22="","",IFERROR(MATCH($F22,'Control (Don’t Touch)'!$B$4:$B$30,0),99))</f>
        <v>6</v>
      </c>
      <c r="N22" s="147">
        <f t="shared" si="2"/>
        <v>5060022</v>
      </c>
      <c r="O22" s="147">
        <f>IF($B22="","",COUNTIF($N$2:$N$204,"&lt;"&amp;$N22)+1)</f>
        <v>27</v>
      </c>
      <c r="P22" s="149">
        <f ca="1">IF($K22="","",IFERROR(DATE(IFERROR(VALUE(RIGHT(TRIM(INDEX('Dev Tracker'!$I$2:$I$196,$K22)),4)),YEAR(TODAY())),MATCH(LEFT(TRIM(INDEX('Dev Tracker'!$I$2:$I$196,$K22)),3),$U$2:$U$12,0),1),""))</f>
        <v>46296</v>
      </c>
      <c r="Q22" s="149">
        <f ca="1">IF($K22="","",IFERROR(DATE(IFERROR(VALUE(RIGHT(TRIM(INDEX('Dev Tracker'!$J$2:$J$196,$K22)),4)),YEAR(TODAY())),MATCH(LEFT(TRIM(INDEX('Dev Tracker'!$J$2:$J$196,$K22)),3),$U$2:$U$12,0),1),""))</f>
        <v>46296</v>
      </c>
      <c r="R22" s="147"/>
      <c r="S22" s="147">
        <f>IF($B22="","",COUNTA('UX Weekly'!$H22:$CT22))</f>
        <v>5</v>
      </c>
      <c r="W22">
        <f>IF($B22="",0,COUNTIFS('UX Weekly'!$H$1:$CT$1,"&gt;="&amp;W$1,'UX Weekly'!$H$1:$CT$1,"&lt;="&amp;EOMONTH(W$1,0),'UX Weekly'!$H22:$CT22,"&lt;&gt;"))</f>
        <v>0</v>
      </c>
      <c r="X22">
        <f>IF($B22="",0,COUNTIFS('UX Weekly'!$H$1:$CT$1,"&gt;="&amp;X$1,'UX Weekly'!$H$1:$CT$1,"&lt;="&amp;EOMONTH(X$1,0),'UX Weekly'!$H22:$CT22,"&lt;&gt;"))</f>
        <v>0</v>
      </c>
      <c r="Y22">
        <f>IF($B22="",0,COUNTIFS('UX Weekly'!$H$1:$CT$1,"&gt;="&amp;Y$1,'UX Weekly'!$H$1:$CT$1,"&lt;="&amp;EOMONTH(Y$1,0),'UX Weekly'!$H22:$CT22,"&lt;&gt;"))</f>
        <v>0</v>
      </c>
      <c r="Z22">
        <f>IF($B22="",0,COUNTIFS('UX Weekly'!$H$1:$CT$1,"&gt;="&amp;Z$1,'UX Weekly'!$H$1:$CT$1,"&lt;="&amp;EOMONTH(Z$1,0),'UX Weekly'!$H22:$CT22,"&lt;&gt;"))</f>
        <v>0</v>
      </c>
      <c r="AA22">
        <f>IF($B22="",0,COUNTIFS('UX Weekly'!$H$1:$CT$1,"&gt;="&amp;AA$1,'UX Weekly'!$H$1:$CT$1,"&lt;="&amp;EOMONTH(AA$1,0),'UX Weekly'!$H22:$CT22,"&lt;&gt;"))</f>
        <v>0</v>
      </c>
      <c r="AB22">
        <f>IF($B22="",0,COUNTIFS('UX Weekly'!$H$1:$CT$1,"&gt;="&amp;AB$1,'UX Weekly'!$H$1:$CT$1,"&lt;="&amp;EOMONTH(AB$1,0),'UX Weekly'!$H22:$CT22,"&lt;&gt;"))</f>
        <v>0</v>
      </c>
      <c r="AC22">
        <f>IF($B22="",0,COUNTIFS('UX Weekly'!$H$1:$CT$1,"&gt;="&amp;AC$1,'UX Weekly'!$H$1:$CT$1,"&lt;="&amp;EOMONTH(AC$1,0),'UX Weekly'!$H22:$CT22,"&lt;&gt;"))</f>
        <v>1</v>
      </c>
      <c r="AD22">
        <f>IF($B22="",0,COUNTIFS('UX Weekly'!$H$1:$CT$1,"&gt;="&amp;AD$1,'UX Weekly'!$H$1:$CT$1,"&lt;="&amp;EOMONTH(AD$1,0),'UX Weekly'!$H22:$CT22,"&lt;&gt;"))</f>
        <v>4</v>
      </c>
      <c r="AE22">
        <f>IF($B22="",0,COUNTIFS('UX Weekly'!$H$1:$CT$1,"&gt;="&amp;AE$1,'UX Weekly'!$H$1:$CT$1,"&lt;="&amp;EOMONTH(AE$1,0),'UX Weekly'!$H22:$CT22,"&lt;&gt;"))</f>
        <v>0</v>
      </c>
      <c r="AF22">
        <f>IF($B22="",0,COUNTIFS('UX Weekly'!$H$1:$CT$1,"&gt;="&amp;AF$1,'UX Weekly'!$H$1:$CT$1,"&lt;="&amp;EOMONTH(AF$1,0),'UX Weekly'!$H22:$CT22,"&lt;&gt;"))</f>
        <v>0</v>
      </c>
      <c r="AG22">
        <f>IF($B22="",0,COUNTIFS('UX Weekly'!$H$1:$CT$1,"&gt;="&amp;AG$1,'UX Weekly'!$H$1:$CT$1,"&lt;="&amp;EOMONTH(AG$1,0),'UX Weekly'!$H22:$CT22,"&lt;&gt;"))</f>
        <v>0</v>
      </c>
      <c r="AH22">
        <f>IF($B22="",0,COUNTIFS('UX Weekly'!$H$1:$CT$1,"&gt;="&amp;AH$1,'UX Weekly'!$H$1:$CT$1,"&lt;="&amp;EOMONTH(AH$1,0),'UX Weekly'!$H22:$CT22,"&lt;&gt;"))</f>
        <v>0</v>
      </c>
      <c r="AI22">
        <f>IF($B22="",0,COUNTIFS('UX Weekly'!$H$1:$CT$1,"&gt;="&amp;AI$1,'UX Weekly'!$H$1:$CT$1,"&lt;="&amp;EOMONTH(AI$1,0),'UX Weekly'!$H22:$CT22,"&lt;&gt;"))</f>
        <v>0</v>
      </c>
      <c r="AJ22">
        <f>IF($B22="",0,COUNTIFS('UX Weekly'!$H$1:$CT$1,"&gt;="&amp;AJ$1,'UX Weekly'!$H$1:$CT$1,"&lt;="&amp;EOMONTH(AJ$1,0),'UX Weekly'!$H22:$CT22,"&lt;&gt;"))</f>
        <v>0</v>
      </c>
      <c r="AK22">
        <f>IF($B22="",0,COUNTIFS('UX Weekly'!$H$1:$CT$1,"&gt;="&amp;AK$1,'UX Weekly'!$H$1:$CT$1,"&lt;="&amp;EOMONTH(AK$1,0),'UX Weekly'!$H22:$CT22,"&lt;&gt;"))</f>
        <v>0</v>
      </c>
      <c r="AL22">
        <f>IF($B22="",0,COUNTIFS('UX Weekly'!$H$1:$CT$1,"&gt;="&amp;AL$1,'UX Weekly'!$H$1:$CT$1,"&lt;="&amp;EOMONTH(AL$1,0),'UX Weekly'!$H22:$CT22,"&lt;&gt;"))</f>
        <v>0</v>
      </c>
      <c r="AM22">
        <f>IF($B22="",0,COUNTIFS('UX Weekly'!$H$1:$CT$1,"&gt;="&amp;AM$1,'UX Weekly'!$H$1:$CT$1,"&lt;="&amp;EOMONTH(AM$1,0),'UX Weekly'!$H22:$CT22,"&lt;&gt;"))</f>
        <v>0</v>
      </c>
      <c r="AN22">
        <f>IF($B22="",0,COUNTIFS('UX Weekly'!$H$1:$CT$1,"&gt;="&amp;AN$1,'UX Weekly'!$H$1:$CT$1,"&lt;="&amp;EOMONTH(AN$1,0),'UX Weekly'!$H22:$CT22,"&lt;&gt;"))</f>
        <v>0</v>
      </c>
      <c r="AO22">
        <f>IF($B22="",0,COUNTIFS('UX Weekly'!$H$1:$CT$1,"&gt;="&amp;AO$1,'UX Weekly'!$H$1:$CT$1,"&lt;="&amp;EOMONTH(AO$1,0),'UX Weekly'!$H22:$CT22,"&lt;&gt;"))</f>
        <v>0</v>
      </c>
      <c r="AP22">
        <f>IF($B22="",0,COUNTIFS('UX Weekly'!$H$1:$CT$1,"&gt;="&amp;AP$1,'UX Weekly'!$H$1:$CT$1,"&lt;="&amp;EOMONTH(AP$1,0),'UX Weekly'!$H22:$CT22,"&lt;&gt;"))</f>
        <v>0</v>
      </c>
      <c r="AQ22">
        <f>IF($B22="",0,COUNTIFS('UX Weekly'!$H$1:$CT$1,"&gt;="&amp;AQ$1,'UX Weekly'!$H$1:$CT$1,"&lt;="&amp;EOMONTH(AQ$1,0),'UX Weekly'!$H22:$CT22,"&lt;&gt;"))</f>
        <v>0</v>
      </c>
      <c r="AR22">
        <f>IF($B22="",0,COUNTIFS('UX Weekly'!$H$1:$CT$1,"&gt;="&amp;AR$1,'UX Weekly'!$H$1:$CT$1,"&lt;="&amp;EOMONTH(AR$1,0),'UX Weekly'!$H22:$CT22,"&lt;&gt;"))</f>
        <v>0</v>
      </c>
      <c r="AS22">
        <f>IF($B22="",0,COUNTIFS('UX Weekly'!$H$1:$CT$1,"&gt;="&amp;AS$1,'UX Weekly'!$H$1:$CT$1,"&lt;="&amp;EOMONTH(AS$1,0),'UX Weekly'!$H22:$CT22,"&lt;&gt;"))</f>
        <v>0</v>
      </c>
      <c r="AT22">
        <f>IF($B22="",0,COUNTIFS('UX Weekly'!$H$1:$CT$1,"&gt;="&amp;AT$1,'UX Weekly'!$H$1:$CT$1,"&lt;="&amp;EOMONTH(AT$1,0),'UX Weekly'!$H22:$CT22,"&lt;&gt;"))</f>
        <v>0</v>
      </c>
    </row>
    <row r="23" spans="1:46" x14ac:dyDescent="0.2">
      <c r="A23" s="147">
        <v>24</v>
      </c>
      <c r="B23" s="147" t="str">
        <f>IF(TRIM('UX Weekly'!E23)="","",TRIM('UX Weekly'!E23))</f>
        <v>My Account &gt; Trade In Awareness</v>
      </c>
      <c r="C23" s="147" t="str">
        <f>IF($B23="","",'UX Weekly'!B23)</f>
        <v>Used</v>
      </c>
      <c r="D23" s="147" t="str">
        <f>IF($B23="","",IF(TRIM('UX Weekly'!C23)="","(No theme assigned)",TRIM('UX Weekly'!C23)))</f>
        <v>Increase Buy Used Awareness</v>
      </c>
      <c r="E23" s="147" t="str">
        <f>IF($B23="","",TRIM('UX Weekly'!F23))</f>
        <v>BHUX-35010</v>
      </c>
      <c r="F23" s="147" t="str">
        <f>IF($B23="","",'UX Weekly'!G23)</f>
        <v>04. UX Design</v>
      </c>
      <c r="G23" s="148">
        <f t="array" ref="G23">IF($B23="","",IF($S23=0,"",IFERROR(MIN(IF('UX Weekly'!$H23:$CT23&lt;&gt;"",'UX Weekly'!$H$1:$CT$1)),"")))</f>
        <v>46244</v>
      </c>
      <c r="H23" s="148">
        <f t="array" ref="H23">IF($B23="","",IF($S23=0,"",IFERROR(MAX(IF('UX Weekly'!$H23:$CT23&lt;&gt;"",'UX Weekly'!$H$1:$CT$1)),"")))</f>
        <v>46258</v>
      </c>
      <c r="I23" s="149">
        <f t="shared" ca="1" si="0"/>
        <v>46327</v>
      </c>
      <c r="J23" s="149">
        <f t="shared" ca="1" si="1"/>
        <v>46356</v>
      </c>
      <c r="K23" s="147">
        <f>IF($B23="","",IFERROR(MATCH($B23,'Dev Tracker'!$D$2:$D$196,0),IF($E23="","",IFERROR(MATCH($E23,'Dev Tracker'!$E$2:$E$196,0),""))))</f>
        <v>22</v>
      </c>
      <c r="L23" s="147">
        <f>IF($B23="","",IFERROR(MATCH($D23,'Control (Don’t Touch)'!$E$4:$E$30,0),99))</f>
        <v>5</v>
      </c>
      <c r="M23" s="147">
        <f>IF($B23="","",IFERROR(MATCH($F23,'Control (Don’t Touch)'!$B$4:$B$30,0),99))</f>
        <v>6</v>
      </c>
      <c r="N23" s="147">
        <f t="shared" si="2"/>
        <v>5060023</v>
      </c>
      <c r="O23" s="147">
        <f>IF($B23="","",COUNTIF($N$2:$N$204,"&lt;"&amp;$N23)+1)</f>
        <v>28</v>
      </c>
      <c r="P23" s="149">
        <f ca="1">IF($K23="","",IFERROR(DATE(IFERROR(VALUE(RIGHT(TRIM(INDEX('Dev Tracker'!$I$2:$I$196,$K23)),4)),YEAR(TODAY())),MATCH(LEFT(TRIM(INDEX('Dev Tracker'!$I$2:$I$196,$K23)),3),$U$2:$U$12,0),1),""))</f>
        <v>46327</v>
      </c>
      <c r="Q23" s="149">
        <f ca="1">IF($K23="","",IFERROR(DATE(IFERROR(VALUE(RIGHT(TRIM(INDEX('Dev Tracker'!$J$2:$J$196,$K23)),4)),YEAR(TODAY())),MATCH(LEFT(TRIM(INDEX('Dev Tracker'!$J$2:$J$196,$K23)),3),$U$2:$U$12,0),1),""))</f>
        <v>46327</v>
      </c>
      <c r="R23" s="147"/>
      <c r="S23" s="147">
        <f>IF($B23="","",COUNTA('UX Weekly'!$H23:$CT23))</f>
        <v>3</v>
      </c>
      <c r="W23">
        <f>IF($B23="",0,COUNTIFS('UX Weekly'!$H$1:$CT$1,"&gt;="&amp;W$1,'UX Weekly'!$H$1:$CT$1,"&lt;="&amp;EOMONTH(W$1,0),'UX Weekly'!$H23:$CT23,"&lt;&gt;"))</f>
        <v>0</v>
      </c>
      <c r="X23">
        <f>IF($B23="",0,COUNTIFS('UX Weekly'!$H$1:$CT$1,"&gt;="&amp;X$1,'UX Weekly'!$H$1:$CT$1,"&lt;="&amp;EOMONTH(X$1,0),'UX Weekly'!$H23:$CT23,"&lt;&gt;"))</f>
        <v>0</v>
      </c>
      <c r="Y23">
        <f>IF($B23="",0,COUNTIFS('UX Weekly'!$H$1:$CT$1,"&gt;="&amp;Y$1,'UX Weekly'!$H$1:$CT$1,"&lt;="&amp;EOMONTH(Y$1,0),'UX Weekly'!$H23:$CT23,"&lt;&gt;"))</f>
        <v>0</v>
      </c>
      <c r="Z23">
        <f>IF($B23="",0,COUNTIFS('UX Weekly'!$H$1:$CT$1,"&gt;="&amp;Z$1,'UX Weekly'!$H$1:$CT$1,"&lt;="&amp;EOMONTH(Z$1,0),'UX Weekly'!$H23:$CT23,"&lt;&gt;"))</f>
        <v>0</v>
      </c>
      <c r="AA23">
        <f>IF($B23="",0,COUNTIFS('UX Weekly'!$H$1:$CT$1,"&gt;="&amp;AA$1,'UX Weekly'!$H$1:$CT$1,"&lt;="&amp;EOMONTH(AA$1,0),'UX Weekly'!$H23:$CT23,"&lt;&gt;"))</f>
        <v>0</v>
      </c>
      <c r="AB23">
        <f>IF($B23="",0,COUNTIFS('UX Weekly'!$H$1:$CT$1,"&gt;="&amp;AB$1,'UX Weekly'!$H$1:$CT$1,"&lt;="&amp;EOMONTH(AB$1,0),'UX Weekly'!$H23:$CT23,"&lt;&gt;"))</f>
        <v>0</v>
      </c>
      <c r="AC23">
        <f>IF($B23="",0,COUNTIFS('UX Weekly'!$H$1:$CT$1,"&gt;="&amp;AC$1,'UX Weekly'!$H$1:$CT$1,"&lt;="&amp;EOMONTH(AC$1,0),'UX Weekly'!$H23:$CT23,"&lt;&gt;"))</f>
        <v>0</v>
      </c>
      <c r="AD23">
        <f>IF($B23="",0,COUNTIFS('UX Weekly'!$H$1:$CT$1,"&gt;="&amp;AD$1,'UX Weekly'!$H$1:$CT$1,"&lt;="&amp;EOMONTH(AD$1,0),'UX Weekly'!$H23:$CT23,"&lt;&gt;"))</f>
        <v>3</v>
      </c>
      <c r="AE23">
        <f>IF($B23="",0,COUNTIFS('UX Weekly'!$H$1:$CT$1,"&gt;="&amp;AE$1,'UX Weekly'!$H$1:$CT$1,"&lt;="&amp;EOMONTH(AE$1,0),'UX Weekly'!$H23:$CT23,"&lt;&gt;"))</f>
        <v>0</v>
      </c>
      <c r="AF23">
        <f>IF($B23="",0,COUNTIFS('UX Weekly'!$H$1:$CT$1,"&gt;="&amp;AF$1,'UX Weekly'!$H$1:$CT$1,"&lt;="&amp;EOMONTH(AF$1,0),'UX Weekly'!$H23:$CT23,"&lt;&gt;"))</f>
        <v>0</v>
      </c>
      <c r="AG23">
        <f>IF($B23="",0,COUNTIFS('UX Weekly'!$H$1:$CT$1,"&gt;="&amp;AG$1,'UX Weekly'!$H$1:$CT$1,"&lt;="&amp;EOMONTH(AG$1,0),'UX Weekly'!$H23:$CT23,"&lt;&gt;"))</f>
        <v>0</v>
      </c>
      <c r="AH23">
        <f>IF($B23="",0,COUNTIFS('UX Weekly'!$H$1:$CT$1,"&gt;="&amp;AH$1,'UX Weekly'!$H$1:$CT$1,"&lt;="&amp;EOMONTH(AH$1,0),'UX Weekly'!$H23:$CT23,"&lt;&gt;"))</f>
        <v>0</v>
      </c>
      <c r="AI23">
        <f>IF($B23="",0,COUNTIFS('UX Weekly'!$H$1:$CT$1,"&gt;="&amp;AI$1,'UX Weekly'!$H$1:$CT$1,"&lt;="&amp;EOMONTH(AI$1,0),'UX Weekly'!$H23:$CT23,"&lt;&gt;"))</f>
        <v>0</v>
      </c>
      <c r="AJ23">
        <f>IF($B23="",0,COUNTIFS('UX Weekly'!$H$1:$CT$1,"&gt;="&amp;AJ$1,'UX Weekly'!$H$1:$CT$1,"&lt;="&amp;EOMONTH(AJ$1,0),'UX Weekly'!$H23:$CT23,"&lt;&gt;"))</f>
        <v>0</v>
      </c>
      <c r="AK23">
        <f>IF($B23="",0,COUNTIFS('UX Weekly'!$H$1:$CT$1,"&gt;="&amp;AK$1,'UX Weekly'!$H$1:$CT$1,"&lt;="&amp;EOMONTH(AK$1,0),'UX Weekly'!$H23:$CT23,"&lt;&gt;"))</f>
        <v>0</v>
      </c>
      <c r="AL23">
        <f>IF($B23="",0,COUNTIFS('UX Weekly'!$H$1:$CT$1,"&gt;="&amp;AL$1,'UX Weekly'!$H$1:$CT$1,"&lt;="&amp;EOMONTH(AL$1,0),'UX Weekly'!$H23:$CT23,"&lt;&gt;"))</f>
        <v>0</v>
      </c>
      <c r="AM23">
        <f>IF($B23="",0,COUNTIFS('UX Weekly'!$H$1:$CT$1,"&gt;="&amp;AM$1,'UX Weekly'!$H$1:$CT$1,"&lt;="&amp;EOMONTH(AM$1,0),'UX Weekly'!$H23:$CT23,"&lt;&gt;"))</f>
        <v>0</v>
      </c>
      <c r="AN23">
        <f>IF($B23="",0,COUNTIFS('UX Weekly'!$H$1:$CT$1,"&gt;="&amp;AN$1,'UX Weekly'!$H$1:$CT$1,"&lt;="&amp;EOMONTH(AN$1,0),'UX Weekly'!$H23:$CT23,"&lt;&gt;"))</f>
        <v>0</v>
      </c>
      <c r="AO23">
        <f>IF($B23="",0,COUNTIFS('UX Weekly'!$H$1:$CT$1,"&gt;="&amp;AO$1,'UX Weekly'!$H$1:$CT$1,"&lt;="&amp;EOMONTH(AO$1,0),'UX Weekly'!$H23:$CT23,"&lt;&gt;"))</f>
        <v>0</v>
      </c>
      <c r="AP23">
        <f>IF($B23="",0,COUNTIFS('UX Weekly'!$H$1:$CT$1,"&gt;="&amp;AP$1,'UX Weekly'!$H$1:$CT$1,"&lt;="&amp;EOMONTH(AP$1,0),'UX Weekly'!$H23:$CT23,"&lt;&gt;"))</f>
        <v>0</v>
      </c>
      <c r="AQ23">
        <f>IF($B23="",0,COUNTIFS('UX Weekly'!$H$1:$CT$1,"&gt;="&amp;AQ$1,'UX Weekly'!$H$1:$CT$1,"&lt;="&amp;EOMONTH(AQ$1,0),'UX Weekly'!$H23:$CT23,"&lt;&gt;"))</f>
        <v>0</v>
      </c>
      <c r="AR23">
        <f>IF($B23="",0,COUNTIFS('UX Weekly'!$H$1:$CT$1,"&gt;="&amp;AR$1,'UX Weekly'!$H$1:$CT$1,"&lt;="&amp;EOMONTH(AR$1,0),'UX Weekly'!$H23:$CT23,"&lt;&gt;"))</f>
        <v>0</v>
      </c>
      <c r="AS23">
        <f>IF($B23="",0,COUNTIFS('UX Weekly'!$H$1:$CT$1,"&gt;="&amp;AS$1,'UX Weekly'!$H$1:$CT$1,"&lt;="&amp;EOMONTH(AS$1,0),'UX Weekly'!$H23:$CT23,"&lt;&gt;"))</f>
        <v>0</v>
      </c>
      <c r="AT23">
        <f>IF($B23="",0,COUNTIFS('UX Weekly'!$H$1:$CT$1,"&gt;="&amp;AT$1,'UX Weekly'!$H$1:$CT$1,"&lt;="&amp;EOMONTH(AT$1,0),'UX Weekly'!$H23:$CT23,"&lt;&gt;"))</f>
        <v>0</v>
      </c>
    </row>
    <row r="24" spans="1:46" x14ac:dyDescent="0.2">
      <c r="A24" s="147">
        <v>25</v>
      </c>
      <c r="B24" s="147" t="str">
        <f>IF(TRIM('UX Weekly'!E24)="","",TRIM('UX Weekly'!E24))</f>
        <v>B2B &amp; Used Visibility in the Nav</v>
      </c>
      <c r="C24" s="147" t="str">
        <f>IF($B24="","",'UX Weekly'!B24)</f>
        <v>B2B/Used</v>
      </c>
      <c r="D24" s="147" t="str">
        <f>IF($B24="","",IF(TRIM('UX Weekly'!C24)="","(No theme assigned)",TRIM('UX Weekly'!C24)))</f>
        <v>Increase Trade In Awareness</v>
      </c>
      <c r="E24" s="147" t="str">
        <f>IF($B24="","",TRIM('UX Weekly'!F24))</f>
        <v>BHUX-34378</v>
      </c>
      <c r="F24" s="147" t="str">
        <f>IF($B24="","",'UX Weekly'!G24)</f>
        <v>04. UX Design</v>
      </c>
      <c r="G24" s="148">
        <f t="array" ref="G24">IF($B24="","",IF($S24=0,"",IFERROR(MIN(IF('UX Weekly'!$H24:$CT24&lt;&gt;"",'UX Weekly'!$H$1:$CT$1)),"")))</f>
        <v>46174</v>
      </c>
      <c r="H24" s="148">
        <f t="array" ref="H24">IF($B24="","",IF($S24=0,"",IFERROR(MAX(IF('UX Weekly'!$H24:$CT24&lt;&gt;"",'UX Weekly'!$H$1:$CT$1)),"")))</f>
        <v>46293</v>
      </c>
      <c r="I24" s="149">
        <f t="shared" ca="1" si="0"/>
        <v>46419</v>
      </c>
      <c r="J24" s="149">
        <f t="shared" ca="1" si="1"/>
        <v>46446</v>
      </c>
      <c r="K24" s="147">
        <f>IF($B24="","",IFERROR(MATCH($B24,'Dev Tracker'!$D$2:$D$196,0),IF($E24="","",IFERROR(MATCH($E24,'Dev Tracker'!$E$2:$E$196,0),""))))</f>
        <v>23</v>
      </c>
      <c r="L24" s="147">
        <f>IF($B24="","",IFERROR(MATCH($D24,'Control (Don’t Touch)'!$E$4:$E$30,0),99))</f>
        <v>2</v>
      </c>
      <c r="M24" s="147">
        <f>IF($B24="","",IFERROR(MATCH($F24,'Control (Don’t Touch)'!$B$4:$B$30,0),99))</f>
        <v>6</v>
      </c>
      <c r="N24" s="147">
        <f t="shared" si="2"/>
        <v>2060024</v>
      </c>
      <c r="O24" s="147">
        <f>IF($B24="","",COUNTIF($N$2:$N$204,"&lt;"&amp;$N24)+1)</f>
        <v>14</v>
      </c>
      <c r="P24" s="149">
        <f ca="1">IF($K24="","",IFERROR(DATE(IFERROR(VALUE(RIGHT(TRIM(INDEX('Dev Tracker'!$I$2:$I$196,$K24)),4)),YEAR(TODAY())),MATCH(LEFT(TRIM(INDEX('Dev Tracker'!$I$2:$I$196,$K24)),3),$U$2:$U$12,0),1),""))</f>
        <v>46419</v>
      </c>
      <c r="Q24" s="149">
        <f ca="1">IF($K24="","",IFERROR(DATE(IFERROR(VALUE(RIGHT(TRIM(INDEX('Dev Tracker'!$J$2:$J$196,$K24)),4)),YEAR(TODAY())),MATCH(LEFT(TRIM(INDEX('Dev Tracker'!$J$2:$J$196,$K24)),3),$U$2:$U$12,0),1),""))</f>
        <v>46419</v>
      </c>
      <c r="R24" s="147"/>
      <c r="S24" s="147">
        <f>IF($B24="","",COUNTA('UX Weekly'!$H24:$CT24))</f>
        <v>18</v>
      </c>
      <c r="W24">
        <f>IF($B24="",0,COUNTIFS('UX Weekly'!$H$1:$CT$1,"&gt;="&amp;W$1,'UX Weekly'!$H$1:$CT$1,"&lt;="&amp;EOMONTH(W$1,0),'UX Weekly'!$H24:$CT24,"&lt;&gt;"))</f>
        <v>0</v>
      </c>
      <c r="X24">
        <f>IF($B24="",0,COUNTIFS('UX Weekly'!$H$1:$CT$1,"&gt;="&amp;X$1,'UX Weekly'!$H$1:$CT$1,"&lt;="&amp;EOMONTH(X$1,0),'UX Weekly'!$H24:$CT24,"&lt;&gt;"))</f>
        <v>0</v>
      </c>
      <c r="Y24">
        <f>IF($B24="",0,COUNTIFS('UX Weekly'!$H$1:$CT$1,"&gt;="&amp;Y$1,'UX Weekly'!$H$1:$CT$1,"&lt;="&amp;EOMONTH(Y$1,0),'UX Weekly'!$H24:$CT24,"&lt;&gt;"))</f>
        <v>0</v>
      </c>
      <c r="Z24">
        <f>IF($B24="",0,COUNTIFS('UX Weekly'!$H$1:$CT$1,"&gt;="&amp;Z$1,'UX Weekly'!$H$1:$CT$1,"&lt;="&amp;EOMONTH(Z$1,0),'UX Weekly'!$H24:$CT24,"&lt;&gt;"))</f>
        <v>0</v>
      </c>
      <c r="AA24">
        <f>IF($B24="",0,COUNTIFS('UX Weekly'!$H$1:$CT$1,"&gt;="&amp;AA$1,'UX Weekly'!$H$1:$CT$1,"&lt;="&amp;EOMONTH(AA$1,0),'UX Weekly'!$H24:$CT24,"&lt;&gt;"))</f>
        <v>0</v>
      </c>
      <c r="AB24">
        <f>IF($B24="",0,COUNTIFS('UX Weekly'!$H$1:$CT$1,"&gt;="&amp;AB$1,'UX Weekly'!$H$1:$CT$1,"&lt;="&amp;EOMONTH(AB$1,0),'UX Weekly'!$H24:$CT24,"&lt;&gt;"))</f>
        <v>5</v>
      </c>
      <c r="AC24">
        <f>IF($B24="",0,COUNTIFS('UX Weekly'!$H$1:$CT$1,"&gt;="&amp;AC$1,'UX Weekly'!$H$1:$CT$1,"&lt;="&amp;EOMONTH(AC$1,0),'UX Weekly'!$H24:$CT24,"&lt;&gt;"))</f>
        <v>4</v>
      </c>
      <c r="AD24">
        <f>IF($B24="",0,COUNTIFS('UX Weekly'!$H$1:$CT$1,"&gt;="&amp;AD$1,'UX Weekly'!$H$1:$CT$1,"&lt;="&amp;EOMONTH(AD$1,0),'UX Weekly'!$H24:$CT24,"&lt;&gt;"))</f>
        <v>5</v>
      </c>
      <c r="AE24">
        <f>IF($B24="",0,COUNTIFS('UX Weekly'!$H$1:$CT$1,"&gt;="&amp;AE$1,'UX Weekly'!$H$1:$CT$1,"&lt;="&amp;EOMONTH(AE$1,0),'UX Weekly'!$H24:$CT24,"&lt;&gt;"))</f>
        <v>4</v>
      </c>
      <c r="AF24">
        <f>IF($B24="",0,COUNTIFS('UX Weekly'!$H$1:$CT$1,"&gt;="&amp;AF$1,'UX Weekly'!$H$1:$CT$1,"&lt;="&amp;EOMONTH(AF$1,0),'UX Weekly'!$H24:$CT24,"&lt;&gt;"))</f>
        <v>0</v>
      </c>
      <c r="AG24">
        <f>IF($B24="",0,COUNTIFS('UX Weekly'!$H$1:$CT$1,"&gt;="&amp;AG$1,'UX Weekly'!$H$1:$CT$1,"&lt;="&amp;EOMONTH(AG$1,0),'UX Weekly'!$H24:$CT24,"&lt;&gt;"))</f>
        <v>0</v>
      </c>
      <c r="AH24">
        <f>IF($B24="",0,COUNTIFS('UX Weekly'!$H$1:$CT$1,"&gt;="&amp;AH$1,'UX Weekly'!$H$1:$CT$1,"&lt;="&amp;EOMONTH(AH$1,0),'UX Weekly'!$H24:$CT24,"&lt;&gt;"))</f>
        <v>0</v>
      </c>
      <c r="AI24">
        <f>IF($B24="",0,COUNTIFS('UX Weekly'!$H$1:$CT$1,"&gt;="&amp;AI$1,'UX Weekly'!$H$1:$CT$1,"&lt;="&amp;EOMONTH(AI$1,0),'UX Weekly'!$H24:$CT24,"&lt;&gt;"))</f>
        <v>0</v>
      </c>
      <c r="AJ24">
        <f>IF($B24="",0,COUNTIFS('UX Weekly'!$H$1:$CT$1,"&gt;="&amp;AJ$1,'UX Weekly'!$H$1:$CT$1,"&lt;="&amp;EOMONTH(AJ$1,0),'UX Weekly'!$H24:$CT24,"&lt;&gt;"))</f>
        <v>0</v>
      </c>
      <c r="AK24">
        <f>IF($B24="",0,COUNTIFS('UX Weekly'!$H$1:$CT$1,"&gt;="&amp;AK$1,'UX Weekly'!$H$1:$CT$1,"&lt;="&amp;EOMONTH(AK$1,0),'UX Weekly'!$H24:$CT24,"&lt;&gt;"))</f>
        <v>0</v>
      </c>
      <c r="AL24">
        <f>IF($B24="",0,COUNTIFS('UX Weekly'!$H$1:$CT$1,"&gt;="&amp;AL$1,'UX Weekly'!$H$1:$CT$1,"&lt;="&amp;EOMONTH(AL$1,0),'UX Weekly'!$H24:$CT24,"&lt;&gt;"))</f>
        <v>0</v>
      </c>
      <c r="AM24">
        <f>IF($B24="",0,COUNTIFS('UX Weekly'!$H$1:$CT$1,"&gt;="&amp;AM$1,'UX Weekly'!$H$1:$CT$1,"&lt;="&amp;EOMONTH(AM$1,0),'UX Weekly'!$H24:$CT24,"&lt;&gt;"))</f>
        <v>0</v>
      </c>
      <c r="AN24">
        <f>IF($B24="",0,COUNTIFS('UX Weekly'!$H$1:$CT$1,"&gt;="&amp;AN$1,'UX Weekly'!$H$1:$CT$1,"&lt;="&amp;EOMONTH(AN$1,0),'UX Weekly'!$H24:$CT24,"&lt;&gt;"))</f>
        <v>0</v>
      </c>
      <c r="AO24">
        <f>IF($B24="",0,COUNTIFS('UX Weekly'!$H$1:$CT$1,"&gt;="&amp;AO$1,'UX Weekly'!$H$1:$CT$1,"&lt;="&amp;EOMONTH(AO$1,0),'UX Weekly'!$H24:$CT24,"&lt;&gt;"))</f>
        <v>0</v>
      </c>
      <c r="AP24">
        <f>IF($B24="",0,COUNTIFS('UX Weekly'!$H$1:$CT$1,"&gt;="&amp;AP$1,'UX Weekly'!$H$1:$CT$1,"&lt;="&amp;EOMONTH(AP$1,0),'UX Weekly'!$H24:$CT24,"&lt;&gt;"))</f>
        <v>0</v>
      </c>
      <c r="AQ24">
        <f>IF($B24="",0,COUNTIFS('UX Weekly'!$H$1:$CT$1,"&gt;="&amp;AQ$1,'UX Weekly'!$H$1:$CT$1,"&lt;="&amp;EOMONTH(AQ$1,0),'UX Weekly'!$H24:$CT24,"&lt;&gt;"))</f>
        <v>0</v>
      </c>
      <c r="AR24">
        <f>IF($B24="",0,COUNTIFS('UX Weekly'!$H$1:$CT$1,"&gt;="&amp;AR$1,'UX Weekly'!$H$1:$CT$1,"&lt;="&amp;EOMONTH(AR$1,0),'UX Weekly'!$H24:$CT24,"&lt;&gt;"))</f>
        <v>0</v>
      </c>
      <c r="AS24">
        <f>IF($B24="",0,COUNTIFS('UX Weekly'!$H$1:$CT$1,"&gt;="&amp;AS$1,'UX Weekly'!$H$1:$CT$1,"&lt;="&amp;EOMONTH(AS$1,0),'UX Weekly'!$H24:$CT24,"&lt;&gt;"))</f>
        <v>0</v>
      </c>
      <c r="AT24">
        <f>IF($B24="",0,COUNTIFS('UX Weekly'!$H$1:$CT$1,"&gt;="&amp;AT$1,'UX Weekly'!$H$1:$CT$1,"&lt;="&amp;EOMONTH(AT$1,0),'UX Weekly'!$H24:$CT24,"&lt;&gt;"))</f>
        <v>0</v>
      </c>
    </row>
    <row r="25" spans="1:46" x14ac:dyDescent="0.2">
      <c r="A25" s="147">
        <v>26</v>
      </c>
      <c r="B25" s="147" t="str">
        <f>IF(TRIM('UX Weekly'!E25)="","",TRIM('UX Weekly'!E25))</f>
        <v>Sell Used User Flow Design Validation</v>
      </c>
      <c r="C25" s="147" t="str">
        <f>IF($B25="","",'UX Weekly'!B25)</f>
        <v>Used</v>
      </c>
      <c r="D25" s="147" t="str">
        <f>IF($B25="","",IF(TRIM('UX Weekly'!C25)="","(No theme assigned)",TRIM('UX Weekly'!C25)))</f>
        <v>Improve Trade In User Flow</v>
      </c>
      <c r="E25" s="147" t="str">
        <f>IF($B25="","",TRIM('UX Weekly'!F25))</f>
        <v>BHUR-133</v>
      </c>
      <c r="F25" s="147" t="str">
        <f>IF($B25="","",'UX Weekly'!G25)</f>
        <v>04A. Research - Design Validation</v>
      </c>
      <c r="G25" s="148">
        <f t="array" ref="G25">IF($B25="","",IF($S25=0,"",IFERROR(MIN(IF('UX Weekly'!$H25:$CT25&lt;&gt;"",'UX Weekly'!$H$1:$CT$1)),"")))</f>
        <v>46209</v>
      </c>
      <c r="H25" s="148">
        <f t="array" ref="H25">IF($B25="","",IF($S25=0,"",IFERROR(MAX(IF('UX Weekly'!$H25:$CT25&lt;&gt;"",'UX Weekly'!$H$1:$CT$1)),"")))</f>
        <v>46258</v>
      </c>
      <c r="I25" s="149" t="str">
        <f t="shared" ca="1" si="0"/>
        <v/>
      </c>
      <c r="J25" s="149" t="str">
        <f t="shared" ca="1" si="1"/>
        <v/>
      </c>
      <c r="K25" s="147">
        <f>IF($B25="","",IFERROR(MATCH($B25,'Dev Tracker'!$D$2:$D$196,0),IF($E25="","",IFERROR(MATCH($E25,'Dev Tracker'!$E$2:$E$196,0),""))))</f>
        <v>24</v>
      </c>
      <c r="L25" s="147">
        <f>IF($B25="","",IFERROR(MATCH($D25,'Control (Don’t Touch)'!$E$4:$E$30,0),99))</f>
        <v>3</v>
      </c>
      <c r="M25" s="147">
        <f>IF($B25="","",IFERROR(MATCH($F25,'Control (Don’t Touch)'!$B$4:$B$30,0),99))</f>
        <v>7</v>
      </c>
      <c r="N25" s="147">
        <f t="shared" si="2"/>
        <v>3070025</v>
      </c>
      <c r="O25" s="147">
        <f>IF($B25="","",COUNTIF($N$2:$N$204,"&lt;"&amp;$N25)+1)</f>
        <v>19</v>
      </c>
      <c r="P25" s="149" t="str">
        <f ca="1">IF($K25="","",IFERROR(DATE(IFERROR(VALUE(RIGHT(TRIM(INDEX('Dev Tracker'!$I$2:$I$196,$K25)),4)),YEAR(TODAY())),MATCH(LEFT(TRIM(INDEX('Dev Tracker'!$I$2:$I$196,$K25)),3),$U$2:$U$12,0),1),""))</f>
        <v/>
      </c>
      <c r="Q25" s="149" t="str">
        <f ca="1">IF($K25="","",IFERROR(DATE(IFERROR(VALUE(RIGHT(TRIM(INDEX('Dev Tracker'!$J$2:$J$196,$K25)),4)),YEAR(TODAY())),MATCH(LEFT(TRIM(INDEX('Dev Tracker'!$J$2:$J$196,$K25)),3),$U$2:$U$12,0),1),""))</f>
        <v/>
      </c>
      <c r="R25" s="147"/>
      <c r="S25" s="147">
        <f>IF($B25="","",COUNTA('UX Weekly'!$H25:$CT25))</f>
        <v>8</v>
      </c>
      <c r="W25">
        <f>IF($B25="",0,COUNTIFS('UX Weekly'!$H$1:$CT$1,"&gt;="&amp;W$1,'UX Weekly'!$H$1:$CT$1,"&lt;="&amp;EOMONTH(W$1,0),'UX Weekly'!$H25:$CT25,"&lt;&gt;"))</f>
        <v>0</v>
      </c>
      <c r="X25">
        <f>IF($B25="",0,COUNTIFS('UX Weekly'!$H$1:$CT$1,"&gt;="&amp;X$1,'UX Weekly'!$H$1:$CT$1,"&lt;="&amp;EOMONTH(X$1,0),'UX Weekly'!$H25:$CT25,"&lt;&gt;"))</f>
        <v>0</v>
      </c>
      <c r="Y25">
        <f>IF($B25="",0,COUNTIFS('UX Weekly'!$H$1:$CT$1,"&gt;="&amp;Y$1,'UX Weekly'!$H$1:$CT$1,"&lt;="&amp;EOMONTH(Y$1,0),'UX Weekly'!$H25:$CT25,"&lt;&gt;"))</f>
        <v>0</v>
      </c>
      <c r="Z25">
        <f>IF($B25="",0,COUNTIFS('UX Weekly'!$H$1:$CT$1,"&gt;="&amp;Z$1,'UX Weekly'!$H$1:$CT$1,"&lt;="&amp;EOMONTH(Z$1,0),'UX Weekly'!$H25:$CT25,"&lt;&gt;"))</f>
        <v>0</v>
      </c>
      <c r="AA25">
        <f>IF($B25="",0,COUNTIFS('UX Weekly'!$H$1:$CT$1,"&gt;="&amp;AA$1,'UX Weekly'!$H$1:$CT$1,"&lt;="&amp;EOMONTH(AA$1,0),'UX Weekly'!$H25:$CT25,"&lt;&gt;"))</f>
        <v>0</v>
      </c>
      <c r="AB25">
        <f>IF($B25="",0,COUNTIFS('UX Weekly'!$H$1:$CT$1,"&gt;="&amp;AB$1,'UX Weekly'!$H$1:$CT$1,"&lt;="&amp;EOMONTH(AB$1,0),'UX Weekly'!$H25:$CT25,"&lt;&gt;"))</f>
        <v>0</v>
      </c>
      <c r="AC25">
        <f>IF($B25="",0,COUNTIFS('UX Weekly'!$H$1:$CT$1,"&gt;="&amp;AC$1,'UX Weekly'!$H$1:$CT$1,"&lt;="&amp;EOMONTH(AC$1,0),'UX Weekly'!$H25:$CT25,"&lt;&gt;"))</f>
        <v>4</v>
      </c>
      <c r="AD25">
        <f>IF($B25="",0,COUNTIFS('UX Weekly'!$H$1:$CT$1,"&gt;="&amp;AD$1,'UX Weekly'!$H$1:$CT$1,"&lt;="&amp;EOMONTH(AD$1,0),'UX Weekly'!$H25:$CT25,"&lt;&gt;"))</f>
        <v>4</v>
      </c>
      <c r="AE25">
        <f>IF($B25="",0,COUNTIFS('UX Weekly'!$H$1:$CT$1,"&gt;="&amp;AE$1,'UX Weekly'!$H$1:$CT$1,"&lt;="&amp;EOMONTH(AE$1,0),'UX Weekly'!$H25:$CT25,"&lt;&gt;"))</f>
        <v>0</v>
      </c>
      <c r="AF25">
        <f>IF($B25="",0,COUNTIFS('UX Weekly'!$H$1:$CT$1,"&gt;="&amp;AF$1,'UX Weekly'!$H$1:$CT$1,"&lt;="&amp;EOMONTH(AF$1,0),'UX Weekly'!$H25:$CT25,"&lt;&gt;"))</f>
        <v>0</v>
      </c>
      <c r="AG25">
        <f>IF($B25="",0,COUNTIFS('UX Weekly'!$H$1:$CT$1,"&gt;="&amp;AG$1,'UX Weekly'!$H$1:$CT$1,"&lt;="&amp;EOMONTH(AG$1,0),'UX Weekly'!$H25:$CT25,"&lt;&gt;"))</f>
        <v>0</v>
      </c>
      <c r="AH25">
        <f>IF($B25="",0,COUNTIFS('UX Weekly'!$H$1:$CT$1,"&gt;="&amp;AH$1,'UX Weekly'!$H$1:$CT$1,"&lt;="&amp;EOMONTH(AH$1,0),'UX Weekly'!$H25:$CT25,"&lt;&gt;"))</f>
        <v>0</v>
      </c>
      <c r="AI25">
        <f>IF($B25="",0,COUNTIFS('UX Weekly'!$H$1:$CT$1,"&gt;="&amp;AI$1,'UX Weekly'!$H$1:$CT$1,"&lt;="&amp;EOMONTH(AI$1,0),'UX Weekly'!$H25:$CT25,"&lt;&gt;"))</f>
        <v>0</v>
      </c>
      <c r="AJ25">
        <f>IF($B25="",0,COUNTIFS('UX Weekly'!$H$1:$CT$1,"&gt;="&amp;AJ$1,'UX Weekly'!$H$1:$CT$1,"&lt;="&amp;EOMONTH(AJ$1,0),'UX Weekly'!$H25:$CT25,"&lt;&gt;"))</f>
        <v>0</v>
      </c>
      <c r="AK25">
        <f>IF($B25="",0,COUNTIFS('UX Weekly'!$H$1:$CT$1,"&gt;="&amp;AK$1,'UX Weekly'!$H$1:$CT$1,"&lt;="&amp;EOMONTH(AK$1,0),'UX Weekly'!$H25:$CT25,"&lt;&gt;"))</f>
        <v>0</v>
      </c>
      <c r="AL25">
        <f>IF($B25="",0,COUNTIFS('UX Weekly'!$H$1:$CT$1,"&gt;="&amp;AL$1,'UX Weekly'!$H$1:$CT$1,"&lt;="&amp;EOMONTH(AL$1,0),'UX Weekly'!$H25:$CT25,"&lt;&gt;"))</f>
        <v>0</v>
      </c>
      <c r="AM25">
        <f>IF($B25="",0,COUNTIFS('UX Weekly'!$H$1:$CT$1,"&gt;="&amp;AM$1,'UX Weekly'!$H$1:$CT$1,"&lt;="&amp;EOMONTH(AM$1,0),'UX Weekly'!$H25:$CT25,"&lt;&gt;"))</f>
        <v>0</v>
      </c>
      <c r="AN25">
        <f>IF($B25="",0,COUNTIFS('UX Weekly'!$H$1:$CT$1,"&gt;="&amp;AN$1,'UX Weekly'!$H$1:$CT$1,"&lt;="&amp;EOMONTH(AN$1,0),'UX Weekly'!$H25:$CT25,"&lt;&gt;"))</f>
        <v>0</v>
      </c>
      <c r="AO25">
        <f>IF($B25="",0,COUNTIFS('UX Weekly'!$H$1:$CT$1,"&gt;="&amp;AO$1,'UX Weekly'!$H$1:$CT$1,"&lt;="&amp;EOMONTH(AO$1,0),'UX Weekly'!$H25:$CT25,"&lt;&gt;"))</f>
        <v>0</v>
      </c>
      <c r="AP25">
        <f>IF($B25="",0,COUNTIFS('UX Weekly'!$H$1:$CT$1,"&gt;="&amp;AP$1,'UX Weekly'!$H$1:$CT$1,"&lt;="&amp;EOMONTH(AP$1,0),'UX Weekly'!$H25:$CT25,"&lt;&gt;"))</f>
        <v>0</v>
      </c>
      <c r="AQ25">
        <f>IF($B25="",0,COUNTIFS('UX Weekly'!$H$1:$CT$1,"&gt;="&amp;AQ$1,'UX Weekly'!$H$1:$CT$1,"&lt;="&amp;EOMONTH(AQ$1,0),'UX Weekly'!$H25:$CT25,"&lt;&gt;"))</f>
        <v>0</v>
      </c>
      <c r="AR25">
        <f>IF($B25="",0,COUNTIFS('UX Weekly'!$H$1:$CT$1,"&gt;="&amp;AR$1,'UX Weekly'!$H$1:$CT$1,"&lt;="&amp;EOMONTH(AR$1,0),'UX Weekly'!$H25:$CT25,"&lt;&gt;"))</f>
        <v>0</v>
      </c>
      <c r="AS25">
        <f>IF($B25="",0,COUNTIFS('UX Weekly'!$H$1:$CT$1,"&gt;="&amp;AS$1,'UX Weekly'!$H$1:$CT$1,"&lt;="&amp;EOMONTH(AS$1,0),'UX Weekly'!$H25:$CT25,"&lt;&gt;"))</f>
        <v>0</v>
      </c>
      <c r="AT25">
        <f>IF($B25="",0,COUNTIFS('UX Weekly'!$H$1:$CT$1,"&gt;="&amp;AT$1,'UX Weekly'!$H$1:$CT$1,"&lt;="&amp;EOMONTH(AT$1,0),'UX Weekly'!$H25:$CT25,"&lt;&gt;"))</f>
        <v>0</v>
      </c>
    </row>
    <row r="26" spans="1:46" x14ac:dyDescent="0.2">
      <c r="A26" s="147">
        <v>27</v>
      </c>
      <c r="B26" s="147" t="str">
        <f>IF(TRIM('UX Weekly'!E26)="","",TRIM('UX Weekly'!E26))</f>
        <v>Used Status Email Update</v>
      </c>
      <c r="C26" s="147" t="str">
        <f>IF($B26="","",'UX Weekly'!B26)</f>
        <v>Used</v>
      </c>
      <c r="D26" s="147" t="str">
        <f>IF($B26="","",IF(TRIM('UX Weekly'!C26)="","(No theme assigned)",TRIM('UX Weekly'!C26)))</f>
        <v>Improve Trade In User Flow</v>
      </c>
      <c r="E26" s="147" t="str">
        <f>IF($B26="","",TRIM('UX Weekly'!F26))</f>
        <v>BHUX-34723</v>
      </c>
      <c r="F26" s="147" t="str">
        <f>IF($B26="","",'UX Weekly'!G26)</f>
        <v>06. Architecture</v>
      </c>
      <c r="G26" s="148">
        <f t="array" ref="G26">IF($B26="","",IF($S26=0,"",IFERROR(MIN(IF('UX Weekly'!$H26:$CT26&lt;&gt;"",'UX Weekly'!$H$1:$CT$1)),"")))</f>
        <v>46216</v>
      </c>
      <c r="H26" s="148">
        <f t="array" ref="H26">IF($B26="","",IF($S26=0,"",IFERROR(MAX(IF('UX Weekly'!$H26:$CT26&lt;&gt;"",'UX Weekly'!$H$1:$CT$1)),"")))</f>
        <v>46216</v>
      </c>
      <c r="I26" s="149" t="str">
        <f t="shared" ca="1" si="0"/>
        <v/>
      </c>
      <c r="J26" s="149" t="str">
        <f t="shared" ca="1" si="1"/>
        <v/>
      </c>
      <c r="K26" s="147">
        <f>IF($B26="","",IFERROR(MATCH($B26,'Dev Tracker'!$D$2:$D$196,0),IF($E26="","",IFERROR(MATCH($E26,'Dev Tracker'!$E$2:$E$196,0),""))))</f>
        <v>25</v>
      </c>
      <c r="L26" s="147">
        <f>IF($B26="","",IFERROR(MATCH($D26,'Control (Don’t Touch)'!$E$4:$E$30,0),99))</f>
        <v>3</v>
      </c>
      <c r="M26" s="147">
        <f>IF($B26="","",IFERROR(MATCH($F26,'Control (Don’t Touch)'!$B$4:$B$30,0),99))</f>
        <v>9</v>
      </c>
      <c r="N26" s="147">
        <f t="shared" si="2"/>
        <v>3090026</v>
      </c>
      <c r="O26" s="147">
        <f>IF($B26="","",COUNTIF($N$2:$N$204,"&lt;"&amp;$N26)+1)</f>
        <v>20</v>
      </c>
      <c r="P26" s="149" t="str">
        <f ca="1">IF($K26="","",IFERROR(DATE(IFERROR(VALUE(RIGHT(TRIM(INDEX('Dev Tracker'!$I$2:$I$196,$K26)),4)),YEAR(TODAY())),MATCH(LEFT(TRIM(INDEX('Dev Tracker'!$I$2:$I$196,$K26)),3),$U$2:$U$12,0),1),""))</f>
        <v/>
      </c>
      <c r="Q26" s="149" t="str">
        <f ca="1">IF($K26="","",IFERROR(DATE(IFERROR(VALUE(RIGHT(TRIM(INDEX('Dev Tracker'!$J$2:$J$196,$K26)),4)),YEAR(TODAY())),MATCH(LEFT(TRIM(INDEX('Dev Tracker'!$J$2:$J$196,$K26)),3),$U$2:$U$12,0),1),""))</f>
        <v/>
      </c>
      <c r="R26" s="147"/>
      <c r="S26" s="147">
        <f>IF($B26="","",COUNTA('UX Weekly'!$H26:$CT26))</f>
        <v>1</v>
      </c>
      <c r="W26">
        <f>IF($B26="",0,COUNTIFS('UX Weekly'!$H$1:$CT$1,"&gt;="&amp;W$1,'UX Weekly'!$H$1:$CT$1,"&lt;="&amp;EOMONTH(W$1,0),'UX Weekly'!$H26:$CT26,"&lt;&gt;"))</f>
        <v>0</v>
      </c>
      <c r="X26">
        <f>IF($B26="",0,COUNTIFS('UX Weekly'!$H$1:$CT$1,"&gt;="&amp;X$1,'UX Weekly'!$H$1:$CT$1,"&lt;="&amp;EOMONTH(X$1,0),'UX Weekly'!$H26:$CT26,"&lt;&gt;"))</f>
        <v>0</v>
      </c>
      <c r="Y26">
        <f>IF($B26="",0,COUNTIFS('UX Weekly'!$H$1:$CT$1,"&gt;="&amp;Y$1,'UX Weekly'!$H$1:$CT$1,"&lt;="&amp;EOMONTH(Y$1,0),'UX Weekly'!$H26:$CT26,"&lt;&gt;"))</f>
        <v>0</v>
      </c>
      <c r="Z26">
        <f>IF($B26="",0,COUNTIFS('UX Weekly'!$H$1:$CT$1,"&gt;="&amp;Z$1,'UX Weekly'!$H$1:$CT$1,"&lt;="&amp;EOMONTH(Z$1,0),'UX Weekly'!$H26:$CT26,"&lt;&gt;"))</f>
        <v>0</v>
      </c>
      <c r="AA26">
        <f>IF($B26="",0,COUNTIFS('UX Weekly'!$H$1:$CT$1,"&gt;="&amp;AA$1,'UX Weekly'!$H$1:$CT$1,"&lt;="&amp;EOMONTH(AA$1,0),'UX Weekly'!$H26:$CT26,"&lt;&gt;"))</f>
        <v>0</v>
      </c>
      <c r="AB26">
        <f>IF($B26="",0,COUNTIFS('UX Weekly'!$H$1:$CT$1,"&gt;="&amp;AB$1,'UX Weekly'!$H$1:$CT$1,"&lt;="&amp;EOMONTH(AB$1,0),'UX Weekly'!$H26:$CT26,"&lt;&gt;"))</f>
        <v>0</v>
      </c>
      <c r="AC26">
        <f>IF($B26="",0,COUNTIFS('UX Weekly'!$H$1:$CT$1,"&gt;="&amp;AC$1,'UX Weekly'!$H$1:$CT$1,"&lt;="&amp;EOMONTH(AC$1,0),'UX Weekly'!$H26:$CT26,"&lt;&gt;"))</f>
        <v>1</v>
      </c>
      <c r="AD26">
        <f>IF($B26="",0,COUNTIFS('UX Weekly'!$H$1:$CT$1,"&gt;="&amp;AD$1,'UX Weekly'!$H$1:$CT$1,"&lt;="&amp;EOMONTH(AD$1,0),'UX Weekly'!$H26:$CT26,"&lt;&gt;"))</f>
        <v>0</v>
      </c>
      <c r="AE26">
        <f>IF($B26="",0,COUNTIFS('UX Weekly'!$H$1:$CT$1,"&gt;="&amp;AE$1,'UX Weekly'!$H$1:$CT$1,"&lt;="&amp;EOMONTH(AE$1,0),'UX Weekly'!$H26:$CT26,"&lt;&gt;"))</f>
        <v>0</v>
      </c>
      <c r="AF26">
        <f>IF($B26="",0,COUNTIFS('UX Weekly'!$H$1:$CT$1,"&gt;="&amp;AF$1,'UX Weekly'!$H$1:$CT$1,"&lt;="&amp;EOMONTH(AF$1,0),'UX Weekly'!$H26:$CT26,"&lt;&gt;"))</f>
        <v>0</v>
      </c>
      <c r="AG26">
        <f>IF($B26="",0,COUNTIFS('UX Weekly'!$H$1:$CT$1,"&gt;="&amp;AG$1,'UX Weekly'!$H$1:$CT$1,"&lt;="&amp;EOMONTH(AG$1,0),'UX Weekly'!$H26:$CT26,"&lt;&gt;"))</f>
        <v>0</v>
      </c>
      <c r="AH26">
        <f>IF($B26="",0,COUNTIFS('UX Weekly'!$H$1:$CT$1,"&gt;="&amp;AH$1,'UX Weekly'!$H$1:$CT$1,"&lt;="&amp;EOMONTH(AH$1,0),'UX Weekly'!$H26:$CT26,"&lt;&gt;"))</f>
        <v>0</v>
      </c>
      <c r="AI26">
        <f>IF($B26="",0,COUNTIFS('UX Weekly'!$H$1:$CT$1,"&gt;="&amp;AI$1,'UX Weekly'!$H$1:$CT$1,"&lt;="&amp;EOMONTH(AI$1,0),'UX Weekly'!$H26:$CT26,"&lt;&gt;"))</f>
        <v>0</v>
      </c>
      <c r="AJ26">
        <f>IF($B26="",0,COUNTIFS('UX Weekly'!$H$1:$CT$1,"&gt;="&amp;AJ$1,'UX Weekly'!$H$1:$CT$1,"&lt;="&amp;EOMONTH(AJ$1,0),'UX Weekly'!$H26:$CT26,"&lt;&gt;"))</f>
        <v>0</v>
      </c>
      <c r="AK26">
        <f>IF($B26="",0,COUNTIFS('UX Weekly'!$H$1:$CT$1,"&gt;="&amp;AK$1,'UX Weekly'!$H$1:$CT$1,"&lt;="&amp;EOMONTH(AK$1,0),'UX Weekly'!$H26:$CT26,"&lt;&gt;"))</f>
        <v>0</v>
      </c>
      <c r="AL26">
        <f>IF($B26="",0,COUNTIFS('UX Weekly'!$H$1:$CT$1,"&gt;="&amp;AL$1,'UX Weekly'!$H$1:$CT$1,"&lt;="&amp;EOMONTH(AL$1,0),'UX Weekly'!$H26:$CT26,"&lt;&gt;"))</f>
        <v>0</v>
      </c>
      <c r="AM26">
        <f>IF($B26="",0,COUNTIFS('UX Weekly'!$H$1:$CT$1,"&gt;="&amp;AM$1,'UX Weekly'!$H$1:$CT$1,"&lt;="&amp;EOMONTH(AM$1,0),'UX Weekly'!$H26:$CT26,"&lt;&gt;"))</f>
        <v>0</v>
      </c>
      <c r="AN26">
        <f>IF($B26="",0,COUNTIFS('UX Weekly'!$H$1:$CT$1,"&gt;="&amp;AN$1,'UX Weekly'!$H$1:$CT$1,"&lt;="&amp;EOMONTH(AN$1,0),'UX Weekly'!$H26:$CT26,"&lt;&gt;"))</f>
        <v>0</v>
      </c>
      <c r="AO26">
        <f>IF($B26="",0,COUNTIFS('UX Weekly'!$H$1:$CT$1,"&gt;="&amp;AO$1,'UX Weekly'!$H$1:$CT$1,"&lt;="&amp;EOMONTH(AO$1,0),'UX Weekly'!$H26:$CT26,"&lt;&gt;"))</f>
        <v>0</v>
      </c>
      <c r="AP26">
        <f>IF($B26="",0,COUNTIFS('UX Weekly'!$H$1:$CT$1,"&gt;="&amp;AP$1,'UX Weekly'!$H$1:$CT$1,"&lt;="&amp;EOMONTH(AP$1,0),'UX Weekly'!$H26:$CT26,"&lt;&gt;"))</f>
        <v>0</v>
      </c>
      <c r="AQ26">
        <f>IF($B26="",0,COUNTIFS('UX Weekly'!$H$1:$CT$1,"&gt;="&amp;AQ$1,'UX Weekly'!$H$1:$CT$1,"&lt;="&amp;EOMONTH(AQ$1,0),'UX Weekly'!$H26:$CT26,"&lt;&gt;"))</f>
        <v>0</v>
      </c>
      <c r="AR26">
        <f>IF($B26="",0,COUNTIFS('UX Weekly'!$H$1:$CT$1,"&gt;="&amp;AR$1,'UX Weekly'!$H$1:$CT$1,"&lt;="&amp;EOMONTH(AR$1,0),'UX Weekly'!$H26:$CT26,"&lt;&gt;"))</f>
        <v>0</v>
      </c>
      <c r="AS26">
        <f>IF($B26="",0,COUNTIFS('UX Weekly'!$H$1:$CT$1,"&gt;="&amp;AS$1,'UX Weekly'!$H$1:$CT$1,"&lt;="&amp;EOMONTH(AS$1,0),'UX Weekly'!$H26:$CT26,"&lt;&gt;"))</f>
        <v>0</v>
      </c>
      <c r="AT26">
        <f>IF($B26="",0,COUNTIFS('UX Weekly'!$H$1:$CT$1,"&gt;="&amp;AT$1,'UX Weekly'!$H$1:$CT$1,"&lt;="&amp;EOMONTH(AT$1,0),'UX Weekly'!$H26:$CT26,"&lt;&gt;"))</f>
        <v>0</v>
      </c>
    </row>
    <row r="27" spans="1:46" x14ac:dyDescent="0.2">
      <c r="A27" s="147">
        <v>28</v>
      </c>
      <c r="B27" s="147" t="str">
        <f>IF(TRIM('UX Weekly'!E27)="","",TRIM('UX Weekly'!E27))</f>
        <v>PDP Purchased in 20XX, Trade In Value is $YYY.YY</v>
      </c>
      <c r="C27" s="147" t="str">
        <f>IF($B27="","",'UX Weekly'!B27)</f>
        <v>Used</v>
      </c>
      <c r="D27" s="147" t="str">
        <f>IF($B27="","",IF(TRIM('UX Weekly'!C27)="","(No theme assigned)",TRIM('UX Weekly'!C27)))</f>
        <v>Increase Trade In Awareness</v>
      </c>
      <c r="E27" s="147" t="str">
        <f>IF($B27="","",TRIM('UX Weekly'!F27))</f>
        <v>BHUX-35309</v>
      </c>
      <c r="F27" s="147" t="str">
        <f>IF($B27="","",'UX Weekly'!G27)</f>
        <v>06. Architecture</v>
      </c>
      <c r="G27" s="148">
        <f t="array" ref="G27">IF($B27="","",IF($S27=0,"",IFERROR(MIN(IF('UX Weekly'!$H27:$CT27&lt;&gt;"",'UX Weekly'!$H$1:$CT$1)),"")))</f>
        <v>46251</v>
      </c>
      <c r="H27" s="148">
        <f t="array" ref="H27">IF($B27="","",IF($S27=0,"",IFERROR(MAX(IF('UX Weekly'!$H27:$CT27&lt;&gt;"",'UX Weekly'!$H$1:$CT$1)),"")))</f>
        <v>46251</v>
      </c>
      <c r="I27" s="149" t="str">
        <f t="shared" ca="1" si="0"/>
        <v/>
      </c>
      <c r="J27" s="149" t="str">
        <f t="shared" ca="1" si="1"/>
        <v/>
      </c>
      <c r="K27" s="147">
        <f>IF($B27="","",IFERROR(MATCH($B27,'Dev Tracker'!$D$2:$D$196,0),IF($E27="","",IFERROR(MATCH($E27,'Dev Tracker'!$E$2:$E$196,0),""))))</f>
        <v>26</v>
      </c>
      <c r="L27" s="147">
        <f>IF($B27="","",IFERROR(MATCH($D27,'Control (Don’t Touch)'!$E$4:$E$30,0),99))</f>
        <v>2</v>
      </c>
      <c r="M27" s="147">
        <f>IF($B27="","",IFERROR(MATCH($F27,'Control (Don’t Touch)'!$B$4:$B$30,0),99))</f>
        <v>9</v>
      </c>
      <c r="N27" s="147">
        <f t="shared" si="2"/>
        <v>2090027</v>
      </c>
      <c r="O27" s="147">
        <f>IF($B27="","",COUNTIF($N$2:$N$204,"&lt;"&amp;$N27)+1)</f>
        <v>15</v>
      </c>
      <c r="P27" s="149" t="str">
        <f ca="1">IF($K27="","",IFERROR(DATE(IFERROR(VALUE(RIGHT(TRIM(INDEX('Dev Tracker'!$I$2:$I$196,$K27)),4)),YEAR(TODAY())),MATCH(LEFT(TRIM(INDEX('Dev Tracker'!$I$2:$I$196,$K27)),3),$U$2:$U$12,0),1),""))</f>
        <v/>
      </c>
      <c r="Q27" s="149" t="str">
        <f ca="1">IF($K27="","",IFERROR(DATE(IFERROR(VALUE(RIGHT(TRIM(INDEX('Dev Tracker'!$J$2:$J$196,$K27)),4)),YEAR(TODAY())),MATCH(LEFT(TRIM(INDEX('Dev Tracker'!$J$2:$J$196,$K27)),3),$U$2:$U$12,0),1),""))</f>
        <v/>
      </c>
      <c r="R27" s="147"/>
      <c r="S27" s="147">
        <f>IF($B27="","",COUNTA('UX Weekly'!$H27:$CT27))</f>
        <v>1</v>
      </c>
      <c r="W27">
        <f>IF($B27="",0,COUNTIFS('UX Weekly'!$H$1:$CT$1,"&gt;="&amp;W$1,'UX Weekly'!$H$1:$CT$1,"&lt;="&amp;EOMONTH(W$1,0),'UX Weekly'!$H27:$CT27,"&lt;&gt;"))</f>
        <v>0</v>
      </c>
      <c r="X27">
        <f>IF($B27="",0,COUNTIFS('UX Weekly'!$H$1:$CT$1,"&gt;="&amp;X$1,'UX Weekly'!$H$1:$CT$1,"&lt;="&amp;EOMONTH(X$1,0),'UX Weekly'!$H27:$CT27,"&lt;&gt;"))</f>
        <v>0</v>
      </c>
      <c r="Y27">
        <f>IF($B27="",0,COUNTIFS('UX Weekly'!$H$1:$CT$1,"&gt;="&amp;Y$1,'UX Weekly'!$H$1:$CT$1,"&lt;="&amp;EOMONTH(Y$1,0),'UX Weekly'!$H27:$CT27,"&lt;&gt;"))</f>
        <v>0</v>
      </c>
      <c r="Z27">
        <f>IF($B27="",0,COUNTIFS('UX Weekly'!$H$1:$CT$1,"&gt;="&amp;Z$1,'UX Weekly'!$H$1:$CT$1,"&lt;="&amp;EOMONTH(Z$1,0),'UX Weekly'!$H27:$CT27,"&lt;&gt;"))</f>
        <v>0</v>
      </c>
      <c r="AA27">
        <f>IF($B27="",0,COUNTIFS('UX Weekly'!$H$1:$CT$1,"&gt;="&amp;AA$1,'UX Weekly'!$H$1:$CT$1,"&lt;="&amp;EOMONTH(AA$1,0),'UX Weekly'!$H27:$CT27,"&lt;&gt;"))</f>
        <v>0</v>
      </c>
      <c r="AB27">
        <f>IF($B27="",0,COUNTIFS('UX Weekly'!$H$1:$CT$1,"&gt;="&amp;AB$1,'UX Weekly'!$H$1:$CT$1,"&lt;="&amp;EOMONTH(AB$1,0),'UX Weekly'!$H27:$CT27,"&lt;&gt;"))</f>
        <v>0</v>
      </c>
      <c r="AC27">
        <f>IF($B27="",0,COUNTIFS('UX Weekly'!$H$1:$CT$1,"&gt;="&amp;AC$1,'UX Weekly'!$H$1:$CT$1,"&lt;="&amp;EOMONTH(AC$1,0),'UX Weekly'!$H27:$CT27,"&lt;&gt;"))</f>
        <v>0</v>
      </c>
      <c r="AD27">
        <f>IF($B27="",0,COUNTIFS('UX Weekly'!$H$1:$CT$1,"&gt;="&amp;AD$1,'UX Weekly'!$H$1:$CT$1,"&lt;="&amp;EOMONTH(AD$1,0),'UX Weekly'!$H27:$CT27,"&lt;&gt;"))</f>
        <v>1</v>
      </c>
      <c r="AE27">
        <f>IF($B27="",0,COUNTIFS('UX Weekly'!$H$1:$CT$1,"&gt;="&amp;AE$1,'UX Weekly'!$H$1:$CT$1,"&lt;="&amp;EOMONTH(AE$1,0),'UX Weekly'!$H27:$CT27,"&lt;&gt;"))</f>
        <v>0</v>
      </c>
      <c r="AF27">
        <f>IF($B27="",0,COUNTIFS('UX Weekly'!$H$1:$CT$1,"&gt;="&amp;AF$1,'UX Weekly'!$H$1:$CT$1,"&lt;="&amp;EOMONTH(AF$1,0),'UX Weekly'!$H27:$CT27,"&lt;&gt;"))</f>
        <v>0</v>
      </c>
      <c r="AG27">
        <f>IF($B27="",0,COUNTIFS('UX Weekly'!$H$1:$CT$1,"&gt;="&amp;AG$1,'UX Weekly'!$H$1:$CT$1,"&lt;="&amp;EOMONTH(AG$1,0),'UX Weekly'!$H27:$CT27,"&lt;&gt;"))</f>
        <v>0</v>
      </c>
      <c r="AH27">
        <f>IF($B27="",0,COUNTIFS('UX Weekly'!$H$1:$CT$1,"&gt;="&amp;AH$1,'UX Weekly'!$H$1:$CT$1,"&lt;="&amp;EOMONTH(AH$1,0),'UX Weekly'!$H27:$CT27,"&lt;&gt;"))</f>
        <v>0</v>
      </c>
      <c r="AI27">
        <f>IF($B27="",0,COUNTIFS('UX Weekly'!$H$1:$CT$1,"&gt;="&amp;AI$1,'UX Weekly'!$H$1:$CT$1,"&lt;="&amp;EOMONTH(AI$1,0),'UX Weekly'!$H27:$CT27,"&lt;&gt;"))</f>
        <v>0</v>
      </c>
      <c r="AJ27">
        <f>IF($B27="",0,COUNTIFS('UX Weekly'!$H$1:$CT$1,"&gt;="&amp;AJ$1,'UX Weekly'!$H$1:$CT$1,"&lt;="&amp;EOMONTH(AJ$1,0),'UX Weekly'!$H27:$CT27,"&lt;&gt;"))</f>
        <v>0</v>
      </c>
      <c r="AK27">
        <f>IF($B27="",0,COUNTIFS('UX Weekly'!$H$1:$CT$1,"&gt;="&amp;AK$1,'UX Weekly'!$H$1:$CT$1,"&lt;="&amp;EOMONTH(AK$1,0),'UX Weekly'!$H27:$CT27,"&lt;&gt;"))</f>
        <v>0</v>
      </c>
      <c r="AL27">
        <f>IF($B27="",0,COUNTIFS('UX Weekly'!$H$1:$CT$1,"&gt;="&amp;AL$1,'UX Weekly'!$H$1:$CT$1,"&lt;="&amp;EOMONTH(AL$1,0),'UX Weekly'!$H27:$CT27,"&lt;&gt;"))</f>
        <v>0</v>
      </c>
      <c r="AM27">
        <f>IF($B27="",0,COUNTIFS('UX Weekly'!$H$1:$CT$1,"&gt;="&amp;AM$1,'UX Weekly'!$H$1:$CT$1,"&lt;="&amp;EOMONTH(AM$1,0),'UX Weekly'!$H27:$CT27,"&lt;&gt;"))</f>
        <v>0</v>
      </c>
      <c r="AN27">
        <f>IF($B27="",0,COUNTIFS('UX Weekly'!$H$1:$CT$1,"&gt;="&amp;AN$1,'UX Weekly'!$H$1:$CT$1,"&lt;="&amp;EOMONTH(AN$1,0),'UX Weekly'!$H27:$CT27,"&lt;&gt;"))</f>
        <v>0</v>
      </c>
      <c r="AO27">
        <f>IF($B27="",0,COUNTIFS('UX Weekly'!$H$1:$CT$1,"&gt;="&amp;AO$1,'UX Weekly'!$H$1:$CT$1,"&lt;="&amp;EOMONTH(AO$1,0),'UX Weekly'!$H27:$CT27,"&lt;&gt;"))</f>
        <v>0</v>
      </c>
      <c r="AP27">
        <f>IF($B27="",0,COUNTIFS('UX Weekly'!$H$1:$CT$1,"&gt;="&amp;AP$1,'UX Weekly'!$H$1:$CT$1,"&lt;="&amp;EOMONTH(AP$1,0),'UX Weekly'!$H27:$CT27,"&lt;&gt;"))</f>
        <v>0</v>
      </c>
      <c r="AQ27">
        <f>IF($B27="",0,COUNTIFS('UX Weekly'!$H$1:$CT$1,"&gt;="&amp;AQ$1,'UX Weekly'!$H$1:$CT$1,"&lt;="&amp;EOMONTH(AQ$1,0),'UX Weekly'!$H27:$CT27,"&lt;&gt;"))</f>
        <v>0</v>
      </c>
      <c r="AR27">
        <f>IF($B27="",0,COUNTIFS('UX Weekly'!$H$1:$CT$1,"&gt;="&amp;AR$1,'UX Weekly'!$H$1:$CT$1,"&lt;="&amp;EOMONTH(AR$1,0),'UX Weekly'!$H27:$CT27,"&lt;&gt;"))</f>
        <v>0</v>
      </c>
      <c r="AS27">
        <f>IF($B27="",0,COUNTIFS('UX Weekly'!$H$1:$CT$1,"&gt;="&amp;AS$1,'UX Weekly'!$H$1:$CT$1,"&lt;="&amp;EOMONTH(AS$1,0),'UX Weekly'!$H27:$CT27,"&lt;&gt;"))</f>
        <v>0</v>
      </c>
      <c r="AT27">
        <f>IF($B27="",0,COUNTIFS('UX Weekly'!$H$1:$CT$1,"&gt;="&amp;AT$1,'UX Weekly'!$H$1:$CT$1,"&lt;="&amp;EOMONTH(AT$1,0),'UX Weekly'!$H27:$CT27,"&lt;&gt;"))</f>
        <v>0</v>
      </c>
    </row>
    <row r="28" spans="1:46" x14ac:dyDescent="0.2">
      <c r="A28" s="147">
        <v>29</v>
      </c>
      <c r="B28" s="147" t="str">
        <f>IF(TRIM('UX Weekly'!E28)="","",TRIM('UX Weekly'!E28))</f>
        <v>B2B Hub Landing Page - redesign</v>
      </c>
      <c r="C28" s="147" t="str">
        <f>IF($B28="","",'UX Weekly'!B28)</f>
        <v>B2B</v>
      </c>
      <c r="D28" s="147" t="str">
        <f>IF($B28="","",IF(TRIM('UX Weekly'!C28)="","(No theme assigned)",TRIM('UX Weekly'!C28)))</f>
        <v>Increase B2B Acquisition</v>
      </c>
      <c r="E28" s="147" t="str">
        <f>IF($B28="","",TRIM('UX Weekly'!F28))</f>
        <v>BHUX-26541 </v>
      </c>
      <c r="F28" s="147" t="str">
        <f>IF($B28="","",'UX Weekly'!G28)</f>
        <v>07. Grooming</v>
      </c>
      <c r="G28" s="148">
        <f t="array" ref="G28">IF($B28="","",IF($S28=0,"",IFERROR(MIN(IF('UX Weekly'!$H28:$CT28&lt;&gt;"",'UX Weekly'!$H$1:$CT$1)),"")))</f>
        <v>46125</v>
      </c>
      <c r="H28" s="148">
        <f t="array" ref="H28">IF($B28="","",IF($S28=0,"",IFERROR(MAX(IF('UX Weekly'!$H28:$CT28&lt;&gt;"",'UX Weekly'!$H$1:$CT$1)),"")))</f>
        <v>46153</v>
      </c>
      <c r="I28" s="149">
        <f t="shared" ca="1" si="0"/>
        <v>46266</v>
      </c>
      <c r="J28" s="149">
        <f t="shared" ca="1" si="1"/>
        <v>46356</v>
      </c>
      <c r="K28" s="147">
        <f>IF($B28="","",IFERROR(MATCH($B28,'Dev Tracker'!$D$2:$D$196,0),IF($E28="","",IFERROR(MATCH($E28,'Dev Tracker'!$E$2:$E$196,0),""))))</f>
        <v>27</v>
      </c>
      <c r="L28" s="147">
        <f>IF($B28="","",IFERROR(MATCH($D28,'Control (Don’t Touch)'!$E$4:$E$30,0),99))</f>
        <v>8</v>
      </c>
      <c r="M28" s="147">
        <f>IF($B28="","",IFERROR(MATCH($F28,'Control (Don’t Touch)'!$B$4:$B$30,0),99))</f>
        <v>10</v>
      </c>
      <c r="N28" s="147">
        <f t="shared" si="2"/>
        <v>8100028</v>
      </c>
      <c r="O28" s="147">
        <f>IF($B28="","",COUNTIF($N$2:$N$204,"&lt;"&amp;$N28)+1)</f>
        <v>36</v>
      </c>
      <c r="P28" s="149">
        <f ca="1">IF($K28="","",IFERROR(DATE(IFERROR(VALUE(RIGHT(TRIM(INDEX('Dev Tracker'!$I$2:$I$196,$K28)),4)),YEAR(TODAY())),MATCH(LEFT(TRIM(INDEX('Dev Tracker'!$I$2:$I$196,$K28)),3),$U$2:$U$12,0),1),""))</f>
        <v>46266</v>
      </c>
      <c r="Q28" s="149">
        <f ca="1">IF($K28="","",IFERROR(DATE(IFERROR(VALUE(RIGHT(TRIM(INDEX('Dev Tracker'!$J$2:$J$196,$K28)),4)),YEAR(TODAY())),MATCH(LEFT(TRIM(INDEX('Dev Tracker'!$J$2:$J$196,$K28)),3),$U$2:$U$12,0),1),""))</f>
        <v>46327</v>
      </c>
      <c r="R28" s="147"/>
      <c r="S28" s="147">
        <f>IF($B28="","",COUNTA('UX Weekly'!$H28:$CT28))</f>
        <v>5</v>
      </c>
      <c r="W28">
        <f>IF($B28="",0,COUNTIFS('UX Weekly'!$H$1:$CT$1,"&gt;="&amp;W$1,'UX Weekly'!$H$1:$CT$1,"&lt;="&amp;EOMONTH(W$1,0),'UX Weekly'!$H28:$CT28,"&lt;&gt;"))</f>
        <v>0</v>
      </c>
      <c r="X28">
        <f>IF($B28="",0,COUNTIFS('UX Weekly'!$H$1:$CT$1,"&gt;="&amp;X$1,'UX Weekly'!$H$1:$CT$1,"&lt;="&amp;EOMONTH(X$1,0),'UX Weekly'!$H28:$CT28,"&lt;&gt;"))</f>
        <v>0</v>
      </c>
      <c r="Y28">
        <f>IF($B28="",0,COUNTIFS('UX Weekly'!$H$1:$CT$1,"&gt;="&amp;Y$1,'UX Weekly'!$H$1:$CT$1,"&lt;="&amp;EOMONTH(Y$1,0),'UX Weekly'!$H28:$CT28,"&lt;&gt;"))</f>
        <v>0</v>
      </c>
      <c r="Z28">
        <f>IF($B28="",0,COUNTIFS('UX Weekly'!$H$1:$CT$1,"&gt;="&amp;Z$1,'UX Weekly'!$H$1:$CT$1,"&lt;="&amp;EOMONTH(Z$1,0),'UX Weekly'!$H28:$CT28,"&lt;&gt;"))</f>
        <v>3</v>
      </c>
      <c r="AA28">
        <f>IF($B28="",0,COUNTIFS('UX Weekly'!$H$1:$CT$1,"&gt;="&amp;AA$1,'UX Weekly'!$H$1:$CT$1,"&lt;="&amp;EOMONTH(AA$1,0),'UX Weekly'!$H28:$CT28,"&lt;&gt;"))</f>
        <v>2</v>
      </c>
      <c r="AB28">
        <f>IF($B28="",0,COUNTIFS('UX Weekly'!$H$1:$CT$1,"&gt;="&amp;AB$1,'UX Weekly'!$H$1:$CT$1,"&lt;="&amp;EOMONTH(AB$1,0),'UX Weekly'!$H28:$CT28,"&lt;&gt;"))</f>
        <v>0</v>
      </c>
      <c r="AC28">
        <f>IF($B28="",0,COUNTIFS('UX Weekly'!$H$1:$CT$1,"&gt;="&amp;AC$1,'UX Weekly'!$H$1:$CT$1,"&lt;="&amp;EOMONTH(AC$1,0),'UX Weekly'!$H28:$CT28,"&lt;&gt;"))</f>
        <v>0</v>
      </c>
      <c r="AD28">
        <f>IF($B28="",0,COUNTIFS('UX Weekly'!$H$1:$CT$1,"&gt;="&amp;AD$1,'UX Weekly'!$H$1:$CT$1,"&lt;="&amp;EOMONTH(AD$1,0),'UX Weekly'!$H28:$CT28,"&lt;&gt;"))</f>
        <v>0</v>
      </c>
      <c r="AE28">
        <f>IF($B28="",0,COUNTIFS('UX Weekly'!$H$1:$CT$1,"&gt;="&amp;AE$1,'UX Weekly'!$H$1:$CT$1,"&lt;="&amp;EOMONTH(AE$1,0),'UX Weekly'!$H28:$CT28,"&lt;&gt;"))</f>
        <v>0</v>
      </c>
      <c r="AF28">
        <f>IF($B28="",0,COUNTIFS('UX Weekly'!$H$1:$CT$1,"&gt;="&amp;AF$1,'UX Weekly'!$H$1:$CT$1,"&lt;="&amp;EOMONTH(AF$1,0),'UX Weekly'!$H28:$CT28,"&lt;&gt;"))</f>
        <v>0</v>
      </c>
      <c r="AG28">
        <f>IF($B28="",0,COUNTIFS('UX Weekly'!$H$1:$CT$1,"&gt;="&amp;AG$1,'UX Weekly'!$H$1:$CT$1,"&lt;="&amp;EOMONTH(AG$1,0),'UX Weekly'!$H28:$CT28,"&lt;&gt;"))</f>
        <v>0</v>
      </c>
      <c r="AH28">
        <f>IF($B28="",0,COUNTIFS('UX Weekly'!$H$1:$CT$1,"&gt;="&amp;AH$1,'UX Weekly'!$H$1:$CT$1,"&lt;="&amp;EOMONTH(AH$1,0),'UX Weekly'!$H28:$CT28,"&lt;&gt;"))</f>
        <v>0</v>
      </c>
      <c r="AI28">
        <f>IF($B28="",0,COUNTIFS('UX Weekly'!$H$1:$CT$1,"&gt;="&amp;AI$1,'UX Weekly'!$H$1:$CT$1,"&lt;="&amp;EOMONTH(AI$1,0),'UX Weekly'!$H28:$CT28,"&lt;&gt;"))</f>
        <v>0</v>
      </c>
      <c r="AJ28">
        <f>IF($B28="",0,COUNTIFS('UX Weekly'!$H$1:$CT$1,"&gt;="&amp;AJ$1,'UX Weekly'!$H$1:$CT$1,"&lt;="&amp;EOMONTH(AJ$1,0),'UX Weekly'!$H28:$CT28,"&lt;&gt;"))</f>
        <v>0</v>
      </c>
      <c r="AK28">
        <f>IF($B28="",0,COUNTIFS('UX Weekly'!$H$1:$CT$1,"&gt;="&amp;AK$1,'UX Weekly'!$H$1:$CT$1,"&lt;="&amp;EOMONTH(AK$1,0),'UX Weekly'!$H28:$CT28,"&lt;&gt;"))</f>
        <v>0</v>
      </c>
      <c r="AL28">
        <f>IF($B28="",0,COUNTIFS('UX Weekly'!$H$1:$CT$1,"&gt;="&amp;AL$1,'UX Weekly'!$H$1:$CT$1,"&lt;="&amp;EOMONTH(AL$1,0),'UX Weekly'!$H28:$CT28,"&lt;&gt;"))</f>
        <v>0</v>
      </c>
      <c r="AM28">
        <f>IF($B28="",0,COUNTIFS('UX Weekly'!$H$1:$CT$1,"&gt;="&amp;AM$1,'UX Weekly'!$H$1:$CT$1,"&lt;="&amp;EOMONTH(AM$1,0),'UX Weekly'!$H28:$CT28,"&lt;&gt;"))</f>
        <v>0</v>
      </c>
      <c r="AN28">
        <f>IF($B28="",0,COUNTIFS('UX Weekly'!$H$1:$CT$1,"&gt;="&amp;AN$1,'UX Weekly'!$H$1:$CT$1,"&lt;="&amp;EOMONTH(AN$1,0),'UX Weekly'!$H28:$CT28,"&lt;&gt;"))</f>
        <v>0</v>
      </c>
      <c r="AO28">
        <f>IF($B28="",0,COUNTIFS('UX Weekly'!$H$1:$CT$1,"&gt;="&amp;AO$1,'UX Weekly'!$H$1:$CT$1,"&lt;="&amp;EOMONTH(AO$1,0),'UX Weekly'!$H28:$CT28,"&lt;&gt;"))</f>
        <v>0</v>
      </c>
      <c r="AP28">
        <f>IF($B28="",0,COUNTIFS('UX Weekly'!$H$1:$CT$1,"&gt;="&amp;AP$1,'UX Weekly'!$H$1:$CT$1,"&lt;="&amp;EOMONTH(AP$1,0),'UX Weekly'!$H28:$CT28,"&lt;&gt;"))</f>
        <v>0</v>
      </c>
      <c r="AQ28">
        <f>IF($B28="",0,COUNTIFS('UX Weekly'!$H$1:$CT$1,"&gt;="&amp;AQ$1,'UX Weekly'!$H$1:$CT$1,"&lt;="&amp;EOMONTH(AQ$1,0),'UX Weekly'!$H28:$CT28,"&lt;&gt;"))</f>
        <v>0</v>
      </c>
      <c r="AR28">
        <f>IF($B28="",0,COUNTIFS('UX Weekly'!$H$1:$CT$1,"&gt;="&amp;AR$1,'UX Weekly'!$H$1:$CT$1,"&lt;="&amp;EOMONTH(AR$1,0),'UX Weekly'!$H28:$CT28,"&lt;&gt;"))</f>
        <v>0</v>
      </c>
      <c r="AS28">
        <f>IF($B28="",0,COUNTIFS('UX Weekly'!$H$1:$CT$1,"&gt;="&amp;AS$1,'UX Weekly'!$H$1:$CT$1,"&lt;="&amp;EOMONTH(AS$1,0),'UX Weekly'!$H28:$CT28,"&lt;&gt;"))</f>
        <v>0</v>
      </c>
      <c r="AT28">
        <f>IF($B28="",0,COUNTIFS('UX Weekly'!$H$1:$CT$1,"&gt;="&amp;AT$1,'UX Weekly'!$H$1:$CT$1,"&lt;="&amp;EOMONTH(AT$1,0),'UX Weekly'!$H28:$CT28,"&lt;&gt;"))</f>
        <v>0</v>
      </c>
    </row>
    <row r="29" spans="1:46" x14ac:dyDescent="0.2">
      <c r="A29" s="147">
        <v>30</v>
      </c>
      <c r="B29" s="147" t="str">
        <f>IF(TRIM('UX Weekly'!E29)="","",TRIM('UX Weekly'!E29))</f>
        <v>B2B Hub - Revisit Signup Flow</v>
      </c>
      <c r="C29" s="147" t="str">
        <f>IF($B29="","",'UX Weekly'!B29)</f>
        <v>B2B</v>
      </c>
      <c r="D29" s="147" t="str">
        <f>IF($B29="","",IF(TRIM('UX Weekly'!C29)="","(No theme assigned)",TRIM('UX Weekly'!C29)))</f>
        <v>Increase B2B Acquisition</v>
      </c>
      <c r="E29" s="147" t="str">
        <f>IF($B29="","",TRIM('UX Weekly'!F29))</f>
        <v>BHUX-31874</v>
      </c>
      <c r="F29" s="147" t="str">
        <f>IF($B29="","",'UX Weekly'!G29)</f>
        <v>07. Grooming</v>
      </c>
      <c r="G29" s="148">
        <f t="array" ref="G29">IF($B29="","",IF($S29=0,"",IFERROR(MIN(IF('UX Weekly'!$H29:$CT29&lt;&gt;"",'UX Weekly'!$H$1:$CT$1)),"")))</f>
        <v>46125</v>
      </c>
      <c r="H29" s="148">
        <f t="array" ref="H29">IF($B29="","",IF($S29=0,"",IFERROR(MAX(IF('UX Weekly'!$H29:$CT29&lt;&gt;"",'UX Weekly'!$H$1:$CT$1)),"")))</f>
        <v>46167</v>
      </c>
      <c r="I29" s="149">
        <f t="shared" ca="1" si="0"/>
        <v>46266</v>
      </c>
      <c r="J29" s="149">
        <f t="shared" ca="1" si="1"/>
        <v>46356</v>
      </c>
      <c r="K29" s="147">
        <f>IF($B29="","",IFERROR(MATCH($B29,'Dev Tracker'!$D$2:$D$196,0),IF($E29="","",IFERROR(MATCH($E29,'Dev Tracker'!$E$2:$E$196,0),""))))</f>
        <v>28</v>
      </c>
      <c r="L29" s="147">
        <f>IF($B29="","",IFERROR(MATCH($D29,'Control (Don’t Touch)'!$E$4:$E$30,0),99))</f>
        <v>8</v>
      </c>
      <c r="M29" s="147">
        <f>IF($B29="","",IFERROR(MATCH($F29,'Control (Don’t Touch)'!$B$4:$B$30,0),99))</f>
        <v>10</v>
      </c>
      <c r="N29" s="147">
        <f t="shared" si="2"/>
        <v>8100029</v>
      </c>
      <c r="O29" s="147">
        <f>IF($B29="","",COUNTIF($N$2:$N$204,"&lt;"&amp;$N29)+1)</f>
        <v>37</v>
      </c>
      <c r="P29" s="149">
        <f ca="1">IF($K29="","",IFERROR(DATE(IFERROR(VALUE(RIGHT(TRIM(INDEX('Dev Tracker'!$I$2:$I$196,$K29)),4)),YEAR(TODAY())),MATCH(LEFT(TRIM(INDEX('Dev Tracker'!$I$2:$I$196,$K29)),3),$U$2:$U$12,0),1),""))</f>
        <v>46266</v>
      </c>
      <c r="Q29" s="149">
        <f ca="1">IF($K29="","",IFERROR(DATE(IFERROR(VALUE(RIGHT(TRIM(INDEX('Dev Tracker'!$J$2:$J$196,$K29)),4)),YEAR(TODAY())),MATCH(LEFT(TRIM(INDEX('Dev Tracker'!$J$2:$J$196,$K29)),3),$U$2:$U$12,0),1),""))</f>
        <v>46327</v>
      </c>
      <c r="R29" s="147"/>
      <c r="S29" s="147">
        <f>IF($B29="","",COUNTA('UX Weekly'!$H29:$CT29))</f>
        <v>7</v>
      </c>
      <c r="W29">
        <f>IF($B29="",0,COUNTIFS('UX Weekly'!$H$1:$CT$1,"&gt;="&amp;W$1,'UX Weekly'!$H$1:$CT$1,"&lt;="&amp;EOMONTH(W$1,0),'UX Weekly'!$H29:$CT29,"&lt;&gt;"))</f>
        <v>0</v>
      </c>
      <c r="X29">
        <f>IF($B29="",0,COUNTIFS('UX Weekly'!$H$1:$CT$1,"&gt;="&amp;X$1,'UX Weekly'!$H$1:$CT$1,"&lt;="&amp;EOMONTH(X$1,0),'UX Weekly'!$H29:$CT29,"&lt;&gt;"))</f>
        <v>0</v>
      </c>
      <c r="Y29">
        <f>IF($B29="",0,COUNTIFS('UX Weekly'!$H$1:$CT$1,"&gt;="&amp;Y$1,'UX Weekly'!$H$1:$CT$1,"&lt;="&amp;EOMONTH(Y$1,0),'UX Weekly'!$H29:$CT29,"&lt;&gt;"))</f>
        <v>0</v>
      </c>
      <c r="Z29">
        <f>IF($B29="",0,COUNTIFS('UX Weekly'!$H$1:$CT$1,"&gt;="&amp;Z$1,'UX Weekly'!$H$1:$CT$1,"&lt;="&amp;EOMONTH(Z$1,0),'UX Weekly'!$H29:$CT29,"&lt;&gt;"))</f>
        <v>3</v>
      </c>
      <c r="AA29">
        <f>IF($B29="",0,COUNTIFS('UX Weekly'!$H$1:$CT$1,"&gt;="&amp;AA$1,'UX Weekly'!$H$1:$CT$1,"&lt;="&amp;EOMONTH(AA$1,0),'UX Weekly'!$H29:$CT29,"&lt;&gt;"))</f>
        <v>4</v>
      </c>
      <c r="AB29">
        <f>IF($B29="",0,COUNTIFS('UX Weekly'!$H$1:$CT$1,"&gt;="&amp;AB$1,'UX Weekly'!$H$1:$CT$1,"&lt;="&amp;EOMONTH(AB$1,0),'UX Weekly'!$H29:$CT29,"&lt;&gt;"))</f>
        <v>0</v>
      </c>
      <c r="AC29">
        <f>IF($B29="",0,COUNTIFS('UX Weekly'!$H$1:$CT$1,"&gt;="&amp;AC$1,'UX Weekly'!$H$1:$CT$1,"&lt;="&amp;EOMONTH(AC$1,0),'UX Weekly'!$H29:$CT29,"&lt;&gt;"))</f>
        <v>0</v>
      </c>
      <c r="AD29">
        <f>IF($B29="",0,COUNTIFS('UX Weekly'!$H$1:$CT$1,"&gt;="&amp;AD$1,'UX Weekly'!$H$1:$CT$1,"&lt;="&amp;EOMONTH(AD$1,0),'UX Weekly'!$H29:$CT29,"&lt;&gt;"))</f>
        <v>0</v>
      </c>
      <c r="AE29">
        <f>IF($B29="",0,COUNTIFS('UX Weekly'!$H$1:$CT$1,"&gt;="&amp;AE$1,'UX Weekly'!$H$1:$CT$1,"&lt;="&amp;EOMONTH(AE$1,0),'UX Weekly'!$H29:$CT29,"&lt;&gt;"))</f>
        <v>0</v>
      </c>
      <c r="AF29">
        <f>IF($B29="",0,COUNTIFS('UX Weekly'!$H$1:$CT$1,"&gt;="&amp;AF$1,'UX Weekly'!$H$1:$CT$1,"&lt;="&amp;EOMONTH(AF$1,0),'UX Weekly'!$H29:$CT29,"&lt;&gt;"))</f>
        <v>0</v>
      </c>
      <c r="AG29">
        <f>IF($B29="",0,COUNTIFS('UX Weekly'!$H$1:$CT$1,"&gt;="&amp;AG$1,'UX Weekly'!$H$1:$CT$1,"&lt;="&amp;EOMONTH(AG$1,0),'UX Weekly'!$H29:$CT29,"&lt;&gt;"))</f>
        <v>0</v>
      </c>
      <c r="AH29">
        <f>IF($B29="",0,COUNTIFS('UX Weekly'!$H$1:$CT$1,"&gt;="&amp;AH$1,'UX Weekly'!$H$1:$CT$1,"&lt;="&amp;EOMONTH(AH$1,0),'UX Weekly'!$H29:$CT29,"&lt;&gt;"))</f>
        <v>0</v>
      </c>
      <c r="AI29">
        <f>IF($B29="",0,COUNTIFS('UX Weekly'!$H$1:$CT$1,"&gt;="&amp;AI$1,'UX Weekly'!$H$1:$CT$1,"&lt;="&amp;EOMONTH(AI$1,0),'UX Weekly'!$H29:$CT29,"&lt;&gt;"))</f>
        <v>0</v>
      </c>
      <c r="AJ29">
        <f>IF($B29="",0,COUNTIFS('UX Weekly'!$H$1:$CT$1,"&gt;="&amp;AJ$1,'UX Weekly'!$H$1:$CT$1,"&lt;="&amp;EOMONTH(AJ$1,0),'UX Weekly'!$H29:$CT29,"&lt;&gt;"))</f>
        <v>0</v>
      </c>
      <c r="AK29">
        <f>IF($B29="",0,COUNTIFS('UX Weekly'!$H$1:$CT$1,"&gt;="&amp;AK$1,'UX Weekly'!$H$1:$CT$1,"&lt;="&amp;EOMONTH(AK$1,0),'UX Weekly'!$H29:$CT29,"&lt;&gt;"))</f>
        <v>0</v>
      </c>
      <c r="AL29">
        <f>IF($B29="",0,COUNTIFS('UX Weekly'!$H$1:$CT$1,"&gt;="&amp;AL$1,'UX Weekly'!$H$1:$CT$1,"&lt;="&amp;EOMONTH(AL$1,0),'UX Weekly'!$H29:$CT29,"&lt;&gt;"))</f>
        <v>0</v>
      </c>
      <c r="AM29">
        <f>IF($B29="",0,COUNTIFS('UX Weekly'!$H$1:$CT$1,"&gt;="&amp;AM$1,'UX Weekly'!$H$1:$CT$1,"&lt;="&amp;EOMONTH(AM$1,0),'UX Weekly'!$H29:$CT29,"&lt;&gt;"))</f>
        <v>0</v>
      </c>
      <c r="AN29">
        <f>IF($B29="",0,COUNTIFS('UX Weekly'!$H$1:$CT$1,"&gt;="&amp;AN$1,'UX Weekly'!$H$1:$CT$1,"&lt;="&amp;EOMONTH(AN$1,0),'UX Weekly'!$H29:$CT29,"&lt;&gt;"))</f>
        <v>0</v>
      </c>
      <c r="AO29">
        <f>IF($B29="",0,COUNTIFS('UX Weekly'!$H$1:$CT$1,"&gt;="&amp;AO$1,'UX Weekly'!$H$1:$CT$1,"&lt;="&amp;EOMONTH(AO$1,0),'UX Weekly'!$H29:$CT29,"&lt;&gt;"))</f>
        <v>0</v>
      </c>
      <c r="AP29">
        <f>IF($B29="",0,COUNTIFS('UX Weekly'!$H$1:$CT$1,"&gt;="&amp;AP$1,'UX Weekly'!$H$1:$CT$1,"&lt;="&amp;EOMONTH(AP$1,0),'UX Weekly'!$H29:$CT29,"&lt;&gt;"))</f>
        <v>0</v>
      </c>
      <c r="AQ29">
        <f>IF($B29="",0,COUNTIFS('UX Weekly'!$H$1:$CT$1,"&gt;="&amp;AQ$1,'UX Weekly'!$H$1:$CT$1,"&lt;="&amp;EOMONTH(AQ$1,0),'UX Weekly'!$H29:$CT29,"&lt;&gt;"))</f>
        <v>0</v>
      </c>
      <c r="AR29">
        <f>IF($B29="",0,COUNTIFS('UX Weekly'!$H$1:$CT$1,"&gt;="&amp;AR$1,'UX Weekly'!$H$1:$CT$1,"&lt;="&amp;EOMONTH(AR$1,0),'UX Weekly'!$H29:$CT29,"&lt;&gt;"))</f>
        <v>0</v>
      </c>
      <c r="AS29">
        <f>IF($B29="",0,COUNTIFS('UX Weekly'!$H$1:$CT$1,"&gt;="&amp;AS$1,'UX Weekly'!$H$1:$CT$1,"&lt;="&amp;EOMONTH(AS$1,0),'UX Weekly'!$H29:$CT29,"&lt;&gt;"))</f>
        <v>0</v>
      </c>
      <c r="AT29">
        <f>IF($B29="",0,COUNTIFS('UX Weekly'!$H$1:$CT$1,"&gt;="&amp;AT$1,'UX Weekly'!$H$1:$CT$1,"&lt;="&amp;EOMONTH(AT$1,0),'UX Weekly'!$H29:$CT29,"&lt;&gt;"))</f>
        <v>0</v>
      </c>
    </row>
    <row r="30" spans="1:46" x14ac:dyDescent="0.2">
      <c r="A30" s="147">
        <v>31</v>
      </c>
      <c r="B30" s="147" t="str">
        <f>IF(TRIM('UX Weekly'!E30)="","",TRIM('UX Weekly'!E30))</f>
        <v>B2B Hub Redesign - Internal Pages</v>
      </c>
      <c r="C30" s="147" t="str">
        <f>IF($B30="","",'UX Weekly'!B30)</f>
        <v>B2B</v>
      </c>
      <c r="D30" s="147" t="str">
        <f>IF($B30="","",IF(TRIM('UX Weekly'!C30)="","(No theme assigned)",TRIM('UX Weekly'!C30)))</f>
        <v>Increase B2B Acquisition</v>
      </c>
      <c r="E30" s="147" t="str">
        <f>IF($B30="","",TRIM('UX Weekly'!F30))</f>
        <v>BHUX-32257</v>
      </c>
      <c r="F30" s="147" t="str">
        <f>IF($B30="","",'UX Weekly'!G30)</f>
        <v>07. Grooming</v>
      </c>
      <c r="G30" s="148">
        <f t="array" ref="G30">IF($B30="","",IF($S30=0,"",IFERROR(MIN(IF('UX Weekly'!$H30:$CT30&lt;&gt;"",'UX Weekly'!$H$1:$CT$1)),"")))</f>
        <v>46132</v>
      </c>
      <c r="H30" s="148">
        <f t="array" ref="H30">IF($B30="","",IF($S30=0,"",IFERROR(MAX(IF('UX Weekly'!$H30:$CT30&lt;&gt;"",'UX Weekly'!$H$1:$CT$1)),"")))</f>
        <v>46153</v>
      </c>
      <c r="I30" s="149">
        <f t="shared" ca="1" si="0"/>
        <v>46327</v>
      </c>
      <c r="J30" s="149">
        <f t="shared" ca="1" si="1"/>
        <v>46356</v>
      </c>
      <c r="K30" s="147">
        <f>IF($B30="","",IFERROR(MATCH($B30,'Dev Tracker'!$D$2:$D$196,0),IF($E30="","",IFERROR(MATCH($E30,'Dev Tracker'!$E$2:$E$196,0),""))))</f>
        <v>29</v>
      </c>
      <c r="L30" s="147">
        <f>IF($B30="","",IFERROR(MATCH($D30,'Control (Don’t Touch)'!$E$4:$E$30,0),99))</f>
        <v>8</v>
      </c>
      <c r="M30" s="147">
        <f>IF($B30="","",IFERROR(MATCH($F30,'Control (Don’t Touch)'!$B$4:$B$30,0),99))</f>
        <v>10</v>
      </c>
      <c r="N30" s="147">
        <f t="shared" si="2"/>
        <v>8100030</v>
      </c>
      <c r="O30" s="147">
        <f>IF($B30="","",COUNTIF($N$2:$N$204,"&lt;"&amp;$N30)+1)</f>
        <v>38</v>
      </c>
      <c r="P30" s="149" t="str">
        <f ca="1">IF($K30="","",IFERROR(DATE(IFERROR(VALUE(RIGHT(TRIM(INDEX('Dev Tracker'!$I$2:$I$196,$K30)),4)),YEAR(TODAY())),MATCH(LEFT(TRIM(INDEX('Dev Tracker'!$I$2:$I$196,$K30)),3),$U$2:$U$12,0),1),""))</f>
        <v/>
      </c>
      <c r="Q30" s="149">
        <f ca="1">IF($K30="","",IFERROR(DATE(IFERROR(VALUE(RIGHT(TRIM(INDEX('Dev Tracker'!$J$2:$J$196,$K30)),4)),YEAR(TODAY())),MATCH(LEFT(TRIM(INDEX('Dev Tracker'!$J$2:$J$196,$K30)),3),$U$2:$U$12,0),1),""))</f>
        <v>46327</v>
      </c>
      <c r="R30" s="147"/>
      <c r="S30" s="147">
        <f>IF($B30="","",COUNTA('UX Weekly'!$H30:$CT30))</f>
        <v>4</v>
      </c>
      <c r="W30">
        <f>IF($B30="",0,COUNTIFS('UX Weekly'!$H$1:$CT$1,"&gt;="&amp;W$1,'UX Weekly'!$H$1:$CT$1,"&lt;="&amp;EOMONTH(W$1,0),'UX Weekly'!$H30:$CT30,"&lt;&gt;"))</f>
        <v>0</v>
      </c>
      <c r="X30">
        <f>IF($B30="",0,COUNTIFS('UX Weekly'!$H$1:$CT$1,"&gt;="&amp;X$1,'UX Weekly'!$H$1:$CT$1,"&lt;="&amp;EOMONTH(X$1,0),'UX Weekly'!$H30:$CT30,"&lt;&gt;"))</f>
        <v>0</v>
      </c>
      <c r="Y30">
        <f>IF($B30="",0,COUNTIFS('UX Weekly'!$H$1:$CT$1,"&gt;="&amp;Y$1,'UX Weekly'!$H$1:$CT$1,"&lt;="&amp;EOMONTH(Y$1,0),'UX Weekly'!$H30:$CT30,"&lt;&gt;"))</f>
        <v>0</v>
      </c>
      <c r="Z30">
        <f>IF($B30="",0,COUNTIFS('UX Weekly'!$H$1:$CT$1,"&gt;="&amp;Z$1,'UX Weekly'!$H$1:$CT$1,"&lt;="&amp;EOMONTH(Z$1,0),'UX Weekly'!$H30:$CT30,"&lt;&gt;"))</f>
        <v>2</v>
      </c>
      <c r="AA30">
        <f>IF($B30="",0,COUNTIFS('UX Weekly'!$H$1:$CT$1,"&gt;="&amp;AA$1,'UX Weekly'!$H$1:$CT$1,"&lt;="&amp;EOMONTH(AA$1,0),'UX Weekly'!$H30:$CT30,"&lt;&gt;"))</f>
        <v>2</v>
      </c>
      <c r="AB30">
        <f>IF($B30="",0,COUNTIFS('UX Weekly'!$H$1:$CT$1,"&gt;="&amp;AB$1,'UX Weekly'!$H$1:$CT$1,"&lt;="&amp;EOMONTH(AB$1,0),'UX Weekly'!$H30:$CT30,"&lt;&gt;"))</f>
        <v>0</v>
      </c>
      <c r="AC30">
        <f>IF($B30="",0,COUNTIFS('UX Weekly'!$H$1:$CT$1,"&gt;="&amp;AC$1,'UX Weekly'!$H$1:$CT$1,"&lt;="&amp;EOMONTH(AC$1,0),'UX Weekly'!$H30:$CT30,"&lt;&gt;"))</f>
        <v>0</v>
      </c>
      <c r="AD30">
        <f>IF($B30="",0,COUNTIFS('UX Weekly'!$H$1:$CT$1,"&gt;="&amp;AD$1,'UX Weekly'!$H$1:$CT$1,"&lt;="&amp;EOMONTH(AD$1,0),'UX Weekly'!$H30:$CT30,"&lt;&gt;"))</f>
        <v>0</v>
      </c>
      <c r="AE30">
        <f>IF($B30="",0,COUNTIFS('UX Weekly'!$H$1:$CT$1,"&gt;="&amp;AE$1,'UX Weekly'!$H$1:$CT$1,"&lt;="&amp;EOMONTH(AE$1,0),'UX Weekly'!$H30:$CT30,"&lt;&gt;"))</f>
        <v>0</v>
      </c>
      <c r="AF30">
        <f>IF($B30="",0,COUNTIFS('UX Weekly'!$H$1:$CT$1,"&gt;="&amp;AF$1,'UX Weekly'!$H$1:$CT$1,"&lt;="&amp;EOMONTH(AF$1,0),'UX Weekly'!$H30:$CT30,"&lt;&gt;"))</f>
        <v>0</v>
      </c>
      <c r="AG30">
        <f>IF($B30="",0,COUNTIFS('UX Weekly'!$H$1:$CT$1,"&gt;="&amp;AG$1,'UX Weekly'!$H$1:$CT$1,"&lt;="&amp;EOMONTH(AG$1,0),'UX Weekly'!$H30:$CT30,"&lt;&gt;"))</f>
        <v>0</v>
      </c>
      <c r="AH30">
        <f>IF($B30="",0,COUNTIFS('UX Weekly'!$H$1:$CT$1,"&gt;="&amp;AH$1,'UX Weekly'!$H$1:$CT$1,"&lt;="&amp;EOMONTH(AH$1,0),'UX Weekly'!$H30:$CT30,"&lt;&gt;"))</f>
        <v>0</v>
      </c>
      <c r="AI30">
        <f>IF($B30="",0,COUNTIFS('UX Weekly'!$H$1:$CT$1,"&gt;="&amp;AI$1,'UX Weekly'!$H$1:$CT$1,"&lt;="&amp;EOMONTH(AI$1,0),'UX Weekly'!$H30:$CT30,"&lt;&gt;"))</f>
        <v>0</v>
      </c>
      <c r="AJ30">
        <f>IF($B30="",0,COUNTIFS('UX Weekly'!$H$1:$CT$1,"&gt;="&amp;AJ$1,'UX Weekly'!$H$1:$CT$1,"&lt;="&amp;EOMONTH(AJ$1,0),'UX Weekly'!$H30:$CT30,"&lt;&gt;"))</f>
        <v>0</v>
      </c>
      <c r="AK30">
        <f>IF($B30="",0,COUNTIFS('UX Weekly'!$H$1:$CT$1,"&gt;="&amp;AK$1,'UX Weekly'!$H$1:$CT$1,"&lt;="&amp;EOMONTH(AK$1,0),'UX Weekly'!$H30:$CT30,"&lt;&gt;"))</f>
        <v>0</v>
      </c>
      <c r="AL30">
        <f>IF($B30="",0,COUNTIFS('UX Weekly'!$H$1:$CT$1,"&gt;="&amp;AL$1,'UX Weekly'!$H$1:$CT$1,"&lt;="&amp;EOMONTH(AL$1,0),'UX Weekly'!$H30:$CT30,"&lt;&gt;"))</f>
        <v>0</v>
      </c>
      <c r="AM30">
        <f>IF($B30="",0,COUNTIFS('UX Weekly'!$H$1:$CT$1,"&gt;="&amp;AM$1,'UX Weekly'!$H$1:$CT$1,"&lt;="&amp;EOMONTH(AM$1,0),'UX Weekly'!$H30:$CT30,"&lt;&gt;"))</f>
        <v>0</v>
      </c>
      <c r="AN30">
        <f>IF($B30="",0,COUNTIFS('UX Weekly'!$H$1:$CT$1,"&gt;="&amp;AN$1,'UX Weekly'!$H$1:$CT$1,"&lt;="&amp;EOMONTH(AN$1,0),'UX Weekly'!$H30:$CT30,"&lt;&gt;"))</f>
        <v>0</v>
      </c>
      <c r="AO30">
        <f>IF($B30="",0,COUNTIFS('UX Weekly'!$H$1:$CT$1,"&gt;="&amp;AO$1,'UX Weekly'!$H$1:$CT$1,"&lt;="&amp;EOMONTH(AO$1,0),'UX Weekly'!$H30:$CT30,"&lt;&gt;"))</f>
        <v>0</v>
      </c>
      <c r="AP30">
        <f>IF($B30="",0,COUNTIFS('UX Weekly'!$H$1:$CT$1,"&gt;="&amp;AP$1,'UX Weekly'!$H$1:$CT$1,"&lt;="&amp;EOMONTH(AP$1,0),'UX Weekly'!$H30:$CT30,"&lt;&gt;"))</f>
        <v>0</v>
      </c>
      <c r="AQ30">
        <f>IF($B30="",0,COUNTIFS('UX Weekly'!$H$1:$CT$1,"&gt;="&amp;AQ$1,'UX Weekly'!$H$1:$CT$1,"&lt;="&amp;EOMONTH(AQ$1,0),'UX Weekly'!$H30:$CT30,"&lt;&gt;"))</f>
        <v>0</v>
      </c>
      <c r="AR30">
        <f>IF($B30="",0,COUNTIFS('UX Weekly'!$H$1:$CT$1,"&gt;="&amp;AR$1,'UX Weekly'!$H$1:$CT$1,"&lt;="&amp;EOMONTH(AR$1,0),'UX Weekly'!$H30:$CT30,"&lt;&gt;"))</f>
        <v>0</v>
      </c>
      <c r="AS30">
        <f>IF($B30="",0,COUNTIFS('UX Weekly'!$H$1:$CT$1,"&gt;="&amp;AS$1,'UX Weekly'!$H$1:$CT$1,"&lt;="&amp;EOMONTH(AS$1,0),'UX Weekly'!$H30:$CT30,"&lt;&gt;"))</f>
        <v>0</v>
      </c>
      <c r="AT30">
        <f>IF($B30="",0,COUNTIFS('UX Weekly'!$H$1:$CT$1,"&gt;="&amp;AT$1,'UX Weekly'!$H$1:$CT$1,"&lt;="&amp;EOMONTH(AT$1,0),'UX Weekly'!$H30:$CT30,"&lt;&gt;"))</f>
        <v>0</v>
      </c>
    </row>
    <row r="31" spans="1:46" x14ac:dyDescent="0.2">
      <c r="A31" s="147">
        <v>32</v>
      </c>
      <c r="B31" s="147" t="str">
        <f>IF(TRIM('UX Weekly'!E31)="","",TRIM('UX Weekly'!E31))</f>
        <v>New Condition Rating Scale (Intermediate Step)</v>
      </c>
      <c r="C31" s="147" t="str">
        <f>IF($B31="","",'UX Weekly'!B31)</f>
        <v>Used</v>
      </c>
      <c r="D31" s="147" t="str">
        <f>IF($B31="","",IF(TRIM('UX Weekly'!C31)="","(No theme assigned)",TRIM('UX Weekly'!C31)))</f>
        <v>Improve Buy Used Customer Experience</v>
      </c>
      <c r="E31" s="147" t="str">
        <f>IF($B31="","",TRIM('UX Weekly'!F31))</f>
        <v>BHJ-121278</v>
      </c>
      <c r="F31" s="147" t="str">
        <f>IF($B31="","",'UX Weekly'!G31)</f>
        <v>07. Grooming</v>
      </c>
      <c r="G31" s="148" t="str">
        <f t="array" ref="G31">IF($B31="","",IF($S31=0,"",IFERROR(MIN(IF('UX Weekly'!$H31:$CT31&lt;&gt;"",'UX Weekly'!$H$1:$CT$1)),"")))</f>
        <v/>
      </c>
      <c r="H31" s="148" t="str">
        <f t="array" ref="H31">IF($B31="","",IF($S31=0,"",IFERROR(MAX(IF('UX Weekly'!$H31:$CT31&lt;&gt;"",'UX Weekly'!$H$1:$CT$1)),"")))</f>
        <v/>
      </c>
      <c r="I31" s="149" t="str">
        <f t="shared" ca="1" si="0"/>
        <v/>
      </c>
      <c r="J31" s="149" t="str">
        <f t="shared" ca="1" si="1"/>
        <v/>
      </c>
      <c r="K31" s="147">
        <f>IF($B31="","",IFERROR(MATCH($B31,'Dev Tracker'!$D$2:$D$196,0),IF($E31="","",IFERROR(MATCH($E31,'Dev Tracker'!$E$2:$E$196,0),""))))</f>
        <v>30</v>
      </c>
      <c r="L31" s="147">
        <f>IF($B31="","",IFERROR(MATCH($D31,'Control (Don’t Touch)'!$E$4:$E$30,0),99))</f>
        <v>6</v>
      </c>
      <c r="M31" s="147">
        <f>IF($B31="","",IFERROR(MATCH($F31,'Control (Don’t Touch)'!$B$4:$B$30,0),99))</f>
        <v>10</v>
      </c>
      <c r="N31" s="147">
        <f t="shared" si="2"/>
        <v>6100031</v>
      </c>
      <c r="O31" s="147">
        <f>IF($B31="","",COUNTIF($N$2:$N$204,"&lt;"&amp;$N31)+1)</f>
        <v>32</v>
      </c>
      <c r="P31" s="149" t="str">
        <f ca="1">IF($K31="","",IFERROR(DATE(IFERROR(VALUE(RIGHT(TRIM(INDEX('Dev Tracker'!$I$2:$I$196,$K31)),4)),YEAR(TODAY())),MATCH(LEFT(TRIM(INDEX('Dev Tracker'!$I$2:$I$196,$K31)),3),$U$2:$U$12,0),1),""))</f>
        <v/>
      </c>
      <c r="Q31" s="149" t="str">
        <f ca="1">IF($K31="","",IFERROR(DATE(IFERROR(VALUE(RIGHT(TRIM(INDEX('Dev Tracker'!$J$2:$J$196,$K31)),4)),YEAR(TODAY())),MATCH(LEFT(TRIM(INDEX('Dev Tracker'!$J$2:$J$196,$K31)),3),$U$2:$U$12,0),1),""))</f>
        <v/>
      </c>
      <c r="R31" s="147"/>
      <c r="S31" s="147">
        <f>IF($B31="","",COUNTA('UX Weekly'!$H31:$CT31))</f>
        <v>0</v>
      </c>
      <c r="W31">
        <f>IF($B31="",0,COUNTIFS('UX Weekly'!$H$1:$CT$1,"&gt;="&amp;W$1,'UX Weekly'!$H$1:$CT$1,"&lt;="&amp;EOMONTH(W$1,0),'UX Weekly'!$H31:$CT31,"&lt;&gt;"))</f>
        <v>0</v>
      </c>
      <c r="X31">
        <f>IF($B31="",0,COUNTIFS('UX Weekly'!$H$1:$CT$1,"&gt;="&amp;X$1,'UX Weekly'!$H$1:$CT$1,"&lt;="&amp;EOMONTH(X$1,0),'UX Weekly'!$H31:$CT31,"&lt;&gt;"))</f>
        <v>0</v>
      </c>
      <c r="Y31">
        <f>IF($B31="",0,COUNTIFS('UX Weekly'!$H$1:$CT$1,"&gt;="&amp;Y$1,'UX Weekly'!$H$1:$CT$1,"&lt;="&amp;EOMONTH(Y$1,0),'UX Weekly'!$H31:$CT31,"&lt;&gt;"))</f>
        <v>0</v>
      </c>
      <c r="Z31">
        <f>IF($B31="",0,COUNTIFS('UX Weekly'!$H$1:$CT$1,"&gt;="&amp;Z$1,'UX Weekly'!$H$1:$CT$1,"&lt;="&amp;EOMONTH(Z$1,0),'UX Weekly'!$H31:$CT31,"&lt;&gt;"))</f>
        <v>0</v>
      </c>
      <c r="AA31">
        <f>IF($B31="",0,COUNTIFS('UX Weekly'!$H$1:$CT$1,"&gt;="&amp;AA$1,'UX Weekly'!$H$1:$CT$1,"&lt;="&amp;EOMONTH(AA$1,0),'UX Weekly'!$H31:$CT31,"&lt;&gt;"))</f>
        <v>0</v>
      </c>
      <c r="AB31">
        <f>IF($B31="",0,COUNTIFS('UX Weekly'!$H$1:$CT$1,"&gt;="&amp;AB$1,'UX Weekly'!$H$1:$CT$1,"&lt;="&amp;EOMONTH(AB$1,0),'UX Weekly'!$H31:$CT31,"&lt;&gt;"))</f>
        <v>0</v>
      </c>
      <c r="AC31">
        <f>IF($B31="",0,COUNTIFS('UX Weekly'!$H$1:$CT$1,"&gt;="&amp;AC$1,'UX Weekly'!$H$1:$CT$1,"&lt;="&amp;EOMONTH(AC$1,0),'UX Weekly'!$H31:$CT31,"&lt;&gt;"))</f>
        <v>0</v>
      </c>
      <c r="AD31">
        <f>IF($B31="",0,COUNTIFS('UX Weekly'!$H$1:$CT$1,"&gt;="&amp;AD$1,'UX Weekly'!$H$1:$CT$1,"&lt;="&amp;EOMONTH(AD$1,0),'UX Weekly'!$H31:$CT31,"&lt;&gt;"))</f>
        <v>0</v>
      </c>
      <c r="AE31">
        <f>IF($B31="",0,COUNTIFS('UX Weekly'!$H$1:$CT$1,"&gt;="&amp;AE$1,'UX Weekly'!$H$1:$CT$1,"&lt;="&amp;EOMONTH(AE$1,0),'UX Weekly'!$H31:$CT31,"&lt;&gt;"))</f>
        <v>0</v>
      </c>
      <c r="AF31">
        <f>IF($B31="",0,COUNTIFS('UX Weekly'!$H$1:$CT$1,"&gt;="&amp;AF$1,'UX Weekly'!$H$1:$CT$1,"&lt;="&amp;EOMONTH(AF$1,0),'UX Weekly'!$H31:$CT31,"&lt;&gt;"))</f>
        <v>0</v>
      </c>
      <c r="AG31">
        <f>IF($B31="",0,COUNTIFS('UX Weekly'!$H$1:$CT$1,"&gt;="&amp;AG$1,'UX Weekly'!$H$1:$CT$1,"&lt;="&amp;EOMONTH(AG$1,0),'UX Weekly'!$H31:$CT31,"&lt;&gt;"))</f>
        <v>0</v>
      </c>
      <c r="AH31">
        <f>IF($B31="",0,COUNTIFS('UX Weekly'!$H$1:$CT$1,"&gt;="&amp;AH$1,'UX Weekly'!$H$1:$CT$1,"&lt;="&amp;EOMONTH(AH$1,0),'UX Weekly'!$H31:$CT31,"&lt;&gt;"))</f>
        <v>0</v>
      </c>
      <c r="AI31">
        <f>IF($B31="",0,COUNTIFS('UX Weekly'!$H$1:$CT$1,"&gt;="&amp;AI$1,'UX Weekly'!$H$1:$CT$1,"&lt;="&amp;EOMONTH(AI$1,0),'UX Weekly'!$H31:$CT31,"&lt;&gt;"))</f>
        <v>0</v>
      </c>
      <c r="AJ31">
        <f>IF($B31="",0,COUNTIFS('UX Weekly'!$H$1:$CT$1,"&gt;="&amp;AJ$1,'UX Weekly'!$H$1:$CT$1,"&lt;="&amp;EOMONTH(AJ$1,0),'UX Weekly'!$H31:$CT31,"&lt;&gt;"))</f>
        <v>0</v>
      </c>
      <c r="AK31">
        <f>IF($B31="",0,COUNTIFS('UX Weekly'!$H$1:$CT$1,"&gt;="&amp;AK$1,'UX Weekly'!$H$1:$CT$1,"&lt;="&amp;EOMONTH(AK$1,0),'UX Weekly'!$H31:$CT31,"&lt;&gt;"))</f>
        <v>0</v>
      </c>
      <c r="AL31">
        <f>IF($B31="",0,COUNTIFS('UX Weekly'!$H$1:$CT$1,"&gt;="&amp;AL$1,'UX Weekly'!$H$1:$CT$1,"&lt;="&amp;EOMONTH(AL$1,0),'UX Weekly'!$H31:$CT31,"&lt;&gt;"))</f>
        <v>0</v>
      </c>
      <c r="AM31">
        <f>IF($B31="",0,COUNTIFS('UX Weekly'!$H$1:$CT$1,"&gt;="&amp;AM$1,'UX Weekly'!$H$1:$CT$1,"&lt;="&amp;EOMONTH(AM$1,0),'UX Weekly'!$H31:$CT31,"&lt;&gt;"))</f>
        <v>0</v>
      </c>
      <c r="AN31">
        <f>IF($B31="",0,COUNTIFS('UX Weekly'!$H$1:$CT$1,"&gt;="&amp;AN$1,'UX Weekly'!$H$1:$CT$1,"&lt;="&amp;EOMONTH(AN$1,0),'UX Weekly'!$H31:$CT31,"&lt;&gt;"))</f>
        <v>0</v>
      </c>
      <c r="AO31">
        <f>IF($B31="",0,COUNTIFS('UX Weekly'!$H$1:$CT$1,"&gt;="&amp;AO$1,'UX Weekly'!$H$1:$CT$1,"&lt;="&amp;EOMONTH(AO$1,0),'UX Weekly'!$H31:$CT31,"&lt;&gt;"))</f>
        <v>0</v>
      </c>
      <c r="AP31">
        <f>IF($B31="",0,COUNTIFS('UX Weekly'!$H$1:$CT$1,"&gt;="&amp;AP$1,'UX Weekly'!$H$1:$CT$1,"&lt;="&amp;EOMONTH(AP$1,0),'UX Weekly'!$H31:$CT31,"&lt;&gt;"))</f>
        <v>0</v>
      </c>
      <c r="AQ31">
        <f>IF($B31="",0,COUNTIFS('UX Weekly'!$H$1:$CT$1,"&gt;="&amp;AQ$1,'UX Weekly'!$H$1:$CT$1,"&lt;="&amp;EOMONTH(AQ$1,0),'UX Weekly'!$H31:$CT31,"&lt;&gt;"))</f>
        <v>0</v>
      </c>
      <c r="AR31">
        <f>IF($B31="",0,COUNTIFS('UX Weekly'!$H$1:$CT$1,"&gt;="&amp;AR$1,'UX Weekly'!$H$1:$CT$1,"&lt;="&amp;EOMONTH(AR$1,0),'UX Weekly'!$H31:$CT31,"&lt;&gt;"))</f>
        <v>0</v>
      </c>
      <c r="AS31">
        <f>IF($B31="",0,COUNTIFS('UX Weekly'!$H$1:$CT$1,"&gt;="&amp;AS$1,'UX Weekly'!$H$1:$CT$1,"&lt;="&amp;EOMONTH(AS$1,0),'UX Weekly'!$H31:$CT31,"&lt;&gt;"))</f>
        <v>0</v>
      </c>
      <c r="AT31">
        <f>IF($B31="",0,COUNTIFS('UX Weekly'!$H$1:$CT$1,"&gt;="&amp;AT$1,'UX Weekly'!$H$1:$CT$1,"&lt;="&amp;EOMONTH(AT$1,0),'UX Weekly'!$H31:$CT31,"&lt;&gt;"))</f>
        <v>0</v>
      </c>
    </row>
    <row r="32" spans="1:46" x14ac:dyDescent="0.2">
      <c r="A32" s="147">
        <v>33</v>
      </c>
      <c r="B32" s="147" t="str">
        <f>IF(TRIM('UX Weekly'!E32)="","",TRIM('UX Weekly'!E32))</f>
        <v>Mega Menu</v>
      </c>
      <c r="C32" s="147" t="str">
        <f>IF($B32="","",'UX Weekly'!B32)</f>
        <v>Find</v>
      </c>
      <c r="D32" s="147" t="str">
        <f>IF($B32="","",IF(TRIM('UX Weekly'!C32)="","(No theme assigned)",TRIM('UX Weekly'!C32)))</f>
        <v>Improve Discovery</v>
      </c>
      <c r="E32" s="147" t="str">
        <f>IF($B32="","",TRIM('UX Weekly'!F32))</f>
        <v>BHUX-29580</v>
      </c>
      <c r="F32" s="147" t="str">
        <f>IF($B32="","",'UX Weekly'!G32)</f>
        <v>08. Ready for Dev</v>
      </c>
      <c r="G32" s="148">
        <f t="array" ref="G32">IF($B32="","",IF($S32=0,"",IFERROR(MIN(IF('UX Weekly'!$H32:$CT32&lt;&gt;"",'UX Weekly'!$H$1:$CT$1)),"")))</f>
        <v>46139</v>
      </c>
      <c r="H32" s="148">
        <f t="array" ref="H32">IF($B32="","",IF($S32=0,"",IFERROR(MAX(IF('UX Weekly'!$H32:$CT32&lt;&gt;"",'UX Weekly'!$H$1:$CT$1)),"")))</f>
        <v>46174</v>
      </c>
      <c r="I32" s="149">
        <f t="shared" ca="1" si="0"/>
        <v>46266</v>
      </c>
      <c r="J32" s="149">
        <f t="shared" ca="1" si="1"/>
        <v>46295</v>
      </c>
      <c r="K32" s="147">
        <f>IF($B32="","",IFERROR(MATCH($B32,'Dev Tracker'!$D$2:$D$196,0),IF($E32="","",IFERROR(MATCH($E32,'Dev Tracker'!$E$2:$E$196,0),""))))</f>
        <v>31</v>
      </c>
      <c r="L32" s="147">
        <f>IF($B32="","",IFERROR(MATCH($D32,'Control (Don’t Touch)'!$E$4:$E$30,0),99))</f>
        <v>1</v>
      </c>
      <c r="M32" s="147">
        <f>IF($B32="","",IFERROR(MATCH($F32,'Control (Don’t Touch)'!$B$4:$B$30,0),99))</f>
        <v>11</v>
      </c>
      <c r="N32" s="147">
        <f t="shared" si="2"/>
        <v>1110032</v>
      </c>
      <c r="O32" s="147">
        <f>IF($B32="","",COUNTIF($N$2:$N$204,"&lt;"&amp;$N32)+1)</f>
        <v>2</v>
      </c>
      <c r="P32" s="149">
        <f ca="1">IF($K32="","",IFERROR(DATE(IFERROR(VALUE(RIGHT(TRIM(INDEX('Dev Tracker'!$I$2:$I$196,$K32)),4)),YEAR(TODAY())),MATCH(LEFT(TRIM(INDEX('Dev Tracker'!$I$2:$I$196,$K32)),3),$U$2:$U$12,0),1),""))</f>
        <v>46266</v>
      </c>
      <c r="Q32" s="149">
        <f ca="1">IF($K32="","",IFERROR(DATE(IFERROR(VALUE(RIGHT(TRIM(INDEX('Dev Tracker'!$J$2:$J$196,$K32)),4)),YEAR(TODAY())),MATCH(LEFT(TRIM(INDEX('Dev Tracker'!$J$2:$J$196,$K32)),3),$U$2:$U$12,0),1),""))</f>
        <v>46266</v>
      </c>
      <c r="R32" s="147"/>
      <c r="S32" s="147">
        <f>IF($B32="","",COUNTA('UX Weekly'!$H32:$CT32))</f>
        <v>3</v>
      </c>
      <c r="W32">
        <f>IF($B32="",0,COUNTIFS('UX Weekly'!$H$1:$CT$1,"&gt;="&amp;W$1,'UX Weekly'!$H$1:$CT$1,"&lt;="&amp;EOMONTH(W$1,0),'UX Weekly'!$H32:$CT32,"&lt;&gt;"))</f>
        <v>0</v>
      </c>
      <c r="X32">
        <f>IF($B32="",0,COUNTIFS('UX Weekly'!$H$1:$CT$1,"&gt;="&amp;X$1,'UX Weekly'!$H$1:$CT$1,"&lt;="&amp;EOMONTH(X$1,0),'UX Weekly'!$H32:$CT32,"&lt;&gt;"))</f>
        <v>0</v>
      </c>
      <c r="Y32">
        <f>IF($B32="",0,COUNTIFS('UX Weekly'!$H$1:$CT$1,"&gt;="&amp;Y$1,'UX Weekly'!$H$1:$CT$1,"&lt;="&amp;EOMONTH(Y$1,0),'UX Weekly'!$H32:$CT32,"&lt;&gt;"))</f>
        <v>0</v>
      </c>
      <c r="Z32">
        <f>IF($B32="",0,COUNTIFS('UX Weekly'!$H$1:$CT$1,"&gt;="&amp;Z$1,'UX Weekly'!$H$1:$CT$1,"&lt;="&amp;EOMONTH(Z$1,0),'UX Weekly'!$H32:$CT32,"&lt;&gt;"))</f>
        <v>1</v>
      </c>
      <c r="AA32">
        <f>IF($B32="",0,COUNTIFS('UX Weekly'!$H$1:$CT$1,"&gt;="&amp;AA$1,'UX Weekly'!$H$1:$CT$1,"&lt;="&amp;EOMONTH(AA$1,0),'UX Weekly'!$H32:$CT32,"&lt;&gt;"))</f>
        <v>1</v>
      </c>
      <c r="AB32">
        <f>IF($B32="",0,COUNTIFS('UX Weekly'!$H$1:$CT$1,"&gt;="&amp;AB$1,'UX Weekly'!$H$1:$CT$1,"&lt;="&amp;EOMONTH(AB$1,0),'UX Weekly'!$H32:$CT32,"&lt;&gt;"))</f>
        <v>1</v>
      </c>
      <c r="AC32">
        <f>IF($B32="",0,COUNTIFS('UX Weekly'!$H$1:$CT$1,"&gt;="&amp;AC$1,'UX Weekly'!$H$1:$CT$1,"&lt;="&amp;EOMONTH(AC$1,0),'UX Weekly'!$H32:$CT32,"&lt;&gt;"))</f>
        <v>0</v>
      </c>
      <c r="AD32">
        <f>IF($B32="",0,COUNTIFS('UX Weekly'!$H$1:$CT$1,"&gt;="&amp;AD$1,'UX Weekly'!$H$1:$CT$1,"&lt;="&amp;EOMONTH(AD$1,0),'UX Weekly'!$H32:$CT32,"&lt;&gt;"))</f>
        <v>0</v>
      </c>
      <c r="AE32">
        <f>IF($B32="",0,COUNTIFS('UX Weekly'!$H$1:$CT$1,"&gt;="&amp;AE$1,'UX Weekly'!$H$1:$CT$1,"&lt;="&amp;EOMONTH(AE$1,0),'UX Weekly'!$H32:$CT32,"&lt;&gt;"))</f>
        <v>0</v>
      </c>
      <c r="AF32">
        <f>IF($B32="",0,COUNTIFS('UX Weekly'!$H$1:$CT$1,"&gt;="&amp;AF$1,'UX Weekly'!$H$1:$CT$1,"&lt;="&amp;EOMONTH(AF$1,0),'UX Weekly'!$H32:$CT32,"&lt;&gt;"))</f>
        <v>0</v>
      </c>
      <c r="AG32">
        <f>IF($B32="",0,COUNTIFS('UX Weekly'!$H$1:$CT$1,"&gt;="&amp;AG$1,'UX Weekly'!$H$1:$CT$1,"&lt;="&amp;EOMONTH(AG$1,0),'UX Weekly'!$H32:$CT32,"&lt;&gt;"))</f>
        <v>0</v>
      </c>
      <c r="AH32">
        <f>IF($B32="",0,COUNTIFS('UX Weekly'!$H$1:$CT$1,"&gt;="&amp;AH$1,'UX Weekly'!$H$1:$CT$1,"&lt;="&amp;EOMONTH(AH$1,0),'UX Weekly'!$H32:$CT32,"&lt;&gt;"))</f>
        <v>0</v>
      </c>
      <c r="AI32">
        <f>IF($B32="",0,COUNTIFS('UX Weekly'!$H$1:$CT$1,"&gt;="&amp;AI$1,'UX Weekly'!$H$1:$CT$1,"&lt;="&amp;EOMONTH(AI$1,0),'UX Weekly'!$H32:$CT32,"&lt;&gt;"))</f>
        <v>0</v>
      </c>
      <c r="AJ32">
        <f>IF($B32="",0,COUNTIFS('UX Weekly'!$H$1:$CT$1,"&gt;="&amp;AJ$1,'UX Weekly'!$H$1:$CT$1,"&lt;="&amp;EOMONTH(AJ$1,0),'UX Weekly'!$H32:$CT32,"&lt;&gt;"))</f>
        <v>0</v>
      </c>
      <c r="AK32">
        <f>IF($B32="",0,COUNTIFS('UX Weekly'!$H$1:$CT$1,"&gt;="&amp;AK$1,'UX Weekly'!$H$1:$CT$1,"&lt;="&amp;EOMONTH(AK$1,0),'UX Weekly'!$H32:$CT32,"&lt;&gt;"))</f>
        <v>0</v>
      </c>
      <c r="AL32">
        <f>IF($B32="",0,COUNTIFS('UX Weekly'!$H$1:$CT$1,"&gt;="&amp;AL$1,'UX Weekly'!$H$1:$CT$1,"&lt;="&amp;EOMONTH(AL$1,0),'UX Weekly'!$H32:$CT32,"&lt;&gt;"))</f>
        <v>0</v>
      </c>
      <c r="AM32">
        <f>IF($B32="",0,COUNTIFS('UX Weekly'!$H$1:$CT$1,"&gt;="&amp;AM$1,'UX Weekly'!$H$1:$CT$1,"&lt;="&amp;EOMONTH(AM$1,0),'UX Weekly'!$H32:$CT32,"&lt;&gt;"))</f>
        <v>0</v>
      </c>
      <c r="AN32">
        <f>IF($B32="",0,COUNTIFS('UX Weekly'!$H$1:$CT$1,"&gt;="&amp;AN$1,'UX Weekly'!$H$1:$CT$1,"&lt;="&amp;EOMONTH(AN$1,0),'UX Weekly'!$H32:$CT32,"&lt;&gt;"))</f>
        <v>0</v>
      </c>
      <c r="AO32">
        <f>IF($B32="",0,COUNTIFS('UX Weekly'!$H$1:$CT$1,"&gt;="&amp;AO$1,'UX Weekly'!$H$1:$CT$1,"&lt;="&amp;EOMONTH(AO$1,0),'UX Weekly'!$H32:$CT32,"&lt;&gt;"))</f>
        <v>0</v>
      </c>
      <c r="AP32">
        <f>IF($B32="",0,COUNTIFS('UX Weekly'!$H$1:$CT$1,"&gt;="&amp;AP$1,'UX Weekly'!$H$1:$CT$1,"&lt;="&amp;EOMONTH(AP$1,0),'UX Weekly'!$H32:$CT32,"&lt;&gt;"))</f>
        <v>0</v>
      </c>
      <c r="AQ32">
        <f>IF($B32="",0,COUNTIFS('UX Weekly'!$H$1:$CT$1,"&gt;="&amp;AQ$1,'UX Weekly'!$H$1:$CT$1,"&lt;="&amp;EOMONTH(AQ$1,0),'UX Weekly'!$H32:$CT32,"&lt;&gt;"))</f>
        <v>0</v>
      </c>
      <c r="AR32">
        <f>IF($B32="",0,COUNTIFS('UX Weekly'!$H$1:$CT$1,"&gt;="&amp;AR$1,'UX Weekly'!$H$1:$CT$1,"&lt;="&amp;EOMONTH(AR$1,0),'UX Weekly'!$H32:$CT32,"&lt;&gt;"))</f>
        <v>0</v>
      </c>
      <c r="AS32">
        <f>IF($B32="",0,COUNTIFS('UX Weekly'!$H$1:$CT$1,"&gt;="&amp;AS$1,'UX Weekly'!$H$1:$CT$1,"&lt;="&amp;EOMONTH(AS$1,0),'UX Weekly'!$H32:$CT32,"&lt;&gt;"))</f>
        <v>0</v>
      </c>
      <c r="AT32">
        <f>IF($B32="",0,COUNTIFS('UX Weekly'!$H$1:$CT$1,"&gt;="&amp;AT$1,'UX Weekly'!$H$1:$CT$1,"&lt;="&amp;EOMONTH(AT$1,0),'UX Weekly'!$H32:$CT32,"&lt;&gt;"))</f>
        <v>0</v>
      </c>
    </row>
    <row r="33" spans="1:46" x14ac:dyDescent="0.2">
      <c r="A33" s="147">
        <v>34</v>
      </c>
      <c r="B33" s="147" t="str">
        <f>IF(TRIM('UX Weekly'!E33)="","",TRIM('UX Weekly'!E33))</f>
        <v>School Safety Landing Page</v>
      </c>
      <c r="C33" s="147" t="str">
        <f>IF($B33="","",'UX Weekly'!B33)</f>
        <v>B2B</v>
      </c>
      <c r="D33" s="147" t="str">
        <f>IF($B33="","",IF(TRIM('UX Weekly'!C33)="","(No theme assigned)",TRIM('UX Weekly'!C33)))</f>
        <v>Increase B2B Acquisition</v>
      </c>
      <c r="E33" s="147" t="str">
        <f>IF($B33="","",TRIM('UX Weekly'!F33))</f>
        <v>BHUX-34377</v>
      </c>
      <c r="F33" s="147" t="str">
        <f>IF($B33="","",'UX Weekly'!G33)</f>
        <v>08. Ready for Dev</v>
      </c>
      <c r="G33" s="148">
        <f t="array" ref="G33">IF($B33="","",IF($S33=0,"",IFERROR(MIN(IF('UX Weekly'!$H33:$CT33&lt;&gt;"",'UX Weekly'!$H$1:$CT$1)),"")))</f>
        <v>46188</v>
      </c>
      <c r="H33" s="148">
        <f t="array" ref="H33">IF($B33="","",IF($S33=0,"",IFERROR(MAX(IF('UX Weekly'!$H33:$CT33&lt;&gt;"",'UX Weekly'!$H$1:$CT$1)),"")))</f>
        <v>46244</v>
      </c>
      <c r="I33" s="149">
        <f t="shared" ref="I33:I64" ca="1" si="3">IF($Q33&lt;&gt;"",IF($P33&lt;&gt;"",$P33,$Q33),IF($P33&lt;&gt;"",$P33,""))</f>
        <v>46266</v>
      </c>
      <c r="J33" s="149">
        <f t="shared" ref="J33:J64" ca="1" si="4">IF($Q33&lt;&gt;"",EOMONTH($Q33,0),IF($P33&lt;&gt;"",EOMONTH($P33,0),""))</f>
        <v>46295</v>
      </c>
      <c r="K33" s="147">
        <f>IF($B33="","",IFERROR(MATCH($B33,'Dev Tracker'!$D$2:$D$196,0),IF($E33="","",IFERROR(MATCH($E33,'Dev Tracker'!$E$2:$E$196,0),""))))</f>
        <v>32</v>
      </c>
      <c r="L33" s="147">
        <f>IF($B33="","",IFERROR(MATCH($D33,'Control (Don’t Touch)'!$E$4:$E$30,0),99))</f>
        <v>8</v>
      </c>
      <c r="M33" s="147">
        <f>IF($B33="","",IFERROR(MATCH($F33,'Control (Don’t Touch)'!$B$4:$B$30,0),99))</f>
        <v>11</v>
      </c>
      <c r="N33" s="147">
        <f t="shared" ref="N33:N64" si="5">IF($B33="","",$L33*1000000+$M33*10000+ROW())</f>
        <v>8110033</v>
      </c>
      <c r="O33" s="147">
        <f>IF($B33="","",COUNTIF($N$2:$N$204,"&lt;"&amp;$N33)+1)</f>
        <v>39</v>
      </c>
      <c r="P33" s="149">
        <f ca="1">IF($K33="","",IFERROR(DATE(IFERROR(VALUE(RIGHT(TRIM(INDEX('Dev Tracker'!$I$2:$I$196,$K33)),4)),YEAR(TODAY())),MATCH(LEFT(TRIM(INDEX('Dev Tracker'!$I$2:$I$196,$K33)),3),$U$2:$U$12,0),1),""))</f>
        <v>46266</v>
      </c>
      <c r="Q33" s="149">
        <f ca="1">IF($K33="","",IFERROR(DATE(IFERROR(VALUE(RIGHT(TRIM(INDEX('Dev Tracker'!$J$2:$J$196,$K33)),4)),YEAR(TODAY())),MATCH(LEFT(TRIM(INDEX('Dev Tracker'!$J$2:$J$196,$K33)),3),$U$2:$U$12,0),1),""))</f>
        <v>46266</v>
      </c>
      <c r="R33" s="147"/>
      <c r="S33" s="147">
        <f>IF($B33="","",COUNTA('UX Weekly'!$H33:$CT33))</f>
        <v>9</v>
      </c>
      <c r="W33">
        <f>IF($B33="",0,COUNTIFS('UX Weekly'!$H$1:$CT$1,"&gt;="&amp;W$1,'UX Weekly'!$H$1:$CT$1,"&lt;="&amp;EOMONTH(W$1,0),'UX Weekly'!$H33:$CT33,"&lt;&gt;"))</f>
        <v>0</v>
      </c>
      <c r="X33">
        <f>IF($B33="",0,COUNTIFS('UX Weekly'!$H$1:$CT$1,"&gt;="&amp;X$1,'UX Weekly'!$H$1:$CT$1,"&lt;="&amp;EOMONTH(X$1,0),'UX Weekly'!$H33:$CT33,"&lt;&gt;"))</f>
        <v>0</v>
      </c>
      <c r="Y33">
        <f>IF($B33="",0,COUNTIFS('UX Weekly'!$H$1:$CT$1,"&gt;="&amp;Y$1,'UX Weekly'!$H$1:$CT$1,"&lt;="&amp;EOMONTH(Y$1,0),'UX Weekly'!$H33:$CT33,"&lt;&gt;"))</f>
        <v>0</v>
      </c>
      <c r="Z33">
        <f>IF($B33="",0,COUNTIFS('UX Weekly'!$H$1:$CT$1,"&gt;="&amp;Z$1,'UX Weekly'!$H$1:$CT$1,"&lt;="&amp;EOMONTH(Z$1,0),'UX Weekly'!$H33:$CT33,"&lt;&gt;"))</f>
        <v>0</v>
      </c>
      <c r="AA33">
        <f>IF($B33="",0,COUNTIFS('UX Weekly'!$H$1:$CT$1,"&gt;="&amp;AA$1,'UX Weekly'!$H$1:$CT$1,"&lt;="&amp;EOMONTH(AA$1,0),'UX Weekly'!$H33:$CT33,"&lt;&gt;"))</f>
        <v>0</v>
      </c>
      <c r="AB33">
        <f>IF($B33="",0,COUNTIFS('UX Weekly'!$H$1:$CT$1,"&gt;="&amp;AB$1,'UX Weekly'!$H$1:$CT$1,"&lt;="&amp;EOMONTH(AB$1,0),'UX Weekly'!$H33:$CT33,"&lt;&gt;"))</f>
        <v>3</v>
      </c>
      <c r="AC33">
        <f>IF($B33="",0,COUNTIFS('UX Weekly'!$H$1:$CT$1,"&gt;="&amp;AC$1,'UX Weekly'!$H$1:$CT$1,"&lt;="&amp;EOMONTH(AC$1,0),'UX Weekly'!$H33:$CT33,"&lt;&gt;"))</f>
        <v>4</v>
      </c>
      <c r="AD33">
        <f>IF($B33="",0,COUNTIFS('UX Weekly'!$H$1:$CT$1,"&gt;="&amp;AD$1,'UX Weekly'!$H$1:$CT$1,"&lt;="&amp;EOMONTH(AD$1,0),'UX Weekly'!$H33:$CT33,"&lt;&gt;"))</f>
        <v>2</v>
      </c>
      <c r="AE33">
        <f>IF($B33="",0,COUNTIFS('UX Weekly'!$H$1:$CT$1,"&gt;="&amp;AE$1,'UX Weekly'!$H$1:$CT$1,"&lt;="&amp;EOMONTH(AE$1,0),'UX Weekly'!$H33:$CT33,"&lt;&gt;"))</f>
        <v>0</v>
      </c>
      <c r="AF33">
        <f>IF($B33="",0,COUNTIFS('UX Weekly'!$H$1:$CT$1,"&gt;="&amp;AF$1,'UX Weekly'!$H$1:$CT$1,"&lt;="&amp;EOMONTH(AF$1,0),'UX Weekly'!$H33:$CT33,"&lt;&gt;"))</f>
        <v>0</v>
      </c>
      <c r="AG33">
        <f>IF($B33="",0,COUNTIFS('UX Weekly'!$H$1:$CT$1,"&gt;="&amp;AG$1,'UX Weekly'!$H$1:$CT$1,"&lt;="&amp;EOMONTH(AG$1,0),'UX Weekly'!$H33:$CT33,"&lt;&gt;"))</f>
        <v>0</v>
      </c>
      <c r="AH33">
        <f>IF($B33="",0,COUNTIFS('UX Weekly'!$H$1:$CT$1,"&gt;="&amp;AH$1,'UX Weekly'!$H$1:$CT$1,"&lt;="&amp;EOMONTH(AH$1,0),'UX Weekly'!$H33:$CT33,"&lt;&gt;"))</f>
        <v>0</v>
      </c>
      <c r="AI33">
        <f>IF($B33="",0,COUNTIFS('UX Weekly'!$H$1:$CT$1,"&gt;="&amp;AI$1,'UX Weekly'!$H$1:$CT$1,"&lt;="&amp;EOMONTH(AI$1,0),'UX Weekly'!$H33:$CT33,"&lt;&gt;"))</f>
        <v>0</v>
      </c>
      <c r="AJ33">
        <f>IF($B33="",0,COUNTIFS('UX Weekly'!$H$1:$CT$1,"&gt;="&amp;AJ$1,'UX Weekly'!$H$1:$CT$1,"&lt;="&amp;EOMONTH(AJ$1,0),'UX Weekly'!$H33:$CT33,"&lt;&gt;"))</f>
        <v>0</v>
      </c>
      <c r="AK33">
        <f>IF($B33="",0,COUNTIFS('UX Weekly'!$H$1:$CT$1,"&gt;="&amp;AK$1,'UX Weekly'!$H$1:$CT$1,"&lt;="&amp;EOMONTH(AK$1,0),'UX Weekly'!$H33:$CT33,"&lt;&gt;"))</f>
        <v>0</v>
      </c>
      <c r="AL33">
        <f>IF($B33="",0,COUNTIFS('UX Weekly'!$H$1:$CT$1,"&gt;="&amp;AL$1,'UX Weekly'!$H$1:$CT$1,"&lt;="&amp;EOMONTH(AL$1,0),'UX Weekly'!$H33:$CT33,"&lt;&gt;"))</f>
        <v>0</v>
      </c>
      <c r="AM33">
        <f>IF($B33="",0,COUNTIFS('UX Weekly'!$H$1:$CT$1,"&gt;="&amp;AM$1,'UX Weekly'!$H$1:$CT$1,"&lt;="&amp;EOMONTH(AM$1,0),'UX Weekly'!$H33:$CT33,"&lt;&gt;"))</f>
        <v>0</v>
      </c>
      <c r="AN33">
        <f>IF($B33="",0,COUNTIFS('UX Weekly'!$H$1:$CT$1,"&gt;="&amp;AN$1,'UX Weekly'!$H$1:$CT$1,"&lt;="&amp;EOMONTH(AN$1,0),'UX Weekly'!$H33:$CT33,"&lt;&gt;"))</f>
        <v>0</v>
      </c>
      <c r="AO33">
        <f>IF($B33="",0,COUNTIFS('UX Weekly'!$H$1:$CT$1,"&gt;="&amp;AO$1,'UX Weekly'!$H$1:$CT$1,"&lt;="&amp;EOMONTH(AO$1,0),'UX Weekly'!$H33:$CT33,"&lt;&gt;"))</f>
        <v>0</v>
      </c>
      <c r="AP33">
        <f>IF($B33="",0,COUNTIFS('UX Weekly'!$H$1:$CT$1,"&gt;="&amp;AP$1,'UX Weekly'!$H$1:$CT$1,"&lt;="&amp;EOMONTH(AP$1,0),'UX Weekly'!$H33:$CT33,"&lt;&gt;"))</f>
        <v>0</v>
      </c>
      <c r="AQ33">
        <f>IF($B33="",0,COUNTIFS('UX Weekly'!$H$1:$CT$1,"&gt;="&amp;AQ$1,'UX Weekly'!$H$1:$CT$1,"&lt;="&amp;EOMONTH(AQ$1,0),'UX Weekly'!$H33:$CT33,"&lt;&gt;"))</f>
        <v>0</v>
      </c>
      <c r="AR33">
        <f>IF($B33="",0,COUNTIFS('UX Weekly'!$H$1:$CT$1,"&gt;="&amp;AR$1,'UX Weekly'!$H$1:$CT$1,"&lt;="&amp;EOMONTH(AR$1,0),'UX Weekly'!$H33:$CT33,"&lt;&gt;"))</f>
        <v>0</v>
      </c>
      <c r="AS33">
        <f>IF($B33="",0,COUNTIFS('UX Weekly'!$H$1:$CT$1,"&gt;="&amp;AS$1,'UX Weekly'!$H$1:$CT$1,"&lt;="&amp;EOMONTH(AS$1,0),'UX Weekly'!$H33:$CT33,"&lt;&gt;"))</f>
        <v>0</v>
      </c>
      <c r="AT33">
        <f>IF($B33="",0,COUNTIFS('UX Weekly'!$H$1:$CT$1,"&gt;="&amp;AT$1,'UX Weekly'!$H$1:$CT$1,"&lt;="&amp;EOMONTH(AT$1,0),'UX Weekly'!$H33:$CT33,"&lt;&gt;"))</f>
        <v>0</v>
      </c>
    </row>
    <row r="34" spans="1:46" x14ac:dyDescent="0.2">
      <c r="A34" s="147">
        <v>35</v>
      </c>
      <c r="B34" s="147" t="str">
        <f>IF(TRIM('UX Weekly'!E34)="","",TRIM('UX Weekly'!E34))</f>
        <v>Nested Refinements</v>
      </c>
      <c r="C34" s="147" t="str">
        <f>IF($B34="","",'UX Weekly'!B34)</f>
        <v>Find</v>
      </c>
      <c r="D34" s="147" t="str">
        <f>IF($B34="","",IF(TRIM('UX Weekly'!C34)="","(No theme assigned)",TRIM('UX Weekly'!C34)))</f>
        <v>Improve Discovery</v>
      </c>
      <c r="E34" s="147" t="str">
        <f>IF($B34="","",TRIM('UX Weekly'!F34))</f>
        <v>BHUX-32621</v>
      </c>
      <c r="F34" s="147" t="str">
        <f>IF($B34="","",'UX Weekly'!G34)</f>
        <v>08. Ready for Dev</v>
      </c>
      <c r="G34" s="148" t="str">
        <f t="array" ref="G34">IF($B34="","",IF($S34=0,"",IFERROR(MIN(IF('UX Weekly'!$H34:$CT34&lt;&gt;"",'UX Weekly'!$H$1:$CT$1)),"")))</f>
        <v/>
      </c>
      <c r="H34" s="148" t="str">
        <f t="array" ref="H34">IF($B34="","",IF($S34=0,"",IFERROR(MAX(IF('UX Weekly'!$H34:$CT34&lt;&gt;"",'UX Weekly'!$H$1:$CT$1)),"")))</f>
        <v/>
      </c>
      <c r="I34" s="149" t="str">
        <f t="shared" ca="1" si="3"/>
        <v/>
      </c>
      <c r="J34" s="149" t="str">
        <f t="shared" ca="1" si="4"/>
        <v/>
      </c>
      <c r="K34" s="147">
        <f>IF($B34="","",IFERROR(MATCH($B34,'Dev Tracker'!$D$2:$D$196,0),IF($E34="","",IFERROR(MATCH($E34,'Dev Tracker'!$E$2:$E$196,0),""))))</f>
        <v>33</v>
      </c>
      <c r="L34" s="147">
        <f>IF($B34="","",IFERROR(MATCH($D34,'Control (Don’t Touch)'!$E$4:$E$30,0),99))</f>
        <v>1</v>
      </c>
      <c r="M34" s="147">
        <f>IF($B34="","",IFERROR(MATCH($F34,'Control (Don’t Touch)'!$B$4:$B$30,0),99))</f>
        <v>11</v>
      </c>
      <c r="N34" s="147">
        <f t="shared" si="5"/>
        <v>1110034</v>
      </c>
      <c r="O34" s="147">
        <f>IF($B34="","",COUNTIF($N$2:$N$204,"&lt;"&amp;$N34)+1)</f>
        <v>3</v>
      </c>
      <c r="P34" s="149" t="str">
        <f ca="1">IF($K34="","",IFERROR(DATE(IFERROR(VALUE(RIGHT(TRIM(INDEX('Dev Tracker'!$I$2:$I$196,$K34)),4)),YEAR(TODAY())),MATCH(LEFT(TRIM(INDEX('Dev Tracker'!$I$2:$I$196,$K34)),3),$U$2:$U$12,0),1),""))</f>
        <v/>
      </c>
      <c r="Q34" s="149" t="str">
        <f ca="1">IF($K34="","",IFERROR(DATE(IFERROR(VALUE(RIGHT(TRIM(INDEX('Dev Tracker'!$J$2:$J$196,$K34)),4)),YEAR(TODAY())),MATCH(LEFT(TRIM(INDEX('Dev Tracker'!$J$2:$J$196,$K34)),3),$U$2:$U$12,0),1),""))</f>
        <v/>
      </c>
      <c r="R34" s="147"/>
      <c r="S34" s="147">
        <f>IF($B34="","",COUNTA('UX Weekly'!$H34:$CT34))</f>
        <v>0</v>
      </c>
      <c r="W34">
        <f>IF($B34="",0,COUNTIFS('UX Weekly'!$H$1:$CT$1,"&gt;="&amp;W$1,'UX Weekly'!$H$1:$CT$1,"&lt;="&amp;EOMONTH(W$1,0),'UX Weekly'!$H34:$CT34,"&lt;&gt;"))</f>
        <v>0</v>
      </c>
      <c r="X34">
        <f>IF($B34="",0,COUNTIFS('UX Weekly'!$H$1:$CT$1,"&gt;="&amp;X$1,'UX Weekly'!$H$1:$CT$1,"&lt;="&amp;EOMONTH(X$1,0),'UX Weekly'!$H34:$CT34,"&lt;&gt;"))</f>
        <v>0</v>
      </c>
      <c r="Y34">
        <f>IF($B34="",0,COUNTIFS('UX Weekly'!$H$1:$CT$1,"&gt;="&amp;Y$1,'UX Weekly'!$H$1:$CT$1,"&lt;="&amp;EOMONTH(Y$1,0),'UX Weekly'!$H34:$CT34,"&lt;&gt;"))</f>
        <v>0</v>
      </c>
      <c r="Z34">
        <f>IF($B34="",0,COUNTIFS('UX Weekly'!$H$1:$CT$1,"&gt;="&amp;Z$1,'UX Weekly'!$H$1:$CT$1,"&lt;="&amp;EOMONTH(Z$1,0),'UX Weekly'!$H34:$CT34,"&lt;&gt;"))</f>
        <v>0</v>
      </c>
      <c r="AA34">
        <f>IF($B34="",0,COUNTIFS('UX Weekly'!$H$1:$CT$1,"&gt;="&amp;AA$1,'UX Weekly'!$H$1:$CT$1,"&lt;="&amp;EOMONTH(AA$1,0),'UX Weekly'!$H34:$CT34,"&lt;&gt;"))</f>
        <v>0</v>
      </c>
      <c r="AB34">
        <f>IF($B34="",0,COUNTIFS('UX Weekly'!$H$1:$CT$1,"&gt;="&amp;AB$1,'UX Weekly'!$H$1:$CT$1,"&lt;="&amp;EOMONTH(AB$1,0),'UX Weekly'!$H34:$CT34,"&lt;&gt;"))</f>
        <v>0</v>
      </c>
      <c r="AC34">
        <f>IF($B34="",0,COUNTIFS('UX Weekly'!$H$1:$CT$1,"&gt;="&amp;AC$1,'UX Weekly'!$H$1:$CT$1,"&lt;="&amp;EOMONTH(AC$1,0),'UX Weekly'!$H34:$CT34,"&lt;&gt;"))</f>
        <v>0</v>
      </c>
      <c r="AD34">
        <f>IF($B34="",0,COUNTIFS('UX Weekly'!$H$1:$CT$1,"&gt;="&amp;AD$1,'UX Weekly'!$H$1:$CT$1,"&lt;="&amp;EOMONTH(AD$1,0),'UX Weekly'!$H34:$CT34,"&lt;&gt;"))</f>
        <v>0</v>
      </c>
      <c r="AE34">
        <f>IF($B34="",0,COUNTIFS('UX Weekly'!$H$1:$CT$1,"&gt;="&amp;AE$1,'UX Weekly'!$H$1:$CT$1,"&lt;="&amp;EOMONTH(AE$1,0),'UX Weekly'!$H34:$CT34,"&lt;&gt;"))</f>
        <v>0</v>
      </c>
      <c r="AF34">
        <f>IF($B34="",0,COUNTIFS('UX Weekly'!$H$1:$CT$1,"&gt;="&amp;AF$1,'UX Weekly'!$H$1:$CT$1,"&lt;="&amp;EOMONTH(AF$1,0),'UX Weekly'!$H34:$CT34,"&lt;&gt;"))</f>
        <v>0</v>
      </c>
      <c r="AG34">
        <f>IF($B34="",0,COUNTIFS('UX Weekly'!$H$1:$CT$1,"&gt;="&amp;AG$1,'UX Weekly'!$H$1:$CT$1,"&lt;="&amp;EOMONTH(AG$1,0),'UX Weekly'!$H34:$CT34,"&lt;&gt;"))</f>
        <v>0</v>
      </c>
      <c r="AH34">
        <f>IF($B34="",0,COUNTIFS('UX Weekly'!$H$1:$CT$1,"&gt;="&amp;AH$1,'UX Weekly'!$H$1:$CT$1,"&lt;="&amp;EOMONTH(AH$1,0),'UX Weekly'!$H34:$CT34,"&lt;&gt;"))</f>
        <v>0</v>
      </c>
      <c r="AI34">
        <f>IF($B34="",0,COUNTIFS('UX Weekly'!$H$1:$CT$1,"&gt;="&amp;AI$1,'UX Weekly'!$H$1:$CT$1,"&lt;="&amp;EOMONTH(AI$1,0),'UX Weekly'!$H34:$CT34,"&lt;&gt;"))</f>
        <v>0</v>
      </c>
      <c r="AJ34">
        <f>IF($B34="",0,COUNTIFS('UX Weekly'!$H$1:$CT$1,"&gt;="&amp;AJ$1,'UX Weekly'!$H$1:$CT$1,"&lt;="&amp;EOMONTH(AJ$1,0),'UX Weekly'!$H34:$CT34,"&lt;&gt;"))</f>
        <v>0</v>
      </c>
      <c r="AK34">
        <f>IF($B34="",0,COUNTIFS('UX Weekly'!$H$1:$CT$1,"&gt;="&amp;AK$1,'UX Weekly'!$H$1:$CT$1,"&lt;="&amp;EOMONTH(AK$1,0),'UX Weekly'!$H34:$CT34,"&lt;&gt;"))</f>
        <v>0</v>
      </c>
      <c r="AL34">
        <f>IF($B34="",0,COUNTIFS('UX Weekly'!$H$1:$CT$1,"&gt;="&amp;AL$1,'UX Weekly'!$H$1:$CT$1,"&lt;="&amp;EOMONTH(AL$1,0),'UX Weekly'!$H34:$CT34,"&lt;&gt;"))</f>
        <v>0</v>
      </c>
      <c r="AM34">
        <f>IF($B34="",0,COUNTIFS('UX Weekly'!$H$1:$CT$1,"&gt;="&amp;AM$1,'UX Weekly'!$H$1:$CT$1,"&lt;="&amp;EOMONTH(AM$1,0),'UX Weekly'!$H34:$CT34,"&lt;&gt;"))</f>
        <v>0</v>
      </c>
      <c r="AN34">
        <f>IF($B34="",0,COUNTIFS('UX Weekly'!$H$1:$CT$1,"&gt;="&amp;AN$1,'UX Weekly'!$H$1:$CT$1,"&lt;="&amp;EOMONTH(AN$1,0),'UX Weekly'!$H34:$CT34,"&lt;&gt;"))</f>
        <v>0</v>
      </c>
      <c r="AO34">
        <f>IF($B34="",0,COUNTIFS('UX Weekly'!$H$1:$CT$1,"&gt;="&amp;AO$1,'UX Weekly'!$H$1:$CT$1,"&lt;="&amp;EOMONTH(AO$1,0),'UX Weekly'!$H34:$CT34,"&lt;&gt;"))</f>
        <v>0</v>
      </c>
      <c r="AP34">
        <f>IF($B34="",0,COUNTIFS('UX Weekly'!$H$1:$CT$1,"&gt;="&amp;AP$1,'UX Weekly'!$H$1:$CT$1,"&lt;="&amp;EOMONTH(AP$1,0),'UX Weekly'!$H34:$CT34,"&lt;&gt;"))</f>
        <v>0</v>
      </c>
      <c r="AQ34">
        <f>IF($B34="",0,COUNTIFS('UX Weekly'!$H$1:$CT$1,"&gt;="&amp;AQ$1,'UX Weekly'!$H$1:$CT$1,"&lt;="&amp;EOMONTH(AQ$1,0),'UX Weekly'!$H34:$CT34,"&lt;&gt;"))</f>
        <v>0</v>
      </c>
      <c r="AR34">
        <f>IF($B34="",0,COUNTIFS('UX Weekly'!$H$1:$CT$1,"&gt;="&amp;AR$1,'UX Weekly'!$H$1:$CT$1,"&lt;="&amp;EOMONTH(AR$1,0),'UX Weekly'!$H34:$CT34,"&lt;&gt;"))</f>
        <v>0</v>
      </c>
      <c r="AS34">
        <f>IF($B34="",0,COUNTIFS('UX Weekly'!$H$1:$CT$1,"&gt;="&amp;AS$1,'UX Weekly'!$H$1:$CT$1,"&lt;="&amp;EOMONTH(AS$1,0),'UX Weekly'!$H34:$CT34,"&lt;&gt;"))</f>
        <v>0</v>
      </c>
      <c r="AT34">
        <f>IF($B34="",0,COUNTIFS('UX Weekly'!$H$1:$CT$1,"&gt;="&amp;AT$1,'UX Weekly'!$H$1:$CT$1,"&lt;="&amp;EOMONTH(AT$1,0),'UX Weekly'!$H34:$CT34,"&lt;&gt;"))</f>
        <v>0</v>
      </c>
    </row>
    <row r="35" spans="1:46" x14ac:dyDescent="0.2">
      <c r="A35" s="147">
        <v>36</v>
      </c>
      <c r="B35" s="147" t="str">
        <f>IF(TRIM('UX Weekly'!E35)="","",TRIM('UX Weekly'!E35))</f>
        <v>Sunset Modals for Drawers</v>
      </c>
      <c r="C35" s="147" t="str">
        <f>IF($B35="","",'UX Weekly'!B35)</f>
        <v>Find</v>
      </c>
      <c r="D35" s="147" t="str">
        <f>IF($B35="","",IF(TRIM('UX Weekly'!C35)="","(No theme assigned)",TRIM('UX Weekly'!C35)))</f>
        <v>Improve Discovery</v>
      </c>
      <c r="E35" s="147" t="str">
        <f>IF($B35="","",TRIM('UX Weekly'!F35))</f>
        <v>BHUX-32543 </v>
      </c>
      <c r="F35" s="147" t="str">
        <f>IF($B35="","",'UX Weekly'!G35)</f>
        <v>09. In Dev</v>
      </c>
      <c r="G35" s="148" t="str">
        <f t="array" ref="G35">IF($B35="","",IF($S35=0,"",IFERROR(MIN(IF('UX Weekly'!$H35:$CT35&lt;&gt;"",'UX Weekly'!$H$1:$CT$1)),"")))</f>
        <v/>
      </c>
      <c r="H35" s="148" t="str">
        <f t="array" ref="H35">IF($B35="","",IF($S35=0,"",IFERROR(MAX(IF('UX Weekly'!$H35:$CT35&lt;&gt;"",'UX Weekly'!$H$1:$CT$1)),"")))</f>
        <v/>
      </c>
      <c r="I35" s="149">
        <f t="shared" ca="1" si="3"/>
        <v>46235</v>
      </c>
      <c r="J35" s="149">
        <f t="shared" ca="1" si="4"/>
        <v>46265</v>
      </c>
      <c r="K35" s="147">
        <f>IF($B35="","",IFERROR(MATCH($B35,'Dev Tracker'!$D$2:$D$196,0),IF($E35="","",IFERROR(MATCH($E35,'Dev Tracker'!$E$2:$E$196,0),""))))</f>
        <v>34</v>
      </c>
      <c r="L35" s="147">
        <f>IF($B35="","",IFERROR(MATCH($D35,'Control (Don’t Touch)'!$E$4:$E$30,0),99))</f>
        <v>1</v>
      </c>
      <c r="M35" s="147">
        <f>IF($B35="","",IFERROR(MATCH($F35,'Control (Don’t Touch)'!$B$4:$B$30,0),99))</f>
        <v>12</v>
      </c>
      <c r="N35" s="147">
        <f t="shared" si="5"/>
        <v>1120035</v>
      </c>
      <c r="O35" s="147">
        <f>IF($B35="","",COUNTIF($N$2:$N$204,"&lt;"&amp;$N35)+1)</f>
        <v>4</v>
      </c>
      <c r="P35" s="149">
        <f ca="1">IF($K35="","",IFERROR(DATE(IFERROR(VALUE(RIGHT(TRIM(INDEX('Dev Tracker'!$I$2:$I$196,$K35)),4)),YEAR(TODAY())),MATCH(LEFT(TRIM(INDEX('Dev Tracker'!$I$2:$I$196,$K35)),3),$U$2:$U$12,0),1),""))</f>
        <v>46235</v>
      </c>
      <c r="Q35" s="149">
        <f ca="1">IF($K35="","",IFERROR(DATE(IFERROR(VALUE(RIGHT(TRIM(INDEX('Dev Tracker'!$J$2:$J$196,$K35)),4)),YEAR(TODAY())),MATCH(LEFT(TRIM(INDEX('Dev Tracker'!$J$2:$J$196,$K35)),3),$U$2:$U$12,0),1),""))</f>
        <v>46235</v>
      </c>
      <c r="R35" s="147"/>
      <c r="S35" s="147">
        <f>IF($B35="","",COUNTA('UX Weekly'!$H35:$CT35))</f>
        <v>0</v>
      </c>
      <c r="W35">
        <f>IF($B35="",0,COUNTIFS('UX Weekly'!$H$1:$CT$1,"&gt;="&amp;W$1,'UX Weekly'!$H$1:$CT$1,"&lt;="&amp;EOMONTH(W$1,0),'UX Weekly'!$H35:$CT35,"&lt;&gt;"))</f>
        <v>0</v>
      </c>
      <c r="X35">
        <f>IF($B35="",0,COUNTIFS('UX Weekly'!$H$1:$CT$1,"&gt;="&amp;X$1,'UX Weekly'!$H$1:$CT$1,"&lt;="&amp;EOMONTH(X$1,0),'UX Weekly'!$H35:$CT35,"&lt;&gt;"))</f>
        <v>0</v>
      </c>
      <c r="Y35">
        <f>IF($B35="",0,COUNTIFS('UX Weekly'!$H$1:$CT$1,"&gt;="&amp;Y$1,'UX Weekly'!$H$1:$CT$1,"&lt;="&amp;EOMONTH(Y$1,0),'UX Weekly'!$H35:$CT35,"&lt;&gt;"))</f>
        <v>0</v>
      </c>
      <c r="Z35">
        <f>IF($B35="",0,COUNTIFS('UX Weekly'!$H$1:$CT$1,"&gt;="&amp;Z$1,'UX Weekly'!$H$1:$CT$1,"&lt;="&amp;EOMONTH(Z$1,0),'UX Weekly'!$H35:$CT35,"&lt;&gt;"))</f>
        <v>0</v>
      </c>
      <c r="AA35">
        <f>IF($B35="",0,COUNTIFS('UX Weekly'!$H$1:$CT$1,"&gt;="&amp;AA$1,'UX Weekly'!$H$1:$CT$1,"&lt;="&amp;EOMONTH(AA$1,0),'UX Weekly'!$H35:$CT35,"&lt;&gt;"))</f>
        <v>0</v>
      </c>
      <c r="AB35">
        <f>IF($B35="",0,COUNTIFS('UX Weekly'!$H$1:$CT$1,"&gt;="&amp;AB$1,'UX Weekly'!$H$1:$CT$1,"&lt;="&amp;EOMONTH(AB$1,0),'UX Weekly'!$H35:$CT35,"&lt;&gt;"))</f>
        <v>0</v>
      </c>
      <c r="AC35">
        <f>IF($B35="",0,COUNTIFS('UX Weekly'!$H$1:$CT$1,"&gt;="&amp;AC$1,'UX Weekly'!$H$1:$CT$1,"&lt;="&amp;EOMONTH(AC$1,0),'UX Weekly'!$H35:$CT35,"&lt;&gt;"))</f>
        <v>0</v>
      </c>
      <c r="AD35">
        <f>IF($B35="",0,COUNTIFS('UX Weekly'!$H$1:$CT$1,"&gt;="&amp;AD$1,'UX Weekly'!$H$1:$CT$1,"&lt;="&amp;EOMONTH(AD$1,0),'UX Weekly'!$H35:$CT35,"&lt;&gt;"))</f>
        <v>0</v>
      </c>
      <c r="AE35">
        <f>IF($B35="",0,COUNTIFS('UX Weekly'!$H$1:$CT$1,"&gt;="&amp;AE$1,'UX Weekly'!$H$1:$CT$1,"&lt;="&amp;EOMONTH(AE$1,0),'UX Weekly'!$H35:$CT35,"&lt;&gt;"))</f>
        <v>0</v>
      </c>
      <c r="AF35">
        <f>IF($B35="",0,COUNTIFS('UX Weekly'!$H$1:$CT$1,"&gt;="&amp;AF$1,'UX Weekly'!$H$1:$CT$1,"&lt;="&amp;EOMONTH(AF$1,0),'UX Weekly'!$H35:$CT35,"&lt;&gt;"))</f>
        <v>0</v>
      </c>
      <c r="AG35">
        <f>IF($B35="",0,COUNTIFS('UX Weekly'!$H$1:$CT$1,"&gt;="&amp;AG$1,'UX Weekly'!$H$1:$CT$1,"&lt;="&amp;EOMONTH(AG$1,0),'UX Weekly'!$H35:$CT35,"&lt;&gt;"))</f>
        <v>0</v>
      </c>
      <c r="AH35">
        <f>IF($B35="",0,COUNTIFS('UX Weekly'!$H$1:$CT$1,"&gt;="&amp;AH$1,'UX Weekly'!$H$1:$CT$1,"&lt;="&amp;EOMONTH(AH$1,0),'UX Weekly'!$H35:$CT35,"&lt;&gt;"))</f>
        <v>0</v>
      </c>
      <c r="AI35">
        <f>IF($B35="",0,COUNTIFS('UX Weekly'!$H$1:$CT$1,"&gt;="&amp;AI$1,'UX Weekly'!$H$1:$CT$1,"&lt;="&amp;EOMONTH(AI$1,0),'UX Weekly'!$H35:$CT35,"&lt;&gt;"))</f>
        <v>0</v>
      </c>
      <c r="AJ35">
        <f>IF($B35="",0,COUNTIFS('UX Weekly'!$H$1:$CT$1,"&gt;="&amp;AJ$1,'UX Weekly'!$H$1:$CT$1,"&lt;="&amp;EOMONTH(AJ$1,0),'UX Weekly'!$H35:$CT35,"&lt;&gt;"))</f>
        <v>0</v>
      </c>
      <c r="AK35">
        <f>IF($B35="",0,COUNTIFS('UX Weekly'!$H$1:$CT$1,"&gt;="&amp;AK$1,'UX Weekly'!$H$1:$CT$1,"&lt;="&amp;EOMONTH(AK$1,0),'UX Weekly'!$H35:$CT35,"&lt;&gt;"))</f>
        <v>0</v>
      </c>
      <c r="AL35">
        <f>IF($B35="",0,COUNTIFS('UX Weekly'!$H$1:$CT$1,"&gt;="&amp;AL$1,'UX Weekly'!$H$1:$CT$1,"&lt;="&amp;EOMONTH(AL$1,0),'UX Weekly'!$H35:$CT35,"&lt;&gt;"))</f>
        <v>0</v>
      </c>
      <c r="AM35">
        <f>IF($B35="",0,COUNTIFS('UX Weekly'!$H$1:$CT$1,"&gt;="&amp;AM$1,'UX Weekly'!$H$1:$CT$1,"&lt;="&amp;EOMONTH(AM$1,0),'UX Weekly'!$H35:$CT35,"&lt;&gt;"))</f>
        <v>0</v>
      </c>
      <c r="AN35">
        <f>IF($B35="",0,COUNTIFS('UX Weekly'!$H$1:$CT$1,"&gt;="&amp;AN$1,'UX Weekly'!$H$1:$CT$1,"&lt;="&amp;EOMONTH(AN$1,0),'UX Weekly'!$H35:$CT35,"&lt;&gt;"))</f>
        <v>0</v>
      </c>
      <c r="AO35">
        <f>IF($B35="",0,COUNTIFS('UX Weekly'!$H$1:$CT$1,"&gt;="&amp;AO$1,'UX Weekly'!$H$1:$CT$1,"&lt;="&amp;EOMONTH(AO$1,0),'UX Weekly'!$H35:$CT35,"&lt;&gt;"))</f>
        <v>0</v>
      </c>
      <c r="AP35">
        <f>IF($B35="",0,COUNTIFS('UX Weekly'!$H$1:$CT$1,"&gt;="&amp;AP$1,'UX Weekly'!$H$1:$CT$1,"&lt;="&amp;EOMONTH(AP$1,0),'UX Weekly'!$H35:$CT35,"&lt;&gt;"))</f>
        <v>0</v>
      </c>
      <c r="AQ35">
        <f>IF($B35="",0,COUNTIFS('UX Weekly'!$H$1:$CT$1,"&gt;="&amp;AQ$1,'UX Weekly'!$H$1:$CT$1,"&lt;="&amp;EOMONTH(AQ$1,0),'UX Weekly'!$H35:$CT35,"&lt;&gt;"))</f>
        <v>0</v>
      </c>
      <c r="AR35">
        <f>IF($B35="",0,COUNTIFS('UX Weekly'!$H$1:$CT$1,"&gt;="&amp;AR$1,'UX Weekly'!$H$1:$CT$1,"&lt;="&amp;EOMONTH(AR$1,0),'UX Weekly'!$H35:$CT35,"&lt;&gt;"))</f>
        <v>0</v>
      </c>
      <c r="AS35">
        <f>IF($B35="",0,COUNTIFS('UX Weekly'!$H$1:$CT$1,"&gt;="&amp;AS$1,'UX Weekly'!$H$1:$CT$1,"&lt;="&amp;EOMONTH(AS$1,0),'UX Weekly'!$H35:$CT35,"&lt;&gt;"))</f>
        <v>0</v>
      </c>
      <c r="AT35">
        <f>IF($B35="",0,COUNTIFS('UX Weekly'!$H$1:$CT$1,"&gt;="&amp;AT$1,'UX Weekly'!$H$1:$CT$1,"&lt;="&amp;EOMONTH(AT$1,0),'UX Weekly'!$H35:$CT35,"&lt;&gt;"))</f>
        <v>0</v>
      </c>
    </row>
    <row r="36" spans="1:46" x14ac:dyDescent="0.2">
      <c r="A36" s="147">
        <v>37</v>
      </c>
      <c r="B36" s="147" t="str">
        <f>IF(TRIM('UX Weekly'!E36)="","",TRIM('UX Weekly'!E36))</f>
        <v>Trade In Discrepancy Email Refresh (Copy Only)</v>
      </c>
      <c r="C36" s="147" t="str">
        <f>IF($B36="","",'UX Weekly'!B36)</f>
        <v>Used</v>
      </c>
      <c r="D36" s="147" t="str">
        <f>IF($B36="","",IF(TRIM('UX Weekly'!C36)="","(No theme assigned)",TRIM('UX Weekly'!C36)))</f>
        <v>Improve Trade In User Flow</v>
      </c>
      <c r="E36" s="147" t="str">
        <f>IF($B36="","",TRIM('UX Weekly'!F36))</f>
        <v/>
      </c>
      <c r="F36" s="147" t="str">
        <f>IF($B36="","",'UX Weekly'!G36)</f>
        <v>09. In Dev</v>
      </c>
      <c r="G36" s="148">
        <f t="array" ref="G36">IF($B36="","",IF($S36=0,"",IFERROR(MIN(IF('UX Weekly'!$H36:$CT36&lt;&gt;"",'UX Weekly'!$H$1:$CT$1)),"")))</f>
        <v>46216</v>
      </c>
      <c r="H36" s="148">
        <f t="array" ref="H36">IF($B36="","",IF($S36=0,"",IFERROR(MAX(IF('UX Weekly'!$H36:$CT36&lt;&gt;"",'UX Weekly'!$H$1:$CT$1)),"")))</f>
        <v>46223</v>
      </c>
      <c r="I36" s="149">
        <f t="shared" ca="1" si="3"/>
        <v>46204</v>
      </c>
      <c r="J36" s="149">
        <f t="shared" ca="1" si="4"/>
        <v>46234</v>
      </c>
      <c r="K36" s="147">
        <f>IF($B36="","",IFERROR(MATCH($B36,'Dev Tracker'!$D$2:$D$196,0),IF($E36="","",IFERROR(MATCH($E36,'Dev Tracker'!$E$2:$E$196,0),""))))</f>
        <v>35</v>
      </c>
      <c r="L36" s="147">
        <f>IF($B36="","",IFERROR(MATCH($D36,'Control (Don’t Touch)'!$E$4:$E$30,0),99))</f>
        <v>3</v>
      </c>
      <c r="M36" s="147">
        <f>IF($B36="","",IFERROR(MATCH($F36,'Control (Don’t Touch)'!$B$4:$B$30,0),99))</f>
        <v>12</v>
      </c>
      <c r="N36" s="147">
        <f t="shared" si="5"/>
        <v>3120036</v>
      </c>
      <c r="O36" s="147">
        <f>IF($B36="","",COUNTIF($N$2:$N$204,"&lt;"&amp;$N36)+1)</f>
        <v>21</v>
      </c>
      <c r="P36" s="149">
        <f ca="1">IF($K36="","",IFERROR(DATE(IFERROR(VALUE(RIGHT(TRIM(INDEX('Dev Tracker'!$I$2:$I$196,$K36)),4)),YEAR(TODAY())),MATCH(LEFT(TRIM(INDEX('Dev Tracker'!$I$2:$I$196,$K36)),3),$U$2:$U$12,0),1),""))</f>
        <v>46204</v>
      </c>
      <c r="Q36" s="149">
        <f ca="1">IF($K36="","",IFERROR(DATE(IFERROR(VALUE(RIGHT(TRIM(INDEX('Dev Tracker'!$J$2:$J$196,$K36)),4)),YEAR(TODAY())),MATCH(LEFT(TRIM(INDEX('Dev Tracker'!$J$2:$J$196,$K36)),3),$U$2:$U$12,0),1),""))</f>
        <v>46204</v>
      </c>
      <c r="R36" s="147"/>
      <c r="S36" s="147">
        <f>IF($B36="","",COUNTA('UX Weekly'!$H36:$CT36))</f>
        <v>2</v>
      </c>
      <c r="W36">
        <f>IF($B36="",0,COUNTIFS('UX Weekly'!$H$1:$CT$1,"&gt;="&amp;W$1,'UX Weekly'!$H$1:$CT$1,"&lt;="&amp;EOMONTH(W$1,0),'UX Weekly'!$H36:$CT36,"&lt;&gt;"))</f>
        <v>0</v>
      </c>
      <c r="X36">
        <f>IF($B36="",0,COUNTIFS('UX Weekly'!$H$1:$CT$1,"&gt;="&amp;X$1,'UX Weekly'!$H$1:$CT$1,"&lt;="&amp;EOMONTH(X$1,0),'UX Weekly'!$H36:$CT36,"&lt;&gt;"))</f>
        <v>0</v>
      </c>
      <c r="Y36">
        <f>IF($B36="",0,COUNTIFS('UX Weekly'!$H$1:$CT$1,"&gt;="&amp;Y$1,'UX Weekly'!$H$1:$CT$1,"&lt;="&amp;EOMONTH(Y$1,0),'UX Weekly'!$H36:$CT36,"&lt;&gt;"))</f>
        <v>0</v>
      </c>
      <c r="Z36">
        <f>IF($B36="",0,COUNTIFS('UX Weekly'!$H$1:$CT$1,"&gt;="&amp;Z$1,'UX Weekly'!$H$1:$CT$1,"&lt;="&amp;EOMONTH(Z$1,0),'UX Weekly'!$H36:$CT36,"&lt;&gt;"))</f>
        <v>0</v>
      </c>
      <c r="AA36">
        <f>IF($B36="",0,COUNTIFS('UX Weekly'!$H$1:$CT$1,"&gt;="&amp;AA$1,'UX Weekly'!$H$1:$CT$1,"&lt;="&amp;EOMONTH(AA$1,0),'UX Weekly'!$H36:$CT36,"&lt;&gt;"))</f>
        <v>0</v>
      </c>
      <c r="AB36">
        <f>IF($B36="",0,COUNTIFS('UX Weekly'!$H$1:$CT$1,"&gt;="&amp;AB$1,'UX Weekly'!$H$1:$CT$1,"&lt;="&amp;EOMONTH(AB$1,0),'UX Weekly'!$H36:$CT36,"&lt;&gt;"))</f>
        <v>0</v>
      </c>
      <c r="AC36">
        <f>IF($B36="",0,COUNTIFS('UX Weekly'!$H$1:$CT$1,"&gt;="&amp;AC$1,'UX Weekly'!$H$1:$CT$1,"&lt;="&amp;EOMONTH(AC$1,0),'UX Weekly'!$H36:$CT36,"&lt;&gt;"))</f>
        <v>2</v>
      </c>
      <c r="AD36">
        <f>IF($B36="",0,COUNTIFS('UX Weekly'!$H$1:$CT$1,"&gt;="&amp;AD$1,'UX Weekly'!$H$1:$CT$1,"&lt;="&amp;EOMONTH(AD$1,0),'UX Weekly'!$H36:$CT36,"&lt;&gt;"))</f>
        <v>0</v>
      </c>
      <c r="AE36">
        <f>IF($B36="",0,COUNTIFS('UX Weekly'!$H$1:$CT$1,"&gt;="&amp;AE$1,'UX Weekly'!$H$1:$CT$1,"&lt;="&amp;EOMONTH(AE$1,0),'UX Weekly'!$H36:$CT36,"&lt;&gt;"))</f>
        <v>0</v>
      </c>
      <c r="AF36">
        <f>IF($B36="",0,COUNTIFS('UX Weekly'!$H$1:$CT$1,"&gt;="&amp;AF$1,'UX Weekly'!$H$1:$CT$1,"&lt;="&amp;EOMONTH(AF$1,0),'UX Weekly'!$H36:$CT36,"&lt;&gt;"))</f>
        <v>0</v>
      </c>
      <c r="AG36">
        <f>IF($B36="",0,COUNTIFS('UX Weekly'!$H$1:$CT$1,"&gt;="&amp;AG$1,'UX Weekly'!$H$1:$CT$1,"&lt;="&amp;EOMONTH(AG$1,0),'UX Weekly'!$H36:$CT36,"&lt;&gt;"))</f>
        <v>0</v>
      </c>
      <c r="AH36">
        <f>IF($B36="",0,COUNTIFS('UX Weekly'!$H$1:$CT$1,"&gt;="&amp;AH$1,'UX Weekly'!$H$1:$CT$1,"&lt;="&amp;EOMONTH(AH$1,0),'UX Weekly'!$H36:$CT36,"&lt;&gt;"))</f>
        <v>0</v>
      </c>
      <c r="AI36">
        <f>IF($B36="",0,COUNTIFS('UX Weekly'!$H$1:$CT$1,"&gt;="&amp;AI$1,'UX Weekly'!$H$1:$CT$1,"&lt;="&amp;EOMONTH(AI$1,0),'UX Weekly'!$H36:$CT36,"&lt;&gt;"))</f>
        <v>0</v>
      </c>
      <c r="AJ36">
        <f>IF($B36="",0,COUNTIFS('UX Weekly'!$H$1:$CT$1,"&gt;="&amp;AJ$1,'UX Weekly'!$H$1:$CT$1,"&lt;="&amp;EOMONTH(AJ$1,0),'UX Weekly'!$H36:$CT36,"&lt;&gt;"))</f>
        <v>0</v>
      </c>
      <c r="AK36">
        <f>IF($B36="",0,COUNTIFS('UX Weekly'!$H$1:$CT$1,"&gt;="&amp;AK$1,'UX Weekly'!$H$1:$CT$1,"&lt;="&amp;EOMONTH(AK$1,0),'UX Weekly'!$H36:$CT36,"&lt;&gt;"))</f>
        <v>0</v>
      </c>
      <c r="AL36">
        <f>IF($B36="",0,COUNTIFS('UX Weekly'!$H$1:$CT$1,"&gt;="&amp;AL$1,'UX Weekly'!$H$1:$CT$1,"&lt;="&amp;EOMONTH(AL$1,0),'UX Weekly'!$H36:$CT36,"&lt;&gt;"))</f>
        <v>0</v>
      </c>
      <c r="AM36">
        <f>IF($B36="",0,COUNTIFS('UX Weekly'!$H$1:$CT$1,"&gt;="&amp;AM$1,'UX Weekly'!$H$1:$CT$1,"&lt;="&amp;EOMONTH(AM$1,0),'UX Weekly'!$H36:$CT36,"&lt;&gt;"))</f>
        <v>0</v>
      </c>
      <c r="AN36">
        <f>IF($B36="",0,COUNTIFS('UX Weekly'!$H$1:$CT$1,"&gt;="&amp;AN$1,'UX Weekly'!$H$1:$CT$1,"&lt;="&amp;EOMONTH(AN$1,0),'UX Weekly'!$H36:$CT36,"&lt;&gt;"))</f>
        <v>0</v>
      </c>
      <c r="AO36">
        <f>IF($B36="",0,COUNTIFS('UX Weekly'!$H$1:$CT$1,"&gt;="&amp;AO$1,'UX Weekly'!$H$1:$CT$1,"&lt;="&amp;EOMONTH(AO$1,0),'UX Weekly'!$H36:$CT36,"&lt;&gt;"))</f>
        <v>0</v>
      </c>
      <c r="AP36">
        <f>IF($B36="",0,COUNTIFS('UX Weekly'!$H$1:$CT$1,"&gt;="&amp;AP$1,'UX Weekly'!$H$1:$CT$1,"&lt;="&amp;EOMONTH(AP$1,0),'UX Weekly'!$H36:$CT36,"&lt;&gt;"))</f>
        <v>0</v>
      </c>
      <c r="AQ36">
        <f>IF($B36="",0,COUNTIFS('UX Weekly'!$H$1:$CT$1,"&gt;="&amp;AQ$1,'UX Weekly'!$H$1:$CT$1,"&lt;="&amp;EOMONTH(AQ$1,0),'UX Weekly'!$H36:$CT36,"&lt;&gt;"))</f>
        <v>0</v>
      </c>
      <c r="AR36">
        <f>IF($B36="",0,COUNTIFS('UX Weekly'!$H$1:$CT$1,"&gt;="&amp;AR$1,'UX Weekly'!$H$1:$CT$1,"&lt;="&amp;EOMONTH(AR$1,0),'UX Weekly'!$H36:$CT36,"&lt;&gt;"))</f>
        <v>0</v>
      </c>
      <c r="AS36">
        <f>IF($B36="",0,COUNTIFS('UX Weekly'!$H$1:$CT$1,"&gt;="&amp;AS$1,'UX Weekly'!$H$1:$CT$1,"&lt;="&amp;EOMONTH(AS$1,0),'UX Weekly'!$H36:$CT36,"&lt;&gt;"))</f>
        <v>0</v>
      </c>
      <c r="AT36">
        <f>IF($B36="",0,COUNTIFS('UX Weekly'!$H$1:$CT$1,"&gt;="&amp;AT$1,'UX Weekly'!$H$1:$CT$1,"&lt;="&amp;EOMONTH(AT$1,0),'UX Weekly'!$H36:$CT36,"&lt;&gt;"))</f>
        <v>0</v>
      </c>
    </row>
    <row r="37" spans="1:46" x14ac:dyDescent="0.2">
      <c r="A37" s="147">
        <v>38</v>
      </c>
      <c r="B37" s="147" t="str">
        <f>IF(TRIM('UX Weekly'!E37)="","",TRIM('UX Weekly'!E37))</f>
        <v>Condition Grouping</v>
      </c>
      <c r="C37" s="147" t="str">
        <f>IF($B37="","",'UX Weekly'!B37)</f>
        <v>Used</v>
      </c>
      <c r="D37" s="147" t="str">
        <f>IF($B37="","",IF(TRIM('UX Weekly'!C37)="","(No theme assigned)",TRIM('UX Weekly'!C37)))</f>
        <v>Increase Buy Used Awareness</v>
      </c>
      <c r="E37" s="147" t="str">
        <f>IF($B37="","",TRIM('UX Weekly'!F37))</f>
        <v>BHUX-33519</v>
      </c>
      <c r="F37" s="147" t="str">
        <f>IF($B37="","",'UX Weekly'!G37)</f>
        <v>10. QA</v>
      </c>
      <c r="G37" s="148">
        <f t="array" ref="G37">IF($B37="","",IF($S37=0,"",IFERROR(MIN(IF('UX Weekly'!$H37:$CT37&lt;&gt;"",'UX Weekly'!$H$1:$CT$1)),"")))</f>
        <v>46139</v>
      </c>
      <c r="H37" s="148">
        <f t="array" ref="H37">IF($B37="","",IF($S37=0,"",IFERROR(MAX(IF('UX Weekly'!$H37:$CT37&lt;&gt;"",'UX Weekly'!$H$1:$CT$1)),"")))</f>
        <v>46146</v>
      </c>
      <c r="I37" s="149">
        <f t="shared" ca="1" si="3"/>
        <v>46235</v>
      </c>
      <c r="J37" s="149">
        <f t="shared" ca="1" si="4"/>
        <v>46265</v>
      </c>
      <c r="K37" s="147">
        <f>IF($B37="","",IFERROR(MATCH($B37,'Dev Tracker'!$D$2:$D$196,0),IF($E37="","",IFERROR(MATCH($E37,'Dev Tracker'!$E$2:$E$196,0),""))))</f>
        <v>36</v>
      </c>
      <c r="L37" s="147">
        <f>IF($B37="","",IFERROR(MATCH($D37,'Control (Don’t Touch)'!$E$4:$E$30,0),99))</f>
        <v>5</v>
      </c>
      <c r="M37" s="147">
        <f>IF($B37="","",IFERROR(MATCH($F37,'Control (Don’t Touch)'!$B$4:$B$30,0),99))</f>
        <v>13</v>
      </c>
      <c r="N37" s="147">
        <f t="shared" si="5"/>
        <v>5130037</v>
      </c>
      <c r="O37" s="147">
        <f>IF($B37="","",COUNTIF($N$2:$N$204,"&lt;"&amp;$N37)+1)</f>
        <v>29</v>
      </c>
      <c r="P37" s="149">
        <f ca="1">IF($K37="","",IFERROR(DATE(IFERROR(VALUE(RIGHT(TRIM(INDEX('Dev Tracker'!$I$2:$I$196,$K37)),4)),YEAR(TODAY())),MATCH(LEFT(TRIM(INDEX('Dev Tracker'!$I$2:$I$196,$K37)),3),$U$2:$U$12,0),1),""))</f>
        <v>46235</v>
      </c>
      <c r="Q37" s="149">
        <f ca="1">IF($K37="","",IFERROR(DATE(IFERROR(VALUE(RIGHT(TRIM(INDEX('Dev Tracker'!$J$2:$J$196,$K37)),4)),YEAR(TODAY())),MATCH(LEFT(TRIM(INDEX('Dev Tracker'!$J$2:$J$196,$K37)),3),$U$2:$U$12,0),1),""))</f>
        <v>46235</v>
      </c>
      <c r="R37" s="147"/>
      <c r="S37" s="147">
        <f>IF($B37="","",COUNTA('UX Weekly'!$H37:$CT37))</f>
        <v>2</v>
      </c>
      <c r="W37">
        <f>IF($B37="",0,COUNTIFS('UX Weekly'!$H$1:$CT$1,"&gt;="&amp;W$1,'UX Weekly'!$H$1:$CT$1,"&lt;="&amp;EOMONTH(W$1,0),'UX Weekly'!$H37:$CT37,"&lt;&gt;"))</f>
        <v>0</v>
      </c>
      <c r="X37">
        <f>IF($B37="",0,COUNTIFS('UX Weekly'!$H$1:$CT$1,"&gt;="&amp;X$1,'UX Weekly'!$H$1:$CT$1,"&lt;="&amp;EOMONTH(X$1,0),'UX Weekly'!$H37:$CT37,"&lt;&gt;"))</f>
        <v>0</v>
      </c>
      <c r="Y37">
        <f>IF($B37="",0,COUNTIFS('UX Weekly'!$H$1:$CT$1,"&gt;="&amp;Y$1,'UX Weekly'!$H$1:$CT$1,"&lt;="&amp;EOMONTH(Y$1,0),'UX Weekly'!$H37:$CT37,"&lt;&gt;"))</f>
        <v>0</v>
      </c>
      <c r="Z37">
        <f>IF($B37="",0,COUNTIFS('UX Weekly'!$H$1:$CT$1,"&gt;="&amp;Z$1,'UX Weekly'!$H$1:$CT$1,"&lt;="&amp;EOMONTH(Z$1,0),'UX Weekly'!$H37:$CT37,"&lt;&gt;"))</f>
        <v>1</v>
      </c>
      <c r="AA37">
        <f>IF($B37="",0,COUNTIFS('UX Weekly'!$H$1:$CT$1,"&gt;="&amp;AA$1,'UX Weekly'!$H$1:$CT$1,"&lt;="&amp;EOMONTH(AA$1,0),'UX Weekly'!$H37:$CT37,"&lt;&gt;"))</f>
        <v>1</v>
      </c>
      <c r="AB37">
        <f>IF($B37="",0,COUNTIFS('UX Weekly'!$H$1:$CT$1,"&gt;="&amp;AB$1,'UX Weekly'!$H$1:$CT$1,"&lt;="&amp;EOMONTH(AB$1,0),'UX Weekly'!$H37:$CT37,"&lt;&gt;"))</f>
        <v>0</v>
      </c>
      <c r="AC37">
        <f>IF($B37="",0,COUNTIFS('UX Weekly'!$H$1:$CT$1,"&gt;="&amp;AC$1,'UX Weekly'!$H$1:$CT$1,"&lt;="&amp;EOMONTH(AC$1,0),'UX Weekly'!$H37:$CT37,"&lt;&gt;"))</f>
        <v>0</v>
      </c>
      <c r="AD37">
        <f>IF($B37="",0,COUNTIFS('UX Weekly'!$H$1:$CT$1,"&gt;="&amp;AD$1,'UX Weekly'!$H$1:$CT$1,"&lt;="&amp;EOMONTH(AD$1,0),'UX Weekly'!$H37:$CT37,"&lt;&gt;"))</f>
        <v>0</v>
      </c>
      <c r="AE37">
        <f>IF($B37="",0,COUNTIFS('UX Weekly'!$H$1:$CT$1,"&gt;="&amp;AE$1,'UX Weekly'!$H$1:$CT$1,"&lt;="&amp;EOMONTH(AE$1,0),'UX Weekly'!$H37:$CT37,"&lt;&gt;"))</f>
        <v>0</v>
      </c>
      <c r="AF37">
        <f>IF($B37="",0,COUNTIFS('UX Weekly'!$H$1:$CT$1,"&gt;="&amp;AF$1,'UX Weekly'!$H$1:$CT$1,"&lt;="&amp;EOMONTH(AF$1,0),'UX Weekly'!$H37:$CT37,"&lt;&gt;"))</f>
        <v>0</v>
      </c>
      <c r="AG37">
        <f>IF($B37="",0,COUNTIFS('UX Weekly'!$H$1:$CT$1,"&gt;="&amp;AG$1,'UX Weekly'!$H$1:$CT$1,"&lt;="&amp;EOMONTH(AG$1,0),'UX Weekly'!$H37:$CT37,"&lt;&gt;"))</f>
        <v>0</v>
      </c>
      <c r="AH37">
        <f>IF($B37="",0,COUNTIFS('UX Weekly'!$H$1:$CT$1,"&gt;="&amp;AH$1,'UX Weekly'!$H$1:$CT$1,"&lt;="&amp;EOMONTH(AH$1,0),'UX Weekly'!$H37:$CT37,"&lt;&gt;"))</f>
        <v>0</v>
      </c>
      <c r="AI37">
        <f>IF($B37="",0,COUNTIFS('UX Weekly'!$H$1:$CT$1,"&gt;="&amp;AI$1,'UX Weekly'!$H$1:$CT$1,"&lt;="&amp;EOMONTH(AI$1,0),'UX Weekly'!$H37:$CT37,"&lt;&gt;"))</f>
        <v>0</v>
      </c>
      <c r="AJ37">
        <f>IF($B37="",0,COUNTIFS('UX Weekly'!$H$1:$CT$1,"&gt;="&amp;AJ$1,'UX Weekly'!$H$1:$CT$1,"&lt;="&amp;EOMONTH(AJ$1,0),'UX Weekly'!$H37:$CT37,"&lt;&gt;"))</f>
        <v>0</v>
      </c>
      <c r="AK37">
        <f>IF($B37="",0,COUNTIFS('UX Weekly'!$H$1:$CT$1,"&gt;="&amp;AK$1,'UX Weekly'!$H$1:$CT$1,"&lt;="&amp;EOMONTH(AK$1,0),'UX Weekly'!$H37:$CT37,"&lt;&gt;"))</f>
        <v>0</v>
      </c>
      <c r="AL37">
        <f>IF($B37="",0,COUNTIFS('UX Weekly'!$H$1:$CT$1,"&gt;="&amp;AL$1,'UX Weekly'!$H$1:$CT$1,"&lt;="&amp;EOMONTH(AL$1,0),'UX Weekly'!$H37:$CT37,"&lt;&gt;"))</f>
        <v>0</v>
      </c>
      <c r="AM37">
        <f>IF($B37="",0,COUNTIFS('UX Weekly'!$H$1:$CT$1,"&gt;="&amp;AM$1,'UX Weekly'!$H$1:$CT$1,"&lt;="&amp;EOMONTH(AM$1,0),'UX Weekly'!$H37:$CT37,"&lt;&gt;"))</f>
        <v>0</v>
      </c>
      <c r="AN37">
        <f>IF($B37="",0,COUNTIFS('UX Weekly'!$H$1:$CT$1,"&gt;="&amp;AN$1,'UX Weekly'!$H$1:$CT$1,"&lt;="&amp;EOMONTH(AN$1,0),'UX Weekly'!$H37:$CT37,"&lt;&gt;"))</f>
        <v>0</v>
      </c>
      <c r="AO37">
        <f>IF($B37="",0,COUNTIFS('UX Weekly'!$H$1:$CT$1,"&gt;="&amp;AO$1,'UX Weekly'!$H$1:$CT$1,"&lt;="&amp;EOMONTH(AO$1,0),'UX Weekly'!$H37:$CT37,"&lt;&gt;"))</f>
        <v>0</v>
      </c>
      <c r="AP37">
        <f>IF($B37="",0,COUNTIFS('UX Weekly'!$H$1:$CT$1,"&gt;="&amp;AP$1,'UX Weekly'!$H$1:$CT$1,"&lt;="&amp;EOMONTH(AP$1,0),'UX Weekly'!$H37:$CT37,"&lt;&gt;"))</f>
        <v>0</v>
      </c>
      <c r="AQ37">
        <f>IF($B37="",0,COUNTIFS('UX Weekly'!$H$1:$CT$1,"&gt;="&amp;AQ$1,'UX Weekly'!$H$1:$CT$1,"&lt;="&amp;EOMONTH(AQ$1,0),'UX Weekly'!$H37:$CT37,"&lt;&gt;"))</f>
        <v>0</v>
      </c>
      <c r="AR37">
        <f>IF($B37="",0,COUNTIFS('UX Weekly'!$H$1:$CT$1,"&gt;="&amp;AR$1,'UX Weekly'!$H$1:$CT$1,"&lt;="&amp;EOMONTH(AR$1,0),'UX Weekly'!$H37:$CT37,"&lt;&gt;"))</f>
        <v>0</v>
      </c>
      <c r="AS37">
        <f>IF($B37="",0,COUNTIFS('UX Weekly'!$H$1:$CT$1,"&gt;="&amp;AS$1,'UX Weekly'!$H$1:$CT$1,"&lt;="&amp;EOMONTH(AS$1,0),'UX Weekly'!$H37:$CT37,"&lt;&gt;"))</f>
        <v>0</v>
      </c>
      <c r="AT37">
        <f>IF($B37="",0,COUNTIFS('UX Weekly'!$H$1:$CT$1,"&gt;="&amp;AT$1,'UX Weekly'!$H$1:$CT$1,"&lt;="&amp;EOMONTH(AT$1,0),'UX Weekly'!$H37:$CT37,"&lt;&gt;"))</f>
        <v>0</v>
      </c>
    </row>
    <row r="38" spans="1:46" x14ac:dyDescent="0.2">
      <c r="A38" s="147">
        <v>39</v>
      </c>
      <c r="B38" s="147" t="str">
        <f>IF(TRIM('UX Weekly'!E38)="","",TRIM('UX Weekly'!E38))</f>
        <v>Sliders</v>
      </c>
      <c r="C38" s="147" t="str">
        <f>IF($B38="","",'UX Weekly'!B38)</f>
        <v>Find</v>
      </c>
      <c r="D38" s="147" t="str">
        <f>IF($B38="","",IF(TRIM('UX Weekly'!C38)="","(No theme assigned)",TRIM('UX Weekly'!C38)))</f>
        <v>Improve Discovery</v>
      </c>
      <c r="E38" s="147" t="str">
        <f>IF($B38="","",TRIM('UX Weekly'!F38))</f>
        <v>BHUX-17615</v>
      </c>
      <c r="F38" s="147" t="str">
        <f>IF($B38="","",'UX Weekly'!G38)</f>
        <v>13. Live</v>
      </c>
      <c r="G38" s="148" t="str">
        <f t="array" ref="G38">IF($B38="","",IF($S38=0,"",IFERROR(MIN(IF('UX Weekly'!$H38:$CT38&lt;&gt;"",'UX Weekly'!$H$1:$CT$1)),"")))</f>
        <v/>
      </c>
      <c r="H38" s="148" t="str">
        <f t="array" ref="H38">IF($B38="","",IF($S38=0,"",IFERROR(MAX(IF('UX Weekly'!$H38:$CT38&lt;&gt;"",'UX Weekly'!$H$1:$CT$1)),"")))</f>
        <v/>
      </c>
      <c r="I38" s="149" t="str">
        <f t="shared" ca="1" si="3"/>
        <v/>
      </c>
      <c r="J38" s="149" t="str">
        <f t="shared" ca="1" si="4"/>
        <v/>
      </c>
      <c r="K38" s="147">
        <f>IF($B38="","",IFERROR(MATCH($B38,'Dev Tracker'!$D$2:$D$196,0),IF($E38="","",IFERROR(MATCH($E38,'Dev Tracker'!$E$2:$E$196,0),""))))</f>
        <v>37</v>
      </c>
      <c r="L38" s="147">
        <f>IF($B38="","",IFERROR(MATCH($D38,'Control (Don’t Touch)'!$E$4:$E$30,0),99))</f>
        <v>1</v>
      </c>
      <c r="M38" s="147">
        <f>IF($B38="","",IFERROR(MATCH($F38,'Control (Don’t Touch)'!$B$4:$B$30,0),99))</f>
        <v>16</v>
      </c>
      <c r="N38" s="147">
        <f t="shared" si="5"/>
        <v>1160038</v>
      </c>
      <c r="O38" s="147">
        <f>IF($B38="","",COUNTIF($N$2:$N$204,"&lt;"&amp;$N38)+1)</f>
        <v>5</v>
      </c>
      <c r="P38" s="149" t="str">
        <f ca="1">IF($K38="","",IFERROR(DATE(IFERROR(VALUE(RIGHT(TRIM(INDEX('Dev Tracker'!$I$2:$I$196,$K38)),4)),YEAR(TODAY())),MATCH(LEFT(TRIM(INDEX('Dev Tracker'!$I$2:$I$196,$K38)),3),$U$2:$U$12,0),1),""))</f>
        <v/>
      </c>
      <c r="Q38" s="149" t="str">
        <f ca="1">IF($K38="","",IFERROR(DATE(IFERROR(VALUE(RIGHT(TRIM(INDEX('Dev Tracker'!$J$2:$J$196,$K38)),4)),YEAR(TODAY())),MATCH(LEFT(TRIM(INDEX('Dev Tracker'!$J$2:$J$196,$K38)),3),$U$2:$U$12,0),1),""))</f>
        <v/>
      </c>
      <c r="R38" s="147"/>
      <c r="S38" s="147">
        <f>IF($B38="","",COUNTA('UX Weekly'!$H38:$CT38))</f>
        <v>0</v>
      </c>
      <c r="W38">
        <f>IF($B38="",0,COUNTIFS('UX Weekly'!$H$1:$CT$1,"&gt;="&amp;W$1,'UX Weekly'!$H$1:$CT$1,"&lt;="&amp;EOMONTH(W$1,0),'UX Weekly'!$H38:$CT38,"&lt;&gt;"))</f>
        <v>0</v>
      </c>
      <c r="X38">
        <f>IF($B38="",0,COUNTIFS('UX Weekly'!$H$1:$CT$1,"&gt;="&amp;X$1,'UX Weekly'!$H$1:$CT$1,"&lt;="&amp;EOMONTH(X$1,0),'UX Weekly'!$H38:$CT38,"&lt;&gt;"))</f>
        <v>0</v>
      </c>
      <c r="Y38">
        <f>IF($B38="",0,COUNTIFS('UX Weekly'!$H$1:$CT$1,"&gt;="&amp;Y$1,'UX Weekly'!$H$1:$CT$1,"&lt;="&amp;EOMONTH(Y$1,0),'UX Weekly'!$H38:$CT38,"&lt;&gt;"))</f>
        <v>0</v>
      </c>
      <c r="Z38">
        <f>IF($B38="",0,COUNTIFS('UX Weekly'!$H$1:$CT$1,"&gt;="&amp;Z$1,'UX Weekly'!$H$1:$CT$1,"&lt;="&amp;EOMONTH(Z$1,0),'UX Weekly'!$H38:$CT38,"&lt;&gt;"))</f>
        <v>0</v>
      </c>
      <c r="AA38">
        <f>IF($B38="",0,COUNTIFS('UX Weekly'!$H$1:$CT$1,"&gt;="&amp;AA$1,'UX Weekly'!$H$1:$CT$1,"&lt;="&amp;EOMONTH(AA$1,0),'UX Weekly'!$H38:$CT38,"&lt;&gt;"))</f>
        <v>0</v>
      </c>
      <c r="AB38">
        <f>IF($B38="",0,COUNTIFS('UX Weekly'!$H$1:$CT$1,"&gt;="&amp;AB$1,'UX Weekly'!$H$1:$CT$1,"&lt;="&amp;EOMONTH(AB$1,0),'UX Weekly'!$H38:$CT38,"&lt;&gt;"))</f>
        <v>0</v>
      </c>
      <c r="AC38">
        <f>IF($B38="",0,COUNTIFS('UX Weekly'!$H$1:$CT$1,"&gt;="&amp;AC$1,'UX Weekly'!$H$1:$CT$1,"&lt;="&amp;EOMONTH(AC$1,0),'UX Weekly'!$H38:$CT38,"&lt;&gt;"))</f>
        <v>0</v>
      </c>
      <c r="AD38">
        <f>IF($B38="",0,COUNTIFS('UX Weekly'!$H$1:$CT$1,"&gt;="&amp;AD$1,'UX Weekly'!$H$1:$CT$1,"&lt;="&amp;EOMONTH(AD$1,0),'UX Weekly'!$H38:$CT38,"&lt;&gt;"))</f>
        <v>0</v>
      </c>
      <c r="AE38">
        <f>IF($B38="",0,COUNTIFS('UX Weekly'!$H$1:$CT$1,"&gt;="&amp;AE$1,'UX Weekly'!$H$1:$CT$1,"&lt;="&amp;EOMONTH(AE$1,0),'UX Weekly'!$H38:$CT38,"&lt;&gt;"))</f>
        <v>0</v>
      </c>
      <c r="AF38">
        <f>IF($B38="",0,COUNTIFS('UX Weekly'!$H$1:$CT$1,"&gt;="&amp;AF$1,'UX Weekly'!$H$1:$CT$1,"&lt;="&amp;EOMONTH(AF$1,0),'UX Weekly'!$H38:$CT38,"&lt;&gt;"))</f>
        <v>0</v>
      </c>
      <c r="AG38">
        <f>IF($B38="",0,COUNTIFS('UX Weekly'!$H$1:$CT$1,"&gt;="&amp;AG$1,'UX Weekly'!$H$1:$CT$1,"&lt;="&amp;EOMONTH(AG$1,0),'UX Weekly'!$H38:$CT38,"&lt;&gt;"))</f>
        <v>0</v>
      </c>
      <c r="AH38">
        <f>IF($B38="",0,COUNTIFS('UX Weekly'!$H$1:$CT$1,"&gt;="&amp;AH$1,'UX Weekly'!$H$1:$CT$1,"&lt;="&amp;EOMONTH(AH$1,0),'UX Weekly'!$H38:$CT38,"&lt;&gt;"))</f>
        <v>0</v>
      </c>
      <c r="AI38">
        <f>IF($B38="",0,COUNTIFS('UX Weekly'!$H$1:$CT$1,"&gt;="&amp;AI$1,'UX Weekly'!$H$1:$CT$1,"&lt;="&amp;EOMONTH(AI$1,0),'UX Weekly'!$H38:$CT38,"&lt;&gt;"))</f>
        <v>0</v>
      </c>
      <c r="AJ38">
        <f>IF($B38="",0,COUNTIFS('UX Weekly'!$H$1:$CT$1,"&gt;="&amp;AJ$1,'UX Weekly'!$H$1:$CT$1,"&lt;="&amp;EOMONTH(AJ$1,0),'UX Weekly'!$H38:$CT38,"&lt;&gt;"))</f>
        <v>0</v>
      </c>
      <c r="AK38">
        <f>IF($B38="",0,COUNTIFS('UX Weekly'!$H$1:$CT$1,"&gt;="&amp;AK$1,'UX Weekly'!$H$1:$CT$1,"&lt;="&amp;EOMONTH(AK$1,0),'UX Weekly'!$H38:$CT38,"&lt;&gt;"))</f>
        <v>0</v>
      </c>
      <c r="AL38">
        <f>IF($B38="",0,COUNTIFS('UX Weekly'!$H$1:$CT$1,"&gt;="&amp;AL$1,'UX Weekly'!$H$1:$CT$1,"&lt;="&amp;EOMONTH(AL$1,0),'UX Weekly'!$H38:$CT38,"&lt;&gt;"))</f>
        <v>0</v>
      </c>
      <c r="AM38">
        <f>IF($B38="",0,COUNTIFS('UX Weekly'!$H$1:$CT$1,"&gt;="&amp;AM$1,'UX Weekly'!$H$1:$CT$1,"&lt;="&amp;EOMONTH(AM$1,0),'UX Weekly'!$H38:$CT38,"&lt;&gt;"))</f>
        <v>0</v>
      </c>
      <c r="AN38">
        <f>IF($B38="",0,COUNTIFS('UX Weekly'!$H$1:$CT$1,"&gt;="&amp;AN$1,'UX Weekly'!$H$1:$CT$1,"&lt;="&amp;EOMONTH(AN$1,0),'UX Weekly'!$H38:$CT38,"&lt;&gt;"))</f>
        <v>0</v>
      </c>
      <c r="AO38">
        <f>IF($B38="",0,COUNTIFS('UX Weekly'!$H$1:$CT$1,"&gt;="&amp;AO$1,'UX Weekly'!$H$1:$CT$1,"&lt;="&amp;EOMONTH(AO$1,0),'UX Weekly'!$H38:$CT38,"&lt;&gt;"))</f>
        <v>0</v>
      </c>
      <c r="AP38">
        <f>IF($B38="",0,COUNTIFS('UX Weekly'!$H$1:$CT$1,"&gt;="&amp;AP$1,'UX Weekly'!$H$1:$CT$1,"&lt;="&amp;EOMONTH(AP$1,0),'UX Weekly'!$H38:$CT38,"&lt;&gt;"))</f>
        <v>0</v>
      </c>
      <c r="AQ38">
        <f>IF($B38="",0,COUNTIFS('UX Weekly'!$H$1:$CT$1,"&gt;="&amp;AQ$1,'UX Weekly'!$H$1:$CT$1,"&lt;="&amp;EOMONTH(AQ$1,0),'UX Weekly'!$H38:$CT38,"&lt;&gt;"))</f>
        <v>0</v>
      </c>
      <c r="AR38">
        <f>IF($B38="",0,COUNTIFS('UX Weekly'!$H$1:$CT$1,"&gt;="&amp;AR$1,'UX Weekly'!$H$1:$CT$1,"&lt;="&amp;EOMONTH(AR$1,0),'UX Weekly'!$H38:$CT38,"&lt;&gt;"))</f>
        <v>0</v>
      </c>
      <c r="AS38">
        <f>IF($B38="",0,COUNTIFS('UX Weekly'!$H$1:$CT$1,"&gt;="&amp;AS$1,'UX Weekly'!$H$1:$CT$1,"&lt;="&amp;EOMONTH(AS$1,0),'UX Weekly'!$H38:$CT38,"&lt;&gt;"))</f>
        <v>0</v>
      </c>
      <c r="AT38">
        <f>IF($B38="",0,COUNTIFS('UX Weekly'!$H$1:$CT$1,"&gt;="&amp;AT$1,'UX Weekly'!$H$1:$CT$1,"&lt;="&amp;EOMONTH(AT$1,0),'UX Weekly'!$H38:$CT38,"&lt;&gt;"))</f>
        <v>0</v>
      </c>
    </row>
    <row r="39" spans="1:46" x14ac:dyDescent="0.2">
      <c r="A39" s="147">
        <v>40</v>
      </c>
      <c r="B39" s="147" t="str">
        <f>IF(TRIM('UX Weekly'!E39)="","",TRIM('UX Weekly'!E39))</f>
        <v>Refinement - Select All/Deselect All</v>
      </c>
      <c r="C39" s="147" t="str">
        <f>IF($B39="","",'UX Weekly'!B39)</f>
        <v>Find</v>
      </c>
      <c r="D39" s="147" t="str">
        <f>IF($B39="","",IF(TRIM('UX Weekly'!C39)="","(No theme assigned)",TRIM('UX Weekly'!C39)))</f>
        <v>Improve Discovery</v>
      </c>
      <c r="E39" s="147" t="str">
        <f>IF($B39="","",TRIM('UX Weekly'!F39))</f>
        <v>BHUX-23755</v>
      </c>
      <c r="F39" s="147" t="str">
        <f>IF($B39="","",'UX Weekly'!G39)</f>
        <v>13. Live</v>
      </c>
      <c r="G39" s="148" t="str">
        <f t="array" ref="G39">IF($B39="","",IF($S39=0,"",IFERROR(MIN(IF('UX Weekly'!$H39:$CT39&lt;&gt;"",'UX Weekly'!$H$1:$CT$1)),"")))</f>
        <v/>
      </c>
      <c r="H39" s="148" t="str">
        <f t="array" ref="H39">IF($B39="","",IF($S39=0,"",IFERROR(MAX(IF('UX Weekly'!$H39:$CT39&lt;&gt;"",'UX Weekly'!$H$1:$CT$1)),"")))</f>
        <v/>
      </c>
      <c r="I39" s="149" t="str">
        <f t="shared" ca="1" si="3"/>
        <v/>
      </c>
      <c r="J39" s="149" t="str">
        <f t="shared" ca="1" si="4"/>
        <v/>
      </c>
      <c r="K39" s="147">
        <f>IF($B39="","",IFERROR(MATCH($B39,'Dev Tracker'!$D$2:$D$196,0),IF($E39="","",IFERROR(MATCH($E39,'Dev Tracker'!$E$2:$E$196,0),""))))</f>
        <v>38</v>
      </c>
      <c r="L39" s="147">
        <f>IF($B39="","",IFERROR(MATCH($D39,'Control (Don’t Touch)'!$E$4:$E$30,0),99))</f>
        <v>1</v>
      </c>
      <c r="M39" s="147">
        <f>IF($B39="","",IFERROR(MATCH($F39,'Control (Don’t Touch)'!$B$4:$B$30,0),99))</f>
        <v>16</v>
      </c>
      <c r="N39" s="147">
        <f t="shared" si="5"/>
        <v>1160039</v>
      </c>
      <c r="O39" s="147">
        <f>IF($B39="","",COUNTIF($N$2:$N$204,"&lt;"&amp;$N39)+1)</f>
        <v>6</v>
      </c>
      <c r="P39" s="149" t="str">
        <f ca="1">IF($K39="","",IFERROR(DATE(IFERROR(VALUE(RIGHT(TRIM(INDEX('Dev Tracker'!$I$2:$I$196,$K39)),4)),YEAR(TODAY())),MATCH(LEFT(TRIM(INDEX('Dev Tracker'!$I$2:$I$196,$K39)),3),$U$2:$U$12,0),1),""))</f>
        <v/>
      </c>
      <c r="Q39" s="149" t="str">
        <f ca="1">IF($K39="","",IFERROR(DATE(IFERROR(VALUE(RIGHT(TRIM(INDEX('Dev Tracker'!$J$2:$J$196,$K39)),4)),YEAR(TODAY())),MATCH(LEFT(TRIM(INDEX('Dev Tracker'!$J$2:$J$196,$K39)),3),$U$2:$U$12,0),1),""))</f>
        <v/>
      </c>
      <c r="R39" s="147"/>
      <c r="S39" s="147">
        <f>IF($B39="","",COUNTA('UX Weekly'!$H39:$CT39))</f>
        <v>0</v>
      </c>
      <c r="W39">
        <f>IF($B39="",0,COUNTIFS('UX Weekly'!$H$1:$CT$1,"&gt;="&amp;W$1,'UX Weekly'!$H$1:$CT$1,"&lt;="&amp;EOMONTH(W$1,0),'UX Weekly'!$H39:$CT39,"&lt;&gt;"))</f>
        <v>0</v>
      </c>
      <c r="X39">
        <f>IF($B39="",0,COUNTIFS('UX Weekly'!$H$1:$CT$1,"&gt;="&amp;X$1,'UX Weekly'!$H$1:$CT$1,"&lt;="&amp;EOMONTH(X$1,0),'UX Weekly'!$H39:$CT39,"&lt;&gt;"))</f>
        <v>0</v>
      </c>
      <c r="Y39">
        <f>IF($B39="",0,COUNTIFS('UX Weekly'!$H$1:$CT$1,"&gt;="&amp;Y$1,'UX Weekly'!$H$1:$CT$1,"&lt;="&amp;EOMONTH(Y$1,0),'UX Weekly'!$H39:$CT39,"&lt;&gt;"))</f>
        <v>0</v>
      </c>
      <c r="Z39">
        <f>IF($B39="",0,COUNTIFS('UX Weekly'!$H$1:$CT$1,"&gt;="&amp;Z$1,'UX Weekly'!$H$1:$CT$1,"&lt;="&amp;EOMONTH(Z$1,0),'UX Weekly'!$H39:$CT39,"&lt;&gt;"))</f>
        <v>0</v>
      </c>
      <c r="AA39">
        <f>IF($B39="",0,COUNTIFS('UX Weekly'!$H$1:$CT$1,"&gt;="&amp;AA$1,'UX Weekly'!$H$1:$CT$1,"&lt;="&amp;EOMONTH(AA$1,0),'UX Weekly'!$H39:$CT39,"&lt;&gt;"))</f>
        <v>0</v>
      </c>
      <c r="AB39">
        <f>IF($B39="",0,COUNTIFS('UX Weekly'!$H$1:$CT$1,"&gt;="&amp;AB$1,'UX Weekly'!$H$1:$CT$1,"&lt;="&amp;EOMONTH(AB$1,0),'UX Weekly'!$H39:$CT39,"&lt;&gt;"))</f>
        <v>0</v>
      </c>
      <c r="AC39">
        <f>IF($B39="",0,COUNTIFS('UX Weekly'!$H$1:$CT$1,"&gt;="&amp;AC$1,'UX Weekly'!$H$1:$CT$1,"&lt;="&amp;EOMONTH(AC$1,0),'UX Weekly'!$H39:$CT39,"&lt;&gt;"))</f>
        <v>0</v>
      </c>
      <c r="AD39">
        <f>IF($B39="",0,COUNTIFS('UX Weekly'!$H$1:$CT$1,"&gt;="&amp;AD$1,'UX Weekly'!$H$1:$CT$1,"&lt;="&amp;EOMONTH(AD$1,0),'UX Weekly'!$H39:$CT39,"&lt;&gt;"))</f>
        <v>0</v>
      </c>
      <c r="AE39">
        <f>IF($B39="",0,COUNTIFS('UX Weekly'!$H$1:$CT$1,"&gt;="&amp;AE$1,'UX Weekly'!$H$1:$CT$1,"&lt;="&amp;EOMONTH(AE$1,0),'UX Weekly'!$H39:$CT39,"&lt;&gt;"))</f>
        <v>0</v>
      </c>
      <c r="AF39">
        <f>IF($B39="",0,COUNTIFS('UX Weekly'!$H$1:$CT$1,"&gt;="&amp;AF$1,'UX Weekly'!$H$1:$CT$1,"&lt;="&amp;EOMONTH(AF$1,0),'UX Weekly'!$H39:$CT39,"&lt;&gt;"))</f>
        <v>0</v>
      </c>
      <c r="AG39">
        <f>IF($B39="",0,COUNTIFS('UX Weekly'!$H$1:$CT$1,"&gt;="&amp;AG$1,'UX Weekly'!$H$1:$CT$1,"&lt;="&amp;EOMONTH(AG$1,0),'UX Weekly'!$H39:$CT39,"&lt;&gt;"))</f>
        <v>0</v>
      </c>
      <c r="AH39">
        <f>IF($B39="",0,COUNTIFS('UX Weekly'!$H$1:$CT$1,"&gt;="&amp;AH$1,'UX Weekly'!$H$1:$CT$1,"&lt;="&amp;EOMONTH(AH$1,0),'UX Weekly'!$H39:$CT39,"&lt;&gt;"))</f>
        <v>0</v>
      </c>
      <c r="AI39">
        <f>IF($B39="",0,COUNTIFS('UX Weekly'!$H$1:$CT$1,"&gt;="&amp;AI$1,'UX Weekly'!$H$1:$CT$1,"&lt;="&amp;EOMONTH(AI$1,0),'UX Weekly'!$H39:$CT39,"&lt;&gt;"))</f>
        <v>0</v>
      </c>
      <c r="AJ39">
        <f>IF($B39="",0,COUNTIFS('UX Weekly'!$H$1:$CT$1,"&gt;="&amp;AJ$1,'UX Weekly'!$H$1:$CT$1,"&lt;="&amp;EOMONTH(AJ$1,0),'UX Weekly'!$H39:$CT39,"&lt;&gt;"))</f>
        <v>0</v>
      </c>
      <c r="AK39">
        <f>IF($B39="",0,COUNTIFS('UX Weekly'!$H$1:$CT$1,"&gt;="&amp;AK$1,'UX Weekly'!$H$1:$CT$1,"&lt;="&amp;EOMONTH(AK$1,0),'UX Weekly'!$H39:$CT39,"&lt;&gt;"))</f>
        <v>0</v>
      </c>
      <c r="AL39">
        <f>IF($B39="",0,COUNTIFS('UX Weekly'!$H$1:$CT$1,"&gt;="&amp;AL$1,'UX Weekly'!$H$1:$CT$1,"&lt;="&amp;EOMONTH(AL$1,0),'UX Weekly'!$H39:$CT39,"&lt;&gt;"))</f>
        <v>0</v>
      </c>
      <c r="AM39">
        <f>IF($B39="",0,COUNTIFS('UX Weekly'!$H$1:$CT$1,"&gt;="&amp;AM$1,'UX Weekly'!$H$1:$CT$1,"&lt;="&amp;EOMONTH(AM$1,0),'UX Weekly'!$H39:$CT39,"&lt;&gt;"))</f>
        <v>0</v>
      </c>
      <c r="AN39">
        <f>IF($B39="",0,COUNTIFS('UX Weekly'!$H$1:$CT$1,"&gt;="&amp;AN$1,'UX Weekly'!$H$1:$CT$1,"&lt;="&amp;EOMONTH(AN$1,0),'UX Weekly'!$H39:$CT39,"&lt;&gt;"))</f>
        <v>0</v>
      </c>
      <c r="AO39">
        <f>IF($B39="",0,COUNTIFS('UX Weekly'!$H$1:$CT$1,"&gt;="&amp;AO$1,'UX Weekly'!$H$1:$CT$1,"&lt;="&amp;EOMONTH(AO$1,0),'UX Weekly'!$H39:$CT39,"&lt;&gt;"))</f>
        <v>0</v>
      </c>
      <c r="AP39">
        <f>IF($B39="",0,COUNTIFS('UX Weekly'!$H$1:$CT$1,"&gt;="&amp;AP$1,'UX Weekly'!$H$1:$CT$1,"&lt;="&amp;EOMONTH(AP$1,0),'UX Weekly'!$H39:$CT39,"&lt;&gt;"))</f>
        <v>0</v>
      </c>
      <c r="AQ39">
        <f>IF($B39="",0,COUNTIFS('UX Weekly'!$H$1:$CT$1,"&gt;="&amp;AQ$1,'UX Weekly'!$H$1:$CT$1,"&lt;="&amp;EOMONTH(AQ$1,0),'UX Weekly'!$H39:$CT39,"&lt;&gt;"))</f>
        <v>0</v>
      </c>
      <c r="AR39">
        <f>IF($B39="",0,COUNTIFS('UX Weekly'!$H$1:$CT$1,"&gt;="&amp;AR$1,'UX Weekly'!$H$1:$CT$1,"&lt;="&amp;EOMONTH(AR$1,0),'UX Weekly'!$H39:$CT39,"&lt;&gt;"))</f>
        <v>0</v>
      </c>
      <c r="AS39">
        <f>IF($B39="",0,COUNTIFS('UX Weekly'!$H$1:$CT$1,"&gt;="&amp;AS$1,'UX Weekly'!$H$1:$CT$1,"&lt;="&amp;EOMONTH(AS$1,0),'UX Weekly'!$H39:$CT39,"&lt;&gt;"))</f>
        <v>0</v>
      </c>
      <c r="AT39">
        <f>IF($B39="",0,COUNTIFS('UX Weekly'!$H$1:$CT$1,"&gt;="&amp;AT$1,'UX Weekly'!$H$1:$CT$1,"&lt;="&amp;EOMONTH(AT$1,0),'UX Weekly'!$H39:$CT39,"&lt;&gt;"))</f>
        <v>0</v>
      </c>
    </row>
    <row r="40" spans="1:46" x14ac:dyDescent="0.2">
      <c r="A40" s="147">
        <v>41</v>
      </c>
      <c r="B40" s="147" t="str">
        <f>IF(TRIM('UX Weekly'!E40)="","",TRIM('UX Weekly'!E40))</f>
        <v>My Gear 2 - Tray</v>
      </c>
      <c r="C40" s="147" t="str">
        <f>IF($B40="","",'UX Weekly'!B40)</f>
        <v>Find</v>
      </c>
      <c r="D40" s="147" t="str">
        <f>IF($B40="","",IF(TRIM('UX Weekly'!C40)="","(No theme assigned)",TRIM('UX Weekly'!C40)))</f>
        <v>Improve Discovery</v>
      </c>
      <c r="E40" s="147" t="str">
        <f>IF($B40="","",TRIM('UX Weekly'!F40))</f>
        <v>BHUX-28124</v>
      </c>
      <c r="F40" s="147" t="str">
        <f>IF($B40="","",'UX Weekly'!G40)</f>
        <v>13. Live</v>
      </c>
      <c r="G40" s="148" t="str">
        <f t="array" ref="G40">IF($B40="","",IF($S40=0,"",IFERROR(MIN(IF('UX Weekly'!$H40:$CT40&lt;&gt;"",'UX Weekly'!$H$1:$CT$1)),"")))</f>
        <v/>
      </c>
      <c r="H40" s="148" t="str">
        <f t="array" ref="H40">IF($B40="","",IF($S40=0,"",IFERROR(MAX(IF('UX Weekly'!$H40:$CT40&lt;&gt;"",'UX Weekly'!$H$1:$CT$1)),"")))</f>
        <v/>
      </c>
      <c r="I40" s="149" t="str">
        <f t="shared" ca="1" si="3"/>
        <v/>
      </c>
      <c r="J40" s="149" t="str">
        <f t="shared" ca="1" si="4"/>
        <v/>
      </c>
      <c r="K40" s="147">
        <f>IF($B40="","",IFERROR(MATCH($B40,'Dev Tracker'!$D$2:$D$196,0),IF($E40="","",IFERROR(MATCH($E40,'Dev Tracker'!$E$2:$E$196,0),""))))</f>
        <v>39</v>
      </c>
      <c r="L40" s="147">
        <f>IF($B40="","",IFERROR(MATCH($D40,'Control (Don’t Touch)'!$E$4:$E$30,0),99))</f>
        <v>1</v>
      </c>
      <c r="M40" s="147">
        <f>IF($B40="","",IFERROR(MATCH($F40,'Control (Don’t Touch)'!$B$4:$B$30,0),99))</f>
        <v>16</v>
      </c>
      <c r="N40" s="147">
        <f t="shared" si="5"/>
        <v>1160040</v>
      </c>
      <c r="O40" s="147">
        <f>IF($B40="","",COUNTIF($N$2:$N$204,"&lt;"&amp;$N40)+1)</f>
        <v>7</v>
      </c>
      <c r="P40" s="149" t="str">
        <f ca="1">IF($K40="","",IFERROR(DATE(IFERROR(VALUE(RIGHT(TRIM(INDEX('Dev Tracker'!$I$2:$I$196,$K40)),4)),YEAR(TODAY())),MATCH(LEFT(TRIM(INDEX('Dev Tracker'!$I$2:$I$196,$K40)),3),$U$2:$U$12,0),1),""))</f>
        <v/>
      </c>
      <c r="Q40" s="149" t="str">
        <f ca="1">IF($K40="","",IFERROR(DATE(IFERROR(VALUE(RIGHT(TRIM(INDEX('Dev Tracker'!$J$2:$J$196,$K40)),4)),YEAR(TODAY())),MATCH(LEFT(TRIM(INDEX('Dev Tracker'!$J$2:$J$196,$K40)),3),$U$2:$U$12,0),1),""))</f>
        <v/>
      </c>
      <c r="R40" s="147"/>
      <c r="S40" s="147">
        <f>IF($B40="","",COUNTA('UX Weekly'!$H40:$CT40))</f>
        <v>0</v>
      </c>
      <c r="W40">
        <f>IF($B40="",0,COUNTIFS('UX Weekly'!$H$1:$CT$1,"&gt;="&amp;W$1,'UX Weekly'!$H$1:$CT$1,"&lt;="&amp;EOMONTH(W$1,0),'UX Weekly'!$H40:$CT40,"&lt;&gt;"))</f>
        <v>0</v>
      </c>
      <c r="X40">
        <f>IF($B40="",0,COUNTIFS('UX Weekly'!$H$1:$CT$1,"&gt;="&amp;X$1,'UX Weekly'!$H$1:$CT$1,"&lt;="&amp;EOMONTH(X$1,0),'UX Weekly'!$H40:$CT40,"&lt;&gt;"))</f>
        <v>0</v>
      </c>
      <c r="Y40">
        <f>IF($B40="",0,COUNTIFS('UX Weekly'!$H$1:$CT$1,"&gt;="&amp;Y$1,'UX Weekly'!$H$1:$CT$1,"&lt;="&amp;EOMONTH(Y$1,0),'UX Weekly'!$H40:$CT40,"&lt;&gt;"))</f>
        <v>0</v>
      </c>
      <c r="Z40">
        <f>IF($B40="",0,COUNTIFS('UX Weekly'!$H$1:$CT$1,"&gt;="&amp;Z$1,'UX Weekly'!$H$1:$CT$1,"&lt;="&amp;EOMONTH(Z$1,0),'UX Weekly'!$H40:$CT40,"&lt;&gt;"))</f>
        <v>0</v>
      </c>
      <c r="AA40">
        <f>IF($B40="",0,COUNTIFS('UX Weekly'!$H$1:$CT$1,"&gt;="&amp;AA$1,'UX Weekly'!$H$1:$CT$1,"&lt;="&amp;EOMONTH(AA$1,0),'UX Weekly'!$H40:$CT40,"&lt;&gt;"))</f>
        <v>0</v>
      </c>
      <c r="AB40">
        <f>IF($B40="",0,COUNTIFS('UX Weekly'!$H$1:$CT$1,"&gt;="&amp;AB$1,'UX Weekly'!$H$1:$CT$1,"&lt;="&amp;EOMONTH(AB$1,0),'UX Weekly'!$H40:$CT40,"&lt;&gt;"))</f>
        <v>0</v>
      </c>
      <c r="AC40">
        <f>IF($B40="",0,COUNTIFS('UX Weekly'!$H$1:$CT$1,"&gt;="&amp;AC$1,'UX Weekly'!$H$1:$CT$1,"&lt;="&amp;EOMONTH(AC$1,0),'UX Weekly'!$H40:$CT40,"&lt;&gt;"))</f>
        <v>0</v>
      </c>
      <c r="AD40">
        <f>IF($B40="",0,COUNTIFS('UX Weekly'!$H$1:$CT$1,"&gt;="&amp;AD$1,'UX Weekly'!$H$1:$CT$1,"&lt;="&amp;EOMONTH(AD$1,0),'UX Weekly'!$H40:$CT40,"&lt;&gt;"))</f>
        <v>0</v>
      </c>
      <c r="AE40">
        <f>IF($B40="",0,COUNTIFS('UX Weekly'!$H$1:$CT$1,"&gt;="&amp;AE$1,'UX Weekly'!$H$1:$CT$1,"&lt;="&amp;EOMONTH(AE$1,0),'UX Weekly'!$H40:$CT40,"&lt;&gt;"))</f>
        <v>0</v>
      </c>
      <c r="AF40">
        <f>IF($B40="",0,COUNTIFS('UX Weekly'!$H$1:$CT$1,"&gt;="&amp;AF$1,'UX Weekly'!$H$1:$CT$1,"&lt;="&amp;EOMONTH(AF$1,0),'UX Weekly'!$H40:$CT40,"&lt;&gt;"))</f>
        <v>0</v>
      </c>
      <c r="AG40">
        <f>IF($B40="",0,COUNTIFS('UX Weekly'!$H$1:$CT$1,"&gt;="&amp;AG$1,'UX Weekly'!$H$1:$CT$1,"&lt;="&amp;EOMONTH(AG$1,0),'UX Weekly'!$H40:$CT40,"&lt;&gt;"))</f>
        <v>0</v>
      </c>
      <c r="AH40">
        <f>IF($B40="",0,COUNTIFS('UX Weekly'!$H$1:$CT$1,"&gt;="&amp;AH$1,'UX Weekly'!$H$1:$CT$1,"&lt;="&amp;EOMONTH(AH$1,0),'UX Weekly'!$H40:$CT40,"&lt;&gt;"))</f>
        <v>0</v>
      </c>
      <c r="AI40">
        <f>IF($B40="",0,COUNTIFS('UX Weekly'!$H$1:$CT$1,"&gt;="&amp;AI$1,'UX Weekly'!$H$1:$CT$1,"&lt;="&amp;EOMONTH(AI$1,0),'UX Weekly'!$H40:$CT40,"&lt;&gt;"))</f>
        <v>0</v>
      </c>
      <c r="AJ40">
        <f>IF($B40="",0,COUNTIFS('UX Weekly'!$H$1:$CT$1,"&gt;="&amp;AJ$1,'UX Weekly'!$H$1:$CT$1,"&lt;="&amp;EOMONTH(AJ$1,0),'UX Weekly'!$H40:$CT40,"&lt;&gt;"))</f>
        <v>0</v>
      </c>
      <c r="AK40">
        <f>IF($B40="",0,COUNTIFS('UX Weekly'!$H$1:$CT$1,"&gt;="&amp;AK$1,'UX Weekly'!$H$1:$CT$1,"&lt;="&amp;EOMONTH(AK$1,0),'UX Weekly'!$H40:$CT40,"&lt;&gt;"))</f>
        <v>0</v>
      </c>
      <c r="AL40">
        <f>IF($B40="",0,COUNTIFS('UX Weekly'!$H$1:$CT$1,"&gt;="&amp;AL$1,'UX Weekly'!$H$1:$CT$1,"&lt;="&amp;EOMONTH(AL$1,0),'UX Weekly'!$H40:$CT40,"&lt;&gt;"))</f>
        <v>0</v>
      </c>
      <c r="AM40">
        <f>IF($B40="",0,COUNTIFS('UX Weekly'!$H$1:$CT$1,"&gt;="&amp;AM$1,'UX Weekly'!$H$1:$CT$1,"&lt;="&amp;EOMONTH(AM$1,0),'UX Weekly'!$H40:$CT40,"&lt;&gt;"))</f>
        <v>0</v>
      </c>
      <c r="AN40">
        <f>IF($B40="",0,COUNTIFS('UX Weekly'!$H$1:$CT$1,"&gt;="&amp;AN$1,'UX Weekly'!$H$1:$CT$1,"&lt;="&amp;EOMONTH(AN$1,0),'UX Weekly'!$H40:$CT40,"&lt;&gt;"))</f>
        <v>0</v>
      </c>
      <c r="AO40">
        <f>IF($B40="",0,COUNTIFS('UX Weekly'!$H$1:$CT$1,"&gt;="&amp;AO$1,'UX Weekly'!$H$1:$CT$1,"&lt;="&amp;EOMONTH(AO$1,0),'UX Weekly'!$H40:$CT40,"&lt;&gt;"))</f>
        <v>0</v>
      </c>
      <c r="AP40">
        <f>IF($B40="",0,COUNTIFS('UX Weekly'!$H$1:$CT$1,"&gt;="&amp;AP$1,'UX Weekly'!$H$1:$CT$1,"&lt;="&amp;EOMONTH(AP$1,0),'UX Weekly'!$H40:$CT40,"&lt;&gt;"))</f>
        <v>0</v>
      </c>
      <c r="AQ40">
        <f>IF($B40="",0,COUNTIFS('UX Weekly'!$H$1:$CT$1,"&gt;="&amp;AQ$1,'UX Weekly'!$H$1:$CT$1,"&lt;="&amp;EOMONTH(AQ$1,0),'UX Weekly'!$H40:$CT40,"&lt;&gt;"))</f>
        <v>0</v>
      </c>
      <c r="AR40">
        <f>IF($B40="",0,COUNTIFS('UX Weekly'!$H$1:$CT$1,"&gt;="&amp;AR$1,'UX Weekly'!$H$1:$CT$1,"&lt;="&amp;EOMONTH(AR$1,0),'UX Weekly'!$H40:$CT40,"&lt;&gt;"))</f>
        <v>0</v>
      </c>
      <c r="AS40">
        <f>IF($B40="",0,COUNTIFS('UX Weekly'!$H$1:$CT$1,"&gt;="&amp;AS$1,'UX Weekly'!$H$1:$CT$1,"&lt;="&amp;EOMONTH(AS$1,0),'UX Weekly'!$H40:$CT40,"&lt;&gt;"))</f>
        <v>0</v>
      </c>
      <c r="AT40">
        <f>IF($B40="",0,COUNTIFS('UX Weekly'!$H$1:$CT$1,"&gt;="&amp;AT$1,'UX Weekly'!$H$1:$CT$1,"&lt;="&amp;EOMONTH(AT$1,0),'UX Weekly'!$H40:$CT40,"&lt;&gt;"))</f>
        <v>0</v>
      </c>
    </row>
    <row r="41" spans="1:46" x14ac:dyDescent="0.2">
      <c r="A41" s="147">
        <v>42</v>
      </c>
      <c r="B41" s="147" t="str">
        <f>IF(TRIM('UX Weekly'!E41)="","",TRIM('UX Weekly'!E41))</f>
        <v>H2 on listing pages</v>
      </c>
      <c r="C41" s="147" t="str">
        <f>IF($B41="","",'UX Weekly'!B41)</f>
        <v>Find</v>
      </c>
      <c r="D41" s="147" t="str">
        <f>IF($B41="","",IF(TRIM('UX Weekly'!C41)="","(No theme assigned)",TRIM('UX Weekly'!C41)))</f>
        <v>Improve Discovery</v>
      </c>
      <c r="E41" s="147" t="str">
        <f>IF($B41="","",TRIM('UX Weekly'!F41))</f>
        <v>BHUX-31245</v>
      </c>
      <c r="F41" s="147" t="str">
        <f>IF($B41="","",'UX Weekly'!G41)</f>
        <v>13. Live</v>
      </c>
      <c r="G41" s="148" t="str">
        <f t="array" ref="G41">IF($B41="","",IF($S41=0,"",IFERROR(MIN(IF('UX Weekly'!$H41:$CT41&lt;&gt;"",'UX Weekly'!$H$1:$CT$1)),"")))</f>
        <v/>
      </c>
      <c r="H41" s="148" t="str">
        <f t="array" ref="H41">IF($B41="","",IF($S41=0,"",IFERROR(MAX(IF('UX Weekly'!$H41:$CT41&lt;&gt;"",'UX Weekly'!$H$1:$CT$1)),"")))</f>
        <v/>
      </c>
      <c r="I41" s="149" t="str">
        <f t="shared" ca="1" si="3"/>
        <v/>
      </c>
      <c r="J41" s="149" t="str">
        <f t="shared" ca="1" si="4"/>
        <v/>
      </c>
      <c r="K41" s="147">
        <f>IF($B41="","",IFERROR(MATCH($B41,'Dev Tracker'!$D$2:$D$196,0),IF($E41="","",IFERROR(MATCH($E41,'Dev Tracker'!$E$2:$E$196,0),""))))</f>
        <v>40</v>
      </c>
      <c r="L41" s="147">
        <f>IF($B41="","",IFERROR(MATCH($D41,'Control (Don’t Touch)'!$E$4:$E$30,0),99))</f>
        <v>1</v>
      </c>
      <c r="M41" s="147">
        <f>IF($B41="","",IFERROR(MATCH($F41,'Control (Don’t Touch)'!$B$4:$B$30,0),99))</f>
        <v>16</v>
      </c>
      <c r="N41" s="147">
        <f t="shared" si="5"/>
        <v>1160041</v>
      </c>
      <c r="O41" s="147">
        <f>IF($B41="","",COUNTIF($N$2:$N$204,"&lt;"&amp;$N41)+1)</f>
        <v>8</v>
      </c>
      <c r="P41" s="149" t="str">
        <f ca="1">IF($K41="","",IFERROR(DATE(IFERROR(VALUE(RIGHT(TRIM(INDEX('Dev Tracker'!$I$2:$I$196,$K41)),4)),YEAR(TODAY())),MATCH(LEFT(TRIM(INDEX('Dev Tracker'!$I$2:$I$196,$K41)),3),$U$2:$U$12,0),1),""))</f>
        <v/>
      </c>
      <c r="Q41" s="149" t="str">
        <f ca="1">IF($K41="","",IFERROR(DATE(IFERROR(VALUE(RIGHT(TRIM(INDEX('Dev Tracker'!$J$2:$J$196,$K41)),4)),YEAR(TODAY())),MATCH(LEFT(TRIM(INDEX('Dev Tracker'!$J$2:$J$196,$K41)),3),$U$2:$U$12,0),1),""))</f>
        <v/>
      </c>
      <c r="R41" s="147"/>
      <c r="S41" s="147">
        <f>IF($B41="","",COUNTA('UX Weekly'!$H41:$CT41))</f>
        <v>0</v>
      </c>
      <c r="W41">
        <f>IF($B41="",0,COUNTIFS('UX Weekly'!$H$1:$CT$1,"&gt;="&amp;W$1,'UX Weekly'!$H$1:$CT$1,"&lt;="&amp;EOMONTH(W$1,0),'UX Weekly'!$H41:$CT41,"&lt;&gt;"))</f>
        <v>0</v>
      </c>
      <c r="X41">
        <f>IF($B41="",0,COUNTIFS('UX Weekly'!$H$1:$CT$1,"&gt;="&amp;X$1,'UX Weekly'!$H$1:$CT$1,"&lt;="&amp;EOMONTH(X$1,0),'UX Weekly'!$H41:$CT41,"&lt;&gt;"))</f>
        <v>0</v>
      </c>
      <c r="Y41">
        <f>IF($B41="",0,COUNTIFS('UX Weekly'!$H$1:$CT$1,"&gt;="&amp;Y$1,'UX Weekly'!$H$1:$CT$1,"&lt;="&amp;EOMONTH(Y$1,0),'UX Weekly'!$H41:$CT41,"&lt;&gt;"))</f>
        <v>0</v>
      </c>
      <c r="Z41">
        <f>IF($B41="",0,COUNTIFS('UX Weekly'!$H$1:$CT$1,"&gt;="&amp;Z$1,'UX Weekly'!$H$1:$CT$1,"&lt;="&amp;EOMONTH(Z$1,0),'UX Weekly'!$H41:$CT41,"&lt;&gt;"))</f>
        <v>0</v>
      </c>
      <c r="AA41">
        <f>IF($B41="",0,COUNTIFS('UX Weekly'!$H$1:$CT$1,"&gt;="&amp;AA$1,'UX Weekly'!$H$1:$CT$1,"&lt;="&amp;EOMONTH(AA$1,0),'UX Weekly'!$H41:$CT41,"&lt;&gt;"))</f>
        <v>0</v>
      </c>
      <c r="AB41">
        <f>IF($B41="",0,COUNTIFS('UX Weekly'!$H$1:$CT$1,"&gt;="&amp;AB$1,'UX Weekly'!$H$1:$CT$1,"&lt;="&amp;EOMONTH(AB$1,0),'UX Weekly'!$H41:$CT41,"&lt;&gt;"))</f>
        <v>0</v>
      </c>
      <c r="AC41">
        <f>IF($B41="",0,COUNTIFS('UX Weekly'!$H$1:$CT$1,"&gt;="&amp;AC$1,'UX Weekly'!$H$1:$CT$1,"&lt;="&amp;EOMONTH(AC$1,0),'UX Weekly'!$H41:$CT41,"&lt;&gt;"))</f>
        <v>0</v>
      </c>
      <c r="AD41">
        <f>IF($B41="",0,COUNTIFS('UX Weekly'!$H$1:$CT$1,"&gt;="&amp;AD$1,'UX Weekly'!$H$1:$CT$1,"&lt;="&amp;EOMONTH(AD$1,0),'UX Weekly'!$H41:$CT41,"&lt;&gt;"))</f>
        <v>0</v>
      </c>
      <c r="AE41">
        <f>IF($B41="",0,COUNTIFS('UX Weekly'!$H$1:$CT$1,"&gt;="&amp;AE$1,'UX Weekly'!$H$1:$CT$1,"&lt;="&amp;EOMONTH(AE$1,0),'UX Weekly'!$H41:$CT41,"&lt;&gt;"))</f>
        <v>0</v>
      </c>
      <c r="AF41">
        <f>IF($B41="",0,COUNTIFS('UX Weekly'!$H$1:$CT$1,"&gt;="&amp;AF$1,'UX Weekly'!$H$1:$CT$1,"&lt;="&amp;EOMONTH(AF$1,0),'UX Weekly'!$H41:$CT41,"&lt;&gt;"))</f>
        <v>0</v>
      </c>
      <c r="AG41">
        <f>IF($B41="",0,COUNTIFS('UX Weekly'!$H$1:$CT$1,"&gt;="&amp;AG$1,'UX Weekly'!$H$1:$CT$1,"&lt;="&amp;EOMONTH(AG$1,0),'UX Weekly'!$H41:$CT41,"&lt;&gt;"))</f>
        <v>0</v>
      </c>
      <c r="AH41">
        <f>IF($B41="",0,COUNTIFS('UX Weekly'!$H$1:$CT$1,"&gt;="&amp;AH$1,'UX Weekly'!$H$1:$CT$1,"&lt;="&amp;EOMONTH(AH$1,0),'UX Weekly'!$H41:$CT41,"&lt;&gt;"))</f>
        <v>0</v>
      </c>
      <c r="AI41">
        <f>IF($B41="",0,COUNTIFS('UX Weekly'!$H$1:$CT$1,"&gt;="&amp;AI$1,'UX Weekly'!$H$1:$CT$1,"&lt;="&amp;EOMONTH(AI$1,0),'UX Weekly'!$H41:$CT41,"&lt;&gt;"))</f>
        <v>0</v>
      </c>
      <c r="AJ41">
        <f>IF($B41="",0,COUNTIFS('UX Weekly'!$H$1:$CT$1,"&gt;="&amp;AJ$1,'UX Weekly'!$H$1:$CT$1,"&lt;="&amp;EOMONTH(AJ$1,0),'UX Weekly'!$H41:$CT41,"&lt;&gt;"))</f>
        <v>0</v>
      </c>
      <c r="AK41">
        <f>IF($B41="",0,COUNTIFS('UX Weekly'!$H$1:$CT$1,"&gt;="&amp;AK$1,'UX Weekly'!$H$1:$CT$1,"&lt;="&amp;EOMONTH(AK$1,0),'UX Weekly'!$H41:$CT41,"&lt;&gt;"))</f>
        <v>0</v>
      </c>
      <c r="AL41">
        <f>IF($B41="",0,COUNTIFS('UX Weekly'!$H$1:$CT$1,"&gt;="&amp;AL$1,'UX Weekly'!$H$1:$CT$1,"&lt;="&amp;EOMONTH(AL$1,0),'UX Weekly'!$H41:$CT41,"&lt;&gt;"))</f>
        <v>0</v>
      </c>
      <c r="AM41">
        <f>IF($B41="",0,COUNTIFS('UX Weekly'!$H$1:$CT$1,"&gt;="&amp;AM$1,'UX Weekly'!$H$1:$CT$1,"&lt;="&amp;EOMONTH(AM$1,0),'UX Weekly'!$H41:$CT41,"&lt;&gt;"))</f>
        <v>0</v>
      </c>
      <c r="AN41">
        <f>IF($B41="",0,COUNTIFS('UX Weekly'!$H$1:$CT$1,"&gt;="&amp;AN$1,'UX Weekly'!$H$1:$CT$1,"&lt;="&amp;EOMONTH(AN$1,0),'UX Weekly'!$H41:$CT41,"&lt;&gt;"))</f>
        <v>0</v>
      </c>
      <c r="AO41">
        <f>IF($B41="",0,COUNTIFS('UX Weekly'!$H$1:$CT$1,"&gt;="&amp;AO$1,'UX Weekly'!$H$1:$CT$1,"&lt;="&amp;EOMONTH(AO$1,0),'UX Weekly'!$H41:$CT41,"&lt;&gt;"))</f>
        <v>0</v>
      </c>
      <c r="AP41">
        <f>IF($B41="",0,COUNTIFS('UX Weekly'!$H$1:$CT$1,"&gt;="&amp;AP$1,'UX Weekly'!$H$1:$CT$1,"&lt;="&amp;EOMONTH(AP$1,0),'UX Weekly'!$H41:$CT41,"&lt;&gt;"))</f>
        <v>0</v>
      </c>
      <c r="AQ41">
        <f>IF($B41="",0,COUNTIFS('UX Weekly'!$H$1:$CT$1,"&gt;="&amp;AQ$1,'UX Weekly'!$H$1:$CT$1,"&lt;="&amp;EOMONTH(AQ$1,0),'UX Weekly'!$H41:$CT41,"&lt;&gt;"))</f>
        <v>0</v>
      </c>
      <c r="AR41">
        <f>IF($B41="",0,COUNTIFS('UX Weekly'!$H$1:$CT$1,"&gt;="&amp;AR$1,'UX Weekly'!$H$1:$CT$1,"&lt;="&amp;EOMONTH(AR$1,0),'UX Weekly'!$H41:$CT41,"&lt;&gt;"))</f>
        <v>0</v>
      </c>
      <c r="AS41">
        <f>IF($B41="",0,COUNTIFS('UX Weekly'!$H$1:$CT$1,"&gt;="&amp;AS$1,'UX Weekly'!$H$1:$CT$1,"&lt;="&amp;EOMONTH(AS$1,0),'UX Weekly'!$H41:$CT41,"&lt;&gt;"))</f>
        <v>0</v>
      </c>
      <c r="AT41">
        <f>IF($B41="",0,COUNTIFS('UX Weekly'!$H$1:$CT$1,"&gt;="&amp;AT$1,'UX Weekly'!$H$1:$CT$1,"&lt;="&amp;EOMONTH(AT$1,0),'UX Weekly'!$H41:$CT41,"&lt;&gt;"))</f>
        <v>0</v>
      </c>
    </row>
    <row r="42" spans="1:46" x14ac:dyDescent="0.2">
      <c r="A42" s="147">
        <v>43</v>
      </c>
      <c r="B42" s="147" t="str">
        <f>IF(TRIM('UX Weekly'!E42)="","",TRIM('UX Weekly'!E42))</f>
        <v>Sunset Dealzone</v>
      </c>
      <c r="C42" s="147" t="str">
        <f>IF($B42="","",'UX Weekly'!B42)</f>
        <v>Find</v>
      </c>
      <c r="D42" s="147" t="str">
        <f>IF($B42="","",IF(TRIM('UX Weekly'!C42)="","(No theme assigned)",TRIM('UX Weekly'!C42)))</f>
        <v>Improve Discovery</v>
      </c>
      <c r="E42" s="147" t="str">
        <f>IF($B42="","",TRIM('UX Weekly'!F42))</f>
        <v>BHUX-32071</v>
      </c>
      <c r="F42" s="147" t="str">
        <f>IF($B42="","",'UX Weekly'!G42)</f>
        <v>13. Live</v>
      </c>
      <c r="G42" s="148" t="str">
        <f t="array" ref="G42">IF($B42="","",IF($S42=0,"",IFERROR(MIN(IF('UX Weekly'!$H42:$CT42&lt;&gt;"",'UX Weekly'!$H$1:$CT$1)),"")))</f>
        <v/>
      </c>
      <c r="H42" s="148" t="str">
        <f t="array" ref="H42">IF($B42="","",IF($S42=0,"",IFERROR(MAX(IF('UX Weekly'!$H42:$CT42&lt;&gt;"",'UX Weekly'!$H$1:$CT$1)),"")))</f>
        <v/>
      </c>
      <c r="I42" s="149" t="str">
        <f t="shared" ca="1" si="3"/>
        <v/>
      </c>
      <c r="J42" s="149" t="str">
        <f t="shared" ca="1" si="4"/>
        <v/>
      </c>
      <c r="K42" s="147">
        <f>IF($B42="","",IFERROR(MATCH($B42,'Dev Tracker'!$D$2:$D$196,0),IF($E42="","",IFERROR(MATCH($E42,'Dev Tracker'!$E$2:$E$196,0),""))))</f>
        <v>41</v>
      </c>
      <c r="L42" s="147">
        <f>IF($B42="","",IFERROR(MATCH($D42,'Control (Don’t Touch)'!$E$4:$E$30,0),99))</f>
        <v>1</v>
      </c>
      <c r="M42" s="147">
        <f>IF($B42="","",IFERROR(MATCH($F42,'Control (Don’t Touch)'!$B$4:$B$30,0),99))</f>
        <v>16</v>
      </c>
      <c r="N42" s="147">
        <f t="shared" si="5"/>
        <v>1160042</v>
      </c>
      <c r="O42" s="147">
        <f>IF($B42="","",COUNTIF($N$2:$N$204,"&lt;"&amp;$N42)+1)</f>
        <v>9</v>
      </c>
      <c r="P42" s="149" t="str">
        <f ca="1">IF($K42="","",IFERROR(DATE(IFERROR(VALUE(RIGHT(TRIM(INDEX('Dev Tracker'!$I$2:$I$196,$K42)),4)),YEAR(TODAY())),MATCH(LEFT(TRIM(INDEX('Dev Tracker'!$I$2:$I$196,$K42)),3),$U$2:$U$12,0),1),""))</f>
        <v/>
      </c>
      <c r="Q42" s="149" t="str">
        <f ca="1">IF($K42="","",IFERROR(DATE(IFERROR(VALUE(RIGHT(TRIM(INDEX('Dev Tracker'!$J$2:$J$196,$K42)),4)),YEAR(TODAY())),MATCH(LEFT(TRIM(INDEX('Dev Tracker'!$J$2:$J$196,$K42)),3),$U$2:$U$12,0),1),""))</f>
        <v/>
      </c>
      <c r="R42" s="147"/>
      <c r="S42" s="147">
        <f>IF($B42="","",COUNTA('UX Weekly'!$H42:$CT42))</f>
        <v>0</v>
      </c>
      <c r="W42">
        <f>IF($B42="",0,COUNTIFS('UX Weekly'!$H$1:$CT$1,"&gt;="&amp;W$1,'UX Weekly'!$H$1:$CT$1,"&lt;="&amp;EOMONTH(W$1,0),'UX Weekly'!$H42:$CT42,"&lt;&gt;"))</f>
        <v>0</v>
      </c>
      <c r="X42">
        <f>IF($B42="",0,COUNTIFS('UX Weekly'!$H$1:$CT$1,"&gt;="&amp;X$1,'UX Weekly'!$H$1:$CT$1,"&lt;="&amp;EOMONTH(X$1,0),'UX Weekly'!$H42:$CT42,"&lt;&gt;"))</f>
        <v>0</v>
      </c>
      <c r="Y42">
        <f>IF($B42="",0,COUNTIFS('UX Weekly'!$H$1:$CT$1,"&gt;="&amp;Y$1,'UX Weekly'!$H$1:$CT$1,"&lt;="&amp;EOMONTH(Y$1,0),'UX Weekly'!$H42:$CT42,"&lt;&gt;"))</f>
        <v>0</v>
      </c>
      <c r="Z42">
        <f>IF($B42="",0,COUNTIFS('UX Weekly'!$H$1:$CT$1,"&gt;="&amp;Z$1,'UX Weekly'!$H$1:$CT$1,"&lt;="&amp;EOMONTH(Z$1,0),'UX Weekly'!$H42:$CT42,"&lt;&gt;"))</f>
        <v>0</v>
      </c>
      <c r="AA42">
        <f>IF($B42="",0,COUNTIFS('UX Weekly'!$H$1:$CT$1,"&gt;="&amp;AA$1,'UX Weekly'!$H$1:$CT$1,"&lt;="&amp;EOMONTH(AA$1,0),'UX Weekly'!$H42:$CT42,"&lt;&gt;"))</f>
        <v>0</v>
      </c>
      <c r="AB42">
        <f>IF($B42="",0,COUNTIFS('UX Weekly'!$H$1:$CT$1,"&gt;="&amp;AB$1,'UX Weekly'!$H$1:$CT$1,"&lt;="&amp;EOMONTH(AB$1,0),'UX Weekly'!$H42:$CT42,"&lt;&gt;"))</f>
        <v>0</v>
      </c>
      <c r="AC42">
        <f>IF($B42="",0,COUNTIFS('UX Weekly'!$H$1:$CT$1,"&gt;="&amp;AC$1,'UX Weekly'!$H$1:$CT$1,"&lt;="&amp;EOMONTH(AC$1,0),'UX Weekly'!$H42:$CT42,"&lt;&gt;"))</f>
        <v>0</v>
      </c>
      <c r="AD42">
        <f>IF($B42="",0,COUNTIFS('UX Weekly'!$H$1:$CT$1,"&gt;="&amp;AD$1,'UX Weekly'!$H$1:$CT$1,"&lt;="&amp;EOMONTH(AD$1,0),'UX Weekly'!$H42:$CT42,"&lt;&gt;"))</f>
        <v>0</v>
      </c>
      <c r="AE42">
        <f>IF($B42="",0,COUNTIFS('UX Weekly'!$H$1:$CT$1,"&gt;="&amp;AE$1,'UX Weekly'!$H$1:$CT$1,"&lt;="&amp;EOMONTH(AE$1,0),'UX Weekly'!$H42:$CT42,"&lt;&gt;"))</f>
        <v>0</v>
      </c>
      <c r="AF42">
        <f>IF($B42="",0,COUNTIFS('UX Weekly'!$H$1:$CT$1,"&gt;="&amp;AF$1,'UX Weekly'!$H$1:$CT$1,"&lt;="&amp;EOMONTH(AF$1,0),'UX Weekly'!$H42:$CT42,"&lt;&gt;"))</f>
        <v>0</v>
      </c>
      <c r="AG42">
        <f>IF($B42="",0,COUNTIFS('UX Weekly'!$H$1:$CT$1,"&gt;="&amp;AG$1,'UX Weekly'!$H$1:$CT$1,"&lt;="&amp;EOMONTH(AG$1,0),'UX Weekly'!$H42:$CT42,"&lt;&gt;"))</f>
        <v>0</v>
      </c>
      <c r="AH42">
        <f>IF($B42="",0,COUNTIFS('UX Weekly'!$H$1:$CT$1,"&gt;="&amp;AH$1,'UX Weekly'!$H$1:$CT$1,"&lt;="&amp;EOMONTH(AH$1,0),'UX Weekly'!$H42:$CT42,"&lt;&gt;"))</f>
        <v>0</v>
      </c>
      <c r="AI42">
        <f>IF($B42="",0,COUNTIFS('UX Weekly'!$H$1:$CT$1,"&gt;="&amp;AI$1,'UX Weekly'!$H$1:$CT$1,"&lt;="&amp;EOMONTH(AI$1,0),'UX Weekly'!$H42:$CT42,"&lt;&gt;"))</f>
        <v>0</v>
      </c>
      <c r="AJ42">
        <f>IF($B42="",0,COUNTIFS('UX Weekly'!$H$1:$CT$1,"&gt;="&amp;AJ$1,'UX Weekly'!$H$1:$CT$1,"&lt;="&amp;EOMONTH(AJ$1,0),'UX Weekly'!$H42:$CT42,"&lt;&gt;"))</f>
        <v>0</v>
      </c>
      <c r="AK42">
        <f>IF($B42="",0,COUNTIFS('UX Weekly'!$H$1:$CT$1,"&gt;="&amp;AK$1,'UX Weekly'!$H$1:$CT$1,"&lt;="&amp;EOMONTH(AK$1,0),'UX Weekly'!$H42:$CT42,"&lt;&gt;"))</f>
        <v>0</v>
      </c>
      <c r="AL42">
        <f>IF($B42="",0,COUNTIFS('UX Weekly'!$H$1:$CT$1,"&gt;="&amp;AL$1,'UX Weekly'!$H$1:$CT$1,"&lt;="&amp;EOMONTH(AL$1,0),'UX Weekly'!$H42:$CT42,"&lt;&gt;"))</f>
        <v>0</v>
      </c>
      <c r="AM42">
        <f>IF($B42="",0,COUNTIFS('UX Weekly'!$H$1:$CT$1,"&gt;="&amp;AM$1,'UX Weekly'!$H$1:$CT$1,"&lt;="&amp;EOMONTH(AM$1,0),'UX Weekly'!$H42:$CT42,"&lt;&gt;"))</f>
        <v>0</v>
      </c>
      <c r="AN42">
        <f>IF($B42="",0,COUNTIFS('UX Weekly'!$H$1:$CT$1,"&gt;="&amp;AN$1,'UX Weekly'!$H$1:$CT$1,"&lt;="&amp;EOMONTH(AN$1,0),'UX Weekly'!$H42:$CT42,"&lt;&gt;"))</f>
        <v>0</v>
      </c>
      <c r="AO42">
        <f>IF($B42="",0,COUNTIFS('UX Weekly'!$H$1:$CT$1,"&gt;="&amp;AO$1,'UX Weekly'!$H$1:$CT$1,"&lt;="&amp;EOMONTH(AO$1,0),'UX Weekly'!$H42:$CT42,"&lt;&gt;"))</f>
        <v>0</v>
      </c>
      <c r="AP42">
        <f>IF($B42="",0,COUNTIFS('UX Weekly'!$H$1:$CT$1,"&gt;="&amp;AP$1,'UX Weekly'!$H$1:$CT$1,"&lt;="&amp;EOMONTH(AP$1,0),'UX Weekly'!$H42:$CT42,"&lt;&gt;"))</f>
        <v>0</v>
      </c>
      <c r="AQ42">
        <f>IF($B42="",0,COUNTIFS('UX Weekly'!$H$1:$CT$1,"&gt;="&amp;AQ$1,'UX Weekly'!$H$1:$CT$1,"&lt;="&amp;EOMONTH(AQ$1,0),'UX Weekly'!$H42:$CT42,"&lt;&gt;"))</f>
        <v>0</v>
      </c>
      <c r="AR42">
        <f>IF($B42="",0,COUNTIFS('UX Weekly'!$H$1:$CT$1,"&gt;="&amp;AR$1,'UX Weekly'!$H$1:$CT$1,"&lt;="&amp;EOMONTH(AR$1,0),'UX Weekly'!$H42:$CT42,"&lt;&gt;"))</f>
        <v>0</v>
      </c>
      <c r="AS42">
        <f>IF($B42="",0,COUNTIFS('UX Weekly'!$H$1:$CT$1,"&gt;="&amp;AS$1,'UX Weekly'!$H$1:$CT$1,"&lt;="&amp;EOMONTH(AS$1,0),'UX Weekly'!$H42:$CT42,"&lt;&gt;"))</f>
        <v>0</v>
      </c>
      <c r="AT42">
        <f>IF($B42="",0,COUNTIFS('UX Weekly'!$H$1:$CT$1,"&gt;="&amp;AT$1,'UX Weekly'!$H$1:$CT$1,"&lt;="&amp;EOMONTH(AT$1,0),'UX Weekly'!$H42:$CT42,"&lt;&gt;"))</f>
        <v>0</v>
      </c>
    </row>
    <row r="43" spans="1:46" x14ac:dyDescent="0.2">
      <c r="A43" s="147">
        <v>44</v>
      </c>
      <c r="B43" s="147" t="str">
        <f>IF(TRIM('UX Weekly'!E43)="","",TRIM('UX Weekly'!E43))</f>
        <v>Highlighted Refinements</v>
      </c>
      <c r="C43" s="147" t="str">
        <f>IF($B43="","",'UX Weekly'!B43)</f>
        <v>Find</v>
      </c>
      <c r="D43" s="147" t="str">
        <f>IF($B43="","",IF(TRIM('UX Weekly'!C43)="","(No theme assigned)",TRIM('UX Weekly'!C43)))</f>
        <v>Improve Discovery</v>
      </c>
      <c r="E43" s="147" t="str">
        <f>IF($B43="","",TRIM('UX Weekly'!F43))</f>
        <v>BHUX-29921</v>
      </c>
      <c r="F43" s="147" t="str">
        <f>IF($B43="","",'UX Weekly'!G43)</f>
        <v>13. Live</v>
      </c>
      <c r="G43" s="148" t="str">
        <f t="array" ref="G43">IF($B43="","",IF($S43=0,"",IFERROR(MIN(IF('UX Weekly'!$H43:$CT43&lt;&gt;"",'UX Weekly'!$H$1:$CT$1)),"")))</f>
        <v/>
      </c>
      <c r="H43" s="148" t="str">
        <f t="array" ref="H43">IF($B43="","",IF($S43=0,"",IFERROR(MAX(IF('UX Weekly'!$H43:$CT43&lt;&gt;"",'UX Weekly'!$H$1:$CT$1)),"")))</f>
        <v/>
      </c>
      <c r="I43" s="149" t="str">
        <f t="shared" ca="1" si="3"/>
        <v/>
      </c>
      <c r="J43" s="149" t="str">
        <f t="shared" ca="1" si="4"/>
        <v/>
      </c>
      <c r="K43" s="147">
        <f>IF($B43="","",IFERROR(MATCH($B43,'Dev Tracker'!$D$2:$D$196,0),IF($E43="","",IFERROR(MATCH($E43,'Dev Tracker'!$E$2:$E$196,0),""))))</f>
        <v>42</v>
      </c>
      <c r="L43" s="147">
        <f>IF($B43="","",IFERROR(MATCH($D43,'Control (Don’t Touch)'!$E$4:$E$30,0),99))</f>
        <v>1</v>
      </c>
      <c r="M43" s="147">
        <f>IF($B43="","",IFERROR(MATCH($F43,'Control (Don’t Touch)'!$B$4:$B$30,0),99))</f>
        <v>16</v>
      </c>
      <c r="N43" s="147">
        <f t="shared" si="5"/>
        <v>1160043</v>
      </c>
      <c r="O43" s="147">
        <f>IF($B43="","",COUNTIF($N$2:$N$204,"&lt;"&amp;$N43)+1)</f>
        <v>10</v>
      </c>
      <c r="P43" s="149" t="str">
        <f ca="1">IF($K43="","",IFERROR(DATE(IFERROR(VALUE(RIGHT(TRIM(INDEX('Dev Tracker'!$I$2:$I$196,$K43)),4)),YEAR(TODAY())),MATCH(LEFT(TRIM(INDEX('Dev Tracker'!$I$2:$I$196,$K43)),3),$U$2:$U$12,0),1),""))</f>
        <v/>
      </c>
      <c r="Q43" s="149" t="str">
        <f ca="1">IF($K43="","",IFERROR(DATE(IFERROR(VALUE(RIGHT(TRIM(INDEX('Dev Tracker'!$J$2:$J$196,$K43)),4)),YEAR(TODAY())),MATCH(LEFT(TRIM(INDEX('Dev Tracker'!$J$2:$J$196,$K43)),3),$U$2:$U$12,0),1),""))</f>
        <v/>
      </c>
      <c r="R43" s="147"/>
      <c r="S43" s="147">
        <f>IF($B43="","",COUNTA('UX Weekly'!$H43:$CT43))</f>
        <v>0</v>
      </c>
      <c r="W43">
        <f>IF($B43="",0,COUNTIFS('UX Weekly'!$H$1:$CT$1,"&gt;="&amp;W$1,'UX Weekly'!$H$1:$CT$1,"&lt;="&amp;EOMONTH(W$1,0),'UX Weekly'!$H43:$CT43,"&lt;&gt;"))</f>
        <v>0</v>
      </c>
      <c r="X43">
        <f>IF($B43="",0,COUNTIFS('UX Weekly'!$H$1:$CT$1,"&gt;="&amp;X$1,'UX Weekly'!$H$1:$CT$1,"&lt;="&amp;EOMONTH(X$1,0),'UX Weekly'!$H43:$CT43,"&lt;&gt;"))</f>
        <v>0</v>
      </c>
      <c r="Y43">
        <f>IF($B43="",0,COUNTIFS('UX Weekly'!$H$1:$CT$1,"&gt;="&amp;Y$1,'UX Weekly'!$H$1:$CT$1,"&lt;="&amp;EOMONTH(Y$1,0),'UX Weekly'!$H43:$CT43,"&lt;&gt;"))</f>
        <v>0</v>
      </c>
      <c r="Z43">
        <f>IF($B43="",0,COUNTIFS('UX Weekly'!$H$1:$CT$1,"&gt;="&amp;Z$1,'UX Weekly'!$H$1:$CT$1,"&lt;="&amp;EOMONTH(Z$1,0),'UX Weekly'!$H43:$CT43,"&lt;&gt;"))</f>
        <v>0</v>
      </c>
      <c r="AA43">
        <f>IF($B43="",0,COUNTIFS('UX Weekly'!$H$1:$CT$1,"&gt;="&amp;AA$1,'UX Weekly'!$H$1:$CT$1,"&lt;="&amp;EOMONTH(AA$1,0),'UX Weekly'!$H43:$CT43,"&lt;&gt;"))</f>
        <v>0</v>
      </c>
      <c r="AB43">
        <f>IF($B43="",0,COUNTIFS('UX Weekly'!$H$1:$CT$1,"&gt;="&amp;AB$1,'UX Weekly'!$H$1:$CT$1,"&lt;="&amp;EOMONTH(AB$1,0),'UX Weekly'!$H43:$CT43,"&lt;&gt;"))</f>
        <v>0</v>
      </c>
      <c r="AC43">
        <f>IF($B43="",0,COUNTIFS('UX Weekly'!$H$1:$CT$1,"&gt;="&amp;AC$1,'UX Weekly'!$H$1:$CT$1,"&lt;="&amp;EOMONTH(AC$1,0),'UX Weekly'!$H43:$CT43,"&lt;&gt;"))</f>
        <v>0</v>
      </c>
      <c r="AD43">
        <f>IF($B43="",0,COUNTIFS('UX Weekly'!$H$1:$CT$1,"&gt;="&amp;AD$1,'UX Weekly'!$H$1:$CT$1,"&lt;="&amp;EOMONTH(AD$1,0),'UX Weekly'!$H43:$CT43,"&lt;&gt;"))</f>
        <v>0</v>
      </c>
      <c r="AE43">
        <f>IF($B43="",0,COUNTIFS('UX Weekly'!$H$1:$CT$1,"&gt;="&amp;AE$1,'UX Weekly'!$H$1:$CT$1,"&lt;="&amp;EOMONTH(AE$1,0),'UX Weekly'!$H43:$CT43,"&lt;&gt;"))</f>
        <v>0</v>
      </c>
      <c r="AF43">
        <f>IF($B43="",0,COUNTIFS('UX Weekly'!$H$1:$CT$1,"&gt;="&amp;AF$1,'UX Weekly'!$H$1:$CT$1,"&lt;="&amp;EOMONTH(AF$1,0),'UX Weekly'!$H43:$CT43,"&lt;&gt;"))</f>
        <v>0</v>
      </c>
      <c r="AG43">
        <f>IF($B43="",0,COUNTIFS('UX Weekly'!$H$1:$CT$1,"&gt;="&amp;AG$1,'UX Weekly'!$H$1:$CT$1,"&lt;="&amp;EOMONTH(AG$1,0),'UX Weekly'!$H43:$CT43,"&lt;&gt;"))</f>
        <v>0</v>
      </c>
      <c r="AH43">
        <f>IF($B43="",0,COUNTIFS('UX Weekly'!$H$1:$CT$1,"&gt;="&amp;AH$1,'UX Weekly'!$H$1:$CT$1,"&lt;="&amp;EOMONTH(AH$1,0),'UX Weekly'!$H43:$CT43,"&lt;&gt;"))</f>
        <v>0</v>
      </c>
      <c r="AI43">
        <f>IF($B43="",0,COUNTIFS('UX Weekly'!$H$1:$CT$1,"&gt;="&amp;AI$1,'UX Weekly'!$H$1:$CT$1,"&lt;="&amp;EOMONTH(AI$1,0),'UX Weekly'!$H43:$CT43,"&lt;&gt;"))</f>
        <v>0</v>
      </c>
      <c r="AJ43">
        <f>IF($B43="",0,COUNTIFS('UX Weekly'!$H$1:$CT$1,"&gt;="&amp;AJ$1,'UX Weekly'!$H$1:$CT$1,"&lt;="&amp;EOMONTH(AJ$1,0),'UX Weekly'!$H43:$CT43,"&lt;&gt;"))</f>
        <v>0</v>
      </c>
      <c r="AK43">
        <f>IF($B43="",0,COUNTIFS('UX Weekly'!$H$1:$CT$1,"&gt;="&amp;AK$1,'UX Weekly'!$H$1:$CT$1,"&lt;="&amp;EOMONTH(AK$1,0),'UX Weekly'!$H43:$CT43,"&lt;&gt;"))</f>
        <v>0</v>
      </c>
      <c r="AL43">
        <f>IF($B43="",0,COUNTIFS('UX Weekly'!$H$1:$CT$1,"&gt;="&amp;AL$1,'UX Weekly'!$H$1:$CT$1,"&lt;="&amp;EOMONTH(AL$1,0),'UX Weekly'!$H43:$CT43,"&lt;&gt;"))</f>
        <v>0</v>
      </c>
      <c r="AM43">
        <f>IF($B43="",0,COUNTIFS('UX Weekly'!$H$1:$CT$1,"&gt;="&amp;AM$1,'UX Weekly'!$H$1:$CT$1,"&lt;="&amp;EOMONTH(AM$1,0),'UX Weekly'!$H43:$CT43,"&lt;&gt;"))</f>
        <v>0</v>
      </c>
      <c r="AN43">
        <f>IF($B43="",0,COUNTIFS('UX Weekly'!$H$1:$CT$1,"&gt;="&amp;AN$1,'UX Weekly'!$H$1:$CT$1,"&lt;="&amp;EOMONTH(AN$1,0),'UX Weekly'!$H43:$CT43,"&lt;&gt;"))</f>
        <v>0</v>
      </c>
      <c r="AO43">
        <f>IF($B43="",0,COUNTIFS('UX Weekly'!$H$1:$CT$1,"&gt;="&amp;AO$1,'UX Weekly'!$H$1:$CT$1,"&lt;="&amp;EOMONTH(AO$1,0),'UX Weekly'!$H43:$CT43,"&lt;&gt;"))</f>
        <v>0</v>
      </c>
      <c r="AP43">
        <f>IF($B43="",0,COUNTIFS('UX Weekly'!$H$1:$CT$1,"&gt;="&amp;AP$1,'UX Weekly'!$H$1:$CT$1,"&lt;="&amp;EOMONTH(AP$1,0),'UX Weekly'!$H43:$CT43,"&lt;&gt;"))</f>
        <v>0</v>
      </c>
      <c r="AQ43">
        <f>IF($B43="",0,COUNTIFS('UX Weekly'!$H$1:$CT$1,"&gt;="&amp;AQ$1,'UX Weekly'!$H$1:$CT$1,"&lt;="&amp;EOMONTH(AQ$1,0),'UX Weekly'!$H43:$CT43,"&lt;&gt;"))</f>
        <v>0</v>
      </c>
      <c r="AR43">
        <f>IF($B43="",0,COUNTIFS('UX Weekly'!$H$1:$CT$1,"&gt;="&amp;AR$1,'UX Weekly'!$H$1:$CT$1,"&lt;="&amp;EOMONTH(AR$1,0),'UX Weekly'!$H43:$CT43,"&lt;&gt;"))</f>
        <v>0</v>
      </c>
      <c r="AS43">
        <f>IF($B43="",0,COUNTIFS('UX Weekly'!$H$1:$CT$1,"&gt;="&amp;AS$1,'UX Weekly'!$H$1:$CT$1,"&lt;="&amp;EOMONTH(AS$1,0),'UX Weekly'!$H43:$CT43,"&lt;&gt;"))</f>
        <v>0</v>
      </c>
      <c r="AT43">
        <f>IF($B43="",0,COUNTIFS('UX Weekly'!$H$1:$CT$1,"&gt;="&amp;AT$1,'UX Weekly'!$H$1:$CT$1,"&lt;="&amp;EOMONTH(AT$1,0),'UX Weekly'!$H43:$CT43,"&lt;&gt;"))</f>
        <v>0</v>
      </c>
    </row>
    <row r="44" spans="1:46" x14ac:dyDescent="0.2">
      <c r="A44" s="147">
        <v>45</v>
      </c>
      <c r="B44" s="147" t="str">
        <f>IF(TRIM('UX Weekly'!E44)="","",TRIM('UX Weekly'!E44))</f>
        <v>EDU Homepage</v>
      </c>
      <c r="C44" s="147" t="str">
        <f>IF($B44="","",'UX Weekly'!B44)</f>
        <v>B2B</v>
      </c>
      <c r="D44" s="147" t="str">
        <f>IF($B44="","",IF(TRIM('UX Weekly'!C44)="","(No theme assigned)",TRIM('UX Weekly'!C44)))</f>
        <v>Increase B2B Acquisition</v>
      </c>
      <c r="E44" s="147" t="str">
        <f>IF($B44="","",TRIM('UX Weekly'!F44))</f>
        <v>BHUX-25601</v>
      </c>
      <c r="F44" s="147" t="str">
        <f>IF($B44="","",'UX Weekly'!G44)</f>
        <v>13. Live</v>
      </c>
      <c r="G44" s="148">
        <f t="array" ref="G44">IF($B44="","",IF($S44=0,"",IFERROR(MIN(IF('UX Weekly'!$H44:$CT44&lt;&gt;"",'UX Weekly'!$H$1:$CT$1)),"")))</f>
        <v>46146</v>
      </c>
      <c r="H44" s="148">
        <f t="array" ref="H44">IF($B44="","",IF($S44=0,"",IFERROR(MAX(IF('UX Weekly'!$H44:$CT44&lt;&gt;"",'UX Weekly'!$H$1:$CT$1)),"")))</f>
        <v>46188</v>
      </c>
      <c r="I44" s="149">
        <f t="shared" ca="1" si="3"/>
        <v>46235</v>
      </c>
      <c r="J44" s="149">
        <f t="shared" ca="1" si="4"/>
        <v>46265</v>
      </c>
      <c r="K44" s="147">
        <f>IF($B44="","",IFERROR(MATCH($B44,'Dev Tracker'!$D$2:$D$196,0),IF($E44="","",IFERROR(MATCH($E44,'Dev Tracker'!$E$2:$E$196,0),""))))</f>
        <v>43</v>
      </c>
      <c r="L44" s="147">
        <f>IF($B44="","",IFERROR(MATCH($D44,'Control (Don’t Touch)'!$E$4:$E$30,0),99))</f>
        <v>8</v>
      </c>
      <c r="M44" s="147">
        <f>IF($B44="","",IFERROR(MATCH($F44,'Control (Don’t Touch)'!$B$4:$B$30,0),99))</f>
        <v>16</v>
      </c>
      <c r="N44" s="147">
        <f t="shared" si="5"/>
        <v>8160044</v>
      </c>
      <c r="O44" s="147">
        <f>IF($B44="","",COUNTIF($N$2:$N$204,"&lt;"&amp;$N44)+1)</f>
        <v>40</v>
      </c>
      <c r="P44" s="149">
        <f ca="1">IF($K44="","",IFERROR(DATE(IFERROR(VALUE(RIGHT(TRIM(INDEX('Dev Tracker'!$I$2:$I$196,$K44)),4)),YEAR(TODAY())),MATCH(LEFT(TRIM(INDEX('Dev Tracker'!$I$2:$I$196,$K44)),3),$U$2:$U$12,0),1),""))</f>
        <v>46235</v>
      </c>
      <c r="Q44" s="149">
        <f ca="1">IF($K44="","",IFERROR(DATE(IFERROR(VALUE(RIGHT(TRIM(INDEX('Dev Tracker'!$J$2:$J$196,$K44)),4)),YEAR(TODAY())),MATCH(LEFT(TRIM(INDEX('Dev Tracker'!$J$2:$J$196,$K44)),3),$U$2:$U$12,0),1),""))</f>
        <v>46235</v>
      </c>
      <c r="R44" s="147"/>
      <c r="S44" s="147">
        <f>IF($B44="","",COUNTA('UX Weekly'!$H44:$CT44))</f>
        <v>2</v>
      </c>
      <c r="W44">
        <f>IF($B44="",0,COUNTIFS('UX Weekly'!$H$1:$CT$1,"&gt;="&amp;W$1,'UX Weekly'!$H$1:$CT$1,"&lt;="&amp;EOMONTH(W$1,0),'UX Weekly'!$H44:$CT44,"&lt;&gt;"))</f>
        <v>0</v>
      </c>
      <c r="X44">
        <f>IF($B44="",0,COUNTIFS('UX Weekly'!$H$1:$CT$1,"&gt;="&amp;X$1,'UX Weekly'!$H$1:$CT$1,"&lt;="&amp;EOMONTH(X$1,0),'UX Weekly'!$H44:$CT44,"&lt;&gt;"))</f>
        <v>0</v>
      </c>
      <c r="Y44">
        <f>IF($B44="",0,COUNTIFS('UX Weekly'!$H$1:$CT$1,"&gt;="&amp;Y$1,'UX Weekly'!$H$1:$CT$1,"&lt;="&amp;EOMONTH(Y$1,0),'UX Weekly'!$H44:$CT44,"&lt;&gt;"))</f>
        <v>0</v>
      </c>
      <c r="Z44">
        <f>IF($B44="",0,COUNTIFS('UX Weekly'!$H$1:$CT$1,"&gt;="&amp;Z$1,'UX Weekly'!$H$1:$CT$1,"&lt;="&amp;EOMONTH(Z$1,0),'UX Weekly'!$H44:$CT44,"&lt;&gt;"))</f>
        <v>0</v>
      </c>
      <c r="AA44">
        <f>IF($B44="",0,COUNTIFS('UX Weekly'!$H$1:$CT$1,"&gt;="&amp;AA$1,'UX Weekly'!$H$1:$CT$1,"&lt;="&amp;EOMONTH(AA$1,0),'UX Weekly'!$H44:$CT44,"&lt;&gt;"))</f>
        <v>1</v>
      </c>
      <c r="AB44">
        <f>IF($B44="",0,COUNTIFS('UX Weekly'!$H$1:$CT$1,"&gt;="&amp;AB$1,'UX Weekly'!$H$1:$CT$1,"&lt;="&amp;EOMONTH(AB$1,0),'UX Weekly'!$H44:$CT44,"&lt;&gt;"))</f>
        <v>1</v>
      </c>
      <c r="AC44">
        <f>IF($B44="",0,COUNTIFS('UX Weekly'!$H$1:$CT$1,"&gt;="&amp;AC$1,'UX Weekly'!$H$1:$CT$1,"&lt;="&amp;EOMONTH(AC$1,0),'UX Weekly'!$H44:$CT44,"&lt;&gt;"))</f>
        <v>0</v>
      </c>
      <c r="AD44">
        <f>IF($B44="",0,COUNTIFS('UX Weekly'!$H$1:$CT$1,"&gt;="&amp;AD$1,'UX Weekly'!$H$1:$CT$1,"&lt;="&amp;EOMONTH(AD$1,0),'UX Weekly'!$H44:$CT44,"&lt;&gt;"))</f>
        <v>0</v>
      </c>
      <c r="AE44">
        <f>IF($B44="",0,COUNTIFS('UX Weekly'!$H$1:$CT$1,"&gt;="&amp;AE$1,'UX Weekly'!$H$1:$CT$1,"&lt;="&amp;EOMONTH(AE$1,0),'UX Weekly'!$H44:$CT44,"&lt;&gt;"))</f>
        <v>0</v>
      </c>
      <c r="AF44">
        <f>IF($B44="",0,COUNTIFS('UX Weekly'!$H$1:$CT$1,"&gt;="&amp;AF$1,'UX Weekly'!$H$1:$CT$1,"&lt;="&amp;EOMONTH(AF$1,0),'UX Weekly'!$H44:$CT44,"&lt;&gt;"))</f>
        <v>0</v>
      </c>
      <c r="AG44">
        <f>IF($B44="",0,COUNTIFS('UX Weekly'!$H$1:$CT$1,"&gt;="&amp;AG$1,'UX Weekly'!$H$1:$CT$1,"&lt;="&amp;EOMONTH(AG$1,0),'UX Weekly'!$H44:$CT44,"&lt;&gt;"))</f>
        <v>0</v>
      </c>
      <c r="AH44">
        <f>IF($B44="",0,COUNTIFS('UX Weekly'!$H$1:$CT$1,"&gt;="&amp;AH$1,'UX Weekly'!$H$1:$CT$1,"&lt;="&amp;EOMONTH(AH$1,0),'UX Weekly'!$H44:$CT44,"&lt;&gt;"))</f>
        <v>0</v>
      </c>
      <c r="AI44">
        <f>IF($B44="",0,COUNTIFS('UX Weekly'!$H$1:$CT$1,"&gt;="&amp;AI$1,'UX Weekly'!$H$1:$CT$1,"&lt;="&amp;EOMONTH(AI$1,0),'UX Weekly'!$H44:$CT44,"&lt;&gt;"))</f>
        <v>0</v>
      </c>
      <c r="AJ44">
        <f>IF($B44="",0,COUNTIFS('UX Weekly'!$H$1:$CT$1,"&gt;="&amp;AJ$1,'UX Weekly'!$H$1:$CT$1,"&lt;="&amp;EOMONTH(AJ$1,0),'UX Weekly'!$H44:$CT44,"&lt;&gt;"))</f>
        <v>0</v>
      </c>
      <c r="AK44">
        <f>IF($B44="",0,COUNTIFS('UX Weekly'!$H$1:$CT$1,"&gt;="&amp;AK$1,'UX Weekly'!$H$1:$CT$1,"&lt;="&amp;EOMONTH(AK$1,0),'UX Weekly'!$H44:$CT44,"&lt;&gt;"))</f>
        <v>0</v>
      </c>
      <c r="AL44">
        <f>IF($B44="",0,COUNTIFS('UX Weekly'!$H$1:$CT$1,"&gt;="&amp;AL$1,'UX Weekly'!$H$1:$CT$1,"&lt;="&amp;EOMONTH(AL$1,0),'UX Weekly'!$H44:$CT44,"&lt;&gt;"))</f>
        <v>0</v>
      </c>
      <c r="AM44">
        <f>IF($B44="",0,COUNTIFS('UX Weekly'!$H$1:$CT$1,"&gt;="&amp;AM$1,'UX Weekly'!$H$1:$CT$1,"&lt;="&amp;EOMONTH(AM$1,0),'UX Weekly'!$H44:$CT44,"&lt;&gt;"))</f>
        <v>0</v>
      </c>
      <c r="AN44">
        <f>IF($B44="",0,COUNTIFS('UX Weekly'!$H$1:$CT$1,"&gt;="&amp;AN$1,'UX Weekly'!$H$1:$CT$1,"&lt;="&amp;EOMONTH(AN$1,0),'UX Weekly'!$H44:$CT44,"&lt;&gt;"))</f>
        <v>0</v>
      </c>
      <c r="AO44">
        <f>IF($B44="",0,COUNTIFS('UX Weekly'!$H$1:$CT$1,"&gt;="&amp;AO$1,'UX Weekly'!$H$1:$CT$1,"&lt;="&amp;EOMONTH(AO$1,0),'UX Weekly'!$H44:$CT44,"&lt;&gt;"))</f>
        <v>0</v>
      </c>
      <c r="AP44">
        <f>IF($B44="",0,COUNTIFS('UX Weekly'!$H$1:$CT$1,"&gt;="&amp;AP$1,'UX Weekly'!$H$1:$CT$1,"&lt;="&amp;EOMONTH(AP$1,0),'UX Weekly'!$H44:$CT44,"&lt;&gt;"))</f>
        <v>0</v>
      </c>
      <c r="AQ44">
        <f>IF($B44="",0,COUNTIFS('UX Weekly'!$H$1:$CT$1,"&gt;="&amp;AQ$1,'UX Weekly'!$H$1:$CT$1,"&lt;="&amp;EOMONTH(AQ$1,0),'UX Weekly'!$H44:$CT44,"&lt;&gt;"))</f>
        <v>0</v>
      </c>
      <c r="AR44">
        <f>IF($B44="",0,COUNTIFS('UX Weekly'!$H$1:$CT$1,"&gt;="&amp;AR$1,'UX Weekly'!$H$1:$CT$1,"&lt;="&amp;EOMONTH(AR$1,0),'UX Weekly'!$H44:$CT44,"&lt;&gt;"))</f>
        <v>0</v>
      </c>
      <c r="AS44">
        <f>IF($B44="",0,COUNTIFS('UX Weekly'!$H$1:$CT$1,"&gt;="&amp;AS$1,'UX Weekly'!$H$1:$CT$1,"&lt;="&amp;EOMONTH(AS$1,0),'UX Weekly'!$H44:$CT44,"&lt;&gt;"))</f>
        <v>0</v>
      </c>
      <c r="AT44">
        <f>IF($B44="",0,COUNTIFS('UX Weekly'!$H$1:$CT$1,"&gt;="&amp;AT$1,'UX Weekly'!$H$1:$CT$1,"&lt;="&amp;EOMONTH(AT$1,0),'UX Weekly'!$H44:$CT44,"&lt;&gt;"))</f>
        <v>0</v>
      </c>
    </row>
    <row r="45" spans="1:46" x14ac:dyDescent="0.2">
      <c r="A45" s="147">
        <v>46</v>
      </c>
      <c r="B45" s="147" t="str">
        <f>IF(TRIM('UX Weekly'!E45)="","",TRIM('UX Weekly'!E45))</f>
        <v>Actual Used Images</v>
      </c>
      <c r="C45" s="147" t="str">
        <f>IF($B45="","",'UX Weekly'!B45)</f>
        <v>Used</v>
      </c>
      <c r="D45" s="147" t="str">
        <f>IF($B45="","",IF(TRIM('UX Weekly'!C45)="","(No theme assigned)",TRIM('UX Weekly'!C45)))</f>
        <v>Improve Buy Used Customer Experience</v>
      </c>
      <c r="E45" s="147" t="str">
        <f>IF($B45="","",TRIM('UX Weekly'!F45))</f>
        <v>BHP-4563</v>
      </c>
      <c r="F45" s="147" t="str">
        <f>IF($B45="","",'UX Weekly'!G45)</f>
        <v>13. Live</v>
      </c>
      <c r="G45" s="148" t="str">
        <f t="array" ref="G45">IF($B45="","",IF($S45=0,"",IFERROR(MIN(IF('UX Weekly'!$H45:$CT45&lt;&gt;"",'UX Weekly'!$H$1:$CT$1)),"")))</f>
        <v/>
      </c>
      <c r="H45" s="148" t="str">
        <f t="array" ref="H45">IF($B45="","",IF($S45=0,"",IFERROR(MAX(IF('UX Weekly'!$H45:$CT45&lt;&gt;"",'UX Weekly'!$H$1:$CT$1)),"")))</f>
        <v/>
      </c>
      <c r="I45" s="149" t="str">
        <f t="shared" ca="1" si="3"/>
        <v/>
      </c>
      <c r="J45" s="149" t="str">
        <f t="shared" ca="1" si="4"/>
        <v/>
      </c>
      <c r="K45" s="147">
        <f>IF($B45="","",IFERROR(MATCH($B45,'Dev Tracker'!$D$2:$D$196,0),IF($E45="","",IFERROR(MATCH($E45,'Dev Tracker'!$E$2:$E$196,0),""))))</f>
        <v>44</v>
      </c>
      <c r="L45" s="147">
        <f>IF($B45="","",IFERROR(MATCH($D45,'Control (Don’t Touch)'!$E$4:$E$30,0),99))</f>
        <v>6</v>
      </c>
      <c r="M45" s="147">
        <f>IF($B45="","",IFERROR(MATCH($F45,'Control (Don’t Touch)'!$B$4:$B$30,0),99))</f>
        <v>16</v>
      </c>
      <c r="N45" s="147">
        <f t="shared" si="5"/>
        <v>6160045</v>
      </c>
      <c r="O45" s="147">
        <f>IF($B45="","",COUNTIF($N$2:$N$204,"&lt;"&amp;$N45)+1)</f>
        <v>33</v>
      </c>
      <c r="P45" s="149" t="str">
        <f ca="1">IF($K45="","",IFERROR(DATE(IFERROR(VALUE(RIGHT(TRIM(INDEX('Dev Tracker'!$I$2:$I$196,$K45)),4)),YEAR(TODAY())),MATCH(LEFT(TRIM(INDEX('Dev Tracker'!$I$2:$I$196,$K45)),3),$U$2:$U$12,0),1),""))</f>
        <v/>
      </c>
      <c r="Q45" s="149" t="str">
        <f ca="1">IF($K45="","",IFERROR(DATE(IFERROR(VALUE(RIGHT(TRIM(INDEX('Dev Tracker'!$J$2:$J$196,$K45)),4)),YEAR(TODAY())),MATCH(LEFT(TRIM(INDEX('Dev Tracker'!$J$2:$J$196,$K45)),3),$U$2:$U$12,0),1),""))</f>
        <v/>
      </c>
      <c r="R45" s="147"/>
      <c r="S45" s="147">
        <f>IF($B45="","",COUNTA('UX Weekly'!$H45:$CT45))</f>
        <v>0</v>
      </c>
      <c r="W45">
        <f>IF($B45="",0,COUNTIFS('UX Weekly'!$H$1:$CT$1,"&gt;="&amp;W$1,'UX Weekly'!$H$1:$CT$1,"&lt;="&amp;EOMONTH(W$1,0),'UX Weekly'!$H45:$CT45,"&lt;&gt;"))</f>
        <v>0</v>
      </c>
      <c r="X45">
        <f>IF($B45="",0,COUNTIFS('UX Weekly'!$H$1:$CT$1,"&gt;="&amp;X$1,'UX Weekly'!$H$1:$CT$1,"&lt;="&amp;EOMONTH(X$1,0),'UX Weekly'!$H45:$CT45,"&lt;&gt;"))</f>
        <v>0</v>
      </c>
      <c r="Y45">
        <f>IF($B45="",0,COUNTIFS('UX Weekly'!$H$1:$CT$1,"&gt;="&amp;Y$1,'UX Weekly'!$H$1:$CT$1,"&lt;="&amp;EOMONTH(Y$1,0),'UX Weekly'!$H45:$CT45,"&lt;&gt;"))</f>
        <v>0</v>
      </c>
      <c r="Z45">
        <f>IF($B45="",0,COUNTIFS('UX Weekly'!$H$1:$CT$1,"&gt;="&amp;Z$1,'UX Weekly'!$H$1:$CT$1,"&lt;="&amp;EOMONTH(Z$1,0),'UX Weekly'!$H45:$CT45,"&lt;&gt;"))</f>
        <v>0</v>
      </c>
      <c r="AA45">
        <f>IF($B45="",0,COUNTIFS('UX Weekly'!$H$1:$CT$1,"&gt;="&amp;AA$1,'UX Weekly'!$H$1:$CT$1,"&lt;="&amp;EOMONTH(AA$1,0),'UX Weekly'!$H45:$CT45,"&lt;&gt;"))</f>
        <v>0</v>
      </c>
      <c r="AB45">
        <f>IF($B45="",0,COUNTIFS('UX Weekly'!$H$1:$CT$1,"&gt;="&amp;AB$1,'UX Weekly'!$H$1:$CT$1,"&lt;="&amp;EOMONTH(AB$1,0),'UX Weekly'!$H45:$CT45,"&lt;&gt;"))</f>
        <v>0</v>
      </c>
      <c r="AC45">
        <f>IF($B45="",0,COUNTIFS('UX Weekly'!$H$1:$CT$1,"&gt;="&amp;AC$1,'UX Weekly'!$H$1:$CT$1,"&lt;="&amp;EOMONTH(AC$1,0),'UX Weekly'!$H45:$CT45,"&lt;&gt;"))</f>
        <v>0</v>
      </c>
      <c r="AD45">
        <f>IF($B45="",0,COUNTIFS('UX Weekly'!$H$1:$CT$1,"&gt;="&amp;AD$1,'UX Weekly'!$H$1:$CT$1,"&lt;="&amp;EOMONTH(AD$1,0),'UX Weekly'!$H45:$CT45,"&lt;&gt;"))</f>
        <v>0</v>
      </c>
      <c r="AE45">
        <f>IF($B45="",0,COUNTIFS('UX Weekly'!$H$1:$CT$1,"&gt;="&amp;AE$1,'UX Weekly'!$H$1:$CT$1,"&lt;="&amp;EOMONTH(AE$1,0),'UX Weekly'!$H45:$CT45,"&lt;&gt;"))</f>
        <v>0</v>
      </c>
      <c r="AF45">
        <f>IF($B45="",0,COUNTIFS('UX Weekly'!$H$1:$CT$1,"&gt;="&amp;AF$1,'UX Weekly'!$H$1:$CT$1,"&lt;="&amp;EOMONTH(AF$1,0),'UX Weekly'!$H45:$CT45,"&lt;&gt;"))</f>
        <v>0</v>
      </c>
      <c r="AG45">
        <f>IF($B45="",0,COUNTIFS('UX Weekly'!$H$1:$CT$1,"&gt;="&amp;AG$1,'UX Weekly'!$H$1:$CT$1,"&lt;="&amp;EOMONTH(AG$1,0),'UX Weekly'!$H45:$CT45,"&lt;&gt;"))</f>
        <v>0</v>
      </c>
      <c r="AH45">
        <f>IF($B45="",0,COUNTIFS('UX Weekly'!$H$1:$CT$1,"&gt;="&amp;AH$1,'UX Weekly'!$H$1:$CT$1,"&lt;="&amp;EOMONTH(AH$1,0),'UX Weekly'!$H45:$CT45,"&lt;&gt;"))</f>
        <v>0</v>
      </c>
      <c r="AI45">
        <f>IF($B45="",0,COUNTIFS('UX Weekly'!$H$1:$CT$1,"&gt;="&amp;AI$1,'UX Weekly'!$H$1:$CT$1,"&lt;="&amp;EOMONTH(AI$1,0),'UX Weekly'!$H45:$CT45,"&lt;&gt;"))</f>
        <v>0</v>
      </c>
      <c r="AJ45">
        <f>IF($B45="",0,COUNTIFS('UX Weekly'!$H$1:$CT$1,"&gt;="&amp;AJ$1,'UX Weekly'!$H$1:$CT$1,"&lt;="&amp;EOMONTH(AJ$1,0),'UX Weekly'!$H45:$CT45,"&lt;&gt;"))</f>
        <v>0</v>
      </c>
      <c r="AK45">
        <f>IF($B45="",0,COUNTIFS('UX Weekly'!$H$1:$CT$1,"&gt;="&amp;AK$1,'UX Weekly'!$H$1:$CT$1,"&lt;="&amp;EOMONTH(AK$1,0),'UX Weekly'!$H45:$CT45,"&lt;&gt;"))</f>
        <v>0</v>
      </c>
      <c r="AL45">
        <f>IF($B45="",0,COUNTIFS('UX Weekly'!$H$1:$CT$1,"&gt;="&amp;AL$1,'UX Weekly'!$H$1:$CT$1,"&lt;="&amp;EOMONTH(AL$1,0),'UX Weekly'!$H45:$CT45,"&lt;&gt;"))</f>
        <v>0</v>
      </c>
      <c r="AM45">
        <f>IF($B45="",0,COUNTIFS('UX Weekly'!$H$1:$CT$1,"&gt;="&amp;AM$1,'UX Weekly'!$H$1:$CT$1,"&lt;="&amp;EOMONTH(AM$1,0),'UX Weekly'!$H45:$CT45,"&lt;&gt;"))</f>
        <v>0</v>
      </c>
      <c r="AN45">
        <f>IF($B45="",0,COUNTIFS('UX Weekly'!$H$1:$CT$1,"&gt;="&amp;AN$1,'UX Weekly'!$H$1:$CT$1,"&lt;="&amp;EOMONTH(AN$1,0),'UX Weekly'!$H45:$CT45,"&lt;&gt;"))</f>
        <v>0</v>
      </c>
      <c r="AO45">
        <f>IF($B45="",0,COUNTIFS('UX Weekly'!$H$1:$CT$1,"&gt;="&amp;AO$1,'UX Weekly'!$H$1:$CT$1,"&lt;="&amp;EOMONTH(AO$1,0),'UX Weekly'!$H45:$CT45,"&lt;&gt;"))</f>
        <v>0</v>
      </c>
      <c r="AP45">
        <f>IF($B45="",0,COUNTIFS('UX Weekly'!$H$1:$CT$1,"&gt;="&amp;AP$1,'UX Weekly'!$H$1:$CT$1,"&lt;="&amp;EOMONTH(AP$1,0),'UX Weekly'!$H45:$CT45,"&lt;&gt;"))</f>
        <v>0</v>
      </c>
      <c r="AQ45">
        <f>IF($B45="",0,COUNTIFS('UX Weekly'!$H$1:$CT$1,"&gt;="&amp;AQ$1,'UX Weekly'!$H$1:$CT$1,"&lt;="&amp;EOMONTH(AQ$1,0),'UX Weekly'!$H45:$CT45,"&lt;&gt;"))</f>
        <v>0</v>
      </c>
      <c r="AR45">
        <f>IF($B45="",0,COUNTIFS('UX Weekly'!$H$1:$CT$1,"&gt;="&amp;AR$1,'UX Weekly'!$H$1:$CT$1,"&lt;="&amp;EOMONTH(AR$1,0),'UX Weekly'!$H45:$CT45,"&lt;&gt;"))</f>
        <v>0</v>
      </c>
      <c r="AS45">
        <f>IF($B45="",0,COUNTIFS('UX Weekly'!$H$1:$CT$1,"&gt;="&amp;AS$1,'UX Weekly'!$H$1:$CT$1,"&lt;="&amp;EOMONTH(AS$1,0),'UX Weekly'!$H45:$CT45,"&lt;&gt;"))</f>
        <v>0</v>
      </c>
      <c r="AT45">
        <f>IF($B45="",0,COUNTIFS('UX Weekly'!$H$1:$CT$1,"&gt;="&amp;AT$1,'UX Weekly'!$H$1:$CT$1,"&lt;="&amp;EOMONTH(AT$1,0),'UX Weekly'!$H45:$CT45,"&lt;&gt;"))</f>
        <v>0</v>
      </c>
    </row>
    <row r="46" spans="1:46" x14ac:dyDescent="0.2">
      <c r="A46" s="147">
        <v>47</v>
      </c>
      <c r="B46" s="147" t="str">
        <f>IF(TRIM('UX Weekly'!E46)="","",TRIM('UX Weekly'!E46))</f>
        <v>Used Hub Enhancements</v>
      </c>
      <c r="C46" s="147" t="str">
        <f>IF($B46="","",'UX Weekly'!B46)</f>
        <v>Used</v>
      </c>
      <c r="D46" s="147" t="str">
        <f>IF($B46="","",IF(TRIM('UX Weekly'!C46)="","(No theme assigned)",TRIM('UX Weekly'!C46)))</f>
        <v>Increase Buy Used Awareness</v>
      </c>
      <c r="E46" s="147" t="str">
        <f>IF($B46="","",TRIM('UX Weekly'!F46))</f>
        <v>BHUX-31354 </v>
      </c>
      <c r="F46" s="147" t="str">
        <f>IF($B46="","",'UX Weekly'!G46)</f>
        <v>13. Live</v>
      </c>
      <c r="G46" s="148" t="str">
        <f t="array" ref="G46">IF($B46="","",IF($S46=0,"",IFERROR(MIN(IF('UX Weekly'!$H46:$CT46&lt;&gt;"",'UX Weekly'!$H$1:$CT$1)),"")))</f>
        <v/>
      </c>
      <c r="H46" s="148" t="str">
        <f t="array" ref="H46">IF($B46="","",IF($S46=0,"",IFERROR(MAX(IF('UX Weekly'!$H46:$CT46&lt;&gt;"",'UX Weekly'!$H$1:$CT$1)),"")))</f>
        <v/>
      </c>
      <c r="I46" s="149" t="str">
        <f t="shared" ca="1" si="3"/>
        <v/>
      </c>
      <c r="J46" s="149" t="str">
        <f t="shared" ca="1" si="4"/>
        <v/>
      </c>
      <c r="K46" s="147">
        <f>IF($B46="","",IFERROR(MATCH($B46,'Dev Tracker'!$D$2:$D$196,0),IF($E46="","",IFERROR(MATCH($E46,'Dev Tracker'!$E$2:$E$196,0),""))))</f>
        <v>45</v>
      </c>
      <c r="L46" s="147">
        <f>IF($B46="","",IFERROR(MATCH($D46,'Control (Don’t Touch)'!$E$4:$E$30,0),99))</f>
        <v>5</v>
      </c>
      <c r="M46" s="147">
        <f>IF($B46="","",IFERROR(MATCH($F46,'Control (Don’t Touch)'!$B$4:$B$30,0),99))</f>
        <v>16</v>
      </c>
      <c r="N46" s="147">
        <f t="shared" si="5"/>
        <v>5160046</v>
      </c>
      <c r="O46" s="147">
        <f>IF($B46="","",COUNTIF($N$2:$N$204,"&lt;"&amp;$N46)+1)</f>
        <v>30</v>
      </c>
      <c r="P46" s="149" t="str">
        <f ca="1">IF($K46="","",IFERROR(DATE(IFERROR(VALUE(RIGHT(TRIM(INDEX('Dev Tracker'!$I$2:$I$196,$K46)),4)),YEAR(TODAY())),MATCH(LEFT(TRIM(INDEX('Dev Tracker'!$I$2:$I$196,$K46)),3),$U$2:$U$12,0),1),""))</f>
        <v/>
      </c>
      <c r="Q46" s="149" t="str">
        <f ca="1">IF($K46="","",IFERROR(DATE(IFERROR(VALUE(RIGHT(TRIM(INDEX('Dev Tracker'!$J$2:$J$196,$K46)),4)),YEAR(TODAY())),MATCH(LEFT(TRIM(INDEX('Dev Tracker'!$J$2:$J$196,$K46)),3),$U$2:$U$12,0),1),""))</f>
        <v/>
      </c>
      <c r="R46" s="147"/>
      <c r="S46" s="147">
        <f>IF($B46="","",COUNTA('UX Weekly'!$H46:$CT46))</f>
        <v>0</v>
      </c>
      <c r="W46">
        <f>IF($B46="",0,COUNTIFS('UX Weekly'!$H$1:$CT$1,"&gt;="&amp;W$1,'UX Weekly'!$H$1:$CT$1,"&lt;="&amp;EOMONTH(W$1,0),'UX Weekly'!$H46:$CT46,"&lt;&gt;"))</f>
        <v>0</v>
      </c>
      <c r="X46">
        <f>IF($B46="",0,COUNTIFS('UX Weekly'!$H$1:$CT$1,"&gt;="&amp;X$1,'UX Weekly'!$H$1:$CT$1,"&lt;="&amp;EOMONTH(X$1,0),'UX Weekly'!$H46:$CT46,"&lt;&gt;"))</f>
        <v>0</v>
      </c>
      <c r="Y46">
        <f>IF($B46="",0,COUNTIFS('UX Weekly'!$H$1:$CT$1,"&gt;="&amp;Y$1,'UX Weekly'!$H$1:$CT$1,"&lt;="&amp;EOMONTH(Y$1,0),'UX Weekly'!$H46:$CT46,"&lt;&gt;"))</f>
        <v>0</v>
      </c>
      <c r="Z46">
        <f>IF($B46="",0,COUNTIFS('UX Weekly'!$H$1:$CT$1,"&gt;="&amp;Z$1,'UX Weekly'!$H$1:$CT$1,"&lt;="&amp;EOMONTH(Z$1,0),'UX Weekly'!$H46:$CT46,"&lt;&gt;"))</f>
        <v>0</v>
      </c>
      <c r="AA46">
        <f>IF($B46="",0,COUNTIFS('UX Weekly'!$H$1:$CT$1,"&gt;="&amp;AA$1,'UX Weekly'!$H$1:$CT$1,"&lt;="&amp;EOMONTH(AA$1,0),'UX Weekly'!$H46:$CT46,"&lt;&gt;"))</f>
        <v>0</v>
      </c>
      <c r="AB46">
        <f>IF($B46="",0,COUNTIFS('UX Weekly'!$H$1:$CT$1,"&gt;="&amp;AB$1,'UX Weekly'!$H$1:$CT$1,"&lt;="&amp;EOMONTH(AB$1,0),'UX Weekly'!$H46:$CT46,"&lt;&gt;"))</f>
        <v>0</v>
      </c>
      <c r="AC46">
        <f>IF($B46="",0,COUNTIFS('UX Weekly'!$H$1:$CT$1,"&gt;="&amp;AC$1,'UX Weekly'!$H$1:$CT$1,"&lt;="&amp;EOMONTH(AC$1,0),'UX Weekly'!$H46:$CT46,"&lt;&gt;"))</f>
        <v>0</v>
      </c>
      <c r="AD46">
        <f>IF($B46="",0,COUNTIFS('UX Weekly'!$H$1:$CT$1,"&gt;="&amp;AD$1,'UX Weekly'!$H$1:$CT$1,"&lt;="&amp;EOMONTH(AD$1,0),'UX Weekly'!$H46:$CT46,"&lt;&gt;"))</f>
        <v>0</v>
      </c>
      <c r="AE46">
        <f>IF($B46="",0,COUNTIFS('UX Weekly'!$H$1:$CT$1,"&gt;="&amp;AE$1,'UX Weekly'!$H$1:$CT$1,"&lt;="&amp;EOMONTH(AE$1,0),'UX Weekly'!$H46:$CT46,"&lt;&gt;"))</f>
        <v>0</v>
      </c>
      <c r="AF46">
        <f>IF($B46="",0,COUNTIFS('UX Weekly'!$H$1:$CT$1,"&gt;="&amp;AF$1,'UX Weekly'!$H$1:$CT$1,"&lt;="&amp;EOMONTH(AF$1,0),'UX Weekly'!$H46:$CT46,"&lt;&gt;"))</f>
        <v>0</v>
      </c>
      <c r="AG46">
        <f>IF($B46="",0,COUNTIFS('UX Weekly'!$H$1:$CT$1,"&gt;="&amp;AG$1,'UX Weekly'!$H$1:$CT$1,"&lt;="&amp;EOMONTH(AG$1,0),'UX Weekly'!$H46:$CT46,"&lt;&gt;"))</f>
        <v>0</v>
      </c>
      <c r="AH46">
        <f>IF($B46="",0,COUNTIFS('UX Weekly'!$H$1:$CT$1,"&gt;="&amp;AH$1,'UX Weekly'!$H$1:$CT$1,"&lt;="&amp;EOMONTH(AH$1,0),'UX Weekly'!$H46:$CT46,"&lt;&gt;"))</f>
        <v>0</v>
      </c>
      <c r="AI46">
        <f>IF($B46="",0,COUNTIFS('UX Weekly'!$H$1:$CT$1,"&gt;="&amp;AI$1,'UX Weekly'!$H$1:$CT$1,"&lt;="&amp;EOMONTH(AI$1,0),'UX Weekly'!$H46:$CT46,"&lt;&gt;"))</f>
        <v>0</v>
      </c>
      <c r="AJ46">
        <f>IF($B46="",0,COUNTIFS('UX Weekly'!$H$1:$CT$1,"&gt;="&amp;AJ$1,'UX Weekly'!$H$1:$CT$1,"&lt;="&amp;EOMONTH(AJ$1,0),'UX Weekly'!$H46:$CT46,"&lt;&gt;"))</f>
        <v>0</v>
      </c>
      <c r="AK46">
        <f>IF($B46="",0,COUNTIFS('UX Weekly'!$H$1:$CT$1,"&gt;="&amp;AK$1,'UX Weekly'!$H$1:$CT$1,"&lt;="&amp;EOMONTH(AK$1,0),'UX Weekly'!$H46:$CT46,"&lt;&gt;"))</f>
        <v>0</v>
      </c>
      <c r="AL46">
        <f>IF($B46="",0,COUNTIFS('UX Weekly'!$H$1:$CT$1,"&gt;="&amp;AL$1,'UX Weekly'!$H$1:$CT$1,"&lt;="&amp;EOMONTH(AL$1,0),'UX Weekly'!$H46:$CT46,"&lt;&gt;"))</f>
        <v>0</v>
      </c>
      <c r="AM46">
        <f>IF($B46="",0,COUNTIFS('UX Weekly'!$H$1:$CT$1,"&gt;="&amp;AM$1,'UX Weekly'!$H$1:$CT$1,"&lt;="&amp;EOMONTH(AM$1,0),'UX Weekly'!$H46:$CT46,"&lt;&gt;"))</f>
        <v>0</v>
      </c>
      <c r="AN46">
        <f>IF($B46="",0,COUNTIFS('UX Weekly'!$H$1:$CT$1,"&gt;="&amp;AN$1,'UX Weekly'!$H$1:$CT$1,"&lt;="&amp;EOMONTH(AN$1,0),'UX Weekly'!$H46:$CT46,"&lt;&gt;"))</f>
        <v>0</v>
      </c>
      <c r="AO46">
        <f>IF($B46="",0,COUNTIFS('UX Weekly'!$H$1:$CT$1,"&gt;="&amp;AO$1,'UX Weekly'!$H$1:$CT$1,"&lt;="&amp;EOMONTH(AO$1,0),'UX Weekly'!$H46:$CT46,"&lt;&gt;"))</f>
        <v>0</v>
      </c>
      <c r="AP46">
        <f>IF($B46="",0,COUNTIFS('UX Weekly'!$H$1:$CT$1,"&gt;="&amp;AP$1,'UX Weekly'!$H$1:$CT$1,"&lt;="&amp;EOMONTH(AP$1,0),'UX Weekly'!$H46:$CT46,"&lt;&gt;"))</f>
        <v>0</v>
      </c>
      <c r="AQ46">
        <f>IF($B46="",0,COUNTIFS('UX Weekly'!$H$1:$CT$1,"&gt;="&amp;AQ$1,'UX Weekly'!$H$1:$CT$1,"&lt;="&amp;EOMONTH(AQ$1,0),'UX Weekly'!$H46:$CT46,"&lt;&gt;"))</f>
        <v>0</v>
      </c>
      <c r="AR46">
        <f>IF($B46="",0,COUNTIFS('UX Weekly'!$H$1:$CT$1,"&gt;="&amp;AR$1,'UX Weekly'!$H$1:$CT$1,"&lt;="&amp;EOMONTH(AR$1,0),'UX Weekly'!$H46:$CT46,"&lt;&gt;"))</f>
        <v>0</v>
      </c>
      <c r="AS46">
        <f>IF($B46="",0,COUNTIFS('UX Weekly'!$H$1:$CT$1,"&gt;="&amp;AS$1,'UX Weekly'!$H$1:$CT$1,"&lt;="&amp;EOMONTH(AS$1,0),'UX Weekly'!$H46:$CT46,"&lt;&gt;"))</f>
        <v>0</v>
      </c>
      <c r="AT46">
        <f>IF($B46="",0,COUNTIFS('UX Weekly'!$H$1:$CT$1,"&gt;="&amp;AT$1,'UX Weekly'!$H$1:$CT$1,"&lt;="&amp;EOMONTH(AT$1,0),'UX Weekly'!$H46:$CT46,"&lt;&gt;"))</f>
        <v>0</v>
      </c>
    </row>
    <row r="47" spans="1:46" x14ac:dyDescent="0.2">
      <c r="A47" s="147">
        <v>48</v>
      </c>
      <c r="B47" s="147" t="str">
        <f>IF(TRIM('UX Weekly'!E47)="","",TRIM('UX Weekly'!E47))</f>
        <v/>
      </c>
      <c r="C47" s="147" t="str">
        <f>IF($B47="","",'UX Weekly'!B47)</f>
        <v/>
      </c>
      <c r="D47" s="147" t="str">
        <f>IF($B47="","",IF(TRIM('UX Weekly'!C47)="","(No theme assigned)",TRIM('UX Weekly'!C47)))</f>
        <v/>
      </c>
      <c r="E47" s="147" t="str">
        <f>IF($B47="","",TRIM('UX Weekly'!F47))</f>
        <v/>
      </c>
      <c r="F47" s="147" t="str">
        <f>IF($B47="","",'UX Weekly'!G47)</f>
        <v/>
      </c>
      <c r="G47" s="148" t="str">
        <f t="array" ref="G47">IF($B47="","",IF($S47=0,"",IFERROR(MIN(IF('UX Weekly'!$H47:$CT47&lt;&gt;"",'UX Weekly'!$H$1:$CT$1)),"")))</f>
        <v/>
      </c>
      <c r="H47" s="148" t="str">
        <f t="array" ref="H47">IF($B47="","",IF($S47=0,"",IFERROR(MAX(IF('UX Weekly'!$H47:$CT47&lt;&gt;"",'UX Weekly'!$H$1:$CT$1)),"")))</f>
        <v/>
      </c>
      <c r="I47" s="149" t="str">
        <f t="shared" ca="1" si="3"/>
        <v/>
      </c>
      <c r="J47" s="149" t="str">
        <f t="shared" ca="1" si="4"/>
        <v/>
      </c>
      <c r="K47" s="147" t="str">
        <f>IF($B47="","",IFERROR(MATCH($B47,'Dev Tracker'!$D$2:$D$196,0),IF($E47="","",IFERROR(MATCH($E47,'Dev Tracker'!$E$2:$E$196,0),""))))</f>
        <v/>
      </c>
      <c r="L47" s="147" t="str">
        <f>IF($B47="","",IFERROR(MATCH($D47,'Control (Don’t Touch)'!$E$4:$E$30,0),99))</f>
        <v/>
      </c>
      <c r="M47" s="147" t="str">
        <f>IF($B47="","",IFERROR(MATCH($F47,'Control (Don’t Touch)'!$B$4:$B$30,0),99))</f>
        <v/>
      </c>
      <c r="N47" s="147" t="str">
        <f t="shared" si="5"/>
        <v/>
      </c>
      <c r="O47" s="147" t="str">
        <f>IF($B47="","",COUNTIF($N$2:$N$204,"&lt;"&amp;$N47)+1)</f>
        <v/>
      </c>
      <c r="P47" s="149" t="str">
        <f ca="1">IF($K47="","",IFERROR(DATE(IFERROR(VALUE(RIGHT(TRIM(INDEX('Dev Tracker'!$I$2:$I$196,$K47)),4)),YEAR(TODAY())),MATCH(LEFT(TRIM(INDEX('Dev Tracker'!$I$2:$I$196,$K47)),3),$U$2:$U$12,0),1),""))</f>
        <v/>
      </c>
      <c r="Q47" s="149" t="str">
        <f ca="1">IF($K47="","",IFERROR(DATE(IFERROR(VALUE(RIGHT(TRIM(INDEX('Dev Tracker'!$J$2:$J$196,$K47)),4)),YEAR(TODAY())),MATCH(LEFT(TRIM(INDEX('Dev Tracker'!$J$2:$J$196,$K47)),3),$U$2:$U$12,0),1),""))</f>
        <v/>
      </c>
      <c r="R47" s="147"/>
      <c r="S47" s="147" t="str">
        <f>IF($B47="","",COUNTA('UX Weekly'!$H47:$CT47))</f>
        <v/>
      </c>
      <c r="W47">
        <f>IF($B47="",0,COUNTIFS('UX Weekly'!$H$1:$CT$1,"&gt;="&amp;W$1,'UX Weekly'!$H$1:$CT$1,"&lt;="&amp;EOMONTH(W$1,0),'UX Weekly'!$H47:$CT47,"&lt;&gt;"))</f>
        <v>0</v>
      </c>
      <c r="X47">
        <f>IF($B47="",0,COUNTIFS('UX Weekly'!$H$1:$CT$1,"&gt;="&amp;X$1,'UX Weekly'!$H$1:$CT$1,"&lt;="&amp;EOMONTH(X$1,0),'UX Weekly'!$H47:$CT47,"&lt;&gt;"))</f>
        <v>0</v>
      </c>
      <c r="Y47">
        <f>IF($B47="",0,COUNTIFS('UX Weekly'!$H$1:$CT$1,"&gt;="&amp;Y$1,'UX Weekly'!$H$1:$CT$1,"&lt;="&amp;EOMONTH(Y$1,0),'UX Weekly'!$H47:$CT47,"&lt;&gt;"))</f>
        <v>0</v>
      </c>
      <c r="Z47">
        <f>IF($B47="",0,COUNTIFS('UX Weekly'!$H$1:$CT$1,"&gt;="&amp;Z$1,'UX Weekly'!$H$1:$CT$1,"&lt;="&amp;EOMONTH(Z$1,0),'UX Weekly'!$H47:$CT47,"&lt;&gt;"))</f>
        <v>0</v>
      </c>
      <c r="AA47">
        <f>IF($B47="",0,COUNTIFS('UX Weekly'!$H$1:$CT$1,"&gt;="&amp;AA$1,'UX Weekly'!$H$1:$CT$1,"&lt;="&amp;EOMONTH(AA$1,0),'UX Weekly'!$H47:$CT47,"&lt;&gt;"))</f>
        <v>0</v>
      </c>
      <c r="AB47">
        <f>IF($B47="",0,COUNTIFS('UX Weekly'!$H$1:$CT$1,"&gt;="&amp;AB$1,'UX Weekly'!$H$1:$CT$1,"&lt;="&amp;EOMONTH(AB$1,0),'UX Weekly'!$H47:$CT47,"&lt;&gt;"))</f>
        <v>0</v>
      </c>
      <c r="AC47">
        <f>IF($B47="",0,COUNTIFS('UX Weekly'!$H$1:$CT$1,"&gt;="&amp;AC$1,'UX Weekly'!$H$1:$CT$1,"&lt;="&amp;EOMONTH(AC$1,0),'UX Weekly'!$H47:$CT47,"&lt;&gt;"))</f>
        <v>0</v>
      </c>
      <c r="AD47">
        <f>IF($B47="",0,COUNTIFS('UX Weekly'!$H$1:$CT$1,"&gt;="&amp;AD$1,'UX Weekly'!$H$1:$CT$1,"&lt;="&amp;EOMONTH(AD$1,0),'UX Weekly'!$H47:$CT47,"&lt;&gt;"))</f>
        <v>0</v>
      </c>
      <c r="AE47">
        <f>IF($B47="",0,COUNTIFS('UX Weekly'!$H$1:$CT$1,"&gt;="&amp;AE$1,'UX Weekly'!$H$1:$CT$1,"&lt;="&amp;EOMONTH(AE$1,0),'UX Weekly'!$H47:$CT47,"&lt;&gt;"))</f>
        <v>0</v>
      </c>
      <c r="AF47">
        <f>IF($B47="",0,COUNTIFS('UX Weekly'!$H$1:$CT$1,"&gt;="&amp;AF$1,'UX Weekly'!$H$1:$CT$1,"&lt;="&amp;EOMONTH(AF$1,0),'UX Weekly'!$H47:$CT47,"&lt;&gt;"))</f>
        <v>0</v>
      </c>
      <c r="AG47">
        <f>IF($B47="",0,COUNTIFS('UX Weekly'!$H$1:$CT$1,"&gt;="&amp;AG$1,'UX Weekly'!$H$1:$CT$1,"&lt;="&amp;EOMONTH(AG$1,0),'UX Weekly'!$H47:$CT47,"&lt;&gt;"))</f>
        <v>0</v>
      </c>
      <c r="AH47">
        <f>IF($B47="",0,COUNTIFS('UX Weekly'!$H$1:$CT$1,"&gt;="&amp;AH$1,'UX Weekly'!$H$1:$CT$1,"&lt;="&amp;EOMONTH(AH$1,0),'UX Weekly'!$H47:$CT47,"&lt;&gt;"))</f>
        <v>0</v>
      </c>
      <c r="AI47">
        <f>IF($B47="",0,COUNTIFS('UX Weekly'!$H$1:$CT$1,"&gt;="&amp;AI$1,'UX Weekly'!$H$1:$CT$1,"&lt;="&amp;EOMONTH(AI$1,0),'UX Weekly'!$H47:$CT47,"&lt;&gt;"))</f>
        <v>0</v>
      </c>
      <c r="AJ47">
        <f>IF($B47="",0,COUNTIFS('UX Weekly'!$H$1:$CT$1,"&gt;="&amp;AJ$1,'UX Weekly'!$H$1:$CT$1,"&lt;="&amp;EOMONTH(AJ$1,0),'UX Weekly'!$H47:$CT47,"&lt;&gt;"))</f>
        <v>0</v>
      </c>
      <c r="AK47">
        <f>IF($B47="",0,COUNTIFS('UX Weekly'!$H$1:$CT$1,"&gt;="&amp;AK$1,'UX Weekly'!$H$1:$CT$1,"&lt;="&amp;EOMONTH(AK$1,0),'UX Weekly'!$H47:$CT47,"&lt;&gt;"))</f>
        <v>0</v>
      </c>
      <c r="AL47">
        <f>IF($B47="",0,COUNTIFS('UX Weekly'!$H$1:$CT$1,"&gt;="&amp;AL$1,'UX Weekly'!$H$1:$CT$1,"&lt;="&amp;EOMONTH(AL$1,0),'UX Weekly'!$H47:$CT47,"&lt;&gt;"))</f>
        <v>0</v>
      </c>
      <c r="AM47">
        <f>IF($B47="",0,COUNTIFS('UX Weekly'!$H$1:$CT$1,"&gt;="&amp;AM$1,'UX Weekly'!$H$1:$CT$1,"&lt;="&amp;EOMONTH(AM$1,0),'UX Weekly'!$H47:$CT47,"&lt;&gt;"))</f>
        <v>0</v>
      </c>
      <c r="AN47">
        <f>IF($B47="",0,COUNTIFS('UX Weekly'!$H$1:$CT$1,"&gt;="&amp;AN$1,'UX Weekly'!$H$1:$CT$1,"&lt;="&amp;EOMONTH(AN$1,0),'UX Weekly'!$H47:$CT47,"&lt;&gt;"))</f>
        <v>0</v>
      </c>
      <c r="AO47">
        <f>IF($B47="",0,COUNTIFS('UX Weekly'!$H$1:$CT$1,"&gt;="&amp;AO$1,'UX Weekly'!$H$1:$CT$1,"&lt;="&amp;EOMONTH(AO$1,0),'UX Weekly'!$H47:$CT47,"&lt;&gt;"))</f>
        <v>0</v>
      </c>
      <c r="AP47">
        <f>IF($B47="",0,COUNTIFS('UX Weekly'!$H$1:$CT$1,"&gt;="&amp;AP$1,'UX Weekly'!$H$1:$CT$1,"&lt;="&amp;EOMONTH(AP$1,0),'UX Weekly'!$H47:$CT47,"&lt;&gt;"))</f>
        <v>0</v>
      </c>
      <c r="AQ47">
        <f>IF($B47="",0,COUNTIFS('UX Weekly'!$H$1:$CT$1,"&gt;="&amp;AQ$1,'UX Weekly'!$H$1:$CT$1,"&lt;="&amp;EOMONTH(AQ$1,0),'UX Weekly'!$H47:$CT47,"&lt;&gt;"))</f>
        <v>0</v>
      </c>
      <c r="AR47">
        <f>IF($B47="",0,COUNTIFS('UX Weekly'!$H$1:$CT$1,"&gt;="&amp;AR$1,'UX Weekly'!$H$1:$CT$1,"&lt;="&amp;EOMONTH(AR$1,0),'UX Weekly'!$H47:$CT47,"&lt;&gt;"))</f>
        <v>0</v>
      </c>
      <c r="AS47">
        <f>IF($B47="",0,COUNTIFS('UX Weekly'!$H$1:$CT$1,"&gt;="&amp;AS$1,'UX Weekly'!$H$1:$CT$1,"&lt;="&amp;EOMONTH(AS$1,0),'UX Weekly'!$H47:$CT47,"&lt;&gt;"))</f>
        <v>0</v>
      </c>
      <c r="AT47">
        <f>IF($B47="",0,COUNTIFS('UX Weekly'!$H$1:$CT$1,"&gt;="&amp;AT$1,'UX Weekly'!$H$1:$CT$1,"&lt;="&amp;EOMONTH(AT$1,0),'UX Weekly'!$H47:$CT47,"&lt;&gt;"))</f>
        <v>0</v>
      </c>
    </row>
    <row r="48" spans="1:46" x14ac:dyDescent="0.2">
      <c r="A48" s="147">
        <v>49</v>
      </c>
      <c r="B48" s="147" t="str">
        <f>IF(TRIM('UX Weekly'!E48)="","",TRIM('UX Weekly'!E48))</f>
        <v/>
      </c>
      <c r="C48" s="147" t="str">
        <f>IF($B48="","",'UX Weekly'!B48)</f>
        <v/>
      </c>
      <c r="D48" s="147" t="str">
        <f>IF($B48="","",IF(TRIM('UX Weekly'!C48)="","(No theme assigned)",TRIM('UX Weekly'!C48)))</f>
        <v/>
      </c>
      <c r="E48" s="147" t="str">
        <f>IF($B48="","",TRIM('UX Weekly'!F48))</f>
        <v/>
      </c>
      <c r="F48" s="147" t="str">
        <f>IF($B48="","",'UX Weekly'!G48)</f>
        <v/>
      </c>
      <c r="G48" s="148" t="str">
        <f t="array" ref="G48">IF($B48="","",IF($S48=0,"",IFERROR(MIN(IF('UX Weekly'!$H48:$CT48&lt;&gt;"",'UX Weekly'!$H$1:$CT$1)),"")))</f>
        <v/>
      </c>
      <c r="H48" s="148" t="str">
        <f t="array" ref="H48">IF($B48="","",IF($S48=0,"",IFERROR(MAX(IF('UX Weekly'!$H48:$CT48&lt;&gt;"",'UX Weekly'!$H$1:$CT$1)),"")))</f>
        <v/>
      </c>
      <c r="I48" s="149" t="str">
        <f t="shared" ca="1" si="3"/>
        <v/>
      </c>
      <c r="J48" s="149" t="str">
        <f t="shared" ca="1" si="4"/>
        <v/>
      </c>
      <c r="K48" s="147" t="str">
        <f>IF($B48="","",IFERROR(MATCH($B48,'Dev Tracker'!$D$2:$D$196,0),IF($E48="","",IFERROR(MATCH($E48,'Dev Tracker'!$E$2:$E$196,0),""))))</f>
        <v/>
      </c>
      <c r="L48" s="147" t="str">
        <f>IF($B48="","",IFERROR(MATCH($D48,'Control (Don’t Touch)'!$E$4:$E$30,0),99))</f>
        <v/>
      </c>
      <c r="M48" s="147" t="str">
        <f>IF($B48="","",IFERROR(MATCH($F48,'Control (Don’t Touch)'!$B$4:$B$30,0),99))</f>
        <v/>
      </c>
      <c r="N48" s="147" t="str">
        <f t="shared" si="5"/>
        <v/>
      </c>
      <c r="O48" s="147" t="str">
        <f>IF($B48="","",COUNTIF($N$2:$N$204,"&lt;"&amp;$N48)+1)</f>
        <v/>
      </c>
      <c r="P48" s="149" t="str">
        <f ca="1">IF($K48="","",IFERROR(DATE(IFERROR(VALUE(RIGHT(TRIM(INDEX('Dev Tracker'!$I$2:$I$196,$K48)),4)),YEAR(TODAY())),MATCH(LEFT(TRIM(INDEX('Dev Tracker'!$I$2:$I$196,$K48)),3),$U$2:$U$12,0),1),""))</f>
        <v/>
      </c>
      <c r="Q48" s="149" t="str">
        <f ca="1">IF($K48="","",IFERROR(DATE(IFERROR(VALUE(RIGHT(TRIM(INDEX('Dev Tracker'!$J$2:$J$196,$K48)),4)),YEAR(TODAY())),MATCH(LEFT(TRIM(INDEX('Dev Tracker'!$J$2:$J$196,$K48)),3),$U$2:$U$12,0),1),""))</f>
        <v/>
      </c>
      <c r="R48" s="147"/>
      <c r="S48" s="147" t="str">
        <f>IF($B48="","",COUNTA('UX Weekly'!$H48:$CT48))</f>
        <v/>
      </c>
      <c r="W48">
        <f>IF($B48="",0,COUNTIFS('UX Weekly'!$H$1:$CT$1,"&gt;="&amp;W$1,'UX Weekly'!$H$1:$CT$1,"&lt;="&amp;EOMONTH(W$1,0),'UX Weekly'!$H48:$CT48,"&lt;&gt;"))</f>
        <v>0</v>
      </c>
      <c r="X48">
        <f>IF($B48="",0,COUNTIFS('UX Weekly'!$H$1:$CT$1,"&gt;="&amp;X$1,'UX Weekly'!$H$1:$CT$1,"&lt;="&amp;EOMONTH(X$1,0),'UX Weekly'!$H48:$CT48,"&lt;&gt;"))</f>
        <v>0</v>
      </c>
      <c r="Y48">
        <f>IF($B48="",0,COUNTIFS('UX Weekly'!$H$1:$CT$1,"&gt;="&amp;Y$1,'UX Weekly'!$H$1:$CT$1,"&lt;="&amp;EOMONTH(Y$1,0),'UX Weekly'!$H48:$CT48,"&lt;&gt;"))</f>
        <v>0</v>
      </c>
      <c r="Z48">
        <f>IF($B48="",0,COUNTIFS('UX Weekly'!$H$1:$CT$1,"&gt;="&amp;Z$1,'UX Weekly'!$H$1:$CT$1,"&lt;="&amp;EOMONTH(Z$1,0),'UX Weekly'!$H48:$CT48,"&lt;&gt;"))</f>
        <v>0</v>
      </c>
      <c r="AA48">
        <f>IF($B48="",0,COUNTIFS('UX Weekly'!$H$1:$CT$1,"&gt;="&amp;AA$1,'UX Weekly'!$H$1:$CT$1,"&lt;="&amp;EOMONTH(AA$1,0),'UX Weekly'!$H48:$CT48,"&lt;&gt;"))</f>
        <v>0</v>
      </c>
      <c r="AB48">
        <f>IF($B48="",0,COUNTIFS('UX Weekly'!$H$1:$CT$1,"&gt;="&amp;AB$1,'UX Weekly'!$H$1:$CT$1,"&lt;="&amp;EOMONTH(AB$1,0),'UX Weekly'!$H48:$CT48,"&lt;&gt;"))</f>
        <v>0</v>
      </c>
      <c r="AC48">
        <f>IF($B48="",0,COUNTIFS('UX Weekly'!$H$1:$CT$1,"&gt;="&amp;AC$1,'UX Weekly'!$H$1:$CT$1,"&lt;="&amp;EOMONTH(AC$1,0),'UX Weekly'!$H48:$CT48,"&lt;&gt;"))</f>
        <v>0</v>
      </c>
      <c r="AD48">
        <f>IF($B48="",0,COUNTIFS('UX Weekly'!$H$1:$CT$1,"&gt;="&amp;AD$1,'UX Weekly'!$H$1:$CT$1,"&lt;="&amp;EOMONTH(AD$1,0),'UX Weekly'!$H48:$CT48,"&lt;&gt;"))</f>
        <v>0</v>
      </c>
      <c r="AE48">
        <f>IF($B48="",0,COUNTIFS('UX Weekly'!$H$1:$CT$1,"&gt;="&amp;AE$1,'UX Weekly'!$H$1:$CT$1,"&lt;="&amp;EOMONTH(AE$1,0),'UX Weekly'!$H48:$CT48,"&lt;&gt;"))</f>
        <v>0</v>
      </c>
      <c r="AF48">
        <f>IF($B48="",0,COUNTIFS('UX Weekly'!$H$1:$CT$1,"&gt;="&amp;AF$1,'UX Weekly'!$H$1:$CT$1,"&lt;="&amp;EOMONTH(AF$1,0),'UX Weekly'!$H48:$CT48,"&lt;&gt;"))</f>
        <v>0</v>
      </c>
      <c r="AG48">
        <f>IF($B48="",0,COUNTIFS('UX Weekly'!$H$1:$CT$1,"&gt;="&amp;AG$1,'UX Weekly'!$H$1:$CT$1,"&lt;="&amp;EOMONTH(AG$1,0),'UX Weekly'!$H48:$CT48,"&lt;&gt;"))</f>
        <v>0</v>
      </c>
      <c r="AH48">
        <f>IF($B48="",0,COUNTIFS('UX Weekly'!$H$1:$CT$1,"&gt;="&amp;AH$1,'UX Weekly'!$H$1:$CT$1,"&lt;="&amp;EOMONTH(AH$1,0),'UX Weekly'!$H48:$CT48,"&lt;&gt;"))</f>
        <v>0</v>
      </c>
      <c r="AI48">
        <f>IF($B48="",0,COUNTIFS('UX Weekly'!$H$1:$CT$1,"&gt;="&amp;AI$1,'UX Weekly'!$H$1:$CT$1,"&lt;="&amp;EOMONTH(AI$1,0),'UX Weekly'!$H48:$CT48,"&lt;&gt;"))</f>
        <v>0</v>
      </c>
      <c r="AJ48">
        <f>IF($B48="",0,COUNTIFS('UX Weekly'!$H$1:$CT$1,"&gt;="&amp;AJ$1,'UX Weekly'!$H$1:$CT$1,"&lt;="&amp;EOMONTH(AJ$1,0),'UX Weekly'!$H48:$CT48,"&lt;&gt;"))</f>
        <v>0</v>
      </c>
      <c r="AK48">
        <f>IF($B48="",0,COUNTIFS('UX Weekly'!$H$1:$CT$1,"&gt;="&amp;AK$1,'UX Weekly'!$H$1:$CT$1,"&lt;="&amp;EOMONTH(AK$1,0),'UX Weekly'!$H48:$CT48,"&lt;&gt;"))</f>
        <v>0</v>
      </c>
      <c r="AL48">
        <f>IF($B48="",0,COUNTIFS('UX Weekly'!$H$1:$CT$1,"&gt;="&amp;AL$1,'UX Weekly'!$H$1:$CT$1,"&lt;="&amp;EOMONTH(AL$1,0),'UX Weekly'!$H48:$CT48,"&lt;&gt;"))</f>
        <v>0</v>
      </c>
      <c r="AM48">
        <f>IF($B48="",0,COUNTIFS('UX Weekly'!$H$1:$CT$1,"&gt;="&amp;AM$1,'UX Weekly'!$H$1:$CT$1,"&lt;="&amp;EOMONTH(AM$1,0),'UX Weekly'!$H48:$CT48,"&lt;&gt;"))</f>
        <v>0</v>
      </c>
      <c r="AN48">
        <f>IF($B48="",0,COUNTIFS('UX Weekly'!$H$1:$CT$1,"&gt;="&amp;AN$1,'UX Weekly'!$H$1:$CT$1,"&lt;="&amp;EOMONTH(AN$1,0),'UX Weekly'!$H48:$CT48,"&lt;&gt;"))</f>
        <v>0</v>
      </c>
      <c r="AO48">
        <f>IF($B48="",0,COUNTIFS('UX Weekly'!$H$1:$CT$1,"&gt;="&amp;AO$1,'UX Weekly'!$H$1:$CT$1,"&lt;="&amp;EOMONTH(AO$1,0),'UX Weekly'!$H48:$CT48,"&lt;&gt;"))</f>
        <v>0</v>
      </c>
      <c r="AP48">
        <f>IF($B48="",0,COUNTIFS('UX Weekly'!$H$1:$CT$1,"&gt;="&amp;AP$1,'UX Weekly'!$H$1:$CT$1,"&lt;="&amp;EOMONTH(AP$1,0),'UX Weekly'!$H48:$CT48,"&lt;&gt;"))</f>
        <v>0</v>
      </c>
      <c r="AQ48">
        <f>IF($B48="",0,COUNTIFS('UX Weekly'!$H$1:$CT$1,"&gt;="&amp;AQ$1,'UX Weekly'!$H$1:$CT$1,"&lt;="&amp;EOMONTH(AQ$1,0),'UX Weekly'!$H48:$CT48,"&lt;&gt;"))</f>
        <v>0</v>
      </c>
      <c r="AR48">
        <f>IF($B48="",0,COUNTIFS('UX Weekly'!$H$1:$CT$1,"&gt;="&amp;AR$1,'UX Weekly'!$H$1:$CT$1,"&lt;="&amp;EOMONTH(AR$1,0),'UX Weekly'!$H48:$CT48,"&lt;&gt;"))</f>
        <v>0</v>
      </c>
      <c r="AS48">
        <f>IF($B48="",0,COUNTIFS('UX Weekly'!$H$1:$CT$1,"&gt;="&amp;AS$1,'UX Weekly'!$H$1:$CT$1,"&lt;="&amp;EOMONTH(AS$1,0),'UX Weekly'!$H48:$CT48,"&lt;&gt;"))</f>
        <v>0</v>
      </c>
      <c r="AT48">
        <f>IF($B48="",0,COUNTIFS('UX Weekly'!$H$1:$CT$1,"&gt;="&amp;AT$1,'UX Weekly'!$H$1:$CT$1,"&lt;="&amp;EOMONTH(AT$1,0),'UX Weekly'!$H48:$CT48,"&lt;&gt;"))</f>
        <v>0</v>
      </c>
    </row>
    <row r="49" spans="1:46" x14ac:dyDescent="0.2">
      <c r="A49" s="147">
        <v>50</v>
      </c>
      <c r="B49" s="147" t="str">
        <f>IF(TRIM('UX Weekly'!E49)="","",TRIM('UX Weekly'!E49))</f>
        <v/>
      </c>
      <c r="C49" s="147" t="str">
        <f>IF($B49="","",'UX Weekly'!B49)</f>
        <v/>
      </c>
      <c r="D49" s="147" t="str">
        <f>IF($B49="","",IF(TRIM('UX Weekly'!C49)="","(No theme assigned)",TRIM('UX Weekly'!C49)))</f>
        <v/>
      </c>
      <c r="E49" s="147" t="str">
        <f>IF($B49="","",TRIM('UX Weekly'!F49))</f>
        <v/>
      </c>
      <c r="F49" s="147" t="str">
        <f>IF($B49="","",'UX Weekly'!G49)</f>
        <v/>
      </c>
      <c r="G49" s="148" t="str">
        <f t="array" ref="G49">IF($B49="","",IF($S49=0,"",IFERROR(MIN(IF('UX Weekly'!$H49:$CT49&lt;&gt;"",'UX Weekly'!$H$1:$CT$1)),"")))</f>
        <v/>
      </c>
      <c r="H49" s="148" t="str">
        <f t="array" ref="H49">IF($B49="","",IF($S49=0,"",IFERROR(MAX(IF('UX Weekly'!$H49:$CT49&lt;&gt;"",'UX Weekly'!$H$1:$CT$1)),"")))</f>
        <v/>
      </c>
      <c r="I49" s="149" t="str">
        <f t="shared" ca="1" si="3"/>
        <v/>
      </c>
      <c r="J49" s="149" t="str">
        <f t="shared" ca="1" si="4"/>
        <v/>
      </c>
      <c r="K49" s="147" t="str">
        <f>IF($B49="","",IFERROR(MATCH($B49,'Dev Tracker'!$D$2:$D$196,0),IF($E49="","",IFERROR(MATCH($E49,'Dev Tracker'!$E$2:$E$196,0),""))))</f>
        <v/>
      </c>
      <c r="L49" s="147" t="str">
        <f>IF($B49="","",IFERROR(MATCH($D49,'Control (Don’t Touch)'!$E$4:$E$30,0),99))</f>
        <v/>
      </c>
      <c r="M49" s="147" t="str">
        <f>IF($B49="","",IFERROR(MATCH($F49,'Control (Don’t Touch)'!$B$4:$B$30,0),99))</f>
        <v/>
      </c>
      <c r="N49" s="147" t="str">
        <f t="shared" si="5"/>
        <v/>
      </c>
      <c r="O49" s="147" t="str">
        <f>IF($B49="","",COUNTIF($N$2:$N$204,"&lt;"&amp;$N49)+1)</f>
        <v/>
      </c>
      <c r="P49" s="149" t="str">
        <f ca="1">IF($K49="","",IFERROR(DATE(IFERROR(VALUE(RIGHT(TRIM(INDEX('Dev Tracker'!$I$2:$I$196,$K49)),4)),YEAR(TODAY())),MATCH(LEFT(TRIM(INDEX('Dev Tracker'!$I$2:$I$196,$K49)),3),$U$2:$U$12,0),1),""))</f>
        <v/>
      </c>
      <c r="Q49" s="149" t="str">
        <f ca="1">IF($K49="","",IFERROR(DATE(IFERROR(VALUE(RIGHT(TRIM(INDEX('Dev Tracker'!$J$2:$J$196,$K49)),4)),YEAR(TODAY())),MATCH(LEFT(TRIM(INDEX('Dev Tracker'!$J$2:$J$196,$K49)),3),$U$2:$U$12,0),1),""))</f>
        <v/>
      </c>
      <c r="R49" s="147"/>
      <c r="S49" s="147" t="str">
        <f>IF($B49="","",COUNTA('UX Weekly'!$H49:$CT49))</f>
        <v/>
      </c>
      <c r="W49">
        <f>IF($B49="",0,COUNTIFS('UX Weekly'!$H$1:$CT$1,"&gt;="&amp;W$1,'UX Weekly'!$H$1:$CT$1,"&lt;="&amp;EOMONTH(W$1,0),'UX Weekly'!$H49:$CT49,"&lt;&gt;"))</f>
        <v>0</v>
      </c>
      <c r="X49">
        <f>IF($B49="",0,COUNTIFS('UX Weekly'!$H$1:$CT$1,"&gt;="&amp;X$1,'UX Weekly'!$H$1:$CT$1,"&lt;="&amp;EOMONTH(X$1,0),'UX Weekly'!$H49:$CT49,"&lt;&gt;"))</f>
        <v>0</v>
      </c>
      <c r="Y49">
        <f>IF($B49="",0,COUNTIFS('UX Weekly'!$H$1:$CT$1,"&gt;="&amp;Y$1,'UX Weekly'!$H$1:$CT$1,"&lt;="&amp;EOMONTH(Y$1,0),'UX Weekly'!$H49:$CT49,"&lt;&gt;"))</f>
        <v>0</v>
      </c>
      <c r="Z49">
        <f>IF($B49="",0,COUNTIFS('UX Weekly'!$H$1:$CT$1,"&gt;="&amp;Z$1,'UX Weekly'!$H$1:$CT$1,"&lt;="&amp;EOMONTH(Z$1,0),'UX Weekly'!$H49:$CT49,"&lt;&gt;"))</f>
        <v>0</v>
      </c>
      <c r="AA49">
        <f>IF($B49="",0,COUNTIFS('UX Weekly'!$H$1:$CT$1,"&gt;="&amp;AA$1,'UX Weekly'!$H$1:$CT$1,"&lt;="&amp;EOMONTH(AA$1,0),'UX Weekly'!$H49:$CT49,"&lt;&gt;"))</f>
        <v>0</v>
      </c>
      <c r="AB49">
        <f>IF($B49="",0,COUNTIFS('UX Weekly'!$H$1:$CT$1,"&gt;="&amp;AB$1,'UX Weekly'!$H$1:$CT$1,"&lt;="&amp;EOMONTH(AB$1,0),'UX Weekly'!$H49:$CT49,"&lt;&gt;"))</f>
        <v>0</v>
      </c>
      <c r="AC49">
        <f>IF($B49="",0,COUNTIFS('UX Weekly'!$H$1:$CT$1,"&gt;="&amp;AC$1,'UX Weekly'!$H$1:$CT$1,"&lt;="&amp;EOMONTH(AC$1,0),'UX Weekly'!$H49:$CT49,"&lt;&gt;"))</f>
        <v>0</v>
      </c>
      <c r="AD49">
        <f>IF($B49="",0,COUNTIFS('UX Weekly'!$H$1:$CT$1,"&gt;="&amp;AD$1,'UX Weekly'!$H$1:$CT$1,"&lt;="&amp;EOMONTH(AD$1,0),'UX Weekly'!$H49:$CT49,"&lt;&gt;"))</f>
        <v>0</v>
      </c>
      <c r="AE49">
        <f>IF($B49="",0,COUNTIFS('UX Weekly'!$H$1:$CT$1,"&gt;="&amp;AE$1,'UX Weekly'!$H$1:$CT$1,"&lt;="&amp;EOMONTH(AE$1,0),'UX Weekly'!$H49:$CT49,"&lt;&gt;"))</f>
        <v>0</v>
      </c>
      <c r="AF49">
        <f>IF($B49="",0,COUNTIFS('UX Weekly'!$H$1:$CT$1,"&gt;="&amp;AF$1,'UX Weekly'!$H$1:$CT$1,"&lt;="&amp;EOMONTH(AF$1,0),'UX Weekly'!$H49:$CT49,"&lt;&gt;"))</f>
        <v>0</v>
      </c>
      <c r="AG49">
        <f>IF($B49="",0,COUNTIFS('UX Weekly'!$H$1:$CT$1,"&gt;="&amp;AG$1,'UX Weekly'!$H$1:$CT$1,"&lt;="&amp;EOMONTH(AG$1,0),'UX Weekly'!$H49:$CT49,"&lt;&gt;"))</f>
        <v>0</v>
      </c>
      <c r="AH49">
        <f>IF($B49="",0,COUNTIFS('UX Weekly'!$H$1:$CT$1,"&gt;="&amp;AH$1,'UX Weekly'!$H$1:$CT$1,"&lt;="&amp;EOMONTH(AH$1,0),'UX Weekly'!$H49:$CT49,"&lt;&gt;"))</f>
        <v>0</v>
      </c>
      <c r="AI49">
        <f>IF($B49="",0,COUNTIFS('UX Weekly'!$H$1:$CT$1,"&gt;="&amp;AI$1,'UX Weekly'!$H$1:$CT$1,"&lt;="&amp;EOMONTH(AI$1,0),'UX Weekly'!$H49:$CT49,"&lt;&gt;"))</f>
        <v>0</v>
      </c>
      <c r="AJ49">
        <f>IF($B49="",0,COUNTIFS('UX Weekly'!$H$1:$CT$1,"&gt;="&amp;AJ$1,'UX Weekly'!$H$1:$CT$1,"&lt;="&amp;EOMONTH(AJ$1,0),'UX Weekly'!$H49:$CT49,"&lt;&gt;"))</f>
        <v>0</v>
      </c>
      <c r="AK49">
        <f>IF($B49="",0,COUNTIFS('UX Weekly'!$H$1:$CT$1,"&gt;="&amp;AK$1,'UX Weekly'!$H$1:$CT$1,"&lt;="&amp;EOMONTH(AK$1,0),'UX Weekly'!$H49:$CT49,"&lt;&gt;"))</f>
        <v>0</v>
      </c>
      <c r="AL49">
        <f>IF($B49="",0,COUNTIFS('UX Weekly'!$H$1:$CT$1,"&gt;="&amp;AL$1,'UX Weekly'!$H$1:$CT$1,"&lt;="&amp;EOMONTH(AL$1,0),'UX Weekly'!$H49:$CT49,"&lt;&gt;"))</f>
        <v>0</v>
      </c>
      <c r="AM49">
        <f>IF($B49="",0,COUNTIFS('UX Weekly'!$H$1:$CT$1,"&gt;="&amp;AM$1,'UX Weekly'!$H$1:$CT$1,"&lt;="&amp;EOMONTH(AM$1,0),'UX Weekly'!$H49:$CT49,"&lt;&gt;"))</f>
        <v>0</v>
      </c>
      <c r="AN49">
        <f>IF($B49="",0,COUNTIFS('UX Weekly'!$H$1:$CT$1,"&gt;="&amp;AN$1,'UX Weekly'!$H$1:$CT$1,"&lt;="&amp;EOMONTH(AN$1,0),'UX Weekly'!$H49:$CT49,"&lt;&gt;"))</f>
        <v>0</v>
      </c>
      <c r="AO49">
        <f>IF($B49="",0,COUNTIFS('UX Weekly'!$H$1:$CT$1,"&gt;="&amp;AO$1,'UX Weekly'!$H$1:$CT$1,"&lt;="&amp;EOMONTH(AO$1,0),'UX Weekly'!$H49:$CT49,"&lt;&gt;"))</f>
        <v>0</v>
      </c>
      <c r="AP49">
        <f>IF($B49="",0,COUNTIFS('UX Weekly'!$H$1:$CT$1,"&gt;="&amp;AP$1,'UX Weekly'!$H$1:$CT$1,"&lt;="&amp;EOMONTH(AP$1,0),'UX Weekly'!$H49:$CT49,"&lt;&gt;"))</f>
        <v>0</v>
      </c>
      <c r="AQ49">
        <f>IF($B49="",0,COUNTIFS('UX Weekly'!$H$1:$CT$1,"&gt;="&amp;AQ$1,'UX Weekly'!$H$1:$CT$1,"&lt;="&amp;EOMONTH(AQ$1,0),'UX Weekly'!$H49:$CT49,"&lt;&gt;"))</f>
        <v>0</v>
      </c>
      <c r="AR49">
        <f>IF($B49="",0,COUNTIFS('UX Weekly'!$H$1:$CT$1,"&gt;="&amp;AR$1,'UX Weekly'!$H$1:$CT$1,"&lt;="&amp;EOMONTH(AR$1,0),'UX Weekly'!$H49:$CT49,"&lt;&gt;"))</f>
        <v>0</v>
      </c>
      <c r="AS49">
        <f>IF($B49="",0,COUNTIFS('UX Weekly'!$H$1:$CT$1,"&gt;="&amp;AS$1,'UX Weekly'!$H$1:$CT$1,"&lt;="&amp;EOMONTH(AS$1,0),'UX Weekly'!$H49:$CT49,"&lt;&gt;"))</f>
        <v>0</v>
      </c>
      <c r="AT49">
        <f>IF($B49="",0,COUNTIFS('UX Weekly'!$H$1:$CT$1,"&gt;="&amp;AT$1,'UX Weekly'!$H$1:$CT$1,"&lt;="&amp;EOMONTH(AT$1,0),'UX Weekly'!$H49:$CT49,"&lt;&gt;"))</f>
        <v>0</v>
      </c>
    </row>
    <row r="50" spans="1:46" x14ac:dyDescent="0.2">
      <c r="A50" s="147">
        <v>51</v>
      </c>
      <c r="B50" s="147" t="str">
        <f>IF(TRIM('UX Weekly'!E50)="","",TRIM('UX Weekly'!E50))</f>
        <v/>
      </c>
      <c r="C50" s="147" t="str">
        <f>IF($B50="","",'UX Weekly'!B50)</f>
        <v/>
      </c>
      <c r="D50" s="147" t="str">
        <f>IF($B50="","",IF(TRIM('UX Weekly'!C50)="","(No theme assigned)",TRIM('UX Weekly'!C50)))</f>
        <v/>
      </c>
      <c r="E50" s="147" t="str">
        <f>IF($B50="","",TRIM('UX Weekly'!F50))</f>
        <v/>
      </c>
      <c r="F50" s="147" t="str">
        <f>IF($B50="","",'UX Weekly'!G50)</f>
        <v/>
      </c>
      <c r="G50" s="148" t="str">
        <f t="array" ref="G50">IF($B50="","",IF($S50=0,"",IFERROR(MIN(IF('UX Weekly'!$H50:$CT50&lt;&gt;"",'UX Weekly'!$H$1:$CT$1)),"")))</f>
        <v/>
      </c>
      <c r="H50" s="148" t="str">
        <f t="array" ref="H50">IF($B50="","",IF($S50=0,"",IFERROR(MAX(IF('UX Weekly'!$H50:$CT50&lt;&gt;"",'UX Weekly'!$H$1:$CT$1)),"")))</f>
        <v/>
      </c>
      <c r="I50" s="149" t="str">
        <f t="shared" ca="1" si="3"/>
        <v/>
      </c>
      <c r="J50" s="149" t="str">
        <f t="shared" ca="1" si="4"/>
        <v/>
      </c>
      <c r="K50" s="147" t="str">
        <f>IF($B50="","",IFERROR(MATCH($B50,'Dev Tracker'!$D$2:$D$196,0),IF($E50="","",IFERROR(MATCH($E50,'Dev Tracker'!$E$2:$E$196,0),""))))</f>
        <v/>
      </c>
      <c r="L50" s="147" t="str">
        <f>IF($B50="","",IFERROR(MATCH($D50,'Control (Don’t Touch)'!$E$4:$E$30,0),99))</f>
        <v/>
      </c>
      <c r="M50" s="147" t="str">
        <f>IF($B50="","",IFERROR(MATCH($F50,'Control (Don’t Touch)'!$B$4:$B$30,0),99))</f>
        <v/>
      </c>
      <c r="N50" s="147" t="str">
        <f t="shared" si="5"/>
        <v/>
      </c>
      <c r="O50" s="147" t="str">
        <f>IF($B50="","",COUNTIF($N$2:$N$204,"&lt;"&amp;$N50)+1)</f>
        <v/>
      </c>
      <c r="P50" s="149" t="str">
        <f ca="1">IF($K50="","",IFERROR(DATE(IFERROR(VALUE(RIGHT(TRIM(INDEX('Dev Tracker'!$I$2:$I$196,$K50)),4)),YEAR(TODAY())),MATCH(LEFT(TRIM(INDEX('Dev Tracker'!$I$2:$I$196,$K50)),3),$U$2:$U$12,0),1),""))</f>
        <v/>
      </c>
      <c r="Q50" s="149" t="str">
        <f ca="1">IF($K50="","",IFERROR(DATE(IFERROR(VALUE(RIGHT(TRIM(INDEX('Dev Tracker'!$J$2:$J$196,$K50)),4)),YEAR(TODAY())),MATCH(LEFT(TRIM(INDEX('Dev Tracker'!$J$2:$J$196,$K50)),3),$U$2:$U$12,0),1),""))</f>
        <v/>
      </c>
      <c r="R50" s="147"/>
      <c r="S50" s="147" t="str">
        <f>IF($B50="","",COUNTA('UX Weekly'!$H50:$CT50))</f>
        <v/>
      </c>
      <c r="W50">
        <f>IF($B50="",0,COUNTIFS('UX Weekly'!$H$1:$CT$1,"&gt;="&amp;W$1,'UX Weekly'!$H$1:$CT$1,"&lt;="&amp;EOMONTH(W$1,0),'UX Weekly'!$H50:$CT50,"&lt;&gt;"))</f>
        <v>0</v>
      </c>
      <c r="X50">
        <f>IF($B50="",0,COUNTIFS('UX Weekly'!$H$1:$CT$1,"&gt;="&amp;X$1,'UX Weekly'!$H$1:$CT$1,"&lt;="&amp;EOMONTH(X$1,0),'UX Weekly'!$H50:$CT50,"&lt;&gt;"))</f>
        <v>0</v>
      </c>
      <c r="Y50">
        <f>IF($B50="",0,COUNTIFS('UX Weekly'!$H$1:$CT$1,"&gt;="&amp;Y$1,'UX Weekly'!$H$1:$CT$1,"&lt;="&amp;EOMONTH(Y$1,0),'UX Weekly'!$H50:$CT50,"&lt;&gt;"))</f>
        <v>0</v>
      </c>
      <c r="Z50">
        <f>IF($B50="",0,COUNTIFS('UX Weekly'!$H$1:$CT$1,"&gt;="&amp;Z$1,'UX Weekly'!$H$1:$CT$1,"&lt;="&amp;EOMONTH(Z$1,0),'UX Weekly'!$H50:$CT50,"&lt;&gt;"))</f>
        <v>0</v>
      </c>
      <c r="AA50">
        <f>IF($B50="",0,COUNTIFS('UX Weekly'!$H$1:$CT$1,"&gt;="&amp;AA$1,'UX Weekly'!$H$1:$CT$1,"&lt;="&amp;EOMONTH(AA$1,0),'UX Weekly'!$H50:$CT50,"&lt;&gt;"))</f>
        <v>0</v>
      </c>
      <c r="AB50">
        <f>IF($B50="",0,COUNTIFS('UX Weekly'!$H$1:$CT$1,"&gt;="&amp;AB$1,'UX Weekly'!$H$1:$CT$1,"&lt;="&amp;EOMONTH(AB$1,0),'UX Weekly'!$H50:$CT50,"&lt;&gt;"))</f>
        <v>0</v>
      </c>
      <c r="AC50">
        <f>IF($B50="",0,COUNTIFS('UX Weekly'!$H$1:$CT$1,"&gt;="&amp;AC$1,'UX Weekly'!$H$1:$CT$1,"&lt;="&amp;EOMONTH(AC$1,0),'UX Weekly'!$H50:$CT50,"&lt;&gt;"))</f>
        <v>0</v>
      </c>
      <c r="AD50">
        <f>IF($B50="",0,COUNTIFS('UX Weekly'!$H$1:$CT$1,"&gt;="&amp;AD$1,'UX Weekly'!$H$1:$CT$1,"&lt;="&amp;EOMONTH(AD$1,0),'UX Weekly'!$H50:$CT50,"&lt;&gt;"))</f>
        <v>0</v>
      </c>
      <c r="AE50">
        <f>IF($B50="",0,COUNTIFS('UX Weekly'!$H$1:$CT$1,"&gt;="&amp;AE$1,'UX Weekly'!$H$1:$CT$1,"&lt;="&amp;EOMONTH(AE$1,0),'UX Weekly'!$H50:$CT50,"&lt;&gt;"))</f>
        <v>0</v>
      </c>
      <c r="AF50">
        <f>IF($B50="",0,COUNTIFS('UX Weekly'!$H$1:$CT$1,"&gt;="&amp;AF$1,'UX Weekly'!$H$1:$CT$1,"&lt;="&amp;EOMONTH(AF$1,0),'UX Weekly'!$H50:$CT50,"&lt;&gt;"))</f>
        <v>0</v>
      </c>
      <c r="AG50">
        <f>IF($B50="",0,COUNTIFS('UX Weekly'!$H$1:$CT$1,"&gt;="&amp;AG$1,'UX Weekly'!$H$1:$CT$1,"&lt;="&amp;EOMONTH(AG$1,0),'UX Weekly'!$H50:$CT50,"&lt;&gt;"))</f>
        <v>0</v>
      </c>
      <c r="AH50">
        <f>IF($B50="",0,COUNTIFS('UX Weekly'!$H$1:$CT$1,"&gt;="&amp;AH$1,'UX Weekly'!$H$1:$CT$1,"&lt;="&amp;EOMONTH(AH$1,0),'UX Weekly'!$H50:$CT50,"&lt;&gt;"))</f>
        <v>0</v>
      </c>
      <c r="AI50">
        <f>IF($B50="",0,COUNTIFS('UX Weekly'!$H$1:$CT$1,"&gt;="&amp;AI$1,'UX Weekly'!$H$1:$CT$1,"&lt;="&amp;EOMONTH(AI$1,0),'UX Weekly'!$H50:$CT50,"&lt;&gt;"))</f>
        <v>0</v>
      </c>
      <c r="AJ50">
        <f>IF($B50="",0,COUNTIFS('UX Weekly'!$H$1:$CT$1,"&gt;="&amp;AJ$1,'UX Weekly'!$H$1:$CT$1,"&lt;="&amp;EOMONTH(AJ$1,0),'UX Weekly'!$H50:$CT50,"&lt;&gt;"))</f>
        <v>0</v>
      </c>
      <c r="AK50">
        <f>IF($B50="",0,COUNTIFS('UX Weekly'!$H$1:$CT$1,"&gt;="&amp;AK$1,'UX Weekly'!$H$1:$CT$1,"&lt;="&amp;EOMONTH(AK$1,0),'UX Weekly'!$H50:$CT50,"&lt;&gt;"))</f>
        <v>0</v>
      </c>
      <c r="AL50">
        <f>IF($B50="",0,COUNTIFS('UX Weekly'!$H$1:$CT$1,"&gt;="&amp;AL$1,'UX Weekly'!$H$1:$CT$1,"&lt;="&amp;EOMONTH(AL$1,0),'UX Weekly'!$H50:$CT50,"&lt;&gt;"))</f>
        <v>0</v>
      </c>
      <c r="AM50">
        <f>IF($B50="",0,COUNTIFS('UX Weekly'!$H$1:$CT$1,"&gt;="&amp;AM$1,'UX Weekly'!$H$1:$CT$1,"&lt;="&amp;EOMONTH(AM$1,0),'UX Weekly'!$H50:$CT50,"&lt;&gt;"))</f>
        <v>0</v>
      </c>
      <c r="AN50">
        <f>IF($B50="",0,COUNTIFS('UX Weekly'!$H$1:$CT$1,"&gt;="&amp;AN$1,'UX Weekly'!$H$1:$CT$1,"&lt;="&amp;EOMONTH(AN$1,0),'UX Weekly'!$H50:$CT50,"&lt;&gt;"))</f>
        <v>0</v>
      </c>
      <c r="AO50">
        <f>IF($B50="",0,COUNTIFS('UX Weekly'!$H$1:$CT$1,"&gt;="&amp;AO$1,'UX Weekly'!$H$1:$CT$1,"&lt;="&amp;EOMONTH(AO$1,0),'UX Weekly'!$H50:$CT50,"&lt;&gt;"))</f>
        <v>0</v>
      </c>
      <c r="AP50">
        <f>IF($B50="",0,COUNTIFS('UX Weekly'!$H$1:$CT$1,"&gt;="&amp;AP$1,'UX Weekly'!$H$1:$CT$1,"&lt;="&amp;EOMONTH(AP$1,0),'UX Weekly'!$H50:$CT50,"&lt;&gt;"))</f>
        <v>0</v>
      </c>
      <c r="AQ50">
        <f>IF($B50="",0,COUNTIFS('UX Weekly'!$H$1:$CT$1,"&gt;="&amp;AQ$1,'UX Weekly'!$H$1:$CT$1,"&lt;="&amp;EOMONTH(AQ$1,0),'UX Weekly'!$H50:$CT50,"&lt;&gt;"))</f>
        <v>0</v>
      </c>
      <c r="AR50">
        <f>IF($B50="",0,COUNTIFS('UX Weekly'!$H$1:$CT$1,"&gt;="&amp;AR$1,'UX Weekly'!$H$1:$CT$1,"&lt;="&amp;EOMONTH(AR$1,0),'UX Weekly'!$H50:$CT50,"&lt;&gt;"))</f>
        <v>0</v>
      </c>
      <c r="AS50">
        <f>IF($B50="",0,COUNTIFS('UX Weekly'!$H$1:$CT$1,"&gt;="&amp;AS$1,'UX Weekly'!$H$1:$CT$1,"&lt;="&amp;EOMONTH(AS$1,0),'UX Weekly'!$H50:$CT50,"&lt;&gt;"))</f>
        <v>0</v>
      </c>
      <c r="AT50">
        <f>IF($B50="",0,COUNTIFS('UX Weekly'!$H$1:$CT$1,"&gt;="&amp;AT$1,'UX Weekly'!$H$1:$CT$1,"&lt;="&amp;EOMONTH(AT$1,0),'UX Weekly'!$H50:$CT50,"&lt;&gt;"))</f>
        <v>0</v>
      </c>
    </row>
    <row r="51" spans="1:46" x14ac:dyDescent="0.2">
      <c r="A51" s="147">
        <v>52</v>
      </c>
      <c r="B51" s="147" t="str">
        <f>IF(TRIM('UX Weekly'!E51)="","",TRIM('UX Weekly'!E51))</f>
        <v/>
      </c>
      <c r="C51" s="147" t="str">
        <f>IF($B51="","",'UX Weekly'!B51)</f>
        <v/>
      </c>
      <c r="D51" s="147" t="str">
        <f>IF($B51="","",IF(TRIM('UX Weekly'!C51)="","(No theme assigned)",TRIM('UX Weekly'!C51)))</f>
        <v/>
      </c>
      <c r="E51" s="147" t="str">
        <f>IF($B51="","",TRIM('UX Weekly'!F51))</f>
        <v/>
      </c>
      <c r="F51" s="147" t="str">
        <f>IF($B51="","",'UX Weekly'!G51)</f>
        <v/>
      </c>
      <c r="G51" s="148" t="str">
        <f t="array" ref="G51">IF($B51="","",IF($S51=0,"",IFERROR(MIN(IF('UX Weekly'!$H51:$CT51&lt;&gt;"",'UX Weekly'!$H$1:$CT$1)),"")))</f>
        <v/>
      </c>
      <c r="H51" s="148" t="str">
        <f t="array" ref="H51">IF($B51="","",IF($S51=0,"",IFERROR(MAX(IF('UX Weekly'!$H51:$CT51&lt;&gt;"",'UX Weekly'!$H$1:$CT$1)),"")))</f>
        <v/>
      </c>
      <c r="I51" s="149" t="str">
        <f t="shared" ca="1" si="3"/>
        <v/>
      </c>
      <c r="J51" s="149" t="str">
        <f t="shared" ca="1" si="4"/>
        <v/>
      </c>
      <c r="K51" s="147" t="str">
        <f>IF($B51="","",IFERROR(MATCH($B51,'Dev Tracker'!$D$2:$D$196,0),IF($E51="","",IFERROR(MATCH($E51,'Dev Tracker'!$E$2:$E$196,0),""))))</f>
        <v/>
      </c>
      <c r="L51" s="147" t="str">
        <f>IF($B51="","",IFERROR(MATCH($D51,'Control (Don’t Touch)'!$E$4:$E$30,0),99))</f>
        <v/>
      </c>
      <c r="M51" s="147" t="str">
        <f>IF($B51="","",IFERROR(MATCH($F51,'Control (Don’t Touch)'!$B$4:$B$30,0),99))</f>
        <v/>
      </c>
      <c r="N51" s="147" t="str">
        <f t="shared" si="5"/>
        <v/>
      </c>
      <c r="O51" s="147" t="str">
        <f>IF($B51="","",COUNTIF($N$2:$N$204,"&lt;"&amp;$N51)+1)</f>
        <v/>
      </c>
      <c r="P51" s="149" t="str">
        <f ca="1">IF($K51="","",IFERROR(DATE(IFERROR(VALUE(RIGHT(TRIM(INDEX('Dev Tracker'!$I$2:$I$196,$K51)),4)),YEAR(TODAY())),MATCH(LEFT(TRIM(INDEX('Dev Tracker'!$I$2:$I$196,$K51)),3),$U$2:$U$12,0),1),""))</f>
        <v/>
      </c>
      <c r="Q51" s="149" t="str">
        <f ca="1">IF($K51="","",IFERROR(DATE(IFERROR(VALUE(RIGHT(TRIM(INDEX('Dev Tracker'!$J$2:$J$196,$K51)),4)),YEAR(TODAY())),MATCH(LEFT(TRIM(INDEX('Dev Tracker'!$J$2:$J$196,$K51)),3),$U$2:$U$12,0),1),""))</f>
        <v/>
      </c>
      <c r="R51" s="147"/>
      <c r="S51" s="147" t="str">
        <f>IF($B51="","",COUNTA('UX Weekly'!$H51:$CT51))</f>
        <v/>
      </c>
      <c r="W51">
        <f>IF($B51="",0,COUNTIFS('UX Weekly'!$H$1:$CT$1,"&gt;="&amp;W$1,'UX Weekly'!$H$1:$CT$1,"&lt;="&amp;EOMONTH(W$1,0),'UX Weekly'!$H51:$CT51,"&lt;&gt;"))</f>
        <v>0</v>
      </c>
      <c r="X51">
        <f>IF($B51="",0,COUNTIFS('UX Weekly'!$H$1:$CT$1,"&gt;="&amp;X$1,'UX Weekly'!$H$1:$CT$1,"&lt;="&amp;EOMONTH(X$1,0),'UX Weekly'!$H51:$CT51,"&lt;&gt;"))</f>
        <v>0</v>
      </c>
      <c r="Y51">
        <f>IF($B51="",0,COUNTIFS('UX Weekly'!$H$1:$CT$1,"&gt;="&amp;Y$1,'UX Weekly'!$H$1:$CT$1,"&lt;="&amp;EOMONTH(Y$1,0),'UX Weekly'!$H51:$CT51,"&lt;&gt;"))</f>
        <v>0</v>
      </c>
      <c r="Z51">
        <f>IF($B51="",0,COUNTIFS('UX Weekly'!$H$1:$CT$1,"&gt;="&amp;Z$1,'UX Weekly'!$H$1:$CT$1,"&lt;="&amp;EOMONTH(Z$1,0),'UX Weekly'!$H51:$CT51,"&lt;&gt;"))</f>
        <v>0</v>
      </c>
      <c r="AA51">
        <f>IF($B51="",0,COUNTIFS('UX Weekly'!$H$1:$CT$1,"&gt;="&amp;AA$1,'UX Weekly'!$H$1:$CT$1,"&lt;="&amp;EOMONTH(AA$1,0),'UX Weekly'!$H51:$CT51,"&lt;&gt;"))</f>
        <v>0</v>
      </c>
      <c r="AB51">
        <f>IF($B51="",0,COUNTIFS('UX Weekly'!$H$1:$CT$1,"&gt;="&amp;AB$1,'UX Weekly'!$H$1:$CT$1,"&lt;="&amp;EOMONTH(AB$1,0),'UX Weekly'!$H51:$CT51,"&lt;&gt;"))</f>
        <v>0</v>
      </c>
      <c r="AC51">
        <f>IF($B51="",0,COUNTIFS('UX Weekly'!$H$1:$CT$1,"&gt;="&amp;AC$1,'UX Weekly'!$H$1:$CT$1,"&lt;="&amp;EOMONTH(AC$1,0),'UX Weekly'!$H51:$CT51,"&lt;&gt;"))</f>
        <v>0</v>
      </c>
      <c r="AD51">
        <f>IF($B51="",0,COUNTIFS('UX Weekly'!$H$1:$CT$1,"&gt;="&amp;AD$1,'UX Weekly'!$H$1:$CT$1,"&lt;="&amp;EOMONTH(AD$1,0),'UX Weekly'!$H51:$CT51,"&lt;&gt;"))</f>
        <v>0</v>
      </c>
      <c r="AE51">
        <f>IF($B51="",0,COUNTIFS('UX Weekly'!$H$1:$CT$1,"&gt;="&amp;AE$1,'UX Weekly'!$H$1:$CT$1,"&lt;="&amp;EOMONTH(AE$1,0),'UX Weekly'!$H51:$CT51,"&lt;&gt;"))</f>
        <v>0</v>
      </c>
      <c r="AF51">
        <f>IF($B51="",0,COUNTIFS('UX Weekly'!$H$1:$CT$1,"&gt;="&amp;AF$1,'UX Weekly'!$H$1:$CT$1,"&lt;="&amp;EOMONTH(AF$1,0),'UX Weekly'!$H51:$CT51,"&lt;&gt;"))</f>
        <v>0</v>
      </c>
      <c r="AG51">
        <f>IF($B51="",0,COUNTIFS('UX Weekly'!$H$1:$CT$1,"&gt;="&amp;AG$1,'UX Weekly'!$H$1:$CT$1,"&lt;="&amp;EOMONTH(AG$1,0),'UX Weekly'!$H51:$CT51,"&lt;&gt;"))</f>
        <v>0</v>
      </c>
      <c r="AH51">
        <f>IF($B51="",0,COUNTIFS('UX Weekly'!$H$1:$CT$1,"&gt;="&amp;AH$1,'UX Weekly'!$H$1:$CT$1,"&lt;="&amp;EOMONTH(AH$1,0),'UX Weekly'!$H51:$CT51,"&lt;&gt;"))</f>
        <v>0</v>
      </c>
      <c r="AI51">
        <f>IF($B51="",0,COUNTIFS('UX Weekly'!$H$1:$CT$1,"&gt;="&amp;AI$1,'UX Weekly'!$H$1:$CT$1,"&lt;="&amp;EOMONTH(AI$1,0),'UX Weekly'!$H51:$CT51,"&lt;&gt;"))</f>
        <v>0</v>
      </c>
      <c r="AJ51">
        <f>IF($B51="",0,COUNTIFS('UX Weekly'!$H$1:$CT$1,"&gt;="&amp;AJ$1,'UX Weekly'!$H$1:$CT$1,"&lt;="&amp;EOMONTH(AJ$1,0),'UX Weekly'!$H51:$CT51,"&lt;&gt;"))</f>
        <v>0</v>
      </c>
      <c r="AK51">
        <f>IF($B51="",0,COUNTIFS('UX Weekly'!$H$1:$CT$1,"&gt;="&amp;AK$1,'UX Weekly'!$H$1:$CT$1,"&lt;="&amp;EOMONTH(AK$1,0),'UX Weekly'!$H51:$CT51,"&lt;&gt;"))</f>
        <v>0</v>
      </c>
      <c r="AL51">
        <f>IF($B51="",0,COUNTIFS('UX Weekly'!$H$1:$CT$1,"&gt;="&amp;AL$1,'UX Weekly'!$H$1:$CT$1,"&lt;="&amp;EOMONTH(AL$1,0),'UX Weekly'!$H51:$CT51,"&lt;&gt;"))</f>
        <v>0</v>
      </c>
      <c r="AM51">
        <f>IF($B51="",0,COUNTIFS('UX Weekly'!$H$1:$CT$1,"&gt;="&amp;AM$1,'UX Weekly'!$H$1:$CT$1,"&lt;="&amp;EOMONTH(AM$1,0),'UX Weekly'!$H51:$CT51,"&lt;&gt;"))</f>
        <v>0</v>
      </c>
      <c r="AN51">
        <f>IF($B51="",0,COUNTIFS('UX Weekly'!$H$1:$CT$1,"&gt;="&amp;AN$1,'UX Weekly'!$H$1:$CT$1,"&lt;="&amp;EOMONTH(AN$1,0),'UX Weekly'!$H51:$CT51,"&lt;&gt;"))</f>
        <v>0</v>
      </c>
      <c r="AO51">
        <f>IF($B51="",0,COUNTIFS('UX Weekly'!$H$1:$CT$1,"&gt;="&amp;AO$1,'UX Weekly'!$H$1:$CT$1,"&lt;="&amp;EOMONTH(AO$1,0),'UX Weekly'!$H51:$CT51,"&lt;&gt;"))</f>
        <v>0</v>
      </c>
      <c r="AP51">
        <f>IF($B51="",0,COUNTIFS('UX Weekly'!$H$1:$CT$1,"&gt;="&amp;AP$1,'UX Weekly'!$H$1:$CT$1,"&lt;="&amp;EOMONTH(AP$1,0),'UX Weekly'!$H51:$CT51,"&lt;&gt;"))</f>
        <v>0</v>
      </c>
      <c r="AQ51">
        <f>IF($B51="",0,COUNTIFS('UX Weekly'!$H$1:$CT$1,"&gt;="&amp;AQ$1,'UX Weekly'!$H$1:$CT$1,"&lt;="&amp;EOMONTH(AQ$1,0),'UX Weekly'!$H51:$CT51,"&lt;&gt;"))</f>
        <v>0</v>
      </c>
      <c r="AR51">
        <f>IF($B51="",0,COUNTIFS('UX Weekly'!$H$1:$CT$1,"&gt;="&amp;AR$1,'UX Weekly'!$H$1:$CT$1,"&lt;="&amp;EOMONTH(AR$1,0),'UX Weekly'!$H51:$CT51,"&lt;&gt;"))</f>
        <v>0</v>
      </c>
      <c r="AS51">
        <f>IF($B51="",0,COUNTIFS('UX Weekly'!$H$1:$CT$1,"&gt;="&amp;AS$1,'UX Weekly'!$H$1:$CT$1,"&lt;="&amp;EOMONTH(AS$1,0),'UX Weekly'!$H51:$CT51,"&lt;&gt;"))</f>
        <v>0</v>
      </c>
      <c r="AT51">
        <f>IF($B51="",0,COUNTIFS('UX Weekly'!$H$1:$CT$1,"&gt;="&amp;AT$1,'UX Weekly'!$H$1:$CT$1,"&lt;="&amp;EOMONTH(AT$1,0),'UX Weekly'!$H51:$CT51,"&lt;&gt;"))</f>
        <v>0</v>
      </c>
    </row>
    <row r="52" spans="1:46" x14ac:dyDescent="0.2">
      <c r="A52" s="147">
        <v>53</v>
      </c>
      <c r="B52" s="147" t="str">
        <f>IF(TRIM('UX Weekly'!E52)="","",TRIM('UX Weekly'!E52))</f>
        <v/>
      </c>
      <c r="C52" s="147" t="str">
        <f>IF($B52="","",'UX Weekly'!B52)</f>
        <v/>
      </c>
      <c r="D52" s="147" t="str">
        <f>IF($B52="","",IF(TRIM('UX Weekly'!C52)="","(No theme assigned)",TRIM('UX Weekly'!C52)))</f>
        <v/>
      </c>
      <c r="E52" s="147" t="str">
        <f>IF($B52="","",TRIM('UX Weekly'!F52))</f>
        <v/>
      </c>
      <c r="F52" s="147" t="str">
        <f>IF($B52="","",'UX Weekly'!G52)</f>
        <v/>
      </c>
      <c r="G52" s="148" t="str">
        <f t="array" ref="G52">IF($B52="","",IF($S52=0,"",IFERROR(MIN(IF('UX Weekly'!$H52:$CT52&lt;&gt;"",'UX Weekly'!$H$1:$CT$1)),"")))</f>
        <v/>
      </c>
      <c r="H52" s="148" t="str">
        <f t="array" ref="H52">IF($B52="","",IF($S52=0,"",IFERROR(MAX(IF('UX Weekly'!$H52:$CT52&lt;&gt;"",'UX Weekly'!$H$1:$CT$1)),"")))</f>
        <v/>
      </c>
      <c r="I52" s="149" t="str">
        <f t="shared" ca="1" si="3"/>
        <v/>
      </c>
      <c r="J52" s="149" t="str">
        <f t="shared" ca="1" si="4"/>
        <v/>
      </c>
      <c r="K52" s="147" t="str">
        <f>IF($B52="","",IFERROR(MATCH($B52,'Dev Tracker'!$D$2:$D$196,0),IF($E52="","",IFERROR(MATCH($E52,'Dev Tracker'!$E$2:$E$196,0),""))))</f>
        <v/>
      </c>
      <c r="L52" s="147" t="str">
        <f>IF($B52="","",IFERROR(MATCH($D52,'Control (Don’t Touch)'!$E$4:$E$30,0),99))</f>
        <v/>
      </c>
      <c r="M52" s="147" t="str">
        <f>IF($B52="","",IFERROR(MATCH($F52,'Control (Don’t Touch)'!$B$4:$B$30,0),99))</f>
        <v/>
      </c>
      <c r="N52" s="147" t="str">
        <f t="shared" si="5"/>
        <v/>
      </c>
      <c r="O52" s="147" t="str">
        <f>IF($B52="","",COUNTIF($N$2:$N$204,"&lt;"&amp;$N52)+1)</f>
        <v/>
      </c>
      <c r="P52" s="149" t="str">
        <f ca="1">IF($K52="","",IFERROR(DATE(IFERROR(VALUE(RIGHT(TRIM(INDEX('Dev Tracker'!$I$2:$I$196,$K52)),4)),YEAR(TODAY())),MATCH(LEFT(TRIM(INDEX('Dev Tracker'!$I$2:$I$196,$K52)),3),$U$2:$U$12,0),1),""))</f>
        <v/>
      </c>
      <c r="Q52" s="149" t="str">
        <f ca="1">IF($K52="","",IFERROR(DATE(IFERROR(VALUE(RIGHT(TRIM(INDEX('Dev Tracker'!$J$2:$J$196,$K52)),4)),YEAR(TODAY())),MATCH(LEFT(TRIM(INDEX('Dev Tracker'!$J$2:$J$196,$K52)),3),$U$2:$U$12,0),1),""))</f>
        <v/>
      </c>
      <c r="R52" s="147"/>
      <c r="S52" s="147" t="str">
        <f>IF($B52="","",COUNTA('UX Weekly'!$H52:$CT52))</f>
        <v/>
      </c>
      <c r="W52">
        <f>IF($B52="",0,COUNTIFS('UX Weekly'!$H$1:$CT$1,"&gt;="&amp;W$1,'UX Weekly'!$H$1:$CT$1,"&lt;="&amp;EOMONTH(W$1,0),'UX Weekly'!$H52:$CT52,"&lt;&gt;"))</f>
        <v>0</v>
      </c>
      <c r="X52">
        <f>IF($B52="",0,COUNTIFS('UX Weekly'!$H$1:$CT$1,"&gt;="&amp;X$1,'UX Weekly'!$H$1:$CT$1,"&lt;="&amp;EOMONTH(X$1,0),'UX Weekly'!$H52:$CT52,"&lt;&gt;"))</f>
        <v>0</v>
      </c>
      <c r="Y52">
        <f>IF($B52="",0,COUNTIFS('UX Weekly'!$H$1:$CT$1,"&gt;="&amp;Y$1,'UX Weekly'!$H$1:$CT$1,"&lt;="&amp;EOMONTH(Y$1,0),'UX Weekly'!$H52:$CT52,"&lt;&gt;"))</f>
        <v>0</v>
      </c>
      <c r="Z52">
        <f>IF($B52="",0,COUNTIFS('UX Weekly'!$H$1:$CT$1,"&gt;="&amp;Z$1,'UX Weekly'!$H$1:$CT$1,"&lt;="&amp;EOMONTH(Z$1,0),'UX Weekly'!$H52:$CT52,"&lt;&gt;"))</f>
        <v>0</v>
      </c>
      <c r="AA52">
        <f>IF($B52="",0,COUNTIFS('UX Weekly'!$H$1:$CT$1,"&gt;="&amp;AA$1,'UX Weekly'!$H$1:$CT$1,"&lt;="&amp;EOMONTH(AA$1,0),'UX Weekly'!$H52:$CT52,"&lt;&gt;"))</f>
        <v>0</v>
      </c>
      <c r="AB52">
        <f>IF($B52="",0,COUNTIFS('UX Weekly'!$H$1:$CT$1,"&gt;="&amp;AB$1,'UX Weekly'!$H$1:$CT$1,"&lt;="&amp;EOMONTH(AB$1,0),'UX Weekly'!$H52:$CT52,"&lt;&gt;"))</f>
        <v>0</v>
      </c>
      <c r="AC52">
        <f>IF($B52="",0,COUNTIFS('UX Weekly'!$H$1:$CT$1,"&gt;="&amp;AC$1,'UX Weekly'!$H$1:$CT$1,"&lt;="&amp;EOMONTH(AC$1,0),'UX Weekly'!$H52:$CT52,"&lt;&gt;"))</f>
        <v>0</v>
      </c>
      <c r="AD52">
        <f>IF($B52="",0,COUNTIFS('UX Weekly'!$H$1:$CT$1,"&gt;="&amp;AD$1,'UX Weekly'!$H$1:$CT$1,"&lt;="&amp;EOMONTH(AD$1,0),'UX Weekly'!$H52:$CT52,"&lt;&gt;"))</f>
        <v>0</v>
      </c>
      <c r="AE52">
        <f>IF($B52="",0,COUNTIFS('UX Weekly'!$H$1:$CT$1,"&gt;="&amp;AE$1,'UX Weekly'!$H$1:$CT$1,"&lt;="&amp;EOMONTH(AE$1,0),'UX Weekly'!$H52:$CT52,"&lt;&gt;"))</f>
        <v>0</v>
      </c>
      <c r="AF52">
        <f>IF($B52="",0,COUNTIFS('UX Weekly'!$H$1:$CT$1,"&gt;="&amp;AF$1,'UX Weekly'!$H$1:$CT$1,"&lt;="&amp;EOMONTH(AF$1,0),'UX Weekly'!$H52:$CT52,"&lt;&gt;"))</f>
        <v>0</v>
      </c>
      <c r="AG52">
        <f>IF($B52="",0,COUNTIFS('UX Weekly'!$H$1:$CT$1,"&gt;="&amp;AG$1,'UX Weekly'!$H$1:$CT$1,"&lt;="&amp;EOMONTH(AG$1,0),'UX Weekly'!$H52:$CT52,"&lt;&gt;"))</f>
        <v>0</v>
      </c>
      <c r="AH52">
        <f>IF($B52="",0,COUNTIFS('UX Weekly'!$H$1:$CT$1,"&gt;="&amp;AH$1,'UX Weekly'!$H$1:$CT$1,"&lt;="&amp;EOMONTH(AH$1,0),'UX Weekly'!$H52:$CT52,"&lt;&gt;"))</f>
        <v>0</v>
      </c>
      <c r="AI52">
        <f>IF($B52="",0,COUNTIFS('UX Weekly'!$H$1:$CT$1,"&gt;="&amp;AI$1,'UX Weekly'!$H$1:$CT$1,"&lt;="&amp;EOMONTH(AI$1,0),'UX Weekly'!$H52:$CT52,"&lt;&gt;"))</f>
        <v>0</v>
      </c>
      <c r="AJ52">
        <f>IF($B52="",0,COUNTIFS('UX Weekly'!$H$1:$CT$1,"&gt;="&amp;AJ$1,'UX Weekly'!$H$1:$CT$1,"&lt;="&amp;EOMONTH(AJ$1,0),'UX Weekly'!$H52:$CT52,"&lt;&gt;"))</f>
        <v>0</v>
      </c>
      <c r="AK52">
        <f>IF($B52="",0,COUNTIFS('UX Weekly'!$H$1:$CT$1,"&gt;="&amp;AK$1,'UX Weekly'!$H$1:$CT$1,"&lt;="&amp;EOMONTH(AK$1,0),'UX Weekly'!$H52:$CT52,"&lt;&gt;"))</f>
        <v>0</v>
      </c>
      <c r="AL52">
        <f>IF($B52="",0,COUNTIFS('UX Weekly'!$H$1:$CT$1,"&gt;="&amp;AL$1,'UX Weekly'!$H$1:$CT$1,"&lt;="&amp;EOMONTH(AL$1,0),'UX Weekly'!$H52:$CT52,"&lt;&gt;"))</f>
        <v>0</v>
      </c>
      <c r="AM52">
        <f>IF($B52="",0,COUNTIFS('UX Weekly'!$H$1:$CT$1,"&gt;="&amp;AM$1,'UX Weekly'!$H$1:$CT$1,"&lt;="&amp;EOMONTH(AM$1,0),'UX Weekly'!$H52:$CT52,"&lt;&gt;"))</f>
        <v>0</v>
      </c>
      <c r="AN52">
        <f>IF($B52="",0,COUNTIFS('UX Weekly'!$H$1:$CT$1,"&gt;="&amp;AN$1,'UX Weekly'!$H$1:$CT$1,"&lt;="&amp;EOMONTH(AN$1,0),'UX Weekly'!$H52:$CT52,"&lt;&gt;"))</f>
        <v>0</v>
      </c>
      <c r="AO52">
        <f>IF($B52="",0,COUNTIFS('UX Weekly'!$H$1:$CT$1,"&gt;="&amp;AO$1,'UX Weekly'!$H$1:$CT$1,"&lt;="&amp;EOMONTH(AO$1,0),'UX Weekly'!$H52:$CT52,"&lt;&gt;"))</f>
        <v>0</v>
      </c>
      <c r="AP52">
        <f>IF($B52="",0,COUNTIFS('UX Weekly'!$H$1:$CT$1,"&gt;="&amp;AP$1,'UX Weekly'!$H$1:$CT$1,"&lt;="&amp;EOMONTH(AP$1,0),'UX Weekly'!$H52:$CT52,"&lt;&gt;"))</f>
        <v>0</v>
      </c>
      <c r="AQ52">
        <f>IF($B52="",0,COUNTIFS('UX Weekly'!$H$1:$CT$1,"&gt;="&amp;AQ$1,'UX Weekly'!$H$1:$CT$1,"&lt;="&amp;EOMONTH(AQ$1,0),'UX Weekly'!$H52:$CT52,"&lt;&gt;"))</f>
        <v>0</v>
      </c>
      <c r="AR52">
        <f>IF($B52="",0,COUNTIFS('UX Weekly'!$H$1:$CT$1,"&gt;="&amp;AR$1,'UX Weekly'!$H$1:$CT$1,"&lt;="&amp;EOMONTH(AR$1,0),'UX Weekly'!$H52:$CT52,"&lt;&gt;"))</f>
        <v>0</v>
      </c>
      <c r="AS52">
        <f>IF($B52="",0,COUNTIFS('UX Weekly'!$H$1:$CT$1,"&gt;="&amp;AS$1,'UX Weekly'!$H$1:$CT$1,"&lt;="&amp;EOMONTH(AS$1,0),'UX Weekly'!$H52:$CT52,"&lt;&gt;"))</f>
        <v>0</v>
      </c>
      <c r="AT52">
        <f>IF($B52="",0,COUNTIFS('UX Weekly'!$H$1:$CT$1,"&gt;="&amp;AT$1,'UX Weekly'!$H$1:$CT$1,"&lt;="&amp;EOMONTH(AT$1,0),'UX Weekly'!$H52:$CT52,"&lt;&gt;"))</f>
        <v>0</v>
      </c>
    </row>
    <row r="53" spans="1:46" x14ac:dyDescent="0.2">
      <c r="A53" s="147">
        <v>54</v>
      </c>
      <c r="B53" s="147" t="str">
        <f>IF(TRIM('UX Weekly'!E53)="","",TRIM('UX Weekly'!E53))</f>
        <v/>
      </c>
      <c r="C53" s="147" t="str">
        <f>IF($B53="","",'UX Weekly'!B53)</f>
        <v/>
      </c>
      <c r="D53" s="147" t="str">
        <f>IF($B53="","",IF(TRIM('UX Weekly'!C53)="","(No theme assigned)",TRIM('UX Weekly'!C53)))</f>
        <v/>
      </c>
      <c r="E53" s="147" t="str">
        <f>IF($B53="","",TRIM('UX Weekly'!F53))</f>
        <v/>
      </c>
      <c r="F53" s="147" t="str">
        <f>IF($B53="","",'UX Weekly'!G53)</f>
        <v/>
      </c>
      <c r="G53" s="148" t="str">
        <f t="array" ref="G53">IF($B53="","",IF($S53=0,"",IFERROR(MIN(IF('UX Weekly'!$H53:$CT53&lt;&gt;"",'UX Weekly'!$H$1:$CT$1)),"")))</f>
        <v/>
      </c>
      <c r="H53" s="148" t="str">
        <f t="array" ref="H53">IF($B53="","",IF($S53=0,"",IFERROR(MAX(IF('UX Weekly'!$H53:$CT53&lt;&gt;"",'UX Weekly'!$H$1:$CT$1)),"")))</f>
        <v/>
      </c>
      <c r="I53" s="149" t="str">
        <f t="shared" ca="1" si="3"/>
        <v/>
      </c>
      <c r="J53" s="149" t="str">
        <f t="shared" ca="1" si="4"/>
        <v/>
      </c>
      <c r="K53" s="147" t="str">
        <f>IF($B53="","",IFERROR(MATCH($B53,'Dev Tracker'!$D$2:$D$196,0),IF($E53="","",IFERROR(MATCH($E53,'Dev Tracker'!$E$2:$E$196,0),""))))</f>
        <v/>
      </c>
      <c r="L53" s="147" t="str">
        <f>IF($B53="","",IFERROR(MATCH($D53,'Control (Don’t Touch)'!$E$4:$E$30,0),99))</f>
        <v/>
      </c>
      <c r="M53" s="147" t="str">
        <f>IF($B53="","",IFERROR(MATCH($F53,'Control (Don’t Touch)'!$B$4:$B$30,0),99))</f>
        <v/>
      </c>
      <c r="N53" s="147" t="str">
        <f t="shared" si="5"/>
        <v/>
      </c>
      <c r="O53" s="147" t="str">
        <f>IF($B53="","",COUNTIF($N$2:$N$204,"&lt;"&amp;$N53)+1)</f>
        <v/>
      </c>
      <c r="P53" s="149" t="str">
        <f ca="1">IF($K53="","",IFERROR(DATE(IFERROR(VALUE(RIGHT(TRIM(INDEX('Dev Tracker'!$I$2:$I$196,$K53)),4)),YEAR(TODAY())),MATCH(LEFT(TRIM(INDEX('Dev Tracker'!$I$2:$I$196,$K53)),3),$U$2:$U$12,0),1),""))</f>
        <v/>
      </c>
      <c r="Q53" s="149" t="str">
        <f ca="1">IF($K53="","",IFERROR(DATE(IFERROR(VALUE(RIGHT(TRIM(INDEX('Dev Tracker'!$J$2:$J$196,$K53)),4)),YEAR(TODAY())),MATCH(LEFT(TRIM(INDEX('Dev Tracker'!$J$2:$J$196,$K53)),3),$U$2:$U$12,0),1),""))</f>
        <v/>
      </c>
      <c r="R53" s="147"/>
      <c r="S53" s="147" t="str">
        <f>IF($B53="","",COUNTA('UX Weekly'!$H53:$CT53))</f>
        <v/>
      </c>
      <c r="W53">
        <f>IF($B53="",0,COUNTIFS('UX Weekly'!$H$1:$CT$1,"&gt;="&amp;W$1,'UX Weekly'!$H$1:$CT$1,"&lt;="&amp;EOMONTH(W$1,0),'UX Weekly'!$H53:$CT53,"&lt;&gt;"))</f>
        <v>0</v>
      </c>
      <c r="X53">
        <f>IF($B53="",0,COUNTIFS('UX Weekly'!$H$1:$CT$1,"&gt;="&amp;X$1,'UX Weekly'!$H$1:$CT$1,"&lt;="&amp;EOMONTH(X$1,0),'UX Weekly'!$H53:$CT53,"&lt;&gt;"))</f>
        <v>0</v>
      </c>
      <c r="Y53">
        <f>IF($B53="",0,COUNTIFS('UX Weekly'!$H$1:$CT$1,"&gt;="&amp;Y$1,'UX Weekly'!$H$1:$CT$1,"&lt;="&amp;EOMONTH(Y$1,0),'UX Weekly'!$H53:$CT53,"&lt;&gt;"))</f>
        <v>0</v>
      </c>
      <c r="Z53">
        <f>IF($B53="",0,COUNTIFS('UX Weekly'!$H$1:$CT$1,"&gt;="&amp;Z$1,'UX Weekly'!$H$1:$CT$1,"&lt;="&amp;EOMONTH(Z$1,0),'UX Weekly'!$H53:$CT53,"&lt;&gt;"))</f>
        <v>0</v>
      </c>
      <c r="AA53">
        <f>IF($B53="",0,COUNTIFS('UX Weekly'!$H$1:$CT$1,"&gt;="&amp;AA$1,'UX Weekly'!$H$1:$CT$1,"&lt;="&amp;EOMONTH(AA$1,0),'UX Weekly'!$H53:$CT53,"&lt;&gt;"))</f>
        <v>0</v>
      </c>
      <c r="AB53">
        <f>IF($B53="",0,COUNTIFS('UX Weekly'!$H$1:$CT$1,"&gt;="&amp;AB$1,'UX Weekly'!$H$1:$CT$1,"&lt;="&amp;EOMONTH(AB$1,0),'UX Weekly'!$H53:$CT53,"&lt;&gt;"))</f>
        <v>0</v>
      </c>
      <c r="AC53">
        <f>IF($B53="",0,COUNTIFS('UX Weekly'!$H$1:$CT$1,"&gt;="&amp;AC$1,'UX Weekly'!$H$1:$CT$1,"&lt;="&amp;EOMONTH(AC$1,0),'UX Weekly'!$H53:$CT53,"&lt;&gt;"))</f>
        <v>0</v>
      </c>
      <c r="AD53">
        <f>IF($B53="",0,COUNTIFS('UX Weekly'!$H$1:$CT$1,"&gt;="&amp;AD$1,'UX Weekly'!$H$1:$CT$1,"&lt;="&amp;EOMONTH(AD$1,0),'UX Weekly'!$H53:$CT53,"&lt;&gt;"))</f>
        <v>0</v>
      </c>
      <c r="AE53">
        <f>IF($B53="",0,COUNTIFS('UX Weekly'!$H$1:$CT$1,"&gt;="&amp;AE$1,'UX Weekly'!$H$1:$CT$1,"&lt;="&amp;EOMONTH(AE$1,0),'UX Weekly'!$H53:$CT53,"&lt;&gt;"))</f>
        <v>0</v>
      </c>
      <c r="AF53">
        <f>IF($B53="",0,COUNTIFS('UX Weekly'!$H$1:$CT$1,"&gt;="&amp;AF$1,'UX Weekly'!$H$1:$CT$1,"&lt;="&amp;EOMONTH(AF$1,0),'UX Weekly'!$H53:$CT53,"&lt;&gt;"))</f>
        <v>0</v>
      </c>
      <c r="AG53">
        <f>IF($B53="",0,COUNTIFS('UX Weekly'!$H$1:$CT$1,"&gt;="&amp;AG$1,'UX Weekly'!$H$1:$CT$1,"&lt;="&amp;EOMONTH(AG$1,0),'UX Weekly'!$H53:$CT53,"&lt;&gt;"))</f>
        <v>0</v>
      </c>
      <c r="AH53">
        <f>IF($B53="",0,COUNTIFS('UX Weekly'!$H$1:$CT$1,"&gt;="&amp;AH$1,'UX Weekly'!$H$1:$CT$1,"&lt;="&amp;EOMONTH(AH$1,0),'UX Weekly'!$H53:$CT53,"&lt;&gt;"))</f>
        <v>0</v>
      </c>
      <c r="AI53">
        <f>IF($B53="",0,COUNTIFS('UX Weekly'!$H$1:$CT$1,"&gt;="&amp;AI$1,'UX Weekly'!$H$1:$CT$1,"&lt;="&amp;EOMONTH(AI$1,0),'UX Weekly'!$H53:$CT53,"&lt;&gt;"))</f>
        <v>0</v>
      </c>
      <c r="AJ53">
        <f>IF($B53="",0,COUNTIFS('UX Weekly'!$H$1:$CT$1,"&gt;="&amp;AJ$1,'UX Weekly'!$H$1:$CT$1,"&lt;="&amp;EOMONTH(AJ$1,0),'UX Weekly'!$H53:$CT53,"&lt;&gt;"))</f>
        <v>0</v>
      </c>
      <c r="AK53">
        <f>IF($B53="",0,COUNTIFS('UX Weekly'!$H$1:$CT$1,"&gt;="&amp;AK$1,'UX Weekly'!$H$1:$CT$1,"&lt;="&amp;EOMONTH(AK$1,0),'UX Weekly'!$H53:$CT53,"&lt;&gt;"))</f>
        <v>0</v>
      </c>
      <c r="AL53">
        <f>IF($B53="",0,COUNTIFS('UX Weekly'!$H$1:$CT$1,"&gt;="&amp;AL$1,'UX Weekly'!$H$1:$CT$1,"&lt;="&amp;EOMONTH(AL$1,0),'UX Weekly'!$H53:$CT53,"&lt;&gt;"))</f>
        <v>0</v>
      </c>
      <c r="AM53">
        <f>IF($B53="",0,COUNTIFS('UX Weekly'!$H$1:$CT$1,"&gt;="&amp;AM$1,'UX Weekly'!$H$1:$CT$1,"&lt;="&amp;EOMONTH(AM$1,0),'UX Weekly'!$H53:$CT53,"&lt;&gt;"))</f>
        <v>0</v>
      </c>
      <c r="AN53">
        <f>IF($B53="",0,COUNTIFS('UX Weekly'!$H$1:$CT$1,"&gt;="&amp;AN$1,'UX Weekly'!$H$1:$CT$1,"&lt;="&amp;EOMONTH(AN$1,0),'UX Weekly'!$H53:$CT53,"&lt;&gt;"))</f>
        <v>0</v>
      </c>
      <c r="AO53">
        <f>IF($B53="",0,COUNTIFS('UX Weekly'!$H$1:$CT$1,"&gt;="&amp;AO$1,'UX Weekly'!$H$1:$CT$1,"&lt;="&amp;EOMONTH(AO$1,0),'UX Weekly'!$H53:$CT53,"&lt;&gt;"))</f>
        <v>0</v>
      </c>
      <c r="AP53">
        <f>IF($B53="",0,COUNTIFS('UX Weekly'!$H$1:$CT$1,"&gt;="&amp;AP$1,'UX Weekly'!$H$1:$CT$1,"&lt;="&amp;EOMONTH(AP$1,0),'UX Weekly'!$H53:$CT53,"&lt;&gt;"))</f>
        <v>0</v>
      </c>
      <c r="AQ53">
        <f>IF($B53="",0,COUNTIFS('UX Weekly'!$H$1:$CT$1,"&gt;="&amp;AQ$1,'UX Weekly'!$H$1:$CT$1,"&lt;="&amp;EOMONTH(AQ$1,0),'UX Weekly'!$H53:$CT53,"&lt;&gt;"))</f>
        <v>0</v>
      </c>
      <c r="AR53">
        <f>IF($B53="",0,COUNTIFS('UX Weekly'!$H$1:$CT$1,"&gt;="&amp;AR$1,'UX Weekly'!$H$1:$CT$1,"&lt;="&amp;EOMONTH(AR$1,0),'UX Weekly'!$H53:$CT53,"&lt;&gt;"))</f>
        <v>0</v>
      </c>
      <c r="AS53">
        <f>IF($B53="",0,COUNTIFS('UX Weekly'!$H$1:$CT$1,"&gt;="&amp;AS$1,'UX Weekly'!$H$1:$CT$1,"&lt;="&amp;EOMONTH(AS$1,0),'UX Weekly'!$H53:$CT53,"&lt;&gt;"))</f>
        <v>0</v>
      </c>
      <c r="AT53">
        <f>IF($B53="",0,COUNTIFS('UX Weekly'!$H$1:$CT$1,"&gt;="&amp;AT$1,'UX Weekly'!$H$1:$CT$1,"&lt;="&amp;EOMONTH(AT$1,0),'UX Weekly'!$H53:$CT53,"&lt;&gt;"))</f>
        <v>0</v>
      </c>
    </row>
    <row r="54" spans="1:46" x14ac:dyDescent="0.2">
      <c r="A54" s="147">
        <v>55</v>
      </c>
      <c r="B54" s="147" t="str">
        <f>IF(TRIM('UX Weekly'!E54)="","",TRIM('UX Weekly'!E54))</f>
        <v/>
      </c>
      <c r="C54" s="147" t="str">
        <f>IF($B54="","",'UX Weekly'!B54)</f>
        <v/>
      </c>
      <c r="D54" s="147" t="str">
        <f>IF($B54="","",IF(TRIM('UX Weekly'!C54)="","(No theme assigned)",TRIM('UX Weekly'!C54)))</f>
        <v/>
      </c>
      <c r="E54" s="147" t="str">
        <f>IF($B54="","",TRIM('UX Weekly'!F54))</f>
        <v/>
      </c>
      <c r="F54" s="147" t="str">
        <f>IF($B54="","",'UX Weekly'!G54)</f>
        <v/>
      </c>
      <c r="G54" s="148" t="str">
        <f t="array" ref="G54">IF($B54="","",IF($S54=0,"",IFERROR(MIN(IF('UX Weekly'!$H54:$CT54&lt;&gt;"",'UX Weekly'!$H$1:$CT$1)),"")))</f>
        <v/>
      </c>
      <c r="H54" s="148" t="str">
        <f t="array" ref="H54">IF($B54="","",IF($S54=0,"",IFERROR(MAX(IF('UX Weekly'!$H54:$CT54&lt;&gt;"",'UX Weekly'!$H$1:$CT$1)),"")))</f>
        <v/>
      </c>
      <c r="I54" s="149" t="str">
        <f t="shared" ca="1" si="3"/>
        <v/>
      </c>
      <c r="J54" s="149" t="str">
        <f t="shared" ca="1" si="4"/>
        <v/>
      </c>
      <c r="K54" s="147" t="str">
        <f>IF($B54="","",IFERROR(MATCH($B54,'Dev Tracker'!$D$2:$D$196,0),IF($E54="","",IFERROR(MATCH($E54,'Dev Tracker'!$E$2:$E$196,0),""))))</f>
        <v/>
      </c>
      <c r="L54" s="147" t="str">
        <f>IF($B54="","",IFERROR(MATCH($D54,'Control (Don’t Touch)'!$E$4:$E$30,0),99))</f>
        <v/>
      </c>
      <c r="M54" s="147" t="str">
        <f>IF($B54="","",IFERROR(MATCH($F54,'Control (Don’t Touch)'!$B$4:$B$30,0),99))</f>
        <v/>
      </c>
      <c r="N54" s="147" t="str">
        <f t="shared" si="5"/>
        <v/>
      </c>
      <c r="O54" s="147" t="str">
        <f>IF($B54="","",COUNTIF($N$2:$N$204,"&lt;"&amp;$N54)+1)</f>
        <v/>
      </c>
      <c r="P54" s="149" t="str">
        <f ca="1">IF($K54="","",IFERROR(DATE(IFERROR(VALUE(RIGHT(TRIM(INDEX('Dev Tracker'!$I$2:$I$196,$K54)),4)),YEAR(TODAY())),MATCH(LEFT(TRIM(INDEX('Dev Tracker'!$I$2:$I$196,$K54)),3),$U$2:$U$12,0),1),""))</f>
        <v/>
      </c>
      <c r="Q54" s="149" t="str">
        <f ca="1">IF($K54="","",IFERROR(DATE(IFERROR(VALUE(RIGHT(TRIM(INDEX('Dev Tracker'!$J$2:$J$196,$K54)),4)),YEAR(TODAY())),MATCH(LEFT(TRIM(INDEX('Dev Tracker'!$J$2:$J$196,$K54)),3),$U$2:$U$12,0),1),""))</f>
        <v/>
      </c>
      <c r="R54" s="147"/>
      <c r="S54" s="147" t="str">
        <f>IF($B54="","",COUNTA('UX Weekly'!$H54:$CT54))</f>
        <v/>
      </c>
      <c r="W54">
        <f>IF($B54="",0,COUNTIFS('UX Weekly'!$H$1:$CT$1,"&gt;="&amp;W$1,'UX Weekly'!$H$1:$CT$1,"&lt;="&amp;EOMONTH(W$1,0),'UX Weekly'!$H54:$CT54,"&lt;&gt;"))</f>
        <v>0</v>
      </c>
      <c r="X54">
        <f>IF($B54="",0,COUNTIFS('UX Weekly'!$H$1:$CT$1,"&gt;="&amp;X$1,'UX Weekly'!$H$1:$CT$1,"&lt;="&amp;EOMONTH(X$1,0),'UX Weekly'!$H54:$CT54,"&lt;&gt;"))</f>
        <v>0</v>
      </c>
      <c r="Y54">
        <f>IF($B54="",0,COUNTIFS('UX Weekly'!$H$1:$CT$1,"&gt;="&amp;Y$1,'UX Weekly'!$H$1:$CT$1,"&lt;="&amp;EOMONTH(Y$1,0),'UX Weekly'!$H54:$CT54,"&lt;&gt;"))</f>
        <v>0</v>
      </c>
      <c r="Z54">
        <f>IF($B54="",0,COUNTIFS('UX Weekly'!$H$1:$CT$1,"&gt;="&amp;Z$1,'UX Weekly'!$H$1:$CT$1,"&lt;="&amp;EOMONTH(Z$1,0),'UX Weekly'!$H54:$CT54,"&lt;&gt;"))</f>
        <v>0</v>
      </c>
      <c r="AA54">
        <f>IF($B54="",0,COUNTIFS('UX Weekly'!$H$1:$CT$1,"&gt;="&amp;AA$1,'UX Weekly'!$H$1:$CT$1,"&lt;="&amp;EOMONTH(AA$1,0),'UX Weekly'!$H54:$CT54,"&lt;&gt;"))</f>
        <v>0</v>
      </c>
      <c r="AB54">
        <f>IF($B54="",0,COUNTIFS('UX Weekly'!$H$1:$CT$1,"&gt;="&amp;AB$1,'UX Weekly'!$H$1:$CT$1,"&lt;="&amp;EOMONTH(AB$1,0),'UX Weekly'!$H54:$CT54,"&lt;&gt;"))</f>
        <v>0</v>
      </c>
      <c r="AC54">
        <f>IF($B54="",0,COUNTIFS('UX Weekly'!$H$1:$CT$1,"&gt;="&amp;AC$1,'UX Weekly'!$H$1:$CT$1,"&lt;="&amp;EOMONTH(AC$1,0),'UX Weekly'!$H54:$CT54,"&lt;&gt;"))</f>
        <v>0</v>
      </c>
      <c r="AD54">
        <f>IF($B54="",0,COUNTIFS('UX Weekly'!$H$1:$CT$1,"&gt;="&amp;AD$1,'UX Weekly'!$H$1:$CT$1,"&lt;="&amp;EOMONTH(AD$1,0),'UX Weekly'!$H54:$CT54,"&lt;&gt;"))</f>
        <v>0</v>
      </c>
      <c r="AE54">
        <f>IF($B54="",0,COUNTIFS('UX Weekly'!$H$1:$CT$1,"&gt;="&amp;AE$1,'UX Weekly'!$H$1:$CT$1,"&lt;="&amp;EOMONTH(AE$1,0),'UX Weekly'!$H54:$CT54,"&lt;&gt;"))</f>
        <v>0</v>
      </c>
      <c r="AF54">
        <f>IF($B54="",0,COUNTIFS('UX Weekly'!$H$1:$CT$1,"&gt;="&amp;AF$1,'UX Weekly'!$H$1:$CT$1,"&lt;="&amp;EOMONTH(AF$1,0),'UX Weekly'!$H54:$CT54,"&lt;&gt;"))</f>
        <v>0</v>
      </c>
      <c r="AG54">
        <f>IF($B54="",0,COUNTIFS('UX Weekly'!$H$1:$CT$1,"&gt;="&amp;AG$1,'UX Weekly'!$H$1:$CT$1,"&lt;="&amp;EOMONTH(AG$1,0),'UX Weekly'!$H54:$CT54,"&lt;&gt;"))</f>
        <v>0</v>
      </c>
      <c r="AH54">
        <f>IF($B54="",0,COUNTIFS('UX Weekly'!$H$1:$CT$1,"&gt;="&amp;AH$1,'UX Weekly'!$H$1:$CT$1,"&lt;="&amp;EOMONTH(AH$1,0),'UX Weekly'!$H54:$CT54,"&lt;&gt;"))</f>
        <v>0</v>
      </c>
      <c r="AI54">
        <f>IF($B54="",0,COUNTIFS('UX Weekly'!$H$1:$CT$1,"&gt;="&amp;AI$1,'UX Weekly'!$H$1:$CT$1,"&lt;="&amp;EOMONTH(AI$1,0),'UX Weekly'!$H54:$CT54,"&lt;&gt;"))</f>
        <v>0</v>
      </c>
      <c r="AJ54">
        <f>IF($B54="",0,COUNTIFS('UX Weekly'!$H$1:$CT$1,"&gt;="&amp;AJ$1,'UX Weekly'!$H$1:$CT$1,"&lt;="&amp;EOMONTH(AJ$1,0),'UX Weekly'!$H54:$CT54,"&lt;&gt;"))</f>
        <v>0</v>
      </c>
      <c r="AK54">
        <f>IF($B54="",0,COUNTIFS('UX Weekly'!$H$1:$CT$1,"&gt;="&amp;AK$1,'UX Weekly'!$H$1:$CT$1,"&lt;="&amp;EOMONTH(AK$1,0),'UX Weekly'!$H54:$CT54,"&lt;&gt;"))</f>
        <v>0</v>
      </c>
      <c r="AL54">
        <f>IF($B54="",0,COUNTIFS('UX Weekly'!$H$1:$CT$1,"&gt;="&amp;AL$1,'UX Weekly'!$H$1:$CT$1,"&lt;="&amp;EOMONTH(AL$1,0),'UX Weekly'!$H54:$CT54,"&lt;&gt;"))</f>
        <v>0</v>
      </c>
      <c r="AM54">
        <f>IF($B54="",0,COUNTIFS('UX Weekly'!$H$1:$CT$1,"&gt;="&amp;AM$1,'UX Weekly'!$H$1:$CT$1,"&lt;="&amp;EOMONTH(AM$1,0),'UX Weekly'!$H54:$CT54,"&lt;&gt;"))</f>
        <v>0</v>
      </c>
      <c r="AN54">
        <f>IF($B54="",0,COUNTIFS('UX Weekly'!$H$1:$CT$1,"&gt;="&amp;AN$1,'UX Weekly'!$H$1:$CT$1,"&lt;="&amp;EOMONTH(AN$1,0),'UX Weekly'!$H54:$CT54,"&lt;&gt;"))</f>
        <v>0</v>
      </c>
      <c r="AO54">
        <f>IF($B54="",0,COUNTIFS('UX Weekly'!$H$1:$CT$1,"&gt;="&amp;AO$1,'UX Weekly'!$H$1:$CT$1,"&lt;="&amp;EOMONTH(AO$1,0),'UX Weekly'!$H54:$CT54,"&lt;&gt;"))</f>
        <v>0</v>
      </c>
      <c r="AP54">
        <f>IF($B54="",0,COUNTIFS('UX Weekly'!$H$1:$CT$1,"&gt;="&amp;AP$1,'UX Weekly'!$H$1:$CT$1,"&lt;="&amp;EOMONTH(AP$1,0),'UX Weekly'!$H54:$CT54,"&lt;&gt;"))</f>
        <v>0</v>
      </c>
      <c r="AQ54">
        <f>IF($B54="",0,COUNTIFS('UX Weekly'!$H$1:$CT$1,"&gt;="&amp;AQ$1,'UX Weekly'!$H$1:$CT$1,"&lt;="&amp;EOMONTH(AQ$1,0),'UX Weekly'!$H54:$CT54,"&lt;&gt;"))</f>
        <v>0</v>
      </c>
      <c r="AR54">
        <f>IF($B54="",0,COUNTIFS('UX Weekly'!$H$1:$CT$1,"&gt;="&amp;AR$1,'UX Weekly'!$H$1:$CT$1,"&lt;="&amp;EOMONTH(AR$1,0),'UX Weekly'!$H54:$CT54,"&lt;&gt;"))</f>
        <v>0</v>
      </c>
      <c r="AS54">
        <f>IF($B54="",0,COUNTIFS('UX Weekly'!$H$1:$CT$1,"&gt;="&amp;AS$1,'UX Weekly'!$H$1:$CT$1,"&lt;="&amp;EOMONTH(AS$1,0),'UX Weekly'!$H54:$CT54,"&lt;&gt;"))</f>
        <v>0</v>
      </c>
      <c r="AT54">
        <f>IF($B54="",0,COUNTIFS('UX Weekly'!$H$1:$CT$1,"&gt;="&amp;AT$1,'UX Weekly'!$H$1:$CT$1,"&lt;="&amp;EOMONTH(AT$1,0),'UX Weekly'!$H54:$CT54,"&lt;&gt;"))</f>
        <v>0</v>
      </c>
    </row>
    <row r="55" spans="1:46" x14ac:dyDescent="0.2">
      <c r="A55" s="147">
        <v>56</v>
      </c>
      <c r="B55" s="147" t="str">
        <f>IF(TRIM('UX Weekly'!E55)="","",TRIM('UX Weekly'!E55))</f>
        <v/>
      </c>
      <c r="C55" s="147" t="str">
        <f>IF($B55="","",'UX Weekly'!B55)</f>
        <v/>
      </c>
      <c r="D55" s="147" t="str">
        <f>IF($B55="","",IF(TRIM('UX Weekly'!C55)="","(No theme assigned)",TRIM('UX Weekly'!C55)))</f>
        <v/>
      </c>
      <c r="E55" s="147" t="str">
        <f>IF($B55="","",TRIM('UX Weekly'!F55))</f>
        <v/>
      </c>
      <c r="F55" s="147" t="str">
        <f>IF($B55="","",'UX Weekly'!G55)</f>
        <v/>
      </c>
      <c r="G55" s="148" t="str">
        <f t="array" ref="G55">IF($B55="","",IF($S55=0,"",IFERROR(MIN(IF('UX Weekly'!$H55:$CT55&lt;&gt;"",'UX Weekly'!$H$1:$CT$1)),"")))</f>
        <v/>
      </c>
      <c r="H55" s="148" t="str">
        <f t="array" ref="H55">IF($B55="","",IF($S55=0,"",IFERROR(MAX(IF('UX Weekly'!$H55:$CT55&lt;&gt;"",'UX Weekly'!$H$1:$CT$1)),"")))</f>
        <v/>
      </c>
      <c r="I55" s="149" t="str">
        <f t="shared" ca="1" si="3"/>
        <v/>
      </c>
      <c r="J55" s="149" t="str">
        <f t="shared" ca="1" si="4"/>
        <v/>
      </c>
      <c r="K55" s="147" t="str">
        <f>IF($B55="","",IFERROR(MATCH($B55,'Dev Tracker'!$D$2:$D$196,0),IF($E55="","",IFERROR(MATCH($E55,'Dev Tracker'!$E$2:$E$196,0),""))))</f>
        <v/>
      </c>
      <c r="L55" s="147" t="str">
        <f>IF($B55="","",IFERROR(MATCH($D55,'Control (Don’t Touch)'!$E$4:$E$30,0),99))</f>
        <v/>
      </c>
      <c r="M55" s="147" t="str">
        <f>IF($B55="","",IFERROR(MATCH($F55,'Control (Don’t Touch)'!$B$4:$B$30,0),99))</f>
        <v/>
      </c>
      <c r="N55" s="147" t="str">
        <f t="shared" si="5"/>
        <v/>
      </c>
      <c r="O55" s="147" t="str">
        <f>IF($B55="","",COUNTIF($N$2:$N$204,"&lt;"&amp;$N55)+1)</f>
        <v/>
      </c>
      <c r="P55" s="149" t="str">
        <f ca="1">IF($K55="","",IFERROR(DATE(IFERROR(VALUE(RIGHT(TRIM(INDEX('Dev Tracker'!$I$2:$I$196,$K55)),4)),YEAR(TODAY())),MATCH(LEFT(TRIM(INDEX('Dev Tracker'!$I$2:$I$196,$K55)),3),$U$2:$U$12,0),1),""))</f>
        <v/>
      </c>
      <c r="Q55" s="149" t="str">
        <f ca="1">IF($K55="","",IFERROR(DATE(IFERROR(VALUE(RIGHT(TRIM(INDEX('Dev Tracker'!$J$2:$J$196,$K55)),4)),YEAR(TODAY())),MATCH(LEFT(TRIM(INDEX('Dev Tracker'!$J$2:$J$196,$K55)),3),$U$2:$U$12,0),1),""))</f>
        <v/>
      </c>
      <c r="R55" s="147"/>
      <c r="S55" s="147" t="str">
        <f>IF($B55="","",COUNTA('UX Weekly'!$H55:$CT55))</f>
        <v/>
      </c>
      <c r="W55">
        <f>IF($B55="",0,COUNTIFS('UX Weekly'!$H$1:$CT$1,"&gt;="&amp;W$1,'UX Weekly'!$H$1:$CT$1,"&lt;="&amp;EOMONTH(W$1,0),'UX Weekly'!$H55:$CT55,"&lt;&gt;"))</f>
        <v>0</v>
      </c>
      <c r="X55">
        <f>IF($B55="",0,COUNTIFS('UX Weekly'!$H$1:$CT$1,"&gt;="&amp;X$1,'UX Weekly'!$H$1:$CT$1,"&lt;="&amp;EOMONTH(X$1,0),'UX Weekly'!$H55:$CT55,"&lt;&gt;"))</f>
        <v>0</v>
      </c>
      <c r="Y55">
        <f>IF($B55="",0,COUNTIFS('UX Weekly'!$H$1:$CT$1,"&gt;="&amp;Y$1,'UX Weekly'!$H$1:$CT$1,"&lt;="&amp;EOMONTH(Y$1,0),'UX Weekly'!$H55:$CT55,"&lt;&gt;"))</f>
        <v>0</v>
      </c>
      <c r="Z55">
        <f>IF($B55="",0,COUNTIFS('UX Weekly'!$H$1:$CT$1,"&gt;="&amp;Z$1,'UX Weekly'!$H$1:$CT$1,"&lt;="&amp;EOMONTH(Z$1,0),'UX Weekly'!$H55:$CT55,"&lt;&gt;"))</f>
        <v>0</v>
      </c>
      <c r="AA55">
        <f>IF($B55="",0,COUNTIFS('UX Weekly'!$H$1:$CT$1,"&gt;="&amp;AA$1,'UX Weekly'!$H$1:$CT$1,"&lt;="&amp;EOMONTH(AA$1,0),'UX Weekly'!$H55:$CT55,"&lt;&gt;"))</f>
        <v>0</v>
      </c>
      <c r="AB55">
        <f>IF($B55="",0,COUNTIFS('UX Weekly'!$H$1:$CT$1,"&gt;="&amp;AB$1,'UX Weekly'!$H$1:$CT$1,"&lt;="&amp;EOMONTH(AB$1,0),'UX Weekly'!$H55:$CT55,"&lt;&gt;"))</f>
        <v>0</v>
      </c>
      <c r="AC55">
        <f>IF($B55="",0,COUNTIFS('UX Weekly'!$H$1:$CT$1,"&gt;="&amp;AC$1,'UX Weekly'!$H$1:$CT$1,"&lt;="&amp;EOMONTH(AC$1,0),'UX Weekly'!$H55:$CT55,"&lt;&gt;"))</f>
        <v>0</v>
      </c>
      <c r="AD55">
        <f>IF($B55="",0,COUNTIFS('UX Weekly'!$H$1:$CT$1,"&gt;="&amp;AD$1,'UX Weekly'!$H$1:$CT$1,"&lt;="&amp;EOMONTH(AD$1,0),'UX Weekly'!$H55:$CT55,"&lt;&gt;"))</f>
        <v>0</v>
      </c>
      <c r="AE55">
        <f>IF($B55="",0,COUNTIFS('UX Weekly'!$H$1:$CT$1,"&gt;="&amp;AE$1,'UX Weekly'!$H$1:$CT$1,"&lt;="&amp;EOMONTH(AE$1,0),'UX Weekly'!$H55:$CT55,"&lt;&gt;"))</f>
        <v>0</v>
      </c>
      <c r="AF55">
        <f>IF($B55="",0,COUNTIFS('UX Weekly'!$H$1:$CT$1,"&gt;="&amp;AF$1,'UX Weekly'!$H$1:$CT$1,"&lt;="&amp;EOMONTH(AF$1,0),'UX Weekly'!$H55:$CT55,"&lt;&gt;"))</f>
        <v>0</v>
      </c>
      <c r="AG55">
        <f>IF($B55="",0,COUNTIFS('UX Weekly'!$H$1:$CT$1,"&gt;="&amp;AG$1,'UX Weekly'!$H$1:$CT$1,"&lt;="&amp;EOMONTH(AG$1,0),'UX Weekly'!$H55:$CT55,"&lt;&gt;"))</f>
        <v>0</v>
      </c>
      <c r="AH55">
        <f>IF($B55="",0,COUNTIFS('UX Weekly'!$H$1:$CT$1,"&gt;="&amp;AH$1,'UX Weekly'!$H$1:$CT$1,"&lt;="&amp;EOMONTH(AH$1,0),'UX Weekly'!$H55:$CT55,"&lt;&gt;"))</f>
        <v>0</v>
      </c>
      <c r="AI55">
        <f>IF($B55="",0,COUNTIFS('UX Weekly'!$H$1:$CT$1,"&gt;="&amp;AI$1,'UX Weekly'!$H$1:$CT$1,"&lt;="&amp;EOMONTH(AI$1,0),'UX Weekly'!$H55:$CT55,"&lt;&gt;"))</f>
        <v>0</v>
      </c>
      <c r="AJ55">
        <f>IF($B55="",0,COUNTIFS('UX Weekly'!$H$1:$CT$1,"&gt;="&amp;AJ$1,'UX Weekly'!$H$1:$CT$1,"&lt;="&amp;EOMONTH(AJ$1,0),'UX Weekly'!$H55:$CT55,"&lt;&gt;"))</f>
        <v>0</v>
      </c>
      <c r="AK55">
        <f>IF($B55="",0,COUNTIFS('UX Weekly'!$H$1:$CT$1,"&gt;="&amp;AK$1,'UX Weekly'!$H$1:$CT$1,"&lt;="&amp;EOMONTH(AK$1,0),'UX Weekly'!$H55:$CT55,"&lt;&gt;"))</f>
        <v>0</v>
      </c>
      <c r="AL55">
        <f>IF($B55="",0,COUNTIFS('UX Weekly'!$H$1:$CT$1,"&gt;="&amp;AL$1,'UX Weekly'!$H$1:$CT$1,"&lt;="&amp;EOMONTH(AL$1,0),'UX Weekly'!$H55:$CT55,"&lt;&gt;"))</f>
        <v>0</v>
      </c>
      <c r="AM55">
        <f>IF($B55="",0,COUNTIFS('UX Weekly'!$H$1:$CT$1,"&gt;="&amp;AM$1,'UX Weekly'!$H$1:$CT$1,"&lt;="&amp;EOMONTH(AM$1,0),'UX Weekly'!$H55:$CT55,"&lt;&gt;"))</f>
        <v>0</v>
      </c>
      <c r="AN55">
        <f>IF($B55="",0,COUNTIFS('UX Weekly'!$H$1:$CT$1,"&gt;="&amp;AN$1,'UX Weekly'!$H$1:$CT$1,"&lt;="&amp;EOMONTH(AN$1,0),'UX Weekly'!$H55:$CT55,"&lt;&gt;"))</f>
        <v>0</v>
      </c>
      <c r="AO55">
        <f>IF($B55="",0,COUNTIFS('UX Weekly'!$H$1:$CT$1,"&gt;="&amp;AO$1,'UX Weekly'!$H$1:$CT$1,"&lt;="&amp;EOMONTH(AO$1,0),'UX Weekly'!$H55:$CT55,"&lt;&gt;"))</f>
        <v>0</v>
      </c>
      <c r="AP55">
        <f>IF($B55="",0,COUNTIFS('UX Weekly'!$H$1:$CT$1,"&gt;="&amp;AP$1,'UX Weekly'!$H$1:$CT$1,"&lt;="&amp;EOMONTH(AP$1,0),'UX Weekly'!$H55:$CT55,"&lt;&gt;"))</f>
        <v>0</v>
      </c>
      <c r="AQ55">
        <f>IF($B55="",0,COUNTIFS('UX Weekly'!$H$1:$CT$1,"&gt;="&amp;AQ$1,'UX Weekly'!$H$1:$CT$1,"&lt;="&amp;EOMONTH(AQ$1,0),'UX Weekly'!$H55:$CT55,"&lt;&gt;"))</f>
        <v>0</v>
      </c>
      <c r="AR55">
        <f>IF($B55="",0,COUNTIFS('UX Weekly'!$H$1:$CT$1,"&gt;="&amp;AR$1,'UX Weekly'!$H$1:$CT$1,"&lt;="&amp;EOMONTH(AR$1,0),'UX Weekly'!$H55:$CT55,"&lt;&gt;"))</f>
        <v>0</v>
      </c>
      <c r="AS55">
        <f>IF($B55="",0,COUNTIFS('UX Weekly'!$H$1:$CT$1,"&gt;="&amp;AS$1,'UX Weekly'!$H$1:$CT$1,"&lt;="&amp;EOMONTH(AS$1,0),'UX Weekly'!$H55:$CT55,"&lt;&gt;"))</f>
        <v>0</v>
      </c>
      <c r="AT55">
        <f>IF($B55="",0,COUNTIFS('UX Weekly'!$H$1:$CT$1,"&gt;="&amp;AT$1,'UX Weekly'!$H$1:$CT$1,"&lt;="&amp;EOMONTH(AT$1,0),'UX Weekly'!$H55:$CT55,"&lt;&gt;"))</f>
        <v>0</v>
      </c>
    </row>
    <row r="56" spans="1:46" x14ac:dyDescent="0.2">
      <c r="A56" s="147">
        <v>57</v>
      </c>
      <c r="B56" s="147" t="str">
        <f>IF(TRIM('UX Weekly'!E56)="","",TRIM('UX Weekly'!E56))</f>
        <v/>
      </c>
      <c r="C56" s="147" t="str">
        <f>IF($B56="","",'UX Weekly'!B56)</f>
        <v/>
      </c>
      <c r="D56" s="147" t="str">
        <f>IF($B56="","",IF(TRIM('UX Weekly'!C56)="","(No theme assigned)",TRIM('UX Weekly'!C56)))</f>
        <v/>
      </c>
      <c r="E56" s="147" t="str">
        <f>IF($B56="","",TRIM('UX Weekly'!F56))</f>
        <v/>
      </c>
      <c r="F56" s="147" t="str">
        <f>IF($B56="","",'UX Weekly'!G56)</f>
        <v/>
      </c>
      <c r="G56" s="148" t="str">
        <f t="array" ref="G56">IF($B56="","",IF($S56=0,"",IFERROR(MIN(IF('UX Weekly'!$H56:$CT56&lt;&gt;"",'UX Weekly'!$H$1:$CT$1)),"")))</f>
        <v/>
      </c>
      <c r="H56" s="148" t="str">
        <f t="array" ref="H56">IF($B56="","",IF($S56=0,"",IFERROR(MAX(IF('UX Weekly'!$H56:$CT56&lt;&gt;"",'UX Weekly'!$H$1:$CT$1)),"")))</f>
        <v/>
      </c>
      <c r="I56" s="149" t="str">
        <f t="shared" ca="1" si="3"/>
        <v/>
      </c>
      <c r="J56" s="149" t="str">
        <f t="shared" ca="1" si="4"/>
        <v/>
      </c>
      <c r="K56" s="147" t="str">
        <f>IF($B56="","",IFERROR(MATCH($B56,'Dev Tracker'!$D$2:$D$196,0),IF($E56="","",IFERROR(MATCH($E56,'Dev Tracker'!$E$2:$E$196,0),""))))</f>
        <v/>
      </c>
      <c r="L56" s="147" t="str">
        <f>IF($B56="","",IFERROR(MATCH($D56,'Control (Don’t Touch)'!$E$4:$E$30,0),99))</f>
        <v/>
      </c>
      <c r="M56" s="147" t="str">
        <f>IF($B56="","",IFERROR(MATCH($F56,'Control (Don’t Touch)'!$B$4:$B$30,0),99))</f>
        <v/>
      </c>
      <c r="N56" s="147" t="str">
        <f t="shared" si="5"/>
        <v/>
      </c>
      <c r="O56" s="147" t="str">
        <f>IF($B56="","",COUNTIF($N$2:$N$204,"&lt;"&amp;$N56)+1)</f>
        <v/>
      </c>
      <c r="P56" s="149" t="str">
        <f ca="1">IF($K56="","",IFERROR(DATE(IFERROR(VALUE(RIGHT(TRIM(INDEX('Dev Tracker'!$I$2:$I$196,$K56)),4)),YEAR(TODAY())),MATCH(LEFT(TRIM(INDEX('Dev Tracker'!$I$2:$I$196,$K56)),3),$U$2:$U$12,0),1),""))</f>
        <v/>
      </c>
      <c r="Q56" s="149" t="str">
        <f ca="1">IF($K56="","",IFERROR(DATE(IFERROR(VALUE(RIGHT(TRIM(INDEX('Dev Tracker'!$J$2:$J$196,$K56)),4)),YEAR(TODAY())),MATCH(LEFT(TRIM(INDEX('Dev Tracker'!$J$2:$J$196,$K56)),3),$U$2:$U$12,0),1),""))</f>
        <v/>
      </c>
      <c r="R56" s="147"/>
      <c r="S56" s="147" t="str">
        <f>IF($B56="","",COUNTA('UX Weekly'!$H56:$CT56))</f>
        <v/>
      </c>
      <c r="W56">
        <f>IF($B56="",0,COUNTIFS('UX Weekly'!$H$1:$CT$1,"&gt;="&amp;W$1,'UX Weekly'!$H$1:$CT$1,"&lt;="&amp;EOMONTH(W$1,0),'UX Weekly'!$H56:$CT56,"&lt;&gt;"))</f>
        <v>0</v>
      </c>
      <c r="X56">
        <f>IF($B56="",0,COUNTIFS('UX Weekly'!$H$1:$CT$1,"&gt;="&amp;X$1,'UX Weekly'!$H$1:$CT$1,"&lt;="&amp;EOMONTH(X$1,0),'UX Weekly'!$H56:$CT56,"&lt;&gt;"))</f>
        <v>0</v>
      </c>
      <c r="Y56">
        <f>IF($B56="",0,COUNTIFS('UX Weekly'!$H$1:$CT$1,"&gt;="&amp;Y$1,'UX Weekly'!$H$1:$CT$1,"&lt;="&amp;EOMONTH(Y$1,0),'UX Weekly'!$H56:$CT56,"&lt;&gt;"))</f>
        <v>0</v>
      </c>
      <c r="Z56">
        <f>IF($B56="",0,COUNTIFS('UX Weekly'!$H$1:$CT$1,"&gt;="&amp;Z$1,'UX Weekly'!$H$1:$CT$1,"&lt;="&amp;EOMONTH(Z$1,0),'UX Weekly'!$H56:$CT56,"&lt;&gt;"))</f>
        <v>0</v>
      </c>
      <c r="AA56">
        <f>IF($B56="",0,COUNTIFS('UX Weekly'!$H$1:$CT$1,"&gt;="&amp;AA$1,'UX Weekly'!$H$1:$CT$1,"&lt;="&amp;EOMONTH(AA$1,0),'UX Weekly'!$H56:$CT56,"&lt;&gt;"))</f>
        <v>0</v>
      </c>
      <c r="AB56">
        <f>IF($B56="",0,COUNTIFS('UX Weekly'!$H$1:$CT$1,"&gt;="&amp;AB$1,'UX Weekly'!$H$1:$CT$1,"&lt;="&amp;EOMONTH(AB$1,0),'UX Weekly'!$H56:$CT56,"&lt;&gt;"))</f>
        <v>0</v>
      </c>
      <c r="AC56">
        <f>IF($B56="",0,COUNTIFS('UX Weekly'!$H$1:$CT$1,"&gt;="&amp;AC$1,'UX Weekly'!$H$1:$CT$1,"&lt;="&amp;EOMONTH(AC$1,0),'UX Weekly'!$H56:$CT56,"&lt;&gt;"))</f>
        <v>0</v>
      </c>
      <c r="AD56">
        <f>IF($B56="",0,COUNTIFS('UX Weekly'!$H$1:$CT$1,"&gt;="&amp;AD$1,'UX Weekly'!$H$1:$CT$1,"&lt;="&amp;EOMONTH(AD$1,0),'UX Weekly'!$H56:$CT56,"&lt;&gt;"))</f>
        <v>0</v>
      </c>
      <c r="AE56">
        <f>IF($B56="",0,COUNTIFS('UX Weekly'!$H$1:$CT$1,"&gt;="&amp;AE$1,'UX Weekly'!$H$1:$CT$1,"&lt;="&amp;EOMONTH(AE$1,0),'UX Weekly'!$H56:$CT56,"&lt;&gt;"))</f>
        <v>0</v>
      </c>
      <c r="AF56">
        <f>IF($B56="",0,COUNTIFS('UX Weekly'!$H$1:$CT$1,"&gt;="&amp;AF$1,'UX Weekly'!$H$1:$CT$1,"&lt;="&amp;EOMONTH(AF$1,0),'UX Weekly'!$H56:$CT56,"&lt;&gt;"))</f>
        <v>0</v>
      </c>
      <c r="AG56">
        <f>IF($B56="",0,COUNTIFS('UX Weekly'!$H$1:$CT$1,"&gt;="&amp;AG$1,'UX Weekly'!$H$1:$CT$1,"&lt;="&amp;EOMONTH(AG$1,0),'UX Weekly'!$H56:$CT56,"&lt;&gt;"))</f>
        <v>0</v>
      </c>
      <c r="AH56">
        <f>IF($B56="",0,COUNTIFS('UX Weekly'!$H$1:$CT$1,"&gt;="&amp;AH$1,'UX Weekly'!$H$1:$CT$1,"&lt;="&amp;EOMONTH(AH$1,0),'UX Weekly'!$H56:$CT56,"&lt;&gt;"))</f>
        <v>0</v>
      </c>
      <c r="AI56">
        <f>IF($B56="",0,COUNTIFS('UX Weekly'!$H$1:$CT$1,"&gt;="&amp;AI$1,'UX Weekly'!$H$1:$CT$1,"&lt;="&amp;EOMONTH(AI$1,0),'UX Weekly'!$H56:$CT56,"&lt;&gt;"))</f>
        <v>0</v>
      </c>
      <c r="AJ56">
        <f>IF($B56="",0,COUNTIFS('UX Weekly'!$H$1:$CT$1,"&gt;="&amp;AJ$1,'UX Weekly'!$H$1:$CT$1,"&lt;="&amp;EOMONTH(AJ$1,0),'UX Weekly'!$H56:$CT56,"&lt;&gt;"))</f>
        <v>0</v>
      </c>
      <c r="AK56">
        <f>IF($B56="",0,COUNTIFS('UX Weekly'!$H$1:$CT$1,"&gt;="&amp;AK$1,'UX Weekly'!$H$1:$CT$1,"&lt;="&amp;EOMONTH(AK$1,0),'UX Weekly'!$H56:$CT56,"&lt;&gt;"))</f>
        <v>0</v>
      </c>
      <c r="AL56">
        <f>IF($B56="",0,COUNTIFS('UX Weekly'!$H$1:$CT$1,"&gt;="&amp;AL$1,'UX Weekly'!$H$1:$CT$1,"&lt;="&amp;EOMONTH(AL$1,0),'UX Weekly'!$H56:$CT56,"&lt;&gt;"))</f>
        <v>0</v>
      </c>
      <c r="AM56">
        <f>IF($B56="",0,COUNTIFS('UX Weekly'!$H$1:$CT$1,"&gt;="&amp;AM$1,'UX Weekly'!$H$1:$CT$1,"&lt;="&amp;EOMONTH(AM$1,0),'UX Weekly'!$H56:$CT56,"&lt;&gt;"))</f>
        <v>0</v>
      </c>
      <c r="AN56">
        <f>IF($B56="",0,COUNTIFS('UX Weekly'!$H$1:$CT$1,"&gt;="&amp;AN$1,'UX Weekly'!$H$1:$CT$1,"&lt;="&amp;EOMONTH(AN$1,0),'UX Weekly'!$H56:$CT56,"&lt;&gt;"))</f>
        <v>0</v>
      </c>
      <c r="AO56">
        <f>IF($B56="",0,COUNTIFS('UX Weekly'!$H$1:$CT$1,"&gt;="&amp;AO$1,'UX Weekly'!$H$1:$CT$1,"&lt;="&amp;EOMONTH(AO$1,0),'UX Weekly'!$H56:$CT56,"&lt;&gt;"))</f>
        <v>0</v>
      </c>
      <c r="AP56">
        <f>IF($B56="",0,COUNTIFS('UX Weekly'!$H$1:$CT$1,"&gt;="&amp;AP$1,'UX Weekly'!$H$1:$CT$1,"&lt;="&amp;EOMONTH(AP$1,0),'UX Weekly'!$H56:$CT56,"&lt;&gt;"))</f>
        <v>0</v>
      </c>
      <c r="AQ56">
        <f>IF($B56="",0,COUNTIFS('UX Weekly'!$H$1:$CT$1,"&gt;="&amp;AQ$1,'UX Weekly'!$H$1:$CT$1,"&lt;="&amp;EOMONTH(AQ$1,0),'UX Weekly'!$H56:$CT56,"&lt;&gt;"))</f>
        <v>0</v>
      </c>
      <c r="AR56">
        <f>IF($B56="",0,COUNTIFS('UX Weekly'!$H$1:$CT$1,"&gt;="&amp;AR$1,'UX Weekly'!$H$1:$CT$1,"&lt;="&amp;EOMONTH(AR$1,0),'UX Weekly'!$H56:$CT56,"&lt;&gt;"))</f>
        <v>0</v>
      </c>
      <c r="AS56">
        <f>IF($B56="",0,COUNTIFS('UX Weekly'!$H$1:$CT$1,"&gt;="&amp;AS$1,'UX Weekly'!$H$1:$CT$1,"&lt;="&amp;EOMONTH(AS$1,0),'UX Weekly'!$H56:$CT56,"&lt;&gt;"))</f>
        <v>0</v>
      </c>
      <c r="AT56">
        <f>IF($B56="",0,COUNTIFS('UX Weekly'!$H$1:$CT$1,"&gt;="&amp;AT$1,'UX Weekly'!$H$1:$CT$1,"&lt;="&amp;EOMONTH(AT$1,0),'UX Weekly'!$H56:$CT56,"&lt;&gt;"))</f>
        <v>0</v>
      </c>
    </row>
    <row r="57" spans="1:46" x14ac:dyDescent="0.2">
      <c r="A57" s="147">
        <v>58</v>
      </c>
      <c r="B57" s="147" t="str">
        <f>IF(TRIM('UX Weekly'!E57)="","",TRIM('UX Weekly'!E57))</f>
        <v/>
      </c>
      <c r="C57" s="147" t="str">
        <f>IF($B57="","",'UX Weekly'!B57)</f>
        <v/>
      </c>
      <c r="D57" s="147" t="str">
        <f>IF($B57="","",IF(TRIM('UX Weekly'!C57)="","(No theme assigned)",TRIM('UX Weekly'!C57)))</f>
        <v/>
      </c>
      <c r="E57" s="147" t="str">
        <f>IF($B57="","",TRIM('UX Weekly'!F57))</f>
        <v/>
      </c>
      <c r="F57" s="147" t="str">
        <f>IF($B57="","",'UX Weekly'!G57)</f>
        <v/>
      </c>
      <c r="G57" s="148" t="str">
        <f t="array" ref="G57">IF($B57="","",IF($S57=0,"",IFERROR(MIN(IF('UX Weekly'!$H57:$CT57&lt;&gt;"",'UX Weekly'!$H$1:$CT$1)),"")))</f>
        <v/>
      </c>
      <c r="H57" s="148" t="str">
        <f t="array" ref="H57">IF($B57="","",IF($S57=0,"",IFERROR(MAX(IF('UX Weekly'!$H57:$CT57&lt;&gt;"",'UX Weekly'!$H$1:$CT$1)),"")))</f>
        <v/>
      </c>
      <c r="I57" s="149" t="str">
        <f t="shared" ca="1" si="3"/>
        <v/>
      </c>
      <c r="J57" s="149" t="str">
        <f t="shared" ca="1" si="4"/>
        <v/>
      </c>
      <c r="K57" s="147" t="str">
        <f>IF($B57="","",IFERROR(MATCH($B57,'Dev Tracker'!$D$2:$D$196,0),IF($E57="","",IFERROR(MATCH($E57,'Dev Tracker'!$E$2:$E$196,0),""))))</f>
        <v/>
      </c>
      <c r="L57" s="147" t="str">
        <f>IF($B57="","",IFERROR(MATCH($D57,'Control (Don’t Touch)'!$E$4:$E$30,0),99))</f>
        <v/>
      </c>
      <c r="M57" s="147" t="str">
        <f>IF($B57="","",IFERROR(MATCH($F57,'Control (Don’t Touch)'!$B$4:$B$30,0),99))</f>
        <v/>
      </c>
      <c r="N57" s="147" t="str">
        <f t="shared" si="5"/>
        <v/>
      </c>
      <c r="O57" s="147" t="str">
        <f>IF($B57="","",COUNTIF($N$2:$N$204,"&lt;"&amp;$N57)+1)</f>
        <v/>
      </c>
      <c r="P57" s="149" t="str">
        <f ca="1">IF($K57="","",IFERROR(DATE(IFERROR(VALUE(RIGHT(TRIM(INDEX('Dev Tracker'!$I$2:$I$196,$K57)),4)),YEAR(TODAY())),MATCH(LEFT(TRIM(INDEX('Dev Tracker'!$I$2:$I$196,$K57)),3),$U$2:$U$12,0),1),""))</f>
        <v/>
      </c>
      <c r="Q57" s="149" t="str">
        <f ca="1">IF($K57="","",IFERROR(DATE(IFERROR(VALUE(RIGHT(TRIM(INDEX('Dev Tracker'!$J$2:$J$196,$K57)),4)),YEAR(TODAY())),MATCH(LEFT(TRIM(INDEX('Dev Tracker'!$J$2:$J$196,$K57)),3),$U$2:$U$12,0),1),""))</f>
        <v/>
      </c>
      <c r="R57" s="147"/>
      <c r="S57" s="147" t="str">
        <f>IF($B57="","",COUNTA('UX Weekly'!$H57:$CT57))</f>
        <v/>
      </c>
      <c r="W57">
        <f>IF($B57="",0,COUNTIFS('UX Weekly'!$H$1:$CT$1,"&gt;="&amp;W$1,'UX Weekly'!$H$1:$CT$1,"&lt;="&amp;EOMONTH(W$1,0),'UX Weekly'!$H57:$CT57,"&lt;&gt;"))</f>
        <v>0</v>
      </c>
      <c r="X57">
        <f>IF($B57="",0,COUNTIFS('UX Weekly'!$H$1:$CT$1,"&gt;="&amp;X$1,'UX Weekly'!$H$1:$CT$1,"&lt;="&amp;EOMONTH(X$1,0),'UX Weekly'!$H57:$CT57,"&lt;&gt;"))</f>
        <v>0</v>
      </c>
      <c r="Y57">
        <f>IF($B57="",0,COUNTIFS('UX Weekly'!$H$1:$CT$1,"&gt;="&amp;Y$1,'UX Weekly'!$H$1:$CT$1,"&lt;="&amp;EOMONTH(Y$1,0),'UX Weekly'!$H57:$CT57,"&lt;&gt;"))</f>
        <v>0</v>
      </c>
      <c r="Z57">
        <f>IF($B57="",0,COUNTIFS('UX Weekly'!$H$1:$CT$1,"&gt;="&amp;Z$1,'UX Weekly'!$H$1:$CT$1,"&lt;="&amp;EOMONTH(Z$1,0),'UX Weekly'!$H57:$CT57,"&lt;&gt;"))</f>
        <v>0</v>
      </c>
      <c r="AA57">
        <f>IF($B57="",0,COUNTIFS('UX Weekly'!$H$1:$CT$1,"&gt;="&amp;AA$1,'UX Weekly'!$H$1:$CT$1,"&lt;="&amp;EOMONTH(AA$1,0),'UX Weekly'!$H57:$CT57,"&lt;&gt;"))</f>
        <v>0</v>
      </c>
      <c r="AB57">
        <f>IF($B57="",0,COUNTIFS('UX Weekly'!$H$1:$CT$1,"&gt;="&amp;AB$1,'UX Weekly'!$H$1:$CT$1,"&lt;="&amp;EOMONTH(AB$1,0),'UX Weekly'!$H57:$CT57,"&lt;&gt;"))</f>
        <v>0</v>
      </c>
      <c r="AC57">
        <f>IF($B57="",0,COUNTIFS('UX Weekly'!$H$1:$CT$1,"&gt;="&amp;AC$1,'UX Weekly'!$H$1:$CT$1,"&lt;="&amp;EOMONTH(AC$1,0),'UX Weekly'!$H57:$CT57,"&lt;&gt;"))</f>
        <v>0</v>
      </c>
      <c r="AD57">
        <f>IF($B57="",0,COUNTIFS('UX Weekly'!$H$1:$CT$1,"&gt;="&amp;AD$1,'UX Weekly'!$H$1:$CT$1,"&lt;="&amp;EOMONTH(AD$1,0),'UX Weekly'!$H57:$CT57,"&lt;&gt;"))</f>
        <v>0</v>
      </c>
      <c r="AE57">
        <f>IF($B57="",0,COUNTIFS('UX Weekly'!$H$1:$CT$1,"&gt;="&amp;AE$1,'UX Weekly'!$H$1:$CT$1,"&lt;="&amp;EOMONTH(AE$1,0),'UX Weekly'!$H57:$CT57,"&lt;&gt;"))</f>
        <v>0</v>
      </c>
      <c r="AF57">
        <f>IF($B57="",0,COUNTIFS('UX Weekly'!$H$1:$CT$1,"&gt;="&amp;AF$1,'UX Weekly'!$H$1:$CT$1,"&lt;="&amp;EOMONTH(AF$1,0),'UX Weekly'!$H57:$CT57,"&lt;&gt;"))</f>
        <v>0</v>
      </c>
      <c r="AG57">
        <f>IF($B57="",0,COUNTIFS('UX Weekly'!$H$1:$CT$1,"&gt;="&amp;AG$1,'UX Weekly'!$H$1:$CT$1,"&lt;="&amp;EOMONTH(AG$1,0),'UX Weekly'!$H57:$CT57,"&lt;&gt;"))</f>
        <v>0</v>
      </c>
      <c r="AH57">
        <f>IF($B57="",0,COUNTIFS('UX Weekly'!$H$1:$CT$1,"&gt;="&amp;AH$1,'UX Weekly'!$H$1:$CT$1,"&lt;="&amp;EOMONTH(AH$1,0),'UX Weekly'!$H57:$CT57,"&lt;&gt;"))</f>
        <v>0</v>
      </c>
      <c r="AI57">
        <f>IF($B57="",0,COUNTIFS('UX Weekly'!$H$1:$CT$1,"&gt;="&amp;AI$1,'UX Weekly'!$H$1:$CT$1,"&lt;="&amp;EOMONTH(AI$1,0),'UX Weekly'!$H57:$CT57,"&lt;&gt;"))</f>
        <v>0</v>
      </c>
      <c r="AJ57">
        <f>IF($B57="",0,COUNTIFS('UX Weekly'!$H$1:$CT$1,"&gt;="&amp;AJ$1,'UX Weekly'!$H$1:$CT$1,"&lt;="&amp;EOMONTH(AJ$1,0),'UX Weekly'!$H57:$CT57,"&lt;&gt;"))</f>
        <v>0</v>
      </c>
      <c r="AK57">
        <f>IF($B57="",0,COUNTIFS('UX Weekly'!$H$1:$CT$1,"&gt;="&amp;AK$1,'UX Weekly'!$H$1:$CT$1,"&lt;="&amp;EOMONTH(AK$1,0),'UX Weekly'!$H57:$CT57,"&lt;&gt;"))</f>
        <v>0</v>
      </c>
      <c r="AL57">
        <f>IF($B57="",0,COUNTIFS('UX Weekly'!$H$1:$CT$1,"&gt;="&amp;AL$1,'UX Weekly'!$H$1:$CT$1,"&lt;="&amp;EOMONTH(AL$1,0),'UX Weekly'!$H57:$CT57,"&lt;&gt;"))</f>
        <v>0</v>
      </c>
      <c r="AM57">
        <f>IF($B57="",0,COUNTIFS('UX Weekly'!$H$1:$CT$1,"&gt;="&amp;AM$1,'UX Weekly'!$H$1:$CT$1,"&lt;="&amp;EOMONTH(AM$1,0),'UX Weekly'!$H57:$CT57,"&lt;&gt;"))</f>
        <v>0</v>
      </c>
      <c r="AN57">
        <f>IF($B57="",0,COUNTIFS('UX Weekly'!$H$1:$CT$1,"&gt;="&amp;AN$1,'UX Weekly'!$H$1:$CT$1,"&lt;="&amp;EOMONTH(AN$1,0),'UX Weekly'!$H57:$CT57,"&lt;&gt;"))</f>
        <v>0</v>
      </c>
      <c r="AO57">
        <f>IF($B57="",0,COUNTIFS('UX Weekly'!$H$1:$CT$1,"&gt;="&amp;AO$1,'UX Weekly'!$H$1:$CT$1,"&lt;="&amp;EOMONTH(AO$1,0),'UX Weekly'!$H57:$CT57,"&lt;&gt;"))</f>
        <v>0</v>
      </c>
      <c r="AP57">
        <f>IF($B57="",0,COUNTIFS('UX Weekly'!$H$1:$CT$1,"&gt;="&amp;AP$1,'UX Weekly'!$H$1:$CT$1,"&lt;="&amp;EOMONTH(AP$1,0),'UX Weekly'!$H57:$CT57,"&lt;&gt;"))</f>
        <v>0</v>
      </c>
      <c r="AQ57">
        <f>IF($B57="",0,COUNTIFS('UX Weekly'!$H$1:$CT$1,"&gt;="&amp;AQ$1,'UX Weekly'!$H$1:$CT$1,"&lt;="&amp;EOMONTH(AQ$1,0),'UX Weekly'!$H57:$CT57,"&lt;&gt;"))</f>
        <v>0</v>
      </c>
      <c r="AR57">
        <f>IF($B57="",0,COUNTIFS('UX Weekly'!$H$1:$CT$1,"&gt;="&amp;AR$1,'UX Weekly'!$H$1:$CT$1,"&lt;="&amp;EOMONTH(AR$1,0),'UX Weekly'!$H57:$CT57,"&lt;&gt;"))</f>
        <v>0</v>
      </c>
      <c r="AS57">
        <f>IF($B57="",0,COUNTIFS('UX Weekly'!$H$1:$CT$1,"&gt;="&amp;AS$1,'UX Weekly'!$H$1:$CT$1,"&lt;="&amp;EOMONTH(AS$1,0),'UX Weekly'!$H57:$CT57,"&lt;&gt;"))</f>
        <v>0</v>
      </c>
      <c r="AT57">
        <f>IF($B57="",0,COUNTIFS('UX Weekly'!$H$1:$CT$1,"&gt;="&amp;AT$1,'UX Weekly'!$H$1:$CT$1,"&lt;="&amp;EOMONTH(AT$1,0),'UX Weekly'!$H57:$CT57,"&lt;&gt;"))</f>
        <v>0</v>
      </c>
    </row>
    <row r="58" spans="1:46" x14ac:dyDescent="0.2">
      <c r="A58" s="147">
        <v>59</v>
      </c>
      <c r="B58" s="147" t="str">
        <f>IF(TRIM('UX Weekly'!E58)="","",TRIM('UX Weekly'!E58))</f>
        <v/>
      </c>
      <c r="C58" s="147" t="str">
        <f>IF($B58="","",'UX Weekly'!B58)</f>
        <v/>
      </c>
      <c r="D58" s="147" t="str">
        <f>IF($B58="","",IF(TRIM('UX Weekly'!C58)="","(No theme assigned)",TRIM('UX Weekly'!C58)))</f>
        <v/>
      </c>
      <c r="E58" s="147" t="str">
        <f>IF($B58="","",TRIM('UX Weekly'!F58))</f>
        <v/>
      </c>
      <c r="F58" s="147" t="str">
        <f>IF($B58="","",'UX Weekly'!G58)</f>
        <v/>
      </c>
      <c r="G58" s="148" t="str">
        <f t="array" ref="G58">IF($B58="","",IF($S58=0,"",IFERROR(MIN(IF('UX Weekly'!$H58:$CT58&lt;&gt;"",'UX Weekly'!$H$1:$CT$1)),"")))</f>
        <v/>
      </c>
      <c r="H58" s="148" t="str">
        <f t="array" ref="H58">IF($B58="","",IF($S58=0,"",IFERROR(MAX(IF('UX Weekly'!$H58:$CT58&lt;&gt;"",'UX Weekly'!$H$1:$CT$1)),"")))</f>
        <v/>
      </c>
      <c r="I58" s="149" t="str">
        <f t="shared" ca="1" si="3"/>
        <v/>
      </c>
      <c r="J58" s="149" t="str">
        <f t="shared" ca="1" si="4"/>
        <v/>
      </c>
      <c r="K58" s="147" t="str">
        <f>IF($B58="","",IFERROR(MATCH($B58,'Dev Tracker'!$D$2:$D$196,0),IF($E58="","",IFERROR(MATCH($E58,'Dev Tracker'!$E$2:$E$196,0),""))))</f>
        <v/>
      </c>
      <c r="L58" s="147" t="str">
        <f>IF($B58="","",IFERROR(MATCH($D58,'Control (Don’t Touch)'!$E$4:$E$30,0),99))</f>
        <v/>
      </c>
      <c r="M58" s="147" t="str">
        <f>IF($B58="","",IFERROR(MATCH($F58,'Control (Don’t Touch)'!$B$4:$B$30,0),99))</f>
        <v/>
      </c>
      <c r="N58" s="147" t="str">
        <f t="shared" si="5"/>
        <v/>
      </c>
      <c r="O58" s="147" t="str">
        <f>IF($B58="","",COUNTIF($N$2:$N$204,"&lt;"&amp;$N58)+1)</f>
        <v/>
      </c>
      <c r="P58" s="149" t="str">
        <f ca="1">IF($K58="","",IFERROR(DATE(IFERROR(VALUE(RIGHT(TRIM(INDEX('Dev Tracker'!$I$2:$I$196,$K58)),4)),YEAR(TODAY())),MATCH(LEFT(TRIM(INDEX('Dev Tracker'!$I$2:$I$196,$K58)),3),$U$2:$U$12,0),1),""))</f>
        <v/>
      </c>
      <c r="Q58" s="149" t="str">
        <f ca="1">IF($K58="","",IFERROR(DATE(IFERROR(VALUE(RIGHT(TRIM(INDEX('Dev Tracker'!$J$2:$J$196,$K58)),4)),YEAR(TODAY())),MATCH(LEFT(TRIM(INDEX('Dev Tracker'!$J$2:$J$196,$K58)),3),$U$2:$U$12,0),1),""))</f>
        <v/>
      </c>
      <c r="R58" s="147"/>
      <c r="S58" s="147" t="str">
        <f>IF($B58="","",COUNTA('UX Weekly'!$H58:$CT58))</f>
        <v/>
      </c>
      <c r="W58">
        <f>IF($B58="",0,COUNTIFS('UX Weekly'!$H$1:$CT$1,"&gt;="&amp;W$1,'UX Weekly'!$H$1:$CT$1,"&lt;="&amp;EOMONTH(W$1,0),'UX Weekly'!$H58:$CT58,"&lt;&gt;"))</f>
        <v>0</v>
      </c>
      <c r="X58">
        <f>IF($B58="",0,COUNTIFS('UX Weekly'!$H$1:$CT$1,"&gt;="&amp;X$1,'UX Weekly'!$H$1:$CT$1,"&lt;="&amp;EOMONTH(X$1,0),'UX Weekly'!$H58:$CT58,"&lt;&gt;"))</f>
        <v>0</v>
      </c>
      <c r="Y58">
        <f>IF($B58="",0,COUNTIFS('UX Weekly'!$H$1:$CT$1,"&gt;="&amp;Y$1,'UX Weekly'!$H$1:$CT$1,"&lt;="&amp;EOMONTH(Y$1,0),'UX Weekly'!$H58:$CT58,"&lt;&gt;"))</f>
        <v>0</v>
      </c>
      <c r="Z58">
        <f>IF($B58="",0,COUNTIFS('UX Weekly'!$H$1:$CT$1,"&gt;="&amp;Z$1,'UX Weekly'!$H$1:$CT$1,"&lt;="&amp;EOMONTH(Z$1,0),'UX Weekly'!$H58:$CT58,"&lt;&gt;"))</f>
        <v>0</v>
      </c>
      <c r="AA58">
        <f>IF($B58="",0,COUNTIFS('UX Weekly'!$H$1:$CT$1,"&gt;="&amp;AA$1,'UX Weekly'!$H$1:$CT$1,"&lt;="&amp;EOMONTH(AA$1,0),'UX Weekly'!$H58:$CT58,"&lt;&gt;"))</f>
        <v>0</v>
      </c>
      <c r="AB58">
        <f>IF($B58="",0,COUNTIFS('UX Weekly'!$H$1:$CT$1,"&gt;="&amp;AB$1,'UX Weekly'!$H$1:$CT$1,"&lt;="&amp;EOMONTH(AB$1,0),'UX Weekly'!$H58:$CT58,"&lt;&gt;"))</f>
        <v>0</v>
      </c>
      <c r="AC58">
        <f>IF($B58="",0,COUNTIFS('UX Weekly'!$H$1:$CT$1,"&gt;="&amp;AC$1,'UX Weekly'!$H$1:$CT$1,"&lt;="&amp;EOMONTH(AC$1,0),'UX Weekly'!$H58:$CT58,"&lt;&gt;"))</f>
        <v>0</v>
      </c>
      <c r="AD58">
        <f>IF($B58="",0,COUNTIFS('UX Weekly'!$H$1:$CT$1,"&gt;="&amp;AD$1,'UX Weekly'!$H$1:$CT$1,"&lt;="&amp;EOMONTH(AD$1,0),'UX Weekly'!$H58:$CT58,"&lt;&gt;"))</f>
        <v>0</v>
      </c>
      <c r="AE58">
        <f>IF($B58="",0,COUNTIFS('UX Weekly'!$H$1:$CT$1,"&gt;="&amp;AE$1,'UX Weekly'!$H$1:$CT$1,"&lt;="&amp;EOMONTH(AE$1,0),'UX Weekly'!$H58:$CT58,"&lt;&gt;"))</f>
        <v>0</v>
      </c>
      <c r="AF58">
        <f>IF($B58="",0,COUNTIFS('UX Weekly'!$H$1:$CT$1,"&gt;="&amp;AF$1,'UX Weekly'!$H$1:$CT$1,"&lt;="&amp;EOMONTH(AF$1,0),'UX Weekly'!$H58:$CT58,"&lt;&gt;"))</f>
        <v>0</v>
      </c>
      <c r="AG58">
        <f>IF($B58="",0,COUNTIFS('UX Weekly'!$H$1:$CT$1,"&gt;="&amp;AG$1,'UX Weekly'!$H$1:$CT$1,"&lt;="&amp;EOMONTH(AG$1,0),'UX Weekly'!$H58:$CT58,"&lt;&gt;"))</f>
        <v>0</v>
      </c>
      <c r="AH58">
        <f>IF($B58="",0,COUNTIFS('UX Weekly'!$H$1:$CT$1,"&gt;="&amp;AH$1,'UX Weekly'!$H$1:$CT$1,"&lt;="&amp;EOMONTH(AH$1,0),'UX Weekly'!$H58:$CT58,"&lt;&gt;"))</f>
        <v>0</v>
      </c>
      <c r="AI58">
        <f>IF($B58="",0,COUNTIFS('UX Weekly'!$H$1:$CT$1,"&gt;="&amp;AI$1,'UX Weekly'!$H$1:$CT$1,"&lt;="&amp;EOMONTH(AI$1,0),'UX Weekly'!$H58:$CT58,"&lt;&gt;"))</f>
        <v>0</v>
      </c>
      <c r="AJ58">
        <f>IF($B58="",0,COUNTIFS('UX Weekly'!$H$1:$CT$1,"&gt;="&amp;AJ$1,'UX Weekly'!$H$1:$CT$1,"&lt;="&amp;EOMONTH(AJ$1,0),'UX Weekly'!$H58:$CT58,"&lt;&gt;"))</f>
        <v>0</v>
      </c>
      <c r="AK58">
        <f>IF($B58="",0,COUNTIFS('UX Weekly'!$H$1:$CT$1,"&gt;="&amp;AK$1,'UX Weekly'!$H$1:$CT$1,"&lt;="&amp;EOMONTH(AK$1,0),'UX Weekly'!$H58:$CT58,"&lt;&gt;"))</f>
        <v>0</v>
      </c>
      <c r="AL58">
        <f>IF($B58="",0,COUNTIFS('UX Weekly'!$H$1:$CT$1,"&gt;="&amp;AL$1,'UX Weekly'!$H$1:$CT$1,"&lt;="&amp;EOMONTH(AL$1,0),'UX Weekly'!$H58:$CT58,"&lt;&gt;"))</f>
        <v>0</v>
      </c>
      <c r="AM58">
        <f>IF($B58="",0,COUNTIFS('UX Weekly'!$H$1:$CT$1,"&gt;="&amp;AM$1,'UX Weekly'!$H$1:$CT$1,"&lt;="&amp;EOMONTH(AM$1,0),'UX Weekly'!$H58:$CT58,"&lt;&gt;"))</f>
        <v>0</v>
      </c>
      <c r="AN58">
        <f>IF($B58="",0,COUNTIFS('UX Weekly'!$H$1:$CT$1,"&gt;="&amp;AN$1,'UX Weekly'!$H$1:$CT$1,"&lt;="&amp;EOMONTH(AN$1,0),'UX Weekly'!$H58:$CT58,"&lt;&gt;"))</f>
        <v>0</v>
      </c>
      <c r="AO58">
        <f>IF($B58="",0,COUNTIFS('UX Weekly'!$H$1:$CT$1,"&gt;="&amp;AO$1,'UX Weekly'!$H$1:$CT$1,"&lt;="&amp;EOMONTH(AO$1,0),'UX Weekly'!$H58:$CT58,"&lt;&gt;"))</f>
        <v>0</v>
      </c>
      <c r="AP58">
        <f>IF($B58="",0,COUNTIFS('UX Weekly'!$H$1:$CT$1,"&gt;="&amp;AP$1,'UX Weekly'!$H$1:$CT$1,"&lt;="&amp;EOMONTH(AP$1,0),'UX Weekly'!$H58:$CT58,"&lt;&gt;"))</f>
        <v>0</v>
      </c>
      <c r="AQ58">
        <f>IF($B58="",0,COUNTIFS('UX Weekly'!$H$1:$CT$1,"&gt;="&amp;AQ$1,'UX Weekly'!$H$1:$CT$1,"&lt;="&amp;EOMONTH(AQ$1,0),'UX Weekly'!$H58:$CT58,"&lt;&gt;"))</f>
        <v>0</v>
      </c>
      <c r="AR58">
        <f>IF($B58="",0,COUNTIFS('UX Weekly'!$H$1:$CT$1,"&gt;="&amp;AR$1,'UX Weekly'!$H$1:$CT$1,"&lt;="&amp;EOMONTH(AR$1,0),'UX Weekly'!$H58:$CT58,"&lt;&gt;"))</f>
        <v>0</v>
      </c>
      <c r="AS58">
        <f>IF($B58="",0,COUNTIFS('UX Weekly'!$H$1:$CT$1,"&gt;="&amp;AS$1,'UX Weekly'!$H$1:$CT$1,"&lt;="&amp;EOMONTH(AS$1,0),'UX Weekly'!$H58:$CT58,"&lt;&gt;"))</f>
        <v>0</v>
      </c>
      <c r="AT58">
        <f>IF($B58="",0,COUNTIFS('UX Weekly'!$H$1:$CT$1,"&gt;="&amp;AT$1,'UX Weekly'!$H$1:$CT$1,"&lt;="&amp;EOMONTH(AT$1,0),'UX Weekly'!$H58:$CT58,"&lt;&gt;"))</f>
        <v>0</v>
      </c>
    </row>
    <row r="59" spans="1:46" x14ac:dyDescent="0.2">
      <c r="A59" s="147">
        <v>60</v>
      </c>
      <c r="B59" s="147" t="str">
        <f>IF(TRIM('UX Weekly'!E59)="","",TRIM('UX Weekly'!E59))</f>
        <v/>
      </c>
      <c r="C59" s="147" t="str">
        <f>IF($B59="","",'UX Weekly'!B59)</f>
        <v/>
      </c>
      <c r="D59" s="147" t="str">
        <f>IF($B59="","",IF(TRIM('UX Weekly'!C59)="","(No theme assigned)",TRIM('UX Weekly'!C59)))</f>
        <v/>
      </c>
      <c r="E59" s="147" t="str">
        <f>IF($B59="","",TRIM('UX Weekly'!F59))</f>
        <v/>
      </c>
      <c r="F59" s="147" t="str">
        <f>IF($B59="","",'UX Weekly'!G59)</f>
        <v/>
      </c>
      <c r="G59" s="148" t="str">
        <f t="array" ref="G59">IF($B59="","",IF($S59=0,"",IFERROR(MIN(IF('UX Weekly'!$H59:$CT59&lt;&gt;"",'UX Weekly'!$H$1:$CT$1)),"")))</f>
        <v/>
      </c>
      <c r="H59" s="148" t="str">
        <f t="array" ref="H59">IF($B59="","",IF($S59=0,"",IFERROR(MAX(IF('UX Weekly'!$H59:$CT59&lt;&gt;"",'UX Weekly'!$H$1:$CT$1)),"")))</f>
        <v/>
      </c>
      <c r="I59" s="149" t="str">
        <f t="shared" ca="1" si="3"/>
        <v/>
      </c>
      <c r="J59" s="149" t="str">
        <f t="shared" ca="1" si="4"/>
        <v/>
      </c>
      <c r="K59" s="147" t="str">
        <f>IF($B59="","",IFERROR(MATCH($B59,'Dev Tracker'!$D$2:$D$196,0),IF($E59="","",IFERROR(MATCH($E59,'Dev Tracker'!$E$2:$E$196,0),""))))</f>
        <v/>
      </c>
      <c r="L59" s="147" t="str">
        <f>IF($B59="","",IFERROR(MATCH($D59,'Control (Don’t Touch)'!$E$4:$E$30,0),99))</f>
        <v/>
      </c>
      <c r="M59" s="147" t="str">
        <f>IF($B59="","",IFERROR(MATCH($F59,'Control (Don’t Touch)'!$B$4:$B$30,0),99))</f>
        <v/>
      </c>
      <c r="N59" s="147" t="str">
        <f t="shared" si="5"/>
        <v/>
      </c>
      <c r="O59" s="147" t="str">
        <f>IF($B59="","",COUNTIF($N$2:$N$204,"&lt;"&amp;$N59)+1)</f>
        <v/>
      </c>
      <c r="P59" s="149" t="str">
        <f ca="1">IF($K59="","",IFERROR(DATE(IFERROR(VALUE(RIGHT(TRIM(INDEX('Dev Tracker'!$I$2:$I$196,$K59)),4)),YEAR(TODAY())),MATCH(LEFT(TRIM(INDEX('Dev Tracker'!$I$2:$I$196,$K59)),3),$U$2:$U$12,0),1),""))</f>
        <v/>
      </c>
      <c r="Q59" s="149" t="str">
        <f ca="1">IF($K59="","",IFERROR(DATE(IFERROR(VALUE(RIGHT(TRIM(INDEX('Dev Tracker'!$J$2:$J$196,$K59)),4)),YEAR(TODAY())),MATCH(LEFT(TRIM(INDEX('Dev Tracker'!$J$2:$J$196,$K59)),3),$U$2:$U$12,0),1),""))</f>
        <v/>
      </c>
      <c r="R59" s="147"/>
      <c r="S59" s="147" t="str">
        <f>IF($B59="","",COUNTA('UX Weekly'!$H59:$CT59))</f>
        <v/>
      </c>
      <c r="W59">
        <f>IF($B59="",0,COUNTIFS('UX Weekly'!$H$1:$CT$1,"&gt;="&amp;W$1,'UX Weekly'!$H$1:$CT$1,"&lt;="&amp;EOMONTH(W$1,0),'UX Weekly'!$H59:$CT59,"&lt;&gt;"))</f>
        <v>0</v>
      </c>
      <c r="X59">
        <f>IF($B59="",0,COUNTIFS('UX Weekly'!$H$1:$CT$1,"&gt;="&amp;X$1,'UX Weekly'!$H$1:$CT$1,"&lt;="&amp;EOMONTH(X$1,0),'UX Weekly'!$H59:$CT59,"&lt;&gt;"))</f>
        <v>0</v>
      </c>
      <c r="Y59">
        <f>IF($B59="",0,COUNTIFS('UX Weekly'!$H$1:$CT$1,"&gt;="&amp;Y$1,'UX Weekly'!$H$1:$CT$1,"&lt;="&amp;EOMONTH(Y$1,0),'UX Weekly'!$H59:$CT59,"&lt;&gt;"))</f>
        <v>0</v>
      </c>
      <c r="Z59">
        <f>IF($B59="",0,COUNTIFS('UX Weekly'!$H$1:$CT$1,"&gt;="&amp;Z$1,'UX Weekly'!$H$1:$CT$1,"&lt;="&amp;EOMONTH(Z$1,0),'UX Weekly'!$H59:$CT59,"&lt;&gt;"))</f>
        <v>0</v>
      </c>
      <c r="AA59">
        <f>IF($B59="",0,COUNTIFS('UX Weekly'!$H$1:$CT$1,"&gt;="&amp;AA$1,'UX Weekly'!$H$1:$CT$1,"&lt;="&amp;EOMONTH(AA$1,0),'UX Weekly'!$H59:$CT59,"&lt;&gt;"))</f>
        <v>0</v>
      </c>
      <c r="AB59">
        <f>IF($B59="",0,COUNTIFS('UX Weekly'!$H$1:$CT$1,"&gt;="&amp;AB$1,'UX Weekly'!$H$1:$CT$1,"&lt;="&amp;EOMONTH(AB$1,0),'UX Weekly'!$H59:$CT59,"&lt;&gt;"))</f>
        <v>0</v>
      </c>
      <c r="AC59">
        <f>IF($B59="",0,COUNTIFS('UX Weekly'!$H$1:$CT$1,"&gt;="&amp;AC$1,'UX Weekly'!$H$1:$CT$1,"&lt;="&amp;EOMONTH(AC$1,0),'UX Weekly'!$H59:$CT59,"&lt;&gt;"))</f>
        <v>0</v>
      </c>
      <c r="AD59">
        <f>IF($B59="",0,COUNTIFS('UX Weekly'!$H$1:$CT$1,"&gt;="&amp;AD$1,'UX Weekly'!$H$1:$CT$1,"&lt;="&amp;EOMONTH(AD$1,0),'UX Weekly'!$H59:$CT59,"&lt;&gt;"))</f>
        <v>0</v>
      </c>
      <c r="AE59">
        <f>IF($B59="",0,COUNTIFS('UX Weekly'!$H$1:$CT$1,"&gt;="&amp;AE$1,'UX Weekly'!$H$1:$CT$1,"&lt;="&amp;EOMONTH(AE$1,0),'UX Weekly'!$H59:$CT59,"&lt;&gt;"))</f>
        <v>0</v>
      </c>
      <c r="AF59">
        <f>IF($B59="",0,COUNTIFS('UX Weekly'!$H$1:$CT$1,"&gt;="&amp;AF$1,'UX Weekly'!$H$1:$CT$1,"&lt;="&amp;EOMONTH(AF$1,0),'UX Weekly'!$H59:$CT59,"&lt;&gt;"))</f>
        <v>0</v>
      </c>
      <c r="AG59">
        <f>IF($B59="",0,COUNTIFS('UX Weekly'!$H$1:$CT$1,"&gt;="&amp;AG$1,'UX Weekly'!$H$1:$CT$1,"&lt;="&amp;EOMONTH(AG$1,0),'UX Weekly'!$H59:$CT59,"&lt;&gt;"))</f>
        <v>0</v>
      </c>
      <c r="AH59">
        <f>IF($B59="",0,COUNTIFS('UX Weekly'!$H$1:$CT$1,"&gt;="&amp;AH$1,'UX Weekly'!$H$1:$CT$1,"&lt;="&amp;EOMONTH(AH$1,0),'UX Weekly'!$H59:$CT59,"&lt;&gt;"))</f>
        <v>0</v>
      </c>
      <c r="AI59">
        <f>IF($B59="",0,COUNTIFS('UX Weekly'!$H$1:$CT$1,"&gt;="&amp;AI$1,'UX Weekly'!$H$1:$CT$1,"&lt;="&amp;EOMONTH(AI$1,0),'UX Weekly'!$H59:$CT59,"&lt;&gt;"))</f>
        <v>0</v>
      </c>
      <c r="AJ59">
        <f>IF($B59="",0,COUNTIFS('UX Weekly'!$H$1:$CT$1,"&gt;="&amp;AJ$1,'UX Weekly'!$H$1:$CT$1,"&lt;="&amp;EOMONTH(AJ$1,0),'UX Weekly'!$H59:$CT59,"&lt;&gt;"))</f>
        <v>0</v>
      </c>
      <c r="AK59">
        <f>IF($B59="",0,COUNTIFS('UX Weekly'!$H$1:$CT$1,"&gt;="&amp;AK$1,'UX Weekly'!$H$1:$CT$1,"&lt;="&amp;EOMONTH(AK$1,0),'UX Weekly'!$H59:$CT59,"&lt;&gt;"))</f>
        <v>0</v>
      </c>
      <c r="AL59">
        <f>IF($B59="",0,COUNTIFS('UX Weekly'!$H$1:$CT$1,"&gt;="&amp;AL$1,'UX Weekly'!$H$1:$CT$1,"&lt;="&amp;EOMONTH(AL$1,0),'UX Weekly'!$H59:$CT59,"&lt;&gt;"))</f>
        <v>0</v>
      </c>
      <c r="AM59">
        <f>IF($B59="",0,COUNTIFS('UX Weekly'!$H$1:$CT$1,"&gt;="&amp;AM$1,'UX Weekly'!$H$1:$CT$1,"&lt;="&amp;EOMONTH(AM$1,0),'UX Weekly'!$H59:$CT59,"&lt;&gt;"))</f>
        <v>0</v>
      </c>
      <c r="AN59">
        <f>IF($B59="",0,COUNTIFS('UX Weekly'!$H$1:$CT$1,"&gt;="&amp;AN$1,'UX Weekly'!$H$1:$CT$1,"&lt;="&amp;EOMONTH(AN$1,0),'UX Weekly'!$H59:$CT59,"&lt;&gt;"))</f>
        <v>0</v>
      </c>
      <c r="AO59">
        <f>IF($B59="",0,COUNTIFS('UX Weekly'!$H$1:$CT$1,"&gt;="&amp;AO$1,'UX Weekly'!$H$1:$CT$1,"&lt;="&amp;EOMONTH(AO$1,0),'UX Weekly'!$H59:$CT59,"&lt;&gt;"))</f>
        <v>0</v>
      </c>
      <c r="AP59">
        <f>IF($B59="",0,COUNTIFS('UX Weekly'!$H$1:$CT$1,"&gt;="&amp;AP$1,'UX Weekly'!$H$1:$CT$1,"&lt;="&amp;EOMONTH(AP$1,0),'UX Weekly'!$H59:$CT59,"&lt;&gt;"))</f>
        <v>0</v>
      </c>
      <c r="AQ59">
        <f>IF($B59="",0,COUNTIFS('UX Weekly'!$H$1:$CT$1,"&gt;="&amp;AQ$1,'UX Weekly'!$H$1:$CT$1,"&lt;="&amp;EOMONTH(AQ$1,0),'UX Weekly'!$H59:$CT59,"&lt;&gt;"))</f>
        <v>0</v>
      </c>
      <c r="AR59">
        <f>IF($B59="",0,COUNTIFS('UX Weekly'!$H$1:$CT$1,"&gt;="&amp;AR$1,'UX Weekly'!$H$1:$CT$1,"&lt;="&amp;EOMONTH(AR$1,0),'UX Weekly'!$H59:$CT59,"&lt;&gt;"))</f>
        <v>0</v>
      </c>
      <c r="AS59">
        <f>IF($B59="",0,COUNTIFS('UX Weekly'!$H$1:$CT$1,"&gt;="&amp;AS$1,'UX Weekly'!$H$1:$CT$1,"&lt;="&amp;EOMONTH(AS$1,0),'UX Weekly'!$H59:$CT59,"&lt;&gt;"))</f>
        <v>0</v>
      </c>
      <c r="AT59">
        <f>IF($B59="",0,COUNTIFS('UX Weekly'!$H$1:$CT$1,"&gt;="&amp;AT$1,'UX Weekly'!$H$1:$CT$1,"&lt;="&amp;EOMONTH(AT$1,0),'UX Weekly'!$H59:$CT59,"&lt;&gt;"))</f>
        <v>0</v>
      </c>
    </row>
    <row r="60" spans="1:46" x14ac:dyDescent="0.2">
      <c r="A60" s="147">
        <v>61</v>
      </c>
      <c r="B60" s="147" t="str">
        <f>IF(TRIM('UX Weekly'!E60)="","",TRIM('UX Weekly'!E60))</f>
        <v/>
      </c>
      <c r="C60" s="147" t="str">
        <f>IF($B60="","",'UX Weekly'!B60)</f>
        <v/>
      </c>
      <c r="D60" s="147" t="str">
        <f>IF($B60="","",IF(TRIM('UX Weekly'!C60)="","(No theme assigned)",TRIM('UX Weekly'!C60)))</f>
        <v/>
      </c>
      <c r="E60" s="147" t="str">
        <f>IF($B60="","",TRIM('UX Weekly'!F60))</f>
        <v/>
      </c>
      <c r="F60" s="147" t="str">
        <f>IF($B60="","",'UX Weekly'!G60)</f>
        <v/>
      </c>
      <c r="G60" s="148" t="str">
        <f t="array" ref="G60">IF($B60="","",IF($S60=0,"",IFERROR(MIN(IF('UX Weekly'!$H60:$CT60&lt;&gt;"",'UX Weekly'!$H$1:$CT$1)),"")))</f>
        <v/>
      </c>
      <c r="H60" s="148" t="str">
        <f t="array" ref="H60">IF($B60="","",IF($S60=0,"",IFERROR(MAX(IF('UX Weekly'!$H60:$CT60&lt;&gt;"",'UX Weekly'!$H$1:$CT$1)),"")))</f>
        <v/>
      </c>
      <c r="I60" s="149" t="str">
        <f t="shared" ca="1" si="3"/>
        <v/>
      </c>
      <c r="J60" s="149" t="str">
        <f t="shared" ca="1" si="4"/>
        <v/>
      </c>
      <c r="K60" s="147" t="str">
        <f>IF($B60="","",IFERROR(MATCH($B60,'Dev Tracker'!$D$2:$D$196,0),IF($E60="","",IFERROR(MATCH($E60,'Dev Tracker'!$E$2:$E$196,0),""))))</f>
        <v/>
      </c>
      <c r="L60" s="147" t="str">
        <f>IF($B60="","",IFERROR(MATCH($D60,'Control (Don’t Touch)'!$E$4:$E$30,0),99))</f>
        <v/>
      </c>
      <c r="M60" s="147" t="str">
        <f>IF($B60="","",IFERROR(MATCH($F60,'Control (Don’t Touch)'!$B$4:$B$30,0),99))</f>
        <v/>
      </c>
      <c r="N60" s="147" t="str">
        <f t="shared" si="5"/>
        <v/>
      </c>
      <c r="O60" s="147" t="str">
        <f>IF($B60="","",COUNTIF($N$2:$N$204,"&lt;"&amp;$N60)+1)</f>
        <v/>
      </c>
      <c r="P60" s="149" t="str">
        <f ca="1">IF($K60="","",IFERROR(DATE(IFERROR(VALUE(RIGHT(TRIM(INDEX('Dev Tracker'!$I$2:$I$196,$K60)),4)),YEAR(TODAY())),MATCH(LEFT(TRIM(INDEX('Dev Tracker'!$I$2:$I$196,$K60)),3),$U$2:$U$12,0),1),""))</f>
        <v/>
      </c>
      <c r="Q60" s="149" t="str">
        <f ca="1">IF($K60="","",IFERROR(DATE(IFERROR(VALUE(RIGHT(TRIM(INDEX('Dev Tracker'!$J$2:$J$196,$K60)),4)),YEAR(TODAY())),MATCH(LEFT(TRIM(INDEX('Dev Tracker'!$J$2:$J$196,$K60)),3),$U$2:$U$12,0),1),""))</f>
        <v/>
      </c>
      <c r="R60" s="147"/>
      <c r="S60" s="147" t="str">
        <f>IF($B60="","",COUNTA('UX Weekly'!$H60:$CT60))</f>
        <v/>
      </c>
      <c r="W60">
        <f>IF($B60="",0,COUNTIFS('UX Weekly'!$H$1:$CT$1,"&gt;="&amp;W$1,'UX Weekly'!$H$1:$CT$1,"&lt;="&amp;EOMONTH(W$1,0),'UX Weekly'!$H60:$CT60,"&lt;&gt;"))</f>
        <v>0</v>
      </c>
      <c r="X60">
        <f>IF($B60="",0,COUNTIFS('UX Weekly'!$H$1:$CT$1,"&gt;="&amp;X$1,'UX Weekly'!$H$1:$CT$1,"&lt;="&amp;EOMONTH(X$1,0),'UX Weekly'!$H60:$CT60,"&lt;&gt;"))</f>
        <v>0</v>
      </c>
      <c r="Y60">
        <f>IF($B60="",0,COUNTIFS('UX Weekly'!$H$1:$CT$1,"&gt;="&amp;Y$1,'UX Weekly'!$H$1:$CT$1,"&lt;="&amp;EOMONTH(Y$1,0),'UX Weekly'!$H60:$CT60,"&lt;&gt;"))</f>
        <v>0</v>
      </c>
      <c r="Z60">
        <f>IF($B60="",0,COUNTIFS('UX Weekly'!$H$1:$CT$1,"&gt;="&amp;Z$1,'UX Weekly'!$H$1:$CT$1,"&lt;="&amp;EOMONTH(Z$1,0),'UX Weekly'!$H60:$CT60,"&lt;&gt;"))</f>
        <v>0</v>
      </c>
      <c r="AA60">
        <f>IF($B60="",0,COUNTIFS('UX Weekly'!$H$1:$CT$1,"&gt;="&amp;AA$1,'UX Weekly'!$H$1:$CT$1,"&lt;="&amp;EOMONTH(AA$1,0),'UX Weekly'!$H60:$CT60,"&lt;&gt;"))</f>
        <v>0</v>
      </c>
      <c r="AB60">
        <f>IF($B60="",0,COUNTIFS('UX Weekly'!$H$1:$CT$1,"&gt;="&amp;AB$1,'UX Weekly'!$H$1:$CT$1,"&lt;="&amp;EOMONTH(AB$1,0),'UX Weekly'!$H60:$CT60,"&lt;&gt;"))</f>
        <v>0</v>
      </c>
      <c r="AC60">
        <f>IF($B60="",0,COUNTIFS('UX Weekly'!$H$1:$CT$1,"&gt;="&amp;AC$1,'UX Weekly'!$H$1:$CT$1,"&lt;="&amp;EOMONTH(AC$1,0),'UX Weekly'!$H60:$CT60,"&lt;&gt;"))</f>
        <v>0</v>
      </c>
      <c r="AD60">
        <f>IF($B60="",0,COUNTIFS('UX Weekly'!$H$1:$CT$1,"&gt;="&amp;AD$1,'UX Weekly'!$H$1:$CT$1,"&lt;="&amp;EOMONTH(AD$1,0),'UX Weekly'!$H60:$CT60,"&lt;&gt;"))</f>
        <v>0</v>
      </c>
      <c r="AE60">
        <f>IF($B60="",0,COUNTIFS('UX Weekly'!$H$1:$CT$1,"&gt;="&amp;AE$1,'UX Weekly'!$H$1:$CT$1,"&lt;="&amp;EOMONTH(AE$1,0),'UX Weekly'!$H60:$CT60,"&lt;&gt;"))</f>
        <v>0</v>
      </c>
      <c r="AF60">
        <f>IF($B60="",0,COUNTIFS('UX Weekly'!$H$1:$CT$1,"&gt;="&amp;AF$1,'UX Weekly'!$H$1:$CT$1,"&lt;="&amp;EOMONTH(AF$1,0),'UX Weekly'!$H60:$CT60,"&lt;&gt;"))</f>
        <v>0</v>
      </c>
      <c r="AG60">
        <f>IF($B60="",0,COUNTIFS('UX Weekly'!$H$1:$CT$1,"&gt;="&amp;AG$1,'UX Weekly'!$H$1:$CT$1,"&lt;="&amp;EOMONTH(AG$1,0),'UX Weekly'!$H60:$CT60,"&lt;&gt;"))</f>
        <v>0</v>
      </c>
      <c r="AH60">
        <f>IF($B60="",0,COUNTIFS('UX Weekly'!$H$1:$CT$1,"&gt;="&amp;AH$1,'UX Weekly'!$H$1:$CT$1,"&lt;="&amp;EOMONTH(AH$1,0),'UX Weekly'!$H60:$CT60,"&lt;&gt;"))</f>
        <v>0</v>
      </c>
      <c r="AI60">
        <f>IF($B60="",0,COUNTIFS('UX Weekly'!$H$1:$CT$1,"&gt;="&amp;AI$1,'UX Weekly'!$H$1:$CT$1,"&lt;="&amp;EOMONTH(AI$1,0),'UX Weekly'!$H60:$CT60,"&lt;&gt;"))</f>
        <v>0</v>
      </c>
      <c r="AJ60">
        <f>IF($B60="",0,COUNTIFS('UX Weekly'!$H$1:$CT$1,"&gt;="&amp;AJ$1,'UX Weekly'!$H$1:$CT$1,"&lt;="&amp;EOMONTH(AJ$1,0),'UX Weekly'!$H60:$CT60,"&lt;&gt;"))</f>
        <v>0</v>
      </c>
      <c r="AK60">
        <f>IF($B60="",0,COUNTIFS('UX Weekly'!$H$1:$CT$1,"&gt;="&amp;AK$1,'UX Weekly'!$H$1:$CT$1,"&lt;="&amp;EOMONTH(AK$1,0),'UX Weekly'!$H60:$CT60,"&lt;&gt;"))</f>
        <v>0</v>
      </c>
      <c r="AL60">
        <f>IF($B60="",0,COUNTIFS('UX Weekly'!$H$1:$CT$1,"&gt;="&amp;AL$1,'UX Weekly'!$H$1:$CT$1,"&lt;="&amp;EOMONTH(AL$1,0),'UX Weekly'!$H60:$CT60,"&lt;&gt;"))</f>
        <v>0</v>
      </c>
      <c r="AM60">
        <f>IF($B60="",0,COUNTIFS('UX Weekly'!$H$1:$CT$1,"&gt;="&amp;AM$1,'UX Weekly'!$H$1:$CT$1,"&lt;="&amp;EOMONTH(AM$1,0),'UX Weekly'!$H60:$CT60,"&lt;&gt;"))</f>
        <v>0</v>
      </c>
      <c r="AN60">
        <f>IF($B60="",0,COUNTIFS('UX Weekly'!$H$1:$CT$1,"&gt;="&amp;AN$1,'UX Weekly'!$H$1:$CT$1,"&lt;="&amp;EOMONTH(AN$1,0),'UX Weekly'!$H60:$CT60,"&lt;&gt;"))</f>
        <v>0</v>
      </c>
      <c r="AO60">
        <f>IF($B60="",0,COUNTIFS('UX Weekly'!$H$1:$CT$1,"&gt;="&amp;AO$1,'UX Weekly'!$H$1:$CT$1,"&lt;="&amp;EOMONTH(AO$1,0),'UX Weekly'!$H60:$CT60,"&lt;&gt;"))</f>
        <v>0</v>
      </c>
      <c r="AP60">
        <f>IF($B60="",0,COUNTIFS('UX Weekly'!$H$1:$CT$1,"&gt;="&amp;AP$1,'UX Weekly'!$H$1:$CT$1,"&lt;="&amp;EOMONTH(AP$1,0),'UX Weekly'!$H60:$CT60,"&lt;&gt;"))</f>
        <v>0</v>
      </c>
      <c r="AQ60">
        <f>IF($B60="",0,COUNTIFS('UX Weekly'!$H$1:$CT$1,"&gt;="&amp;AQ$1,'UX Weekly'!$H$1:$CT$1,"&lt;="&amp;EOMONTH(AQ$1,0),'UX Weekly'!$H60:$CT60,"&lt;&gt;"))</f>
        <v>0</v>
      </c>
      <c r="AR60">
        <f>IF($B60="",0,COUNTIFS('UX Weekly'!$H$1:$CT$1,"&gt;="&amp;AR$1,'UX Weekly'!$H$1:$CT$1,"&lt;="&amp;EOMONTH(AR$1,0),'UX Weekly'!$H60:$CT60,"&lt;&gt;"))</f>
        <v>0</v>
      </c>
      <c r="AS60">
        <f>IF($B60="",0,COUNTIFS('UX Weekly'!$H$1:$CT$1,"&gt;="&amp;AS$1,'UX Weekly'!$H$1:$CT$1,"&lt;="&amp;EOMONTH(AS$1,0),'UX Weekly'!$H60:$CT60,"&lt;&gt;"))</f>
        <v>0</v>
      </c>
      <c r="AT60">
        <f>IF($B60="",0,COUNTIFS('UX Weekly'!$H$1:$CT$1,"&gt;="&amp;AT$1,'UX Weekly'!$H$1:$CT$1,"&lt;="&amp;EOMONTH(AT$1,0),'UX Weekly'!$H60:$CT60,"&lt;&gt;"))</f>
        <v>0</v>
      </c>
    </row>
    <row r="61" spans="1:46" x14ac:dyDescent="0.2">
      <c r="A61" s="147">
        <v>62</v>
      </c>
      <c r="B61" s="147" t="str">
        <f>IF(TRIM('UX Weekly'!E61)="","",TRIM('UX Weekly'!E61))</f>
        <v/>
      </c>
      <c r="C61" s="147" t="str">
        <f>IF($B61="","",'UX Weekly'!B61)</f>
        <v/>
      </c>
      <c r="D61" s="147" t="str">
        <f>IF($B61="","",IF(TRIM('UX Weekly'!C61)="","(No theme assigned)",TRIM('UX Weekly'!C61)))</f>
        <v/>
      </c>
      <c r="E61" s="147" t="str">
        <f>IF($B61="","",TRIM('UX Weekly'!F61))</f>
        <v/>
      </c>
      <c r="F61" s="147" t="str">
        <f>IF($B61="","",'UX Weekly'!G61)</f>
        <v/>
      </c>
      <c r="G61" s="148" t="str">
        <f t="array" ref="G61">IF($B61="","",IF($S61=0,"",IFERROR(MIN(IF('UX Weekly'!$H61:$CT61&lt;&gt;"",'UX Weekly'!$H$1:$CT$1)),"")))</f>
        <v/>
      </c>
      <c r="H61" s="148" t="str">
        <f t="array" ref="H61">IF($B61="","",IF($S61=0,"",IFERROR(MAX(IF('UX Weekly'!$H61:$CT61&lt;&gt;"",'UX Weekly'!$H$1:$CT$1)),"")))</f>
        <v/>
      </c>
      <c r="I61" s="149" t="str">
        <f t="shared" ca="1" si="3"/>
        <v/>
      </c>
      <c r="J61" s="149" t="str">
        <f t="shared" ca="1" si="4"/>
        <v/>
      </c>
      <c r="K61" s="147" t="str">
        <f>IF($B61="","",IFERROR(MATCH($B61,'Dev Tracker'!$D$2:$D$196,0),IF($E61="","",IFERROR(MATCH($E61,'Dev Tracker'!$E$2:$E$196,0),""))))</f>
        <v/>
      </c>
      <c r="L61" s="147" t="str">
        <f>IF($B61="","",IFERROR(MATCH($D61,'Control (Don’t Touch)'!$E$4:$E$30,0),99))</f>
        <v/>
      </c>
      <c r="M61" s="147" t="str">
        <f>IF($B61="","",IFERROR(MATCH($F61,'Control (Don’t Touch)'!$B$4:$B$30,0),99))</f>
        <v/>
      </c>
      <c r="N61" s="147" t="str">
        <f t="shared" si="5"/>
        <v/>
      </c>
      <c r="O61" s="147" t="str">
        <f>IF($B61="","",COUNTIF($N$2:$N$204,"&lt;"&amp;$N61)+1)</f>
        <v/>
      </c>
      <c r="P61" s="149" t="str">
        <f ca="1">IF($K61="","",IFERROR(DATE(IFERROR(VALUE(RIGHT(TRIM(INDEX('Dev Tracker'!$I$2:$I$196,$K61)),4)),YEAR(TODAY())),MATCH(LEFT(TRIM(INDEX('Dev Tracker'!$I$2:$I$196,$K61)),3),$U$2:$U$12,0),1),""))</f>
        <v/>
      </c>
      <c r="Q61" s="149" t="str">
        <f ca="1">IF($K61="","",IFERROR(DATE(IFERROR(VALUE(RIGHT(TRIM(INDEX('Dev Tracker'!$J$2:$J$196,$K61)),4)),YEAR(TODAY())),MATCH(LEFT(TRIM(INDEX('Dev Tracker'!$J$2:$J$196,$K61)),3),$U$2:$U$12,0),1),""))</f>
        <v/>
      </c>
      <c r="R61" s="147"/>
      <c r="S61" s="147" t="str">
        <f>IF($B61="","",COUNTA('UX Weekly'!$H61:$CT61))</f>
        <v/>
      </c>
      <c r="W61">
        <f>IF($B61="",0,COUNTIFS('UX Weekly'!$H$1:$CT$1,"&gt;="&amp;W$1,'UX Weekly'!$H$1:$CT$1,"&lt;="&amp;EOMONTH(W$1,0),'UX Weekly'!$H61:$CT61,"&lt;&gt;"))</f>
        <v>0</v>
      </c>
      <c r="X61">
        <f>IF($B61="",0,COUNTIFS('UX Weekly'!$H$1:$CT$1,"&gt;="&amp;X$1,'UX Weekly'!$H$1:$CT$1,"&lt;="&amp;EOMONTH(X$1,0),'UX Weekly'!$H61:$CT61,"&lt;&gt;"))</f>
        <v>0</v>
      </c>
      <c r="Y61">
        <f>IF($B61="",0,COUNTIFS('UX Weekly'!$H$1:$CT$1,"&gt;="&amp;Y$1,'UX Weekly'!$H$1:$CT$1,"&lt;="&amp;EOMONTH(Y$1,0),'UX Weekly'!$H61:$CT61,"&lt;&gt;"))</f>
        <v>0</v>
      </c>
      <c r="Z61">
        <f>IF($B61="",0,COUNTIFS('UX Weekly'!$H$1:$CT$1,"&gt;="&amp;Z$1,'UX Weekly'!$H$1:$CT$1,"&lt;="&amp;EOMONTH(Z$1,0),'UX Weekly'!$H61:$CT61,"&lt;&gt;"))</f>
        <v>0</v>
      </c>
      <c r="AA61">
        <f>IF($B61="",0,COUNTIFS('UX Weekly'!$H$1:$CT$1,"&gt;="&amp;AA$1,'UX Weekly'!$H$1:$CT$1,"&lt;="&amp;EOMONTH(AA$1,0),'UX Weekly'!$H61:$CT61,"&lt;&gt;"))</f>
        <v>0</v>
      </c>
      <c r="AB61">
        <f>IF($B61="",0,COUNTIFS('UX Weekly'!$H$1:$CT$1,"&gt;="&amp;AB$1,'UX Weekly'!$H$1:$CT$1,"&lt;="&amp;EOMONTH(AB$1,0),'UX Weekly'!$H61:$CT61,"&lt;&gt;"))</f>
        <v>0</v>
      </c>
      <c r="AC61">
        <f>IF($B61="",0,COUNTIFS('UX Weekly'!$H$1:$CT$1,"&gt;="&amp;AC$1,'UX Weekly'!$H$1:$CT$1,"&lt;="&amp;EOMONTH(AC$1,0),'UX Weekly'!$H61:$CT61,"&lt;&gt;"))</f>
        <v>0</v>
      </c>
      <c r="AD61">
        <f>IF($B61="",0,COUNTIFS('UX Weekly'!$H$1:$CT$1,"&gt;="&amp;AD$1,'UX Weekly'!$H$1:$CT$1,"&lt;="&amp;EOMONTH(AD$1,0),'UX Weekly'!$H61:$CT61,"&lt;&gt;"))</f>
        <v>0</v>
      </c>
      <c r="AE61">
        <f>IF($B61="",0,COUNTIFS('UX Weekly'!$H$1:$CT$1,"&gt;="&amp;AE$1,'UX Weekly'!$H$1:$CT$1,"&lt;="&amp;EOMONTH(AE$1,0),'UX Weekly'!$H61:$CT61,"&lt;&gt;"))</f>
        <v>0</v>
      </c>
      <c r="AF61">
        <f>IF($B61="",0,COUNTIFS('UX Weekly'!$H$1:$CT$1,"&gt;="&amp;AF$1,'UX Weekly'!$H$1:$CT$1,"&lt;="&amp;EOMONTH(AF$1,0),'UX Weekly'!$H61:$CT61,"&lt;&gt;"))</f>
        <v>0</v>
      </c>
      <c r="AG61">
        <f>IF($B61="",0,COUNTIFS('UX Weekly'!$H$1:$CT$1,"&gt;="&amp;AG$1,'UX Weekly'!$H$1:$CT$1,"&lt;="&amp;EOMONTH(AG$1,0),'UX Weekly'!$H61:$CT61,"&lt;&gt;"))</f>
        <v>0</v>
      </c>
      <c r="AH61">
        <f>IF($B61="",0,COUNTIFS('UX Weekly'!$H$1:$CT$1,"&gt;="&amp;AH$1,'UX Weekly'!$H$1:$CT$1,"&lt;="&amp;EOMONTH(AH$1,0),'UX Weekly'!$H61:$CT61,"&lt;&gt;"))</f>
        <v>0</v>
      </c>
      <c r="AI61">
        <f>IF($B61="",0,COUNTIFS('UX Weekly'!$H$1:$CT$1,"&gt;="&amp;AI$1,'UX Weekly'!$H$1:$CT$1,"&lt;="&amp;EOMONTH(AI$1,0),'UX Weekly'!$H61:$CT61,"&lt;&gt;"))</f>
        <v>0</v>
      </c>
      <c r="AJ61">
        <f>IF($B61="",0,COUNTIFS('UX Weekly'!$H$1:$CT$1,"&gt;="&amp;AJ$1,'UX Weekly'!$H$1:$CT$1,"&lt;="&amp;EOMONTH(AJ$1,0),'UX Weekly'!$H61:$CT61,"&lt;&gt;"))</f>
        <v>0</v>
      </c>
      <c r="AK61">
        <f>IF($B61="",0,COUNTIFS('UX Weekly'!$H$1:$CT$1,"&gt;="&amp;AK$1,'UX Weekly'!$H$1:$CT$1,"&lt;="&amp;EOMONTH(AK$1,0),'UX Weekly'!$H61:$CT61,"&lt;&gt;"))</f>
        <v>0</v>
      </c>
      <c r="AL61">
        <f>IF($B61="",0,COUNTIFS('UX Weekly'!$H$1:$CT$1,"&gt;="&amp;AL$1,'UX Weekly'!$H$1:$CT$1,"&lt;="&amp;EOMONTH(AL$1,0),'UX Weekly'!$H61:$CT61,"&lt;&gt;"))</f>
        <v>0</v>
      </c>
      <c r="AM61">
        <f>IF($B61="",0,COUNTIFS('UX Weekly'!$H$1:$CT$1,"&gt;="&amp;AM$1,'UX Weekly'!$H$1:$CT$1,"&lt;="&amp;EOMONTH(AM$1,0),'UX Weekly'!$H61:$CT61,"&lt;&gt;"))</f>
        <v>0</v>
      </c>
      <c r="AN61">
        <f>IF($B61="",0,COUNTIFS('UX Weekly'!$H$1:$CT$1,"&gt;="&amp;AN$1,'UX Weekly'!$H$1:$CT$1,"&lt;="&amp;EOMONTH(AN$1,0),'UX Weekly'!$H61:$CT61,"&lt;&gt;"))</f>
        <v>0</v>
      </c>
      <c r="AO61">
        <f>IF($B61="",0,COUNTIFS('UX Weekly'!$H$1:$CT$1,"&gt;="&amp;AO$1,'UX Weekly'!$H$1:$CT$1,"&lt;="&amp;EOMONTH(AO$1,0),'UX Weekly'!$H61:$CT61,"&lt;&gt;"))</f>
        <v>0</v>
      </c>
      <c r="AP61">
        <f>IF($B61="",0,COUNTIFS('UX Weekly'!$H$1:$CT$1,"&gt;="&amp;AP$1,'UX Weekly'!$H$1:$CT$1,"&lt;="&amp;EOMONTH(AP$1,0),'UX Weekly'!$H61:$CT61,"&lt;&gt;"))</f>
        <v>0</v>
      </c>
      <c r="AQ61">
        <f>IF($B61="",0,COUNTIFS('UX Weekly'!$H$1:$CT$1,"&gt;="&amp;AQ$1,'UX Weekly'!$H$1:$CT$1,"&lt;="&amp;EOMONTH(AQ$1,0),'UX Weekly'!$H61:$CT61,"&lt;&gt;"))</f>
        <v>0</v>
      </c>
      <c r="AR61">
        <f>IF($B61="",0,COUNTIFS('UX Weekly'!$H$1:$CT$1,"&gt;="&amp;AR$1,'UX Weekly'!$H$1:$CT$1,"&lt;="&amp;EOMONTH(AR$1,0),'UX Weekly'!$H61:$CT61,"&lt;&gt;"))</f>
        <v>0</v>
      </c>
      <c r="AS61">
        <f>IF($B61="",0,COUNTIFS('UX Weekly'!$H$1:$CT$1,"&gt;="&amp;AS$1,'UX Weekly'!$H$1:$CT$1,"&lt;="&amp;EOMONTH(AS$1,0),'UX Weekly'!$H61:$CT61,"&lt;&gt;"))</f>
        <v>0</v>
      </c>
      <c r="AT61">
        <f>IF($B61="",0,COUNTIFS('UX Weekly'!$H$1:$CT$1,"&gt;="&amp;AT$1,'UX Weekly'!$H$1:$CT$1,"&lt;="&amp;EOMONTH(AT$1,0),'UX Weekly'!$H61:$CT61,"&lt;&gt;"))</f>
        <v>0</v>
      </c>
    </row>
    <row r="62" spans="1:46" x14ac:dyDescent="0.2">
      <c r="A62" s="147">
        <v>63</v>
      </c>
      <c r="B62" s="147" t="str">
        <f>IF(TRIM('UX Weekly'!E62)="","",TRIM('UX Weekly'!E62))</f>
        <v/>
      </c>
      <c r="C62" s="147" t="str">
        <f>IF($B62="","",'UX Weekly'!B62)</f>
        <v/>
      </c>
      <c r="D62" s="147" t="str">
        <f>IF($B62="","",IF(TRIM('UX Weekly'!C62)="","(No theme assigned)",TRIM('UX Weekly'!C62)))</f>
        <v/>
      </c>
      <c r="E62" s="147" t="str">
        <f>IF($B62="","",TRIM('UX Weekly'!F62))</f>
        <v/>
      </c>
      <c r="F62" s="147" t="str">
        <f>IF($B62="","",'UX Weekly'!G62)</f>
        <v/>
      </c>
      <c r="G62" s="148" t="str">
        <f t="array" ref="G62">IF($B62="","",IF($S62=0,"",IFERROR(MIN(IF('UX Weekly'!$H62:$CT62&lt;&gt;"",'UX Weekly'!$H$1:$CT$1)),"")))</f>
        <v/>
      </c>
      <c r="H62" s="148" t="str">
        <f t="array" ref="H62">IF($B62="","",IF($S62=0,"",IFERROR(MAX(IF('UX Weekly'!$H62:$CT62&lt;&gt;"",'UX Weekly'!$H$1:$CT$1)),"")))</f>
        <v/>
      </c>
      <c r="I62" s="149" t="str">
        <f t="shared" ca="1" si="3"/>
        <v/>
      </c>
      <c r="J62" s="149" t="str">
        <f t="shared" ca="1" si="4"/>
        <v/>
      </c>
      <c r="K62" s="147" t="str">
        <f>IF($B62="","",IFERROR(MATCH($B62,'Dev Tracker'!$D$2:$D$196,0),IF($E62="","",IFERROR(MATCH($E62,'Dev Tracker'!$E$2:$E$196,0),""))))</f>
        <v/>
      </c>
      <c r="L62" s="147" t="str">
        <f>IF($B62="","",IFERROR(MATCH($D62,'Control (Don’t Touch)'!$E$4:$E$30,0),99))</f>
        <v/>
      </c>
      <c r="M62" s="147" t="str">
        <f>IF($B62="","",IFERROR(MATCH($F62,'Control (Don’t Touch)'!$B$4:$B$30,0),99))</f>
        <v/>
      </c>
      <c r="N62" s="147" t="str">
        <f t="shared" si="5"/>
        <v/>
      </c>
      <c r="O62" s="147" t="str">
        <f>IF($B62="","",COUNTIF($N$2:$N$204,"&lt;"&amp;$N62)+1)</f>
        <v/>
      </c>
      <c r="P62" s="149" t="str">
        <f ca="1">IF($K62="","",IFERROR(DATE(IFERROR(VALUE(RIGHT(TRIM(INDEX('Dev Tracker'!$I$2:$I$196,$K62)),4)),YEAR(TODAY())),MATCH(LEFT(TRIM(INDEX('Dev Tracker'!$I$2:$I$196,$K62)),3),$U$2:$U$12,0),1),""))</f>
        <v/>
      </c>
      <c r="Q62" s="149" t="str">
        <f ca="1">IF($K62="","",IFERROR(DATE(IFERROR(VALUE(RIGHT(TRIM(INDEX('Dev Tracker'!$J$2:$J$196,$K62)),4)),YEAR(TODAY())),MATCH(LEFT(TRIM(INDEX('Dev Tracker'!$J$2:$J$196,$K62)),3),$U$2:$U$12,0),1),""))</f>
        <v/>
      </c>
      <c r="R62" s="147"/>
      <c r="S62" s="147" t="str">
        <f>IF($B62="","",COUNTA('UX Weekly'!$H62:$CT62))</f>
        <v/>
      </c>
      <c r="W62">
        <f>IF($B62="",0,COUNTIFS('UX Weekly'!$H$1:$CT$1,"&gt;="&amp;W$1,'UX Weekly'!$H$1:$CT$1,"&lt;="&amp;EOMONTH(W$1,0),'UX Weekly'!$H62:$CT62,"&lt;&gt;"))</f>
        <v>0</v>
      </c>
      <c r="X62">
        <f>IF($B62="",0,COUNTIFS('UX Weekly'!$H$1:$CT$1,"&gt;="&amp;X$1,'UX Weekly'!$H$1:$CT$1,"&lt;="&amp;EOMONTH(X$1,0),'UX Weekly'!$H62:$CT62,"&lt;&gt;"))</f>
        <v>0</v>
      </c>
      <c r="Y62">
        <f>IF($B62="",0,COUNTIFS('UX Weekly'!$H$1:$CT$1,"&gt;="&amp;Y$1,'UX Weekly'!$H$1:$CT$1,"&lt;="&amp;EOMONTH(Y$1,0),'UX Weekly'!$H62:$CT62,"&lt;&gt;"))</f>
        <v>0</v>
      </c>
      <c r="Z62">
        <f>IF($B62="",0,COUNTIFS('UX Weekly'!$H$1:$CT$1,"&gt;="&amp;Z$1,'UX Weekly'!$H$1:$CT$1,"&lt;="&amp;EOMONTH(Z$1,0),'UX Weekly'!$H62:$CT62,"&lt;&gt;"))</f>
        <v>0</v>
      </c>
      <c r="AA62">
        <f>IF($B62="",0,COUNTIFS('UX Weekly'!$H$1:$CT$1,"&gt;="&amp;AA$1,'UX Weekly'!$H$1:$CT$1,"&lt;="&amp;EOMONTH(AA$1,0),'UX Weekly'!$H62:$CT62,"&lt;&gt;"))</f>
        <v>0</v>
      </c>
      <c r="AB62">
        <f>IF($B62="",0,COUNTIFS('UX Weekly'!$H$1:$CT$1,"&gt;="&amp;AB$1,'UX Weekly'!$H$1:$CT$1,"&lt;="&amp;EOMONTH(AB$1,0),'UX Weekly'!$H62:$CT62,"&lt;&gt;"))</f>
        <v>0</v>
      </c>
      <c r="AC62">
        <f>IF($B62="",0,COUNTIFS('UX Weekly'!$H$1:$CT$1,"&gt;="&amp;AC$1,'UX Weekly'!$H$1:$CT$1,"&lt;="&amp;EOMONTH(AC$1,0),'UX Weekly'!$H62:$CT62,"&lt;&gt;"))</f>
        <v>0</v>
      </c>
      <c r="AD62">
        <f>IF($B62="",0,COUNTIFS('UX Weekly'!$H$1:$CT$1,"&gt;="&amp;AD$1,'UX Weekly'!$H$1:$CT$1,"&lt;="&amp;EOMONTH(AD$1,0),'UX Weekly'!$H62:$CT62,"&lt;&gt;"))</f>
        <v>0</v>
      </c>
      <c r="AE62">
        <f>IF($B62="",0,COUNTIFS('UX Weekly'!$H$1:$CT$1,"&gt;="&amp;AE$1,'UX Weekly'!$H$1:$CT$1,"&lt;="&amp;EOMONTH(AE$1,0),'UX Weekly'!$H62:$CT62,"&lt;&gt;"))</f>
        <v>0</v>
      </c>
      <c r="AF62">
        <f>IF($B62="",0,COUNTIFS('UX Weekly'!$H$1:$CT$1,"&gt;="&amp;AF$1,'UX Weekly'!$H$1:$CT$1,"&lt;="&amp;EOMONTH(AF$1,0),'UX Weekly'!$H62:$CT62,"&lt;&gt;"))</f>
        <v>0</v>
      </c>
      <c r="AG62">
        <f>IF($B62="",0,COUNTIFS('UX Weekly'!$H$1:$CT$1,"&gt;="&amp;AG$1,'UX Weekly'!$H$1:$CT$1,"&lt;="&amp;EOMONTH(AG$1,0),'UX Weekly'!$H62:$CT62,"&lt;&gt;"))</f>
        <v>0</v>
      </c>
      <c r="AH62">
        <f>IF($B62="",0,COUNTIFS('UX Weekly'!$H$1:$CT$1,"&gt;="&amp;AH$1,'UX Weekly'!$H$1:$CT$1,"&lt;="&amp;EOMONTH(AH$1,0),'UX Weekly'!$H62:$CT62,"&lt;&gt;"))</f>
        <v>0</v>
      </c>
      <c r="AI62">
        <f>IF($B62="",0,COUNTIFS('UX Weekly'!$H$1:$CT$1,"&gt;="&amp;AI$1,'UX Weekly'!$H$1:$CT$1,"&lt;="&amp;EOMONTH(AI$1,0),'UX Weekly'!$H62:$CT62,"&lt;&gt;"))</f>
        <v>0</v>
      </c>
      <c r="AJ62">
        <f>IF($B62="",0,COUNTIFS('UX Weekly'!$H$1:$CT$1,"&gt;="&amp;AJ$1,'UX Weekly'!$H$1:$CT$1,"&lt;="&amp;EOMONTH(AJ$1,0),'UX Weekly'!$H62:$CT62,"&lt;&gt;"))</f>
        <v>0</v>
      </c>
      <c r="AK62">
        <f>IF($B62="",0,COUNTIFS('UX Weekly'!$H$1:$CT$1,"&gt;="&amp;AK$1,'UX Weekly'!$H$1:$CT$1,"&lt;="&amp;EOMONTH(AK$1,0),'UX Weekly'!$H62:$CT62,"&lt;&gt;"))</f>
        <v>0</v>
      </c>
      <c r="AL62">
        <f>IF($B62="",0,COUNTIFS('UX Weekly'!$H$1:$CT$1,"&gt;="&amp;AL$1,'UX Weekly'!$H$1:$CT$1,"&lt;="&amp;EOMONTH(AL$1,0),'UX Weekly'!$H62:$CT62,"&lt;&gt;"))</f>
        <v>0</v>
      </c>
      <c r="AM62">
        <f>IF($B62="",0,COUNTIFS('UX Weekly'!$H$1:$CT$1,"&gt;="&amp;AM$1,'UX Weekly'!$H$1:$CT$1,"&lt;="&amp;EOMONTH(AM$1,0),'UX Weekly'!$H62:$CT62,"&lt;&gt;"))</f>
        <v>0</v>
      </c>
      <c r="AN62">
        <f>IF($B62="",0,COUNTIFS('UX Weekly'!$H$1:$CT$1,"&gt;="&amp;AN$1,'UX Weekly'!$H$1:$CT$1,"&lt;="&amp;EOMONTH(AN$1,0),'UX Weekly'!$H62:$CT62,"&lt;&gt;"))</f>
        <v>0</v>
      </c>
      <c r="AO62">
        <f>IF($B62="",0,COUNTIFS('UX Weekly'!$H$1:$CT$1,"&gt;="&amp;AO$1,'UX Weekly'!$H$1:$CT$1,"&lt;="&amp;EOMONTH(AO$1,0),'UX Weekly'!$H62:$CT62,"&lt;&gt;"))</f>
        <v>0</v>
      </c>
      <c r="AP62">
        <f>IF($B62="",0,COUNTIFS('UX Weekly'!$H$1:$CT$1,"&gt;="&amp;AP$1,'UX Weekly'!$H$1:$CT$1,"&lt;="&amp;EOMONTH(AP$1,0),'UX Weekly'!$H62:$CT62,"&lt;&gt;"))</f>
        <v>0</v>
      </c>
      <c r="AQ62">
        <f>IF($B62="",0,COUNTIFS('UX Weekly'!$H$1:$CT$1,"&gt;="&amp;AQ$1,'UX Weekly'!$H$1:$CT$1,"&lt;="&amp;EOMONTH(AQ$1,0),'UX Weekly'!$H62:$CT62,"&lt;&gt;"))</f>
        <v>0</v>
      </c>
      <c r="AR62">
        <f>IF($B62="",0,COUNTIFS('UX Weekly'!$H$1:$CT$1,"&gt;="&amp;AR$1,'UX Weekly'!$H$1:$CT$1,"&lt;="&amp;EOMONTH(AR$1,0),'UX Weekly'!$H62:$CT62,"&lt;&gt;"))</f>
        <v>0</v>
      </c>
      <c r="AS62">
        <f>IF($B62="",0,COUNTIFS('UX Weekly'!$H$1:$CT$1,"&gt;="&amp;AS$1,'UX Weekly'!$H$1:$CT$1,"&lt;="&amp;EOMONTH(AS$1,0),'UX Weekly'!$H62:$CT62,"&lt;&gt;"))</f>
        <v>0</v>
      </c>
      <c r="AT62">
        <f>IF($B62="",0,COUNTIFS('UX Weekly'!$H$1:$CT$1,"&gt;="&amp;AT$1,'UX Weekly'!$H$1:$CT$1,"&lt;="&amp;EOMONTH(AT$1,0),'UX Weekly'!$H62:$CT62,"&lt;&gt;"))</f>
        <v>0</v>
      </c>
    </row>
    <row r="63" spans="1:46" x14ac:dyDescent="0.2">
      <c r="A63" s="147">
        <v>64</v>
      </c>
      <c r="B63" s="147" t="str">
        <f>IF(TRIM('UX Weekly'!E63)="","",TRIM('UX Weekly'!E63))</f>
        <v/>
      </c>
      <c r="C63" s="147" t="str">
        <f>IF($B63="","",'UX Weekly'!B63)</f>
        <v/>
      </c>
      <c r="D63" s="147" t="str">
        <f>IF($B63="","",IF(TRIM('UX Weekly'!C63)="","(No theme assigned)",TRIM('UX Weekly'!C63)))</f>
        <v/>
      </c>
      <c r="E63" s="147" t="str">
        <f>IF($B63="","",TRIM('UX Weekly'!F63))</f>
        <v/>
      </c>
      <c r="F63" s="147" t="str">
        <f>IF($B63="","",'UX Weekly'!G63)</f>
        <v/>
      </c>
      <c r="G63" s="148" t="str">
        <f t="array" ref="G63">IF($B63="","",IF($S63=0,"",IFERROR(MIN(IF('UX Weekly'!$H63:$CT63&lt;&gt;"",'UX Weekly'!$H$1:$CT$1)),"")))</f>
        <v/>
      </c>
      <c r="H63" s="148" t="str">
        <f t="array" ref="H63">IF($B63="","",IF($S63=0,"",IFERROR(MAX(IF('UX Weekly'!$H63:$CT63&lt;&gt;"",'UX Weekly'!$H$1:$CT$1)),"")))</f>
        <v/>
      </c>
      <c r="I63" s="149" t="str">
        <f t="shared" ca="1" si="3"/>
        <v/>
      </c>
      <c r="J63" s="149" t="str">
        <f t="shared" ca="1" si="4"/>
        <v/>
      </c>
      <c r="K63" s="147" t="str">
        <f>IF($B63="","",IFERROR(MATCH($B63,'Dev Tracker'!$D$2:$D$196,0),IF($E63="","",IFERROR(MATCH($E63,'Dev Tracker'!$E$2:$E$196,0),""))))</f>
        <v/>
      </c>
      <c r="L63" s="147" t="str">
        <f>IF($B63="","",IFERROR(MATCH($D63,'Control (Don’t Touch)'!$E$4:$E$30,0),99))</f>
        <v/>
      </c>
      <c r="M63" s="147" t="str">
        <f>IF($B63="","",IFERROR(MATCH($F63,'Control (Don’t Touch)'!$B$4:$B$30,0),99))</f>
        <v/>
      </c>
      <c r="N63" s="147" t="str">
        <f t="shared" si="5"/>
        <v/>
      </c>
      <c r="O63" s="147" t="str">
        <f>IF($B63="","",COUNTIF($N$2:$N$204,"&lt;"&amp;$N63)+1)</f>
        <v/>
      </c>
      <c r="P63" s="149" t="str">
        <f ca="1">IF($K63="","",IFERROR(DATE(IFERROR(VALUE(RIGHT(TRIM(INDEX('Dev Tracker'!$I$2:$I$196,$K63)),4)),YEAR(TODAY())),MATCH(LEFT(TRIM(INDEX('Dev Tracker'!$I$2:$I$196,$K63)),3),$U$2:$U$12,0),1),""))</f>
        <v/>
      </c>
      <c r="Q63" s="149" t="str">
        <f ca="1">IF($K63="","",IFERROR(DATE(IFERROR(VALUE(RIGHT(TRIM(INDEX('Dev Tracker'!$J$2:$J$196,$K63)),4)),YEAR(TODAY())),MATCH(LEFT(TRIM(INDEX('Dev Tracker'!$J$2:$J$196,$K63)),3),$U$2:$U$12,0),1),""))</f>
        <v/>
      </c>
      <c r="R63" s="147"/>
      <c r="S63" s="147" t="str">
        <f>IF($B63="","",COUNTA('UX Weekly'!$H63:$CT63))</f>
        <v/>
      </c>
      <c r="W63">
        <f>IF($B63="",0,COUNTIFS('UX Weekly'!$H$1:$CT$1,"&gt;="&amp;W$1,'UX Weekly'!$H$1:$CT$1,"&lt;="&amp;EOMONTH(W$1,0),'UX Weekly'!$H63:$CT63,"&lt;&gt;"))</f>
        <v>0</v>
      </c>
      <c r="X63">
        <f>IF($B63="",0,COUNTIFS('UX Weekly'!$H$1:$CT$1,"&gt;="&amp;X$1,'UX Weekly'!$H$1:$CT$1,"&lt;="&amp;EOMONTH(X$1,0),'UX Weekly'!$H63:$CT63,"&lt;&gt;"))</f>
        <v>0</v>
      </c>
      <c r="Y63">
        <f>IF($B63="",0,COUNTIFS('UX Weekly'!$H$1:$CT$1,"&gt;="&amp;Y$1,'UX Weekly'!$H$1:$CT$1,"&lt;="&amp;EOMONTH(Y$1,0),'UX Weekly'!$H63:$CT63,"&lt;&gt;"))</f>
        <v>0</v>
      </c>
      <c r="Z63">
        <f>IF($B63="",0,COUNTIFS('UX Weekly'!$H$1:$CT$1,"&gt;="&amp;Z$1,'UX Weekly'!$H$1:$CT$1,"&lt;="&amp;EOMONTH(Z$1,0),'UX Weekly'!$H63:$CT63,"&lt;&gt;"))</f>
        <v>0</v>
      </c>
      <c r="AA63">
        <f>IF($B63="",0,COUNTIFS('UX Weekly'!$H$1:$CT$1,"&gt;="&amp;AA$1,'UX Weekly'!$H$1:$CT$1,"&lt;="&amp;EOMONTH(AA$1,0),'UX Weekly'!$H63:$CT63,"&lt;&gt;"))</f>
        <v>0</v>
      </c>
      <c r="AB63">
        <f>IF($B63="",0,COUNTIFS('UX Weekly'!$H$1:$CT$1,"&gt;="&amp;AB$1,'UX Weekly'!$H$1:$CT$1,"&lt;="&amp;EOMONTH(AB$1,0),'UX Weekly'!$H63:$CT63,"&lt;&gt;"))</f>
        <v>0</v>
      </c>
      <c r="AC63">
        <f>IF($B63="",0,COUNTIFS('UX Weekly'!$H$1:$CT$1,"&gt;="&amp;AC$1,'UX Weekly'!$H$1:$CT$1,"&lt;="&amp;EOMONTH(AC$1,0),'UX Weekly'!$H63:$CT63,"&lt;&gt;"))</f>
        <v>0</v>
      </c>
      <c r="AD63">
        <f>IF($B63="",0,COUNTIFS('UX Weekly'!$H$1:$CT$1,"&gt;="&amp;AD$1,'UX Weekly'!$H$1:$CT$1,"&lt;="&amp;EOMONTH(AD$1,0),'UX Weekly'!$H63:$CT63,"&lt;&gt;"))</f>
        <v>0</v>
      </c>
      <c r="AE63">
        <f>IF($B63="",0,COUNTIFS('UX Weekly'!$H$1:$CT$1,"&gt;="&amp;AE$1,'UX Weekly'!$H$1:$CT$1,"&lt;="&amp;EOMONTH(AE$1,0),'UX Weekly'!$H63:$CT63,"&lt;&gt;"))</f>
        <v>0</v>
      </c>
      <c r="AF63">
        <f>IF($B63="",0,COUNTIFS('UX Weekly'!$H$1:$CT$1,"&gt;="&amp;AF$1,'UX Weekly'!$H$1:$CT$1,"&lt;="&amp;EOMONTH(AF$1,0),'UX Weekly'!$H63:$CT63,"&lt;&gt;"))</f>
        <v>0</v>
      </c>
      <c r="AG63">
        <f>IF($B63="",0,COUNTIFS('UX Weekly'!$H$1:$CT$1,"&gt;="&amp;AG$1,'UX Weekly'!$H$1:$CT$1,"&lt;="&amp;EOMONTH(AG$1,0),'UX Weekly'!$H63:$CT63,"&lt;&gt;"))</f>
        <v>0</v>
      </c>
      <c r="AH63">
        <f>IF($B63="",0,COUNTIFS('UX Weekly'!$H$1:$CT$1,"&gt;="&amp;AH$1,'UX Weekly'!$H$1:$CT$1,"&lt;="&amp;EOMONTH(AH$1,0),'UX Weekly'!$H63:$CT63,"&lt;&gt;"))</f>
        <v>0</v>
      </c>
      <c r="AI63">
        <f>IF($B63="",0,COUNTIFS('UX Weekly'!$H$1:$CT$1,"&gt;="&amp;AI$1,'UX Weekly'!$H$1:$CT$1,"&lt;="&amp;EOMONTH(AI$1,0),'UX Weekly'!$H63:$CT63,"&lt;&gt;"))</f>
        <v>0</v>
      </c>
      <c r="AJ63">
        <f>IF($B63="",0,COUNTIFS('UX Weekly'!$H$1:$CT$1,"&gt;="&amp;AJ$1,'UX Weekly'!$H$1:$CT$1,"&lt;="&amp;EOMONTH(AJ$1,0),'UX Weekly'!$H63:$CT63,"&lt;&gt;"))</f>
        <v>0</v>
      </c>
      <c r="AK63">
        <f>IF($B63="",0,COUNTIFS('UX Weekly'!$H$1:$CT$1,"&gt;="&amp;AK$1,'UX Weekly'!$H$1:$CT$1,"&lt;="&amp;EOMONTH(AK$1,0),'UX Weekly'!$H63:$CT63,"&lt;&gt;"))</f>
        <v>0</v>
      </c>
      <c r="AL63">
        <f>IF($B63="",0,COUNTIFS('UX Weekly'!$H$1:$CT$1,"&gt;="&amp;AL$1,'UX Weekly'!$H$1:$CT$1,"&lt;="&amp;EOMONTH(AL$1,0),'UX Weekly'!$H63:$CT63,"&lt;&gt;"))</f>
        <v>0</v>
      </c>
      <c r="AM63">
        <f>IF($B63="",0,COUNTIFS('UX Weekly'!$H$1:$CT$1,"&gt;="&amp;AM$1,'UX Weekly'!$H$1:$CT$1,"&lt;="&amp;EOMONTH(AM$1,0),'UX Weekly'!$H63:$CT63,"&lt;&gt;"))</f>
        <v>0</v>
      </c>
      <c r="AN63">
        <f>IF($B63="",0,COUNTIFS('UX Weekly'!$H$1:$CT$1,"&gt;="&amp;AN$1,'UX Weekly'!$H$1:$CT$1,"&lt;="&amp;EOMONTH(AN$1,0),'UX Weekly'!$H63:$CT63,"&lt;&gt;"))</f>
        <v>0</v>
      </c>
      <c r="AO63">
        <f>IF($B63="",0,COUNTIFS('UX Weekly'!$H$1:$CT$1,"&gt;="&amp;AO$1,'UX Weekly'!$H$1:$CT$1,"&lt;="&amp;EOMONTH(AO$1,0),'UX Weekly'!$H63:$CT63,"&lt;&gt;"))</f>
        <v>0</v>
      </c>
      <c r="AP63">
        <f>IF($B63="",0,COUNTIFS('UX Weekly'!$H$1:$CT$1,"&gt;="&amp;AP$1,'UX Weekly'!$H$1:$CT$1,"&lt;="&amp;EOMONTH(AP$1,0),'UX Weekly'!$H63:$CT63,"&lt;&gt;"))</f>
        <v>0</v>
      </c>
      <c r="AQ63">
        <f>IF($B63="",0,COUNTIFS('UX Weekly'!$H$1:$CT$1,"&gt;="&amp;AQ$1,'UX Weekly'!$H$1:$CT$1,"&lt;="&amp;EOMONTH(AQ$1,0),'UX Weekly'!$H63:$CT63,"&lt;&gt;"))</f>
        <v>0</v>
      </c>
      <c r="AR63">
        <f>IF($B63="",0,COUNTIFS('UX Weekly'!$H$1:$CT$1,"&gt;="&amp;AR$1,'UX Weekly'!$H$1:$CT$1,"&lt;="&amp;EOMONTH(AR$1,0),'UX Weekly'!$H63:$CT63,"&lt;&gt;"))</f>
        <v>0</v>
      </c>
      <c r="AS63">
        <f>IF($B63="",0,COUNTIFS('UX Weekly'!$H$1:$CT$1,"&gt;="&amp;AS$1,'UX Weekly'!$H$1:$CT$1,"&lt;="&amp;EOMONTH(AS$1,0),'UX Weekly'!$H63:$CT63,"&lt;&gt;"))</f>
        <v>0</v>
      </c>
      <c r="AT63">
        <f>IF($B63="",0,COUNTIFS('UX Weekly'!$H$1:$CT$1,"&gt;="&amp;AT$1,'UX Weekly'!$H$1:$CT$1,"&lt;="&amp;EOMONTH(AT$1,0),'UX Weekly'!$H63:$CT63,"&lt;&gt;"))</f>
        <v>0</v>
      </c>
    </row>
    <row r="64" spans="1:46" x14ac:dyDescent="0.2">
      <c r="A64" s="147">
        <v>65</v>
      </c>
      <c r="B64" s="147" t="str">
        <f>IF(TRIM('UX Weekly'!E64)="","",TRIM('UX Weekly'!E64))</f>
        <v/>
      </c>
      <c r="C64" s="147" t="str">
        <f>IF($B64="","",'UX Weekly'!B64)</f>
        <v/>
      </c>
      <c r="D64" s="147" t="str">
        <f>IF($B64="","",IF(TRIM('UX Weekly'!C64)="","(No theme assigned)",TRIM('UX Weekly'!C64)))</f>
        <v/>
      </c>
      <c r="E64" s="147" t="str">
        <f>IF($B64="","",TRIM('UX Weekly'!F64))</f>
        <v/>
      </c>
      <c r="F64" s="147" t="str">
        <f>IF($B64="","",'UX Weekly'!G64)</f>
        <v/>
      </c>
      <c r="G64" s="148" t="str">
        <f t="array" ref="G64">IF($B64="","",IF($S64=0,"",IFERROR(MIN(IF('UX Weekly'!$H64:$CT64&lt;&gt;"",'UX Weekly'!$H$1:$CT$1)),"")))</f>
        <v/>
      </c>
      <c r="H64" s="148" t="str">
        <f t="array" ref="H64">IF($B64="","",IF($S64=0,"",IFERROR(MAX(IF('UX Weekly'!$H64:$CT64&lt;&gt;"",'UX Weekly'!$H$1:$CT$1)),"")))</f>
        <v/>
      </c>
      <c r="I64" s="149" t="str">
        <f t="shared" ca="1" si="3"/>
        <v/>
      </c>
      <c r="J64" s="149" t="str">
        <f t="shared" ca="1" si="4"/>
        <v/>
      </c>
      <c r="K64" s="147" t="str">
        <f>IF($B64="","",IFERROR(MATCH($B64,'Dev Tracker'!$D$2:$D$196,0),IF($E64="","",IFERROR(MATCH($E64,'Dev Tracker'!$E$2:$E$196,0),""))))</f>
        <v/>
      </c>
      <c r="L64" s="147" t="str">
        <f>IF($B64="","",IFERROR(MATCH($D64,'Control (Don’t Touch)'!$E$4:$E$30,0),99))</f>
        <v/>
      </c>
      <c r="M64" s="147" t="str">
        <f>IF($B64="","",IFERROR(MATCH($F64,'Control (Don’t Touch)'!$B$4:$B$30,0),99))</f>
        <v/>
      </c>
      <c r="N64" s="147" t="str">
        <f t="shared" si="5"/>
        <v/>
      </c>
      <c r="O64" s="147" t="str">
        <f>IF($B64="","",COUNTIF($N$2:$N$204,"&lt;"&amp;$N64)+1)</f>
        <v/>
      </c>
      <c r="P64" s="149" t="str">
        <f ca="1">IF($K64="","",IFERROR(DATE(IFERROR(VALUE(RIGHT(TRIM(INDEX('Dev Tracker'!$I$2:$I$196,$K64)),4)),YEAR(TODAY())),MATCH(LEFT(TRIM(INDEX('Dev Tracker'!$I$2:$I$196,$K64)),3),$U$2:$U$12,0),1),""))</f>
        <v/>
      </c>
      <c r="Q64" s="149" t="str">
        <f ca="1">IF($K64="","",IFERROR(DATE(IFERROR(VALUE(RIGHT(TRIM(INDEX('Dev Tracker'!$J$2:$J$196,$K64)),4)),YEAR(TODAY())),MATCH(LEFT(TRIM(INDEX('Dev Tracker'!$J$2:$J$196,$K64)),3),$U$2:$U$12,0),1),""))</f>
        <v/>
      </c>
      <c r="R64" s="147"/>
      <c r="S64" s="147" t="str">
        <f>IF($B64="","",COUNTA('UX Weekly'!$H64:$CT64))</f>
        <v/>
      </c>
      <c r="W64">
        <f>IF($B64="",0,COUNTIFS('UX Weekly'!$H$1:$CT$1,"&gt;="&amp;W$1,'UX Weekly'!$H$1:$CT$1,"&lt;="&amp;EOMONTH(W$1,0),'UX Weekly'!$H64:$CT64,"&lt;&gt;"))</f>
        <v>0</v>
      </c>
      <c r="X64">
        <f>IF($B64="",0,COUNTIFS('UX Weekly'!$H$1:$CT$1,"&gt;="&amp;X$1,'UX Weekly'!$H$1:$CT$1,"&lt;="&amp;EOMONTH(X$1,0),'UX Weekly'!$H64:$CT64,"&lt;&gt;"))</f>
        <v>0</v>
      </c>
      <c r="Y64">
        <f>IF($B64="",0,COUNTIFS('UX Weekly'!$H$1:$CT$1,"&gt;="&amp;Y$1,'UX Weekly'!$H$1:$CT$1,"&lt;="&amp;EOMONTH(Y$1,0),'UX Weekly'!$H64:$CT64,"&lt;&gt;"))</f>
        <v>0</v>
      </c>
      <c r="Z64">
        <f>IF($B64="",0,COUNTIFS('UX Weekly'!$H$1:$CT$1,"&gt;="&amp;Z$1,'UX Weekly'!$H$1:$CT$1,"&lt;="&amp;EOMONTH(Z$1,0),'UX Weekly'!$H64:$CT64,"&lt;&gt;"))</f>
        <v>0</v>
      </c>
      <c r="AA64">
        <f>IF($B64="",0,COUNTIFS('UX Weekly'!$H$1:$CT$1,"&gt;="&amp;AA$1,'UX Weekly'!$H$1:$CT$1,"&lt;="&amp;EOMONTH(AA$1,0),'UX Weekly'!$H64:$CT64,"&lt;&gt;"))</f>
        <v>0</v>
      </c>
      <c r="AB64">
        <f>IF($B64="",0,COUNTIFS('UX Weekly'!$H$1:$CT$1,"&gt;="&amp;AB$1,'UX Weekly'!$H$1:$CT$1,"&lt;="&amp;EOMONTH(AB$1,0),'UX Weekly'!$H64:$CT64,"&lt;&gt;"))</f>
        <v>0</v>
      </c>
      <c r="AC64">
        <f>IF($B64="",0,COUNTIFS('UX Weekly'!$H$1:$CT$1,"&gt;="&amp;AC$1,'UX Weekly'!$H$1:$CT$1,"&lt;="&amp;EOMONTH(AC$1,0),'UX Weekly'!$H64:$CT64,"&lt;&gt;"))</f>
        <v>0</v>
      </c>
      <c r="AD64">
        <f>IF($B64="",0,COUNTIFS('UX Weekly'!$H$1:$CT$1,"&gt;="&amp;AD$1,'UX Weekly'!$H$1:$CT$1,"&lt;="&amp;EOMONTH(AD$1,0),'UX Weekly'!$H64:$CT64,"&lt;&gt;"))</f>
        <v>0</v>
      </c>
      <c r="AE64">
        <f>IF($B64="",0,COUNTIFS('UX Weekly'!$H$1:$CT$1,"&gt;="&amp;AE$1,'UX Weekly'!$H$1:$CT$1,"&lt;="&amp;EOMONTH(AE$1,0),'UX Weekly'!$H64:$CT64,"&lt;&gt;"))</f>
        <v>0</v>
      </c>
      <c r="AF64">
        <f>IF($B64="",0,COUNTIFS('UX Weekly'!$H$1:$CT$1,"&gt;="&amp;AF$1,'UX Weekly'!$H$1:$CT$1,"&lt;="&amp;EOMONTH(AF$1,0),'UX Weekly'!$H64:$CT64,"&lt;&gt;"))</f>
        <v>0</v>
      </c>
      <c r="AG64">
        <f>IF($B64="",0,COUNTIFS('UX Weekly'!$H$1:$CT$1,"&gt;="&amp;AG$1,'UX Weekly'!$H$1:$CT$1,"&lt;="&amp;EOMONTH(AG$1,0),'UX Weekly'!$H64:$CT64,"&lt;&gt;"))</f>
        <v>0</v>
      </c>
      <c r="AH64">
        <f>IF($B64="",0,COUNTIFS('UX Weekly'!$H$1:$CT$1,"&gt;="&amp;AH$1,'UX Weekly'!$H$1:$CT$1,"&lt;="&amp;EOMONTH(AH$1,0),'UX Weekly'!$H64:$CT64,"&lt;&gt;"))</f>
        <v>0</v>
      </c>
      <c r="AI64">
        <f>IF($B64="",0,COUNTIFS('UX Weekly'!$H$1:$CT$1,"&gt;="&amp;AI$1,'UX Weekly'!$H$1:$CT$1,"&lt;="&amp;EOMONTH(AI$1,0),'UX Weekly'!$H64:$CT64,"&lt;&gt;"))</f>
        <v>0</v>
      </c>
      <c r="AJ64">
        <f>IF($B64="",0,COUNTIFS('UX Weekly'!$H$1:$CT$1,"&gt;="&amp;AJ$1,'UX Weekly'!$H$1:$CT$1,"&lt;="&amp;EOMONTH(AJ$1,0),'UX Weekly'!$H64:$CT64,"&lt;&gt;"))</f>
        <v>0</v>
      </c>
      <c r="AK64">
        <f>IF($B64="",0,COUNTIFS('UX Weekly'!$H$1:$CT$1,"&gt;="&amp;AK$1,'UX Weekly'!$H$1:$CT$1,"&lt;="&amp;EOMONTH(AK$1,0),'UX Weekly'!$H64:$CT64,"&lt;&gt;"))</f>
        <v>0</v>
      </c>
      <c r="AL64">
        <f>IF($B64="",0,COUNTIFS('UX Weekly'!$H$1:$CT$1,"&gt;="&amp;AL$1,'UX Weekly'!$H$1:$CT$1,"&lt;="&amp;EOMONTH(AL$1,0),'UX Weekly'!$H64:$CT64,"&lt;&gt;"))</f>
        <v>0</v>
      </c>
      <c r="AM64">
        <f>IF($B64="",0,COUNTIFS('UX Weekly'!$H$1:$CT$1,"&gt;="&amp;AM$1,'UX Weekly'!$H$1:$CT$1,"&lt;="&amp;EOMONTH(AM$1,0),'UX Weekly'!$H64:$CT64,"&lt;&gt;"))</f>
        <v>0</v>
      </c>
      <c r="AN64">
        <f>IF($B64="",0,COUNTIFS('UX Weekly'!$H$1:$CT$1,"&gt;="&amp;AN$1,'UX Weekly'!$H$1:$CT$1,"&lt;="&amp;EOMONTH(AN$1,0),'UX Weekly'!$H64:$CT64,"&lt;&gt;"))</f>
        <v>0</v>
      </c>
      <c r="AO64">
        <f>IF($B64="",0,COUNTIFS('UX Weekly'!$H$1:$CT$1,"&gt;="&amp;AO$1,'UX Weekly'!$H$1:$CT$1,"&lt;="&amp;EOMONTH(AO$1,0),'UX Weekly'!$H64:$CT64,"&lt;&gt;"))</f>
        <v>0</v>
      </c>
      <c r="AP64">
        <f>IF($B64="",0,COUNTIFS('UX Weekly'!$H$1:$CT$1,"&gt;="&amp;AP$1,'UX Weekly'!$H$1:$CT$1,"&lt;="&amp;EOMONTH(AP$1,0),'UX Weekly'!$H64:$CT64,"&lt;&gt;"))</f>
        <v>0</v>
      </c>
      <c r="AQ64">
        <f>IF($B64="",0,COUNTIFS('UX Weekly'!$H$1:$CT$1,"&gt;="&amp;AQ$1,'UX Weekly'!$H$1:$CT$1,"&lt;="&amp;EOMONTH(AQ$1,0),'UX Weekly'!$H64:$CT64,"&lt;&gt;"))</f>
        <v>0</v>
      </c>
      <c r="AR64">
        <f>IF($B64="",0,COUNTIFS('UX Weekly'!$H$1:$CT$1,"&gt;="&amp;AR$1,'UX Weekly'!$H$1:$CT$1,"&lt;="&amp;EOMONTH(AR$1,0),'UX Weekly'!$H64:$CT64,"&lt;&gt;"))</f>
        <v>0</v>
      </c>
      <c r="AS64">
        <f>IF($B64="",0,COUNTIFS('UX Weekly'!$H$1:$CT$1,"&gt;="&amp;AS$1,'UX Weekly'!$H$1:$CT$1,"&lt;="&amp;EOMONTH(AS$1,0),'UX Weekly'!$H64:$CT64,"&lt;&gt;"))</f>
        <v>0</v>
      </c>
      <c r="AT64">
        <f>IF($B64="",0,COUNTIFS('UX Weekly'!$H$1:$CT$1,"&gt;="&amp;AT$1,'UX Weekly'!$H$1:$CT$1,"&lt;="&amp;EOMONTH(AT$1,0),'UX Weekly'!$H64:$CT64,"&lt;&gt;"))</f>
        <v>0</v>
      </c>
    </row>
    <row r="65" spans="1:46" x14ac:dyDescent="0.2">
      <c r="A65" s="147">
        <v>66</v>
      </c>
      <c r="B65" s="147" t="str">
        <f>IF(TRIM('UX Weekly'!E65)="","",TRIM('UX Weekly'!E65))</f>
        <v/>
      </c>
      <c r="C65" s="147" t="str">
        <f>IF($B65="","",'UX Weekly'!B65)</f>
        <v/>
      </c>
      <c r="D65" s="147" t="str">
        <f>IF($B65="","",IF(TRIM('UX Weekly'!C65)="","(No theme assigned)",TRIM('UX Weekly'!C65)))</f>
        <v/>
      </c>
      <c r="E65" s="147" t="str">
        <f>IF($B65="","",TRIM('UX Weekly'!F65))</f>
        <v/>
      </c>
      <c r="F65" s="147" t="str">
        <f>IF($B65="","",'UX Weekly'!G65)</f>
        <v/>
      </c>
      <c r="G65" s="148" t="str">
        <f t="array" ref="G65">IF($B65="","",IF($S65=0,"",IFERROR(MIN(IF('UX Weekly'!$H65:$CT65&lt;&gt;"",'UX Weekly'!$H$1:$CT$1)),"")))</f>
        <v/>
      </c>
      <c r="H65" s="148" t="str">
        <f t="array" ref="H65">IF($B65="","",IF($S65=0,"",IFERROR(MAX(IF('UX Weekly'!$H65:$CT65&lt;&gt;"",'UX Weekly'!$H$1:$CT$1)),"")))</f>
        <v/>
      </c>
      <c r="I65" s="149" t="str">
        <f t="shared" ref="I65:I96" ca="1" si="6">IF($Q65&lt;&gt;"",IF($P65&lt;&gt;"",$P65,$Q65),IF($P65&lt;&gt;"",$P65,""))</f>
        <v/>
      </c>
      <c r="J65" s="149" t="str">
        <f t="shared" ref="J65:J96" ca="1" si="7">IF($Q65&lt;&gt;"",EOMONTH($Q65,0),IF($P65&lt;&gt;"",EOMONTH($P65,0),""))</f>
        <v/>
      </c>
      <c r="K65" s="147" t="str">
        <f>IF($B65="","",IFERROR(MATCH($B65,'Dev Tracker'!$D$2:$D$196,0),IF($E65="","",IFERROR(MATCH($E65,'Dev Tracker'!$E$2:$E$196,0),""))))</f>
        <v/>
      </c>
      <c r="L65" s="147" t="str">
        <f>IF($B65="","",IFERROR(MATCH($D65,'Control (Don’t Touch)'!$E$4:$E$30,0),99))</f>
        <v/>
      </c>
      <c r="M65" s="147" t="str">
        <f>IF($B65="","",IFERROR(MATCH($F65,'Control (Don’t Touch)'!$B$4:$B$30,0),99))</f>
        <v/>
      </c>
      <c r="N65" s="147" t="str">
        <f t="shared" ref="N65:N96" si="8">IF($B65="","",$L65*1000000+$M65*10000+ROW())</f>
        <v/>
      </c>
      <c r="O65" s="147" t="str">
        <f>IF($B65="","",COUNTIF($N$2:$N$204,"&lt;"&amp;$N65)+1)</f>
        <v/>
      </c>
      <c r="P65" s="149" t="str">
        <f ca="1">IF($K65="","",IFERROR(DATE(IFERROR(VALUE(RIGHT(TRIM(INDEX('Dev Tracker'!$I$2:$I$196,$K65)),4)),YEAR(TODAY())),MATCH(LEFT(TRIM(INDEX('Dev Tracker'!$I$2:$I$196,$K65)),3),$U$2:$U$12,0),1),""))</f>
        <v/>
      </c>
      <c r="Q65" s="149" t="str">
        <f ca="1">IF($K65="","",IFERROR(DATE(IFERROR(VALUE(RIGHT(TRIM(INDEX('Dev Tracker'!$J$2:$J$196,$K65)),4)),YEAR(TODAY())),MATCH(LEFT(TRIM(INDEX('Dev Tracker'!$J$2:$J$196,$K65)),3),$U$2:$U$12,0),1),""))</f>
        <v/>
      </c>
      <c r="R65" s="147"/>
      <c r="S65" s="147" t="str">
        <f>IF($B65="","",COUNTA('UX Weekly'!$H65:$CT65))</f>
        <v/>
      </c>
      <c r="W65">
        <f>IF($B65="",0,COUNTIFS('UX Weekly'!$H$1:$CT$1,"&gt;="&amp;W$1,'UX Weekly'!$H$1:$CT$1,"&lt;="&amp;EOMONTH(W$1,0),'UX Weekly'!$H65:$CT65,"&lt;&gt;"))</f>
        <v>0</v>
      </c>
      <c r="X65">
        <f>IF($B65="",0,COUNTIFS('UX Weekly'!$H$1:$CT$1,"&gt;="&amp;X$1,'UX Weekly'!$H$1:$CT$1,"&lt;="&amp;EOMONTH(X$1,0),'UX Weekly'!$H65:$CT65,"&lt;&gt;"))</f>
        <v>0</v>
      </c>
      <c r="Y65">
        <f>IF($B65="",0,COUNTIFS('UX Weekly'!$H$1:$CT$1,"&gt;="&amp;Y$1,'UX Weekly'!$H$1:$CT$1,"&lt;="&amp;EOMONTH(Y$1,0),'UX Weekly'!$H65:$CT65,"&lt;&gt;"))</f>
        <v>0</v>
      </c>
      <c r="Z65">
        <f>IF($B65="",0,COUNTIFS('UX Weekly'!$H$1:$CT$1,"&gt;="&amp;Z$1,'UX Weekly'!$H$1:$CT$1,"&lt;="&amp;EOMONTH(Z$1,0),'UX Weekly'!$H65:$CT65,"&lt;&gt;"))</f>
        <v>0</v>
      </c>
      <c r="AA65">
        <f>IF($B65="",0,COUNTIFS('UX Weekly'!$H$1:$CT$1,"&gt;="&amp;AA$1,'UX Weekly'!$H$1:$CT$1,"&lt;="&amp;EOMONTH(AA$1,0),'UX Weekly'!$H65:$CT65,"&lt;&gt;"))</f>
        <v>0</v>
      </c>
      <c r="AB65">
        <f>IF($B65="",0,COUNTIFS('UX Weekly'!$H$1:$CT$1,"&gt;="&amp;AB$1,'UX Weekly'!$H$1:$CT$1,"&lt;="&amp;EOMONTH(AB$1,0),'UX Weekly'!$H65:$CT65,"&lt;&gt;"))</f>
        <v>0</v>
      </c>
      <c r="AC65">
        <f>IF($B65="",0,COUNTIFS('UX Weekly'!$H$1:$CT$1,"&gt;="&amp;AC$1,'UX Weekly'!$H$1:$CT$1,"&lt;="&amp;EOMONTH(AC$1,0),'UX Weekly'!$H65:$CT65,"&lt;&gt;"))</f>
        <v>0</v>
      </c>
      <c r="AD65">
        <f>IF($B65="",0,COUNTIFS('UX Weekly'!$H$1:$CT$1,"&gt;="&amp;AD$1,'UX Weekly'!$H$1:$CT$1,"&lt;="&amp;EOMONTH(AD$1,0),'UX Weekly'!$H65:$CT65,"&lt;&gt;"))</f>
        <v>0</v>
      </c>
      <c r="AE65">
        <f>IF($B65="",0,COUNTIFS('UX Weekly'!$H$1:$CT$1,"&gt;="&amp;AE$1,'UX Weekly'!$H$1:$CT$1,"&lt;="&amp;EOMONTH(AE$1,0),'UX Weekly'!$H65:$CT65,"&lt;&gt;"))</f>
        <v>0</v>
      </c>
      <c r="AF65">
        <f>IF($B65="",0,COUNTIFS('UX Weekly'!$H$1:$CT$1,"&gt;="&amp;AF$1,'UX Weekly'!$H$1:$CT$1,"&lt;="&amp;EOMONTH(AF$1,0),'UX Weekly'!$H65:$CT65,"&lt;&gt;"))</f>
        <v>0</v>
      </c>
      <c r="AG65">
        <f>IF($B65="",0,COUNTIFS('UX Weekly'!$H$1:$CT$1,"&gt;="&amp;AG$1,'UX Weekly'!$H$1:$CT$1,"&lt;="&amp;EOMONTH(AG$1,0),'UX Weekly'!$H65:$CT65,"&lt;&gt;"))</f>
        <v>0</v>
      </c>
      <c r="AH65">
        <f>IF($B65="",0,COUNTIFS('UX Weekly'!$H$1:$CT$1,"&gt;="&amp;AH$1,'UX Weekly'!$H$1:$CT$1,"&lt;="&amp;EOMONTH(AH$1,0),'UX Weekly'!$H65:$CT65,"&lt;&gt;"))</f>
        <v>0</v>
      </c>
      <c r="AI65">
        <f>IF($B65="",0,COUNTIFS('UX Weekly'!$H$1:$CT$1,"&gt;="&amp;AI$1,'UX Weekly'!$H$1:$CT$1,"&lt;="&amp;EOMONTH(AI$1,0),'UX Weekly'!$H65:$CT65,"&lt;&gt;"))</f>
        <v>0</v>
      </c>
      <c r="AJ65">
        <f>IF($B65="",0,COUNTIFS('UX Weekly'!$H$1:$CT$1,"&gt;="&amp;AJ$1,'UX Weekly'!$H$1:$CT$1,"&lt;="&amp;EOMONTH(AJ$1,0),'UX Weekly'!$H65:$CT65,"&lt;&gt;"))</f>
        <v>0</v>
      </c>
      <c r="AK65">
        <f>IF($B65="",0,COUNTIFS('UX Weekly'!$H$1:$CT$1,"&gt;="&amp;AK$1,'UX Weekly'!$H$1:$CT$1,"&lt;="&amp;EOMONTH(AK$1,0),'UX Weekly'!$H65:$CT65,"&lt;&gt;"))</f>
        <v>0</v>
      </c>
      <c r="AL65">
        <f>IF($B65="",0,COUNTIFS('UX Weekly'!$H$1:$CT$1,"&gt;="&amp;AL$1,'UX Weekly'!$H$1:$CT$1,"&lt;="&amp;EOMONTH(AL$1,0),'UX Weekly'!$H65:$CT65,"&lt;&gt;"))</f>
        <v>0</v>
      </c>
      <c r="AM65">
        <f>IF($B65="",0,COUNTIFS('UX Weekly'!$H$1:$CT$1,"&gt;="&amp;AM$1,'UX Weekly'!$H$1:$CT$1,"&lt;="&amp;EOMONTH(AM$1,0),'UX Weekly'!$H65:$CT65,"&lt;&gt;"))</f>
        <v>0</v>
      </c>
      <c r="AN65">
        <f>IF($B65="",0,COUNTIFS('UX Weekly'!$H$1:$CT$1,"&gt;="&amp;AN$1,'UX Weekly'!$H$1:$CT$1,"&lt;="&amp;EOMONTH(AN$1,0),'UX Weekly'!$H65:$CT65,"&lt;&gt;"))</f>
        <v>0</v>
      </c>
      <c r="AO65">
        <f>IF($B65="",0,COUNTIFS('UX Weekly'!$H$1:$CT$1,"&gt;="&amp;AO$1,'UX Weekly'!$H$1:$CT$1,"&lt;="&amp;EOMONTH(AO$1,0),'UX Weekly'!$H65:$CT65,"&lt;&gt;"))</f>
        <v>0</v>
      </c>
      <c r="AP65">
        <f>IF($B65="",0,COUNTIFS('UX Weekly'!$H$1:$CT$1,"&gt;="&amp;AP$1,'UX Weekly'!$H$1:$CT$1,"&lt;="&amp;EOMONTH(AP$1,0),'UX Weekly'!$H65:$CT65,"&lt;&gt;"))</f>
        <v>0</v>
      </c>
      <c r="AQ65">
        <f>IF($B65="",0,COUNTIFS('UX Weekly'!$H$1:$CT$1,"&gt;="&amp;AQ$1,'UX Weekly'!$H$1:$CT$1,"&lt;="&amp;EOMONTH(AQ$1,0),'UX Weekly'!$H65:$CT65,"&lt;&gt;"))</f>
        <v>0</v>
      </c>
      <c r="AR65">
        <f>IF($B65="",0,COUNTIFS('UX Weekly'!$H$1:$CT$1,"&gt;="&amp;AR$1,'UX Weekly'!$H$1:$CT$1,"&lt;="&amp;EOMONTH(AR$1,0),'UX Weekly'!$H65:$CT65,"&lt;&gt;"))</f>
        <v>0</v>
      </c>
      <c r="AS65">
        <f>IF($B65="",0,COUNTIFS('UX Weekly'!$H$1:$CT$1,"&gt;="&amp;AS$1,'UX Weekly'!$H$1:$CT$1,"&lt;="&amp;EOMONTH(AS$1,0),'UX Weekly'!$H65:$CT65,"&lt;&gt;"))</f>
        <v>0</v>
      </c>
      <c r="AT65">
        <f>IF($B65="",0,COUNTIFS('UX Weekly'!$H$1:$CT$1,"&gt;="&amp;AT$1,'UX Weekly'!$H$1:$CT$1,"&lt;="&amp;EOMONTH(AT$1,0),'UX Weekly'!$H65:$CT65,"&lt;&gt;"))</f>
        <v>0</v>
      </c>
    </row>
    <row r="66" spans="1:46" x14ac:dyDescent="0.2">
      <c r="A66" s="147">
        <v>67</v>
      </c>
      <c r="B66" s="147" t="str">
        <f>IF(TRIM('UX Weekly'!E66)="","",TRIM('UX Weekly'!E66))</f>
        <v/>
      </c>
      <c r="C66" s="147" t="str">
        <f>IF($B66="","",'UX Weekly'!B66)</f>
        <v/>
      </c>
      <c r="D66" s="147" t="str">
        <f>IF($B66="","",IF(TRIM('UX Weekly'!C66)="","(No theme assigned)",TRIM('UX Weekly'!C66)))</f>
        <v/>
      </c>
      <c r="E66" s="147" t="str">
        <f>IF($B66="","",TRIM('UX Weekly'!F66))</f>
        <v/>
      </c>
      <c r="F66" s="147" t="str">
        <f>IF($B66="","",'UX Weekly'!G66)</f>
        <v/>
      </c>
      <c r="G66" s="148" t="str">
        <f t="array" ref="G66">IF($B66="","",IF($S66=0,"",IFERROR(MIN(IF('UX Weekly'!$H66:$CT66&lt;&gt;"",'UX Weekly'!$H$1:$CT$1)),"")))</f>
        <v/>
      </c>
      <c r="H66" s="148" t="str">
        <f t="array" ref="H66">IF($B66="","",IF($S66=0,"",IFERROR(MAX(IF('UX Weekly'!$H66:$CT66&lt;&gt;"",'UX Weekly'!$H$1:$CT$1)),"")))</f>
        <v/>
      </c>
      <c r="I66" s="149" t="str">
        <f t="shared" ca="1" si="6"/>
        <v/>
      </c>
      <c r="J66" s="149" t="str">
        <f t="shared" ca="1" si="7"/>
        <v/>
      </c>
      <c r="K66" s="147" t="str">
        <f>IF($B66="","",IFERROR(MATCH($B66,'Dev Tracker'!$D$2:$D$196,0),IF($E66="","",IFERROR(MATCH($E66,'Dev Tracker'!$E$2:$E$196,0),""))))</f>
        <v/>
      </c>
      <c r="L66" s="147" t="str">
        <f>IF($B66="","",IFERROR(MATCH($D66,'Control (Don’t Touch)'!$E$4:$E$30,0),99))</f>
        <v/>
      </c>
      <c r="M66" s="147" t="str">
        <f>IF($B66="","",IFERROR(MATCH($F66,'Control (Don’t Touch)'!$B$4:$B$30,0),99))</f>
        <v/>
      </c>
      <c r="N66" s="147" t="str">
        <f t="shared" si="8"/>
        <v/>
      </c>
      <c r="O66" s="147" t="str">
        <f>IF($B66="","",COUNTIF($N$2:$N$204,"&lt;"&amp;$N66)+1)</f>
        <v/>
      </c>
      <c r="P66" s="149" t="str">
        <f ca="1">IF($K66="","",IFERROR(DATE(IFERROR(VALUE(RIGHT(TRIM(INDEX('Dev Tracker'!$I$2:$I$196,$K66)),4)),YEAR(TODAY())),MATCH(LEFT(TRIM(INDEX('Dev Tracker'!$I$2:$I$196,$K66)),3),$U$2:$U$12,0),1),""))</f>
        <v/>
      </c>
      <c r="Q66" s="149" t="str">
        <f ca="1">IF($K66="","",IFERROR(DATE(IFERROR(VALUE(RIGHT(TRIM(INDEX('Dev Tracker'!$J$2:$J$196,$K66)),4)),YEAR(TODAY())),MATCH(LEFT(TRIM(INDEX('Dev Tracker'!$J$2:$J$196,$K66)),3),$U$2:$U$12,0),1),""))</f>
        <v/>
      </c>
      <c r="R66" s="147"/>
      <c r="S66" s="147" t="str">
        <f>IF($B66="","",COUNTA('UX Weekly'!$H66:$CT66))</f>
        <v/>
      </c>
      <c r="W66">
        <f>IF($B66="",0,COUNTIFS('UX Weekly'!$H$1:$CT$1,"&gt;="&amp;W$1,'UX Weekly'!$H$1:$CT$1,"&lt;="&amp;EOMONTH(W$1,0),'UX Weekly'!$H66:$CT66,"&lt;&gt;"))</f>
        <v>0</v>
      </c>
      <c r="X66">
        <f>IF($B66="",0,COUNTIFS('UX Weekly'!$H$1:$CT$1,"&gt;="&amp;X$1,'UX Weekly'!$H$1:$CT$1,"&lt;="&amp;EOMONTH(X$1,0),'UX Weekly'!$H66:$CT66,"&lt;&gt;"))</f>
        <v>0</v>
      </c>
      <c r="Y66">
        <f>IF($B66="",0,COUNTIFS('UX Weekly'!$H$1:$CT$1,"&gt;="&amp;Y$1,'UX Weekly'!$H$1:$CT$1,"&lt;="&amp;EOMONTH(Y$1,0),'UX Weekly'!$H66:$CT66,"&lt;&gt;"))</f>
        <v>0</v>
      </c>
      <c r="Z66">
        <f>IF($B66="",0,COUNTIFS('UX Weekly'!$H$1:$CT$1,"&gt;="&amp;Z$1,'UX Weekly'!$H$1:$CT$1,"&lt;="&amp;EOMONTH(Z$1,0),'UX Weekly'!$H66:$CT66,"&lt;&gt;"))</f>
        <v>0</v>
      </c>
      <c r="AA66">
        <f>IF($B66="",0,COUNTIFS('UX Weekly'!$H$1:$CT$1,"&gt;="&amp;AA$1,'UX Weekly'!$H$1:$CT$1,"&lt;="&amp;EOMONTH(AA$1,0),'UX Weekly'!$H66:$CT66,"&lt;&gt;"))</f>
        <v>0</v>
      </c>
      <c r="AB66">
        <f>IF($B66="",0,COUNTIFS('UX Weekly'!$H$1:$CT$1,"&gt;="&amp;AB$1,'UX Weekly'!$H$1:$CT$1,"&lt;="&amp;EOMONTH(AB$1,0),'UX Weekly'!$H66:$CT66,"&lt;&gt;"))</f>
        <v>0</v>
      </c>
      <c r="AC66">
        <f>IF($B66="",0,COUNTIFS('UX Weekly'!$H$1:$CT$1,"&gt;="&amp;AC$1,'UX Weekly'!$H$1:$CT$1,"&lt;="&amp;EOMONTH(AC$1,0),'UX Weekly'!$H66:$CT66,"&lt;&gt;"))</f>
        <v>0</v>
      </c>
      <c r="AD66">
        <f>IF($B66="",0,COUNTIFS('UX Weekly'!$H$1:$CT$1,"&gt;="&amp;AD$1,'UX Weekly'!$H$1:$CT$1,"&lt;="&amp;EOMONTH(AD$1,0),'UX Weekly'!$H66:$CT66,"&lt;&gt;"))</f>
        <v>0</v>
      </c>
      <c r="AE66">
        <f>IF($B66="",0,COUNTIFS('UX Weekly'!$H$1:$CT$1,"&gt;="&amp;AE$1,'UX Weekly'!$H$1:$CT$1,"&lt;="&amp;EOMONTH(AE$1,0),'UX Weekly'!$H66:$CT66,"&lt;&gt;"))</f>
        <v>0</v>
      </c>
      <c r="AF66">
        <f>IF($B66="",0,COUNTIFS('UX Weekly'!$H$1:$CT$1,"&gt;="&amp;AF$1,'UX Weekly'!$H$1:$CT$1,"&lt;="&amp;EOMONTH(AF$1,0),'UX Weekly'!$H66:$CT66,"&lt;&gt;"))</f>
        <v>0</v>
      </c>
      <c r="AG66">
        <f>IF($B66="",0,COUNTIFS('UX Weekly'!$H$1:$CT$1,"&gt;="&amp;AG$1,'UX Weekly'!$H$1:$CT$1,"&lt;="&amp;EOMONTH(AG$1,0),'UX Weekly'!$H66:$CT66,"&lt;&gt;"))</f>
        <v>0</v>
      </c>
      <c r="AH66">
        <f>IF($B66="",0,COUNTIFS('UX Weekly'!$H$1:$CT$1,"&gt;="&amp;AH$1,'UX Weekly'!$H$1:$CT$1,"&lt;="&amp;EOMONTH(AH$1,0),'UX Weekly'!$H66:$CT66,"&lt;&gt;"))</f>
        <v>0</v>
      </c>
      <c r="AI66">
        <f>IF($B66="",0,COUNTIFS('UX Weekly'!$H$1:$CT$1,"&gt;="&amp;AI$1,'UX Weekly'!$H$1:$CT$1,"&lt;="&amp;EOMONTH(AI$1,0),'UX Weekly'!$H66:$CT66,"&lt;&gt;"))</f>
        <v>0</v>
      </c>
      <c r="AJ66">
        <f>IF($B66="",0,COUNTIFS('UX Weekly'!$H$1:$CT$1,"&gt;="&amp;AJ$1,'UX Weekly'!$H$1:$CT$1,"&lt;="&amp;EOMONTH(AJ$1,0),'UX Weekly'!$H66:$CT66,"&lt;&gt;"))</f>
        <v>0</v>
      </c>
      <c r="AK66">
        <f>IF($B66="",0,COUNTIFS('UX Weekly'!$H$1:$CT$1,"&gt;="&amp;AK$1,'UX Weekly'!$H$1:$CT$1,"&lt;="&amp;EOMONTH(AK$1,0),'UX Weekly'!$H66:$CT66,"&lt;&gt;"))</f>
        <v>0</v>
      </c>
      <c r="AL66">
        <f>IF($B66="",0,COUNTIFS('UX Weekly'!$H$1:$CT$1,"&gt;="&amp;AL$1,'UX Weekly'!$H$1:$CT$1,"&lt;="&amp;EOMONTH(AL$1,0),'UX Weekly'!$H66:$CT66,"&lt;&gt;"))</f>
        <v>0</v>
      </c>
      <c r="AM66">
        <f>IF($B66="",0,COUNTIFS('UX Weekly'!$H$1:$CT$1,"&gt;="&amp;AM$1,'UX Weekly'!$H$1:$CT$1,"&lt;="&amp;EOMONTH(AM$1,0),'UX Weekly'!$H66:$CT66,"&lt;&gt;"))</f>
        <v>0</v>
      </c>
      <c r="AN66">
        <f>IF($B66="",0,COUNTIFS('UX Weekly'!$H$1:$CT$1,"&gt;="&amp;AN$1,'UX Weekly'!$H$1:$CT$1,"&lt;="&amp;EOMONTH(AN$1,0),'UX Weekly'!$H66:$CT66,"&lt;&gt;"))</f>
        <v>0</v>
      </c>
      <c r="AO66">
        <f>IF($B66="",0,COUNTIFS('UX Weekly'!$H$1:$CT$1,"&gt;="&amp;AO$1,'UX Weekly'!$H$1:$CT$1,"&lt;="&amp;EOMONTH(AO$1,0),'UX Weekly'!$H66:$CT66,"&lt;&gt;"))</f>
        <v>0</v>
      </c>
      <c r="AP66">
        <f>IF($B66="",0,COUNTIFS('UX Weekly'!$H$1:$CT$1,"&gt;="&amp;AP$1,'UX Weekly'!$H$1:$CT$1,"&lt;="&amp;EOMONTH(AP$1,0),'UX Weekly'!$H66:$CT66,"&lt;&gt;"))</f>
        <v>0</v>
      </c>
      <c r="AQ66">
        <f>IF($B66="",0,COUNTIFS('UX Weekly'!$H$1:$CT$1,"&gt;="&amp;AQ$1,'UX Weekly'!$H$1:$CT$1,"&lt;="&amp;EOMONTH(AQ$1,0),'UX Weekly'!$H66:$CT66,"&lt;&gt;"))</f>
        <v>0</v>
      </c>
      <c r="AR66">
        <f>IF($B66="",0,COUNTIFS('UX Weekly'!$H$1:$CT$1,"&gt;="&amp;AR$1,'UX Weekly'!$H$1:$CT$1,"&lt;="&amp;EOMONTH(AR$1,0),'UX Weekly'!$H66:$CT66,"&lt;&gt;"))</f>
        <v>0</v>
      </c>
      <c r="AS66">
        <f>IF($B66="",0,COUNTIFS('UX Weekly'!$H$1:$CT$1,"&gt;="&amp;AS$1,'UX Weekly'!$H$1:$CT$1,"&lt;="&amp;EOMONTH(AS$1,0),'UX Weekly'!$H66:$CT66,"&lt;&gt;"))</f>
        <v>0</v>
      </c>
      <c r="AT66">
        <f>IF($B66="",0,COUNTIFS('UX Weekly'!$H$1:$CT$1,"&gt;="&amp;AT$1,'UX Weekly'!$H$1:$CT$1,"&lt;="&amp;EOMONTH(AT$1,0),'UX Weekly'!$H66:$CT66,"&lt;&gt;"))</f>
        <v>0</v>
      </c>
    </row>
    <row r="67" spans="1:46" x14ac:dyDescent="0.2">
      <c r="A67" s="147">
        <v>68</v>
      </c>
      <c r="B67" s="147" t="str">
        <f>IF(TRIM('UX Weekly'!E67)="","",TRIM('UX Weekly'!E67))</f>
        <v/>
      </c>
      <c r="C67" s="147" t="str">
        <f>IF($B67="","",'UX Weekly'!B67)</f>
        <v/>
      </c>
      <c r="D67" s="147" t="str">
        <f>IF($B67="","",IF(TRIM('UX Weekly'!C67)="","(No theme assigned)",TRIM('UX Weekly'!C67)))</f>
        <v/>
      </c>
      <c r="E67" s="147" t="str">
        <f>IF($B67="","",TRIM('UX Weekly'!F67))</f>
        <v/>
      </c>
      <c r="F67" s="147" t="str">
        <f>IF($B67="","",'UX Weekly'!G67)</f>
        <v/>
      </c>
      <c r="G67" s="148" t="str">
        <f t="array" ref="G67">IF($B67="","",IF($S67=0,"",IFERROR(MIN(IF('UX Weekly'!$H67:$CT67&lt;&gt;"",'UX Weekly'!$H$1:$CT$1)),"")))</f>
        <v/>
      </c>
      <c r="H67" s="148" t="str">
        <f t="array" ref="H67">IF($B67="","",IF($S67=0,"",IFERROR(MAX(IF('UX Weekly'!$H67:$CT67&lt;&gt;"",'UX Weekly'!$H$1:$CT$1)),"")))</f>
        <v/>
      </c>
      <c r="I67" s="149" t="str">
        <f t="shared" ca="1" si="6"/>
        <v/>
      </c>
      <c r="J67" s="149" t="str">
        <f t="shared" ca="1" si="7"/>
        <v/>
      </c>
      <c r="K67" s="147" t="str">
        <f>IF($B67="","",IFERROR(MATCH($B67,'Dev Tracker'!$D$2:$D$196,0),IF($E67="","",IFERROR(MATCH($E67,'Dev Tracker'!$E$2:$E$196,0),""))))</f>
        <v/>
      </c>
      <c r="L67" s="147" t="str">
        <f>IF($B67="","",IFERROR(MATCH($D67,'Control (Don’t Touch)'!$E$4:$E$30,0),99))</f>
        <v/>
      </c>
      <c r="M67" s="147" t="str">
        <f>IF($B67="","",IFERROR(MATCH($F67,'Control (Don’t Touch)'!$B$4:$B$30,0),99))</f>
        <v/>
      </c>
      <c r="N67" s="147" t="str">
        <f t="shared" si="8"/>
        <v/>
      </c>
      <c r="O67" s="147" t="str">
        <f>IF($B67="","",COUNTIF($N$2:$N$204,"&lt;"&amp;$N67)+1)</f>
        <v/>
      </c>
      <c r="P67" s="149" t="str">
        <f ca="1">IF($K67="","",IFERROR(DATE(IFERROR(VALUE(RIGHT(TRIM(INDEX('Dev Tracker'!$I$2:$I$196,$K67)),4)),YEAR(TODAY())),MATCH(LEFT(TRIM(INDEX('Dev Tracker'!$I$2:$I$196,$K67)),3),$U$2:$U$12,0),1),""))</f>
        <v/>
      </c>
      <c r="Q67" s="149" t="str">
        <f ca="1">IF($K67="","",IFERROR(DATE(IFERROR(VALUE(RIGHT(TRIM(INDEX('Dev Tracker'!$J$2:$J$196,$K67)),4)),YEAR(TODAY())),MATCH(LEFT(TRIM(INDEX('Dev Tracker'!$J$2:$J$196,$K67)),3),$U$2:$U$12,0),1),""))</f>
        <v/>
      </c>
      <c r="R67" s="147"/>
      <c r="S67" s="147" t="str">
        <f>IF($B67="","",COUNTA('UX Weekly'!$H67:$CT67))</f>
        <v/>
      </c>
      <c r="W67">
        <f>IF($B67="",0,COUNTIFS('UX Weekly'!$H$1:$CT$1,"&gt;="&amp;W$1,'UX Weekly'!$H$1:$CT$1,"&lt;="&amp;EOMONTH(W$1,0),'UX Weekly'!$H67:$CT67,"&lt;&gt;"))</f>
        <v>0</v>
      </c>
      <c r="X67">
        <f>IF($B67="",0,COUNTIFS('UX Weekly'!$H$1:$CT$1,"&gt;="&amp;X$1,'UX Weekly'!$H$1:$CT$1,"&lt;="&amp;EOMONTH(X$1,0),'UX Weekly'!$H67:$CT67,"&lt;&gt;"))</f>
        <v>0</v>
      </c>
      <c r="Y67">
        <f>IF($B67="",0,COUNTIFS('UX Weekly'!$H$1:$CT$1,"&gt;="&amp;Y$1,'UX Weekly'!$H$1:$CT$1,"&lt;="&amp;EOMONTH(Y$1,0),'UX Weekly'!$H67:$CT67,"&lt;&gt;"))</f>
        <v>0</v>
      </c>
      <c r="Z67">
        <f>IF($B67="",0,COUNTIFS('UX Weekly'!$H$1:$CT$1,"&gt;="&amp;Z$1,'UX Weekly'!$H$1:$CT$1,"&lt;="&amp;EOMONTH(Z$1,0),'UX Weekly'!$H67:$CT67,"&lt;&gt;"))</f>
        <v>0</v>
      </c>
      <c r="AA67">
        <f>IF($B67="",0,COUNTIFS('UX Weekly'!$H$1:$CT$1,"&gt;="&amp;AA$1,'UX Weekly'!$H$1:$CT$1,"&lt;="&amp;EOMONTH(AA$1,0),'UX Weekly'!$H67:$CT67,"&lt;&gt;"))</f>
        <v>0</v>
      </c>
      <c r="AB67">
        <f>IF($B67="",0,COUNTIFS('UX Weekly'!$H$1:$CT$1,"&gt;="&amp;AB$1,'UX Weekly'!$H$1:$CT$1,"&lt;="&amp;EOMONTH(AB$1,0),'UX Weekly'!$H67:$CT67,"&lt;&gt;"))</f>
        <v>0</v>
      </c>
      <c r="AC67">
        <f>IF($B67="",0,COUNTIFS('UX Weekly'!$H$1:$CT$1,"&gt;="&amp;AC$1,'UX Weekly'!$H$1:$CT$1,"&lt;="&amp;EOMONTH(AC$1,0),'UX Weekly'!$H67:$CT67,"&lt;&gt;"))</f>
        <v>0</v>
      </c>
      <c r="AD67">
        <f>IF($B67="",0,COUNTIFS('UX Weekly'!$H$1:$CT$1,"&gt;="&amp;AD$1,'UX Weekly'!$H$1:$CT$1,"&lt;="&amp;EOMONTH(AD$1,0),'UX Weekly'!$H67:$CT67,"&lt;&gt;"))</f>
        <v>0</v>
      </c>
      <c r="AE67">
        <f>IF($B67="",0,COUNTIFS('UX Weekly'!$H$1:$CT$1,"&gt;="&amp;AE$1,'UX Weekly'!$H$1:$CT$1,"&lt;="&amp;EOMONTH(AE$1,0),'UX Weekly'!$H67:$CT67,"&lt;&gt;"))</f>
        <v>0</v>
      </c>
      <c r="AF67">
        <f>IF($B67="",0,COUNTIFS('UX Weekly'!$H$1:$CT$1,"&gt;="&amp;AF$1,'UX Weekly'!$H$1:$CT$1,"&lt;="&amp;EOMONTH(AF$1,0),'UX Weekly'!$H67:$CT67,"&lt;&gt;"))</f>
        <v>0</v>
      </c>
      <c r="AG67">
        <f>IF($B67="",0,COUNTIFS('UX Weekly'!$H$1:$CT$1,"&gt;="&amp;AG$1,'UX Weekly'!$H$1:$CT$1,"&lt;="&amp;EOMONTH(AG$1,0),'UX Weekly'!$H67:$CT67,"&lt;&gt;"))</f>
        <v>0</v>
      </c>
      <c r="AH67">
        <f>IF($B67="",0,COUNTIFS('UX Weekly'!$H$1:$CT$1,"&gt;="&amp;AH$1,'UX Weekly'!$H$1:$CT$1,"&lt;="&amp;EOMONTH(AH$1,0),'UX Weekly'!$H67:$CT67,"&lt;&gt;"))</f>
        <v>0</v>
      </c>
      <c r="AI67">
        <f>IF($B67="",0,COUNTIFS('UX Weekly'!$H$1:$CT$1,"&gt;="&amp;AI$1,'UX Weekly'!$H$1:$CT$1,"&lt;="&amp;EOMONTH(AI$1,0),'UX Weekly'!$H67:$CT67,"&lt;&gt;"))</f>
        <v>0</v>
      </c>
      <c r="AJ67">
        <f>IF($B67="",0,COUNTIFS('UX Weekly'!$H$1:$CT$1,"&gt;="&amp;AJ$1,'UX Weekly'!$H$1:$CT$1,"&lt;="&amp;EOMONTH(AJ$1,0),'UX Weekly'!$H67:$CT67,"&lt;&gt;"))</f>
        <v>0</v>
      </c>
      <c r="AK67">
        <f>IF($B67="",0,COUNTIFS('UX Weekly'!$H$1:$CT$1,"&gt;="&amp;AK$1,'UX Weekly'!$H$1:$CT$1,"&lt;="&amp;EOMONTH(AK$1,0),'UX Weekly'!$H67:$CT67,"&lt;&gt;"))</f>
        <v>0</v>
      </c>
      <c r="AL67">
        <f>IF($B67="",0,COUNTIFS('UX Weekly'!$H$1:$CT$1,"&gt;="&amp;AL$1,'UX Weekly'!$H$1:$CT$1,"&lt;="&amp;EOMONTH(AL$1,0),'UX Weekly'!$H67:$CT67,"&lt;&gt;"))</f>
        <v>0</v>
      </c>
      <c r="AM67">
        <f>IF($B67="",0,COUNTIFS('UX Weekly'!$H$1:$CT$1,"&gt;="&amp;AM$1,'UX Weekly'!$H$1:$CT$1,"&lt;="&amp;EOMONTH(AM$1,0),'UX Weekly'!$H67:$CT67,"&lt;&gt;"))</f>
        <v>0</v>
      </c>
      <c r="AN67">
        <f>IF($B67="",0,COUNTIFS('UX Weekly'!$H$1:$CT$1,"&gt;="&amp;AN$1,'UX Weekly'!$H$1:$CT$1,"&lt;="&amp;EOMONTH(AN$1,0),'UX Weekly'!$H67:$CT67,"&lt;&gt;"))</f>
        <v>0</v>
      </c>
      <c r="AO67">
        <f>IF($B67="",0,COUNTIFS('UX Weekly'!$H$1:$CT$1,"&gt;="&amp;AO$1,'UX Weekly'!$H$1:$CT$1,"&lt;="&amp;EOMONTH(AO$1,0),'UX Weekly'!$H67:$CT67,"&lt;&gt;"))</f>
        <v>0</v>
      </c>
      <c r="AP67">
        <f>IF($B67="",0,COUNTIFS('UX Weekly'!$H$1:$CT$1,"&gt;="&amp;AP$1,'UX Weekly'!$H$1:$CT$1,"&lt;="&amp;EOMONTH(AP$1,0),'UX Weekly'!$H67:$CT67,"&lt;&gt;"))</f>
        <v>0</v>
      </c>
      <c r="AQ67">
        <f>IF($B67="",0,COUNTIFS('UX Weekly'!$H$1:$CT$1,"&gt;="&amp;AQ$1,'UX Weekly'!$H$1:$CT$1,"&lt;="&amp;EOMONTH(AQ$1,0),'UX Weekly'!$H67:$CT67,"&lt;&gt;"))</f>
        <v>0</v>
      </c>
      <c r="AR67">
        <f>IF($B67="",0,COUNTIFS('UX Weekly'!$H$1:$CT$1,"&gt;="&amp;AR$1,'UX Weekly'!$H$1:$CT$1,"&lt;="&amp;EOMONTH(AR$1,0),'UX Weekly'!$H67:$CT67,"&lt;&gt;"))</f>
        <v>0</v>
      </c>
      <c r="AS67">
        <f>IF($B67="",0,COUNTIFS('UX Weekly'!$H$1:$CT$1,"&gt;="&amp;AS$1,'UX Weekly'!$H$1:$CT$1,"&lt;="&amp;EOMONTH(AS$1,0),'UX Weekly'!$H67:$CT67,"&lt;&gt;"))</f>
        <v>0</v>
      </c>
      <c r="AT67">
        <f>IF($B67="",0,COUNTIFS('UX Weekly'!$H$1:$CT$1,"&gt;="&amp;AT$1,'UX Weekly'!$H$1:$CT$1,"&lt;="&amp;EOMONTH(AT$1,0),'UX Weekly'!$H67:$CT67,"&lt;&gt;"))</f>
        <v>0</v>
      </c>
    </row>
    <row r="68" spans="1:46" x14ac:dyDescent="0.2">
      <c r="A68" s="147">
        <v>69</v>
      </c>
      <c r="B68" s="147" t="str">
        <f>IF(TRIM('UX Weekly'!E68)="","",TRIM('UX Weekly'!E68))</f>
        <v/>
      </c>
      <c r="C68" s="147" t="str">
        <f>IF($B68="","",'UX Weekly'!B68)</f>
        <v/>
      </c>
      <c r="D68" s="147" t="str">
        <f>IF($B68="","",IF(TRIM('UX Weekly'!C68)="","(No theme assigned)",TRIM('UX Weekly'!C68)))</f>
        <v/>
      </c>
      <c r="E68" s="147" t="str">
        <f>IF($B68="","",TRIM('UX Weekly'!F68))</f>
        <v/>
      </c>
      <c r="F68" s="147" t="str">
        <f>IF($B68="","",'UX Weekly'!G68)</f>
        <v/>
      </c>
      <c r="G68" s="148" t="str">
        <f t="array" ref="G68">IF($B68="","",IF($S68=0,"",IFERROR(MIN(IF('UX Weekly'!$H68:$CT68&lt;&gt;"",'UX Weekly'!$H$1:$CT$1)),"")))</f>
        <v/>
      </c>
      <c r="H68" s="148" t="str">
        <f t="array" ref="H68">IF($B68="","",IF($S68=0,"",IFERROR(MAX(IF('UX Weekly'!$H68:$CT68&lt;&gt;"",'UX Weekly'!$H$1:$CT$1)),"")))</f>
        <v/>
      </c>
      <c r="I68" s="149" t="str">
        <f t="shared" ca="1" si="6"/>
        <v/>
      </c>
      <c r="J68" s="149" t="str">
        <f t="shared" ca="1" si="7"/>
        <v/>
      </c>
      <c r="K68" s="147" t="str">
        <f>IF($B68="","",IFERROR(MATCH($B68,'Dev Tracker'!$D$2:$D$196,0),IF($E68="","",IFERROR(MATCH($E68,'Dev Tracker'!$E$2:$E$196,0),""))))</f>
        <v/>
      </c>
      <c r="L68" s="147" t="str">
        <f>IF($B68="","",IFERROR(MATCH($D68,'Control (Don’t Touch)'!$E$4:$E$30,0),99))</f>
        <v/>
      </c>
      <c r="M68" s="147" t="str">
        <f>IF($B68="","",IFERROR(MATCH($F68,'Control (Don’t Touch)'!$B$4:$B$30,0),99))</f>
        <v/>
      </c>
      <c r="N68" s="147" t="str">
        <f t="shared" si="8"/>
        <v/>
      </c>
      <c r="O68" s="147" t="str">
        <f>IF($B68="","",COUNTIF($N$2:$N$204,"&lt;"&amp;$N68)+1)</f>
        <v/>
      </c>
      <c r="P68" s="149" t="str">
        <f ca="1">IF($K68="","",IFERROR(DATE(IFERROR(VALUE(RIGHT(TRIM(INDEX('Dev Tracker'!$I$2:$I$196,$K68)),4)),YEAR(TODAY())),MATCH(LEFT(TRIM(INDEX('Dev Tracker'!$I$2:$I$196,$K68)),3),$U$2:$U$12,0),1),""))</f>
        <v/>
      </c>
      <c r="Q68" s="149" t="str">
        <f ca="1">IF($K68="","",IFERROR(DATE(IFERROR(VALUE(RIGHT(TRIM(INDEX('Dev Tracker'!$J$2:$J$196,$K68)),4)),YEAR(TODAY())),MATCH(LEFT(TRIM(INDEX('Dev Tracker'!$J$2:$J$196,$K68)),3),$U$2:$U$12,0),1),""))</f>
        <v/>
      </c>
      <c r="R68" s="147"/>
      <c r="S68" s="147" t="str">
        <f>IF($B68="","",COUNTA('UX Weekly'!$H68:$CT68))</f>
        <v/>
      </c>
      <c r="W68">
        <f>IF($B68="",0,COUNTIFS('UX Weekly'!$H$1:$CT$1,"&gt;="&amp;W$1,'UX Weekly'!$H$1:$CT$1,"&lt;="&amp;EOMONTH(W$1,0),'UX Weekly'!$H68:$CT68,"&lt;&gt;"))</f>
        <v>0</v>
      </c>
      <c r="X68">
        <f>IF($B68="",0,COUNTIFS('UX Weekly'!$H$1:$CT$1,"&gt;="&amp;X$1,'UX Weekly'!$H$1:$CT$1,"&lt;="&amp;EOMONTH(X$1,0),'UX Weekly'!$H68:$CT68,"&lt;&gt;"))</f>
        <v>0</v>
      </c>
      <c r="Y68">
        <f>IF($B68="",0,COUNTIFS('UX Weekly'!$H$1:$CT$1,"&gt;="&amp;Y$1,'UX Weekly'!$H$1:$CT$1,"&lt;="&amp;EOMONTH(Y$1,0),'UX Weekly'!$H68:$CT68,"&lt;&gt;"))</f>
        <v>0</v>
      </c>
      <c r="Z68">
        <f>IF($B68="",0,COUNTIFS('UX Weekly'!$H$1:$CT$1,"&gt;="&amp;Z$1,'UX Weekly'!$H$1:$CT$1,"&lt;="&amp;EOMONTH(Z$1,0),'UX Weekly'!$H68:$CT68,"&lt;&gt;"))</f>
        <v>0</v>
      </c>
      <c r="AA68">
        <f>IF($B68="",0,COUNTIFS('UX Weekly'!$H$1:$CT$1,"&gt;="&amp;AA$1,'UX Weekly'!$H$1:$CT$1,"&lt;="&amp;EOMONTH(AA$1,0),'UX Weekly'!$H68:$CT68,"&lt;&gt;"))</f>
        <v>0</v>
      </c>
      <c r="AB68">
        <f>IF($B68="",0,COUNTIFS('UX Weekly'!$H$1:$CT$1,"&gt;="&amp;AB$1,'UX Weekly'!$H$1:$CT$1,"&lt;="&amp;EOMONTH(AB$1,0),'UX Weekly'!$H68:$CT68,"&lt;&gt;"))</f>
        <v>0</v>
      </c>
      <c r="AC68">
        <f>IF($B68="",0,COUNTIFS('UX Weekly'!$H$1:$CT$1,"&gt;="&amp;AC$1,'UX Weekly'!$H$1:$CT$1,"&lt;="&amp;EOMONTH(AC$1,0),'UX Weekly'!$H68:$CT68,"&lt;&gt;"))</f>
        <v>0</v>
      </c>
      <c r="AD68">
        <f>IF($B68="",0,COUNTIFS('UX Weekly'!$H$1:$CT$1,"&gt;="&amp;AD$1,'UX Weekly'!$H$1:$CT$1,"&lt;="&amp;EOMONTH(AD$1,0),'UX Weekly'!$H68:$CT68,"&lt;&gt;"))</f>
        <v>0</v>
      </c>
      <c r="AE68">
        <f>IF($B68="",0,COUNTIFS('UX Weekly'!$H$1:$CT$1,"&gt;="&amp;AE$1,'UX Weekly'!$H$1:$CT$1,"&lt;="&amp;EOMONTH(AE$1,0),'UX Weekly'!$H68:$CT68,"&lt;&gt;"))</f>
        <v>0</v>
      </c>
      <c r="AF68">
        <f>IF($B68="",0,COUNTIFS('UX Weekly'!$H$1:$CT$1,"&gt;="&amp;AF$1,'UX Weekly'!$H$1:$CT$1,"&lt;="&amp;EOMONTH(AF$1,0),'UX Weekly'!$H68:$CT68,"&lt;&gt;"))</f>
        <v>0</v>
      </c>
      <c r="AG68">
        <f>IF($B68="",0,COUNTIFS('UX Weekly'!$H$1:$CT$1,"&gt;="&amp;AG$1,'UX Weekly'!$H$1:$CT$1,"&lt;="&amp;EOMONTH(AG$1,0),'UX Weekly'!$H68:$CT68,"&lt;&gt;"))</f>
        <v>0</v>
      </c>
      <c r="AH68">
        <f>IF($B68="",0,COUNTIFS('UX Weekly'!$H$1:$CT$1,"&gt;="&amp;AH$1,'UX Weekly'!$H$1:$CT$1,"&lt;="&amp;EOMONTH(AH$1,0),'UX Weekly'!$H68:$CT68,"&lt;&gt;"))</f>
        <v>0</v>
      </c>
      <c r="AI68">
        <f>IF($B68="",0,COUNTIFS('UX Weekly'!$H$1:$CT$1,"&gt;="&amp;AI$1,'UX Weekly'!$H$1:$CT$1,"&lt;="&amp;EOMONTH(AI$1,0),'UX Weekly'!$H68:$CT68,"&lt;&gt;"))</f>
        <v>0</v>
      </c>
      <c r="AJ68">
        <f>IF($B68="",0,COUNTIFS('UX Weekly'!$H$1:$CT$1,"&gt;="&amp;AJ$1,'UX Weekly'!$H$1:$CT$1,"&lt;="&amp;EOMONTH(AJ$1,0),'UX Weekly'!$H68:$CT68,"&lt;&gt;"))</f>
        <v>0</v>
      </c>
      <c r="AK68">
        <f>IF($B68="",0,COUNTIFS('UX Weekly'!$H$1:$CT$1,"&gt;="&amp;AK$1,'UX Weekly'!$H$1:$CT$1,"&lt;="&amp;EOMONTH(AK$1,0),'UX Weekly'!$H68:$CT68,"&lt;&gt;"))</f>
        <v>0</v>
      </c>
      <c r="AL68">
        <f>IF($B68="",0,COUNTIFS('UX Weekly'!$H$1:$CT$1,"&gt;="&amp;AL$1,'UX Weekly'!$H$1:$CT$1,"&lt;="&amp;EOMONTH(AL$1,0),'UX Weekly'!$H68:$CT68,"&lt;&gt;"))</f>
        <v>0</v>
      </c>
      <c r="AM68">
        <f>IF($B68="",0,COUNTIFS('UX Weekly'!$H$1:$CT$1,"&gt;="&amp;AM$1,'UX Weekly'!$H$1:$CT$1,"&lt;="&amp;EOMONTH(AM$1,0),'UX Weekly'!$H68:$CT68,"&lt;&gt;"))</f>
        <v>0</v>
      </c>
      <c r="AN68">
        <f>IF($B68="",0,COUNTIFS('UX Weekly'!$H$1:$CT$1,"&gt;="&amp;AN$1,'UX Weekly'!$H$1:$CT$1,"&lt;="&amp;EOMONTH(AN$1,0),'UX Weekly'!$H68:$CT68,"&lt;&gt;"))</f>
        <v>0</v>
      </c>
      <c r="AO68">
        <f>IF($B68="",0,COUNTIFS('UX Weekly'!$H$1:$CT$1,"&gt;="&amp;AO$1,'UX Weekly'!$H$1:$CT$1,"&lt;="&amp;EOMONTH(AO$1,0),'UX Weekly'!$H68:$CT68,"&lt;&gt;"))</f>
        <v>0</v>
      </c>
      <c r="AP68">
        <f>IF($B68="",0,COUNTIFS('UX Weekly'!$H$1:$CT$1,"&gt;="&amp;AP$1,'UX Weekly'!$H$1:$CT$1,"&lt;="&amp;EOMONTH(AP$1,0),'UX Weekly'!$H68:$CT68,"&lt;&gt;"))</f>
        <v>0</v>
      </c>
      <c r="AQ68">
        <f>IF($B68="",0,COUNTIFS('UX Weekly'!$H$1:$CT$1,"&gt;="&amp;AQ$1,'UX Weekly'!$H$1:$CT$1,"&lt;="&amp;EOMONTH(AQ$1,0),'UX Weekly'!$H68:$CT68,"&lt;&gt;"))</f>
        <v>0</v>
      </c>
      <c r="AR68">
        <f>IF($B68="",0,COUNTIFS('UX Weekly'!$H$1:$CT$1,"&gt;="&amp;AR$1,'UX Weekly'!$H$1:$CT$1,"&lt;="&amp;EOMONTH(AR$1,0),'UX Weekly'!$H68:$CT68,"&lt;&gt;"))</f>
        <v>0</v>
      </c>
      <c r="AS68">
        <f>IF($B68="",0,COUNTIFS('UX Weekly'!$H$1:$CT$1,"&gt;="&amp;AS$1,'UX Weekly'!$H$1:$CT$1,"&lt;="&amp;EOMONTH(AS$1,0),'UX Weekly'!$H68:$CT68,"&lt;&gt;"))</f>
        <v>0</v>
      </c>
      <c r="AT68">
        <f>IF($B68="",0,COUNTIFS('UX Weekly'!$H$1:$CT$1,"&gt;="&amp;AT$1,'UX Weekly'!$H$1:$CT$1,"&lt;="&amp;EOMONTH(AT$1,0),'UX Weekly'!$H68:$CT68,"&lt;&gt;"))</f>
        <v>0</v>
      </c>
    </row>
    <row r="69" spans="1:46" x14ac:dyDescent="0.2">
      <c r="A69" s="147">
        <v>70</v>
      </c>
      <c r="B69" s="147" t="str">
        <f>IF(TRIM('UX Weekly'!E69)="","",TRIM('UX Weekly'!E69))</f>
        <v/>
      </c>
      <c r="C69" s="147" t="str">
        <f>IF($B69="","",'UX Weekly'!B69)</f>
        <v/>
      </c>
      <c r="D69" s="147" t="str">
        <f>IF($B69="","",IF(TRIM('UX Weekly'!C69)="","(No theme assigned)",TRIM('UX Weekly'!C69)))</f>
        <v/>
      </c>
      <c r="E69" s="147" t="str">
        <f>IF($B69="","",TRIM('UX Weekly'!F69))</f>
        <v/>
      </c>
      <c r="F69" s="147" t="str">
        <f>IF($B69="","",'UX Weekly'!G69)</f>
        <v/>
      </c>
      <c r="G69" s="148" t="str">
        <f t="array" ref="G69">IF($B69="","",IF($S69=0,"",IFERROR(MIN(IF('UX Weekly'!$H69:$CT69&lt;&gt;"",'UX Weekly'!$H$1:$CT$1)),"")))</f>
        <v/>
      </c>
      <c r="H69" s="148" t="str">
        <f t="array" ref="H69">IF($B69="","",IF($S69=0,"",IFERROR(MAX(IF('UX Weekly'!$H69:$CT69&lt;&gt;"",'UX Weekly'!$H$1:$CT$1)),"")))</f>
        <v/>
      </c>
      <c r="I69" s="149" t="str">
        <f t="shared" ca="1" si="6"/>
        <v/>
      </c>
      <c r="J69" s="149" t="str">
        <f t="shared" ca="1" si="7"/>
        <v/>
      </c>
      <c r="K69" s="147" t="str">
        <f>IF($B69="","",IFERROR(MATCH($B69,'Dev Tracker'!$D$2:$D$196,0),IF($E69="","",IFERROR(MATCH($E69,'Dev Tracker'!$E$2:$E$196,0),""))))</f>
        <v/>
      </c>
      <c r="L69" s="147" t="str">
        <f>IF($B69="","",IFERROR(MATCH($D69,'Control (Don’t Touch)'!$E$4:$E$30,0),99))</f>
        <v/>
      </c>
      <c r="M69" s="147" t="str">
        <f>IF($B69="","",IFERROR(MATCH($F69,'Control (Don’t Touch)'!$B$4:$B$30,0),99))</f>
        <v/>
      </c>
      <c r="N69" s="147" t="str">
        <f t="shared" si="8"/>
        <v/>
      </c>
      <c r="O69" s="147" t="str">
        <f>IF($B69="","",COUNTIF($N$2:$N$204,"&lt;"&amp;$N69)+1)</f>
        <v/>
      </c>
      <c r="P69" s="149" t="str">
        <f ca="1">IF($K69="","",IFERROR(DATE(IFERROR(VALUE(RIGHT(TRIM(INDEX('Dev Tracker'!$I$2:$I$196,$K69)),4)),YEAR(TODAY())),MATCH(LEFT(TRIM(INDEX('Dev Tracker'!$I$2:$I$196,$K69)),3),$U$2:$U$12,0),1),""))</f>
        <v/>
      </c>
      <c r="Q69" s="149" t="str">
        <f ca="1">IF($K69="","",IFERROR(DATE(IFERROR(VALUE(RIGHT(TRIM(INDEX('Dev Tracker'!$J$2:$J$196,$K69)),4)),YEAR(TODAY())),MATCH(LEFT(TRIM(INDEX('Dev Tracker'!$J$2:$J$196,$K69)),3),$U$2:$U$12,0),1),""))</f>
        <v/>
      </c>
      <c r="R69" s="147"/>
      <c r="S69" s="147" t="str">
        <f>IF($B69="","",COUNTA('UX Weekly'!$H69:$CT69))</f>
        <v/>
      </c>
      <c r="W69">
        <f>IF($B69="",0,COUNTIFS('UX Weekly'!$H$1:$CT$1,"&gt;="&amp;W$1,'UX Weekly'!$H$1:$CT$1,"&lt;="&amp;EOMONTH(W$1,0),'UX Weekly'!$H69:$CT69,"&lt;&gt;"))</f>
        <v>0</v>
      </c>
      <c r="X69">
        <f>IF($B69="",0,COUNTIFS('UX Weekly'!$H$1:$CT$1,"&gt;="&amp;X$1,'UX Weekly'!$H$1:$CT$1,"&lt;="&amp;EOMONTH(X$1,0),'UX Weekly'!$H69:$CT69,"&lt;&gt;"))</f>
        <v>0</v>
      </c>
      <c r="Y69">
        <f>IF($B69="",0,COUNTIFS('UX Weekly'!$H$1:$CT$1,"&gt;="&amp;Y$1,'UX Weekly'!$H$1:$CT$1,"&lt;="&amp;EOMONTH(Y$1,0),'UX Weekly'!$H69:$CT69,"&lt;&gt;"))</f>
        <v>0</v>
      </c>
      <c r="Z69">
        <f>IF($B69="",0,COUNTIFS('UX Weekly'!$H$1:$CT$1,"&gt;="&amp;Z$1,'UX Weekly'!$H$1:$CT$1,"&lt;="&amp;EOMONTH(Z$1,0),'UX Weekly'!$H69:$CT69,"&lt;&gt;"))</f>
        <v>0</v>
      </c>
      <c r="AA69">
        <f>IF($B69="",0,COUNTIFS('UX Weekly'!$H$1:$CT$1,"&gt;="&amp;AA$1,'UX Weekly'!$H$1:$CT$1,"&lt;="&amp;EOMONTH(AA$1,0),'UX Weekly'!$H69:$CT69,"&lt;&gt;"))</f>
        <v>0</v>
      </c>
      <c r="AB69">
        <f>IF($B69="",0,COUNTIFS('UX Weekly'!$H$1:$CT$1,"&gt;="&amp;AB$1,'UX Weekly'!$H$1:$CT$1,"&lt;="&amp;EOMONTH(AB$1,0),'UX Weekly'!$H69:$CT69,"&lt;&gt;"))</f>
        <v>0</v>
      </c>
      <c r="AC69">
        <f>IF($B69="",0,COUNTIFS('UX Weekly'!$H$1:$CT$1,"&gt;="&amp;AC$1,'UX Weekly'!$H$1:$CT$1,"&lt;="&amp;EOMONTH(AC$1,0),'UX Weekly'!$H69:$CT69,"&lt;&gt;"))</f>
        <v>0</v>
      </c>
      <c r="AD69">
        <f>IF($B69="",0,COUNTIFS('UX Weekly'!$H$1:$CT$1,"&gt;="&amp;AD$1,'UX Weekly'!$H$1:$CT$1,"&lt;="&amp;EOMONTH(AD$1,0),'UX Weekly'!$H69:$CT69,"&lt;&gt;"))</f>
        <v>0</v>
      </c>
      <c r="AE69">
        <f>IF($B69="",0,COUNTIFS('UX Weekly'!$H$1:$CT$1,"&gt;="&amp;AE$1,'UX Weekly'!$H$1:$CT$1,"&lt;="&amp;EOMONTH(AE$1,0),'UX Weekly'!$H69:$CT69,"&lt;&gt;"))</f>
        <v>0</v>
      </c>
      <c r="AF69">
        <f>IF($B69="",0,COUNTIFS('UX Weekly'!$H$1:$CT$1,"&gt;="&amp;AF$1,'UX Weekly'!$H$1:$CT$1,"&lt;="&amp;EOMONTH(AF$1,0),'UX Weekly'!$H69:$CT69,"&lt;&gt;"))</f>
        <v>0</v>
      </c>
      <c r="AG69">
        <f>IF($B69="",0,COUNTIFS('UX Weekly'!$H$1:$CT$1,"&gt;="&amp;AG$1,'UX Weekly'!$H$1:$CT$1,"&lt;="&amp;EOMONTH(AG$1,0),'UX Weekly'!$H69:$CT69,"&lt;&gt;"))</f>
        <v>0</v>
      </c>
      <c r="AH69">
        <f>IF($B69="",0,COUNTIFS('UX Weekly'!$H$1:$CT$1,"&gt;="&amp;AH$1,'UX Weekly'!$H$1:$CT$1,"&lt;="&amp;EOMONTH(AH$1,0),'UX Weekly'!$H69:$CT69,"&lt;&gt;"))</f>
        <v>0</v>
      </c>
      <c r="AI69">
        <f>IF($B69="",0,COUNTIFS('UX Weekly'!$H$1:$CT$1,"&gt;="&amp;AI$1,'UX Weekly'!$H$1:$CT$1,"&lt;="&amp;EOMONTH(AI$1,0),'UX Weekly'!$H69:$CT69,"&lt;&gt;"))</f>
        <v>0</v>
      </c>
      <c r="AJ69">
        <f>IF($B69="",0,COUNTIFS('UX Weekly'!$H$1:$CT$1,"&gt;="&amp;AJ$1,'UX Weekly'!$H$1:$CT$1,"&lt;="&amp;EOMONTH(AJ$1,0),'UX Weekly'!$H69:$CT69,"&lt;&gt;"))</f>
        <v>0</v>
      </c>
      <c r="AK69">
        <f>IF($B69="",0,COUNTIFS('UX Weekly'!$H$1:$CT$1,"&gt;="&amp;AK$1,'UX Weekly'!$H$1:$CT$1,"&lt;="&amp;EOMONTH(AK$1,0),'UX Weekly'!$H69:$CT69,"&lt;&gt;"))</f>
        <v>0</v>
      </c>
      <c r="AL69">
        <f>IF($B69="",0,COUNTIFS('UX Weekly'!$H$1:$CT$1,"&gt;="&amp;AL$1,'UX Weekly'!$H$1:$CT$1,"&lt;="&amp;EOMONTH(AL$1,0),'UX Weekly'!$H69:$CT69,"&lt;&gt;"))</f>
        <v>0</v>
      </c>
      <c r="AM69">
        <f>IF($B69="",0,COUNTIFS('UX Weekly'!$H$1:$CT$1,"&gt;="&amp;AM$1,'UX Weekly'!$H$1:$CT$1,"&lt;="&amp;EOMONTH(AM$1,0),'UX Weekly'!$H69:$CT69,"&lt;&gt;"))</f>
        <v>0</v>
      </c>
      <c r="AN69">
        <f>IF($B69="",0,COUNTIFS('UX Weekly'!$H$1:$CT$1,"&gt;="&amp;AN$1,'UX Weekly'!$H$1:$CT$1,"&lt;="&amp;EOMONTH(AN$1,0),'UX Weekly'!$H69:$CT69,"&lt;&gt;"))</f>
        <v>0</v>
      </c>
      <c r="AO69">
        <f>IF($B69="",0,COUNTIFS('UX Weekly'!$H$1:$CT$1,"&gt;="&amp;AO$1,'UX Weekly'!$H$1:$CT$1,"&lt;="&amp;EOMONTH(AO$1,0),'UX Weekly'!$H69:$CT69,"&lt;&gt;"))</f>
        <v>0</v>
      </c>
      <c r="AP69">
        <f>IF($B69="",0,COUNTIFS('UX Weekly'!$H$1:$CT$1,"&gt;="&amp;AP$1,'UX Weekly'!$H$1:$CT$1,"&lt;="&amp;EOMONTH(AP$1,0),'UX Weekly'!$H69:$CT69,"&lt;&gt;"))</f>
        <v>0</v>
      </c>
      <c r="AQ69">
        <f>IF($B69="",0,COUNTIFS('UX Weekly'!$H$1:$CT$1,"&gt;="&amp;AQ$1,'UX Weekly'!$H$1:$CT$1,"&lt;="&amp;EOMONTH(AQ$1,0),'UX Weekly'!$H69:$CT69,"&lt;&gt;"))</f>
        <v>0</v>
      </c>
      <c r="AR69">
        <f>IF($B69="",0,COUNTIFS('UX Weekly'!$H$1:$CT$1,"&gt;="&amp;AR$1,'UX Weekly'!$H$1:$CT$1,"&lt;="&amp;EOMONTH(AR$1,0),'UX Weekly'!$H69:$CT69,"&lt;&gt;"))</f>
        <v>0</v>
      </c>
      <c r="AS69">
        <f>IF($B69="",0,COUNTIFS('UX Weekly'!$H$1:$CT$1,"&gt;="&amp;AS$1,'UX Weekly'!$H$1:$CT$1,"&lt;="&amp;EOMONTH(AS$1,0),'UX Weekly'!$H69:$CT69,"&lt;&gt;"))</f>
        <v>0</v>
      </c>
      <c r="AT69">
        <f>IF($B69="",0,COUNTIFS('UX Weekly'!$H$1:$CT$1,"&gt;="&amp;AT$1,'UX Weekly'!$H$1:$CT$1,"&lt;="&amp;EOMONTH(AT$1,0),'UX Weekly'!$H69:$CT69,"&lt;&gt;"))</f>
        <v>0</v>
      </c>
    </row>
    <row r="70" spans="1:46" x14ac:dyDescent="0.2">
      <c r="A70" s="147">
        <v>71</v>
      </c>
      <c r="B70" s="147" t="str">
        <f>IF(TRIM('UX Weekly'!E70)="","",TRIM('UX Weekly'!E70))</f>
        <v/>
      </c>
      <c r="C70" s="147" t="str">
        <f>IF($B70="","",'UX Weekly'!B70)</f>
        <v/>
      </c>
      <c r="D70" s="147" t="str">
        <f>IF($B70="","",IF(TRIM('UX Weekly'!C70)="","(No theme assigned)",TRIM('UX Weekly'!C70)))</f>
        <v/>
      </c>
      <c r="E70" s="147" t="str">
        <f>IF($B70="","",TRIM('UX Weekly'!F70))</f>
        <v/>
      </c>
      <c r="F70" s="147" t="str">
        <f>IF($B70="","",'UX Weekly'!G70)</f>
        <v/>
      </c>
      <c r="G70" s="148" t="str">
        <f t="array" ref="G70">IF($B70="","",IF($S70=0,"",IFERROR(MIN(IF('UX Weekly'!$H70:$CT70&lt;&gt;"",'UX Weekly'!$H$1:$CT$1)),"")))</f>
        <v/>
      </c>
      <c r="H70" s="148" t="str">
        <f t="array" ref="H70">IF($B70="","",IF($S70=0,"",IFERROR(MAX(IF('UX Weekly'!$H70:$CT70&lt;&gt;"",'UX Weekly'!$H$1:$CT$1)),"")))</f>
        <v/>
      </c>
      <c r="I70" s="149" t="str">
        <f t="shared" ca="1" si="6"/>
        <v/>
      </c>
      <c r="J70" s="149" t="str">
        <f t="shared" ca="1" si="7"/>
        <v/>
      </c>
      <c r="K70" s="147" t="str">
        <f>IF($B70="","",IFERROR(MATCH($B70,'Dev Tracker'!$D$2:$D$196,0),IF($E70="","",IFERROR(MATCH($E70,'Dev Tracker'!$E$2:$E$196,0),""))))</f>
        <v/>
      </c>
      <c r="L70" s="147" t="str">
        <f>IF($B70="","",IFERROR(MATCH($D70,'Control (Don’t Touch)'!$E$4:$E$30,0),99))</f>
        <v/>
      </c>
      <c r="M70" s="147" t="str">
        <f>IF($B70="","",IFERROR(MATCH($F70,'Control (Don’t Touch)'!$B$4:$B$30,0),99))</f>
        <v/>
      </c>
      <c r="N70" s="147" t="str">
        <f t="shared" si="8"/>
        <v/>
      </c>
      <c r="O70" s="147" t="str">
        <f>IF($B70="","",COUNTIF($N$2:$N$204,"&lt;"&amp;$N70)+1)</f>
        <v/>
      </c>
      <c r="P70" s="149" t="str">
        <f ca="1">IF($K70="","",IFERROR(DATE(IFERROR(VALUE(RIGHT(TRIM(INDEX('Dev Tracker'!$I$2:$I$196,$K70)),4)),YEAR(TODAY())),MATCH(LEFT(TRIM(INDEX('Dev Tracker'!$I$2:$I$196,$K70)),3),$U$2:$U$12,0),1),""))</f>
        <v/>
      </c>
      <c r="Q70" s="149" t="str">
        <f ca="1">IF($K70="","",IFERROR(DATE(IFERROR(VALUE(RIGHT(TRIM(INDEX('Dev Tracker'!$J$2:$J$196,$K70)),4)),YEAR(TODAY())),MATCH(LEFT(TRIM(INDEX('Dev Tracker'!$J$2:$J$196,$K70)),3),$U$2:$U$12,0),1),""))</f>
        <v/>
      </c>
      <c r="R70" s="147"/>
      <c r="S70" s="147" t="str">
        <f>IF($B70="","",COUNTA('UX Weekly'!$H70:$CT70))</f>
        <v/>
      </c>
      <c r="W70">
        <f>IF($B70="",0,COUNTIFS('UX Weekly'!$H$1:$CT$1,"&gt;="&amp;W$1,'UX Weekly'!$H$1:$CT$1,"&lt;="&amp;EOMONTH(W$1,0),'UX Weekly'!$H70:$CT70,"&lt;&gt;"))</f>
        <v>0</v>
      </c>
      <c r="X70">
        <f>IF($B70="",0,COUNTIFS('UX Weekly'!$H$1:$CT$1,"&gt;="&amp;X$1,'UX Weekly'!$H$1:$CT$1,"&lt;="&amp;EOMONTH(X$1,0),'UX Weekly'!$H70:$CT70,"&lt;&gt;"))</f>
        <v>0</v>
      </c>
      <c r="Y70">
        <f>IF($B70="",0,COUNTIFS('UX Weekly'!$H$1:$CT$1,"&gt;="&amp;Y$1,'UX Weekly'!$H$1:$CT$1,"&lt;="&amp;EOMONTH(Y$1,0),'UX Weekly'!$H70:$CT70,"&lt;&gt;"))</f>
        <v>0</v>
      </c>
      <c r="Z70">
        <f>IF($B70="",0,COUNTIFS('UX Weekly'!$H$1:$CT$1,"&gt;="&amp;Z$1,'UX Weekly'!$H$1:$CT$1,"&lt;="&amp;EOMONTH(Z$1,0),'UX Weekly'!$H70:$CT70,"&lt;&gt;"))</f>
        <v>0</v>
      </c>
      <c r="AA70">
        <f>IF($B70="",0,COUNTIFS('UX Weekly'!$H$1:$CT$1,"&gt;="&amp;AA$1,'UX Weekly'!$H$1:$CT$1,"&lt;="&amp;EOMONTH(AA$1,0),'UX Weekly'!$H70:$CT70,"&lt;&gt;"))</f>
        <v>0</v>
      </c>
      <c r="AB70">
        <f>IF($B70="",0,COUNTIFS('UX Weekly'!$H$1:$CT$1,"&gt;="&amp;AB$1,'UX Weekly'!$H$1:$CT$1,"&lt;="&amp;EOMONTH(AB$1,0),'UX Weekly'!$H70:$CT70,"&lt;&gt;"))</f>
        <v>0</v>
      </c>
      <c r="AC70">
        <f>IF($B70="",0,COUNTIFS('UX Weekly'!$H$1:$CT$1,"&gt;="&amp;AC$1,'UX Weekly'!$H$1:$CT$1,"&lt;="&amp;EOMONTH(AC$1,0),'UX Weekly'!$H70:$CT70,"&lt;&gt;"))</f>
        <v>0</v>
      </c>
      <c r="AD70">
        <f>IF($B70="",0,COUNTIFS('UX Weekly'!$H$1:$CT$1,"&gt;="&amp;AD$1,'UX Weekly'!$H$1:$CT$1,"&lt;="&amp;EOMONTH(AD$1,0),'UX Weekly'!$H70:$CT70,"&lt;&gt;"))</f>
        <v>0</v>
      </c>
      <c r="AE70">
        <f>IF($B70="",0,COUNTIFS('UX Weekly'!$H$1:$CT$1,"&gt;="&amp;AE$1,'UX Weekly'!$H$1:$CT$1,"&lt;="&amp;EOMONTH(AE$1,0),'UX Weekly'!$H70:$CT70,"&lt;&gt;"))</f>
        <v>0</v>
      </c>
      <c r="AF70">
        <f>IF($B70="",0,COUNTIFS('UX Weekly'!$H$1:$CT$1,"&gt;="&amp;AF$1,'UX Weekly'!$H$1:$CT$1,"&lt;="&amp;EOMONTH(AF$1,0),'UX Weekly'!$H70:$CT70,"&lt;&gt;"))</f>
        <v>0</v>
      </c>
      <c r="AG70">
        <f>IF($B70="",0,COUNTIFS('UX Weekly'!$H$1:$CT$1,"&gt;="&amp;AG$1,'UX Weekly'!$H$1:$CT$1,"&lt;="&amp;EOMONTH(AG$1,0),'UX Weekly'!$H70:$CT70,"&lt;&gt;"))</f>
        <v>0</v>
      </c>
      <c r="AH70">
        <f>IF($B70="",0,COUNTIFS('UX Weekly'!$H$1:$CT$1,"&gt;="&amp;AH$1,'UX Weekly'!$H$1:$CT$1,"&lt;="&amp;EOMONTH(AH$1,0),'UX Weekly'!$H70:$CT70,"&lt;&gt;"))</f>
        <v>0</v>
      </c>
      <c r="AI70">
        <f>IF($B70="",0,COUNTIFS('UX Weekly'!$H$1:$CT$1,"&gt;="&amp;AI$1,'UX Weekly'!$H$1:$CT$1,"&lt;="&amp;EOMONTH(AI$1,0),'UX Weekly'!$H70:$CT70,"&lt;&gt;"))</f>
        <v>0</v>
      </c>
      <c r="AJ70">
        <f>IF($B70="",0,COUNTIFS('UX Weekly'!$H$1:$CT$1,"&gt;="&amp;AJ$1,'UX Weekly'!$H$1:$CT$1,"&lt;="&amp;EOMONTH(AJ$1,0),'UX Weekly'!$H70:$CT70,"&lt;&gt;"))</f>
        <v>0</v>
      </c>
      <c r="AK70">
        <f>IF($B70="",0,COUNTIFS('UX Weekly'!$H$1:$CT$1,"&gt;="&amp;AK$1,'UX Weekly'!$H$1:$CT$1,"&lt;="&amp;EOMONTH(AK$1,0),'UX Weekly'!$H70:$CT70,"&lt;&gt;"))</f>
        <v>0</v>
      </c>
      <c r="AL70">
        <f>IF($B70="",0,COUNTIFS('UX Weekly'!$H$1:$CT$1,"&gt;="&amp;AL$1,'UX Weekly'!$H$1:$CT$1,"&lt;="&amp;EOMONTH(AL$1,0),'UX Weekly'!$H70:$CT70,"&lt;&gt;"))</f>
        <v>0</v>
      </c>
      <c r="AM70">
        <f>IF($B70="",0,COUNTIFS('UX Weekly'!$H$1:$CT$1,"&gt;="&amp;AM$1,'UX Weekly'!$H$1:$CT$1,"&lt;="&amp;EOMONTH(AM$1,0),'UX Weekly'!$H70:$CT70,"&lt;&gt;"))</f>
        <v>0</v>
      </c>
      <c r="AN70">
        <f>IF($B70="",0,COUNTIFS('UX Weekly'!$H$1:$CT$1,"&gt;="&amp;AN$1,'UX Weekly'!$H$1:$CT$1,"&lt;="&amp;EOMONTH(AN$1,0),'UX Weekly'!$H70:$CT70,"&lt;&gt;"))</f>
        <v>0</v>
      </c>
      <c r="AO70">
        <f>IF($B70="",0,COUNTIFS('UX Weekly'!$H$1:$CT$1,"&gt;="&amp;AO$1,'UX Weekly'!$H$1:$CT$1,"&lt;="&amp;EOMONTH(AO$1,0),'UX Weekly'!$H70:$CT70,"&lt;&gt;"))</f>
        <v>0</v>
      </c>
      <c r="AP70">
        <f>IF($B70="",0,COUNTIFS('UX Weekly'!$H$1:$CT$1,"&gt;="&amp;AP$1,'UX Weekly'!$H$1:$CT$1,"&lt;="&amp;EOMONTH(AP$1,0),'UX Weekly'!$H70:$CT70,"&lt;&gt;"))</f>
        <v>0</v>
      </c>
      <c r="AQ70">
        <f>IF($B70="",0,COUNTIFS('UX Weekly'!$H$1:$CT$1,"&gt;="&amp;AQ$1,'UX Weekly'!$H$1:$CT$1,"&lt;="&amp;EOMONTH(AQ$1,0),'UX Weekly'!$H70:$CT70,"&lt;&gt;"))</f>
        <v>0</v>
      </c>
      <c r="AR70">
        <f>IF($B70="",0,COUNTIFS('UX Weekly'!$H$1:$CT$1,"&gt;="&amp;AR$1,'UX Weekly'!$H$1:$CT$1,"&lt;="&amp;EOMONTH(AR$1,0),'UX Weekly'!$H70:$CT70,"&lt;&gt;"))</f>
        <v>0</v>
      </c>
      <c r="AS70">
        <f>IF($B70="",0,COUNTIFS('UX Weekly'!$H$1:$CT$1,"&gt;="&amp;AS$1,'UX Weekly'!$H$1:$CT$1,"&lt;="&amp;EOMONTH(AS$1,0),'UX Weekly'!$H70:$CT70,"&lt;&gt;"))</f>
        <v>0</v>
      </c>
      <c r="AT70">
        <f>IF($B70="",0,COUNTIFS('UX Weekly'!$H$1:$CT$1,"&gt;="&amp;AT$1,'UX Weekly'!$H$1:$CT$1,"&lt;="&amp;EOMONTH(AT$1,0),'UX Weekly'!$H70:$CT70,"&lt;&gt;"))</f>
        <v>0</v>
      </c>
    </row>
    <row r="71" spans="1:46" x14ac:dyDescent="0.2">
      <c r="A71" s="147">
        <v>72</v>
      </c>
      <c r="B71" s="147" t="str">
        <f>IF(TRIM('UX Weekly'!E71)="","",TRIM('UX Weekly'!E71))</f>
        <v/>
      </c>
      <c r="C71" s="147" t="str">
        <f>IF($B71="","",'UX Weekly'!B71)</f>
        <v/>
      </c>
      <c r="D71" s="147" t="str">
        <f>IF($B71="","",IF(TRIM('UX Weekly'!C71)="","(No theme assigned)",TRIM('UX Weekly'!C71)))</f>
        <v/>
      </c>
      <c r="E71" s="147" t="str">
        <f>IF($B71="","",TRIM('UX Weekly'!F71))</f>
        <v/>
      </c>
      <c r="F71" s="147" t="str">
        <f>IF($B71="","",'UX Weekly'!G71)</f>
        <v/>
      </c>
      <c r="G71" s="148" t="str">
        <f t="array" ref="G71">IF($B71="","",IF($S71=0,"",IFERROR(MIN(IF('UX Weekly'!$H71:$CT71&lt;&gt;"",'UX Weekly'!$H$1:$CT$1)),"")))</f>
        <v/>
      </c>
      <c r="H71" s="148" t="str">
        <f t="array" ref="H71">IF($B71="","",IF($S71=0,"",IFERROR(MAX(IF('UX Weekly'!$H71:$CT71&lt;&gt;"",'UX Weekly'!$H$1:$CT$1)),"")))</f>
        <v/>
      </c>
      <c r="I71" s="149" t="str">
        <f t="shared" ca="1" si="6"/>
        <v/>
      </c>
      <c r="J71" s="149" t="str">
        <f t="shared" ca="1" si="7"/>
        <v/>
      </c>
      <c r="K71" s="147" t="str">
        <f>IF($B71="","",IFERROR(MATCH($B71,'Dev Tracker'!$D$2:$D$196,0),IF($E71="","",IFERROR(MATCH($E71,'Dev Tracker'!$E$2:$E$196,0),""))))</f>
        <v/>
      </c>
      <c r="L71" s="147" t="str">
        <f>IF($B71="","",IFERROR(MATCH($D71,'Control (Don’t Touch)'!$E$4:$E$30,0),99))</f>
        <v/>
      </c>
      <c r="M71" s="147" t="str">
        <f>IF($B71="","",IFERROR(MATCH($F71,'Control (Don’t Touch)'!$B$4:$B$30,0),99))</f>
        <v/>
      </c>
      <c r="N71" s="147" t="str">
        <f t="shared" si="8"/>
        <v/>
      </c>
      <c r="O71" s="147" t="str">
        <f>IF($B71="","",COUNTIF($N$2:$N$204,"&lt;"&amp;$N71)+1)</f>
        <v/>
      </c>
      <c r="P71" s="149" t="str">
        <f ca="1">IF($K71="","",IFERROR(DATE(IFERROR(VALUE(RIGHT(TRIM(INDEX('Dev Tracker'!$I$2:$I$196,$K71)),4)),YEAR(TODAY())),MATCH(LEFT(TRIM(INDEX('Dev Tracker'!$I$2:$I$196,$K71)),3),$U$2:$U$12,0),1),""))</f>
        <v/>
      </c>
      <c r="Q71" s="149" t="str">
        <f ca="1">IF($K71="","",IFERROR(DATE(IFERROR(VALUE(RIGHT(TRIM(INDEX('Dev Tracker'!$J$2:$J$196,$K71)),4)),YEAR(TODAY())),MATCH(LEFT(TRIM(INDEX('Dev Tracker'!$J$2:$J$196,$K71)),3),$U$2:$U$12,0),1),""))</f>
        <v/>
      </c>
      <c r="R71" s="147"/>
      <c r="S71" s="147" t="str">
        <f>IF($B71="","",COUNTA('UX Weekly'!$H71:$CT71))</f>
        <v/>
      </c>
      <c r="W71">
        <f>IF($B71="",0,COUNTIFS('UX Weekly'!$H$1:$CT$1,"&gt;="&amp;W$1,'UX Weekly'!$H$1:$CT$1,"&lt;="&amp;EOMONTH(W$1,0),'UX Weekly'!$H71:$CT71,"&lt;&gt;"))</f>
        <v>0</v>
      </c>
      <c r="X71">
        <f>IF($B71="",0,COUNTIFS('UX Weekly'!$H$1:$CT$1,"&gt;="&amp;X$1,'UX Weekly'!$H$1:$CT$1,"&lt;="&amp;EOMONTH(X$1,0),'UX Weekly'!$H71:$CT71,"&lt;&gt;"))</f>
        <v>0</v>
      </c>
      <c r="Y71">
        <f>IF($B71="",0,COUNTIFS('UX Weekly'!$H$1:$CT$1,"&gt;="&amp;Y$1,'UX Weekly'!$H$1:$CT$1,"&lt;="&amp;EOMONTH(Y$1,0),'UX Weekly'!$H71:$CT71,"&lt;&gt;"))</f>
        <v>0</v>
      </c>
      <c r="Z71">
        <f>IF($B71="",0,COUNTIFS('UX Weekly'!$H$1:$CT$1,"&gt;="&amp;Z$1,'UX Weekly'!$H$1:$CT$1,"&lt;="&amp;EOMONTH(Z$1,0),'UX Weekly'!$H71:$CT71,"&lt;&gt;"))</f>
        <v>0</v>
      </c>
      <c r="AA71">
        <f>IF($B71="",0,COUNTIFS('UX Weekly'!$H$1:$CT$1,"&gt;="&amp;AA$1,'UX Weekly'!$H$1:$CT$1,"&lt;="&amp;EOMONTH(AA$1,0),'UX Weekly'!$H71:$CT71,"&lt;&gt;"))</f>
        <v>0</v>
      </c>
      <c r="AB71">
        <f>IF($B71="",0,COUNTIFS('UX Weekly'!$H$1:$CT$1,"&gt;="&amp;AB$1,'UX Weekly'!$H$1:$CT$1,"&lt;="&amp;EOMONTH(AB$1,0),'UX Weekly'!$H71:$CT71,"&lt;&gt;"))</f>
        <v>0</v>
      </c>
      <c r="AC71">
        <f>IF($B71="",0,COUNTIFS('UX Weekly'!$H$1:$CT$1,"&gt;="&amp;AC$1,'UX Weekly'!$H$1:$CT$1,"&lt;="&amp;EOMONTH(AC$1,0),'UX Weekly'!$H71:$CT71,"&lt;&gt;"))</f>
        <v>0</v>
      </c>
      <c r="AD71">
        <f>IF($B71="",0,COUNTIFS('UX Weekly'!$H$1:$CT$1,"&gt;="&amp;AD$1,'UX Weekly'!$H$1:$CT$1,"&lt;="&amp;EOMONTH(AD$1,0),'UX Weekly'!$H71:$CT71,"&lt;&gt;"))</f>
        <v>0</v>
      </c>
      <c r="AE71">
        <f>IF($B71="",0,COUNTIFS('UX Weekly'!$H$1:$CT$1,"&gt;="&amp;AE$1,'UX Weekly'!$H$1:$CT$1,"&lt;="&amp;EOMONTH(AE$1,0),'UX Weekly'!$H71:$CT71,"&lt;&gt;"))</f>
        <v>0</v>
      </c>
      <c r="AF71">
        <f>IF($B71="",0,COUNTIFS('UX Weekly'!$H$1:$CT$1,"&gt;="&amp;AF$1,'UX Weekly'!$H$1:$CT$1,"&lt;="&amp;EOMONTH(AF$1,0),'UX Weekly'!$H71:$CT71,"&lt;&gt;"))</f>
        <v>0</v>
      </c>
      <c r="AG71">
        <f>IF($B71="",0,COUNTIFS('UX Weekly'!$H$1:$CT$1,"&gt;="&amp;AG$1,'UX Weekly'!$H$1:$CT$1,"&lt;="&amp;EOMONTH(AG$1,0),'UX Weekly'!$H71:$CT71,"&lt;&gt;"))</f>
        <v>0</v>
      </c>
      <c r="AH71">
        <f>IF($B71="",0,COUNTIFS('UX Weekly'!$H$1:$CT$1,"&gt;="&amp;AH$1,'UX Weekly'!$H$1:$CT$1,"&lt;="&amp;EOMONTH(AH$1,0),'UX Weekly'!$H71:$CT71,"&lt;&gt;"))</f>
        <v>0</v>
      </c>
      <c r="AI71">
        <f>IF($B71="",0,COUNTIFS('UX Weekly'!$H$1:$CT$1,"&gt;="&amp;AI$1,'UX Weekly'!$H$1:$CT$1,"&lt;="&amp;EOMONTH(AI$1,0),'UX Weekly'!$H71:$CT71,"&lt;&gt;"))</f>
        <v>0</v>
      </c>
      <c r="AJ71">
        <f>IF($B71="",0,COUNTIFS('UX Weekly'!$H$1:$CT$1,"&gt;="&amp;AJ$1,'UX Weekly'!$H$1:$CT$1,"&lt;="&amp;EOMONTH(AJ$1,0),'UX Weekly'!$H71:$CT71,"&lt;&gt;"))</f>
        <v>0</v>
      </c>
      <c r="AK71">
        <f>IF($B71="",0,COUNTIFS('UX Weekly'!$H$1:$CT$1,"&gt;="&amp;AK$1,'UX Weekly'!$H$1:$CT$1,"&lt;="&amp;EOMONTH(AK$1,0),'UX Weekly'!$H71:$CT71,"&lt;&gt;"))</f>
        <v>0</v>
      </c>
      <c r="AL71">
        <f>IF($B71="",0,COUNTIFS('UX Weekly'!$H$1:$CT$1,"&gt;="&amp;AL$1,'UX Weekly'!$H$1:$CT$1,"&lt;="&amp;EOMONTH(AL$1,0),'UX Weekly'!$H71:$CT71,"&lt;&gt;"))</f>
        <v>0</v>
      </c>
      <c r="AM71">
        <f>IF($B71="",0,COUNTIFS('UX Weekly'!$H$1:$CT$1,"&gt;="&amp;AM$1,'UX Weekly'!$H$1:$CT$1,"&lt;="&amp;EOMONTH(AM$1,0),'UX Weekly'!$H71:$CT71,"&lt;&gt;"))</f>
        <v>0</v>
      </c>
      <c r="AN71">
        <f>IF($B71="",0,COUNTIFS('UX Weekly'!$H$1:$CT$1,"&gt;="&amp;AN$1,'UX Weekly'!$H$1:$CT$1,"&lt;="&amp;EOMONTH(AN$1,0),'UX Weekly'!$H71:$CT71,"&lt;&gt;"))</f>
        <v>0</v>
      </c>
      <c r="AO71">
        <f>IF($B71="",0,COUNTIFS('UX Weekly'!$H$1:$CT$1,"&gt;="&amp;AO$1,'UX Weekly'!$H$1:$CT$1,"&lt;="&amp;EOMONTH(AO$1,0),'UX Weekly'!$H71:$CT71,"&lt;&gt;"))</f>
        <v>0</v>
      </c>
      <c r="AP71">
        <f>IF($B71="",0,COUNTIFS('UX Weekly'!$H$1:$CT$1,"&gt;="&amp;AP$1,'UX Weekly'!$H$1:$CT$1,"&lt;="&amp;EOMONTH(AP$1,0),'UX Weekly'!$H71:$CT71,"&lt;&gt;"))</f>
        <v>0</v>
      </c>
      <c r="AQ71">
        <f>IF($B71="",0,COUNTIFS('UX Weekly'!$H$1:$CT$1,"&gt;="&amp;AQ$1,'UX Weekly'!$H$1:$CT$1,"&lt;="&amp;EOMONTH(AQ$1,0),'UX Weekly'!$H71:$CT71,"&lt;&gt;"))</f>
        <v>0</v>
      </c>
      <c r="AR71">
        <f>IF($B71="",0,COUNTIFS('UX Weekly'!$H$1:$CT$1,"&gt;="&amp;AR$1,'UX Weekly'!$H$1:$CT$1,"&lt;="&amp;EOMONTH(AR$1,0),'UX Weekly'!$H71:$CT71,"&lt;&gt;"))</f>
        <v>0</v>
      </c>
      <c r="AS71">
        <f>IF($B71="",0,COUNTIFS('UX Weekly'!$H$1:$CT$1,"&gt;="&amp;AS$1,'UX Weekly'!$H$1:$CT$1,"&lt;="&amp;EOMONTH(AS$1,0),'UX Weekly'!$H71:$CT71,"&lt;&gt;"))</f>
        <v>0</v>
      </c>
      <c r="AT71">
        <f>IF($B71="",0,COUNTIFS('UX Weekly'!$H$1:$CT$1,"&gt;="&amp;AT$1,'UX Weekly'!$H$1:$CT$1,"&lt;="&amp;EOMONTH(AT$1,0),'UX Weekly'!$H71:$CT71,"&lt;&gt;"))</f>
        <v>0</v>
      </c>
    </row>
    <row r="72" spans="1:46" x14ac:dyDescent="0.2">
      <c r="A72" s="147">
        <v>73</v>
      </c>
      <c r="B72" s="147" t="str">
        <f>IF(TRIM('UX Weekly'!E72)="","",TRIM('UX Weekly'!E72))</f>
        <v/>
      </c>
      <c r="C72" s="147" t="str">
        <f>IF($B72="","",'UX Weekly'!B72)</f>
        <v/>
      </c>
      <c r="D72" s="147" t="str">
        <f>IF($B72="","",IF(TRIM('UX Weekly'!C72)="","(No theme assigned)",TRIM('UX Weekly'!C72)))</f>
        <v/>
      </c>
      <c r="E72" s="147" t="str">
        <f>IF($B72="","",TRIM('UX Weekly'!F72))</f>
        <v/>
      </c>
      <c r="F72" s="147" t="str">
        <f>IF($B72="","",'UX Weekly'!G72)</f>
        <v/>
      </c>
      <c r="G72" s="148" t="str">
        <f t="array" ref="G72">IF($B72="","",IF($S72=0,"",IFERROR(MIN(IF('UX Weekly'!$H72:$CT72&lt;&gt;"",'UX Weekly'!$H$1:$CT$1)),"")))</f>
        <v/>
      </c>
      <c r="H72" s="148" t="str">
        <f t="array" ref="H72">IF($B72="","",IF($S72=0,"",IFERROR(MAX(IF('UX Weekly'!$H72:$CT72&lt;&gt;"",'UX Weekly'!$H$1:$CT$1)),"")))</f>
        <v/>
      </c>
      <c r="I72" s="149" t="str">
        <f t="shared" ca="1" si="6"/>
        <v/>
      </c>
      <c r="J72" s="149" t="str">
        <f t="shared" ca="1" si="7"/>
        <v/>
      </c>
      <c r="K72" s="147" t="str">
        <f>IF($B72="","",IFERROR(MATCH($B72,'Dev Tracker'!$D$2:$D$196,0),IF($E72="","",IFERROR(MATCH($E72,'Dev Tracker'!$E$2:$E$196,0),""))))</f>
        <v/>
      </c>
      <c r="L72" s="147" t="str">
        <f>IF($B72="","",IFERROR(MATCH($D72,'Control (Don’t Touch)'!$E$4:$E$30,0),99))</f>
        <v/>
      </c>
      <c r="M72" s="147" t="str">
        <f>IF($B72="","",IFERROR(MATCH($F72,'Control (Don’t Touch)'!$B$4:$B$30,0),99))</f>
        <v/>
      </c>
      <c r="N72" s="147" t="str">
        <f t="shared" si="8"/>
        <v/>
      </c>
      <c r="O72" s="147" t="str">
        <f>IF($B72="","",COUNTIF($N$2:$N$204,"&lt;"&amp;$N72)+1)</f>
        <v/>
      </c>
      <c r="P72" s="149" t="str">
        <f ca="1">IF($K72="","",IFERROR(DATE(IFERROR(VALUE(RIGHT(TRIM(INDEX('Dev Tracker'!$I$2:$I$196,$K72)),4)),YEAR(TODAY())),MATCH(LEFT(TRIM(INDEX('Dev Tracker'!$I$2:$I$196,$K72)),3),$U$2:$U$12,0),1),""))</f>
        <v/>
      </c>
      <c r="Q72" s="149" t="str">
        <f ca="1">IF($K72="","",IFERROR(DATE(IFERROR(VALUE(RIGHT(TRIM(INDEX('Dev Tracker'!$J$2:$J$196,$K72)),4)),YEAR(TODAY())),MATCH(LEFT(TRIM(INDEX('Dev Tracker'!$J$2:$J$196,$K72)),3),$U$2:$U$12,0),1),""))</f>
        <v/>
      </c>
      <c r="R72" s="147"/>
      <c r="S72" s="147" t="str">
        <f>IF($B72="","",COUNTA('UX Weekly'!$H72:$CT72))</f>
        <v/>
      </c>
      <c r="W72">
        <f>IF($B72="",0,COUNTIFS('UX Weekly'!$H$1:$CT$1,"&gt;="&amp;W$1,'UX Weekly'!$H$1:$CT$1,"&lt;="&amp;EOMONTH(W$1,0),'UX Weekly'!$H72:$CT72,"&lt;&gt;"))</f>
        <v>0</v>
      </c>
      <c r="X72">
        <f>IF($B72="",0,COUNTIFS('UX Weekly'!$H$1:$CT$1,"&gt;="&amp;X$1,'UX Weekly'!$H$1:$CT$1,"&lt;="&amp;EOMONTH(X$1,0),'UX Weekly'!$H72:$CT72,"&lt;&gt;"))</f>
        <v>0</v>
      </c>
      <c r="Y72">
        <f>IF($B72="",0,COUNTIFS('UX Weekly'!$H$1:$CT$1,"&gt;="&amp;Y$1,'UX Weekly'!$H$1:$CT$1,"&lt;="&amp;EOMONTH(Y$1,0),'UX Weekly'!$H72:$CT72,"&lt;&gt;"))</f>
        <v>0</v>
      </c>
      <c r="Z72">
        <f>IF($B72="",0,COUNTIFS('UX Weekly'!$H$1:$CT$1,"&gt;="&amp;Z$1,'UX Weekly'!$H$1:$CT$1,"&lt;="&amp;EOMONTH(Z$1,0),'UX Weekly'!$H72:$CT72,"&lt;&gt;"))</f>
        <v>0</v>
      </c>
      <c r="AA72">
        <f>IF($B72="",0,COUNTIFS('UX Weekly'!$H$1:$CT$1,"&gt;="&amp;AA$1,'UX Weekly'!$H$1:$CT$1,"&lt;="&amp;EOMONTH(AA$1,0),'UX Weekly'!$H72:$CT72,"&lt;&gt;"))</f>
        <v>0</v>
      </c>
      <c r="AB72">
        <f>IF($B72="",0,COUNTIFS('UX Weekly'!$H$1:$CT$1,"&gt;="&amp;AB$1,'UX Weekly'!$H$1:$CT$1,"&lt;="&amp;EOMONTH(AB$1,0),'UX Weekly'!$H72:$CT72,"&lt;&gt;"))</f>
        <v>0</v>
      </c>
      <c r="AC72">
        <f>IF($B72="",0,COUNTIFS('UX Weekly'!$H$1:$CT$1,"&gt;="&amp;AC$1,'UX Weekly'!$H$1:$CT$1,"&lt;="&amp;EOMONTH(AC$1,0),'UX Weekly'!$H72:$CT72,"&lt;&gt;"))</f>
        <v>0</v>
      </c>
      <c r="AD72">
        <f>IF($B72="",0,COUNTIFS('UX Weekly'!$H$1:$CT$1,"&gt;="&amp;AD$1,'UX Weekly'!$H$1:$CT$1,"&lt;="&amp;EOMONTH(AD$1,0),'UX Weekly'!$H72:$CT72,"&lt;&gt;"))</f>
        <v>0</v>
      </c>
      <c r="AE72">
        <f>IF($B72="",0,COUNTIFS('UX Weekly'!$H$1:$CT$1,"&gt;="&amp;AE$1,'UX Weekly'!$H$1:$CT$1,"&lt;="&amp;EOMONTH(AE$1,0),'UX Weekly'!$H72:$CT72,"&lt;&gt;"))</f>
        <v>0</v>
      </c>
      <c r="AF72">
        <f>IF($B72="",0,COUNTIFS('UX Weekly'!$H$1:$CT$1,"&gt;="&amp;AF$1,'UX Weekly'!$H$1:$CT$1,"&lt;="&amp;EOMONTH(AF$1,0),'UX Weekly'!$H72:$CT72,"&lt;&gt;"))</f>
        <v>0</v>
      </c>
      <c r="AG72">
        <f>IF($B72="",0,COUNTIFS('UX Weekly'!$H$1:$CT$1,"&gt;="&amp;AG$1,'UX Weekly'!$H$1:$CT$1,"&lt;="&amp;EOMONTH(AG$1,0),'UX Weekly'!$H72:$CT72,"&lt;&gt;"))</f>
        <v>0</v>
      </c>
      <c r="AH72">
        <f>IF($B72="",0,COUNTIFS('UX Weekly'!$H$1:$CT$1,"&gt;="&amp;AH$1,'UX Weekly'!$H$1:$CT$1,"&lt;="&amp;EOMONTH(AH$1,0),'UX Weekly'!$H72:$CT72,"&lt;&gt;"))</f>
        <v>0</v>
      </c>
      <c r="AI72">
        <f>IF($B72="",0,COUNTIFS('UX Weekly'!$H$1:$CT$1,"&gt;="&amp;AI$1,'UX Weekly'!$H$1:$CT$1,"&lt;="&amp;EOMONTH(AI$1,0),'UX Weekly'!$H72:$CT72,"&lt;&gt;"))</f>
        <v>0</v>
      </c>
      <c r="AJ72">
        <f>IF($B72="",0,COUNTIFS('UX Weekly'!$H$1:$CT$1,"&gt;="&amp;AJ$1,'UX Weekly'!$H$1:$CT$1,"&lt;="&amp;EOMONTH(AJ$1,0),'UX Weekly'!$H72:$CT72,"&lt;&gt;"))</f>
        <v>0</v>
      </c>
      <c r="AK72">
        <f>IF($B72="",0,COUNTIFS('UX Weekly'!$H$1:$CT$1,"&gt;="&amp;AK$1,'UX Weekly'!$H$1:$CT$1,"&lt;="&amp;EOMONTH(AK$1,0),'UX Weekly'!$H72:$CT72,"&lt;&gt;"))</f>
        <v>0</v>
      </c>
      <c r="AL72">
        <f>IF($B72="",0,COUNTIFS('UX Weekly'!$H$1:$CT$1,"&gt;="&amp;AL$1,'UX Weekly'!$H$1:$CT$1,"&lt;="&amp;EOMONTH(AL$1,0),'UX Weekly'!$H72:$CT72,"&lt;&gt;"))</f>
        <v>0</v>
      </c>
      <c r="AM72">
        <f>IF($B72="",0,COUNTIFS('UX Weekly'!$H$1:$CT$1,"&gt;="&amp;AM$1,'UX Weekly'!$H$1:$CT$1,"&lt;="&amp;EOMONTH(AM$1,0),'UX Weekly'!$H72:$CT72,"&lt;&gt;"))</f>
        <v>0</v>
      </c>
      <c r="AN72">
        <f>IF($B72="",0,COUNTIFS('UX Weekly'!$H$1:$CT$1,"&gt;="&amp;AN$1,'UX Weekly'!$H$1:$CT$1,"&lt;="&amp;EOMONTH(AN$1,0),'UX Weekly'!$H72:$CT72,"&lt;&gt;"))</f>
        <v>0</v>
      </c>
      <c r="AO72">
        <f>IF($B72="",0,COUNTIFS('UX Weekly'!$H$1:$CT$1,"&gt;="&amp;AO$1,'UX Weekly'!$H$1:$CT$1,"&lt;="&amp;EOMONTH(AO$1,0),'UX Weekly'!$H72:$CT72,"&lt;&gt;"))</f>
        <v>0</v>
      </c>
      <c r="AP72">
        <f>IF($B72="",0,COUNTIFS('UX Weekly'!$H$1:$CT$1,"&gt;="&amp;AP$1,'UX Weekly'!$H$1:$CT$1,"&lt;="&amp;EOMONTH(AP$1,0),'UX Weekly'!$H72:$CT72,"&lt;&gt;"))</f>
        <v>0</v>
      </c>
      <c r="AQ72">
        <f>IF($B72="",0,COUNTIFS('UX Weekly'!$H$1:$CT$1,"&gt;="&amp;AQ$1,'UX Weekly'!$H$1:$CT$1,"&lt;="&amp;EOMONTH(AQ$1,0),'UX Weekly'!$H72:$CT72,"&lt;&gt;"))</f>
        <v>0</v>
      </c>
      <c r="AR72">
        <f>IF($B72="",0,COUNTIFS('UX Weekly'!$H$1:$CT$1,"&gt;="&amp;AR$1,'UX Weekly'!$H$1:$CT$1,"&lt;="&amp;EOMONTH(AR$1,0),'UX Weekly'!$H72:$CT72,"&lt;&gt;"))</f>
        <v>0</v>
      </c>
      <c r="AS72">
        <f>IF($B72="",0,COUNTIFS('UX Weekly'!$H$1:$CT$1,"&gt;="&amp;AS$1,'UX Weekly'!$H$1:$CT$1,"&lt;="&amp;EOMONTH(AS$1,0),'UX Weekly'!$H72:$CT72,"&lt;&gt;"))</f>
        <v>0</v>
      </c>
      <c r="AT72">
        <f>IF($B72="",0,COUNTIFS('UX Weekly'!$H$1:$CT$1,"&gt;="&amp;AT$1,'UX Weekly'!$H$1:$CT$1,"&lt;="&amp;EOMONTH(AT$1,0),'UX Weekly'!$H72:$CT72,"&lt;&gt;"))</f>
        <v>0</v>
      </c>
    </row>
    <row r="73" spans="1:46" x14ac:dyDescent="0.2">
      <c r="A73" s="147">
        <v>74</v>
      </c>
      <c r="B73" s="147" t="str">
        <f>IF(TRIM('UX Weekly'!E73)="","",TRIM('UX Weekly'!E73))</f>
        <v/>
      </c>
      <c r="C73" s="147" t="str">
        <f>IF($B73="","",'UX Weekly'!B73)</f>
        <v/>
      </c>
      <c r="D73" s="147" t="str">
        <f>IF($B73="","",IF(TRIM('UX Weekly'!C73)="","(No theme assigned)",TRIM('UX Weekly'!C73)))</f>
        <v/>
      </c>
      <c r="E73" s="147" t="str">
        <f>IF($B73="","",TRIM('UX Weekly'!F73))</f>
        <v/>
      </c>
      <c r="F73" s="147" t="str">
        <f>IF($B73="","",'UX Weekly'!G73)</f>
        <v/>
      </c>
      <c r="G73" s="148" t="str">
        <f t="array" ref="G73">IF($B73="","",IF($S73=0,"",IFERROR(MIN(IF('UX Weekly'!$H73:$CT73&lt;&gt;"",'UX Weekly'!$H$1:$CT$1)),"")))</f>
        <v/>
      </c>
      <c r="H73" s="148" t="str">
        <f t="array" ref="H73">IF($B73="","",IF($S73=0,"",IFERROR(MAX(IF('UX Weekly'!$H73:$CT73&lt;&gt;"",'UX Weekly'!$H$1:$CT$1)),"")))</f>
        <v/>
      </c>
      <c r="I73" s="149" t="str">
        <f t="shared" ca="1" si="6"/>
        <v/>
      </c>
      <c r="J73" s="149" t="str">
        <f t="shared" ca="1" si="7"/>
        <v/>
      </c>
      <c r="K73" s="147" t="str">
        <f>IF($B73="","",IFERROR(MATCH($B73,'Dev Tracker'!$D$2:$D$196,0),IF($E73="","",IFERROR(MATCH($E73,'Dev Tracker'!$E$2:$E$196,0),""))))</f>
        <v/>
      </c>
      <c r="L73" s="147" t="str">
        <f>IF($B73="","",IFERROR(MATCH($D73,'Control (Don’t Touch)'!$E$4:$E$30,0),99))</f>
        <v/>
      </c>
      <c r="M73" s="147" t="str">
        <f>IF($B73="","",IFERROR(MATCH($F73,'Control (Don’t Touch)'!$B$4:$B$30,0),99))</f>
        <v/>
      </c>
      <c r="N73" s="147" t="str">
        <f t="shared" si="8"/>
        <v/>
      </c>
      <c r="O73" s="147" t="str">
        <f>IF($B73="","",COUNTIF($N$2:$N$204,"&lt;"&amp;$N73)+1)</f>
        <v/>
      </c>
      <c r="P73" s="149" t="str">
        <f ca="1">IF($K73="","",IFERROR(DATE(IFERROR(VALUE(RIGHT(TRIM(INDEX('Dev Tracker'!$I$2:$I$196,$K73)),4)),YEAR(TODAY())),MATCH(LEFT(TRIM(INDEX('Dev Tracker'!$I$2:$I$196,$K73)),3),$U$2:$U$12,0),1),""))</f>
        <v/>
      </c>
      <c r="Q73" s="149" t="str">
        <f ca="1">IF($K73="","",IFERROR(DATE(IFERROR(VALUE(RIGHT(TRIM(INDEX('Dev Tracker'!$J$2:$J$196,$K73)),4)),YEAR(TODAY())),MATCH(LEFT(TRIM(INDEX('Dev Tracker'!$J$2:$J$196,$K73)),3),$U$2:$U$12,0),1),""))</f>
        <v/>
      </c>
      <c r="R73" s="147"/>
      <c r="S73" s="147" t="str">
        <f>IF($B73="","",COUNTA('UX Weekly'!$H73:$CT73))</f>
        <v/>
      </c>
      <c r="W73">
        <f>IF($B73="",0,COUNTIFS('UX Weekly'!$H$1:$CT$1,"&gt;="&amp;W$1,'UX Weekly'!$H$1:$CT$1,"&lt;="&amp;EOMONTH(W$1,0),'UX Weekly'!$H73:$CT73,"&lt;&gt;"))</f>
        <v>0</v>
      </c>
      <c r="X73">
        <f>IF($B73="",0,COUNTIFS('UX Weekly'!$H$1:$CT$1,"&gt;="&amp;X$1,'UX Weekly'!$H$1:$CT$1,"&lt;="&amp;EOMONTH(X$1,0),'UX Weekly'!$H73:$CT73,"&lt;&gt;"))</f>
        <v>0</v>
      </c>
      <c r="Y73">
        <f>IF($B73="",0,COUNTIFS('UX Weekly'!$H$1:$CT$1,"&gt;="&amp;Y$1,'UX Weekly'!$H$1:$CT$1,"&lt;="&amp;EOMONTH(Y$1,0),'UX Weekly'!$H73:$CT73,"&lt;&gt;"))</f>
        <v>0</v>
      </c>
      <c r="Z73">
        <f>IF($B73="",0,COUNTIFS('UX Weekly'!$H$1:$CT$1,"&gt;="&amp;Z$1,'UX Weekly'!$H$1:$CT$1,"&lt;="&amp;EOMONTH(Z$1,0),'UX Weekly'!$H73:$CT73,"&lt;&gt;"))</f>
        <v>0</v>
      </c>
      <c r="AA73">
        <f>IF($B73="",0,COUNTIFS('UX Weekly'!$H$1:$CT$1,"&gt;="&amp;AA$1,'UX Weekly'!$H$1:$CT$1,"&lt;="&amp;EOMONTH(AA$1,0),'UX Weekly'!$H73:$CT73,"&lt;&gt;"))</f>
        <v>0</v>
      </c>
      <c r="AB73">
        <f>IF($B73="",0,COUNTIFS('UX Weekly'!$H$1:$CT$1,"&gt;="&amp;AB$1,'UX Weekly'!$H$1:$CT$1,"&lt;="&amp;EOMONTH(AB$1,0),'UX Weekly'!$H73:$CT73,"&lt;&gt;"))</f>
        <v>0</v>
      </c>
      <c r="AC73">
        <f>IF($B73="",0,COUNTIFS('UX Weekly'!$H$1:$CT$1,"&gt;="&amp;AC$1,'UX Weekly'!$H$1:$CT$1,"&lt;="&amp;EOMONTH(AC$1,0),'UX Weekly'!$H73:$CT73,"&lt;&gt;"))</f>
        <v>0</v>
      </c>
      <c r="AD73">
        <f>IF($B73="",0,COUNTIFS('UX Weekly'!$H$1:$CT$1,"&gt;="&amp;AD$1,'UX Weekly'!$H$1:$CT$1,"&lt;="&amp;EOMONTH(AD$1,0),'UX Weekly'!$H73:$CT73,"&lt;&gt;"))</f>
        <v>0</v>
      </c>
      <c r="AE73">
        <f>IF($B73="",0,COUNTIFS('UX Weekly'!$H$1:$CT$1,"&gt;="&amp;AE$1,'UX Weekly'!$H$1:$CT$1,"&lt;="&amp;EOMONTH(AE$1,0),'UX Weekly'!$H73:$CT73,"&lt;&gt;"))</f>
        <v>0</v>
      </c>
      <c r="AF73">
        <f>IF($B73="",0,COUNTIFS('UX Weekly'!$H$1:$CT$1,"&gt;="&amp;AF$1,'UX Weekly'!$H$1:$CT$1,"&lt;="&amp;EOMONTH(AF$1,0),'UX Weekly'!$H73:$CT73,"&lt;&gt;"))</f>
        <v>0</v>
      </c>
      <c r="AG73">
        <f>IF($B73="",0,COUNTIFS('UX Weekly'!$H$1:$CT$1,"&gt;="&amp;AG$1,'UX Weekly'!$H$1:$CT$1,"&lt;="&amp;EOMONTH(AG$1,0),'UX Weekly'!$H73:$CT73,"&lt;&gt;"))</f>
        <v>0</v>
      </c>
      <c r="AH73">
        <f>IF($B73="",0,COUNTIFS('UX Weekly'!$H$1:$CT$1,"&gt;="&amp;AH$1,'UX Weekly'!$H$1:$CT$1,"&lt;="&amp;EOMONTH(AH$1,0),'UX Weekly'!$H73:$CT73,"&lt;&gt;"))</f>
        <v>0</v>
      </c>
      <c r="AI73">
        <f>IF($B73="",0,COUNTIFS('UX Weekly'!$H$1:$CT$1,"&gt;="&amp;AI$1,'UX Weekly'!$H$1:$CT$1,"&lt;="&amp;EOMONTH(AI$1,0),'UX Weekly'!$H73:$CT73,"&lt;&gt;"))</f>
        <v>0</v>
      </c>
      <c r="AJ73">
        <f>IF($B73="",0,COUNTIFS('UX Weekly'!$H$1:$CT$1,"&gt;="&amp;AJ$1,'UX Weekly'!$H$1:$CT$1,"&lt;="&amp;EOMONTH(AJ$1,0),'UX Weekly'!$H73:$CT73,"&lt;&gt;"))</f>
        <v>0</v>
      </c>
      <c r="AK73">
        <f>IF($B73="",0,COUNTIFS('UX Weekly'!$H$1:$CT$1,"&gt;="&amp;AK$1,'UX Weekly'!$H$1:$CT$1,"&lt;="&amp;EOMONTH(AK$1,0),'UX Weekly'!$H73:$CT73,"&lt;&gt;"))</f>
        <v>0</v>
      </c>
      <c r="AL73">
        <f>IF($B73="",0,COUNTIFS('UX Weekly'!$H$1:$CT$1,"&gt;="&amp;AL$1,'UX Weekly'!$H$1:$CT$1,"&lt;="&amp;EOMONTH(AL$1,0),'UX Weekly'!$H73:$CT73,"&lt;&gt;"))</f>
        <v>0</v>
      </c>
      <c r="AM73">
        <f>IF($B73="",0,COUNTIFS('UX Weekly'!$H$1:$CT$1,"&gt;="&amp;AM$1,'UX Weekly'!$H$1:$CT$1,"&lt;="&amp;EOMONTH(AM$1,0),'UX Weekly'!$H73:$CT73,"&lt;&gt;"))</f>
        <v>0</v>
      </c>
      <c r="AN73">
        <f>IF($B73="",0,COUNTIFS('UX Weekly'!$H$1:$CT$1,"&gt;="&amp;AN$1,'UX Weekly'!$H$1:$CT$1,"&lt;="&amp;EOMONTH(AN$1,0),'UX Weekly'!$H73:$CT73,"&lt;&gt;"))</f>
        <v>0</v>
      </c>
      <c r="AO73">
        <f>IF($B73="",0,COUNTIFS('UX Weekly'!$H$1:$CT$1,"&gt;="&amp;AO$1,'UX Weekly'!$H$1:$CT$1,"&lt;="&amp;EOMONTH(AO$1,0),'UX Weekly'!$H73:$CT73,"&lt;&gt;"))</f>
        <v>0</v>
      </c>
      <c r="AP73">
        <f>IF($B73="",0,COUNTIFS('UX Weekly'!$H$1:$CT$1,"&gt;="&amp;AP$1,'UX Weekly'!$H$1:$CT$1,"&lt;="&amp;EOMONTH(AP$1,0),'UX Weekly'!$H73:$CT73,"&lt;&gt;"))</f>
        <v>0</v>
      </c>
      <c r="AQ73">
        <f>IF($B73="",0,COUNTIFS('UX Weekly'!$H$1:$CT$1,"&gt;="&amp;AQ$1,'UX Weekly'!$H$1:$CT$1,"&lt;="&amp;EOMONTH(AQ$1,0),'UX Weekly'!$H73:$CT73,"&lt;&gt;"))</f>
        <v>0</v>
      </c>
      <c r="AR73">
        <f>IF($B73="",0,COUNTIFS('UX Weekly'!$H$1:$CT$1,"&gt;="&amp;AR$1,'UX Weekly'!$H$1:$CT$1,"&lt;="&amp;EOMONTH(AR$1,0),'UX Weekly'!$H73:$CT73,"&lt;&gt;"))</f>
        <v>0</v>
      </c>
      <c r="AS73">
        <f>IF($B73="",0,COUNTIFS('UX Weekly'!$H$1:$CT$1,"&gt;="&amp;AS$1,'UX Weekly'!$H$1:$CT$1,"&lt;="&amp;EOMONTH(AS$1,0),'UX Weekly'!$H73:$CT73,"&lt;&gt;"))</f>
        <v>0</v>
      </c>
      <c r="AT73">
        <f>IF($B73="",0,COUNTIFS('UX Weekly'!$H$1:$CT$1,"&gt;="&amp;AT$1,'UX Weekly'!$H$1:$CT$1,"&lt;="&amp;EOMONTH(AT$1,0),'UX Weekly'!$H73:$CT73,"&lt;&gt;"))</f>
        <v>0</v>
      </c>
    </row>
    <row r="74" spans="1:46" x14ac:dyDescent="0.2">
      <c r="A74" s="147">
        <v>75</v>
      </c>
      <c r="B74" s="147" t="str">
        <f>IF(TRIM('UX Weekly'!E74)="","",TRIM('UX Weekly'!E74))</f>
        <v/>
      </c>
      <c r="C74" s="147" t="str">
        <f>IF($B74="","",'UX Weekly'!B74)</f>
        <v/>
      </c>
      <c r="D74" s="147" t="str">
        <f>IF($B74="","",IF(TRIM('UX Weekly'!C74)="","(No theme assigned)",TRIM('UX Weekly'!C74)))</f>
        <v/>
      </c>
      <c r="E74" s="147" t="str">
        <f>IF($B74="","",TRIM('UX Weekly'!F74))</f>
        <v/>
      </c>
      <c r="F74" s="147" t="str">
        <f>IF($B74="","",'UX Weekly'!G74)</f>
        <v/>
      </c>
      <c r="G74" s="148" t="str">
        <f t="array" ref="G74">IF($B74="","",IF($S74=0,"",IFERROR(MIN(IF('UX Weekly'!$H74:$CT74&lt;&gt;"",'UX Weekly'!$H$1:$CT$1)),"")))</f>
        <v/>
      </c>
      <c r="H74" s="148" t="str">
        <f t="array" ref="H74">IF($B74="","",IF($S74=0,"",IFERROR(MAX(IF('UX Weekly'!$H74:$CT74&lt;&gt;"",'UX Weekly'!$H$1:$CT$1)),"")))</f>
        <v/>
      </c>
      <c r="I74" s="149" t="str">
        <f t="shared" ca="1" si="6"/>
        <v/>
      </c>
      <c r="J74" s="149" t="str">
        <f t="shared" ca="1" si="7"/>
        <v/>
      </c>
      <c r="K74" s="147" t="str">
        <f>IF($B74="","",IFERROR(MATCH($B74,'Dev Tracker'!$D$2:$D$196,0),IF($E74="","",IFERROR(MATCH($E74,'Dev Tracker'!$E$2:$E$196,0),""))))</f>
        <v/>
      </c>
      <c r="L74" s="147" t="str">
        <f>IF($B74="","",IFERROR(MATCH($D74,'Control (Don’t Touch)'!$E$4:$E$30,0),99))</f>
        <v/>
      </c>
      <c r="M74" s="147" t="str">
        <f>IF($B74="","",IFERROR(MATCH($F74,'Control (Don’t Touch)'!$B$4:$B$30,0),99))</f>
        <v/>
      </c>
      <c r="N74" s="147" t="str">
        <f t="shared" si="8"/>
        <v/>
      </c>
      <c r="O74" s="147" t="str">
        <f>IF($B74="","",COUNTIF($N$2:$N$204,"&lt;"&amp;$N74)+1)</f>
        <v/>
      </c>
      <c r="P74" s="149" t="str">
        <f ca="1">IF($K74="","",IFERROR(DATE(IFERROR(VALUE(RIGHT(TRIM(INDEX('Dev Tracker'!$I$2:$I$196,$K74)),4)),YEAR(TODAY())),MATCH(LEFT(TRIM(INDEX('Dev Tracker'!$I$2:$I$196,$K74)),3),$U$2:$U$12,0),1),""))</f>
        <v/>
      </c>
      <c r="Q74" s="149" t="str">
        <f ca="1">IF($K74="","",IFERROR(DATE(IFERROR(VALUE(RIGHT(TRIM(INDEX('Dev Tracker'!$J$2:$J$196,$K74)),4)),YEAR(TODAY())),MATCH(LEFT(TRIM(INDEX('Dev Tracker'!$J$2:$J$196,$K74)),3),$U$2:$U$12,0),1),""))</f>
        <v/>
      </c>
      <c r="R74" s="147"/>
      <c r="S74" s="147" t="str">
        <f>IF($B74="","",COUNTA('UX Weekly'!$H74:$CT74))</f>
        <v/>
      </c>
      <c r="W74">
        <f>IF($B74="",0,COUNTIFS('UX Weekly'!$H$1:$CT$1,"&gt;="&amp;W$1,'UX Weekly'!$H$1:$CT$1,"&lt;="&amp;EOMONTH(W$1,0),'UX Weekly'!$H74:$CT74,"&lt;&gt;"))</f>
        <v>0</v>
      </c>
      <c r="X74">
        <f>IF($B74="",0,COUNTIFS('UX Weekly'!$H$1:$CT$1,"&gt;="&amp;X$1,'UX Weekly'!$H$1:$CT$1,"&lt;="&amp;EOMONTH(X$1,0),'UX Weekly'!$H74:$CT74,"&lt;&gt;"))</f>
        <v>0</v>
      </c>
      <c r="Y74">
        <f>IF($B74="",0,COUNTIFS('UX Weekly'!$H$1:$CT$1,"&gt;="&amp;Y$1,'UX Weekly'!$H$1:$CT$1,"&lt;="&amp;EOMONTH(Y$1,0),'UX Weekly'!$H74:$CT74,"&lt;&gt;"))</f>
        <v>0</v>
      </c>
      <c r="Z74">
        <f>IF($B74="",0,COUNTIFS('UX Weekly'!$H$1:$CT$1,"&gt;="&amp;Z$1,'UX Weekly'!$H$1:$CT$1,"&lt;="&amp;EOMONTH(Z$1,0),'UX Weekly'!$H74:$CT74,"&lt;&gt;"))</f>
        <v>0</v>
      </c>
      <c r="AA74">
        <f>IF($B74="",0,COUNTIFS('UX Weekly'!$H$1:$CT$1,"&gt;="&amp;AA$1,'UX Weekly'!$H$1:$CT$1,"&lt;="&amp;EOMONTH(AA$1,0),'UX Weekly'!$H74:$CT74,"&lt;&gt;"))</f>
        <v>0</v>
      </c>
      <c r="AB74">
        <f>IF($B74="",0,COUNTIFS('UX Weekly'!$H$1:$CT$1,"&gt;="&amp;AB$1,'UX Weekly'!$H$1:$CT$1,"&lt;="&amp;EOMONTH(AB$1,0),'UX Weekly'!$H74:$CT74,"&lt;&gt;"))</f>
        <v>0</v>
      </c>
      <c r="AC74">
        <f>IF($B74="",0,COUNTIFS('UX Weekly'!$H$1:$CT$1,"&gt;="&amp;AC$1,'UX Weekly'!$H$1:$CT$1,"&lt;="&amp;EOMONTH(AC$1,0),'UX Weekly'!$H74:$CT74,"&lt;&gt;"))</f>
        <v>0</v>
      </c>
      <c r="AD74">
        <f>IF($B74="",0,COUNTIFS('UX Weekly'!$H$1:$CT$1,"&gt;="&amp;AD$1,'UX Weekly'!$H$1:$CT$1,"&lt;="&amp;EOMONTH(AD$1,0),'UX Weekly'!$H74:$CT74,"&lt;&gt;"))</f>
        <v>0</v>
      </c>
      <c r="AE74">
        <f>IF($B74="",0,COUNTIFS('UX Weekly'!$H$1:$CT$1,"&gt;="&amp;AE$1,'UX Weekly'!$H$1:$CT$1,"&lt;="&amp;EOMONTH(AE$1,0),'UX Weekly'!$H74:$CT74,"&lt;&gt;"))</f>
        <v>0</v>
      </c>
      <c r="AF74">
        <f>IF($B74="",0,COUNTIFS('UX Weekly'!$H$1:$CT$1,"&gt;="&amp;AF$1,'UX Weekly'!$H$1:$CT$1,"&lt;="&amp;EOMONTH(AF$1,0),'UX Weekly'!$H74:$CT74,"&lt;&gt;"))</f>
        <v>0</v>
      </c>
      <c r="AG74">
        <f>IF($B74="",0,COUNTIFS('UX Weekly'!$H$1:$CT$1,"&gt;="&amp;AG$1,'UX Weekly'!$H$1:$CT$1,"&lt;="&amp;EOMONTH(AG$1,0),'UX Weekly'!$H74:$CT74,"&lt;&gt;"))</f>
        <v>0</v>
      </c>
      <c r="AH74">
        <f>IF($B74="",0,COUNTIFS('UX Weekly'!$H$1:$CT$1,"&gt;="&amp;AH$1,'UX Weekly'!$H$1:$CT$1,"&lt;="&amp;EOMONTH(AH$1,0),'UX Weekly'!$H74:$CT74,"&lt;&gt;"))</f>
        <v>0</v>
      </c>
      <c r="AI74">
        <f>IF($B74="",0,COUNTIFS('UX Weekly'!$H$1:$CT$1,"&gt;="&amp;AI$1,'UX Weekly'!$H$1:$CT$1,"&lt;="&amp;EOMONTH(AI$1,0),'UX Weekly'!$H74:$CT74,"&lt;&gt;"))</f>
        <v>0</v>
      </c>
      <c r="AJ74">
        <f>IF($B74="",0,COUNTIFS('UX Weekly'!$H$1:$CT$1,"&gt;="&amp;AJ$1,'UX Weekly'!$H$1:$CT$1,"&lt;="&amp;EOMONTH(AJ$1,0),'UX Weekly'!$H74:$CT74,"&lt;&gt;"))</f>
        <v>0</v>
      </c>
      <c r="AK74">
        <f>IF($B74="",0,COUNTIFS('UX Weekly'!$H$1:$CT$1,"&gt;="&amp;AK$1,'UX Weekly'!$H$1:$CT$1,"&lt;="&amp;EOMONTH(AK$1,0),'UX Weekly'!$H74:$CT74,"&lt;&gt;"))</f>
        <v>0</v>
      </c>
      <c r="AL74">
        <f>IF($B74="",0,COUNTIFS('UX Weekly'!$H$1:$CT$1,"&gt;="&amp;AL$1,'UX Weekly'!$H$1:$CT$1,"&lt;="&amp;EOMONTH(AL$1,0),'UX Weekly'!$H74:$CT74,"&lt;&gt;"))</f>
        <v>0</v>
      </c>
      <c r="AM74">
        <f>IF($B74="",0,COUNTIFS('UX Weekly'!$H$1:$CT$1,"&gt;="&amp;AM$1,'UX Weekly'!$H$1:$CT$1,"&lt;="&amp;EOMONTH(AM$1,0),'UX Weekly'!$H74:$CT74,"&lt;&gt;"))</f>
        <v>0</v>
      </c>
      <c r="AN74">
        <f>IF($B74="",0,COUNTIFS('UX Weekly'!$H$1:$CT$1,"&gt;="&amp;AN$1,'UX Weekly'!$H$1:$CT$1,"&lt;="&amp;EOMONTH(AN$1,0),'UX Weekly'!$H74:$CT74,"&lt;&gt;"))</f>
        <v>0</v>
      </c>
      <c r="AO74">
        <f>IF($B74="",0,COUNTIFS('UX Weekly'!$H$1:$CT$1,"&gt;="&amp;AO$1,'UX Weekly'!$H$1:$CT$1,"&lt;="&amp;EOMONTH(AO$1,0),'UX Weekly'!$H74:$CT74,"&lt;&gt;"))</f>
        <v>0</v>
      </c>
      <c r="AP74">
        <f>IF($B74="",0,COUNTIFS('UX Weekly'!$H$1:$CT$1,"&gt;="&amp;AP$1,'UX Weekly'!$H$1:$CT$1,"&lt;="&amp;EOMONTH(AP$1,0),'UX Weekly'!$H74:$CT74,"&lt;&gt;"))</f>
        <v>0</v>
      </c>
      <c r="AQ74">
        <f>IF($B74="",0,COUNTIFS('UX Weekly'!$H$1:$CT$1,"&gt;="&amp;AQ$1,'UX Weekly'!$H$1:$CT$1,"&lt;="&amp;EOMONTH(AQ$1,0),'UX Weekly'!$H74:$CT74,"&lt;&gt;"))</f>
        <v>0</v>
      </c>
      <c r="AR74">
        <f>IF($B74="",0,COUNTIFS('UX Weekly'!$H$1:$CT$1,"&gt;="&amp;AR$1,'UX Weekly'!$H$1:$CT$1,"&lt;="&amp;EOMONTH(AR$1,0),'UX Weekly'!$H74:$CT74,"&lt;&gt;"))</f>
        <v>0</v>
      </c>
      <c r="AS74">
        <f>IF($B74="",0,COUNTIFS('UX Weekly'!$H$1:$CT$1,"&gt;="&amp;AS$1,'UX Weekly'!$H$1:$CT$1,"&lt;="&amp;EOMONTH(AS$1,0),'UX Weekly'!$H74:$CT74,"&lt;&gt;"))</f>
        <v>0</v>
      </c>
      <c r="AT74">
        <f>IF($B74="",0,COUNTIFS('UX Weekly'!$H$1:$CT$1,"&gt;="&amp;AT$1,'UX Weekly'!$H$1:$CT$1,"&lt;="&amp;EOMONTH(AT$1,0),'UX Weekly'!$H74:$CT74,"&lt;&gt;"))</f>
        <v>0</v>
      </c>
    </row>
    <row r="75" spans="1:46" x14ac:dyDescent="0.2">
      <c r="A75" s="147">
        <v>76</v>
      </c>
      <c r="B75" s="147" t="str">
        <f>IF(TRIM('UX Weekly'!E75)="","",TRIM('UX Weekly'!E75))</f>
        <v/>
      </c>
      <c r="C75" s="147" t="str">
        <f>IF($B75="","",'UX Weekly'!B75)</f>
        <v/>
      </c>
      <c r="D75" s="147" t="str">
        <f>IF($B75="","",IF(TRIM('UX Weekly'!C75)="","(No theme assigned)",TRIM('UX Weekly'!C75)))</f>
        <v/>
      </c>
      <c r="E75" s="147" t="str">
        <f>IF($B75="","",TRIM('UX Weekly'!F75))</f>
        <v/>
      </c>
      <c r="F75" s="147" t="str">
        <f>IF($B75="","",'UX Weekly'!G75)</f>
        <v/>
      </c>
      <c r="G75" s="148" t="str">
        <f t="array" ref="G75">IF($B75="","",IF($S75=0,"",IFERROR(MIN(IF('UX Weekly'!$H75:$CT75&lt;&gt;"",'UX Weekly'!$H$1:$CT$1)),"")))</f>
        <v/>
      </c>
      <c r="H75" s="148" t="str">
        <f t="array" ref="H75">IF($B75="","",IF($S75=0,"",IFERROR(MAX(IF('UX Weekly'!$H75:$CT75&lt;&gt;"",'UX Weekly'!$H$1:$CT$1)),"")))</f>
        <v/>
      </c>
      <c r="I75" s="149" t="str">
        <f t="shared" ca="1" si="6"/>
        <v/>
      </c>
      <c r="J75" s="149" t="str">
        <f t="shared" ca="1" si="7"/>
        <v/>
      </c>
      <c r="K75" s="147" t="str">
        <f>IF($B75="","",IFERROR(MATCH($B75,'Dev Tracker'!$D$2:$D$196,0),IF($E75="","",IFERROR(MATCH($E75,'Dev Tracker'!$E$2:$E$196,0),""))))</f>
        <v/>
      </c>
      <c r="L75" s="147" t="str">
        <f>IF($B75="","",IFERROR(MATCH($D75,'Control (Don’t Touch)'!$E$4:$E$30,0),99))</f>
        <v/>
      </c>
      <c r="M75" s="147" t="str">
        <f>IF($B75="","",IFERROR(MATCH($F75,'Control (Don’t Touch)'!$B$4:$B$30,0),99))</f>
        <v/>
      </c>
      <c r="N75" s="147" t="str">
        <f t="shared" si="8"/>
        <v/>
      </c>
      <c r="O75" s="147" t="str">
        <f>IF($B75="","",COUNTIF($N$2:$N$204,"&lt;"&amp;$N75)+1)</f>
        <v/>
      </c>
      <c r="P75" s="149" t="str">
        <f ca="1">IF($K75="","",IFERROR(DATE(IFERROR(VALUE(RIGHT(TRIM(INDEX('Dev Tracker'!$I$2:$I$196,$K75)),4)),YEAR(TODAY())),MATCH(LEFT(TRIM(INDEX('Dev Tracker'!$I$2:$I$196,$K75)),3),$U$2:$U$12,0),1),""))</f>
        <v/>
      </c>
      <c r="Q75" s="149" t="str">
        <f ca="1">IF($K75="","",IFERROR(DATE(IFERROR(VALUE(RIGHT(TRIM(INDEX('Dev Tracker'!$J$2:$J$196,$K75)),4)),YEAR(TODAY())),MATCH(LEFT(TRIM(INDEX('Dev Tracker'!$J$2:$J$196,$K75)),3),$U$2:$U$12,0),1),""))</f>
        <v/>
      </c>
      <c r="R75" s="147"/>
      <c r="S75" s="147" t="str">
        <f>IF($B75="","",COUNTA('UX Weekly'!$H75:$CT75))</f>
        <v/>
      </c>
      <c r="W75">
        <f>IF($B75="",0,COUNTIFS('UX Weekly'!$H$1:$CT$1,"&gt;="&amp;W$1,'UX Weekly'!$H$1:$CT$1,"&lt;="&amp;EOMONTH(W$1,0),'UX Weekly'!$H75:$CT75,"&lt;&gt;"))</f>
        <v>0</v>
      </c>
      <c r="X75">
        <f>IF($B75="",0,COUNTIFS('UX Weekly'!$H$1:$CT$1,"&gt;="&amp;X$1,'UX Weekly'!$H$1:$CT$1,"&lt;="&amp;EOMONTH(X$1,0),'UX Weekly'!$H75:$CT75,"&lt;&gt;"))</f>
        <v>0</v>
      </c>
      <c r="Y75">
        <f>IF($B75="",0,COUNTIFS('UX Weekly'!$H$1:$CT$1,"&gt;="&amp;Y$1,'UX Weekly'!$H$1:$CT$1,"&lt;="&amp;EOMONTH(Y$1,0),'UX Weekly'!$H75:$CT75,"&lt;&gt;"))</f>
        <v>0</v>
      </c>
      <c r="Z75">
        <f>IF($B75="",0,COUNTIFS('UX Weekly'!$H$1:$CT$1,"&gt;="&amp;Z$1,'UX Weekly'!$H$1:$CT$1,"&lt;="&amp;EOMONTH(Z$1,0),'UX Weekly'!$H75:$CT75,"&lt;&gt;"))</f>
        <v>0</v>
      </c>
      <c r="AA75">
        <f>IF($B75="",0,COUNTIFS('UX Weekly'!$H$1:$CT$1,"&gt;="&amp;AA$1,'UX Weekly'!$H$1:$CT$1,"&lt;="&amp;EOMONTH(AA$1,0),'UX Weekly'!$H75:$CT75,"&lt;&gt;"))</f>
        <v>0</v>
      </c>
      <c r="AB75">
        <f>IF($B75="",0,COUNTIFS('UX Weekly'!$H$1:$CT$1,"&gt;="&amp;AB$1,'UX Weekly'!$H$1:$CT$1,"&lt;="&amp;EOMONTH(AB$1,0),'UX Weekly'!$H75:$CT75,"&lt;&gt;"))</f>
        <v>0</v>
      </c>
      <c r="AC75">
        <f>IF($B75="",0,COUNTIFS('UX Weekly'!$H$1:$CT$1,"&gt;="&amp;AC$1,'UX Weekly'!$H$1:$CT$1,"&lt;="&amp;EOMONTH(AC$1,0),'UX Weekly'!$H75:$CT75,"&lt;&gt;"))</f>
        <v>0</v>
      </c>
      <c r="AD75">
        <f>IF($B75="",0,COUNTIFS('UX Weekly'!$H$1:$CT$1,"&gt;="&amp;AD$1,'UX Weekly'!$H$1:$CT$1,"&lt;="&amp;EOMONTH(AD$1,0),'UX Weekly'!$H75:$CT75,"&lt;&gt;"))</f>
        <v>0</v>
      </c>
      <c r="AE75">
        <f>IF($B75="",0,COUNTIFS('UX Weekly'!$H$1:$CT$1,"&gt;="&amp;AE$1,'UX Weekly'!$H$1:$CT$1,"&lt;="&amp;EOMONTH(AE$1,0),'UX Weekly'!$H75:$CT75,"&lt;&gt;"))</f>
        <v>0</v>
      </c>
      <c r="AF75">
        <f>IF($B75="",0,COUNTIFS('UX Weekly'!$H$1:$CT$1,"&gt;="&amp;AF$1,'UX Weekly'!$H$1:$CT$1,"&lt;="&amp;EOMONTH(AF$1,0),'UX Weekly'!$H75:$CT75,"&lt;&gt;"))</f>
        <v>0</v>
      </c>
      <c r="AG75">
        <f>IF($B75="",0,COUNTIFS('UX Weekly'!$H$1:$CT$1,"&gt;="&amp;AG$1,'UX Weekly'!$H$1:$CT$1,"&lt;="&amp;EOMONTH(AG$1,0),'UX Weekly'!$H75:$CT75,"&lt;&gt;"))</f>
        <v>0</v>
      </c>
      <c r="AH75">
        <f>IF($B75="",0,COUNTIFS('UX Weekly'!$H$1:$CT$1,"&gt;="&amp;AH$1,'UX Weekly'!$H$1:$CT$1,"&lt;="&amp;EOMONTH(AH$1,0),'UX Weekly'!$H75:$CT75,"&lt;&gt;"))</f>
        <v>0</v>
      </c>
      <c r="AI75">
        <f>IF($B75="",0,COUNTIFS('UX Weekly'!$H$1:$CT$1,"&gt;="&amp;AI$1,'UX Weekly'!$H$1:$CT$1,"&lt;="&amp;EOMONTH(AI$1,0),'UX Weekly'!$H75:$CT75,"&lt;&gt;"))</f>
        <v>0</v>
      </c>
      <c r="AJ75">
        <f>IF($B75="",0,COUNTIFS('UX Weekly'!$H$1:$CT$1,"&gt;="&amp;AJ$1,'UX Weekly'!$H$1:$CT$1,"&lt;="&amp;EOMONTH(AJ$1,0),'UX Weekly'!$H75:$CT75,"&lt;&gt;"))</f>
        <v>0</v>
      </c>
      <c r="AK75">
        <f>IF($B75="",0,COUNTIFS('UX Weekly'!$H$1:$CT$1,"&gt;="&amp;AK$1,'UX Weekly'!$H$1:$CT$1,"&lt;="&amp;EOMONTH(AK$1,0),'UX Weekly'!$H75:$CT75,"&lt;&gt;"))</f>
        <v>0</v>
      </c>
      <c r="AL75">
        <f>IF($B75="",0,COUNTIFS('UX Weekly'!$H$1:$CT$1,"&gt;="&amp;AL$1,'UX Weekly'!$H$1:$CT$1,"&lt;="&amp;EOMONTH(AL$1,0),'UX Weekly'!$H75:$CT75,"&lt;&gt;"))</f>
        <v>0</v>
      </c>
      <c r="AM75">
        <f>IF($B75="",0,COUNTIFS('UX Weekly'!$H$1:$CT$1,"&gt;="&amp;AM$1,'UX Weekly'!$H$1:$CT$1,"&lt;="&amp;EOMONTH(AM$1,0),'UX Weekly'!$H75:$CT75,"&lt;&gt;"))</f>
        <v>0</v>
      </c>
      <c r="AN75">
        <f>IF($B75="",0,COUNTIFS('UX Weekly'!$H$1:$CT$1,"&gt;="&amp;AN$1,'UX Weekly'!$H$1:$CT$1,"&lt;="&amp;EOMONTH(AN$1,0),'UX Weekly'!$H75:$CT75,"&lt;&gt;"))</f>
        <v>0</v>
      </c>
      <c r="AO75">
        <f>IF($B75="",0,COUNTIFS('UX Weekly'!$H$1:$CT$1,"&gt;="&amp;AO$1,'UX Weekly'!$H$1:$CT$1,"&lt;="&amp;EOMONTH(AO$1,0),'UX Weekly'!$H75:$CT75,"&lt;&gt;"))</f>
        <v>0</v>
      </c>
      <c r="AP75">
        <f>IF($B75="",0,COUNTIFS('UX Weekly'!$H$1:$CT$1,"&gt;="&amp;AP$1,'UX Weekly'!$H$1:$CT$1,"&lt;="&amp;EOMONTH(AP$1,0),'UX Weekly'!$H75:$CT75,"&lt;&gt;"))</f>
        <v>0</v>
      </c>
      <c r="AQ75">
        <f>IF($B75="",0,COUNTIFS('UX Weekly'!$H$1:$CT$1,"&gt;="&amp;AQ$1,'UX Weekly'!$H$1:$CT$1,"&lt;="&amp;EOMONTH(AQ$1,0),'UX Weekly'!$H75:$CT75,"&lt;&gt;"))</f>
        <v>0</v>
      </c>
      <c r="AR75">
        <f>IF($B75="",0,COUNTIFS('UX Weekly'!$H$1:$CT$1,"&gt;="&amp;AR$1,'UX Weekly'!$H$1:$CT$1,"&lt;="&amp;EOMONTH(AR$1,0),'UX Weekly'!$H75:$CT75,"&lt;&gt;"))</f>
        <v>0</v>
      </c>
      <c r="AS75">
        <f>IF($B75="",0,COUNTIFS('UX Weekly'!$H$1:$CT$1,"&gt;="&amp;AS$1,'UX Weekly'!$H$1:$CT$1,"&lt;="&amp;EOMONTH(AS$1,0),'UX Weekly'!$H75:$CT75,"&lt;&gt;"))</f>
        <v>0</v>
      </c>
      <c r="AT75">
        <f>IF($B75="",0,COUNTIFS('UX Weekly'!$H$1:$CT$1,"&gt;="&amp;AT$1,'UX Weekly'!$H$1:$CT$1,"&lt;="&amp;EOMONTH(AT$1,0),'UX Weekly'!$H75:$CT75,"&lt;&gt;"))</f>
        <v>0</v>
      </c>
    </row>
    <row r="76" spans="1:46" x14ac:dyDescent="0.2">
      <c r="A76" s="147">
        <v>77</v>
      </c>
      <c r="B76" s="147" t="str">
        <f>IF(TRIM('UX Weekly'!E76)="","",TRIM('UX Weekly'!E76))</f>
        <v/>
      </c>
      <c r="C76" s="147" t="str">
        <f>IF($B76="","",'UX Weekly'!B76)</f>
        <v/>
      </c>
      <c r="D76" s="147" t="str">
        <f>IF($B76="","",IF(TRIM('UX Weekly'!C76)="","(No theme assigned)",TRIM('UX Weekly'!C76)))</f>
        <v/>
      </c>
      <c r="E76" s="147" t="str">
        <f>IF($B76="","",TRIM('UX Weekly'!F76))</f>
        <v/>
      </c>
      <c r="F76" s="147" t="str">
        <f>IF($B76="","",'UX Weekly'!G76)</f>
        <v/>
      </c>
      <c r="G76" s="148" t="str">
        <f t="array" ref="G76">IF($B76="","",IF($S76=0,"",IFERROR(MIN(IF('UX Weekly'!$H76:$CT76&lt;&gt;"",'UX Weekly'!$H$1:$CT$1)),"")))</f>
        <v/>
      </c>
      <c r="H76" s="148" t="str">
        <f t="array" ref="H76">IF($B76="","",IF($S76=0,"",IFERROR(MAX(IF('UX Weekly'!$H76:$CT76&lt;&gt;"",'UX Weekly'!$H$1:$CT$1)),"")))</f>
        <v/>
      </c>
      <c r="I76" s="149" t="str">
        <f t="shared" ca="1" si="6"/>
        <v/>
      </c>
      <c r="J76" s="149" t="str">
        <f t="shared" ca="1" si="7"/>
        <v/>
      </c>
      <c r="K76" s="147" t="str">
        <f>IF($B76="","",IFERROR(MATCH($B76,'Dev Tracker'!$D$2:$D$196,0),IF($E76="","",IFERROR(MATCH($E76,'Dev Tracker'!$E$2:$E$196,0),""))))</f>
        <v/>
      </c>
      <c r="L76" s="147" t="str">
        <f>IF($B76="","",IFERROR(MATCH($D76,'Control (Don’t Touch)'!$E$4:$E$30,0),99))</f>
        <v/>
      </c>
      <c r="M76" s="147" t="str">
        <f>IF($B76="","",IFERROR(MATCH($F76,'Control (Don’t Touch)'!$B$4:$B$30,0),99))</f>
        <v/>
      </c>
      <c r="N76" s="147" t="str">
        <f t="shared" si="8"/>
        <v/>
      </c>
      <c r="O76" s="147" t="str">
        <f>IF($B76="","",COUNTIF($N$2:$N$204,"&lt;"&amp;$N76)+1)</f>
        <v/>
      </c>
      <c r="P76" s="149" t="str">
        <f ca="1">IF($K76="","",IFERROR(DATE(IFERROR(VALUE(RIGHT(TRIM(INDEX('Dev Tracker'!$I$2:$I$196,$K76)),4)),YEAR(TODAY())),MATCH(LEFT(TRIM(INDEX('Dev Tracker'!$I$2:$I$196,$K76)),3),$U$2:$U$12,0),1),""))</f>
        <v/>
      </c>
      <c r="Q76" s="149" t="str">
        <f ca="1">IF($K76="","",IFERROR(DATE(IFERROR(VALUE(RIGHT(TRIM(INDEX('Dev Tracker'!$J$2:$J$196,$K76)),4)),YEAR(TODAY())),MATCH(LEFT(TRIM(INDEX('Dev Tracker'!$J$2:$J$196,$K76)),3),$U$2:$U$12,0),1),""))</f>
        <v/>
      </c>
      <c r="R76" s="147"/>
      <c r="S76" s="147" t="str">
        <f>IF($B76="","",COUNTA('UX Weekly'!$H76:$CT76))</f>
        <v/>
      </c>
      <c r="W76">
        <f>IF($B76="",0,COUNTIFS('UX Weekly'!$H$1:$CT$1,"&gt;="&amp;W$1,'UX Weekly'!$H$1:$CT$1,"&lt;="&amp;EOMONTH(W$1,0),'UX Weekly'!$H76:$CT76,"&lt;&gt;"))</f>
        <v>0</v>
      </c>
      <c r="X76">
        <f>IF($B76="",0,COUNTIFS('UX Weekly'!$H$1:$CT$1,"&gt;="&amp;X$1,'UX Weekly'!$H$1:$CT$1,"&lt;="&amp;EOMONTH(X$1,0),'UX Weekly'!$H76:$CT76,"&lt;&gt;"))</f>
        <v>0</v>
      </c>
      <c r="Y76">
        <f>IF($B76="",0,COUNTIFS('UX Weekly'!$H$1:$CT$1,"&gt;="&amp;Y$1,'UX Weekly'!$H$1:$CT$1,"&lt;="&amp;EOMONTH(Y$1,0),'UX Weekly'!$H76:$CT76,"&lt;&gt;"))</f>
        <v>0</v>
      </c>
      <c r="Z76">
        <f>IF($B76="",0,COUNTIFS('UX Weekly'!$H$1:$CT$1,"&gt;="&amp;Z$1,'UX Weekly'!$H$1:$CT$1,"&lt;="&amp;EOMONTH(Z$1,0),'UX Weekly'!$H76:$CT76,"&lt;&gt;"))</f>
        <v>0</v>
      </c>
      <c r="AA76">
        <f>IF($B76="",0,COUNTIFS('UX Weekly'!$H$1:$CT$1,"&gt;="&amp;AA$1,'UX Weekly'!$H$1:$CT$1,"&lt;="&amp;EOMONTH(AA$1,0),'UX Weekly'!$H76:$CT76,"&lt;&gt;"))</f>
        <v>0</v>
      </c>
      <c r="AB76">
        <f>IF($B76="",0,COUNTIFS('UX Weekly'!$H$1:$CT$1,"&gt;="&amp;AB$1,'UX Weekly'!$H$1:$CT$1,"&lt;="&amp;EOMONTH(AB$1,0),'UX Weekly'!$H76:$CT76,"&lt;&gt;"))</f>
        <v>0</v>
      </c>
      <c r="AC76">
        <f>IF($B76="",0,COUNTIFS('UX Weekly'!$H$1:$CT$1,"&gt;="&amp;AC$1,'UX Weekly'!$H$1:$CT$1,"&lt;="&amp;EOMONTH(AC$1,0),'UX Weekly'!$H76:$CT76,"&lt;&gt;"))</f>
        <v>0</v>
      </c>
      <c r="AD76">
        <f>IF($B76="",0,COUNTIFS('UX Weekly'!$H$1:$CT$1,"&gt;="&amp;AD$1,'UX Weekly'!$H$1:$CT$1,"&lt;="&amp;EOMONTH(AD$1,0),'UX Weekly'!$H76:$CT76,"&lt;&gt;"))</f>
        <v>0</v>
      </c>
      <c r="AE76">
        <f>IF($B76="",0,COUNTIFS('UX Weekly'!$H$1:$CT$1,"&gt;="&amp;AE$1,'UX Weekly'!$H$1:$CT$1,"&lt;="&amp;EOMONTH(AE$1,0),'UX Weekly'!$H76:$CT76,"&lt;&gt;"))</f>
        <v>0</v>
      </c>
      <c r="AF76">
        <f>IF($B76="",0,COUNTIFS('UX Weekly'!$H$1:$CT$1,"&gt;="&amp;AF$1,'UX Weekly'!$H$1:$CT$1,"&lt;="&amp;EOMONTH(AF$1,0),'UX Weekly'!$H76:$CT76,"&lt;&gt;"))</f>
        <v>0</v>
      </c>
      <c r="AG76">
        <f>IF($B76="",0,COUNTIFS('UX Weekly'!$H$1:$CT$1,"&gt;="&amp;AG$1,'UX Weekly'!$H$1:$CT$1,"&lt;="&amp;EOMONTH(AG$1,0),'UX Weekly'!$H76:$CT76,"&lt;&gt;"))</f>
        <v>0</v>
      </c>
      <c r="AH76">
        <f>IF($B76="",0,COUNTIFS('UX Weekly'!$H$1:$CT$1,"&gt;="&amp;AH$1,'UX Weekly'!$H$1:$CT$1,"&lt;="&amp;EOMONTH(AH$1,0),'UX Weekly'!$H76:$CT76,"&lt;&gt;"))</f>
        <v>0</v>
      </c>
      <c r="AI76">
        <f>IF($B76="",0,COUNTIFS('UX Weekly'!$H$1:$CT$1,"&gt;="&amp;AI$1,'UX Weekly'!$H$1:$CT$1,"&lt;="&amp;EOMONTH(AI$1,0),'UX Weekly'!$H76:$CT76,"&lt;&gt;"))</f>
        <v>0</v>
      </c>
      <c r="AJ76">
        <f>IF($B76="",0,COUNTIFS('UX Weekly'!$H$1:$CT$1,"&gt;="&amp;AJ$1,'UX Weekly'!$H$1:$CT$1,"&lt;="&amp;EOMONTH(AJ$1,0),'UX Weekly'!$H76:$CT76,"&lt;&gt;"))</f>
        <v>0</v>
      </c>
      <c r="AK76">
        <f>IF($B76="",0,COUNTIFS('UX Weekly'!$H$1:$CT$1,"&gt;="&amp;AK$1,'UX Weekly'!$H$1:$CT$1,"&lt;="&amp;EOMONTH(AK$1,0),'UX Weekly'!$H76:$CT76,"&lt;&gt;"))</f>
        <v>0</v>
      </c>
      <c r="AL76">
        <f>IF($B76="",0,COUNTIFS('UX Weekly'!$H$1:$CT$1,"&gt;="&amp;AL$1,'UX Weekly'!$H$1:$CT$1,"&lt;="&amp;EOMONTH(AL$1,0),'UX Weekly'!$H76:$CT76,"&lt;&gt;"))</f>
        <v>0</v>
      </c>
      <c r="AM76">
        <f>IF($B76="",0,COUNTIFS('UX Weekly'!$H$1:$CT$1,"&gt;="&amp;AM$1,'UX Weekly'!$H$1:$CT$1,"&lt;="&amp;EOMONTH(AM$1,0),'UX Weekly'!$H76:$CT76,"&lt;&gt;"))</f>
        <v>0</v>
      </c>
      <c r="AN76">
        <f>IF($B76="",0,COUNTIFS('UX Weekly'!$H$1:$CT$1,"&gt;="&amp;AN$1,'UX Weekly'!$H$1:$CT$1,"&lt;="&amp;EOMONTH(AN$1,0),'UX Weekly'!$H76:$CT76,"&lt;&gt;"))</f>
        <v>0</v>
      </c>
      <c r="AO76">
        <f>IF($B76="",0,COUNTIFS('UX Weekly'!$H$1:$CT$1,"&gt;="&amp;AO$1,'UX Weekly'!$H$1:$CT$1,"&lt;="&amp;EOMONTH(AO$1,0),'UX Weekly'!$H76:$CT76,"&lt;&gt;"))</f>
        <v>0</v>
      </c>
      <c r="AP76">
        <f>IF($B76="",0,COUNTIFS('UX Weekly'!$H$1:$CT$1,"&gt;="&amp;AP$1,'UX Weekly'!$H$1:$CT$1,"&lt;="&amp;EOMONTH(AP$1,0),'UX Weekly'!$H76:$CT76,"&lt;&gt;"))</f>
        <v>0</v>
      </c>
      <c r="AQ76">
        <f>IF($B76="",0,COUNTIFS('UX Weekly'!$H$1:$CT$1,"&gt;="&amp;AQ$1,'UX Weekly'!$H$1:$CT$1,"&lt;="&amp;EOMONTH(AQ$1,0),'UX Weekly'!$H76:$CT76,"&lt;&gt;"))</f>
        <v>0</v>
      </c>
      <c r="AR76">
        <f>IF($B76="",0,COUNTIFS('UX Weekly'!$H$1:$CT$1,"&gt;="&amp;AR$1,'UX Weekly'!$H$1:$CT$1,"&lt;="&amp;EOMONTH(AR$1,0),'UX Weekly'!$H76:$CT76,"&lt;&gt;"))</f>
        <v>0</v>
      </c>
      <c r="AS76">
        <f>IF($B76="",0,COUNTIFS('UX Weekly'!$H$1:$CT$1,"&gt;="&amp;AS$1,'UX Weekly'!$H$1:$CT$1,"&lt;="&amp;EOMONTH(AS$1,0),'UX Weekly'!$H76:$CT76,"&lt;&gt;"))</f>
        <v>0</v>
      </c>
      <c r="AT76">
        <f>IF($B76="",0,COUNTIFS('UX Weekly'!$H$1:$CT$1,"&gt;="&amp;AT$1,'UX Weekly'!$H$1:$CT$1,"&lt;="&amp;EOMONTH(AT$1,0),'UX Weekly'!$H76:$CT76,"&lt;&gt;"))</f>
        <v>0</v>
      </c>
    </row>
    <row r="77" spans="1:46" x14ac:dyDescent="0.2">
      <c r="A77" s="147">
        <v>78</v>
      </c>
      <c r="B77" s="147" t="str">
        <f>IF(TRIM('UX Weekly'!E77)="","",TRIM('UX Weekly'!E77))</f>
        <v/>
      </c>
      <c r="C77" s="147" t="str">
        <f>IF($B77="","",'UX Weekly'!B77)</f>
        <v/>
      </c>
      <c r="D77" s="147" t="str">
        <f>IF($B77="","",IF(TRIM('UX Weekly'!C77)="","(No theme assigned)",TRIM('UX Weekly'!C77)))</f>
        <v/>
      </c>
      <c r="E77" s="147" t="str">
        <f>IF($B77="","",TRIM('UX Weekly'!F77))</f>
        <v/>
      </c>
      <c r="F77" s="147" t="str">
        <f>IF($B77="","",'UX Weekly'!G77)</f>
        <v/>
      </c>
      <c r="G77" s="148" t="str">
        <f t="array" ref="G77">IF($B77="","",IF($S77=0,"",IFERROR(MIN(IF('UX Weekly'!$H77:$CT77&lt;&gt;"",'UX Weekly'!$H$1:$CT$1)),"")))</f>
        <v/>
      </c>
      <c r="H77" s="148" t="str">
        <f t="array" ref="H77">IF($B77="","",IF($S77=0,"",IFERROR(MAX(IF('UX Weekly'!$H77:$CT77&lt;&gt;"",'UX Weekly'!$H$1:$CT$1)),"")))</f>
        <v/>
      </c>
      <c r="I77" s="149" t="str">
        <f t="shared" ca="1" si="6"/>
        <v/>
      </c>
      <c r="J77" s="149" t="str">
        <f t="shared" ca="1" si="7"/>
        <v/>
      </c>
      <c r="K77" s="147" t="str">
        <f>IF($B77="","",IFERROR(MATCH($B77,'Dev Tracker'!$D$2:$D$196,0),IF($E77="","",IFERROR(MATCH($E77,'Dev Tracker'!$E$2:$E$196,0),""))))</f>
        <v/>
      </c>
      <c r="L77" s="147" t="str">
        <f>IF($B77="","",IFERROR(MATCH($D77,'Control (Don’t Touch)'!$E$4:$E$30,0),99))</f>
        <v/>
      </c>
      <c r="M77" s="147" t="str">
        <f>IF($B77="","",IFERROR(MATCH($F77,'Control (Don’t Touch)'!$B$4:$B$30,0),99))</f>
        <v/>
      </c>
      <c r="N77" s="147" t="str">
        <f t="shared" si="8"/>
        <v/>
      </c>
      <c r="O77" s="147" t="str">
        <f>IF($B77="","",COUNTIF($N$2:$N$204,"&lt;"&amp;$N77)+1)</f>
        <v/>
      </c>
      <c r="P77" s="149" t="str">
        <f ca="1">IF($K77="","",IFERROR(DATE(IFERROR(VALUE(RIGHT(TRIM(INDEX('Dev Tracker'!$I$2:$I$196,$K77)),4)),YEAR(TODAY())),MATCH(LEFT(TRIM(INDEX('Dev Tracker'!$I$2:$I$196,$K77)),3),$U$2:$U$12,0),1),""))</f>
        <v/>
      </c>
      <c r="Q77" s="149" t="str">
        <f ca="1">IF($K77="","",IFERROR(DATE(IFERROR(VALUE(RIGHT(TRIM(INDEX('Dev Tracker'!$J$2:$J$196,$K77)),4)),YEAR(TODAY())),MATCH(LEFT(TRIM(INDEX('Dev Tracker'!$J$2:$J$196,$K77)),3),$U$2:$U$12,0),1),""))</f>
        <v/>
      </c>
      <c r="R77" s="147"/>
      <c r="S77" s="147" t="str">
        <f>IF($B77="","",COUNTA('UX Weekly'!$H77:$CT77))</f>
        <v/>
      </c>
      <c r="W77">
        <f>IF($B77="",0,COUNTIFS('UX Weekly'!$H$1:$CT$1,"&gt;="&amp;W$1,'UX Weekly'!$H$1:$CT$1,"&lt;="&amp;EOMONTH(W$1,0),'UX Weekly'!$H77:$CT77,"&lt;&gt;"))</f>
        <v>0</v>
      </c>
      <c r="X77">
        <f>IF($B77="",0,COUNTIFS('UX Weekly'!$H$1:$CT$1,"&gt;="&amp;X$1,'UX Weekly'!$H$1:$CT$1,"&lt;="&amp;EOMONTH(X$1,0),'UX Weekly'!$H77:$CT77,"&lt;&gt;"))</f>
        <v>0</v>
      </c>
      <c r="Y77">
        <f>IF($B77="",0,COUNTIFS('UX Weekly'!$H$1:$CT$1,"&gt;="&amp;Y$1,'UX Weekly'!$H$1:$CT$1,"&lt;="&amp;EOMONTH(Y$1,0),'UX Weekly'!$H77:$CT77,"&lt;&gt;"))</f>
        <v>0</v>
      </c>
      <c r="Z77">
        <f>IF($B77="",0,COUNTIFS('UX Weekly'!$H$1:$CT$1,"&gt;="&amp;Z$1,'UX Weekly'!$H$1:$CT$1,"&lt;="&amp;EOMONTH(Z$1,0),'UX Weekly'!$H77:$CT77,"&lt;&gt;"))</f>
        <v>0</v>
      </c>
      <c r="AA77">
        <f>IF($B77="",0,COUNTIFS('UX Weekly'!$H$1:$CT$1,"&gt;="&amp;AA$1,'UX Weekly'!$H$1:$CT$1,"&lt;="&amp;EOMONTH(AA$1,0),'UX Weekly'!$H77:$CT77,"&lt;&gt;"))</f>
        <v>0</v>
      </c>
      <c r="AB77">
        <f>IF($B77="",0,COUNTIFS('UX Weekly'!$H$1:$CT$1,"&gt;="&amp;AB$1,'UX Weekly'!$H$1:$CT$1,"&lt;="&amp;EOMONTH(AB$1,0),'UX Weekly'!$H77:$CT77,"&lt;&gt;"))</f>
        <v>0</v>
      </c>
      <c r="AC77">
        <f>IF($B77="",0,COUNTIFS('UX Weekly'!$H$1:$CT$1,"&gt;="&amp;AC$1,'UX Weekly'!$H$1:$CT$1,"&lt;="&amp;EOMONTH(AC$1,0),'UX Weekly'!$H77:$CT77,"&lt;&gt;"))</f>
        <v>0</v>
      </c>
      <c r="AD77">
        <f>IF($B77="",0,COUNTIFS('UX Weekly'!$H$1:$CT$1,"&gt;="&amp;AD$1,'UX Weekly'!$H$1:$CT$1,"&lt;="&amp;EOMONTH(AD$1,0),'UX Weekly'!$H77:$CT77,"&lt;&gt;"))</f>
        <v>0</v>
      </c>
      <c r="AE77">
        <f>IF($B77="",0,COUNTIFS('UX Weekly'!$H$1:$CT$1,"&gt;="&amp;AE$1,'UX Weekly'!$H$1:$CT$1,"&lt;="&amp;EOMONTH(AE$1,0),'UX Weekly'!$H77:$CT77,"&lt;&gt;"))</f>
        <v>0</v>
      </c>
      <c r="AF77">
        <f>IF($B77="",0,COUNTIFS('UX Weekly'!$H$1:$CT$1,"&gt;="&amp;AF$1,'UX Weekly'!$H$1:$CT$1,"&lt;="&amp;EOMONTH(AF$1,0),'UX Weekly'!$H77:$CT77,"&lt;&gt;"))</f>
        <v>0</v>
      </c>
      <c r="AG77">
        <f>IF($B77="",0,COUNTIFS('UX Weekly'!$H$1:$CT$1,"&gt;="&amp;AG$1,'UX Weekly'!$H$1:$CT$1,"&lt;="&amp;EOMONTH(AG$1,0),'UX Weekly'!$H77:$CT77,"&lt;&gt;"))</f>
        <v>0</v>
      </c>
      <c r="AH77">
        <f>IF($B77="",0,COUNTIFS('UX Weekly'!$H$1:$CT$1,"&gt;="&amp;AH$1,'UX Weekly'!$H$1:$CT$1,"&lt;="&amp;EOMONTH(AH$1,0),'UX Weekly'!$H77:$CT77,"&lt;&gt;"))</f>
        <v>0</v>
      </c>
      <c r="AI77">
        <f>IF($B77="",0,COUNTIFS('UX Weekly'!$H$1:$CT$1,"&gt;="&amp;AI$1,'UX Weekly'!$H$1:$CT$1,"&lt;="&amp;EOMONTH(AI$1,0),'UX Weekly'!$H77:$CT77,"&lt;&gt;"))</f>
        <v>0</v>
      </c>
      <c r="AJ77">
        <f>IF($B77="",0,COUNTIFS('UX Weekly'!$H$1:$CT$1,"&gt;="&amp;AJ$1,'UX Weekly'!$H$1:$CT$1,"&lt;="&amp;EOMONTH(AJ$1,0),'UX Weekly'!$H77:$CT77,"&lt;&gt;"))</f>
        <v>0</v>
      </c>
      <c r="AK77">
        <f>IF($B77="",0,COUNTIFS('UX Weekly'!$H$1:$CT$1,"&gt;="&amp;AK$1,'UX Weekly'!$H$1:$CT$1,"&lt;="&amp;EOMONTH(AK$1,0),'UX Weekly'!$H77:$CT77,"&lt;&gt;"))</f>
        <v>0</v>
      </c>
      <c r="AL77">
        <f>IF($B77="",0,COUNTIFS('UX Weekly'!$H$1:$CT$1,"&gt;="&amp;AL$1,'UX Weekly'!$H$1:$CT$1,"&lt;="&amp;EOMONTH(AL$1,0),'UX Weekly'!$H77:$CT77,"&lt;&gt;"))</f>
        <v>0</v>
      </c>
      <c r="AM77">
        <f>IF($B77="",0,COUNTIFS('UX Weekly'!$H$1:$CT$1,"&gt;="&amp;AM$1,'UX Weekly'!$H$1:$CT$1,"&lt;="&amp;EOMONTH(AM$1,0),'UX Weekly'!$H77:$CT77,"&lt;&gt;"))</f>
        <v>0</v>
      </c>
      <c r="AN77">
        <f>IF($B77="",0,COUNTIFS('UX Weekly'!$H$1:$CT$1,"&gt;="&amp;AN$1,'UX Weekly'!$H$1:$CT$1,"&lt;="&amp;EOMONTH(AN$1,0),'UX Weekly'!$H77:$CT77,"&lt;&gt;"))</f>
        <v>0</v>
      </c>
      <c r="AO77">
        <f>IF($B77="",0,COUNTIFS('UX Weekly'!$H$1:$CT$1,"&gt;="&amp;AO$1,'UX Weekly'!$H$1:$CT$1,"&lt;="&amp;EOMONTH(AO$1,0),'UX Weekly'!$H77:$CT77,"&lt;&gt;"))</f>
        <v>0</v>
      </c>
      <c r="AP77">
        <f>IF($B77="",0,COUNTIFS('UX Weekly'!$H$1:$CT$1,"&gt;="&amp;AP$1,'UX Weekly'!$H$1:$CT$1,"&lt;="&amp;EOMONTH(AP$1,0),'UX Weekly'!$H77:$CT77,"&lt;&gt;"))</f>
        <v>0</v>
      </c>
      <c r="AQ77">
        <f>IF($B77="",0,COUNTIFS('UX Weekly'!$H$1:$CT$1,"&gt;="&amp;AQ$1,'UX Weekly'!$H$1:$CT$1,"&lt;="&amp;EOMONTH(AQ$1,0),'UX Weekly'!$H77:$CT77,"&lt;&gt;"))</f>
        <v>0</v>
      </c>
      <c r="AR77">
        <f>IF($B77="",0,COUNTIFS('UX Weekly'!$H$1:$CT$1,"&gt;="&amp;AR$1,'UX Weekly'!$H$1:$CT$1,"&lt;="&amp;EOMONTH(AR$1,0),'UX Weekly'!$H77:$CT77,"&lt;&gt;"))</f>
        <v>0</v>
      </c>
      <c r="AS77">
        <f>IF($B77="",0,COUNTIFS('UX Weekly'!$H$1:$CT$1,"&gt;="&amp;AS$1,'UX Weekly'!$H$1:$CT$1,"&lt;="&amp;EOMONTH(AS$1,0),'UX Weekly'!$H77:$CT77,"&lt;&gt;"))</f>
        <v>0</v>
      </c>
      <c r="AT77">
        <f>IF($B77="",0,COUNTIFS('UX Weekly'!$H$1:$CT$1,"&gt;="&amp;AT$1,'UX Weekly'!$H$1:$CT$1,"&lt;="&amp;EOMONTH(AT$1,0),'UX Weekly'!$H77:$CT77,"&lt;&gt;"))</f>
        <v>0</v>
      </c>
    </row>
    <row r="78" spans="1:46" x14ac:dyDescent="0.2">
      <c r="A78" s="147">
        <v>79</v>
      </c>
      <c r="B78" s="147" t="str">
        <f>IF(TRIM('UX Weekly'!E78)="","",TRIM('UX Weekly'!E78))</f>
        <v/>
      </c>
      <c r="C78" s="147" t="str">
        <f>IF($B78="","",'UX Weekly'!B78)</f>
        <v/>
      </c>
      <c r="D78" s="147" t="str">
        <f>IF($B78="","",IF(TRIM('UX Weekly'!C78)="","(No theme assigned)",TRIM('UX Weekly'!C78)))</f>
        <v/>
      </c>
      <c r="E78" s="147" t="str">
        <f>IF($B78="","",TRIM('UX Weekly'!F78))</f>
        <v/>
      </c>
      <c r="F78" s="147" t="str">
        <f>IF($B78="","",'UX Weekly'!G78)</f>
        <v/>
      </c>
      <c r="G78" s="148" t="str">
        <f t="array" ref="G78">IF($B78="","",IF($S78=0,"",IFERROR(MIN(IF('UX Weekly'!$H78:$CT78&lt;&gt;"",'UX Weekly'!$H$1:$CT$1)),"")))</f>
        <v/>
      </c>
      <c r="H78" s="148" t="str">
        <f t="array" ref="H78">IF($B78="","",IF($S78=0,"",IFERROR(MAX(IF('UX Weekly'!$H78:$CT78&lt;&gt;"",'UX Weekly'!$H$1:$CT$1)),"")))</f>
        <v/>
      </c>
      <c r="I78" s="149" t="str">
        <f t="shared" ca="1" si="6"/>
        <v/>
      </c>
      <c r="J78" s="149" t="str">
        <f t="shared" ca="1" si="7"/>
        <v/>
      </c>
      <c r="K78" s="147" t="str">
        <f>IF($B78="","",IFERROR(MATCH($B78,'Dev Tracker'!$D$2:$D$196,0),IF($E78="","",IFERROR(MATCH($E78,'Dev Tracker'!$E$2:$E$196,0),""))))</f>
        <v/>
      </c>
      <c r="L78" s="147" t="str">
        <f>IF($B78="","",IFERROR(MATCH($D78,'Control (Don’t Touch)'!$E$4:$E$30,0),99))</f>
        <v/>
      </c>
      <c r="M78" s="147" t="str">
        <f>IF($B78="","",IFERROR(MATCH($F78,'Control (Don’t Touch)'!$B$4:$B$30,0),99))</f>
        <v/>
      </c>
      <c r="N78" s="147" t="str">
        <f t="shared" si="8"/>
        <v/>
      </c>
      <c r="O78" s="147" t="str">
        <f>IF($B78="","",COUNTIF($N$2:$N$204,"&lt;"&amp;$N78)+1)</f>
        <v/>
      </c>
      <c r="P78" s="149" t="str">
        <f ca="1">IF($K78="","",IFERROR(DATE(IFERROR(VALUE(RIGHT(TRIM(INDEX('Dev Tracker'!$I$2:$I$196,$K78)),4)),YEAR(TODAY())),MATCH(LEFT(TRIM(INDEX('Dev Tracker'!$I$2:$I$196,$K78)),3),$U$2:$U$12,0),1),""))</f>
        <v/>
      </c>
      <c r="Q78" s="149" t="str">
        <f ca="1">IF($K78="","",IFERROR(DATE(IFERROR(VALUE(RIGHT(TRIM(INDEX('Dev Tracker'!$J$2:$J$196,$K78)),4)),YEAR(TODAY())),MATCH(LEFT(TRIM(INDEX('Dev Tracker'!$J$2:$J$196,$K78)),3),$U$2:$U$12,0),1),""))</f>
        <v/>
      </c>
      <c r="R78" s="147"/>
      <c r="S78" s="147" t="str">
        <f>IF($B78="","",COUNTA('UX Weekly'!$H78:$CT78))</f>
        <v/>
      </c>
      <c r="W78">
        <f>IF($B78="",0,COUNTIFS('UX Weekly'!$H$1:$CT$1,"&gt;="&amp;W$1,'UX Weekly'!$H$1:$CT$1,"&lt;="&amp;EOMONTH(W$1,0),'UX Weekly'!$H78:$CT78,"&lt;&gt;"))</f>
        <v>0</v>
      </c>
      <c r="X78">
        <f>IF($B78="",0,COUNTIFS('UX Weekly'!$H$1:$CT$1,"&gt;="&amp;X$1,'UX Weekly'!$H$1:$CT$1,"&lt;="&amp;EOMONTH(X$1,0),'UX Weekly'!$H78:$CT78,"&lt;&gt;"))</f>
        <v>0</v>
      </c>
      <c r="Y78">
        <f>IF($B78="",0,COUNTIFS('UX Weekly'!$H$1:$CT$1,"&gt;="&amp;Y$1,'UX Weekly'!$H$1:$CT$1,"&lt;="&amp;EOMONTH(Y$1,0),'UX Weekly'!$H78:$CT78,"&lt;&gt;"))</f>
        <v>0</v>
      </c>
      <c r="Z78">
        <f>IF($B78="",0,COUNTIFS('UX Weekly'!$H$1:$CT$1,"&gt;="&amp;Z$1,'UX Weekly'!$H$1:$CT$1,"&lt;="&amp;EOMONTH(Z$1,0),'UX Weekly'!$H78:$CT78,"&lt;&gt;"))</f>
        <v>0</v>
      </c>
      <c r="AA78">
        <f>IF($B78="",0,COUNTIFS('UX Weekly'!$H$1:$CT$1,"&gt;="&amp;AA$1,'UX Weekly'!$H$1:$CT$1,"&lt;="&amp;EOMONTH(AA$1,0),'UX Weekly'!$H78:$CT78,"&lt;&gt;"))</f>
        <v>0</v>
      </c>
      <c r="AB78">
        <f>IF($B78="",0,COUNTIFS('UX Weekly'!$H$1:$CT$1,"&gt;="&amp;AB$1,'UX Weekly'!$H$1:$CT$1,"&lt;="&amp;EOMONTH(AB$1,0),'UX Weekly'!$H78:$CT78,"&lt;&gt;"))</f>
        <v>0</v>
      </c>
      <c r="AC78">
        <f>IF($B78="",0,COUNTIFS('UX Weekly'!$H$1:$CT$1,"&gt;="&amp;AC$1,'UX Weekly'!$H$1:$CT$1,"&lt;="&amp;EOMONTH(AC$1,0),'UX Weekly'!$H78:$CT78,"&lt;&gt;"))</f>
        <v>0</v>
      </c>
      <c r="AD78">
        <f>IF($B78="",0,COUNTIFS('UX Weekly'!$H$1:$CT$1,"&gt;="&amp;AD$1,'UX Weekly'!$H$1:$CT$1,"&lt;="&amp;EOMONTH(AD$1,0),'UX Weekly'!$H78:$CT78,"&lt;&gt;"))</f>
        <v>0</v>
      </c>
      <c r="AE78">
        <f>IF($B78="",0,COUNTIFS('UX Weekly'!$H$1:$CT$1,"&gt;="&amp;AE$1,'UX Weekly'!$H$1:$CT$1,"&lt;="&amp;EOMONTH(AE$1,0),'UX Weekly'!$H78:$CT78,"&lt;&gt;"))</f>
        <v>0</v>
      </c>
      <c r="AF78">
        <f>IF($B78="",0,COUNTIFS('UX Weekly'!$H$1:$CT$1,"&gt;="&amp;AF$1,'UX Weekly'!$H$1:$CT$1,"&lt;="&amp;EOMONTH(AF$1,0),'UX Weekly'!$H78:$CT78,"&lt;&gt;"))</f>
        <v>0</v>
      </c>
      <c r="AG78">
        <f>IF($B78="",0,COUNTIFS('UX Weekly'!$H$1:$CT$1,"&gt;="&amp;AG$1,'UX Weekly'!$H$1:$CT$1,"&lt;="&amp;EOMONTH(AG$1,0),'UX Weekly'!$H78:$CT78,"&lt;&gt;"))</f>
        <v>0</v>
      </c>
      <c r="AH78">
        <f>IF($B78="",0,COUNTIFS('UX Weekly'!$H$1:$CT$1,"&gt;="&amp;AH$1,'UX Weekly'!$H$1:$CT$1,"&lt;="&amp;EOMONTH(AH$1,0),'UX Weekly'!$H78:$CT78,"&lt;&gt;"))</f>
        <v>0</v>
      </c>
      <c r="AI78">
        <f>IF($B78="",0,COUNTIFS('UX Weekly'!$H$1:$CT$1,"&gt;="&amp;AI$1,'UX Weekly'!$H$1:$CT$1,"&lt;="&amp;EOMONTH(AI$1,0),'UX Weekly'!$H78:$CT78,"&lt;&gt;"))</f>
        <v>0</v>
      </c>
      <c r="AJ78">
        <f>IF($B78="",0,COUNTIFS('UX Weekly'!$H$1:$CT$1,"&gt;="&amp;AJ$1,'UX Weekly'!$H$1:$CT$1,"&lt;="&amp;EOMONTH(AJ$1,0),'UX Weekly'!$H78:$CT78,"&lt;&gt;"))</f>
        <v>0</v>
      </c>
      <c r="AK78">
        <f>IF($B78="",0,COUNTIFS('UX Weekly'!$H$1:$CT$1,"&gt;="&amp;AK$1,'UX Weekly'!$H$1:$CT$1,"&lt;="&amp;EOMONTH(AK$1,0),'UX Weekly'!$H78:$CT78,"&lt;&gt;"))</f>
        <v>0</v>
      </c>
      <c r="AL78">
        <f>IF($B78="",0,COUNTIFS('UX Weekly'!$H$1:$CT$1,"&gt;="&amp;AL$1,'UX Weekly'!$H$1:$CT$1,"&lt;="&amp;EOMONTH(AL$1,0),'UX Weekly'!$H78:$CT78,"&lt;&gt;"))</f>
        <v>0</v>
      </c>
      <c r="AM78">
        <f>IF($B78="",0,COUNTIFS('UX Weekly'!$H$1:$CT$1,"&gt;="&amp;AM$1,'UX Weekly'!$H$1:$CT$1,"&lt;="&amp;EOMONTH(AM$1,0),'UX Weekly'!$H78:$CT78,"&lt;&gt;"))</f>
        <v>0</v>
      </c>
      <c r="AN78">
        <f>IF($B78="",0,COUNTIFS('UX Weekly'!$H$1:$CT$1,"&gt;="&amp;AN$1,'UX Weekly'!$H$1:$CT$1,"&lt;="&amp;EOMONTH(AN$1,0),'UX Weekly'!$H78:$CT78,"&lt;&gt;"))</f>
        <v>0</v>
      </c>
      <c r="AO78">
        <f>IF($B78="",0,COUNTIFS('UX Weekly'!$H$1:$CT$1,"&gt;="&amp;AO$1,'UX Weekly'!$H$1:$CT$1,"&lt;="&amp;EOMONTH(AO$1,0),'UX Weekly'!$H78:$CT78,"&lt;&gt;"))</f>
        <v>0</v>
      </c>
      <c r="AP78">
        <f>IF($B78="",0,COUNTIFS('UX Weekly'!$H$1:$CT$1,"&gt;="&amp;AP$1,'UX Weekly'!$H$1:$CT$1,"&lt;="&amp;EOMONTH(AP$1,0),'UX Weekly'!$H78:$CT78,"&lt;&gt;"))</f>
        <v>0</v>
      </c>
      <c r="AQ78">
        <f>IF($B78="",0,COUNTIFS('UX Weekly'!$H$1:$CT$1,"&gt;="&amp;AQ$1,'UX Weekly'!$H$1:$CT$1,"&lt;="&amp;EOMONTH(AQ$1,0),'UX Weekly'!$H78:$CT78,"&lt;&gt;"))</f>
        <v>0</v>
      </c>
      <c r="AR78">
        <f>IF($B78="",0,COUNTIFS('UX Weekly'!$H$1:$CT$1,"&gt;="&amp;AR$1,'UX Weekly'!$H$1:$CT$1,"&lt;="&amp;EOMONTH(AR$1,0),'UX Weekly'!$H78:$CT78,"&lt;&gt;"))</f>
        <v>0</v>
      </c>
      <c r="AS78">
        <f>IF($B78="",0,COUNTIFS('UX Weekly'!$H$1:$CT$1,"&gt;="&amp;AS$1,'UX Weekly'!$H$1:$CT$1,"&lt;="&amp;EOMONTH(AS$1,0),'UX Weekly'!$H78:$CT78,"&lt;&gt;"))</f>
        <v>0</v>
      </c>
      <c r="AT78">
        <f>IF($B78="",0,COUNTIFS('UX Weekly'!$H$1:$CT$1,"&gt;="&amp;AT$1,'UX Weekly'!$H$1:$CT$1,"&lt;="&amp;EOMONTH(AT$1,0),'UX Weekly'!$H78:$CT78,"&lt;&gt;"))</f>
        <v>0</v>
      </c>
    </row>
    <row r="79" spans="1:46" x14ac:dyDescent="0.2">
      <c r="A79" s="147">
        <v>80</v>
      </c>
      <c r="B79" s="147" t="str">
        <f>IF(TRIM('UX Weekly'!E79)="","",TRIM('UX Weekly'!E79))</f>
        <v/>
      </c>
      <c r="C79" s="147" t="str">
        <f>IF($B79="","",'UX Weekly'!B79)</f>
        <v/>
      </c>
      <c r="D79" s="147" t="str">
        <f>IF($B79="","",IF(TRIM('UX Weekly'!C79)="","(No theme assigned)",TRIM('UX Weekly'!C79)))</f>
        <v/>
      </c>
      <c r="E79" s="147" t="str">
        <f>IF($B79="","",TRIM('UX Weekly'!F79))</f>
        <v/>
      </c>
      <c r="F79" s="147" t="str">
        <f>IF($B79="","",'UX Weekly'!G79)</f>
        <v/>
      </c>
      <c r="G79" s="148" t="str">
        <f t="array" ref="G79">IF($B79="","",IF($S79=0,"",IFERROR(MIN(IF('UX Weekly'!$H79:$CT79&lt;&gt;"",'UX Weekly'!$H$1:$CT$1)),"")))</f>
        <v/>
      </c>
      <c r="H79" s="148" t="str">
        <f t="array" ref="H79">IF($B79="","",IF($S79=0,"",IFERROR(MAX(IF('UX Weekly'!$H79:$CT79&lt;&gt;"",'UX Weekly'!$H$1:$CT$1)),"")))</f>
        <v/>
      </c>
      <c r="I79" s="149" t="str">
        <f t="shared" ca="1" si="6"/>
        <v/>
      </c>
      <c r="J79" s="149" t="str">
        <f t="shared" ca="1" si="7"/>
        <v/>
      </c>
      <c r="K79" s="147" t="str">
        <f>IF($B79="","",IFERROR(MATCH($B79,'Dev Tracker'!$D$2:$D$196,0),IF($E79="","",IFERROR(MATCH($E79,'Dev Tracker'!$E$2:$E$196,0),""))))</f>
        <v/>
      </c>
      <c r="L79" s="147" t="str">
        <f>IF($B79="","",IFERROR(MATCH($D79,'Control (Don’t Touch)'!$E$4:$E$30,0),99))</f>
        <v/>
      </c>
      <c r="M79" s="147" t="str">
        <f>IF($B79="","",IFERROR(MATCH($F79,'Control (Don’t Touch)'!$B$4:$B$30,0),99))</f>
        <v/>
      </c>
      <c r="N79" s="147" t="str">
        <f t="shared" si="8"/>
        <v/>
      </c>
      <c r="O79" s="147" t="str">
        <f>IF($B79="","",COUNTIF($N$2:$N$204,"&lt;"&amp;$N79)+1)</f>
        <v/>
      </c>
      <c r="P79" s="149" t="str">
        <f ca="1">IF($K79="","",IFERROR(DATE(IFERROR(VALUE(RIGHT(TRIM(INDEX('Dev Tracker'!$I$2:$I$196,$K79)),4)),YEAR(TODAY())),MATCH(LEFT(TRIM(INDEX('Dev Tracker'!$I$2:$I$196,$K79)),3),$U$2:$U$12,0),1),""))</f>
        <v/>
      </c>
      <c r="Q79" s="149" t="str">
        <f ca="1">IF($K79="","",IFERROR(DATE(IFERROR(VALUE(RIGHT(TRIM(INDEX('Dev Tracker'!$J$2:$J$196,$K79)),4)),YEAR(TODAY())),MATCH(LEFT(TRIM(INDEX('Dev Tracker'!$J$2:$J$196,$K79)),3),$U$2:$U$12,0),1),""))</f>
        <v/>
      </c>
      <c r="R79" s="147"/>
      <c r="S79" s="147" t="str">
        <f>IF($B79="","",COUNTA('UX Weekly'!$H79:$CT79))</f>
        <v/>
      </c>
      <c r="W79">
        <f>IF($B79="",0,COUNTIFS('UX Weekly'!$H$1:$CT$1,"&gt;="&amp;W$1,'UX Weekly'!$H$1:$CT$1,"&lt;="&amp;EOMONTH(W$1,0),'UX Weekly'!$H79:$CT79,"&lt;&gt;"))</f>
        <v>0</v>
      </c>
      <c r="X79">
        <f>IF($B79="",0,COUNTIFS('UX Weekly'!$H$1:$CT$1,"&gt;="&amp;X$1,'UX Weekly'!$H$1:$CT$1,"&lt;="&amp;EOMONTH(X$1,0),'UX Weekly'!$H79:$CT79,"&lt;&gt;"))</f>
        <v>0</v>
      </c>
      <c r="Y79">
        <f>IF($B79="",0,COUNTIFS('UX Weekly'!$H$1:$CT$1,"&gt;="&amp;Y$1,'UX Weekly'!$H$1:$CT$1,"&lt;="&amp;EOMONTH(Y$1,0),'UX Weekly'!$H79:$CT79,"&lt;&gt;"))</f>
        <v>0</v>
      </c>
      <c r="Z79">
        <f>IF($B79="",0,COUNTIFS('UX Weekly'!$H$1:$CT$1,"&gt;="&amp;Z$1,'UX Weekly'!$H$1:$CT$1,"&lt;="&amp;EOMONTH(Z$1,0),'UX Weekly'!$H79:$CT79,"&lt;&gt;"))</f>
        <v>0</v>
      </c>
      <c r="AA79">
        <f>IF($B79="",0,COUNTIFS('UX Weekly'!$H$1:$CT$1,"&gt;="&amp;AA$1,'UX Weekly'!$H$1:$CT$1,"&lt;="&amp;EOMONTH(AA$1,0),'UX Weekly'!$H79:$CT79,"&lt;&gt;"))</f>
        <v>0</v>
      </c>
      <c r="AB79">
        <f>IF($B79="",0,COUNTIFS('UX Weekly'!$H$1:$CT$1,"&gt;="&amp;AB$1,'UX Weekly'!$H$1:$CT$1,"&lt;="&amp;EOMONTH(AB$1,0),'UX Weekly'!$H79:$CT79,"&lt;&gt;"))</f>
        <v>0</v>
      </c>
      <c r="AC79">
        <f>IF($B79="",0,COUNTIFS('UX Weekly'!$H$1:$CT$1,"&gt;="&amp;AC$1,'UX Weekly'!$H$1:$CT$1,"&lt;="&amp;EOMONTH(AC$1,0),'UX Weekly'!$H79:$CT79,"&lt;&gt;"))</f>
        <v>0</v>
      </c>
      <c r="AD79">
        <f>IF($B79="",0,COUNTIFS('UX Weekly'!$H$1:$CT$1,"&gt;="&amp;AD$1,'UX Weekly'!$H$1:$CT$1,"&lt;="&amp;EOMONTH(AD$1,0),'UX Weekly'!$H79:$CT79,"&lt;&gt;"))</f>
        <v>0</v>
      </c>
      <c r="AE79">
        <f>IF($B79="",0,COUNTIFS('UX Weekly'!$H$1:$CT$1,"&gt;="&amp;AE$1,'UX Weekly'!$H$1:$CT$1,"&lt;="&amp;EOMONTH(AE$1,0),'UX Weekly'!$H79:$CT79,"&lt;&gt;"))</f>
        <v>0</v>
      </c>
      <c r="AF79">
        <f>IF($B79="",0,COUNTIFS('UX Weekly'!$H$1:$CT$1,"&gt;="&amp;AF$1,'UX Weekly'!$H$1:$CT$1,"&lt;="&amp;EOMONTH(AF$1,0),'UX Weekly'!$H79:$CT79,"&lt;&gt;"))</f>
        <v>0</v>
      </c>
      <c r="AG79">
        <f>IF($B79="",0,COUNTIFS('UX Weekly'!$H$1:$CT$1,"&gt;="&amp;AG$1,'UX Weekly'!$H$1:$CT$1,"&lt;="&amp;EOMONTH(AG$1,0),'UX Weekly'!$H79:$CT79,"&lt;&gt;"))</f>
        <v>0</v>
      </c>
      <c r="AH79">
        <f>IF($B79="",0,COUNTIFS('UX Weekly'!$H$1:$CT$1,"&gt;="&amp;AH$1,'UX Weekly'!$H$1:$CT$1,"&lt;="&amp;EOMONTH(AH$1,0),'UX Weekly'!$H79:$CT79,"&lt;&gt;"))</f>
        <v>0</v>
      </c>
      <c r="AI79">
        <f>IF($B79="",0,COUNTIFS('UX Weekly'!$H$1:$CT$1,"&gt;="&amp;AI$1,'UX Weekly'!$H$1:$CT$1,"&lt;="&amp;EOMONTH(AI$1,0),'UX Weekly'!$H79:$CT79,"&lt;&gt;"))</f>
        <v>0</v>
      </c>
      <c r="AJ79">
        <f>IF($B79="",0,COUNTIFS('UX Weekly'!$H$1:$CT$1,"&gt;="&amp;AJ$1,'UX Weekly'!$H$1:$CT$1,"&lt;="&amp;EOMONTH(AJ$1,0),'UX Weekly'!$H79:$CT79,"&lt;&gt;"))</f>
        <v>0</v>
      </c>
      <c r="AK79">
        <f>IF($B79="",0,COUNTIFS('UX Weekly'!$H$1:$CT$1,"&gt;="&amp;AK$1,'UX Weekly'!$H$1:$CT$1,"&lt;="&amp;EOMONTH(AK$1,0),'UX Weekly'!$H79:$CT79,"&lt;&gt;"))</f>
        <v>0</v>
      </c>
      <c r="AL79">
        <f>IF($B79="",0,COUNTIFS('UX Weekly'!$H$1:$CT$1,"&gt;="&amp;AL$1,'UX Weekly'!$H$1:$CT$1,"&lt;="&amp;EOMONTH(AL$1,0),'UX Weekly'!$H79:$CT79,"&lt;&gt;"))</f>
        <v>0</v>
      </c>
      <c r="AM79">
        <f>IF($B79="",0,COUNTIFS('UX Weekly'!$H$1:$CT$1,"&gt;="&amp;AM$1,'UX Weekly'!$H$1:$CT$1,"&lt;="&amp;EOMONTH(AM$1,0),'UX Weekly'!$H79:$CT79,"&lt;&gt;"))</f>
        <v>0</v>
      </c>
      <c r="AN79">
        <f>IF($B79="",0,COUNTIFS('UX Weekly'!$H$1:$CT$1,"&gt;="&amp;AN$1,'UX Weekly'!$H$1:$CT$1,"&lt;="&amp;EOMONTH(AN$1,0),'UX Weekly'!$H79:$CT79,"&lt;&gt;"))</f>
        <v>0</v>
      </c>
      <c r="AO79">
        <f>IF($B79="",0,COUNTIFS('UX Weekly'!$H$1:$CT$1,"&gt;="&amp;AO$1,'UX Weekly'!$H$1:$CT$1,"&lt;="&amp;EOMONTH(AO$1,0),'UX Weekly'!$H79:$CT79,"&lt;&gt;"))</f>
        <v>0</v>
      </c>
      <c r="AP79">
        <f>IF($B79="",0,COUNTIFS('UX Weekly'!$H$1:$CT$1,"&gt;="&amp;AP$1,'UX Weekly'!$H$1:$CT$1,"&lt;="&amp;EOMONTH(AP$1,0),'UX Weekly'!$H79:$CT79,"&lt;&gt;"))</f>
        <v>0</v>
      </c>
      <c r="AQ79">
        <f>IF($B79="",0,COUNTIFS('UX Weekly'!$H$1:$CT$1,"&gt;="&amp;AQ$1,'UX Weekly'!$H$1:$CT$1,"&lt;="&amp;EOMONTH(AQ$1,0),'UX Weekly'!$H79:$CT79,"&lt;&gt;"))</f>
        <v>0</v>
      </c>
      <c r="AR79">
        <f>IF($B79="",0,COUNTIFS('UX Weekly'!$H$1:$CT$1,"&gt;="&amp;AR$1,'UX Weekly'!$H$1:$CT$1,"&lt;="&amp;EOMONTH(AR$1,0),'UX Weekly'!$H79:$CT79,"&lt;&gt;"))</f>
        <v>0</v>
      </c>
      <c r="AS79">
        <f>IF($B79="",0,COUNTIFS('UX Weekly'!$H$1:$CT$1,"&gt;="&amp;AS$1,'UX Weekly'!$H$1:$CT$1,"&lt;="&amp;EOMONTH(AS$1,0),'UX Weekly'!$H79:$CT79,"&lt;&gt;"))</f>
        <v>0</v>
      </c>
      <c r="AT79">
        <f>IF($B79="",0,COUNTIFS('UX Weekly'!$H$1:$CT$1,"&gt;="&amp;AT$1,'UX Weekly'!$H$1:$CT$1,"&lt;="&amp;EOMONTH(AT$1,0),'UX Weekly'!$H79:$CT79,"&lt;&gt;"))</f>
        <v>0</v>
      </c>
    </row>
    <row r="80" spans="1:46" x14ac:dyDescent="0.2">
      <c r="A80" s="147">
        <v>81</v>
      </c>
      <c r="B80" s="147" t="str">
        <f>IF(TRIM('UX Weekly'!E80)="","",TRIM('UX Weekly'!E80))</f>
        <v/>
      </c>
      <c r="C80" s="147" t="str">
        <f>IF($B80="","",'UX Weekly'!B80)</f>
        <v/>
      </c>
      <c r="D80" s="147" t="str">
        <f>IF($B80="","",IF(TRIM('UX Weekly'!C80)="","(No theme assigned)",TRIM('UX Weekly'!C80)))</f>
        <v/>
      </c>
      <c r="E80" s="147" t="str">
        <f>IF($B80="","",TRIM('UX Weekly'!F80))</f>
        <v/>
      </c>
      <c r="F80" s="147" t="str">
        <f>IF($B80="","",'UX Weekly'!G80)</f>
        <v/>
      </c>
      <c r="G80" s="148" t="str">
        <f t="array" ref="G80">IF($B80="","",IF($S80=0,"",IFERROR(MIN(IF('UX Weekly'!$H80:$CT80&lt;&gt;"",'UX Weekly'!$H$1:$CT$1)),"")))</f>
        <v/>
      </c>
      <c r="H80" s="148" t="str">
        <f t="array" ref="H80">IF($B80="","",IF($S80=0,"",IFERROR(MAX(IF('UX Weekly'!$H80:$CT80&lt;&gt;"",'UX Weekly'!$H$1:$CT$1)),"")))</f>
        <v/>
      </c>
      <c r="I80" s="149" t="str">
        <f t="shared" ca="1" si="6"/>
        <v/>
      </c>
      <c r="J80" s="149" t="str">
        <f t="shared" ca="1" si="7"/>
        <v/>
      </c>
      <c r="K80" s="147" t="str">
        <f>IF($B80="","",IFERROR(MATCH($B80,'Dev Tracker'!$D$2:$D$196,0),IF($E80="","",IFERROR(MATCH($E80,'Dev Tracker'!$E$2:$E$196,0),""))))</f>
        <v/>
      </c>
      <c r="L80" s="147" t="str">
        <f>IF($B80="","",IFERROR(MATCH($D80,'Control (Don’t Touch)'!$E$4:$E$30,0),99))</f>
        <v/>
      </c>
      <c r="M80" s="147" t="str">
        <f>IF($B80="","",IFERROR(MATCH($F80,'Control (Don’t Touch)'!$B$4:$B$30,0),99))</f>
        <v/>
      </c>
      <c r="N80" s="147" t="str">
        <f t="shared" si="8"/>
        <v/>
      </c>
      <c r="O80" s="147" t="str">
        <f>IF($B80="","",COUNTIF($N$2:$N$204,"&lt;"&amp;$N80)+1)</f>
        <v/>
      </c>
      <c r="P80" s="149" t="str">
        <f ca="1">IF($K80="","",IFERROR(DATE(IFERROR(VALUE(RIGHT(TRIM(INDEX('Dev Tracker'!$I$2:$I$196,$K80)),4)),YEAR(TODAY())),MATCH(LEFT(TRIM(INDEX('Dev Tracker'!$I$2:$I$196,$K80)),3),$U$2:$U$12,0),1),""))</f>
        <v/>
      </c>
      <c r="Q80" s="149" t="str">
        <f ca="1">IF($K80="","",IFERROR(DATE(IFERROR(VALUE(RIGHT(TRIM(INDEX('Dev Tracker'!$J$2:$J$196,$K80)),4)),YEAR(TODAY())),MATCH(LEFT(TRIM(INDEX('Dev Tracker'!$J$2:$J$196,$K80)),3),$U$2:$U$12,0),1),""))</f>
        <v/>
      </c>
      <c r="R80" s="147"/>
      <c r="S80" s="147" t="str">
        <f>IF($B80="","",COUNTA('UX Weekly'!$H80:$CT80))</f>
        <v/>
      </c>
      <c r="W80">
        <f>IF($B80="",0,COUNTIFS('UX Weekly'!$H$1:$CT$1,"&gt;="&amp;W$1,'UX Weekly'!$H$1:$CT$1,"&lt;="&amp;EOMONTH(W$1,0),'UX Weekly'!$H80:$CT80,"&lt;&gt;"))</f>
        <v>0</v>
      </c>
      <c r="X80">
        <f>IF($B80="",0,COUNTIFS('UX Weekly'!$H$1:$CT$1,"&gt;="&amp;X$1,'UX Weekly'!$H$1:$CT$1,"&lt;="&amp;EOMONTH(X$1,0),'UX Weekly'!$H80:$CT80,"&lt;&gt;"))</f>
        <v>0</v>
      </c>
      <c r="Y80">
        <f>IF($B80="",0,COUNTIFS('UX Weekly'!$H$1:$CT$1,"&gt;="&amp;Y$1,'UX Weekly'!$H$1:$CT$1,"&lt;="&amp;EOMONTH(Y$1,0),'UX Weekly'!$H80:$CT80,"&lt;&gt;"))</f>
        <v>0</v>
      </c>
      <c r="Z80">
        <f>IF($B80="",0,COUNTIFS('UX Weekly'!$H$1:$CT$1,"&gt;="&amp;Z$1,'UX Weekly'!$H$1:$CT$1,"&lt;="&amp;EOMONTH(Z$1,0),'UX Weekly'!$H80:$CT80,"&lt;&gt;"))</f>
        <v>0</v>
      </c>
      <c r="AA80">
        <f>IF($B80="",0,COUNTIFS('UX Weekly'!$H$1:$CT$1,"&gt;="&amp;AA$1,'UX Weekly'!$H$1:$CT$1,"&lt;="&amp;EOMONTH(AA$1,0),'UX Weekly'!$H80:$CT80,"&lt;&gt;"))</f>
        <v>0</v>
      </c>
      <c r="AB80">
        <f>IF($B80="",0,COUNTIFS('UX Weekly'!$H$1:$CT$1,"&gt;="&amp;AB$1,'UX Weekly'!$H$1:$CT$1,"&lt;="&amp;EOMONTH(AB$1,0),'UX Weekly'!$H80:$CT80,"&lt;&gt;"))</f>
        <v>0</v>
      </c>
      <c r="AC80">
        <f>IF($B80="",0,COUNTIFS('UX Weekly'!$H$1:$CT$1,"&gt;="&amp;AC$1,'UX Weekly'!$H$1:$CT$1,"&lt;="&amp;EOMONTH(AC$1,0),'UX Weekly'!$H80:$CT80,"&lt;&gt;"))</f>
        <v>0</v>
      </c>
      <c r="AD80">
        <f>IF($B80="",0,COUNTIFS('UX Weekly'!$H$1:$CT$1,"&gt;="&amp;AD$1,'UX Weekly'!$H$1:$CT$1,"&lt;="&amp;EOMONTH(AD$1,0),'UX Weekly'!$H80:$CT80,"&lt;&gt;"))</f>
        <v>0</v>
      </c>
      <c r="AE80">
        <f>IF($B80="",0,COUNTIFS('UX Weekly'!$H$1:$CT$1,"&gt;="&amp;AE$1,'UX Weekly'!$H$1:$CT$1,"&lt;="&amp;EOMONTH(AE$1,0),'UX Weekly'!$H80:$CT80,"&lt;&gt;"))</f>
        <v>0</v>
      </c>
      <c r="AF80">
        <f>IF($B80="",0,COUNTIFS('UX Weekly'!$H$1:$CT$1,"&gt;="&amp;AF$1,'UX Weekly'!$H$1:$CT$1,"&lt;="&amp;EOMONTH(AF$1,0),'UX Weekly'!$H80:$CT80,"&lt;&gt;"))</f>
        <v>0</v>
      </c>
      <c r="AG80">
        <f>IF($B80="",0,COUNTIFS('UX Weekly'!$H$1:$CT$1,"&gt;="&amp;AG$1,'UX Weekly'!$H$1:$CT$1,"&lt;="&amp;EOMONTH(AG$1,0),'UX Weekly'!$H80:$CT80,"&lt;&gt;"))</f>
        <v>0</v>
      </c>
      <c r="AH80">
        <f>IF($B80="",0,COUNTIFS('UX Weekly'!$H$1:$CT$1,"&gt;="&amp;AH$1,'UX Weekly'!$H$1:$CT$1,"&lt;="&amp;EOMONTH(AH$1,0),'UX Weekly'!$H80:$CT80,"&lt;&gt;"))</f>
        <v>0</v>
      </c>
      <c r="AI80">
        <f>IF($B80="",0,COUNTIFS('UX Weekly'!$H$1:$CT$1,"&gt;="&amp;AI$1,'UX Weekly'!$H$1:$CT$1,"&lt;="&amp;EOMONTH(AI$1,0),'UX Weekly'!$H80:$CT80,"&lt;&gt;"))</f>
        <v>0</v>
      </c>
      <c r="AJ80">
        <f>IF($B80="",0,COUNTIFS('UX Weekly'!$H$1:$CT$1,"&gt;="&amp;AJ$1,'UX Weekly'!$H$1:$CT$1,"&lt;="&amp;EOMONTH(AJ$1,0),'UX Weekly'!$H80:$CT80,"&lt;&gt;"))</f>
        <v>0</v>
      </c>
      <c r="AK80">
        <f>IF($B80="",0,COUNTIFS('UX Weekly'!$H$1:$CT$1,"&gt;="&amp;AK$1,'UX Weekly'!$H$1:$CT$1,"&lt;="&amp;EOMONTH(AK$1,0),'UX Weekly'!$H80:$CT80,"&lt;&gt;"))</f>
        <v>0</v>
      </c>
      <c r="AL80">
        <f>IF($B80="",0,COUNTIFS('UX Weekly'!$H$1:$CT$1,"&gt;="&amp;AL$1,'UX Weekly'!$H$1:$CT$1,"&lt;="&amp;EOMONTH(AL$1,0),'UX Weekly'!$H80:$CT80,"&lt;&gt;"))</f>
        <v>0</v>
      </c>
      <c r="AM80">
        <f>IF($B80="",0,COUNTIFS('UX Weekly'!$H$1:$CT$1,"&gt;="&amp;AM$1,'UX Weekly'!$H$1:$CT$1,"&lt;="&amp;EOMONTH(AM$1,0),'UX Weekly'!$H80:$CT80,"&lt;&gt;"))</f>
        <v>0</v>
      </c>
      <c r="AN80">
        <f>IF($B80="",0,COUNTIFS('UX Weekly'!$H$1:$CT$1,"&gt;="&amp;AN$1,'UX Weekly'!$H$1:$CT$1,"&lt;="&amp;EOMONTH(AN$1,0),'UX Weekly'!$H80:$CT80,"&lt;&gt;"))</f>
        <v>0</v>
      </c>
      <c r="AO80">
        <f>IF($B80="",0,COUNTIFS('UX Weekly'!$H$1:$CT$1,"&gt;="&amp;AO$1,'UX Weekly'!$H$1:$CT$1,"&lt;="&amp;EOMONTH(AO$1,0),'UX Weekly'!$H80:$CT80,"&lt;&gt;"))</f>
        <v>0</v>
      </c>
      <c r="AP80">
        <f>IF($B80="",0,COUNTIFS('UX Weekly'!$H$1:$CT$1,"&gt;="&amp;AP$1,'UX Weekly'!$H$1:$CT$1,"&lt;="&amp;EOMONTH(AP$1,0),'UX Weekly'!$H80:$CT80,"&lt;&gt;"))</f>
        <v>0</v>
      </c>
      <c r="AQ80">
        <f>IF($B80="",0,COUNTIFS('UX Weekly'!$H$1:$CT$1,"&gt;="&amp;AQ$1,'UX Weekly'!$H$1:$CT$1,"&lt;="&amp;EOMONTH(AQ$1,0),'UX Weekly'!$H80:$CT80,"&lt;&gt;"))</f>
        <v>0</v>
      </c>
      <c r="AR80">
        <f>IF($B80="",0,COUNTIFS('UX Weekly'!$H$1:$CT$1,"&gt;="&amp;AR$1,'UX Weekly'!$H$1:$CT$1,"&lt;="&amp;EOMONTH(AR$1,0),'UX Weekly'!$H80:$CT80,"&lt;&gt;"))</f>
        <v>0</v>
      </c>
      <c r="AS80">
        <f>IF($B80="",0,COUNTIFS('UX Weekly'!$H$1:$CT$1,"&gt;="&amp;AS$1,'UX Weekly'!$H$1:$CT$1,"&lt;="&amp;EOMONTH(AS$1,0),'UX Weekly'!$H80:$CT80,"&lt;&gt;"))</f>
        <v>0</v>
      </c>
      <c r="AT80">
        <f>IF($B80="",0,COUNTIFS('UX Weekly'!$H$1:$CT$1,"&gt;="&amp;AT$1,'UX Weekly'!$H$1:$CT$1,"&lt;="&amp;EOMONTH(AT$1,0),'UX Weekly'!$H80:$CT80,"&lt;&gt;"))</f>
        <v>0</v>
      </c>
    </row>
    <row r="81" spans="1:46" x14ac:dyDescent="0.2">
      <c r="A81" s="147">
        <v>82</v>
      </c>
      <c r="B81" s="147" t="str">
        <f>IF(TRIM('UX Weekly'!E81)="","",TRIM('UX Weekly'!E81))</f>
        <v/>
      </c>
      <c r="C81" s="147" t="str">
        <f>IF($B81="","",'UX Weekly'!B81)</f>
        <v/>
      </c>
      <c r="D81" s="147" t="str">
        <f>IF($B81="","",IF(TRIM('UX Weekly'!C81)="","(No theme assigned)",TRIM('UX Weekly'!C81)))</f>
        <v/>
      </c>
      <c r="E81" s="147" t="str">
        <f>IF($B81="","",TRIM('UX Weekly'!F81))</f>
        <v/>
      </c>
      <c r="F81" s="147" t="str">
        <f>IF($B81="","",'UX Weekly'!G81)</f>
        <v/>
      </c>
      <c r="G81" s="148" t="str">
        <f t="array" ref="G81">IF($B81="","",IF($S81=0,"",IFERROR(MIN(IF('UX Weekly'!$H81:$CT81&lt;&gt;"",'UX Weekly'!$H$1:$CT$1)),"")))</f>
        <v/>
      </c>
      <c r="H81" s="148" t="str">
        <f t="array" ref="H81">IF($B81="","",IF($S81=0,"",IFERROR(MAX(IF('UX Weekly'!$H81:$CT81&lt;&gt;"",'UX Weekly'!$H$1:$CT$1)),"")))</f>
        <v/>
      </c>
      <c r="I81" s="149" t="str">
        <f t="shared" ca="1" si="6"/>
        <v/>
      </c>
      <c r="J81" s="149" t="str">
        <f t="shared" ca="1" si="7"/>
        <v/>
      </c>
      <c r="K81" s="147" t="str">
        <f>IF($B81="","",IFERROR(MATCH($B81,'Dev Tracker'!$D$2:$D$196,0),IF($E81="","",IFERROR(MATCH($E81,'Dev Tracker'!$E$2:$E$196,0),""))))</f>
        <v/>
      </c>
      <c r="L81" s="147" t="str">
        <f>IF($B81="","",IFERROR(MATCH($D81,'Control (Don’t Touch)'!$E$4:$E$30,0),99))</f>
        <v/>
      </c>
      <c r="M81" s="147" t="str">
        <f>IF($B81="","",IFERROR(MATCH($F81,'Control (Don’t Touch)'!$B$4:$B$30,0),99))</f>
        <v/>
      </c>
      <c r="N81" s="147" t="str">
        <f t="shared" si="8"/>
        <v/>
      </c>
      <c r="O81" s="147" t="str">
        <f>IF($B81="","",COUNTIF($N$2:$N$204,"&lt;"&amp;$N81)+1)</f>
        <v/>
      </c>
      <c r="P81" s="149" t="str">
        <f ca="1">IF($K81="","",IFERROR(DATE(IFERROR(VALUE(RIGHT(TRIM(INDEX('Dev Tracker'!$I$2:$I$196,$K81)),4)),YEAR(TODAY())),MATCH(LEFT(TRIM(INDEX('Dev Tracker'!$I$2:$I$196,$K81)),3),$U$2:$U$12,0),1),""))</f>
        <v/>
      </c>
      <c r="Q81" s="149" t="str">
        <f ca="1">IF($K81="","",IFERROR(DATE(IFERROR(VALUE(RIGHT(TRIM(INDEX('Dev Tracker'!$J$2:$J$196,$K81)),4)),YEAR(TODAY())),MATCH(LEFT(TRIM(INDEX('Dev Tracker'!$J$2:$J$196,$K81)),3),$U$2:$U$12,0),1),""))</f>
        <v/>
      </c>
      <c r="R81" s="147"/>
      <c r="S81" s="147" t="str">
        <f>IF($B81="","",COUNTA('UX Weekly'!$H81:$CT81))</f>
        <v/>
      </c>
      <c r="W81">
        <f>IF($B81="",0,COUNTIFS('UX Weekly'!$H$1:$CT$1,"&gt;="&amp;W$1,'UX Weekly'!$H$1:$CT$1,"&lt;="&amp;EOMONTH(W$1,0),'UX Weekly'!$H81:$CT81,"&lt;&gt;"))</f>
        <v>0</v>
      </c>
      <c r="X81">
        <f>IF($B81="",0,COUNTIFS('UX Weekly'!$H$1:$CT$1,"&gt;="&amp;X$1,'UX Weekly'!$H$1:$CT$1,"&lt;="&amp;EOMONTH(X$1,0),'UX Weekly'!$H81:$CT81,"&lt;&gt;"))</f>
        <v>0</v>
      </c>
      <c r="Y81">
        <f>IF($B81="",0,COUNTIFS('UX Weekly'!$H$1:$CT$1,"&gt;="&amp;Y$1,'UX Weekly'!$H$1:$CT$1,"&lt;="&amp;EOMONTH(Y$1,0),'UX Weekly'!$H81:$CT81,"&lt;&gt;"))</f>
        <v>0</v>
      </c>
      <c r="Z81">
        <f>IF($B81="",0,COUNTIFS('UX Weekly'!$H$1:$CT$1,"&gt;="&amp;Z$1,'UX Weekly'!$H$1:$CT$1,"&lt;="&amp;EOMONTH(Z$1,0),'UX Weekly'!$H81:$CT81,"&lt;&gt;"))</f>
        <v>0</v>
      </c>
      <c r="AA81">
        <f>IF($B81="",0,COUNTIFS('UX Weekly'!$H$1:$CT$1,"&gt;="&amp;AA$1,'UX Weekly'!$H$1:$CT$1,"&lt;="&amp;EOMONTH(AA$1,0),'UX Weekly'!$H81:$CT81,"&lt;&gt;"))</f>
        <v>0</v>
      </c>
      <c r="AB81">
        <f>IF($B81="",0,COUNTIFS('UX Weekly'!$H$1:$CT$1,"&gt;="&amp;AB$1,'UX Weekly'!$H$1:$CT$1,"&lt;="&amp;EOMONTH(AB$1,0),'UX Weekly'!$H81:$CT81,"&lt;&gt;"))</f>
        <v>0</v>
      </c>
      <c r="AC81">
        <f>IF($B81="",0,COUNTIFS('UX Weekly'!$H$1:$CT$1,"&gt;="&amp;AC$1,'UX Weekly'!$H$1:$CT$1,"&lt;="&amp;EOMONTH(AC$1,0),'UX Weekly'!$H81:$CT81,"&lt;&gt;"))</f>
        <v>0</v>
      </c>
      <c r="AD81">
        <f>IF($B81="",0,COUNTIFS('UX Weekly'!$H$1:$CT$1,"&gt;="&amp;AD$1,'UX Weekly'!$H$1:$CT$1,"&lt;="&amp;EOMONTH(AD$1,0),'UX Weekly'!$H81:$CT81,"&lt;&gt;"))</f>
        <v>0</v>
      </c>
      <c r="AE81">
        <f>IF($B81="",0,COUNTIFS('UX Weekly'!$H$1:$CT$1,"&gt;="&amp;AE$1,'UX Weekly'!$H$1:$CT$1,"&lt;="&amp;EOMONTH(AE$1,0),'UX Weekly'!$H81:$CT81,"&lt;&gt;"))</f>
        <v>0</v>
      </c>
      <c r="AF81">
        <f>IF($B81="",0,COUNTIFS('UX Weekly'!$H$1:$CT$1,"&gt;="&amp;AF$1,'UX Weekly'!$H$1:$CT$1,"&lt;="&amp;EOMONTH(AF$1,0),'UX Weekly'!$H81:$CT81,"&lt;&gt;"))</f>
        <v>0</v>
      </c>
      <c r="AG81">
        <f>IF($B81="",0,COUNTIFS('UX Weekly'!$H$1:$CT$1,"&gt;="&amp;AG$1,'UX Weekly'!$H$1:$CT$1,"&lt;="&amp;EOMONTH(AG$1,0),'UX Weekly'!$H81:$CT81,"&lt;&gt;"))</f>
        <v>0</v>
      </c>
      <c r="AH81">
        <f>IF($B81="",0,COUNTIFS('UX Weekly'!$H$1:$CT$1,"&gt;="&amp;AH$1,'UX Weekly'!$H$1:$CT$1,"&lt;="&amp;EOMONTH(AH$1,0),'UX Weekly'!$H81:$CT81,"&lt;&gt;"))</f>
        <v>0</v>
      </c>
      <c r="AI81">
        <f>IF($B81="",0,COUNTIFS('UX Weekly'!$H$1:$CT$1,"&gt;="&amp;AI$1,'UX Weekly'!$H$1:$CT$1,"&lt;="&amp;EOMONTH(AI$1,0),'UX Weekly'!$H81:$CT81,"&lt;&gt;"))</f>
        <v>0</v>
      </c>
      <c r="AJ81">
        <f>IF($B81="",0,COUNTIFS('UX Weekly'!$H$1:$CT$1,"&gt;="&amp;AJ$1,'UX Weekly'!$H$1:$CT$1,"&lt;="&amp;EOMONTH(AJ$1,0),'UX Weekly'!$H81:$CT81,"&lt;&gt;"))</f>
        <v>0</v>
      </c>
      <c r="AK81">
        <f>IF($B81="",0,COUNTIFS('UX Weekly'!$H$1:$CT$1,"&gt;="&amp;AK$1,'UX Weekly'!$H$1:$CT$1,"&lt;="&amp;EOMONTH(AK$1,0),'UX Weekly'!$H81:$CT81,"&lt;&gt;"))</f>
        <v>0</v>
      </c>
      <c r="AL81">
        <f>IF($B81="",0,COUNTIFS('UX Weekly'!$H$1:$CT$1,"&gt;="&amp;AL$1,'UX Weekly'!$H$1:$CT$1,"&lt;="&amp;EOMONTH(AL$1,0),'UX Weekly'!$H81:$CT81,"&lt;&gt;"))</f>
        <v>0</v>
      </c>
      <c r="AM81">
        <f>IF($B81="",0,COUNTIFS('UX Weekly'!$H$1:$CT$1,"&gt;="&amp;AM$1,'UX Weekly'!$H$1:$CT$1,"&lt;="&amp;EOMONTH(AM$1,0),'UX Weekly'!$H81:$CT81,"&lt;&gt;"))</f>
        <v>0</v>
      </c>
      <c r="AN81">
        <f>IF($B81="",0,COUNTIFS('UX Weekly'!$H$1:$CT$1,"&gt;="&amp;AN$1,'UX Weekly'!$H$1:$CT$1,"&lt;="&amp;EOMONTH(AN$1,0),'UX Weekly'!$H81:$CT81,"&lt;&gt;"))</f>
        <v>0</v>
      </c>
      <c r="AO81">
        <f>IF($B81="",0,COUNTIFS('UX Weekly'!$H$1:$CT$1,"&gt;="&amp;AO$1,'UX Weekly'!$H$1:$CT$1,"&lt;="&amp;EOMONTH(AO$1,0),'UX Weekly'!$H81:$CT81,"&lt;&gt;"))</f>
        <v>0</v>
      </c>
      <c r="AP81">
        <f>IF($B81="",0,COUNTIFS('UX Weekly'!$H$1:$CT$1,"&gt;="&amp;AP$1,'UX Weekly'!$H$1:$CT$1,"&lt;="&amp;EOMONTH(AP$1,0),'UX Weekly'!$H81:$CT81,"&lt;&gt;"))</f>
        <v>0</v>
      </c>
      <c r="AQ81">
        <f>IF($B81="",0,COUNTIFS('UX Weekly'!$H$1:$CT$1,"&gt;="&amp;AQ$1,'UX Weekly'!$H$1:$CT$1,"&lt;="&amp;EOMONTH(AQ$1,0),'UX Weekly'!$H81:$CT81,"&lt;&gt;"))</f>
        <v>0</v>
      </c>
      <c r="AR81">
        <f>IF($B81="",0,COUNTIFS('UX Weekly'!$H$1:$CT$1,"&gt;="&amp;AR$1,'UX Weekly'!$H$1:$CT$1,"&lt;="&amp;EOMONTH(AR$1,0),'UX Weekly'!$H81:$CT81,"&lt;&gt;"))</f>
        <v>0</v>
      </c>
      <c r="AS81">
        <f>IF($B81="",0,COUNTIFS('UX Weekly'!$H$1:$CT$1,"&gt;="&amp;AS$1,'UX Weekly'!$H$1:$CT$1,"&lt;="&amp;EOMONTH(AS$1,0),'UX Weekly'!$H81:$CT81,"&lt;&gt;"))</f>
        <v>0</v>
      </c>
      <c r="AT81">
        <f>IF($B81="",0,COUNTIFS('UX Weekly'!$H$1:$CT$1,"&gt;="&amp;AT$1,'UX Weekly'!$H$1:$CT$1,"&lt;="&amp;EOMONTH(AT$1,0),'UX Weekly'!$H81:$CT81,"&lt;&gt;"))</f>
        <v>0</v>
      </c>
    </row>
    <row r="82" spans="1:46" x14ac:dyDescent="0.2">
      <c r="A82" s="147">
        <v>83</v>
      </c>
      <c r="B82" s="147" t="str">
        <f>IF(TRIM('UX Weekly'!E82)="","",TRIM('UX Weekly'!E82))</f>
        <v/>
      </c>
      <c r="C82" s="147" t="str">
        <f>IF($B82="","",'UX Weekly'!B82)</f>
        <v/>
      </c>
      <c r="D82" s="147" t="str">
        <f>IF($B82="","",IF(TRIM('UX Weekly'!C82)="","(No theme assigned)",TRIM('UX Weekly'!C82)))</f>
        <v/>
      </c>
      <c r="E82" s="147" t="str">
        <f>IF($B82="","",TRIM('UX Weekly'!F82))</f>
        <v/>
      </c>
      <c r="F82" s="147" t="str">
        <f>IF($B82="","",'UX Weekly'!G82)</f>
        <v/>
      </c>
      <c r="G82" s="148" t="str">
        <f t="array" ref="G82">IF($B82="","",IF($S82=0,"",IFERROR(MIN(IF('UX Weekly'!$H82:$CT82&lt;&gt;"",'UX Weekly'!$H$1:$CT$1)),"")))</f>
        <v/>
      </c>
      <c r="H82" s="148" t="str">
        <f t="array" ref="H82">IF($B82="","",IF($S82=0,"",IFERROR(MAX(IF('UX Weekly'!$H82:$CT82&lt;&gt;"",'UX Weekly'!$H$1:$CT$1)),"")))</f>
        <v/>
      </c>
      <c r="I82" s="149" t="str">
        <f t="shared" ca="1" si="6"/>
        <v/>
      </c>
      <c r="J82" s="149" t="str">
        <f t="shared" ca="1" si="7"/>
        <v/>
      </c>
      <c r="K82" s="147" t="str">
        <f>IF($B82="","",IFERROR(MATCH($B82,'Dev Tracker'!$D$2:$D$196,0),IF($E82="","",IFERROR(MATCH($E82,'Dev Tracker'!$E$2:$E$196,0),""))))</f>
        <v/>
      </c>
      <c r="L82" s="147" t="str">
        <f>IF($B82="","",IFERROR(MATCH($D82,'Control (Don’t Touch)'!$E$4:$E$30,0),99))</f>
        <v/>
      </c>
      <c r="M82" s="147" t="str">
        <f>IF($B82="","",IFERROR(MATCH($F82,'Control (Don’t Touch)'!$B$4:$B$30,0),99))</f>
        <v/>
      </c>
      <c r="N82" s="147" t="str">
        <f t="shared" si="8"/>
        <v/>
      </c>
      <c r="O82" s="147" t="str">
        <f>IF($B82="","",COUNTIF($N$2:$N$204,"&lt;"&amp;$N82)+1)</f>
        <v/>
      </c>
      <c r="P82" s="149" t="str">
        <f ca="1">IF($K82="","",IFERROR(DATE(IFERROR(VALUE(RIGHT(TRIM(INDEX('Dev Tracker'!$I$2:$I$196,$K82)),4)),YEAR(TODAY())),MATCH(LEFT(TRIM(INDEX('Dev Tracker'!$I$2:$I$196,$K82)),3),$U$2:$U$12,0),1),""))</f>
        <v/>
      </c>
      <c r="Q82" s="149" t="str">
        <f ca="1">IF($K82="","",IFERROR(DATE(IFERROR(VALUE(RIGHT(TRIM(INDEX('Dev Tracker'!$J$2:$J$196,$K82)),4)),YEAR(TODAY())),MATCH(LEFT(TRIM(INDEX('Dev Tracker'!$J$2:$J$196,$K82)),3),$U$2:$U$12,0),1),""))</f>
        <v/>
      </c>
      <c r="R82" s="147"/>
      <c r="S82" s="147" t="str">
        <f>IF($B82="","",COUNTA('UX Weekly'!$H82:$CT82))</f>
        <v/>
      </c>
      <c r="W82">
        <f>IF($B82="",0,COUNTIFS('UX Weekly'!$H$1:$CT$1,"&gt;="&amp;W$1,'UX Weekly'!$H$1:$CT$1,"&lt;="&amp;EOMONTH(W$1,0),'UX Weekly'!$H82:$CT82,"&lt;&gt;"))</f>
        <v>0</v>
      </c>
      <c r="X82">
        <f>IF($B82="",0,COUNTIFS('UX Weekly'!$H$1:$CT$1,"&gt;="&amp;X$1,'UX Weekly'!$H$1:$CT$1,"&lt;="&amp;EOMONTH(X$1,0),'UX Weekly'!$H82:$CT82,"&lt;&gt;"))</f>
        <v>0</v>
      </c>
      <c r="Y82">
        <f>IF($B82="",0,COUNTIFS('UX Weekly'!$H$1:$CT$1,"&gt;="&amp;Y$1,'UX Weekly'!$H$1:$CT$1,"&lt;="&amp;EOMONTH(Y$1,0),'UX Weekly'!$H82:$CT82,"&lt;&gt;"))</f>
        <v>0</v>
      </c>
      <c r="Z82">
        <f>IF($B82="",0,COUNTIFS('UX Weekly'!$H$1:$CT$1,"&gt;="&amp;Z$1,'UX Weekly'!$H$1:$CT$1,"&lt;="&amp;EOMONTH(Z$1,0),'UX Weekly'!$H82:$CT82,"&lt;&gt;"))</f>
        <v>0</v>
      </c>
      <c r="AA82">
        <f>IF($B82="",0,COUNTIFS('UX Weekly'!$H$1:$CT$1,"&gt;="&amp;AA$1,'UX Weekly'!$H$1:$CT$1,"&lt;="&amp;EOMONTH(AA$1,0),'UX Weekly'!$H82:$CT82,"&lt;&gt;"))</f>
        <v>0</v>
      </c>
      <c r="AB82">
        <f>IF($B82="",0,COUNTIFS('UX Weekly'!$H$1:$CT$1,"&gt;="&amp;AB$1,'UX Weekly'!$H$1:$CT$1,"&lt;="&amp;EOMONTH(AB$1,0),'UX Weekly'!$H82:$CT82,"&lt;&gt;"))</f>
        <v>0</v>
      </c>
      <c r="AC82">
        <f>IF($B82="",0,COUNTIFS('UX Weekly'!$H$1:$CT$1,"&gt;="&amp;AC$1,'UX Weekly'!$H$1:$CT$1,"&lt;="&amp;EOMONTH(AC$1,0),'UX Weekly'!$H82:$CT82,"&lt;&gt;"))</f>
        <v>0</v>
      </c>
      <c r="AD82">
        <f>IF($B82="",0,COUNTIFS('UX Weekly'!$H$1:$CT$1,"&gt;="&amp;AD$1,'UX Weekly'!$H$1:$CT$1,"&lt;="&amp;EOMONTH(AD$1,0),'UX Weekly'!$H82:$CT82,"&lt;&gt;"))</f>
        <v>0</v>
      </c>
      <c r="AE82">
        <f>IF($B82="",0,COUNTIFS('UX Weekly'!$H$1:$CT$1,"&gt;="&amp;AE$1,'UX Weekly'!$H$1:$CT$1,"&lt;="&amp;EOMONTH(AE$1,0),'UX Weekly'!$H82:$CT82,"&lt;&gt;"))</f>
        <v>0</v>
      </c>
      <c r="AF82">
        <f>IF($B82="",0,COUNTIFS('UX Weekly'!$H$1:$CT$1,"&gt;="&amp;AF$1,'UX Weekly'!$H$1:$CT$1,"&lt;="&amp;EOMONTH(AF$1,0),'UX Weekly'!$H82:$CT82,"&lt;&gt;"))</f>
        <v>0</v>
      </c>
      <c r="AG82">
        <f>IF($B82="",0,COUNTIFS('UX Weekly'!$H$1:$CT$1,"&gt;="&amp;AG$1,'UX Weekly'!$H$1:$CT$1,"&lt;="&amp;EOMONTH(AG$1,0),'UX Weekly'!$H82:$CT82,"&lt;&gt;"))</f>
        <v>0</v>
      </c>
      <c r="AH82">
        <f>IF($B82="",0,COUNTIFS('UX Weekly'!$H$1:$CT$1,"&gt;="&amp;AH$1,'UX Weekly'!$H$1:$CT$1,"&lt;="&amp;EOMONTH(AH$1,0),'UX Weekly'!$H82:$CT82,"&lt;&gt;"))</f>
        <v>0</v>
      </c>
      <c r="AI82">
        <f>IF($B82="",0,COUNTIFS('UX Weekly'!$H$1:$CT$1,"&gt;="&amp;AI$1,'UX Weekly'!$H$1:$CT$1,"&lt;="&amp;EOMONTH(AI$1,0),'UX Weekly'!$H82:$CT82,"&lt;&gt;"))</f>
        <v>0</v>
      </c>
      <c r="AJ82">
        <f>IF($B82="",0,COUNTIFS('UX Weekly'!$H$1:$CT$1,"&gt;="&amp;AJ$1,'UX Weekly'!$H$1:$CT$1,"&lt;="&amp;EOMONTH(AJ$1,0),'UX Weekly'!$H82:$CT82,"&lt;&gt;"))</f>
        <v>0</v>
      </c>
      <c r="AK82">
        <f>IF($B82="",0,COUNTIFS('UX Weekly'!$H$1:$CT$1,"&gt;="&amp;AK$1,'UX Weekly'!$H$1:$CT$1,"&lt;="&amp;EOMONTH(AK$1,0),'UX Weekly'!$H82:$CT82,"&lt;&gt;"))</f>
        <v>0</v>
      </c>
      <c r="AL82">
        <f>IF($B82="",0,COUNTIFS('UX Weekly'!$H$1:$CT$1,"&gt;="&amp;AL$1,'UX Weekly'!$H$1:$CT$1,"&lt;="&amp;EOMONTH(AL$1,0),'UX Weekly'!$H82:$CT82,"&lt;&gt;"))</f>
        <v>0</v>
      </c>
      <c r="AM82">
        <f>IF($B82="",0,COUNTIFS('UX Weekly'!$H$1:$CT$1,"&gt;="&amp;AM$1,'UX Weekly'!$H$1:$CT$1,"&lt;="&amp;EOMONTH(AM$1,0),'UX Weekly'!$H82:$CT82,"&lt;&gt;"))</f>
        <v>0</v>
      </c>
      <c r="AN82">
        <f>IF($B82="",0,COUNTIFS('UX Weekly'!$H$1:$CT$1,"&gt;="&amp;AN$1,'UX Weekly'!$H$1:$CT$1,"&lt;="&amp;EOMONTH(AN$1,0),'UX Weekly'!$H82:$CT82,"&lt;&gt;"))</f>
        <v>0</v>
      </c>
      <c r="AO82">
        <f>IF($B82="",0,COUNTIFS('UX Weekly'!$H$1:$CT$1,"&gt;="&amp;AO$1,'UX Weekly'!$H$1:$CT$1,"&lt;="&amp;EOMONTH(AO$1,0),'UX Weekly'!$H82:$CT82,"&lt;&gt;"))</f>
        <v>0</v>
      </c>
      <c r="AP82">
        <f>IF($B82="",0,COUNTIFS('UX Weekly'!$H$1:$CT$1,"&gt;="&amp;AP$1,'UX Weekly'!$H$1:$CT$1,"&lt;="&amp;EOMONTH(AP$1,0),'UX Weekly'!$H82:$CT82,"&lt;&gt;"))</f>
        <v>0</v>
      </c>
      <c r="AQ82">
        <f>IF($B82="",0,COUNTIFS('UX Weekly'!$H$1:$CT$1,"&gt;="&amp;AQ$1,'UX Weekly'!$H$1:$CT$1,"&lt;="&amp;EOMONTH(AQ$1,0),'UX Weekly'!$H82:$CT82,"&lt;&gt;"))</f>
        <v>0</v>
      </c>
      <c r="AR82">
        <f>IF($B82="",0,COUNTIFS('UX Weekly'!$H$1:$CT$1,"&gt;="&amp;AR$1,'UX Weekly'!$H$1:$CT$1,"&lt;="&amp;EOMONTH(AR$1,0),'UX Weekly'!$H82:$CT82,"&lt;&gt;"))</f>
        <v>0</v>
      </c>
      <c r="AS82">
        <f>IF($B82="",0,COUNTIFS('UX Weekly'!$H$1:$CT$1,"&gt;="&amp;AS$1,'UX Weekly'!$H$1:$CT$1,"&lt;="&amp;EOMONTH(AS$1,0),'UX Weekly'!$H82:$CT82,"&lt;&gt;"))</f>
        <v>0</v>
      </c>
      <c r="AT82">
        <f>IF($B82="",0,COUNTIFS('UX Weekly'!$H$1:$CT$1,"&gt;="&amp;AT$1,'UX Weekly'!$H$1:$CT$1,"&lt;="&amp;EOMONTH(AT$1,0),'UX Weekly'!$H82:$CT82,"&lt;&gt;"))</f>
        <v>0</v>
      </c>
    </row>
    <row r="83" spans="1:46" x14ac:dyDescent="0.2">
      <c r="A83" s="147">
        <v>84</v>
      </c>
      <c r="B83" s="147" t="str">
        <f>IF(TRIM('UX Weekly'!E83)="","",TRIM('UX Weekly'!E83))</f>
        <v/>
      </c>
      <c r="C83" s="147" t="str">
        <f>IF($B83="","",'UX Weekly'!B83)</f>
        <v/>
      </c>
      <c r="D83" s="147" t="str">
        <f>IF($B83="","",IF(TRIM('UX Weekly'!C83)="","(No theme assigned)",TRIM('UX Weekly'!C83)))</f>
        <v/>
      </c>
      <c r="E83" s="147" t="str">
        <f>IF($B83="","",TRIM('UX Weekly'!F83))</f>
        <v/>
      </c>
      <c r="F83" s="147" t="str">
        <f>IF($B83="","",'UX Weekly'!G83)</f>
        <v/>
      </c>
      <c r="G83" s="148" t="str">
        <f t="array" ref="G83">IF($B83="","",IF($S83=0,"",IFERROR(MIN(IF('UX Weekly'!$H83:$CT83&lt;&gt;"",'UX Weekly'!$H$1:$CT$1)),"")))</f>
        <v/>
      </c>
      <c r="H83" s="148" t="str">
        <f t="array" ref="H83">IF($B83="","",IF($S83=0,"",IFERROR(MAX(IF('UX Weekly'!$H83:$CT83&lt;&gt;"",'UX Weekly'!$H$1:$CT$1)),"")))</f>
        <v/>
      </c>
      <c r="I83" s="149" t="str">
        <f t="shared" ca="1" si="6"/>
        <v/>
      </c>
      <c r="J83" s="149" t="str">
        <f t="shared" ca="1" si="7"/>
        <v/>
      </c>
      <c r="K83" s="147" t="str">
        <f>IF($B83="","",IFERROR(MATCH($B83,'Dev Tracker'!$D$2:$D$196,0),IF($E83="","",IFERROR(MATCH($E83,'Dev Tracker'!$E$2:$E$196,0),""))))</f>
        <v/>
      </c>
      <c r="L83" s="147" t="str">
        <f>IF($B83="","",IFERROR(MATCH($D83,'Control (Don’t Touch)'!$E$4:$E$30,0),99))</f>
        <v/>
      </c>
      <c r="M83" s="147" t="str">
        <f>IF($B83="","",IFERROR(MATCH($F83,'Control (Don’t Touch)'!$B$4:$B$30,0),99))</f>
        <v/>
      </c>
      <c r="N83" s="147" t="str">
        <f t="shared" si="8"/>
        <v/>
      </c>
      <c r="O83" s="147" t="str">
        <f>IF($B83="","",COUNTIF($N$2:$N$204,"&lt;"&amp;$N83)+1)</f>
        <v/>
      </c>
      <c r="P83" s="149" t="str">
        <f ca="1">IF($K83="","",IFERROR(DATE(IFERROR(VALUE(RIGHT(TRIM(INDEX('Dev Tracker'!$I$2:$I$196,$K83)),4)),YEAR(TODAY())),MATCH(LEFT(TRIM(INDEX('Dev Tracker'!$I$2:$I$196,$K83)),3),$U$2:$U$12,0),1),""))</f>
        <v/>
      </c>
      <c r="Q83" s="149" t="str">
        <f ca="1">IF($K83="","",IFERROR(DATE(IFERROR(VALUE(RIGHT(TRIM(INDEX('Dev Tracker'!$J$2:$J$196,$K83)),4)),YEAR(TODAY())),MATCH(LEFT(TRIM(INDEX('Dev Tracker'!$J$2:$J$196,$K83)),3),$U$2:$U$12,0),1),""))</f>
        <v/>
      </c>
      <c r="R83" s="147"/>
      <c r="S83" s="147" t="str">
        <f>IF($B83="","",COUNTA('UX Weekly'!$H83:$CT83))</f>
        <v/>
      </c>
      <c r="W83">
        <f>IF($B83="",0,COUNTIFS('UX Weekly'!$H$1:$CT$1,"&gt;="&amp;W$1,'UX Weekly'!$H$1:$CT$1,"&lt;="&amp;EOMONTH(W$1,0),'UX Weekly'!$H83:$CT83,"&lt;&gt;"))</f>
        <v>0</v>
      </c>
      <c r="X83">
        <f>IF($B83="",0,COUNTIFS('UX Weekly'!$H$1:$CT$1,"&gt;="&amp;X$1,'UX Weekly'!$H$1:$CT$1,"&lt;="&amp;EOMONTH(X$1,0),'UX Weekly'!$H83:$CT83,"&lt;&gt;"))</f>
        <v>0</v>
      </c>
      <c r="Y83">
        <f>IF($B83="",0,COUNTIFS('UX Weekly'!$H$1:$CT$1,"&gt;="&amp;Y$1,'UX Weekly'!$H$1:$CT$1,"&lt;="&amp;EOMONTH(Y$1,0),'UX Weekly'!$H83:$CT83,"&lt;&gt;"))</f>
        <v>0</v>
      </c>
      <c r="Z83">
        <f>IF($B83="",0,COUNTIFS('UX Weekly'!$H$1:$CT$1,"&gt;="&amp;Z$1,'UX Weekly'!$H$1:$CT$1,"&lt;="&amp;EOMONTH(Z$1,0),'UX Weekly'!$H83:$CT83,"&lt;&gt;"))</f>
        <v>0</v>
      </c>
      <c r="AA83">
        <f>IF($B83="",0,COUNTIFS('UX Weekly'!$H$1:$CT$1,"&gt;="&amp;AA$1,'UX Weekly'!$H$1:$CT$1,"&lt;="&amp;EOMONTH(AA$1,0),'UX Weekly'!$H83:$CT83,"&lt;&gt;"))</f>
        <v>0</v>
      </c>
      <c r="AB83">
        <f>IF($B83="",0,COUNTIFS('UX Weekly'!$H$1:$CT$1,"&gt;="&amp;AB$1,'UX Weekly'!$H$1:$CT$1,"&lt;="&amp;EOMONTH(AB$1,0),'UX Weekly'!$H83:$CT83,"&lt;&gt;"))</f>
        <v>0</v>
      </c>
      <c r="AC83">
        <f>IF($B83="",0,COUNTIFS('UX Weekly'!$H$1:$CT$1,"&gt;="&amp;AC$1,'UX Weekly'!$H$1:$CT$1,"&lt;="&amp;EOMONTH(AC$1,0),'UX Weekly'!$H83:$CT83,"&lt;&gt;"))</f>
        <v>0</v>
      </c>
      <c r="AD83">
        <f>IF($B83="",0,COUNTIFS('UX Weekly'!$H$1:$CT$1,"&gt;="&amp;AD$1,'UX Weekly'!$H$1:$CT$1,"&lt;="&amp;EOMONTH(AD$1,0),'UX Weekly'!$H83:$CT83,"&lt;&gt;"))</f>
        <v>0</v>
      </c>
      <c r="AE83">
        <f>IF($B83="",0,COUNTIFS('UX Weekly'!$H$1:$CT$1,"&gt;="&amp;AE$1,'UX Weekly'!$H$1:$CT$1,"&lt;="&amp;EOMONTH(AE$1,0),'UX Weekly'!$H83:$CT83,"&lt;&gt;"))</f>
        <v>0</v>
      </c>
      <c r="AF83">
        <f>IF($B83="",0,COUNTIFS('UX Weekly'!$H$1:$CT$1,"&gt;="&amp;AF$1,'UX Weekly'!$H$1:$CT$1,"&lt;="&amp;EOMONTH(AF$1,0),'UX Weekly'!$H83:$CT83,"&lt;&gt;"))</f>
        <v>0</v>
      </c>
      <c r="AG83">
        <f>IF($B83="",0,COUNTIFS('UX Weekly'!$H$1:$CT$1,"&gt;="&amp;AG$1,'UX Weekly'!$H$1:$CT$1,"&lt;="&amp;EOMONTH(AG$1,0),'UX Weekly'!$H83:$CT83,"&lt;&gt;"))</f>
        <v>0</v>
      </c>
      <c r="AH83">
        <f>IF($B83="",0,COUNTIFS('UX Weekly'!$H$1:$CT$1,"&gt;="&amp;AH$1,'UX Weekly'!$H$1:$CT$1,"&lt;="&amp;EOMONTH(AH$1,0),'UX Weekly'!$H83:$CT83,"&lt;&gt;"))</f>
        <v>0</v>
      </c>
      <c r="AI83">
        <f>IF($B83="",0,COUNTIFS('UX Weekly'!$H$1:$CT$1,"&gt;="&amp;AI$1,'UX Weekly'!$H$1:$CT$1,"&lt;="&amp;EOMONTH(AI$1,0),'UX Weekly'!$H83:$CT83,"&lt;&gt;"))</f>
        <v>0</v>
      </c>
      <c r="AJ83">
        <f>IF($B83="",0,COUNTIFS('UX Weekly'!$H$1:$CT$1,"&gt;="&amp;AJ$1,'UX Weekly'!$H$1:$CT$1,"&lt;="&amp;EOMONTH(AJ$1,0),'UX Weekly'!$H83:$CT83,"&lt;&gt;"))</f>
        <v>0</v>
      </c>
      <c r="AK83">
        <f>IF($B83="",0,COUNTIFS('UX Weekly'!$H$1:$CT$1,"&gt;="&amp;AK$1,'UX Weekly'!$H$1:$CT$1,"&lt;="&amp;EOMONTH(AK$1,0),'UX Weekly'!$H83:$CT83,"&lt;&gt;"))</f>
        <v>0</v>
      </c>
      <c r="AL83">
        <f>IF($B83="",0,COUNTIFS('UX Weekly'!$H$1:$CT$1,"&gt;="&amp;AL$1,'UX Weekly'!$H$1:$CT$1,"&lt;="&amp;EOMONTH(AL$1,0),'UX Weekly'!$H83:$CT83,"&lt;&gt;"))</f>
        <v>0</v>
      </c>
      <c r="AM83">
        <f>IF($B83="",0,COUNTIFS('UX Weekly'!$H$1:$CT$1,"&gt;="&amp;AM$1,'UX Weekly'!$H$1:$CT$1,"&lt;="&amp;EOMONTH(AM$1,0),'UX Weekly'!$H83:$CT83,"&lt;&gt;"))</f>
        <v>0</v>
      </c>
      <c r="AN83">
        <f>IF($B83="",0,COUNTIFS('UX Weekly'!$H$1:$CT$1,"&gt;="&amp;AN$1,'UX Weekly'!$H$1:$CT$1,"&lt;="&amp;EOMONTH(AN$1,0),'UX Weekly'!$H83:$CT83,"&lt;&gt;"))</f>
        <v>0</v>
      </c>
      <c r="AO83">
        <f>IF($B83="",0,COUNTIFS('UX Weekly'!$H$1:$CT$1,"&gt;="&amp;AO$1,'UX Weekly'!$H$1:$CT$1,"&lt;="&amp;EOMONTH(AO$1,0),'UX Weekly'!$H83:$CT83,"&lt;&gt;"))</f>
        <v>0</v>
      </c>
      <c r="AP83">
        <f>IF($B83="",0,COUNTIFS('UX Weekly'!$H$1:$CT$1,"&gt;="&amp;AP$1,'UX Weekly'!$H$1:$CT$1,"&lt;="&amp;EOMONTH(AP$1,0),'UX Weekly'!$H83:$CT83,"&lt;&gt;"))</f>
        <v>0</v>
      </c>
      <c r="AQ83">
        <f>IF($B83="",0,COUNTIFS('UX Weekly'!$H$1:$CT$1,"&gt;="&amp;AQ$1,'UX Weekly'!$H$1:$CT$1,"&lt;="&amp;EOMONTH(AQ$1,0),'UX Weekly'!$H83:$CT83,"&lt;&gt;"))</f>
        <v>0</v>
      </c>
      <c r="AR83">
        <f>IF($B83="",0,COUNTIFS('UX Weekly'!$H$1:$CT$1,"&gt;="&amp;AR$1,'UX Weekly'!$H$1:$CT$1,"&lt;="&amp;EOMONTH(AR$1,0),'UX Weekly'!$H83:$CT83,"&lt;&gt;"))</f>
        <v>0</v>
      </c>
      <c r="AS83">
        <f>IF($B83="",0,COUNTIFS('UX Weekly'!$H$1:$CT$1,"&gt;="&amp;AS$1,'UX Weekly'!$H$1:$CT$1,"&lt;="&amp;EOMONTH(AS$1,0),'UX Weekly'!$H83:$CT83,"&lt;&gt;"))</f>
        <v>0</v>
      </c>
      <c r="AT83">
        <f>IF($B83="",0,COUNTIFS('UX Weekly'!$H$1:$CT$1,"&gt;="&amp;AT$1,'UX Weekly'!$H$1:$CT$1,"&lt;="&amp;EOMONTH(AT$1,0),'UX Weekly'!$H83:$CT83,"&lt;&gt;"))</f>
        <v>0</v>
      </c>
    </row>
    <row r="84" spans="1:46" x14ac:dyDescent="0.2">
      <c r="A84" s="147">
        <v>85</v>
      </c>
      <c r="B84" s="147" t="str">
        <f>IF(TRIM('UX Weekly'!E84)="","",TRIM('UX Weekly'!E84))</f>
        <v/>
      </c>
      <c r="C84" s="147" t="str">
        <f>IF($B84="","",'UX Weekly'!B84)</f>
        <v/>
      </c>
      <c r="D84" s="147" t="str">
        <f>IF($B84="","",IF(TRIM('UX Weekly'!C84)="","(No theme assigned)",TRIM('UX Weekly'!C84)))</f>
        <v/>
      </c>
      <c r="E84" s="147" t="str">
        <f>IF($B84="","",TRIM('UX Weekly'!F84))</f>
        <v/>
      </c>
      <c r="F84" s="147" t="str">
        <f>IF($B84="","",'UX Weekly'!G84)</f>
        <v/>
      </c>
      <c r="G84" s="148" t="str">
        <f t="array" ref="G84">IF($B84="","",IF($S84=0,"",IFERROR(MIN(IF('UX Weekly'!$H84:$CT84&lt;&gt;"",'UX Weekly'!$H$1:$CT$1)),"")))</f>
        <v/>
      </c>
      <c r="H84" s="148" t="str">
        <f t="array" ref="H84">IF($B84="","",IF($S84=0,"",IFERROR(MAX(IF('UX Weekly'!$H84:$CT84&lt;&gt;"",'UX Weekly'!$H$1:$CT$1)),"")))</f>
        <v/>
      </c>
      <c r="I84" s="149" t="str">
        <f t="shared" ca="1" si="6"/>
        <v/>
      </c>
      <c r="J84" s="149" t="str">
        <f t="shared" ca="1" si="7"/>
        <v/>
      </c>
      <c r="K84" s="147" t="str">
        <f>IF($B84="","",IFERROR(MATCH($B84,'Dev Tracker'!$D$2:$D$196,0),IF($E84="","",IFERROR(MATCH($E84,'Dev Tracker'!$E$2:$E$196,0),""))))</f>
        <v/>
      </c>
      <c r="L84" s="147" t="str">
        <f>IF($B84="","",IFERROR(MATCH($D84,'Control (Don’t Touch)'!$E$4:$E$30,0),99))</f>
        <v/>
      </c>
      <c r="M84" s="147" t="str">
        <f>IF($B84="","",IFERROR(MATCH($F84,'Control (Don’t Touch)'!$B$4:$B$30,0),99))</f>
        <v/>
      </c>
      <c r="N84" s="147" t="str">
        <f t="shared" si="8"/>
        <v/>
      </c>
      <c r="O84" s="147" t="str">
        <f>IF($B84="","",COUNTIF($N$2:$N$204,"&lt;"&amp;$N84)+1)</f>
        <v/>
      </c>
      <c r="P84" s="149" t="str">
        <f ca="1">IF($K84="","",IFERROR(DATE(IFERROR(VALUE(RIGHT(TRIM(INDEX('Dev Tracker'!$I$2:$I$196,$K84)),4)),YEAR(TODAY())),MATCH(LEFT(TRIM(INDEX('Dev Tracker'!$I$2:$I$196,$K84)),3),$U$2:$U$12,0),1),""))</f>
        <v/>
      </c>
      <c r="Q84" s="149" t="str">
        <f ca="1">IF($K84="","",IFERROR(DATE(IFERROR(VALUE(RIGHT(TRIM(INDEX('Dev Tracker'!$J$2:$J$196,$K84)),4)),YEAR(TODAY())),MATCH(LEFT(TRIM(INDEX('Dev Tracker'!$J$2:$J$196,$K84)),3),$U$2:$U$12,0),1),""))</f>
        <v/>
      </c>
      <c r="R84" s="147"/>
      <c r="S84" s="147" t="str">
        <f>IF($B84="","",COUNTA('UX Weekly'!$H84:$CT84))</f>
        <v/>
      </c>
      <c r="W84">
        <f>IF($B84="",0,COUNTIFS('UX Weekly'!$H$1:$CT$1,"&gt;="&amp;W$1,'UX Weekly'!$H$1:$CT$1,"&lt;="&amp;EOMONTH(W$1,0),'UX Weekly'!$H84:$CT84,"&lt;&gt;"))</f>
        <v>0</v>
      </c>
      <c r="X84">
        <f>IF($B84="",0,COUNTIFS('UX Weekly'!$H$1:$CT$1,"&gt;="&amp;X$1,'UX Weekly'!$H$1:$CT$1,"&lt;="&amp;EOMONTH(X$1,0),'UX Weekly'!$H84:$CT84,"&lt;&gt;"))</f>
        <v>0</v>
      </c>
      <c r="Y84">
        <f>IF($B84="",0,COUNTIFS('UX Weekly'!$H$1:$CT$1,"&gt;="&amp;Y$1,'UX Weekly'!$H$1:$CT$1,"&lt;="&amp;EOMONTH(Y$1,0),'UX Weekly'!$H84:$CT84,"&lt;&gt;"))</f>
        <v>0</v>
      </c>
      <c r="Z84">
        <f>IF($B84="",0,COUNTIFS('UX Weekly'!$H$1:$CT$1,"&gt;="&amp;Z$1,'UX Weekly'!$H$1:$CT$1,"&lt;="&amp;EOMONTH(Z$1,0),'UX Weekly'!$H84:$CT84,"&lt;&gt;"))</f>
        <v>0</v>
      </c>
      <c r="AA84">
        <f>IF($B84="",0,COUNTIFS('UX Weekly'!$H$1:$CT$1,"&gt;="&amp;AA$1,'UX Weekly'!$H$1:$CT$1,"&lt;="&amp;EOMONTH(AA$1,0),'UX Weekly'!$H84:$CT84,"&lt;&gt;"))</f>
        <v>0</v>
      </c>
      <c r="AB84">
        <f>IF($B84="",0,COUNTIFS('UX Weekly'!$H$1:$CT$1,"&gt;="&amp;AB$1,'UX Weekly'!$H$1:$CT$1,"&lt;="&amp;EOMONTH(AB$1,0),'UX Weekly'!$H84:$CT84,"&lt;&gt;"))</f>
        <v>0</v>
      </c>
      <c r="AC84">
        <f>IF($B84="",0,COUNTIFS('UX Weekly'!$H$1:$CT$1,"&gt;="&amp;AC$1,'UX Weekly'!$H$1:$CT$1,"&lt;="&amp;EOMONTH(AC$1,0),'UX Weekly'!$H84:$CT84,"&lt;&gt;"))</f>
        <v>0</v>
      </c>
      <c r="AD84">
        <f>IF($B84="",0,COUNTIFS('UX Weekly'!$H$1:$CT$1,"&gt;="&amp;AD$1,'UX Weekly'!$H$1:$CT$1,"&lt;="&amp;EOMONTH(AD$1,0),'UX Weekly'!$H84:$CT84,"&lt;&gt;"))</f>
        <v>0</v>
      </c>
      <c r="AE84">
        <f>IF($B84="",0,COUNTIFS('UX Weekly'!$H$1:$CT$1,"&gt;="&amp;AE$1,'UX Weekly'!$H$1:$CT$1,"&lt;="&amp;EOMONTH(AE$1,0),'UX Weekly'!$H84:$CT84,"&lt;&gt;"))</f>
        <v>0</v>
      </c>
      <c r="AF84">
        <f>IF($B84="",0,COUNTIFS('UX Weekly'!$H$1:$CT$1,"&gt;="&amp;AF$1,'UX Weekly'!$H$1:$CT$1,"&lt;="&amp;EOMONTH(AF$1,0),'UX Weekly'!$H84:$CT84,"&lt;&gt;"))</f>
        <v>0</v>
      </c>
      <c r="AG84">
        <f>IF($B84="",0,COUNTIFS('UX Weekly'!$H$1:$CT$1,"&gt;="&amp;AG$1,'UX Weekly'!$H$1:$CT$1,"&lt;="&amp;EOMONTH(AG$1,0),'UX Weekly'!$H84:$CT84,"&lt;&gt;"))</f>
        <v>0</v>
      </c>
      <c r="AH84">
        <f>IF($B84="",0,COUNTIFS('UX Weekly'!$H$1:$CT$1,"&gt;="&amp;AH$1,'UX Weekly'!$H$1:$CT$1,"&lt;="&amp;EOMONTH(AH$1,0),'UX Weekly'!$H84:$CT84,"&lt;&gt;"))</f>
        <v>0</v>
      </c>
      <c r="AI84">
        <f>IF($B84="",0,COUNTIFS('UX Weekly'!$H$1:$CT$1,"&gt;="&amp;AI$1,'UX Weekly'!$H$1:$CT$1,"&lt;="&amp;EOMONTH(AI$1,0),'UX Weekly'!$H84:$CT84,"&lt;&gt;"))</f>
        <v>0</v>
      </c>
      <c r="AJ84">
        <f>IF($B84="",0,COUNTIFS('UX Weekly'!$H$1:$CT$1,"&gt;="&amp;AJ$1,'UX Weekly'!$H$1:$CT$1,"&lt;="&amp;EOMONTH(AJ$1,0),'UX Weekly'!$H84:$CT84,"&lt;&gt;"))</f>
        <v>0</v>
      </c>
      <c r="AK84">
        <f>IF($B84="",0,COUNTIFS('UX Weekly'!$H$1:$CT$1,"&gt;="&amp;AK$1,'UX Weekly'!$H$1:$CT$1,"&lt;="&amp;EOMONTH(AK$1,0),'UX Weekly'!$H84:$CT84,"&lt;&gt;"))</f>
        <v>0</v>
      </c>
      <c r="AL84">
        <f>IF($B84="",0,COUNTIFS('UX Weekly'!$H$1:$CT$1,"&gt;="&amp;AL$1,'UX Weekly'!$H$1:$CT$1,"&lt;="&amp;EOMONTH(AL$1,0),'UX Weekly'!$H84:$CT84,"&lt;&gt;"))</f>
        <v>0</v>
      </c>
      <c r="AM84">
        <f>IF($B84="",0,COUNTIFS('UX Weekly'!$H$1:$CT$1,"&gt;="&amp;AM$1,'UX Weekly'!$H$1:$CT$1,"&lt;="&amp;EOMONTH(AM$1,0),'UX Weekly'!$H84:$CT84,"&lt;&gt;"))</f>
        <v>0</v>
      </c>
      <c r="AN84">
        <f>IF($B84="",0,COUNTIFS('UX Weekly'!$H$1:$CT$1,"&gt;="&amp;AN$1,'UX Weekly'!$H$1:$CT$1,"&lt;="&amp;EOMONTH(AN$1,0),'UX Weekly'!$H84:$CT84,"&lt;&gt;"))</f>
        <v>0</v>
      </c>
      <c r="AO84">
        <f>IF($B84="",0,COUNTIFS('UX Weekly'!$H$1:$CT$1,"&gt;="&amp;AO$1,'UX Weekly'!$H$1:$CT$1,"&lt;="&amp;EOMONTH(AO$1,0),'UX Weekly'!$H84:$CT84,"&lt;&gt;"))</f>
        <v>0</v>
      </c>
      <c r="AP84">
        <f>IF($B84="",0,COUNTIFS('UX Weekly'!$H$1:$CT$1,"&gt;="&amp;AP$1,'UX Weekly'!$H$1:$CT$1,"&lt;="&amp;EOMONTH(AP$1,0),'UX Weekly'!$H84:$CT84,"&lt;&gt;"))</f>
        <v>0</v>
      </c>
      <c r="AQ84">
        <f>IF($B84="",0,COUNTIFS('UX Weekly'!$H$1:$CT$1,"&gt;="&amp;AQ$1,'UX Weekly'!$H$1:$CT$1,"&lt;="&amp;EOMONTH(AQ$1,0),'UX Weekly'!$H84:$CT84,"&lt;&gt;"))</f>
        <v>0</v>
      </c>
      <c r="AR84">
        <f>IF($B84="",0,COUNTIFS('UX Weekly'!$H$1:$CT$1,"&gt;="&amp;AR$1,'UX Weekly'!$H$1:$CT$1,"&lt;="&amp;EOMONTH(AR$1,0),'UX Weekly'!$H84:$CT84,"&lt;&gt;"))</f>
        <v>0</v>
      </c>
      <c r="AS84">
        <f>IF($B84="",0,COUNTIFS('UX Weekly'!$H$1:$CT$1,"&gt;="&amp;AS$1,'UX Weekly'!$H$1:$CT$1,"&lt;="&amp;EOMONTH(AS$1,0),'UX Weekly'!$H84:$CT84,"&lt;&gt;"))</f>
        <v>0</v>
      </c>
      <c r="AT84">
        <f>IF($B84="",0,COUNTIFS('UX Weekly'!$H$1:$CT$1,"&gt;="&amp;AT$1,'UX Weekly'!$H$1:$CT$1,"&lt;="&amp;EOMONTH(AT$1,0),'UX Weekly'!$H84:$CT84,"&lt;&gt;"))</f>
        <v>0</v>
      </c>
    </row>
    <row r="85" spans="1:46" x14ac:dyDescent="0.2">
      <c r="A85" s="147">
        <v>86</v>
      </c>
      <c r="B85" s="147" t="str">
        <f>IF(TRIM('UX Weekly'!E85)="","",TRIM('UX Weekly'!E85))</f>
        <v/>
      </c>
      <c r="C85" s="147" t="str">
        <f>IF($B85="","",'UX Weekly'!B85)</f>
        <v/>
      </c>
      <c r="D85" s="147" t="str">
        <f>IF($B85="","",IF(TRIM('UX Weekly'!C85)="","(No theme assigned)",TRIM('UX Weekly'!C85)))</f>
        <v/>
      </c>
      <c r="E85" s="147" t="str">
        <f>IF($B85="","",TRIM('UX Weekly'!F85))</f>
        <v/>
      </c>
      <c r="F85" s="147" t="str">
        <f>IF($B85="","",'UX Weekly'!G85)</f>
        <v/>
      </c>
      <c r="G85" s="148" t="str">
        <f t="array" ref="G85">IF($B85="","",IF($S85=0,"",IFERROR(MIN(IF('UX Weekly'!$H85:$CT85&lt;&gt;"",'UX Weekly'!$H$1:$CT$1)),"")))</f>
        <v/>
      </c>
      <c r="H85" s="148" t="str">
        <f t="array" ref="H85">IF($B85="","",IF($S85=0,"",IFERROR(MAX(IF('UX Weekly'!$H85:$CT85&lt;&gt;"",'UX Weekly'!$H$1:$CT$1)),"")))</f>
        <v/>
      </c>
      <c r="I85" s="149" t="str">
        <f t="shared" ca="1" si="6"/>
        <v/>
      </c>
      <c r="J85" s="149" t="str">
        <f t="shared" ca="1" si="7"/>
        <v/>
      </c>
      <c r="K85" s="147" t="str">
        <f>IF($B85="","",IFERROR(MATCH($B85,'Dev Tracker'!$D$2:$D$196,0),IF($E85="","",IFERROR(MATCH($E85,'Dev Tracker'!$E$2:$E$196,0),""))))</f>
        <v/>
      </c>
      <c r="L85" s="147" t="str">
        <f>IF($B85="","",IFERROR(MATCH($D85,'Control (Don’t Touch)'!$E$4:$E$30,0),99))</f>
        <v/>
      </c>
      <c r="M85" s="147" t="str">
        <f>IF($B85="","",IFERROR(MATCH($F85,'Control (Don’t Touch)'!$B$4:$B$30,0),99))</f>
        <v/>
      </c>
      <c r="N85" s="147" t="str">
        <f t="shared" si="8"/>
        <v/>
      </c>
      <c r="O85" s="147" t="str">
        <f>IF($B85="","",COUNTIF($N$2:$N$204,"&lt;"&amp;$N85)+1)</f>
        <v/>
      </c>
      <c r="P85" s="149" t="str">
        <f ca="1">IF($K85="","",IFERROR(DATE(IFERROR(VALUE(RIGHT(TRIM(INDEX('Dev Tracker'!$I$2:$I$196,$K85)),4)),YEAR(TODAY())),MATCH(LEFT(TRIM(INDEX('Dev Tracker'!$I$2:$I$196,$K85)),3),$U$2:$U$12,0),1),""))</f>
        <v/>
      </c>
      <c r="Q85" s="149" t="str">
        <f ca="1">IF($K85="","",IFERROR(DATE(IFERROR(VALUE(RIGHT(TRIM(INDEX('Dev Tracker'!$J$2:$J$196,$K85)),4)),YEAR(TODAY())),MATCH(LEFT(TRIM(INDEX('Dev Tracker'!$J$2:$J$196,$K85)),3),$U$2:$U$12,0),1),""))</f>
        <v/>
      </c>
      <c r="R85" s="147"/>
      <c r="S85" s="147" t="str">
        <f>IF($B85="","",COUNTA('UX Weekly'!$H85:$CT85))</f>
        <v/>
      </c>
      <c r="W85">
        <f>IF($B85="",0,COUNTIFS('UX Weekly'!$H$1:$CT$1,"&gt;="&amp;W$1,'UX Weekly'!$H$1:$CT$1,"&lt;="&amp;EOMONTH(W$1,0),'UX Weekly'!$H85:$CT85,"&lt;&gt;"))</f>
        <v>0</v>
      </c>
      <c r="X85">
        <f>IF($B85="",0,COUNTIFS('UX Weekly'!$H$1:$CT$1,"&gt;="&amp;X$1,'UX Weekly'!$H$1:$CT$1,"&lt;="&amp;EOMONTH(X$1,0),'UX Weekly'!$H85:$CT85,"&lt;&gt;"))</f>
        <v>0</v>
      </c>
      <c r="Y85">
        <f>IF($B85="",0,COUNTIFS('UX Weekly'!$H$1:$CT$1,"&gt;="&amp;Y$1,'UX Weekly'!$H$1:$CT$1,"&lt;="&amp;EOMONTH(Y$1,0),'UX Weekly'!$H85:$CT85,"&lt;&gt;"))</f>
        <v>0</v>
      </c>
      <c r="Z85">
        <f>IF($B85="",0,COUNTIFS('UX Weekly'!$H$1:$CT$1,"&gt;="&amp;Z$1,'UX Weekly'!$H$1:$CT$1,"&lt;="&amp;EOMONTH(Z$1,0),'UX Weekly'!$H85:$CT85,"&lt;&gt;"))</f>
        <v>0</v>
      </c>
      <c r="AA85">
        <f>IF($B85="",0,COUNTIFS('UX Weekly'!$H$1:$CT$1,"&gt;="&amp;AA$1,'UX Weekly'!$H$1:$CT$1,"&lt;="&amp;EOMONTH(AA$1,0),'UX Weekly'!$H85:$CT85,"&lt;&gt;"))</f>
        <v>0</v>
      </c>
      <c r="AB85">
        <f>IF($B85="",0,COUNTIFS('UX Weekly'!$H$1:$CT$1,"&gt;="&amp;AB$1,'UX Weekly'!$H$1:$CT$1,"&lt;="&amp;EOMONTH(AB$1,0),'UX Weekly'!$H85:$CT85,"&lt;&gt;"))</f>
        <v>0</v>
      </c>
      <c r="AC85">
        <f>IF($B85="",0,COUNTIFS('UX Weekly'!$H$1:$CT$1,"&gt;="&amp;AC$1,'UX Weekly'!$H$1:$CT$1,"&lt;="&amp;EOMONTH(AC$1,0),'UX Weekly'!$H85:$CT85,"&lt;&gt;"))</f>
        <v>0</v>
      </c>
      <c r="AD85">
        <f>IF($B85="",0,COUNTIFS('UX Weekly'!$H$1:$CT$1,"&gt;="&amp;AD$1,'UX Weekly'!$H$1:$CT$1,"&lt;="&amp;EOMONTH(AD$1,0),'UX Weekly'!$H85:$CT85,"&lt;&gt;"))</f>
        <v>0</v>
      </c>
      <c r="AE85">
        <f>IF($B85="",0,COUNTIFS('UX Weekly'!$H$1:$CT$1,"&gt;="&amp;AE$1,'UX Weekly'!$H$1:$CT$1,"&lt;="&amp;EOMONTH(AE$1,0),'UX Weekly'!$H85:$CT85,"&lt;&gt;"))</f>
        <v>0</v>
      </c>
      <c r="AF85">
        <f>IF($B85="",0,COUNTIFS('UX Weekly'!$H$1:$CT$1,"&gt;="&amp;AF$1,'UX Weekly'!$H$1:$CT$1,"&lt;="&amp;EOMONTH(AF$1,0),'UX Weekly'!$H85:$CT85,"&lt;&gt;"))</f>
        <v>0</v>
      </c>
      <c r="AG85">
        <f>IF($B85="",0,COUNTIFS('UX Weekly'!$H$1:$CT$1,"&gt;="&amp;AG$1,'UX Weekly'!$H$1:$CT$1,"&lt;="&amp;EOMONTH(AG$1,0),'UX Weekly'!$H85:$CT85,"&lt;&gt;"))</f>
        <v>0</v>
      </c>
      <c r="AH85">
        <f>IF($B85="",0,COUNTIFS('UX Weekly'!$H$1:$CT$1,"&gt;="&amp;AH$1,'UX Weekly'!$H$1:$CT$1,"&lt;="&amp;EOMONTH(AH$1,0),'UX Weekly'!$H85:$CT85,"&lt;&gt;"))</f>
        <v>0</v>
      </c>
      <c r="AI85">
        <f>IF($B85="",0,COUNTIFS('UX Weekly'!$H$1:$CT$1,"&gt;="&amp;AI$1,'UX Weekly'!$H$1:$CT$1,"&lt;="&amp;EOMONTH(AI$1,0),'UX Weekly'!$H85:$CT85,"&lt;&gt;"))</f>
        <v>0</v>
      </c>
      <c r="AJ85">
        <f>IF($B85="",0,COUNTIFS('UX Weekly'!$H$1:$CT$1,"&gt;="&amp;AJ$1,'UX Weekly'!$H$1:$CT$1,"&lt;="&amp;EOMONTH(AJ$1,0),'UX Weekly'!$H85:$CT85,"&lt;&gt;"))</f>
        <v>0</v>
      </c>
      <c r="AK85">
        <f>IF($B85="",0,COUNTIFS('UX Weekly'!$H$1:$CT$1,"&gt;="&amp;AK$1,'UX Weekly'!$H$1:$CT$1,"&lt;="&amp;EOMONTH(AK$1,0),'UX Weekly'!$H85:$CT85,"&lt;&gt;"))</f>
        <v>0</v>
      </c>
      <c r="AL85">
        <f>IF($B85="",0,COUNTIFS('UX Weekly'!$H$1:$CT$1,"&gt;="&amp;AL$1,'UX Weekly'!$H$1:$CT$1,"&lt;="&amp;EOMONTH(AL$1,0),'UX Weekly'!$H85:$CT85,"&lt;&gt;"))</f>
        <v>0</v>
      </c>
      <c r="AM85">
        <f>IF($B85="",0,COUNTIFS('UX Weekly'!$H$1:$CT$1,"&gt;="&amp;AM$1,'UX Weekly'!$H$1:$CT$1,"&lt;="&amp;EOMONTH(AM$1,0),'UX Weekly'!$H85:$CT85,"&lt;&gt;"))</f>
        <v>0</v>
      </c>
      <c r="AN85">
        <f>IF($B85="",0,COUNTIFS('UX Weekly'!$H$1:$CT$1,"&gt;="&amp;AN$1,'UX Weekly'!$H$1:$CT$1,"&lt;="&amp;EOMONTH(AN$1,0),'UX Weekly'!$H85:$CT85,"&lt;&gt;"))</f>
        <v>0</v>
      </c>
      <c r="AO85">
        <f>IF($B85="",0,COUNTIFS('UX Weekly'!$H$1:$CT$1,"&gt;="&amp;AO$1,'UX Weekly'!$H$1:$CT$1,"&lt;="&amp;EOMONTH(AO$1,0),'UX Weekly'!$H85:$CT85,"&lt;&gt;"))</f>
        <v>0</v>
      </c>
      <c r="AP85">
        <f>IF($B85="",0,COUNTIFS('UX Weekly'!$H$1:$CT$1,"&gt;="&amp;AP$1,'UX Weekly'!$H$1:$CT$1,"&lt;="&amp;EOMONTH(AP$1,0),'UX Weekly'!$H85:$CT85,"&lt;&gt;"))</f>
        <v>0</v>
      </c>
      <c r="AQ85">
        <f>IF($B85="",0,COUNTIFS('UX Weekly'!$H$1:$CT$1,"&gt;="&amp;AQ$1,'UX Weekly'!$H$1:$CT$1,"&lt;="&amp;EOMONTH(AQ$1,0),'UX Weekly'!$H85:$CT85,"&lt;&gt;"))</f>
        <v>0</v>
      </c>
      <c r="AR85">
        <f>IF($B85="",0,COUNTIFS('UX Weekly'!$H$1:$CT$1,"&gt;="&amp;AR$1,'UX Weekly'!$H$1:$CT$1,"&lt;="&amp;EOMONTH(AR$1,0),'UX Weekly'!$H85:$CT85,"&lt;&gt;"))</f>
        <v>0</v>
      </c>
      <c r="AS85">
        <f>IF($B85="",0,COUNTIFS('UX Weekly'!$H$1:$CT$1,"&gt;="&amp;AS$1,'UX Weekly'!$H$1:$CT$1,"&lt;="&amp;EOMONTH(AS$1,0),'UX Weekly'!$H85:$CT85,"&lt;&gt;"))</f>
        <v>0</v>
      </c>
      <c r="AT85">
        <f>IF($B85="",0,COUNTIFS('UX Weekly'!$H$1:$CT$1,"&gt;="&amp;AT$1,'UX Weekly'!$H$1:$CT$1,"&lt;="&amp;EOMONTH(AT$1,0),'UX Weekly'!$H85:$CT85,"&lt;&gt;"))</f>
        <v>0</v>
      </c>
    </row>
    <row r="86" spans="1:46" x14ac:dyDescent="0.2">
      <c r="A86" s="147">
        <v>87</v>
      </c>
      <c r="B86" s="147" t="str">
        <f>IF(TRIM('UX Weekly'!E86)="","",TRIM('UX Weekly'!E86))</f>
        <v/>
      </c>
      <c r="C86" s="147" t="str">
        <f>IF($B86="","",'UX Weekly'!B86)</f>
        <v/>
      </c>
      <c r="D86" s="147" t="str">
        <f>IF($B86="","",IF(TRIM('UX Weekly'!C86)="","(No theme assigned)",TRIM('UX Weekly'!C86)))</f>
        <v/>
      </c>
      <c r="E86" s="147" t="str">
        <f>IF($B86="","",TRIM('UX Weekly'!F86))</f>
        <v/>
      </c>
      <c r="F86" s="147" t="str">
        <f>IF($B86="","",'UX Weekly'!G86)</f>
        <v/>
      </c>
      <c r="G86" s="148" t="str">
        <f t="array" ref="G86">IF($B86="","",IF($S86=0,"",IFERROR(MIN(IF('UX Weekly'!$H86:$CT86&lt;&gt;"",'UX Weekly'!$H$1:$CT$1)),"")))</f>
        <v/>
      </c>
      <c r="H86" s="148" t="str">
        <f t="array" ref="H86">IF($B86="","",IF($S86=0,"",IFERROR(MAX(IF('UX Weekly'!$H86:$CT86&lt;&gt;"",'UX Weekly'!$H$1:$CT$1)),"")))</f>
        <v/>
      </c>
      <c r="I86" s="149" t="str">
        <f t="shared" ca="1" si="6"/>
        <v/>
      </c>
      <c r="J86" s="149" t="str">
        <f t="shared" ca="1" si="7"/>
        <v/>
      </c>
      <c r="K86" s="147" t="str">
        <f>IF($B86="","",IFERROR(MATCH($B86,'Dev Tracker'!$D$2:$D$196,0),IF($E86="","",IFERROR(MATCH($E86,'Dev Tracker'!$E$2:$E$196,0),""))))</f>
        <v/>
      </c>
      <c r="L86" s="147" t="str">
        <f>IF($B86="","",IFERROR(MATCH($D86,'Control (Don’t Touch)'!$E$4:$E$30,0),99))</f>
        <v/>
      </c>
      <c r="M86" s="147" t="str">
        <f>IF($B86="","",IFERROR(MATCH($F86,'Control (Don’t Touch)'!$B$4:$B$30,0),99))</f>
        <v/>
      </c>
      <c r="N86" s="147" t="str">
        <f t="shared" si="8"/>
        <v/>
      </c>
      <c r="O86" s="147" t="str">
        <f>IF($B86="","",COUNTIF($N$2:$N$204,"&lt;"&amp;$N86)+1)</f>
        <v/>
      </c>
      <c r="P86" s="149" t="str">
        <f ca="1">IF($K86="","",IFERROR(DATE(IFERROR(VALUE(RIGHT(TRIM(INDEX('Dev Tracker'!$I$2:$I$196,$K86)),4)),YEAR(TODAY())),MATCH(LEFT(TRIM(INDEX('Dev Tracker'!$I$2:$I$196,$K86)),3),$U$2:$U$12,0),1),""))</f>
        <v/>
      </c>
      <c r="Q86" s="149" t="str">
        <f ca="1">IF($K86="","",IFERROR(DATE(IFERROR(VALUE(RIGHT(TRIM(INDEX('Dev Tracker'!$J$2:$J$196,$K86)),4)),YEAR(TODAY())),MATCH(LEFT(TRIM(INDEX('Dev Tracker'!$J$2:$J$196,$K86)),3),$U$2:$U$12,0),1),""))</f>
        <v/>
      </c>
      <c r="R86" s="147"/>
      <c r="S86" s="147" t="str">
        <f>IF($B86="","",COUNTA('UX Weekly'!$H86:$CT86))</f>
        <v/>
      </c>
      <c r="W86">
        <f>IF($B86="",0,COUNTIFS('UX Weekly'!$H$1:$CT$1,"&gt;="&amp;W$1,'UX Weekly'!$H$1:$CT$1,"&lt;="&amp;EOMONTH(W$1,0),'UX Weekly'!$H86:$CT86,"&lt;&gt;"))</f>
        <v>0</v>
      </c>
      <c r="X86">
        <f>IF($B86="",0,COUNTIFS('UX Weekly'!$H$1:$CT$1,"&gt;="&amp;X$1,'UX Weekly'!$H$1:$CT$1,"&lt;="&amp;EOMONTH(X$1,0),'UX Weekly'!$H86:$CT86,"&lt;&gt;"))</f>
        <v>0</v>
      </c>
      <c r="Y86">
        <f>IF($B86="",0,COUNTIFS('UX Weekly'!$H$1:$CT$1,"&gt;="&amp;Y$1,'UX Weekly'!$H$1:$CT$1,"&lt;="&amp;EOMONTH(Y$1,0),'UX Weekly'!$H86:$CT86,"&lt;&gt;"))</f>
        <v>0</v>
      </c>
      <c r="Z86">
        <f>IF($B86="",0,COUNTIFS('UX Weekly'!$H$1:$CT$1,"&gt;="&amp;Z$1,'UX Weekly'!$H$1:$CT$1,"&lt;="&amp;EOMONTH(Z$1,0),'UX Weekly'!$H86:$CT86,"&lt;&gt;"))</f>
        <v>0</v>
      </c>
      <c r="AA86">
        <f>IF($B86="",0,COUNTIFS('UX Weekly'!$H$1:$CT$1,"&gt;="&amp;AA$1,'UX Weekly'!$H$1:$CT$1,"&lt;="&amp;EOMONTH(AA$1,0),'UX Weekly'!$H86:$CT86,"&lt;&gt;"))</f>
        <v>0</v>
      </c>
      <c r="AB86">
        <f>IF($B86="",0,COUNTIFS('UX Weekly'!$H$1:$CT$1,"&gt;="&amp;AB$1,'UX Weekly'!$H$1:$CT$1,"&lt;="&amp;EOMONTH(AB$1,0),'UX Weekly'!$H86:$CT86,"&lt;&gt;"))</f>
        <v>0</v>
      </c>
      <c r="AC86">
        <f>IF($B86="",0,COUNTIFS('UX Weekly'!$H$1:$CT$1,"&gt;="&amp;AC$1,'UX Weekly'!$H$1:$CT$1,"&lt;="&amp;EOMONTH(AC$1,0),'UX Weekly'!$H86:$CT86,"&lt;&gt;"))</f>
        <v>0</v>
      </c>
      <c r="AD86">
        <f>IF($B86="",0,COUNTIFS('UX Weekly'!$H$1:$CT$1,"&gt;="&amp;AD$1,'UX Weekly'!$H$1:$CT$1,"&lt;="&amp;EOMONTH(AD$1,0),'UX Weekly'!$H86:$CT86,"&lt;&gt;"))</f>
        <v>0</v>
      </c>
      <c r="AE86">
        <f>IF($B86="",0,COUNTIFS('UX Weekly'!$H$1:$CT$1,"&gt;="&amp;AE$1,'UX Weekly'!$H$1:$CT$1,"&lt;="&amp;EOMONTH(AE$1,0),'UX Weekly'!$H86:$CT86,"&lt;&gt;"))</f>
        <v>0</v>
      </c>
      <c r="AF86">
        <f>IF($B86="",0,COUNTIFS('UX Weekly'!$H$1:$CT$1,"&gt;="&amp;AF$1,'UX Weekly'!$H$1:$CT$1,"&lt;="&amp;EOMONTH(AF$1,0),'UX Weekly'!$H86:$CT86,"&lt;&gt;"))</f>
        <v>0</v>
      </c>
      <c r="AG86">
        <f>IF($B86="",0,COUNTIFS('UX Weekly'!$H$1:$CT$1,"&gt;="&amp;AG$1,'UX Weekly'!$H$1:$CT$1,"&lt;="&amp;EOMONTH(AG$1,0),'UX Weekly'!$H86:$CT86,"&lt;&gt;"))</f>
        <v>0</v>
      </c>
      <c r="AH86">
        <f>IF($B86="",0,COUNTIFS('UX Weekly'!$H$1:$CT$1,"&gt;="&amp;AH$1,'UX Weekly'!$H$1:$CT$1,"&lt;="&amp;EOMONTH(AH$1,0),'UX Weekly'!$H86:$CT86,"&lt;&gt;"))</f>
        <v>0</v>
      </c>
      <c r="AI86">
        <f>IF($B86="",0,COUNTIFS('UX Weekly'!$H$1:$CT$1,"&gt;="&amp;AI$1,'UX Weekly'!$H$1:$CT$1,"&lt;="&amp;EOMONTH(AI$1,0),'UX Weekly'!$H86:$CT86,"&lt;&gt;"))</f>
        <v>0</v>
      </c>
      <c r="AJ86">
        <f>IF($B86="",0,COUNTIFS('UX Weekly'!$H$1:$CT$1,"&gt;="&amp;AJ$1,'UX Weekly'!$H$1:$CT$1,"&lt;="&amp;EOMONTH(AJ$1,0),'UX Weekly'!$H86:$CT86,"&lt;&gt;"))</f>
        <v>0</v>
      </c>
      <c r="AK86">
        <f>IF($B86="",0,COUNTIFS('UX Weekly'!$H$1:$CT$1,"&gt;="&amp;AK$1,'UX Weekly'!$H$1:$CT$1,"&lt;="&amp;EOMONTH(AK$1,0),'UX Weekly'!$H86:$CT86,"&lt;&gt;"))</f>
        <v>0</v>
      </c>
      <c r="AL86">
        <f>IF($B86="",0,COUNTIFS('UX Weekly'!$H$1:$CT$1,"&gt;="&amp;AL$1,'UX Weekly'!$H$1:$CT$1,"&lt;="&amp;EOMONTH(AL$1,0),'UX Weekly'!$H86:$CT86,"&lt;&gt;"))</f>
        <v>0</v>
      </c>
      <c r="AM86">
        <f>IF($B86="",0,COUNTIFS('UX Weekly'!$H$1:$CT$1,"&gt;="&amp;AM$1,'UX Weekly'!$H$1:$CT$1,"&lt;="&amp;EOMONTH(AM$1,0),'UX Weekly'!$H86:$CT86,"&lt;&gt;"))</f>
        <v>0</v>
      </c>
      <c r="AN86">
        <f>IF($B86="",0,COUNTIFS('UX Weekly'!$H$1:$CT$1,"&gt;="&amp;AN$1,'UX Weekly'!$H$1:$CT$1,"&lt;="&amp;EOMONTH(AN$1,0),'UX Weekly'!$H86:$CT86,"&lt;&gt;"))</f>
        <v>0</v>
      </c>
      <c r="AO86">
        <f>IF($B86="",0,COUNTIFS('UX Weekly'!$H$1:$CT$1,"&gt;="&amp;AO$1,'UX Weekly'!$H$1:$CT$1,"&lt;="&amp;EOMONTH(AO$1,0),'UX Weekly'!$H86:$CT86,"&lt;&gt;"))</f>
        <v>0</v>
      </c>
      <c r="AP86">
        <f>IF($B86="",0,COUNTIFS('UX Weekly'!$H$1:$CT$1,"&gt;="&amp;AP$1,'UX Weekly'!$H$1:$CT$1,"&lt;="&amp;EOMONTH(AP$1,0),'UX Weekly'!$H86:$CT86,"&lt;&gt;"))</f>
        <v>0</v>
      </c>
      <c r="AQ86">
        <f>IF($B86="",0,COUNTIFS('UX Weekly'!$H$1:$CT$1,"&gt;="&amp;AQ$1,'UX Weekly'!$H$1:$CT$1,"&lt;="&amp;EOMONTH(AQ$1,0),'UX Weekly'!$H86:$CT86,"&lt;&gt;"))</f>
        <v>0</v>
      </c>
      <c r="AR86">
        <f>IF($B86="",0,COUNTIFS('UX Weekly'!$H$1:$CT$1,"&gt;="&amp;AR$1,'UX Weekly'!$H$1:$CT$1,"&lt;="&amp;EOMONTH(AR$1,0),'UX Weekly'!$H86:$CT86,"&lt;&gt;"))</f>
        <v>0</v>
      </c>
      <c r="AS86">
        <f>IF($B86="",0,COUNTIFS('UX Weekly'!$H$1:$CT$1,"&gt;="&amp;AS$1,'UX Weekly'!$H$1:$CT$1,"&lt;="&amp;EOMONTH(AS$1,0),'UX Weekly'!$H86:$CT86,"&lt;&gt;"))</f>
        <v>0</v>
      </c>
      <c r="AT86">
        <f>IF($B86="",0,COUNTIFS('UX Weekly'!$H$1:$CT$1,"&gt;="&amp;AT$1,'UX Weekly'!$H$1:$CT$1,"&lt;="&amp;EOMONTH(AT$1,0),'UX Weekly'!$H86:$CT86,"&lt;&gt;"))</f>
        <v>0</v>
      </c>
    </row>
    <row r="87" spans="1:46" x14ac:dyDescent="0.2">
      <c r="A87" s="147">
        <v>88</v>
      </c>
      <c r="B87" s="147" t="str">
        <f>IF(TRIM('UX Weekly'!E87)="","",TRIM('UX Weekly'!E87))</f>
        <v/>
      </c>
      <c r="C87" s="147" t="str">
        <f>IF($B87="","",'UX Weekly'!B87)</f>
        <v/>
      </c>
      <c r="D87" s="147" t="str">
        <f>IF($B87="","",IF(TRIM('UX Weekly'!C87)="","(No theme assigned)",TRIM('UX Weekly'!C87)))</f>
        <v/>
      </c>
      <c r="E87" s="147" t="str">
        <f>IF($B87="","",TRIM('UX Weekly'!F87))</f>
        <v/>
      </c>
      <c r="F87" s="147" t="str">
        <f>IF($B87="","",'UX Weekly'!G87)</f>
        <v/>
      </c>
      <c r="G87" s="148" t="str">
        <f t="array" ref="G87">IF($B87="","",IF($S87=0,"",IFERROR(MIN(IF('UX Weekly'!$H87:$CT87&lt;&gt;"",'UX Weekly'!$H$1:$CT$1)),"")))</f>
        <v/>
      </c>
      <c r="H87" s="148" t="str">
        <f t="array" ref="H87">IF($B87="","",IF($S87=0,"",IFERROR(MAX(IF('UX Weekly'!$H87:$CT87&lt;&gt;"",'UX Weekly'!$H$1:$CT$1)),"")))</f>
        <v/>
      </c>
      <c r="I87" s="149" t="str">
        <f t="shared" ca="1" si="6"/>
        <v/>
      </c>
      <c r="J87" s="149" t="str">
        <f t="shared" ca="1" si="7"/>
        <v/>
      </c>
      <c r="K87" s="147" t="str">
        <f>IF($B87="","",IFERROR(MATCH($B87,'Dev Tracker'!$D$2:$D$196,0),IF($E87="","",IFERROR(MATCH($E87,'Dev Tracker'!$E$2:$E$196,0),""))))</f>
        <v/>
      </c>
      <c r="L87" s="147" t="str">
        <f>IF($B87="","",IFERROR(MATCH($D87,'Control (Don’t Touch)'!$E$4:$E$30,0),99))</f>
        <v/>
      </c>
      <c r="M87" s="147" t="str">
        <f>IF($B87="","",IFERROR(MATCH($F87,'Control (Don’t Touch)'!$B$4:$B$30,0),99))</f>
        <v/>
      </c>
      <c r="N87" s="147" t="str">
        <f t="shared" si="8"/>
        <v/>
      </c>
      <c r="O87" s="147" t="str">
        <f>IF($B87="","",COUNTIF($N$2:$N$204,"&lt;"&amp;$N87)+1)</f>
        <v/>
      </c>
      <c r="P87" s="149" t="str">
        <f ca="1">IF($K87="","",IFERROR(DATE(IFERROR(VALUE(RIGHT(TRIM(INDEX('Dev Tracker'!$I$2:$I$196,$K87)),4)),YEAR(TODAY())),MATCH(LEFT(TRIM(INDEX('Dev Tracker'!$I$2:$I$196,$K87)),3),$U$2:$U$12,0),1),""))</f>
        <v/>
      </c>
      <c r="Q87" s="149" t="str">
        <f ca="1">IF($K87="","",IFERROR(DATE(IFERROR(VALUE(RIGHT(TRIM(INDEX('Dev Tracker'!$J$2:$J$196,$K87)),4)),YEAR(TODAY())),MATCH(LEFT(TRIM(INDEX('Dev Tracker'!$J$2:$J$196,$K87)),3),$U$2:$U$12,0),1),""))</f>
        <v/>
      </c>
      <c r="R87" s="147"/>
      <c r="S87" s="147" t="str">
        <f>IF($B87="","",COUNTA('UX Weekly'!$H87:$CT87))</f>
        <v/>
      </c>
      <c r="W87">
        <f>IF($B87="",0,COUNTIFS('UX Weekly'!$H$1:$CT$1,"&gt;="&amp;W$1,'UX Weekly'!$H$1:$CT$1,"&lt;="&amp;EOMONTH(W$1,0),'UX Weekly'!$H87:$CT87,"&lt;&gt;"))</f>
        <v>0</v>
      </c>
      <c r="X87">
        <f>IF($B87="",0,COUNTIFS('UX Weekly'!$H$1:$CT$1,"&gt;="&amp;X$1,'UX Weekly'!$H$1:$CT$1,"&lt;="&amp;EOMONTH(X$1,0),'UX Weekly'!$H87:$CT87,"&lt;&gt;"))</f>
        <v>0</v>
      </c>
      <c r="Y87">
        <f>IF($B87="",0,COUNTIFS('UX Weekly'!$H$1:$CT$1,"&gt;="&amp;Y$1,'UX Weekly'!$H$1:$CT$1,"&lt;="&amp;EOMONTH(Y$1,0),'UX Weekly'!$H87:$CT87,"&lt;&gt;"))</f>
        <v>0</v>
      </c>
      <c r="Z87">
        <f>IF($B87="",0,COUNTIFS('UX Weekly'!$H$1:$CT$1,"&gt;="&amp;Z$1,'UX Weekly'!$H$1:$CT$1,"&lt;="&amp;EOMONTH(Z$1,0),'UX Weekly'!$H87:$CT87,"&lt;&gt;"))</f>
        <v>0</v>
      </c>
      <c r="AA87">
        <f>IF($B87="",0,COUNTIFS('UX Weekly'!$H$1:$CT$1,"&gt;="&amp;AA$1,'UX Weekly'!$H$1:$CT$1,"&lt;="&amp;EOMONTH(AA$1,0),'UX Weekly'!$H87:$CT87,"&lt;&gt;"))</f>
        <v>0</v>
      </c>
      <c r="AB87">
        <f>IF($B87="",0,COUNTIFS('UX Weekly'!$H$1:$CT$1,"&gt;="&amp;AB$1,'UX Weekly'!$H$1:$CT$1,"&lt;="&amp;EOMONTH(AB$1,0),'UX Weekly'!$H87:$CT87,"&lt;&gt;"))</f>
        <v>0</v>
      </c>
      <c r="AC87">
        <f>IF($B87="",0,COUNTIFS('UX Weekly'!$H$1:$CT$1,"&gt;="&amp;AC$1,'UX Weekly'!$H$1:$CT$1,"&lt;="&amp;EOMONTH(AC$1,0),'UX Weekly'!$H87:$CT87,"&lt;&gt;"))</f>
        <v>0</v>
      </c>
      <c r="AD87">
        <f>IF($B87="",0,COUNTIFS('UX Weekly'!$H$1:$CT$1,"&gt;="&amp;AD$1,'UX Weekly'!$H$1:$CT$1,"&lt;="&amp;EOMONTH(AD$1,0),'UX Weekly'!$H87:$CT87,"&lt;&gt;"))</f>
        <v>0</v>
      </c>
      <c r="AE87">
        <f>IF($B87="",0,COUNTIFS('UX Weekly'!$H$1:$CT$1,"&gt;="&amp;AE$1,'UX Weekly'!$H$1:$CT$1,"&lt;="&amp;EOMONTH(AE$1,0),'UX Weekly'!$H87:$CT87,"&lt;&gt;"))</f>
        <v>0</v>
      </c>
      <c r="AF87">
        <f>IF($B87="",0,COUNTIFS('UX Weekly'!$H$1:$CT$1,"&gt;="&amp;AF$1,'UX Weekly'!$H$1:$CT$1,"&lt;="&amp;EOMONTH(AF$1,0),'UX Weekly'!$H87:$CT87,"&lt;&gt;"))</f>
        <v>0</v>
      </c>
      <c r="AG87">
        <f>IF($B87="",0,COUNTIFS('UX Weekly'!$H$1:$CT$1,"&gt;="&amp;AG$1,'UX Weekly'!$H$1:$CT$1,"&lt;="&amp;EOMONTH(AG$1,0),'UX Weekly'!$H87:$CT87,"&lt;&gt;"))</f>
        <v>0</v>
      </c>
      <c r="AH87">
        <f>IF($B87="",0,COUNTIFS('UX Weekly'!$H$1:$CT$1,"&gt;="&amp;AH$1,'UX Weekly'!$H$1:$CT$1,"&lt;="&amp;EOMONTH(AH$1,0),'UX Weekly'!$H87:$CT87,"&lt;&gt;"))</f>
        <v>0</v>
      </c>
      <c r="AI87">
        <f>IF($B87="",0,COUNTIFS('UX Weekly'!$H$1:$CT$1,"&gt;="&amp;AI$1,'UX Weekly'!$H$1:$CT$1,"&lt;="&amp;EOMONTH(AI$1,0),'UX Weekly'!$H87:$CT87,"&lt;&gt;"))</f>
        <v>0</v>
      </c>
      <c r="AJ87">
        <f>IF($B87="",0,COUNTIFS('UX Weekly'!$H$1:$CT$1,"&gt;="&amp;AJ$1,'UX Weekly'!$H$1:$CT$1,"&lt;="&amp;EOMONTH(AJ$1,0),'UX Weekly'!$H87:$CT87,"&lt;&gt;"))</f>
        <v>0</v>
      </c>
      <c r="AK87">
        <f>IF($B87="",0,COUNTIFS('UX Weekly'!$H$1:$CT$1,"&gt;="&amp;AK$1,'UX Weekly'!$H$1:$CT$1,"&lt;="&amp;EOMONTH(AK$1,0),'UX Weekly'!$H87:$CT87,"&lt;&gt;"))</f>
        <v>0</v>
      </c>
      <c r="AL87">
        <f>IF($B87="",0,COUNTIFS('UX Weekly'!$H$1:$CT$1,"&gt;="&amp;AL$1,'UX Weekly'!$H$1:$CT$1,"&lt;="&amp;EOMONTH(AL$1,0),'UX Weekly'!$H87:$CT87,"&lt;&gt;"))</f>
        <v>0</v>
      </c>
      <c r="AM87">
        <f>IF($B87="",0,COUNTIFS('UX Weekly'!$H$1:$CT$1,"&gt;="&amp;AM$1,'UX Weekly'!$H$1:$CT$1,"&lt;="&amp;EOMONTH(AM$1,0),'UX Weekly'!$H87:$CT87,"&lt;&gt;"))</f>
        <v>0</v>
      </c>
      <c r="AN87">
        <f>IF($B87="",0,COUNTIFS('UX Weekly'!$H$1:$CT$1,"&gt;="&amp;AN$1,'UX Weekly'!$H$1:$CT$1,"&lt;="&amp;EOMONTH(AN$1,0),'UX Weekly'!$H87:$CT87,"&lt;&gt;"))</f>
        <v>0</v>
      </c>
      <c r="AO87">
        <f>IF($B87="",0,COUNTIFS('UX Weekly'!$H$1:$CT$1,"&gt;="&amp;AO$1,'UX Weekly'!$H$1:$CT$1,"&lt;="&amp;EOMONTH(AO$1,0),'UX Weekly'!$H87:$CT87,"&lt;&gt;"))</f>
        <v>0</v>
      </c>
      <c r="AP87">
        <f>IF($B87="",0,COUNTIFS('UX Weekly'!$H$1:$CT$1,"&gt;="&amp;AP$1,'UX Weekly'!$H$1:$CT$1,"&lt;="&amp;EOMONTH(AP$1,0),'UX Weekly'!$H87:$CT87,"&lt;&gt;"))</f>
        <v>0</v>
      </c>
      <c r="AQ87">
        <f>IF($B87="",0,COUNTIFS('UX Weekly'!$H$1:$CT$1,"&gt;="&amp;AQ$1,'UX Weekly'!$H$1:$CT$1,"&lt;="&amp;EOMONTH(AQ$1,0),'UX Weekly'!$H87:$CT87,"&lt;&gt;"))</f>
        <v>0</v>
      </c>
      <c r="AR87">
        <f>IF($B87="",0,COUNTIFS('UX Weekly'!$H$1:$CT$1,"&gt;="&amp;AR$1,'UX Weekly'!$H$1:$CT$1,"&lt;="&amp;EOMONTH(AR$1,0),'UX Weekly'!$H87:$CT87,"&lt;&gt;"))</f>
        <v>0</v>
      </c>
      <c r="AS87">
        <f>IF($B87="",0,COUNTIFS('UX Weekly'!$H$1:$CT$1,"&gt;="&amp;AS$1,'UX Weekly'!$H$1:$CT$1,"&lt;="&amp;EOMONTH(AS$1,0),'UX Weekly'!$H87:$CT87,"&lt;&gt;"))</f>
        <v>0</v>
      </c>
      <c r="AT87">
        <f>IF($B87="",0,COUNTIFS('UX Weekly'!$H$1:$CT$1,"&gt;="&amp;AT$1,'UX Weekly'!$H$1:$CT$1,"&lt;="&amp;EOMONTH(AT$1,0),'UX Weekly'!$H87:$CT87,"&lt;&gt;"))</f>
        <v>0</v>
      </c>
    </row>
    <row r="88" spans="1:46" x14ac:dyDescent="0.2">
      <c r="A88" s="147">
        <v>89</v>
      </c>
      <c r="B88" s="147" t="str">
        <f>IF(TRIM('UX Weekly'!E88)="","",TRIM('UX Weekly'!E88))</f>
        <v/>
      </c>
      <c r="C88" s="147" t="str">
        <f>IF($B88="","",'UX Weekly'!B88)</f>
        <v/>
      </c>
      <c r="D88" s="147" t="str">
        <f>IF($B88="","",IF(TRIM('UX Weekly'!C88)="","(No theme assigned)",TRIM('UX Weekly'!C88)))</f>
        <v/>
      </c>
      <c r="E88" s="147" t="str">
        <f>IF($B88="","",TRIM('UX Weekly'!F88))</f>
        <v/>
      </c>
      <c r="F88" s="147" t="str">
        <f>IF($B88="","",'UX Weekly'!G88)</f>
        <v/>
      </c>
      <c r="G88" s="148" t="str">
        <f t="array" ref="G88">IF($B88="","",IF($S88=0,"",IFERROR(MIN(IF('UX Weekly'!$H88:$CT88&lt;&gt;"",'UX Weekly'!$H$1:$CT$1)),"")))</f>
        <v/>
      </c>
      <c r="H88" s="148" t="str">
        <f t="array" ref="H88">IF($B88="","",IF($S88=0,"",IFERROR(MAX(IF('UX Weekly'!$H88:$CT88&lt;&gt;"",'UX Weekly'!$H$1:$CT$1)),"")))</f>
        <v/>
      </c>
      <c r="I88" s="149" t="str">
        <f t="shared" ca="1" si="6"/>
        <v/>
      </c>
      <c r="J88" s="149" t="str">
        <f t="shared" ca="1" si="7"/>
        <v/>
      </c>
      <c r="K88" s="147" t="str">
        <f>IF($B88="","",IFERROR(MATCH($B88,'Dev Tracker'!$D$2:$D$196,0),IF($E88="","",IFERROR(MATCH($E88,'Dev Tracker'!$E$2:$E$196,0),""))))</f>
        <v/>
      </c>
      <c r="L88" s="147" t="str">
        <f>IF($B88="","",IFERROR(MATCH($D88,'Control (Don’t Touch)'!$E$4:$E$30,0),99))</f>
        <v/>
      </c>
      <c r="M88" s="147" t="str">
        <f>IF($B88="","",IFERROR(MATCH($F88,'Control (Don’t Touch)'!$B$4:$B$30,0),99))</f>
        <v/>
      </c>
      <c r="N88" s="147" t="str">
        <f t="shared" si="8"/>
        <v/>
      </c>
      <c r="O88" s="147" t="str">
        <f>IF($B88="","",COUNTIF($N$2:$N$204,"&lt;"&amp;$N88)+1)</f>
        <v/>
      </c>
      <c r="P88" s="149" t="str">
        <f ca="1">IF($K88="","",IFERROR(DATE(IFERROR(VALUE(RIGHT(TRIM(INDEX('Dev Tracker'!$I$2:$I$196,$K88)),4)),YEAR(TODAY())),MATCH(LEFT(TRIM(INDEX('Dev Tracker'!$I$2:$I$196,$K88)),3),$U$2:$U$12,0),1),""))</f>
        <v/>
      </c>
      <c r="Q88" s="149" t="str">
        <f ca="1">IF($K88="","",IFERROR(DATE(IFERROR(VALUE(RIGHT(TRIM(INDEX('Dev Tracker'!$J$2:$J$196,$K88)),4)),YEAR(TODAY())),MATCH(LEFT(TRIM(INDEX('Dev Tracker'!$J$2:$J$196,$K88)),3),$U$2:$U$12,0),1),""))</f>
        <v/>
      </c>
      <c r="R88" s="147"/>
      <c r="S88" s="147" t="str">
        <f>IF($B88="","",COUNTA('UX Weekly'!$H88:$CT88))</f>
        <v/>
      </c>
      <c r="W88">
        <f>IF($B88="",0,COUNTIFS('UX Weekly'!$H$1:$CT$1,"&gt;="&amp;W$1,'UX Weekly'!$H$1:$CT$1,"&lt;="&amp;EOMONTH(W$1,0),'UX Weekly'!$H88:$CT88,"&lt;&gt;"))</f>
        <v>0</v>
      </c>
      <c r="X88">
        <f>IF($B88="",0,COUNTIFS('UX Weekly'!$H$1:$CT$1,"&gt;="&amp;X$1,'UX Weekly'!$H$1:$CT$1,"&lt;="&amp;EOMONTH(X$1,0),'UX Weekly'!$H88:$CT88,"&lt;&gt;"))</f>
        <v>0</v>
      </c>
      <c r="Y88">
        <f>IF($B88="",0,COUNTIFS('UX Weekly'!$H$1:$CT$1,"&gt;="&amp;Y$1,'UX Weekly'!$H$1:$CT$1,"&lt;="&amp;EOMONTH(Y$1,0),'UX Weekly'!$H88:$CT88,"&lt;&gt;"))</f>
        <v>0</v>
      </c>
      <c r="Z88">
        <f>IF($B88="",0,COUNTIFS('UX Weekly'!$H$1:$CT$1,"&gt;="&amp;Z$1,'UX Weekly'!$H$1:$CT$1,"&lt;="&amp;EOMONTH(Z$1,0),'UX Weekly'!$H88:$CT88,"&lt;&gt;"))</f>
        <v>0</v>
      </c>
      <c r="AA88">
        <f>IF($B88="",0,COUNTIFS('UX Weekly'!$H$1:$CT$1,"&gt;="&amp;AA$1,'UX Weekly'!$H$1:$CT$1,"&lt;="&amp;EOMONTH(AA$1,0),'UX Weekly'!$H88:$CT88,"&lt;&gt;"))</f>
        <v>0</v>
      </c>
      <c r="AB88">
        <f>IF($B88="",0,COUNTIFS('UX Weekly'!$H$1:$CT$1,"&gt;="&amp;AB$1,'UX Weekly'!$H$1:$CT$1,"&lt;="&amp;EOMONTH(AB$1,0),'UX Weekly'!$H88:$CT88,"&lt;&gt;"))</f>
        <v>0</v>
      </c>
      <c r="AC88">
        <f>IF($B88="",0,COUNTIFS('UX Weekly'!$H$1:$CT$1,"&gt;="&amp;AC$1,'UX Weekly'!$H$1:$CT$1,"&lt;="&amp;EOMONTH(AC$1,0),'UX Weekly'!$H88:$CT88,"&lt;&gt;"))</f>
        <v>0</v>
      </c>
      <c r="AD88">
        <f>IF($B88="",0,COUNTIFS('UX Weekly'!$H$1:$CT$1,"&gt;="&amp;AD$1,'UX Weekly'!$H$1:$CT$1,"&lt;="&amp;EOMONTH(AD$1,0),'UX Weekly'!$H88:$CT88,"&lt;&gt;"))</f>
        <v>0</v>
      </c>
      <c r="AE88">
        <f>IF($B88="",0,COUNTIFS('UX Weekly'!$H$1:$CT$1,"&gt;="&amp;AE$1,'UX Weekly'!$H$1:$CT$1,"&lt;="&amp;EOMONTH(AE$1,0),'UX Weekly'!$H88:$CT88,"&lt;&gt;"))</f>
        <v>0</v>
      </c>
      <c r="AF88">
        <f>IF($B88="",0,COUNTIFS('UX Weekly'!$H$1:$CT$1,"&gt;="&amp;AF$1,'UX Weekly'!$H$1:$CT$1,"&lt;="&amp;EOMONTH(AF$1,0),'UX Weekly'!$H88:$CT88,"&lt;&gt;"))</f>
        <v>0</v>
      </c>
      <c r="AG88">
        <f>IF($B88="",0,COUNTIFS('UX Weekly'!$H$1:$CT$1,"&gt;="&amp;AG$1,'UX Weekly'!$H$1:$CT$1,"&lt;="&amp;EOMONTH(AG$1,0),'UX Weekly'!$H88:$CT88,"&lt;&gt;"))</f>
        <v>0</v>
      </c>
      <c r="AH88">
        <f>IF($B88="",0,COUNTIFS('UX Weekly'!$H$1:$CT$1,"&gt;="&amp;AH$1,'UX Weekly'!$H$1:$CT$1,"&lt;="&amp;EOMONTH(AH$1,0),'UX Weekly'!$H88:$CT88,"&lt;&gt;"))</f>
        <v>0</v>
      </c>
      <c r="AI88">
        <f>IF($B88="",0,COUNTIFS('UX Weekly'!$H$1:$CT$1,"&gt;="&amp;AI$1,'UX Weekly'!$H$1:$CT$1,"&lt;="&amp;EOMONTH(AI$1,0),'UX Weekly'!$H88:$CT88,"&lt;&gt;"))</f>
        <v>0</v>
      </c>
      <c r="AJ88">
        <f>IF($B88="",0,COUNTIFS('UX Weekly'!$H$1:$CT$1,"&gt;="&amp;AJ$1,'UX Weekly'!$H$1:$CT$1,"&lt;="&amp;EOMONTH(AJ$1,0),'UX Weekly'!$H88:$CT88,"&lt;&gt;"))</f>
        <v>0</v>
      </c>
      <c r="AK88">
        <f>IF($B88="",0,COUNTIFS('UX Weekly'!$H$1:$CT$1,"&gt;="&amp;AK$1,'UX Weekly'!$H$1:$CT$1,"&lt;="&amp;EOMONTH(AK$1,0),'UX Weekly'!$H88:$CT88,"&lt;&gt;"))</f>
        <v>0</v>
      </c>
      <c r="AL88">
        <f>IF($B88="",0,COUNTIFS('UX Weekly'!$H$1:$CT$1,"&gt;="&amp;AL$1,'UX Weekly'!$H$1:$CT$1,"&lt;="&amp;EOMONTH(AL$1,0),'UX Weekly'!$H88:$CT88,"&lt;&gt;"))</f>
        <v>0</v>
      </c>
      <c r="AM88">
        <f>IF($B88="",0,COUNTIFS('UX Weekly'!$H$1:$CT$1,"&gt;="&amp;AM$1,'UX Weekly'!$H$1:$CT$1,"&lt;="&amp;EOMONTH(AM$1,0),'UX Weekly'!$H88:$CT88,"&lt;&gt;"))</f>
        <v>0</v>
      </c>
      <c r="AN88">
        <f>IF($B88="",0,COUNTIFS('UX Weekly'!$H$1:$CT$1,"&gt;="&amp;AN$1,'UX Weekly'!$H$1:$CT$1,"&lt;="&amp;EOMONTH(AN$1,0),'UX Weekly'!$H88:$CT88,"&lt;&gt;"))</f>
        <v>0</v>
      </c>
      <c r="AO88">
        <f>IF($B88="",0,COUNTIFS('UX Weekly'!$H$1:$CT$1,"&gt;="&amp;AO$1,'UX Weekly'!$H$1:$CT$1,"&lt;="&amp;EOMONTH(AO$1,0),'UX Weekly'!$H88:$CT88,"&lt;&gt;"))</f>
        <v>0</v>
      </c>
      <c r="AP88">
        <f>IF($B88="",0,COUNTIFS('UX Weekly'!$H$1:$CT$1,"&gt;="&amp;AP$1,'UX Weekly'!$H$1:$CT$1,"&lt;="&amp;EOMONTH(AP$1,0),'UX Weekly'!$H88:$CT88,"&lt;&gt;"))</f>
        <v>0</v>
      </c>
      <c r="AQ88">
        <f>IF($B88="",0,COUNTIFS('UX Weekly'!$H$1:$CT$1,"&gt;="&amp;AQ$1,'UX Weekly'!$H$1:$CT$1,"&lt;="&amp;EOMONTH(AQ$1,0),'UX Weekly'!$H88:$CT88,"&lt;&gt;"))</f>
        <v>0</v>
      </c>
      <c r="AR88">
        <f>IF($B88="",0,COUNTIFS('UX Weekly'!$H$1:$CT$1,"&gt;="&amp;AR$1,'UX Weekly'!$H$1:$CT$1,"&lt;="&amp;EOMONTH(AR$1,0),'UX Weekly'!$H88:$CT88,"&lt;&gt;"))</f>
        <v>0</v>
      </c>
      <c r="AS88">
        <f>IF($B88="",0,COUNTIFS('UX Weekly'!$H$1:$CT$1,"&gt;="&amp;AS$1,'UX Weekly'!$H$1:$CT$1,"&lt;="&amp;EOMONTH(AS$1,0),'UX Weekly'!$H88:$CT88,"&lt;&gt;"))</f>
        <v>0</v>
      </c>
      <c r="AT88">
        <f>IF($B88="",0,COUNTIFS('UX Weekly'!$H$1:$CT$1,"&gt;="&amp;AT$1,'UX Weekly'!$H$1:$CT$1,"&lt;="&amp;EOMONTH(AT$1,0),'UX Weekly'!$H88:$CT88,"&lt;&gt;"))</f>
        <v>0</v>
      </c>
    </row>
    <row r="89" spans="1:46" x14ac:dyDescent="0.2">
      <c r="A89" s="147">
        <v>90</v>
      </c>
      <c r="B89" s="147" t="str">
        <f>IF(TRIM('UX Weekly'!E89)="","",TRIM('UX Weekly'!E89))</f>
        <v/>
      </c>
      <c r="C89" s="147" t="str">
        <f>IF($B89="","",'UX Weekly'!B89)</f>
        <v/>
      </c>
      <c r="D89" s="147" t="str">
        <f>IF($B89="","",IF(TRIM('UX Weekly'!C89)="","(No theme assigned)",TRIM('UX Weekly'!C89)))</f>
        <v/>
      </c>
      <c r="E89" s="147" t="str">
        <f>IF($B89="","",TRIM('UX Weekly'!F89))</f>
        <v/>
      </c>
      <c r="F89" s="147" t="str">
        <f>IF($B89="","",'UX Weekly'!G89)</f>
        <v/>
      </c>
      <c r="G89" s="148" t="str">
        <f t="array" ref="G89">IF($B89="","",IF($S89=0,"",IFERROR(MIN(IF('UX Weekly'!$H89:$CT89&lt;&gt;"",'UX Weekly'!$H$1:$CT$1)),"")))</f>
        <v/>
      </c>
      <c r="H89" s="148" t="str">
        <f t="array" ref="H89">IF($B89="","",IF($S89=0,"",IFERROR(MAX(IF('UX Weekly'!$H89:$CT89&lt;&gt;"",'UX Weekly'!$H$1:$CT$1)),"")))</f>
        <v/>
      </c>
      <c r="I89" s="149" t="str">
        <f t="shared" ca="1" si="6"/>
        <v/>
      </c>
      <c r="J89" s="149" t="str">
        <f t="shared" ca="1" si="7"/>
        <v/>
      </c>
      <c r="K89" s="147" t="str">
        <f>IF($B89="","",IFERROR(MATCH($B89,'Dev Tracker'!$D$2:$D$196,0),IF($E89="","",IFERROR(MATCH($E89,'Dev Tracker'!$E$2:$E$196,0),""))))</f>
        <v/>
      </c>
      <c r="L89" s="147" t="str">
        <f>IF($B89="","",IFERROR(MATCH($D89,'Control (Don’t Touch)'!$E$4:$E$30,0),99))</f>
        <v/>
      </c>
      <c r="M89" s="147" t="str">
        <f>IF($B89="","",IFERROR(MATCH($F89,'Control (Don’t Touch)'!$B$4:$B$30,0),99))</f>
        <v/>
      </c>
      <c r="N89" s="147" t="str">
        <f t="shared" si="8"/>
        <v/>
      </c>
      <c r="O89" s="147" t="str">
        <f>IF($B89="","",COUNTIF($N$2:$N$204,"&lt;"&amp;$N89)+1)</f>
        <v/>
      </c>
      <c r="P89" s="149" t="str">
        <f ca="1">IF($K89="","",IFERROR(DATE(IFERROR(VALUE(RIGHT(TRIM(INDEX('Dev Tracker'!$I$2:$I$196,$K89)),4)),YEAR(TODAY())),MATCH(LEFT(TRIM(INDEX('Dev Tracker'!$I$2:$I$196,$K89)),3),$U$2:$U$12,0),1),""))</f>
        <v/>
      </c>
      <c r="Q89" s="149" t="str">
        <f ca="1">IF($K89="","",IFERROR(DATE(IFERROR(VALUE(RIGHT(TRIM(INDEX('Dev Tracker'!$J$2:$J$196,$K89)),4)),YEAR(TODAY())),MATCH(LEFT(TRIM(INDEX('Dev Tracker'!$J$2:$J$196,$K89)),3),$U$2:$U$12,0),1),""))</f>
        <v/>
      </c>
      <c r="R89" s="147"/>
      <c r="S89" s="147" t="str">
        <f>IF($B89="","",COUNTA('UX Weekly'!$H89:$CT89))</f>
        <v/>
      </c>
      <c r="W89">
        <f>IF($B89="",0,COUNTIFS('UX Weekly'!$H$1:$CT$1,"&gt;="&amp;W$1,'UX Weekly'!$H$1:$CT$1,"&lt;="&amp;EOMONTH(W$1,0),'UX Weekly'!$H89:$CT89,"&lt;&gt;"))</f>
        <v>0</v>
      </c>
      <c r="X89">
        <f>IF($B89="",0,COUNTIFS('UX Weekly'!$H$1:$CT$1,"&gt;="&amp;X$1,'UX Weekly'!$H$1:$CT$1,"&lt;="&amp;EOMONTH(X$1,0),'UX Weekly'!$H89:$CT89,"&lt;&gt;"))</f>
        <v>0</v>
      </c>
      <c r="Y89">
        <f>IF($B89="",0,COUNTIFS('UX Weekly'!$H$1:$CT$1,"&gt;="&amp;Y$1,'UX Weekly'!$H$1:$CT$1,"&lt;="&amp;EOMONTH(Y$1,0),'UX Weekly'!$H89:$CT89,"&lt;&gt;"))</f>
        <v>0</v>
      </c>
      <c r="Z89">
        <f>IF($B89="",0,COUNTIFS('UX Weekly'!$H$1:$CT$1,"&gt;="&amp;Z$1,'UX Weekly'!$H$1:$CT$1,"&lt;="&amp;EOMONTH(Z$1,0),'UX Weekly'!$H89:$CT89,"&lt;&gt;"))</f>
        <v>0</v>
      </c>
      <c r="AA89">
        <f>IF($B89="",0,COUNTIFS('UX Weekly'!$H$1:$CT$1,"&gt;="&amp;AA$1,'UX Weekly'!$H$1:$CT$1,"&lt;="&amp;EOMONTH(AA$1,0),'UX Weekly'!$H89:$CT89,"&lt;&gt;"))</f>
        <v>0</v>
      </c>
      <c r="AB89">
        <f>IF($B89="",0,COUNTIFS('UX Weekly'!$H$1:$CT$1,"&gt;="&amp;AB$1,'UX Weekly'!$H$1:$CT$1,"&lt;="&amp;EOMONTH(AB$1,0),'UX Weekly'!$H89:$CT89,"&lt;&gt;"))</f>
        <v>0</v>
      </c>
      <c r="AC89">
        <f>IF($B89="",0,COUNTIFS('UX Weekly'!$H$1:$CT$1,"&gt;="&amp;AC$1,'UX Weekly'!$H$1:$CT$1,"&lt;="&amp;EOMONTH(AC$1,0),'UX Weekly'!$H89:$CT89,"&lt;&gt;"))</f>
        <v>0</v>
      </c>
      <c r="AD89">
        <f>IF($B89="",0,COUNTIFS('UX Weekly'!$H$1:$CT$1,"&gt;="&amp;AD$1,'UX Weekly'!$H$1:$CT$1,"&lt;="&amp;EOMONTH(AD$1,0),'UX Weekly'!$H89:$CT89,"&lt;&gt;"))</f>
        <v>0</v>
      </c>
      <c r="AE89">
        <f>IF($B89="",0,COUNTIFS('UX Weekly'!$H$1:$CT$1,"&gt;="&amp;AE$1,'UX Weekly'!$H$1:$CT$1,"&lt;="&amp;EOMONTH(AE$1,0),'UX Weekly'!$H89:$CT89,"&lt;&gt;"))</f>
        <v>0</v>
      </c>
      <c r="AF89">
        <f>IF($B89="",0,COUNTIFS('UX Weekly'!$H$1:$CT$1,"&gt;="&amp;AF$1,'UX Weekly'!$H$1:$CT$1,"&lt;="&amp;EOMONTH(AF$1,0),'UX Weekly'!$H89:$CT89,"&lt;&gt;"))</f>
        <v>0</v>
      </c>
      <c r="AG89">
        <f>IF($B89="",0,COUNTIFS('UX Weekly'!$H$1:$CT$1,"&gt;="&amp;AG$1,'UX Weekly'!$H$1:$CT$1,"&lt;="&amp;EOMONTH(AG$1,0),'UX Weekly'!$H89:$CT89,"&lt;&gt;"))</f>
        <v>0</v>
      </c>
      <c r="AH89">
        <f>IF($B89="",0,COUNTIFS('UX Weekly'!$H$1:$CT$1,"&gt;="&amp;AH$1,'UX Weekly'!$H$1:$CT$1,"&lt;="&amp;EOMONTH(AH$1,0),'UX Weekly'!$H89:$CT89,"&lt;&gt;"))</f>
        <v>0</v>
      </c>
      <c r="AI89">
        <f>IF($B89="",0,COUNTIFS('UX Weekly'!$H$1:$CT$1,"&gt;="&amp;AI$1,'UX Weekly'!$H$1:$CT$1,"&lt;="&amp;EOMONTH(AI$1,0),'UX Weekly'!$H89:$CT89,"&lt;&gt;"))</f>
        <v>0</v>
      </c>
      <c r="AJ89">
        <f>IF($B89="",0,COUNTIFS('UX Weekly'!$H$1:$CT$1,"&gt;="&amp;AJ$1,'UX Weekly'!$H$1:$CT$1,"&lt;="&amp;EOMONTH(AJ$1,0),'UX Weekly'!$H89:$CT89,"&lt;&gt;"))</f>
        <v>0</v>
      </c>
      <c r="AK89">
        <f>IF($B89="",0,COUNTIFS('UX Weekly'!$H$1:$CT$1,"&gt;="&amp;AK$1,'UX Weekly'!$H$1:$CT$1,"&lt;="&amp;EOMONTH(AK$1,0),'UX Weekly'!$H89:$CT89,"&lt;&gt;"))</f>
        <v>0</v>
      </c>
      <c r="AL89">
        <f>IF($B89="",0,COUNTIFS('UX Weekly'!$H$1:$CT$1,"&gt;="&amp;AL$1,'UX Weekly'!$H$1:$CT$1,"&lt;="&amp;EOMONTH(AL$1,0),'UX Weekly'!$H89:$CT89,"&lt;&gt;"))</f>
        <v>0</v>
      </c>
      <c r="AM89">
        <f>IF($B89="",0,COUNTIFS('UX Weekly'!$H$1:$CT$1,"&gt;="&amp;AM$1,'UX Weekly'!$H$1:$CT$1,"&lt;="&amp;EOMONTH(AM$1,0),'UX Weekly'!$H89:$CT89,"&lt;&gt;"))</f>
        <v>0</v>
      </c>
      <c r="AN89">
        <f>IF($B89="",0,COUNTIFS('UX Weekly'!$H$1:$CT$1,"&gt;="&amp;AN$1,'UX Weekly'!$H$1:$CT$1,"&lt;="&amp;EOMONTH(AN$1,0),'UX Weekly'!$H89:$CT89,"&lt;&gt;"))</f>
        <v>0</v>
      </c>
      <c r="AO89">
        <f>IF($B89="",0,COUNTIFS('UX Weekly'!$H$1:$CT$1,"&gt;="&amp;AO$1,'UX Weekly'!$H$1:$CT$1,"&lt;="&amp;EOMONTH(AO$1,0),'UX Weekly'!$H89:$CT89,"&lt;&gt;"))</f>
        <v>0</v>
      </c>
      <c r="AP89">
        <f>IF($B89="",0,COUNTIFS('UX Weekly'!$H$1:$CT$1,"&gt;="&amp;AP$1,'UX Weekly'!$H$1:$CT$1,"&lt;="&amp;EOMONTH(AP$1,0),'UX Weekly'!$H89:$CT89,"&lt;&gt;"))</f>
        <v>0</v>
      </c>
      <c r="AQ89">
        <f>IF($B89="",0,COUNTIFS('UX Weekly'!$H$1:$CT$1,"&gt;="&amp;AQ$1,'UX Weekly'!$H$1:$CT$1,"&lt;="&amp;EOMONTH(AQ$1,0),'UX Weekly'!$H89:$CT89,"&lt;&gt;"))</f>
        <v>0</v>
      </c>
      <c r="AR89">
        <f>IF($B89="",0,COUNTIFS('UX Weekly'!$H$1:$CT$1,"&gt;="&amp;AR$1,'UX Weekly'!$H$1:$CT$1,"&lt;="&amp;EOMONTH(AR$1,0),'UX Weekly'!$H89:$CT89,"&lt;&gt;"))</f>
        <v>0</v>
      </c>
      <c r="AS89">
        <f>IF($B89="",0,COUNTIFS('UX Weekly'!$H$1:$CT$1,"&gt;="&amp;AS$1,'UX Weekly'!$H$1:$CT$1,"&lt;="&amp;EOMONTH(AS$1,0),'UX Weekly'!$H89:$CT89,"&lt;&gt;"))</f>
        <v>0</v>
      </c>
      <c r="AT89">
        <f>IF($B89="",0,COUNTIFS('UX Weekly'!$H$1:$CT$1,"&gt;="&amp;AT$1,'UX Weekly'!$H$1:$CT$1,"&lt;="&amp;EOMONTH(AT$1,0),'UX Weekly'!$H89:$CT89,"&lt;&gt;"))</f>
        <v>0</v>
      </c>
    </row>
    <row r="90" spans="1:46" x14ac:dyDescent="0.2">
      <c r="A90" s="147">
        <v>91</v>
      </c>
      <c r="B90" s="147" t="str">
        <f>IF(TRIM('UX Weekly'!E90)="","",TRIM('UX Weekly'!E90))</f>
        <v/>
      </c>
      <c r="C90" s="147" t="str">
        <f>IF($B90="","",'UX Weekly'!B90)</f>
        <v/>
      </c>
      <c r="D90" s="147" t="str">
        <f>IF($B90="","",IF(TRIM('UX Weekly'!C90)="","(No theme assigned)",TRIM('UX Weekly'!C90)))</f>
        <v/>
      </c>
      <c r="E90" s="147" t="str">
        <f>IF($B90="","",TRIM('UX Weekly'!F90))</f>
        <v/>
      </c>
      <c r="F90" s="147" t="str">
        <f>IF($B90="","",'UX Weekly'!G90)</f>
        <v/>
      </c>
      <c r="G90" s="148" t="str">
        <f t="array" ref="G90">IF($B90="","",IF($S90=0,"",IFERROR(MIN(IF('UX Weekly'!$H90:$CT90&lt;&gt;"",'UX Weekly'!$H$1:$CT$1)),"")))</f>
        <v/>
      </c>
      <c r="H90" s="148" t="str">
        <f t="array" ref="H90">IF($B90="","",IF($S90=0,"",IFERROR(MAX(IF('UX Weekly'!$H90:$CT90&lt;&gt;"",'UX Weekly'!$H$1:$CT$1)),"")))</f>
        <v/>
      </c>
      <c r="I90" s="149" t="str">
        <f t="shared" ca="1" si="6"/>
        <v/>
      </c>
      <c r="J90" s="149" t="str">
        <f t="shared" ca="1" si="7"/>
        <v/>
      </c>
      <c r="K90" s="147" t="str">
        <f>IF($B90="","",IFERROR(MATCH($B90,'Dev Tracker'!$D$2:$D$196,0),IF($E90="","",IFERROR(MATCH($E90,'Dev Tracker'!$E$2:$E$196,0),""))))</f>
        <v/>
      </c>
      <c r="L90" s="147" t="str">
        <f>IF($B90="","",IFERROR(MATCH($D90,'Control (Don’t Touch)'!$E$4:$E$30,0),99))</f>
        <v/>
      </c>
      <c r="M90" s="147" t="str">
        <f>IF($B90="","",IFERROR(MATCH($F90,'Control (Don’t Touch)'!$B$4:$B$30,0),99))</f>
        <v/>
      </c>
      <c r="N90" s="147" t="str">
        <f t="shared" si="8"/>
        <v/>
      </c>
      <c r="O90" s="147" t="str">
        <f>IF($B90="","",COUNTIF($N$2:$N$204,"&lt;"&amp;$N90)+1)</f>
        <v/>
      </c>
      <c r="P90" s="149" t="str">
        <f ca="1">IF($K90="","",IFERROR(DATE(IFERROR(VALUE(RIGHT(TRIM(INDEX('Dev Tracker'!$I$2:$I$196,$K90)),4)),YEAR(TODAY())),MATCH(LEFT(TRIM(INDEX('Dev Tracker'!$I$2:$I$196,$K90)),3),$U$2:$U$12,0),1),""))</f>
        <v/>
      </c>
      <c r="Q90" s="149" t="str">
        <f ca="1">IF($K90="","",IFERROR(DATE(IFERROR(VALUE(RIGHT(TRIM(INDEX('Dev Tracker'!$J$2:$J$196,$K90)),4)),YEAR(TODAY())),MATCH(LEFT(TRIM(INDEX('Dev Tracker'!$J$2:$J$196,$K90)),3),$U$2:$U$12,0),1),""))</f>
        <v/>
      </c>
      <c r="R90" s="147"/>
      <c r="S90" s="147" t="str">
        <f>IF($B90="","",COUNTA('UX Weekly'!$H90:$CT90))</f>
        <v/>
      </c>
      <c r="W90">
        <f>IF($B90="",0,COUNTIFS('UX Weekly'!$H$1:$CT$1,"&gt;="&amp;W$1,'UX Weekly'!$H$1:$CT$1,"&lt;="&amp;EOMONTH(W$1,0),'UX Weekly'!$H90:$CT90,"&lt;&gt;"))</f>
        <v>0</v>
      </c>
      <c r="X90">
        <f>IF($B90="",0,COUNTIFS('UX Weekly'!$H$1:$CT$1,"&gt;="&amp;X$1,'UX Weekly'!$H$1:$CT$1,"&lt;="&amp;EOMONTH(X$1,0),'UX Weekly'!$H90:$CT90,"&lt;&gt;"))</f>
        <v>0</v>
      </c>
      <c r="Y90">
        <f>IF($B90="",0,COUNTIFS('UX Weekly'!$H$1:$CT$1,"&gt;="&amp;Y$1,'UX Weekly'!$H$1:$CT$1,"&lt;="&amp;EOMONTH(Y$1,0),'UX Weekly'!$H90:$CT90,"&lt;&gt;"))</f>
        <v>0</v>
      </c>
      <c r="Z90">
        <f>IF($B90="",0,COUNTIFS('UX Weekly'!$H$1:$CT$1,"&gt;="&amp;Z$1,'UX Weekly'!$H$1:$CT$1,"&lt;="&amp;EOMONTH(Z$1,0),'UX Weekly'!$H90:$CT90,"&lt;&gt;"))</f>
        <v>0</v>
      </c>
      <c r="AA90">
        <f>IF($B90="",0,COUNTIFS('UX Weekly'!$H$1:$CT$1,"&gt;="&amp;AA$1,'UX Weekly'!$H$1:$CT$1,"&lt;="&amp;EOMONTH(AA$1,0),'UX Weekly'!$H90:$CT90,"&lt;&gt;"))</f>
        <v>0</v>
      </c>
      <c r="AB90">
        <f>IF($B90="",0,COUNTIFS('UX Weekly'!$H$1:$CT$1,"&gt;="&amp;AB$1,'UX Weekly'!$H$1:$CT$1,"&lt;="&amp;EOMONTH(AB$1,0),'UX Weekly'!$H90:$CT90,"&lt;&gt;"))</f>
        <v>0</v>
      </c>
      <c r="AC90">
        <f>IF($B90="",0,COUNTIFS('UX Weekly'!$H$1:$CT$1,"&gt;="&amp;AC$1,'UX Weekly'!$H$1:$CT$1,"&lt;="&amp;EOMONTH(AC$1,0),'UX Weekly'!$H90:$CT90,"&lt;&gt;"))</f>
        <v>0</v>
      </c>
      <c r="AD90">
        <f>IF($B90="",0,COUNTIFS('UX Weekly'!$H$1:$CT$1,"&gt;="&amp;AD$1,'UX Weekly'!$H$1:$CT$1,"&lt;="&amp;EOMONTH(AD$1,0),'UX Weekly'!$H90:$CT90,"&lt;&gt;"))</f>
        <v>0</v>
      </c>
      <c r="AE90">
        <f>IF($B90="",0,COUNTIFS('UX Weekly'!$H$1:$CT$1,"&gt;="&amp;AE$1,'UX Weekly'!$H$1:$CT$1,"&lt;="&amp;EOMONTH(AE$1,0),'UX Weekly'!$H90:$CT90,"&lt;&gt;"))</f>
        <v>0</v>
      </c>
      <c r="AF90">
        <f>IF($B90="",0,COUNTIFS('UX Weekly'!$H$1:$CT$1,"&gt;="&amp;AF$1,'UX Weekly'!$H$1:$CT$1,"&lt;="&amp;EOMONTH(AF$1,0),'UX Weekly'!$H90:$CT90,"&lt;&gt;"))</f>
        <v>0</v>
      </c>
      <c r="AG90">
        <f>IF($B90="",0,COUNTIFS('UX Weekly'!$H$1:$CT$1,"&gt;="&amp;AG$1,'UX Weekly'!$H$1:$CT$1,"&lt;="&amp;EOMONTH(AG$1,0),'UX Weekly'!$H90:$CT90,"&lt;&gt;"))</f>
        <v>0</v>
      </c>
      <c r="AH90">
        <f>IF($B90="",0,COUNTIFS('UX Weekly'!$H$1:$CT$1,"&gt;="&amp;AH$1,'UX Weekly'!$H$1:$CT$1,"&lt;="&amp;EOMONTH(AH$1,0),'UX Weekly'!$H90:$CT90,"&lt;&gt;"))</f>
        <v>0</v>
      </c>
      <c r="AI90">
        <f>IF($B90="",0,COUNTIFS('UX Weekly'!$H$1:$CT$1,"&gt;="&amp;AI$1,'UX Weekly'!$H$1:$CT$1,"&lt;="&amp;EOMONTH(AI$1,0),'UX Weekly'!$H90:$CT90,"&lt;&gt;"))</f>
        <v>0</v>
      </c>
      <c r="AJ90">
        <f>IF($B90="",0,COUNTIFS('UX Weekly'!$H$1:$CT$1,"&gt;="&amp;AJ$1,'UX Weekly'!$H$1:$CT$1,"&lt;="&amp;EOMONTH(AJ$1,0),'UX Weekly'!$H90:$CT90,"&lt;&gt;"))</f>
        <v>0</v>
      </c>
      <c r="AK90">
        <f>IF($B90="",0,COUNTIFS('UX Weekly'!$H$1:$CT$1,"&gt;="&amp;AK$1,'UX Weekly'!$H$1:$CT$1,"&lt;="&amp;EOMONTH(AK$1,0),'UX Weekly'!$H90:$CT90,"&lt;&gt;"))</f>
        <v>0</v>
      </c>
      <c r="AL90">
        <f>IF($B90="",0,COUNTIFS('UX Weekly'!$H$1:$CT$1,"&gt;="&amp;AL$1,'UX Weekly'!$H$1:$CT$1,"&lt;="&amp;EOMONTH(AL$1,0),'UX Weekly'!$H90:$CT90,"&lt;&gt;"))</f>
        <v>0</v>
      </c>
      <c r="AM90">
        <f>IF($B90="",0,COUNTIFS('UX Weekly'!$H$1:$CT$1,"&gt;="&amp;AM$1,'UX Weekly'!$H$1:$CT$1,"&lt;="&amp;EOMONTH(AM$1,0),'UX Weekly'!$H90:$CT90,"&lt;&gt;"))</f>
        <v>0</v>
      </c>
      <c r="AN90">
        <f>IF($B90="",0,COUNTIFS('UX Weekly'!$H$1:$CT$1,"&gt;="&amp;AN$1,'UX Weekly'!$H$1:$CT$1,"&lt;="&amp;EOMONTH(AN$1,0),'UX Weekly'!$H90:$CT90,"&lt;&gt;"))</f>
        <v>0</v>
      </c>
      <c r="AO90">
        <f>IF($B90="",0,COUNTIFS('UX Weekly'!$H$1:$CT$1,"&gt;="&amp;AO$1,'UX Weekly'!$H$1:$CT$1,"&lt;="&amp;EOMONTH(AO$1,0),'UX Weekly'!$H90:$CT90,"&lt;&gt;"))</f>
        <v>0</v>
      </c>
      <c r="AP90">
        <f>IF($B90="",0,COUNTIFS('UX Weekly'!$H$1:$CT$1,"&gt;="&amp;AP$1,'UX Weekly'!$H$1:$CT$1,"&lt;="&amp;EOMONTH(AP$1,0),'UX Weekly'!$H90:$CT90,"&lt;&gt;"))</f>
        <v>0</v>
      </c>
      <c r="AQ90">
        <f>IF($B90="",0,COUNTIFS('UX Weekly'!$H$1:$CT$1,"&gt;="&amp;AQ$1,'UX Weekly'!$H$1:$CT$1,"&lt;="&amp;EOMONTH(AQ$1,0),'UX Weekly'!$H90:$CT90,"&lt;&gt;"))</f>
        <v>0</v>
      </c>
      <c r="AR90">
        <f>IF($B90="",0,COUNTIFS('UX Weekly'!$H$1:$CT$1,"&gt;="&amp;AR$1,'UX Weekly'!$H$1:$CT$1,"&lt;="&amp;EOMONTH(AR$1,0),'UX Weekly'!$H90:$CT90,"&lt;&gt;"))</f>
        <v>0</v>
      </c>
      <c r="AS90">
        <f>IF($B90="",0,COUNTIFS('UX Weekly'!$H$1:$CT$1,"&gt;="&amp;AS$1,'UX Weekly'!$H$1:$CT$1,"&lt;="&amp;EOMONTH(AS$1,0),'UX Weekly'!$H90:$CT90,"&lt;&gt;"))</f>
        <v>0</v>
      </c>
      <c r="AT90">
        <f>IF($B90="",0,COUNTIFS('UX Weekly'!$H$1:$CT$1,"&gt;="&amp;AT$1,'UX Weekly'!$H$1:$CT$1,"&lt;="&amp;EOMONTH(AT$1,0),'UX Weekly'!$H90:$CT90,"&lt;&gt;"))</f>
        <v>0</v>
      </c>
    </row>
    <row r="91" spans="1:46" x14ac:dyDescent="0.2">
      <c r="A91" s="147">
        <v>92</v>
      </c>
      <c r="B91" s="147" t="str">
        <f>IF(TRIM('UX Weekly'!E91)="","",TRIM('UX Weekly'!E91))</f>
        <v/>
      </c>
      <c r="C91" s="147" t="str">
        <f>IF($B91="","",'UX Weekly'!B91)</f>
        <v/>
      </c>
      <c r="D91" s="147" t="str">
        <f>IF($B91="","",IF(TRIM('UX Weekly'!C91)="","(No theme assigned)",TRIM('UX Weekly'!C91)))</f>
        <v/>
      </c>
      <c r="E91" s="147" t="str">
        <f>IF($B91="","",TRIM('UX Weekly'!F91))</f>
        <v/>
      </c>
      <c r="F91" s="147" t="str">
        <f>IF($B91="","",'UX Weekly'!G91)</f>
        <v/>
      </c>
      <c r="G91" s="148" t="str">
        <f t="array" ref="G91">IF($B91="","",IF($S91=0,"",IFERROR(MIN(IF('UX Weekly'!$H91:$CT91&lt;&gt;"",'UX Weekly'!$H$1:$CT$1)),"")))</f>
        <v/>
      </c>
      <c r="H91" s="148" t="str">
        <f t="array" ref="H91">IF($B91="","",IF($S91=0,"",IFERROR(MAX(IF('UX Weekly'!$H91:$CT91&lt;&gt;"",'UX Weekly'!$H$1:$CT$1)),"")))</f>
        <v/>
      </c>
      <c r="I91" s="149" t="str">
        <f t="shared" ca="1" si="6"/>
        <v/>
      </c>
      <c r="J91" s="149" t="str">
        <f t="shared" ca="1" si="7"/>
        <v/>
      </c>
      <c r="K91" s="147" t="str">
        <f>IF($B91="","",IFERROR(MATCH($B91,'Dev Tracker'!$D$2:$D$196,0),IF($E91="","",IFERROR(MATCH($E91,'Dev Tracker'!$E$2:$E$196,0),""))))</f>
        <v/>
      </c>
      <c r="L91" s="147" t="str">
        <f>IF($B91="","",IFERROR(MATCH($D91,'Control (Don’t Touch)'!$E$4:$E$30,0),99))</f>
        <v/>
      </c>
      <c r="M91" s="147" t="str">
        <f>IF($B91="","",IFERROR(MATCH($F91,'Control (Don’t Touch)'!$B$4:$B$30,0),99))</f>
        <v/>
      </c>
      <c r="N91" s="147" t="str">
        <f t="shared" si="8"/>
        <v/>
      </c>
      <c r="O91" s="147" t="str">
        <f>IF($B91="","",COUNTIF($N$2:$N$204,"&lt;"&amp;$N91)+1)</f>
        <v/>
      </c>
      <c r="P91" s="149" t="str">
        <f ca="1">IF($K91="","",IFERROR(DATE(IFERROR(VALUE(RIGHT(TRIM(INDEX('Dev Tracker'!$I$2:$I$196,$K91)),4)),YEAR(TODAY())),MATCH(LEFT(TRIM(INDEX('Dev Tracker'!$I$2:$I$196,$K91)),3),$U$2:$U$12,0),1),""))</f>
        <v/>
      </c>
      <c r="Q91" s="149" t="str">
        <f ca="1">IF($K91="","",IFERROR(DATE(IFERROR(VALUE(RIGHT(TRIM(INDEX('Dev Tracker'!$J$2:$J$196,$K91)),4)),YEAR(TODAY())),MATCH(LEFT(TRIM(INDEX('Dev Tracker'!$J$2:$J$196,$K91)),3),$U$2:$U$12,0),1),""))</f>
        <v/>
      </c>
      <c r="R91" s="147"/>
      <c r="S91" s="147" t="str">
        <f>IF($B91="","",COUNTA('UX Weekly'!$H91:$CT91))</f>
        <v/>
      </c>
      <c r="W91">
        <f>IF($B91="",0,COUNTIFS('UX Weekly'!$H$1:$CT$1,"&gt;="&amp;W$1,'UX Weekly'!$H$1:$CT$1,"&lt;="&amp;EOMONTH(W$1,0),'UX Weekly'!$H91:$CT91,"&lt;&gt;"))</f>
        <v>0</v>
      </c>
      <c r="X91">
        <f>IF($B91="",0,COUNTIFS('UX Weekly'!$H$1:$CT$1,"&gt;="&amp;X$1,'UX Weekly'!$H$1:$CT$1,"&lt;="&amp;EOMONTH(X$1,0),'UX Weekly'!$H91:$CT91,"&lt;&gt;"))</f>
        <v>0</v>
      </c>
      <c r="Y91">
        <f>IF($B91="",0,COUNTIFS('UX Weekly'!$H$1:$CT$1,"&gt;="&amp;Y$1,'UX Weekly'!$H$1:$CT$1,"&lt;="&amp;EOMONTH(Y$1,0),'UX Weekly'!$H91:$CT91,"&lt;&gt;"))</f>
        <v>0</v>
      </c>
      <c r="Z91">
        <f>IF($B91="",0,COUNTIFS('UX Weekly'!$H$1:$CT$1,"&gt;="&amp;Z$1,'UX Weekly'!$H$1:$CT$1,"&lt;="&amp;EOMONTH(Z$1,0),'UX Weekly'!$H91:$CT91,"&lt;&gt;"))</f>
        <v>0</v>
      </c>
      <c r="AA91">
        <f>IF($B91="",0,COUNTIFS('UX Weekly'!$H$1:$CT$1,"&gt;="&amp;AA$1,'UX Weekly'!$H$1:$CT$1,"&lt;="&amp;EOMONTH(AA$1,0),'UX Weekly'!$H91:$CT91,"&lt;&gt;"))</f>
        <v>0</v>
      </c>
      <c r="AB91">
        <f>IF($B91="",0,COUNTIFS('UX Weekly'!$H$1:$CT$1,"&gt;="&amp;AB$1,'UX Weekly'!$H$1:$CT$1,"&lt;="&amp;EOMONTH(AB$1,0),'UX Weekly'!$H91:$CT91,"&lt;&gt;"))</f>
        <v>0</v>
      </c>
      <c r="AC91">
        <f>IF($B91="",0,COUNTIFS('UX Weekly'!$H$1:$CT$1,"&gt;="&amp;AC$1,'UX Weekly'!$H$1:$CT$1,"&lt;="&amp;EOMONTH(AC$1,0),'UX Weekly'!$H91:$CT91,"&lt;&gt;"))</f>
        <v>0</v>
      </c>
      <c r="AD91">
        <f>IF($B91="",0,COUNTIFS('UX Weekly'!$H$1:$CT$1,"&gt;="&amp;AD$1,'UX Weekly'!$H$1:$CT$1,"&lt;="&amp;EOMONTH(AD$1,0),'UX Weekly'!$H91:$CT91,"&lt;&gt;"))</f>
        <v>0</v>
      </c>
      <c r="AE91">
        <f>IF($B91="",0,COUNTIFS('UX Weekly'!$H$1:$CT$1,"&gt;="&amp;AE$1,'UX Weekly'!$H$1:$CT$1,"&lt;="&amp;EOMONTH(AE$1,0),'UX Weekly'!$H91:$CT91,"&lt;&gt;"))</f>
        <v>0</v>
      </c>
      <c r="AF91">
        <f>IF($B91="",0,COUNTIFS('UX Weekly'!$H$1:$CT$1,"&gt;="&amp;AF$1,'UX Weekly'!$H$1:$CT$1,"&lt;="&amp;EOMONTH(AF$1,0),'UX Weekly'!$H91:$CT91,"&lt;&gt;"))</f>
        <v>0</v>
      </c>
      <c r="AG91">
        <f>IF($B91="",0,COUNTIFS('UX Weekly'!$H$1:$CT$1,"&gt;="&amp;AG$1,'UX Weekly'!$H$1:$CT$1,"&lt;="&amp;EOMONTH(AG$1,0),'UX Weekly'!$H91:$CT91,"&lt;&gt;"))</f>
        <v>0</v>
      </c>
      <c r="AH91">
        <f>IF($B91="",0,COUNTIFS('UX Weekly'!$H$1:$CT$1,"&gt;="&amp;AH$1,'UX Weekly'!$H$1:$CT$1,"&lt;="&amp;EOMONTH(AH$1,0),'UX Weekly'!$H91:$CT91,"&lt;&gt;"))</f>
        <v>0</v>
      </c>
      <c r="AI91">
        <f>IF($B91="",0,COUNTIFS('UX Weekly'!$H$1:$CT$1,"&gt;="&amp;AI$1,'UX Weekly'!$H$1:$CT$1,"&lt;="&amp;EOMONTH(AI$1,0),'UX Weekly'!$H91:$CT91,"&lt;&gt;"))</f>
        <v>0</v>
      </c>
      <c r="AJ91">
        <f>IF($B91="",0,COUNTIFS('UX Weekly'!$H$1:$CT$1,"&gt;="&amp;AJ$1,'UX Weekly'!$H$1:$CT$1,"&lt;="&amp;EOMONTH(AJ$1,0),'UX Weekly'!$H91:$CT91,"&lt;&gt;"))</f>
        <v>0</v>
      </c>
      <c r="AK91">
        <f>IF($B91="",0,COUNTIFS('UX Weekly'!$H$1:$CT$1,"&gt;="&amp;AK$1,'UX Weekly'!$H$1:$CT$1,"&lt;="&amp;EOMONTH(AK$1,0),'UX Weekly'!$H91:$CT91,"&lt;&gt;"))</f>
        <v>0</v>
      </c>
      <c r="AL91">
        <f>IF($B91="",0,COUNTIFS('UX Weekly'!$H$1:$CT$1,"&gt;="&amp;AL$1,'UX Weekly'!$H$1:$CT$1,"&lt;="&amp;EOMONTH(AL$1,0),'UX Weekly'!$H91:$CT91,"&lt;&gt;"))</f>
        <v>0</v>
      </c>
      <c r="AM91">
        <f>IF($B91="",0,COUNTIFS('UX Weekly'!$H$1:$CT$1,"&gt;="&amp;AM$1,'UX Weekly'!$H$1:$CT$1,"&lt;="&amp;EOMONTH(AM$1,0),'UX Weekly'!$H91:$CT91,"&lt;&gt;"))</f>
        <v>0</v>
      </c>
      <c r="AN91">
        <f>IF($B91="",0,COUNTIFS('UX Weekly'!$H$1:$CT$1,"&gt;="&amp;AN$1,'UX Weekly'!$H$1:$CT$1,"&lt;="&amp;EOMONTH(AN$1,0),'UX Weekly'!$H91:$CT91,"&lt;&gt;"))</f>
        <v>0</v>
      </c>
      <c r="AO91">
        <f>IF($B91="",0,COUNTIFS('UX Weekly'!$H$1:$CT$1,"&gt;="&amp;AO$1,'UX Weekly'!$H$1:$CT$1,"&lt;="&amp;EOMONTH(AO$1,0),'UX Weekly'!$H91:$CT91,"&lt;&gt;"))</f>
        <v>0</v>
      </c>
      <c r="AP91">
        <f>IF($B91="",0,COUNTIFS('UX Weekly'!$H$1:$CT$1,"&gt;="&amp;AP$1,'UX Weekly'!$H$1:$CT$1,"&lt;="&amp;EOMONTH(AP$1,0),'UX Weekly'!$H91:$CT91,"&lt;&gt;"))</f>
        <v>0</v>
      </c>
      <c r="AQ91">
        <f>IF($B91="",0,COUNTIFS('UX Weekly'!$H$1:$CT$1,"&gt;="&amp;AQ$1,'UX Weekly'!$H$1:$CT$1,"&lt;="&amp;EOMONTH(AQ$1,0),'UX Weekly'!$H91:$CT91,"&lt;&gt;"))</f>
        <v>0</v>
      </c>
      <c r="AR91">
        <f>IF($B91="",0,COUNTIFS('UX Weekly'!$H$1:$CT$1,"&gt;="&amp;AR$1,'UX Weekly'!$H$1:$CT$1,"&lt;="&amp;EOMONTH(AR$1,0),'UX Weekly'!$H91:$CT91,"&lt;&gt;"))</f>
        <v>0</v>
      </c>
      <c r="AS91">
        <f>IF($B91="",0,COUNTIFS('UX Weekly'!$H$1:$CT$1,"&gt;="&amp;AS$1,'UX Weekly'!$H$1:$CT$1,"&lt;="&amp;EOMONTH(AS$1,0),'UX Weekly'!$H91:$CT91,"&lt;&gt;"))</f>
        <v>0</v>
      </c>
      <c r="AT91">
        <f>IF($B91="",0,COUNTIFS('UX Weekly'!$H$1:$CT$1,"&gt;="&amp;AT$1,'UX Weekly'!$H$1:$CT$1,"&lt;="&amp;EOMONTH(AT$1,0),'UX Weekly'!$H91:$CT91,"&lt;&gt;"))</f>
        <v>0</v>
      </c>
    </row>
    <row r="92" spans="1:46" x14ac:dyDescent="0.2">
      <c r="A92" s="147">
        <v>93</v>
      </c>
      <c r="B92" s="147" t="str">
        <f>IF(TRIM('UX Weekly'!E92)="","",TRIM('UX Weekly'!E92))</f>
        <v/>
      </c>
      <c r="C92" s="147" t="str">
        <f>IF($B92="","",'UX Weekly'!B92)</f>
        <v/>
      </c>
      <c r="D92" s="147" t="str">
        <f>IF($B92="","",IF(TRIM('UX Weekly'!C92)="","(No theme assigned)",TRIM('UX Weekly'!C92)))</f>
        <v/>
      </c>
      <c r="E92" s="147" t="str">
        <f>IF($B92="","",TRIM('UX Weekly'!F92))</f>
        <v/>
      </c>
      <c r="F92" s="147" t="str">
        <f>IF($B92="","",'UX Weekly'!G92)</f>
        <v/>
      </c>
      <c r="G92" s="148" t="str">
        <f t="array" ref="G92">IF($B92="","",IF($S92=0,"",IFERROR(MIN(IF('UX Weekly'!$H92:$CT92&lt;&gt;"",'UX Weekly'!$H$1:$CT$1)),"")))</f>
        <v/>
      </c>
      <c r="H92" s="148" t="str">
        <f t="array" ref="H92">IF($B92="","",IF($S92=0,"",IFERROR(MAX(IF('UX Weekly'!$H92:$CT92&lt;&gt;"",'UX Weekly'!$H$1:$CT$1)),"")))</f>
        <v/>
      </c>
      <c r="I92" s="149" t="str">
        <f t="shared" ca="1" si="6"/>
        <v/>
      </c>
      <c r="J92" s="149" t="str">
        <f t="shared" ca="1" si="7"/>
        <v/>
      </c>
      <c r="K92" s="147" t="str">
        <f>IF($B92="","",IFERROR(MATCH($B92,'Dev Tracker'!$D$2:$D$196,0),IF($E92="","",IFERROR(MATCH($E92,'Dev Tracker'!$E$2:$E$196,0),""))))</f>
        <v/>
      </c>
      <c r="L92" s="147" t="str">
        <f>IF($B92="","",IFERROR(MATCH($D92,'Control (Don’t Touch)'!$E$4:$E$30,0),99))</f>
        <v/>
      </c>
      <c r="M92" s="147" t="str">
        <f>IF($B92="","",IFERROR(MATCH($F92,'Control (Don’t Touch)'!$B$4:$B$30,0),99))</f>
        <v/>
      </c>
      <c r="N92" s="147" t="str">
        <f t="shared" si="8"/>
        <v/>
      </c>
      <c r="O92" s="147" t="str">
        <f>IF($B92="","",COUNTIF($N$2:$N$204,"&lt;"&amp;$N92)+1)</f>
        <v/>
      </c>
      <c r="P92" s="149" t="str">
        <f ca="1">IF($K92="","",IFERROR(DATE(IFERROR(VALUE(RIGHT(TRIM(INDEX('Dev Tracker'!$I$2:$I$196,$K92)),4)),YEAR(TODAY())),MATCH(LEFT(TRIM(INDEX('Dev Tracker'!$I$2:$I$196,$K92)),3),$U$2:$U$12,0),1),""))</f>
        <v/>
      </c>
      <c r="Q92" s="149" t="str">
        <f ca="1">IF($K92="","",IFERROR(DATE(IFERROR(VALUE(RIGHT(TRIM(INDEX('Dev Tracker'!$J$2:$J$196,$K92)),4)),YEAR(TODAY())),MATCH(LEFT(TRIM(INDEX('Dev Tracker'!$J$2:$J$196,$K92)),3),$U$2:$U$12,0),1),""))</f>
        <v/>
      </c>
      <c r="R92" s="147"/>
      <c r="S92" s="147" t="str">
        <f>IF($B92="","",COUNTA('UX Weekly'!$H92:$CT92))</f>
        <v/>
      </c>
      <c r="W92">
        <f>IF($B92="",0,COUNTIFS('UX Weekly'!$H$1:$CT$1,"&gt;="&amp;W$1,'UX Weekly'!$H$1:$CT$1,"&lt;="&amp;EOMONTH(W$1,0),'UX Weekly'!$H92:$CT92,"&lt;&gt;"))</f>
        <v>0</v>
      </c>
      <c r="X92">
        <f>IF($B92="",0,COUNTIFS('UX Weekly'!$H$1:$CT$1,"&gt;="&amp;X$1,'UX Weekly'!$H$1:$CT$1,"&lt;="&amp;EOMONTH(X$1,0),'UX Weekly'!$H92:$CT92,"&lt;&gt;"))</f>
        <v>0</v>
      </c>
      <c r="Y92">
        <f>IF($B92="",0,COUNTIFS('UX Weekly'!$H$1:$CT$1,"&gt;="&amp;Y$1,'UX Weekly'!$H$1:$CT$1,"&lt;="&amp;EOMONTH(Y$1,0),'UX Weekly'!$H92:$CT92,"&lt;&gt;"))</f>
        <v>0</v>
      </c>
      <c r="Z92">
        <f>IF($B92="",0,COUNTIFS('UX Weekly'!$H$1:$CT$1,"&gt;="&amp;Z$1,'UX Weekly'!$H$1:$CT$1,"&lt;="&amp;EOMONTH(Z$1,0),'UX Weekly'!$H92:$CT92,"&lt;&gt;"))</f>
        <v>0</v>
      </c>
      <c r="AA92">
        <f>IF($B92="",0,COUNTIFS('UX Weekly'!$H$1:$CT$1,"&gt;="&amp;AA$1,'UX Weekly'!$H$1:$CT$1,"&lt;="&amp;EOMONTH(AA$1,0),'UX Weekly'!$H92:$CT92,"&lt;&gt;"))</f>
        <v>0</v>
      </c>
      <c r="AB92">
        <f>IF($B92="",0,COUNTIFS('UX Weekly'!$H$1:$CT$1,"&gt;="&amp;AB$1,'UX Weekly'!$H$1:$CT$1,"&lt;="&amp;EOMONTH(AB$1,0),'UX Weekly'!$H92:$CT92,"&lt;&gt;"))</f>
        <v>0</v>
      </c>
      <c r="AC92">
        <f>IF($B92="",0,COUNTIFS('UX Weekly'!$H$1:$CT$1,"&gt;="&amp;AC$1,'UX Weekly'!$H$1:$CT$1,"&lt;="&amp;EOMONTH(AC$1,0),'UX Weekly'!$H92:$CT92,"&lt;&gt;"))</f>
        <v>0</v>
      </c>
      <c r="AD92">
        <f>IF($B92="",0,COUNTIFS('UX Weekly'!$H$1:$CT$1,"&gt;="&amp;AD$1,'UX Weekly'!$H$1:$CT$1,"&lt;="&amp;EOMONTH(AD$1,0),'UX Weekly'!$H92:$CT92,"&lt;&gt;"))</f>
        <v>0</v>
      </c>
      <c r="AE92">
        <f>IF($B92="",0,COUNTIFS('UX Weekly'!$H$1:$CT$1,"&gt;="&amp;AE$1,'UX Weekly'!$H$1:$CT$1,"&lt;="&amp;EOMONTH(AE$1,0),'UX Weekly'!$H92:$CT92,"&lt;&gt;"))</f>
        <v>0</v>
      </c>
      <c r="AF92">
        <f>IF($B92="",0,COUNTIFS('UX Weekly'!$H$1:$CT$1,"&gt;="&amp;AF$1,'UX Weekly'!$H$1:$CT$1,"&lt;="&amp;EOMONTH(AF$1,0),'UX Weekly'!$H92:$CT92,"&lt;&gt;"))</f>
        <v>0</v>
      </c>
      <c r="AG92">
        <f>IF($B92="",0,COUNTIFS('UX Weekly'!$H$1:$CT$1,"&gt;="&amp;AG$1,'UX Weekly'!$H$1:$CT$1,"&lt;="&amp;EOMONTH(AG$1,0),'UX Weekly'!$H92:$CT92,"&lt;&gt;"))</f>
        <v>0</v>
      </c>
      <c r="AH92">
        <f>IF($B92="",0,COUNTIFS('UX Weekly'!$H$1:$CT$1,"&gt;="&amp;AH$1,'UX Weekly'!$H$1:$CT$1,"&lt;="&amp;EOMONTH(AH$1,0),'UX Weekly'!$H92:$CT92,"&lt;&gt;"))</f>
        <v>0</v>
      </c>
      <c r="AI92">
        <f>IF($B92="",0,COUNTIFS('UX Weekly'!$H$1:$CT$1,"&gt;="&amp;AI$1,'UX Weekly'!$H$1:$CT$1,"&lt;="&amp;EOMONTH(AI$1,0),'UX Weekly'!$H92:$CT92,"&lt;&gt;"))</f>
        <v>0</v>
      </c>
      <c r="AJ92">
        <f>IF($B92="",0,COUNTIFS('UX Weekly'!$H$1:$CT$1,"&gt;="&amp;AJ$1,'UX Weekly'!$H$1:$CT$1,"&lt;="&amp;EOMONTH(AJ$1,0),'UX Weekly'!$H92:$CT92,"&lt;&gt;"))</f>
        <v>0</v>
      </c>
      <c r="AK92">
        <f>IF($B92="",0,COUNTIFS('UX Weekly'!$H$1:$CT$1,"&gt;="&amp;AK$1,'UX Weekly'!$H$1:$CT$1,"&lt;="&amp;EOMONTH(AK$1,0),'UX Weekly'!$H92:$CT92,"&lt;&gt;"))</f>
        <v>0</v>
      </c>
      <c r="AL92">
        <f>IF($B92="",0,COUNTIFS('UX Weekly'!$H$1:$CT$1,"&gt;="&amp;AL$1,'UX Weekly'!$H$1:$CT$1,"&lt;="&amp;EOMONTH(AL$1,0),'UX Weekly'!$H92:$CT92,"&lt;&gt;"))</f>
        <v>0</v>
      </c>
      <c r="AM92">
        <f>IF($B92="",0,COUNTIFS('UX Weekly'!$H$1:$CT$1,"&gt;="&amp;AM$1,'UX Weekly'!$H$1:$CT$1,"&lt;="&amp;EOMONTH(AM$1,0),'UX Weekly'!$H92:$CT92,"&lt;&gt;"))</f>
        <v>0</v>
      </c>
      <c r="AN92">
        <f>IF($B92="",0,COUNTIFS('UX Weekly'!$H$1:$CT$1,"&gt;="&amp;AN$1,'UX Weekly'!$H$1:$CT$1,"&lt;="&amp;EOMONTH(AN$1,0),'UX Weekly'!$H92:$CT92,"&lt;&gt;"))</f>
        <v>0</v>
      </c>
      <c r="AO92">
        <f>IF($B92="",0,COUNTIFS('UX Weekly'!$H$1:$CT$1,"&gt;="&amp;AO$1,'UX Weekly'!$H$1:$CT$1,"&lt;="&amp;EOMONTH(AO$1,0),'UX Weekly'!$H92:$CT92,"&lt;&gt;"))</f>
        <v>0</v>
      </c>
      <c r="AP92">
        <f>IF($B92="",0,COUNTIFS('UX Weekly'!$H$1:$CT$1,"&gt;="&amp;AP$1,'UX Weekly'!$H$1:$CT$1,"&lt;="&amp;EOMONTH(AP$1,0),'UX Weekly'!$H92:$CT92,"&lt;&gt;"))</f>
        <v>0</v>
      </c>
      <c r="AQ92">
        <f>IF($B92="",0,COUNTIFS('UX Weekly'!$H$1:$CT$1,"&gt;="&amp;AQ$1,'UX Weekly'!$H$1:$CT$1,"&lt;="&amp;EOMONTH(AQ$1,0),'UX Weekly'!$H92:$CT92,"&lt;&gt;"))</f>
        <v>0</v>
      </c>
      <c r="AR92">
        <f>IF($B92="",0,COUNTIFS('UX Weekly'!$H$1:$CT$1,"&gt;="&amp;AR$1,'UX Weekly'!$H$1:$CT$1,"&lt;="&amp;EOMONTH(AR$1,0),'UX Weekly'!$H92:$CT92,"&lt;&gt;"))</f>
        <v>0</v>
      </c>
      <c r="AS92">
        <f>IF($B92="",0,COUNTIFS('UX Weekly'!$H$1:$CT$1,"&gt;="&amp;AS$1,'UX Weekly'!$H$1:$CT$1,"&lt;="&amp;EOMONTH(AS$1,0),'UX Weekly'!$H92:$CT92,"&lt;&gt;"))</f>
        <v>0</v>
      </c>
      <c r="AT92">
        <f>IF($B92="",0,COUNTIFS('UX Weekly'!$H$1:$CT$1,"&gt;="&amp;AT$1,'UX Weekly'!$H$1:$CT$1,"&lt;="&amp;EOMONTH(AT$1,0),'UX Weekly'!$H92:$CT92,"&lt;&gt;"))</f>
        <v>0</v>
      </c>
    </row>
    <row r="93" spans="1:46" x14ac:dyDescent="0.2">
      <c r="A93" s="147">
        <v>94</v>
      </c>
      <c r="B93" s="147" t="str">
        <f>IF(TRIM('UX Weekly'!E93)="","",TRIM('UX Weekly'!E93))</f>
        <v/>
      </c>
      <c r="C93" s="147" t="str">
        <f>IF($B93="","",'UX Weekly'!B93)</f>
        <v/>
      </c>
      <c r="D93" s="147" t="str">
        <f>IF($B93="","",IF(TRIM('UX Weekly'!C93)="","(No theme assigned)",TRIM('UX Weekly'!C93)))</f>
        <v/>
      </c>
      <c r="E93" s="147" t="str">
        <f>IF($B93="","",TRIM('UX Weekly'!F93))</f>
        <v/>
      </c>
      <c r="F93" s="147" t="str">
        <f>IF($B93="","",'UX Weekly'!G93)</f>
        <v/>
      </c>
      <c r="G93" s="148" t="str">
        <f t="array" ref="G93">IF($B93="","",IF($S93=0,"",IFERROR(MIN(IF('UX Weekly'!$H93:$CT93&lt;&gt;"",'UX Weekly'!$H$1:$CT$1)),"")))</f>
        <v/>
      </c>
      <c r="H93" s="148" t="str">
        <f t="array" ref="H93">IF($B93="","",IF($S93=0,"",IFERROR(MAX(IF('UX Weekly'!$H93:$CT93&lt;&gt;"",'UX Weekly'!$H$1:$CT$1)),"")))</f>
        <v/>
      </c>
      <c r="I93" s="149" t="str">
        <f t="shared" ca="1" si="6"/>
        <v/>
      </c>
      <c r="J93" s="149" t="str">
        <f t="shared" ca="1" si="7"/>
        <v/>
      </c>
      <c r="K93" s="147" t="str">
        <f>IF($B93="","",IFERROR(MATCH($B93,'Dev Tracker'!$D$2:$D$196,0),IF($E93="","",IFERROR(MATCH($E93,'Dev Tracker'!$E$2:$E$196,0),""))))</f>
        <v/>
      </c>
      <c r="L93" s="147" t="str">
        <f>IF($B93="","",IFERROR(MATCH($D93,'Control (Don’t Touch)'!$E$4:$E$30,0),99))</f>
        <v/>
      </c>
      <c r="M93" s="147" t="str">
        <f>IF($B93="","",IFERROR(MATCH($F93,'Control (Don’t Touch)'!$B$4:$B$30,0),99))</f>
        <v/>
      </c>
      <c r="N93" s="147" t="str">
        <f t="shared" si="8"/>
        <v/>
      </c>
      <c r="O93" s="147" t="str">
        <f>IF($B93="","",COUNTIF($N$2:$N$204,"&lt;"&amp;$N93)+1)</f>
        <v/>
      </c>
      <c r="P93" s="149" t="str">
        <f ca="1">IF($K93="","",IFERROR(DATE(IFERROR(VALUE(RIGHT(TRIM(INDEX('Dev Tracker'!$I$2:$I$196,$K93)),4)),YEAR(TODAY())),MATCH(LEFT(TRIM(INDEX('Dev Tracker'!$I$2:$I$196,$K93)),3),$U$2:$U$12,0),1),""))</f>
        <v/>
      </c>
      <c r="Q93" s="149" t="str">
        <f ca="1">IF($K93="","",IFERROR(DATE(IFERROR(VALUE(RIGHT(TRIM(INDEX('Dev Tracker'!$J$2:$J$196,$K93)),4)),YEAR(TODAY())),MATCH(LEFT(TRIM(INDEX('Dev Tracker'!$J$2:$J$196,$K93)),3),$U$2:$U$12,0),1),""))</f>
        <v/>
      </c>
      <c r="R93" s="147"/>
      <c r="S93" s="147" t="str">
        <f>IF($B93="","",COUNTA('UX Weekly'!$H93:$CT93))</f>
        <v/>
      </c>
      <c r="W93">
        <f>IF($B93="",0,COUNTIFS('UX Weekly'!$H$1:$CT$1,"&gt;="&amp;W$1,'UX Weekly'!$H$1:$CT$1,"&lt;="&amp;EOMONTH(W$1,0),'UX Weekly'!$H93:$CT93,"&lt;&gt;"))</f>
        <v>0</v>
      </c>
      <c r="X93">
        <f>IF($B93="",0,COUNTIFS('UX Weekly'!$H$1:$CT$1,"&gt;="&amp;X$1,'UX Weekly'!$H$1:$CT$1,"&lt;="&amp;EOMONTH(X$1,0),'UX Weekly'!$H93:$CT93,"&lt;&gt;"))</f>
        <v>0</v>
      </c>
      <c r="Y93">
        <f>IF($B93="",0,COUNTIFS('UX Weekly'!$H$1:$CT$1,"&gt;="&amp;Y$1,'UX Weekly'!$H$1:$CT$1,"&lt;="&amp;EOMONTH(Y$1,0),'UX Weekly'!$H93:$CT93,"&lt;&gt;"))</f>
        <v>0</v>
      </c>
      <c r="Z93">
        <f>IF($B93="",0,COUNTIFS('UX Weekly'!$H$1:$CT$1,"&gt;="&amp;Z$1,'UX Weekly'!$H$1:$CT$1,"&lt;="&amp;EOMONTH(Z$1,0),'UX Weekly'!$H93:$CT93,"&lt;&gt;"))</f>
        <v>0</v>
      </c>
      <c r="AA93">
        <f>IF($B93="",0,COUNTIFS('UX Weekly'!$H$1:$CT$1,"&gt;="&amp;AA$1,'UX Weekly'!$H$1:$CT$1,"&lt;="&amp;EOMONTH(AA$1,0),'UX Weekly'!$H93:$CT93,"&lt;&gt;"))</f>
        <v>0</v>
      </c>
      <c r="AB93">
        <f>IF($B93="",0,COUNTIFS('UX Weekly'!$H$1:$CT$1,"&gt;="&amp;AB$1,'UX Weekly'!$H$1:$CT$1,"&lt;="&amp;EOMONTH(AB$1,0),'UX Weekly'!$H93:$CT93,"&lt;&gt;"))</f>
        <v>0</v>
      </c>
      <c r="AC93">
        <f>IF($B93="",0,COUNTIFS('UX Weekly'!$H$1:$CT$1,"&gt;="&amp;AC$1,'UX Weekly'!$H$1:$CT$1,"&lt;="&amp;EOMONTH(AC$1,0),'UX Weekly'!$H93:$CT93,"&lt;&gt;"))</f>
        <v>0</v>
      </c>
      <c r="AD93">
        <f>IF($B93="",0,COUNTIFS('UX Weekly'!$H$1:$CT$1,"&gt;="&amp;AD$1,'UX Weekly'!$H$1:$CT$1,"&lt;="&amp;EOMONTH(AD$1,0),'UX Weekly'!$H93:$CT93,"&lt;&gt;"))</f>
        <v>0</v>
      </c>
      <c r="AE93">
        <f>IF($B93="",0,COUNTIFS('UX Weekly'!$H$1:$CT$1,"&gt;="&amp;AE$1,'UX Weekly'!$H$1:$CT$1,"&lt;="&amp;EOMONTH(AE$1,0),'UX Weekly'!$H93:$CT93,"&lt;&gt;"))</f>
        <v>0</v>
      </c>
      <c r="AF93">
        <f>IF($B93="",0,COUNTIFS('UX Weekly'!$H$1:$CT$1,"&gt;="&amp;AF$1,'UX Weekly'!$H$1:$CT$1,"&lt;="&amp;EOMONTH(AF$1,0),'UX Weekly'!$H93:$CT93,"&lt;&gt;"))</f>
        <v>0</v>
      </c>
      <c r="AG93">
        <f>IF($B93="",0,COUNTIFS('UX Weekly'!$H$1:$CT$1,"&gt;="&amp;AG$1,'UX Weekly'!$H$1:$CT$1,"&lt;="&amp;EOMONTH(AG$1,0),'UX Weekly'!$H93:$CT93,"&lt;&gt;"))</f>
        <v>0</v>
      </c>
      <c r="AH93">
        <f>IF($B93="",0,COUNTIFS('UX Weekly'!$H$1:$CT$1,"&gt;="&amp;AH$1,'UX Weekly'!$H$1:$CT$1,"&lt;="&amp;EOMONTH(AH$1,0),'UX Weekly'!$H93:$CT93,"&lt;&gt;"))</f>
        <v>0</v>
      </c>
      <c r="AI93">
        <f>IF($B93="",0,COUNTIFS('UX Weekly'!$H$1:$CT$1,"&gt;="&amp;AI$1,'UX Weekly'!$H$1:$CT$1,"&lt;="&amp;EOMONTH(AI$1,0),'UX Weekly'!$H93:$CT93,"&lt;&gt;"))</f>
        <v>0</v>
      </c>
      <c r="AJ93">
        <f>IF($B93="",0,COUNTIFS('UX Weekly'!$H$1:$CT$1,"&gt;="&amp;AJ$1,'UX Weekly'!$H$1:$CT$1,"&lt;="&amp;EOMONTH(AJ$1,0),'UX Weekly'!$H93:$CT93,"&lt;&gt;"))</f>
        <v>0</v>
      </c>
      <c r="AK93">
        <f>IF($B93="",0,COUNTIFS('UX Weekly'!$H$1:$CT$1,"&gt;="&amp;AK$1,'UX Weekly'!$H$1:$CT$1,"&lt;="&amp;EOMONTH(AK$1,0),'UX Weekly'!$H93:$CT93,"&lt;&gt;"))</f>
        <v>0</v>
      </c>
      <c r="AL93">
        <f>IF($B93="",0,COUNTIFS('UX Weekly'!$H$1:$CT$1,"&gt;="&amp;AL$1,'UX Weekly'!$H$1:$CT$1,"&lt;="&amp;EOMONTH(AL$1,0),'UX Weekly'!$H93:$CT93,"&lt;&gt;"))</f>
        <v>0</v>
      </c>
      <c r="AM93">
        <f>IF($B93="",0,COUNTIFS('UX Weekly'!$H$1:$CT$1,"&gt;="&amp;AM$1,'UX Weekly'!$H$1:$CT$1,"&lt;="&amp;EOMONTH(AM$1,0),'UX Weekly'!$H93:$CT93,"&lt;&gt;"))</f>
        <v>0</v>
      </c>
      <c r="AN93">
        <f>IF($B93="",0,COUNTIFS('UX Weekly'!$H$1:$CT$1,"&gt;="&amp;AN$1,'UX Weekly'!$H$1:$CT$1,"&lt;="&amp;EOMONTH(AN$1,0),'UX Weekly'!$H93:$CT93,"&lt;&gt;"))</f>
        <v>0</v>
      </c>
      <c r="AO93">
        <f>IF($B93="",0,COUNTIFS('UX Weekly'!$H$1:$CT$1,"&gt;="&amp;AO$1,'UX Weekly'!$H$1:$CT$1,"&lt;="&amp;EOMONTH(AO$1,0),'UX Weekly'!$H93:$CT93,"&lt;&gt;"))</f>
        <v>0</v>
      </c>
      <c r="AP93">
        <f>IF($B93="",0,COUNTIFS('UX Weekly'!$H$1:$CT$1,"&gt;="&amp;AP$1,'UX Weekly'!$H$1:$CT$1,"&lt;="&amp;EOMONTH(AP$1,0),'UX Weekly'!$H93:$CT93,"&lt;&gt;"))</f>
        <v>0</v>
      </c>
      <c r="AQ93">
        <f>IF($B93="",0,COUNTIFS('UX Weekly'!$H$1:$CT$1,"&gt;="&amp;AQ$1,'UX Weekly'!$H$1:$CT$1,"&lt;="&amp;EOMONTH(AQ$1,0),'UX Weekly'!$H93:$CT93,"&lt;&gt;"))</f>
        <v>0</v>
      </c>
      <c r="AR93">
        <f>IF($B93="",0,COUNTIFS('UX Weekly'!$H$1:$CT$1,"&gt;="&amp;AR$1,'UX Weekly'!$H$1:$CT$1,"&lt;="&amp;EOMONTH(AR$1,0),'UX Weekly'!$H93:$CT93,"&lt;&gt;"))</f>
        <v>0</v>
      </c>
      <c r="AS93">
        <f>IF($B93="",0,COUNTIFS('UX Weekly'!$H$1:$CT$1,"&gt;="&amp;AS$1,'UX Weekly'!$H$1:$CT$1,"&lt;="&amp;EOMONTH(AS$1,0),'UX Weekly'!$H93:$CT93,"&lt;&gt;"))</f>
        <v>0</v>
      </c>
      <c r="AT93">
        <f>IF($B93="",0,COUNTIFS('UX Weekly'!$H$1:$CT$1,"&gt;="&amp;AT$1,'UX Weekly'!$H$1:$CT$1,"&lt;="&amp;EOMONTH(AT$1,0),'UX Weekly'!$H93:$CT93,"&lt;&gt;"))</f>
        <v>0</v>
      </c>
    </row>
    <row r="94" spans="1:46" x14ac:dyDescent="0.2">
      <c r="A94" s="147">
        <v>95</v>
      </c>
      <c r="B94" s="147" t="str">
        <f>IF(TRIM('UX Weekly'!E94)="","",TRIM('UX Weekly'!E94))</f>
        <v/>
      </c>
      <c r="C94" s="147" t="str">
        <f>IF($B94="","",'UX Weekly'!B94)</f>
        <v/>
      </c>
      <c r="D94" s="147" t="str">
        <f>IF($B94="","",IF(TRIM('UX Weekly'!C94)="","(No theme assigned)",TRIM('UX Weekly'!C94)))</f>
        <v/>
      </c>
      <c r="E94" s="147" t="str">
        <f>IF($B94="","",TRIM('UX Weekly'!F94))</f>
        <v/>
      </c>
      <c r="F94" s="147" t="str">
        <f>IF($B94="","",'UX Weekly'!G94)</f>
        <v/>
      </c>
      <c r="G94" s="148" t="str">
        <f t="array" ref="G94">IF($B94="","",IF($S94=0,"",IFERROR(MIN(IF('UX Weekly'!$H94:$CT94&lt;&gt;"",'UX Weekly'!$H$1:$CT$1)),"")))</f>
        <v/>
      </c>
      <c r="H94" s="148" t="str">
        <f t="array" ref="H94">IF($B94="","",IF($S94=0,"",IFERROR(MAX(IF('UX Weekly'!$H94:$CT94&lt;&gt;"",'UX Weekly'!$H$1:$CT$1)),"")))</f>
        <v/>
      </c>
      <c r="I94" s="149" t="str">
        <f t="shared" ca="1" si="6"/>
        <v/>
      </c>
      <c r="J94" s="149" t="str">
        <f t="shared" ca="1" si="7"/>
        <v/>
      </c>
      <c r="K94" s="147" t="str">
        <f>IF($B94="","",IFERROR(MATCH($B94,'Dev Tracker'!$D$2:$D$196,0),IF($E94="","",IFERROR(MATCH($E94,'Dev Tracker'!$E$2:$E$196,0),""))))</f>
        <v/>
      </c>
      <c r="L94" s="147" t="str">
        <f>IF($B94="","",IFERROR(MATCH($D94,'Control (Don’t Touch)'!$E$4:$E$30,0),99))</f>
        <v/>
      </c>
      <c r="M94" s="147" t="str">
        <f>IF($B94="","",IFERROR(MATCH($F94,'Control (Don’t Touch)'!$B$4:$B$30,0),99))</f>
        <v/>
      </c>
      <c r="N94" s="147" t="str">
        <f t="shared" si="8"/>
        <v/>
      </c>
      <c r="O94" s="147" t="str">
        <f>IF($B94="","",COUNTIF($N$2:$N$204,"&lt;"&amp;$N94)+1)</f>
        <v/>
      </c>
      <c r="P94" s="149" t="str">
        <f ca="1">IF($K94="","",IFERROR(DATE(IFERROR(VALUE(RIGHT(TRIM(INDEX('Dev Tracker'!$I$2:$I$196,$K94)),4)),YEAR(TODAY())),MATCH(LEFT(TRIM(INDEX('Dev Tracker'!$I$2:$I$196,$K94)),3),$U$2:$U$12,0),1),""))</f>
        <v/>
      </c>
      <c r="Q94" s="149" t="str">
        <f ca="1">IF($K94="","",IFERROR(DATE(IFERROR(VALUE(RIGHT(TRIM(INDEX('Dev Tracker'!$J$2:$J$196,$K94)),4)),YEAR(TODAY())),MATCH(LEFT(TRIM(INDEX('Dev Tracker'!$J$2:$J$196,$K94)),3),$U$2:$U$12,0),1),""))</f>
        <v/>
      </c>
      <c r="R94" s="147"/>
      <c r="S94" s="147" t="str">
        <f>IF($B94="","",COUNTA('UX Weekly'!$H94:$CT94))</f>
        <v/>
      </c>
      <c r="W94">
        <f>IF($B94="",0,COUNTIFS('UX Weekly'!$H$1:$CT$1,"&gt;="&amp;W$1,'UX Weekly'!$H$1:$CT$1,"&lt;="&amp;EOMONTH(W$1,0),'UX Weekly'!$H94:$CT94,"&lt;&gt;"))</f>
        <v>0</v>
      </c>
      <c r="X94">
        <f>IF($B94="",0,COUNTIFS('UX Weekly'!$H$1:$CT$1,"&gt;="&amp;X$1,'UX Weekly'!$H$1:$CT$1,"&lt;="&amp;EOMONTH(X$1,0),'UX Weekly'!$H94:$CT94,"&lt;&gt;"))</f>
        <v>0</v>
      </c>
      <c r="Y94">
        <f>IF($B94="",0,COUNTIFS('UX Weekly'!$H$1:$CT$1,"&gt;="&amp;Y$1,'UX Weekly'!$H$1:$CT$1,"&lt;="&amp;EOMONTH(Y$1,0),'UX Weekly'!$H94:$CT94,"&lt;&gt;"))</f>
        <v>0</v>
      </c>
      <c r="Z94">
        <f>IF($B94="",0,COUNTIFS('UX Weekly'!$H$1:$CT$1,"&gt;="&amp;Z$1,'UX Weekly'!$H$1:$CT$1,"&lt;="&amp;EOMONTH(Z$1,0),'UX Weekly'!$H94:$CT94,"&lt;&gt;"))</f>
        <v>0</v>
      </c>
      <c r="AA94">
        <f>IF($B94="",0,COUNTIFS('UX Weekly'!$H$1:$CT$1,"&gt;="&amp;AA$1,'UX Weekly'!$H$1:$CT$1,"&lt;="&amp;EOMONTH(AA$1,0),'UX Weekly'!$H94:$CT94,"&lt;&gt;"))</f>
        <v>0</v>
      </c>
      <c r="AB94">
        <f>IF($B94="",0,COUNTIFS('UX Weekly'!$H$1:$CT$1,"&gt;="&amp;AB$1,'UX Weekly'!$H$1:$CT$1,"&lt;="&amp;EOMONTH(AB$1,0),'UX Weekly'!$H94:$CT94,"&lt;&gt;"))</f>
        <v>0</v>
      </c>
      <c r="AC94">
        <f>IF($B94="",0,COUNTIFS('UX Weekly'!$H$1:$CT$1,"&gt;="&amp;AC$1,'UX Weekly'!$H$1:$CT$1,"&lt;="&amp;EOMONTH(AC$1,0),'UX Weekly'!$H94:$CT94,"&lt;&gt;"))</f>
        <v>0</v>
      </c>
      <c r="AD94">
        <f>IF($B94="",0,COUNTIFS('UX Weekly'!$H$1:$CT$1,"&gt;="&amp;AD$1,'UX Weekly'!$H$1:$CT$1,"&lt;="&amp;EOMONTH(AD$1,0),'UX Weekly'!$H94:$CT94,"&lt;&gt;"))</f>
        <v>0</v>
      </c>
      <c r="AE94">
        <f>IF($B94="",0,COUNTIFS('UX Weekly'!$H$1:$CT$1,"&gt;="&amp;AE$1,'UX Weekly'!$H$1:$CT$1,"&lt;="&amp;EOMONTH(AE$1,0),'UX Weekly'!$H94:$CT94,"&lt;&gt;"))</f>
        <v>0</v>
      </c>
      <c r="AF94">
        <f>IF($B94="",0,COUNTIFS('UX Weekly'!$H$1:$CT$1,"&gt;="&amp;AF$1,'UX Weekly'!$H$1:$CT$1,"&lt;="&amp;EOMONTH(AF$1,0),'UX Weekly'!$H94:$CT94,"&lt;&gt;"))</f>
        <v>0</v>
      </c>
      <c r="AG94">
        <f>IF($B94="",0,COUNTIFS('UX Weekly'!$H$1:$CT$1,"&gt;="&amp;AG$1,'UX Weekly'!$H$1:$CT$1,"&lt;="&amp;EOMONTH(AG$1,0),'UX Weekly'!$H94:$CT94,"&lt;&gt;"))</f>
        <v>0</v>
      </c>
      <c r="AH94">
        <f>IF($B94="",0,COUNTIFS('UX Weekly'!$H$1:$CT$1,"&gt;="&amp;AH$1,'UX Weekly'!$H$1:$CT$1,"&lt;="&amp;EOMONTH(AH$1,0),'UX Weekly'!$H94:$CT94,"&lt;&gt;"))</f>
        <v>0</v>
      </c>
      <c r="AI94">
        <f>IF($B94="",0,COUNTIFS('UX Weekly'!$H$1:$CT$1,"&gt;="&amp;AI$1,'UX Weekly'!$H$1:$CT$1,"&lt;="&amp;EOMONTH(AI$1,0),'UX Weekly'!$H94:$CT94,"&lt;&gt;"))</f>
        <v>0</v>
      </c>
      <c r="AJ94">
        <f>IF($B94="",0,COUNTIFS('UX Weekly'!$H$1:$CT$1,"&gt;="&amp;AJ$1,'UX Weekly'!$H$1:$CT$1,"&lt;="&amp;EOMONTH(AJ$1,0),'UX Weekly'!$H94:$CT94,"&lt;&gt;"))</f>
        <v>0</v>
      </c>
      <c r="AK94">
        <f>IF($B94="",0,COUNTIFS('UX Weekly'!$H$1:$CT$1,"&gt;="&amp;AK$1,'UX Weekly'!$H$1:$CT$1,"&lt;="&amp;EOMONTH(AK$1,0),'UX Weekly'!$H94:$CT94,"&lt;&gt;"))</f>
        <v>0</v>
      </c>
      <c r="AL94">
        <f>IF($B94="",0,COUNTIFS('UX Weekly'!$H$1:$CT$1,"&gt;="&amp;AL$1,'UX Weekly'!$H$1:$CT$1,"&lt;="&amp;EOMONTH(AL$1,0),'UX Weekly'!$H94:$CT94,"&lt;&gt;"))</f>
        <v>0</v>
      </c>
      <c r="AM94">
        <f>IF($B94="",0,COUNTIFS('UX Weekly'!$H$1:$CT$1,"&gt;="&amp;AM$1,'UX Weekly'!$H$1:$CT$1,"&lt;="&amp;EOMONTH(AM$1,0),'UX Weekly'!$H94:$CT94,"&lt;&gt;"))</f>
        <v>0</v>
      </c>
      <c r="AN94">
        <f>IF($B94="",0,COUNTIFS('UX Weekly'!$H$1:$CT$1,"&gt;="&amp;AN$1,'UX Weekly'!$H$1:$CT$1,"&lt;="&amp;EOMONTH(AN$1,0),'UX Weekly'!$H94:$CT94,"&lt;&gt;"))</f>
        <v>0</v>
      </c>
      <c r="AO94">
        <f>IF($B94="",0,COUNTIFS('UX Weekly'!$H$1:$CT$1,"&gt;="&amp;AO$1,'UX Weekly'!$H$1:$CT$1,"&lt;="&amp;EOMONTH(AO$1,0),'UX Weekly'!$H94:$CT94,"&lt;&gt;"))</f>
        <v>0</v>
      </c>
      <c r="AP94">
        <f>IF($B94="",0,COUNTIFS('UX Weekly'!$H$1:$CT$1,"&gt;="&amp;AP$1,'UX Weekly'!$H$1:$CT$1,"&lt;="&amp;EOMONTH(AP$1,0),'UX Weekly'!$H94:$CT94,"&lt;&gt;"))</f>
        <v>0</v>
      </c>
      <c r="AQ94">
        <f>IF($B94="",0,COUNTIFS('UX Weekly'!$H$1:$CT$1,"&gt;="&amp;AQ$1,'UX Weekly'!$H$1:$CT$1,"&lt;="&amp;EOMONTH(AQ$1,0),'UX Weekly'!$H94:$CT94,"&lt;&gt;"))</f>
        <v>0</v>
      </c>
      <c r="AR94">
        <f>IF($B94="",0,COUNTIFS('UX Weekly'!$H$1:$CT$1,"&gt;="&amp;AR$1,'UX Weekly'!$H$1:$CT$1,"&lt;="&amp;EOMONTH(AR$1,0),'UX Weekly'!$H94:$CT94,"&lt;&gt;"))</f>
        <v>0</v>
      </c>
      <c r="AS94">
        <f>IF($B94="",0,COUNTIFS('UX Weekly'!$H$1:$CT$1,"&gt;="&amp;AS$1,'UX Weekly'!$H$1:$CT$1,"&lt;="&amp;EOMONTH(AS$1,0),'UX Weekly'!$H94:$CT94,"&lt;&gt;"))</f>
        <v>0</v>
      </c>
      <c r="AT94">
        <f>IF($B94="",0,COUNTIFS('UX Weekly'!$H$1:$CT$1,"&gt;="&amp;AT$1,'UX Weekly'!$H$1:$CT$1,"&lt;="&amp;EOMONTH(AT$1,0),'UX Weekly'!$H94:$CT94,"&lt;&gt;"))</f>
        <v>0</v>
      </c>
    </row>
    <row r="95" spans="1:46" x14ac:dyDescent="0.2">
      <c r="A95" s="147">
        <v>96</v>
      </c>
      <c r="B95" s="147" t="str">
        <f>IF(TRIM('UX Weekly'!E95)="","",TRIM('UX Weekly'!E95))</f>
        <v/>
      </c>
      <c r="C95" s="147" t="str">
        <f>IF($B95="","",'UX Weekly'!B95)</f>
        <v/>
      </c>
      <c r="D95" s="147" t="str">
        <f>IF($B95="","",IF(TRIM('UX Weekly'!C95)="","(No theme assigned)",TRIM('UX Weekly'!C95)))</f>
        <v/>
      </c>
      <c r="E95" s="147" t="str">
        <f>IF($B95="","",TRIM('UX Weekly'!F95))</f>
        <v/>
      </c>
      <c r="F95" s="147" t="str">
        <f>IF($B95="","",'UX Weekly'!G95)</f>
        <v/>
      </c>
      <c r="G95" s="148" t="str">
        <f t="array" ref="G95">IF($B95="","",IF($S95=0,"",IFERROR(MIN(IF('UX Weekly'!$H95:$CT95&lt;&gt;"",'UX Weekly'!$H$1:$CT$1)),"")))</f>
        <v/>
      </c>
      <c r="H95" s="148" t="str">
        <f t="array" ref="H95">IF($B95="","",IF($S95=0,"",IFERROR(MAX(IF('UX Weekly'!$H95:$CT95&lt;&gt;"",'UX Weekly'!$H$1:$CT$1)),"")))</f>
        <v/>
      </c>
      <c r="I95" s="149" t="str">
        <f t="shared" ca="1" si="6"/>
        <v/>
      </c>
      <c r="J95" s="149" t="str">
        <f t="shared" ca="1" si="7"/>
        <v/>
      </c>
      <c r="K95" s="147" t="str">
        <f>IF($B95="","",IFERROR(MATCH($B95,'Dev Tracker'!$D$2:$D$196,0),IF($E95="","",IFERROR(MATCH($E95,'Dev Tracker'!$E$2:$E$196,0),""))))</f>
        <v/>
      </c>
      <c r="L95" s="147" t="str">
        <f>IF($B95="","",IFERROR(MATCH($D95,'Control (Don’t Touch)'!$E$4:$E$30,0),99))</f>
        <v/>
      </c>
      <c r="M95" s="147" t="str">
        <f>IF($B95="","",IFERROR(MATCH($F95,'Control (Don’t Touch)'!$B$4:$B$30,0),99))</f>
        <v/>
      </c>
      <c r="N95" s="147" t="str">
        <f t="shared" si="8"/>
        <v/>
      </c>
      <c r="O95" s="147" t="str">
        <f>IF($B95="","",COUNTIF($N$2:$N$204,"&lt;"&amp;$N95)+1)</f>
        <v/>
      </c>
      <c r="P95" s="149" t="str">
        <f ca="1">IF($K95="","",IFERROR(DATE(IFERROR(VALUE(RIGHT(TRIM(INDEX('Dev Tracker'!$I$2:$I$196,$K95)),4)),YEAR(TODAY())),MATCH(LEFT(TRIM(INDEX('Dev Tracker'!$I$2:$I$196,$K95)),3),$U$2:$U$12,0),1),""))</f>
        <v/>
      </c>
      <c r="Q95" s="149" t="str">
        <f ca="1">IF($K95="","",IFERROR(DATE(IFERROR(VALUE(RIGHT(TRIM(INDEX('Dev Tracker'!$J$2:$J$196,$K95)),4)),YEAR(TODAY())),MATCH(LEFT(TRIM(INDEX('Dev Tracker'!$J$2:$J$196,$K95)),3),$U$2:$U$12,0),1),""))</f>
        <v/>
      </c>
      <c r="R95" s="147"/>
      <c r="S95" s="147" t="str">
        <f>IF($B95="","",COUNTA('UX Weekly'!$H95:$CT95))</f>
        <v/>
      </c>
      <c r="W95">
        <f>IF($B95="",0,COUNTIFS('UX Weekly'!$H$1:$CT$1,"&gt;="&amp;W$1,'UX Weekly'!$H$1:$CT$1,"&lt;="&amp;EOMONTH(W$1,0),'UX Weekly'!$H95:$CT95,"&lt;&gt;"))</f>
        <v>0</v>
      </c>
      <c r="X95">
        <f>IF($B95="",0,COUNTIFS('UX Weekly'!$H$1:$CT$1,"&gt;="&amp;X$1,'UX Weekly'!$H$1:$CT$1,"&lt;="&amp;EOMONTH(X$1,0),'UX Weekly'!$H95:$CT95,"&lt;&gt;"))</f>
        <v>0</v>
      </c>
      <c r="Y95">
        <f>IF($B95="",0,COUNTIFS('UX Weekly'!$H$1:$CT$1,"&gt;="&amp;Y$1,'UX Weekly'!$H$1:$CT$1,"&lt;="&amp;EOMONTH(Y$1,0),'UX Weekly'!$H95:$CT95,"&lt;&gt;"))</f>
        <v>0</v>
      </c>
      <c r="Z95">
        <f>IF($B95="",0,COUNTIFS('UX Weekly'!$H$1:$CT$1,"&gt;="&amp;Z$1,'UX Weekly'!$H$1:$CT$1,"&lt;="&amp;EOMONTH(Z$1,0),'UX Weekly'!$H95:$CT95,"&lt;&gt;"))</f>
        <v>0</v>
      </c>
      <c r="AA95">
        <f>IF($B95="",0,COUNTIFS('UX Weekly'!$H$1:$CT$1,"&gt;="&amp;AA$1,'UX Weekly'!$H$1:$CT$1,"&lt;="&amp;EOMONTH(AA$1,0),'UX Weekly'!$H95:$CT95,"&lt;&gt;"))</f>
        <v>0</v>
      </c>
      <c r="AB95">
        <f>IF($B95="",0,COUNTIFS('UX Weekly'!$H$1:$CT$1,"&gt;="&amp;AB$1,'UX Weekly'!$H$1:$CT$1,"&lt;="&amp;EOMONTH(AB$1,0),'UX Weekly'!$H95:$CT95,"&lt;&gt;"))</f>
        <v>0</v>
      </c>
      <c r="AC95">
        <f>IF($B95="",0,COUNTIFS('UX Weekly'!$H$1:$CT$1,"&gt;="&amp;AC$1,'UX Weekly'!$H$1:$CT$1,"&lt;="&amp;EOMONTH(AC$1,0),'UX Weekly'!$H95:$CT95,"&lt;&gt;"))</f>
        <v>0</v>
      </c>
      <c r="AD95">
        <f>IF($B95="",0,COUNTIFS('UX Weekly'!$H$1:$CT$1,"&gt;="&amp;AD$1,'UX Weekly'!$H$1:$CT$1,"&lt;="&amp;EOMONTH(AD$1,0),'UX Weekly'!$H95:$CT95,"&lt;&gt;"))</f>
        <v>0</v>
      </c>
      <c r="AE95">
        <f>IF($B95="",0,COUNTIFS('UX Weekly'!$H$1:$CT$1,"&gt;="&amp;AE$1,'UX Weekly'!$H$1:$CT$1,"&lt;="&amp;EOMONTH(AE$1,0),'UX Weekly'!$H95:$CT95,"&lt;&gt;"))</f>
        <v>0</v>
      </c>
      <c r="AF95">
        <f>IF($B95="",0,COUNTIFS('UX Weekly'!$H$1:$CT$1,"&gt;="&amp;AF$1,'UX Weekly'!$H$1:$CT$1,"&lt;="&amp;EOMONTH(AF$1,0),'UX Weekly'!$H95:$CT95,"&lt;&gt;"))</f>
        <v>0</v>
      </c>
      <c r="AG95">
        <f>IF($B95="",0,COUNTIFS('UX Weekly'!$H$1:$CT$1,"&gt;="&amp;AG$1,'UX Weekly'!$H$1:$CT$1,"&lt;="&amp;EOMONTH(AG$1,0),'UX Weekly'!$H95:$CT95,"&lt;&gt;"))</f>
        <v>0</v>
      </c>
      <c r="AH95">
        <f>IF($B95="",0,COUNTIFS('UX Weekly'!$H$1:$CT$1,"&gt;="&amp;AH$1,'UX Weekly'!$H$1:$CT$1,"&lt;="&amp;EOMONTH(AH$1,0),'UX Weekly'!$H95:$CT95,"&lt;&gt;"))</f>
        <v>0</v>
      </c>
      <c r="AI95">
        <f>IF($B95="",0,COUNTIFS('UX Weekly'!$H$1:$CT$1,"&gt;="&amp;AI$1,'UX Weekly'!$H$1:$CT$1,"&lt;="&amp;EOMONTH(AI$1,0),'UX Weekly'!$H95:$CT95,"&lt;&gt;"))</f>
        <v>0</v>
      </c>
      <c r="AJ95">
        <f>IF($B95="",0,COUNTIFS('UX Weekly'!$H$1:$CT$1,"&gt;="&amp;AJ$1,'UX Weekly'!$H$1:$CT$1,"&lt;="&amp;EOMONTH(AJ$1,0),'UX Weekly'!$H95:$CT95,"&lt;&gt;"))</f>
        <v>0</v>
      </c>
      <c r="AK95">
        <f>IF($B95="",0,COUNTIFS('UX Weekly'!$H$1:$CT$1,"&gt;="&amp;AK$1,'UX Weekly'!$H$1:$CT$1,"&lt;="&amp;EOMONTH(AK$1,0),'UX Weekly'!$H95:$CT95,"&lt;&gt;"))</f>
        <v>0</v>
      </c>
      <c r="AL95">
        <f>IF($B95="",0,COUNTIFS('UX Weekly'!$H$1:$CT$1,"&gt;="&amp;AL$1,'UX Weekly'!$H$1:$CT$1,"&lt;="&amp;EOMONTH(AL$1,0),'UX Weekly'!$H95:$CT95,"&lt;&gt;"))</f>
        <v>0</v>
      </c>
      <c r="AM95">
        <f>IF($B95="",0,COUNTIFS('UX Weekly'!$H$1:$CT$1,"&gt;="&amp;AM$1,'UX Weekly'!$H$1:$CT$1,"&lt;="&amp;EOMONTH(AM$1,0),'UX Weekly'!$H95:$CT95,"&lt;&gt;"))</f>
        <v>0</v>
      </c>
      <c r="AN95">
        <f>IF($B95="",0,COUNTIFS('UX Weekly'!$H$1:$CT$1,"&gt;="&amp;AN$1,'UX Weekly'!$H$1:$CT$1,"&lt;="&amp;EOMONTH(AN$1,0),'UX Weekly'!$H95:$CT95,"&lt;&gt;"))</f>
        <v>0</v>
      </c>
      <c r="AO95">
        <f>IF($B95="",0,COUNTIFS('UX Weekly'!$H$1:$CT$1,"&gt;="&amp;AO$1,'UX Weekly'!$H$1:$CT$1,"&lt;="&amp;EOMONTH(AO$1,0),'UX Weekly'!$H95:$CT95,"&lt;&gt;"))</f>
        <v>0</v>
      </c>
      <c r="AP95">
        <f>IF($B95="",0,COUNTIFS('UX Weekly'!$H$1:$CT$1,"&gt;="&amp;AP$1,'UX Weekly'!$H$1:$CT$1,"&lt;="&amp;EOMONTH(AP$1,0),'UX Weekly'!$H95:$CT95,"&lt;&gt;"))</f>
        <v>0</v>
      </c>
      <c r="AQ95">
        <f>IF($B95="",0,COUNTIFS('UX Weekly'!$H$1:$CT$1,"&gt;="&amp;AQ$1,'UX Weekly'!$H$1:$CT$1,"&lt;="&amp;EOMONTH(AQ$1,0),'UX Weekly'!$H95:$CT95,"&lt;&gt;"))</f>
        <v>0</v>
      </c>
      <c r="AR95">
        <f>IF($B95="",0,COUNTIFS('UX Weekly'!$H$1:$CT$1,"&gt;="&amp;AR$1,'UX Weekly'!$H$1:$CT$1,"&lt;="&amp;EOMONTH(AR$1,0),'UX Weekly'!$H95:$CT95,"&lt;&gt;"))</f>
        <v>0</v>
      </c>
      <c r="AS95">
        <f>IF($B95="",0,COUNTIFS('UX Weekly'!$H$1:$CT$1,"&gt;="&amp;AS$1,'UX Weekly'!$H$1:$CT$1,"&lt;="&amp;EOMONTH(AS$1,0),'UX Weekly'!$H95:$CT95,"&lt;&gt;"))</f>
        <v>0</v>
      </c>
      <c r="AT95">
        <f>IF($B95="",0,COUNTIFS('UX Weekly'!$H$1:$CT$1,"&gt;="&amp;AT$1,'UX Weekly'!$H$1:$CT$1,"&lt;="&amp;EOMONTH(AT$1,0),'UX Weekly'!$H95:$CT95,"&lt;&gt;"))</f>
        <v>0</v>
      </c>
    </row>
    <row r="96" spans="1:46" x14ac:dyDescent="0.2">
      <c r="A96" s="147">
        <v>97</v>
      </c>
      <c r="B96" s="147" t="str">
        <f>IF(TRIM('UX Weekly'!E96)="","",TRIM('UX Weekly'!E96))</f>
        <v/>
      </c>
      <c r="C96" s="147" t="str">
        <f>IF($B96="","",'UX Weekly'!B96)</f>
        <v/>
      </c>
      <c r="D96" s="147" t="str">
        <f>IF($B96="","",IF(TRIM('UX Weekly'!C96)="","(No theme assigned)",TRIM('UX Weekly'!C96)))</f>
        <v/>
      </c>
      <c r="E96" s="147" t="str">
        <f>IF($B96="","",TRIM('UX Weekly'!F96))</f>
        <v/>
      </c>
      <c r="F96" s="147" t="str">
        <f>IF($B96="","",'UX Weekly'!G96)</f>
        <v/>
      </c>
      <c r="G96" s="148" t="str">
        <f t="array" ref="G96">IF($B96="","",IF($S96=0,"",IFERROR(MIN(IF('UX Weekly'!$H96:$CT96&lt;&gt;"",'UX Weekly'!$H$1:$CT$1)),"")))</f>
        <v/>
      </c>
      <c r="H96" s="148" t="str">
        <f t="array" ref="H96">IF($B96="","",IF($S96=0,"",IFERROR(MAX(IF('UX Weekly'!$H96:$CT96&lt;&gt;"",'UX Weekly'!$H$1:$CT$1)),"")))</f>
        <v/>
      </c>
      <c r="I96" s="149" t="str">
        <f t="shared" ca="1" si="6"/>
        <v/>
      </c>
      <c r="J96" s="149" t="str">
        <f t="shared" ca="1" si="7"/>
        <v/>
      </c>
      <c r="K96" s="147" t="str">
        <f>IF($B96="","",IFERROR(MATCH($B96,'Dev Tracker'!$D$2:$D$196,0),IF($E96="","",IFERROR(MATCH($E96,'Dev Tracker'!$E$2:$E$196,0),""))))</f>
        <v/>
      </c>
      <c r="L96" s="147" t="str">
        <f>IF($B96="","",IFERROR(MATCH($D96,'Control (Don’t Touch)'!$E$4:$E$30,0),99))</f>
        <v/>
      </c>
      <c r="M96" s="147" t="str">
        <f>IF($B96="","",IFERROR(MATCH($F96,'Control (Don’t Touch)'!$B$4:$B$30,0),99))</f>
        <v/>
      </c>
      <c r="N96" s="147" t="str">
        <f t="shared" si="8"/>
        <v/>
      </c>
      <c r="O96" s="147" t="str">
        <f>IF($B96="","",COUNTIF($N$2:$N$204,"&lt;"&amp;$N96)+1)</f>
        <v/>
      </c>
      <c r="P96" s="149" t="str">
        <f ca="1">IF($K96="","",IFERROR(DATE(IFERROR(VALUE(RIGHT(TRIM(INDEX('Dev Tracker'!$I$2:$I$196,$K96)),4)),YEAR(TODAY())),MATCH(LEFT(TRIM(INDEX('Dev Tracker'!$I$2:$I$196,$K96)),3),$U$2:$U$12,0),1),""))</f>
        <v/>
      </c>
      <c r="Q96" s="149" t="str">
        <f ca="1">IF($K96="","",IFERROR(DATE(IFERROR(VALUE(RIGHT(TRIM(INDEX('Dev Tracker'!$J$2:$J$196,$K96)),4)),YEAR(TODAY())),MATCH(LEFT(TRIM(INDEX('Dev Tracker'!$J$2:$J$196,$K96)),3),$U$2:$U$12,0),1),""))</f>
        <v/>
      </c>
      <c r="R96" s="147"/>
      <c r="S96" s="147" t="str">
        <f>IF($B96="","",COUNTA('UX Weekly'!$H96:$CT96))</f>
        <v/>
      </c>
      <c r="W96">
        <f>IF($B96="",0,COUNTIFS('UX Weekly'!$H$1:$CT$1,"&gt;="&amp;W$1,'UX Weekly'!$H$1:$CT$1,"&lt;="&amp;EOMONTH(W$1,0),'UX Weekly'!$H96:$CT96,"&lt;&gt;"))</f>
        <v>0</v>
      </c>
      <c r="X96">
        <f>IF($B96="",0,COUNTIFS('UX Weekly'!$H$1:$CT$1,"&gt;="&amp;X$1,'UX Weekly'!$H$1:$CT$1,"&lt;="&amp;EOMONTH(X$1,0),'UX Weekly'!$H96:$CT96,"&lt;&gt;"))</f>
        <v>0</v>
      </c>
      <c r="Y96">
        <f>IF($B96="",0,COUNTIFS('UX Weekly'!$H$1:$CT$1,"&gt;="&amp;Y$1,'UX Weekly'!$H$1:$CT$1,"&lt;="&amp;EOMONTH(Y$1,0),'UX Weekly'!$H96:$CT96,"&lt;&gt;"))</f>
        <v>0</v>
      </c>
      <c r="Z96">
        <f>IF($B96="",0,COUNTIFS('UX Weekly'!$H$1:$CT$1,"&gt;="&amp;Z$1,'UX Weekly'!$H$1:$CT$1,"&lt;="&amp;EOMONTH(Z$1,0),'UX Weekly'!$H96:$CT96,"&lt;&gt;"))</f>
        <v>0</v>
      </c>
      <c r="AA96">
        <f>IF($B96="",0,COUNTIFS('UX Weekly'!$H$1:$CT$1,"&gt;="&amp;AA$1,'UX Weekly'!$H$1:$CT$1,"&lt;="&amp;EOMONTH(AA$1,0),'UX Weekly'!$H96:$CT96,"&lt;&gt;"))</f>
        <v>0</v>
      </c>
      <c r="AB96">
        <f>IF($B96="",0,COUNTIFS('UX Weekly'!$H$1:$CT$1,"&gt;="&amp;AB$1,'UX Weekly'!$H$1:$CT$1,"&lt;="&amp;EOMONTH(AB$1,0),'UX Weekly'!$H96:$CT96,"&lt;&gt;"))</f>
        <v>0</v>
      </c>
      <c r="AC96">
        <f>IF($B96="",0,COUNTIFS('UX Weekly'!$H$1:$CT$1,"&gt;="&amp;AC$1,'UX Weekly'!$H$1:$CT$1,"&lt;="&amp;EOMONTH(AC$1,0),'UX Weekly'!$H96:$CT96,"&lt;&gt;"))</f>
        <v>0</v>
      </c>
      <c r="AD96">
        <f>IF($B96="",0,COUNTIFS('UX Weekly'!$H$1:$CT$1,"&gt;="&amp;AD$1,'UX Weekly'!$H$1:$CT$1,"&lt;="&amp;EOMONTH(AD$1,0),'UX Weekly'!$H96:$CT96,"&lt;&gt;"))</f>
        <v>0</v>
      </c>
      <c r="AE96">
        <f>IF($B96="",0,COUNTIFS('UX Weekly'!$H$1:$CT$1,"&gt;="&amp;AE$1,'UX Weekly'!$H$1:$CT$1,"&lt;="&amp;EOMONTH(AE$1,0),'UX Weekly'!$H96:$CT96,"&lt;&gt;"))</f>
        <v>0</v>
      </c>
      <c r="AF96">
        <f>IF($B96="",0,COUNTIFS('UX Weekly'!$H$1:$CT$1,"&gt;="&amp;AF$1,'UX Weekly'!$H$1:$CT$1,"&lt;="&amp;EOMONTH(AF$1,0),'UX Weekly'!$H96:$CT96,"&lt;&gt;"))</f>
        <v>0</v>
      </c>
      <c r="AG96">
        <f>IF($B96="",0,COUNTIFS('UX Weekly'!$H$1:$CT$1,"&gt;="&amp;AG$1,'UX Weekly'!$H$1:$CT$1,"&lt;="&amp;EOMONTH(AG$1,0),'UX Weekly'!$H96:$CT96,"&lt;&gt;"))</f>
        <v>0</v>
      </c>
      <c r="AH96">
        <f>IF($B96="",0,COUNTIFS('UX Weekly'!$H$1:$CT$1,"&gt;="&amp;AH$1,'UX Weekly'!$H$1:$CT$1,"&lt;="&amp;EOMONTH(AH$1,0),'UX Weekly'!$H96:$CT96,"&lt;&gt;"))</f>
        <v>0</v>
      </c>
      <c r="AI96">
        <f>IF($B96="",0,COUNTIFS('UX Weekly'!$H$1:$CT$1,"&gt;="&amp;AI$1,'UX Weekly'!$H$1:$CT$1,"&lt;="&amp;EOMONTH(AI$1,0),'UX Weekly'!$H96:$CT96,"&lt;&gt;"))</f>
        <v>0</v>
      </c>
      <c r="AJ96">
        <f>IF($B96="",0,COUNTIFS('UX Weekly'!$H$1:$CT$1,"&gt;="&amp;AJ$1,'UX Weekly'!$H$1:$CT$1,"&lt;="&amp;EOMONTH(AJ$1,0),'UX Weekly'!$H96:$CT96,"&lt;&gt;"))</f>
        <v>0</v>
      </c>
      <c r="AK96">
        <f>IF($B96="",0,COUNTIFS('UX Weekly'!$H$1:$CT$1,"&gt;="&amp;AK$1,'UX Weekly'!$H$1:$CT$1,"&lt;="&amp;EOMONTH(AK$1,0),'UX Weekly'!$H96:$CT96,"&lt;&gt;"))</f>
        <v>0</v>
      </c>
      <c r="AL96">
        <f>IF($B96="",0,COUNTIFS('UX Weekly'!$H$1:$CT$1,"&gt;="&amp;AL$1,'UX Weekly'!$H$1:$CT$1,"&lt;="&amp;EOMONTH(AL$1,0),'UX Weekly'!$H96:$CT96,"&lt;&gt;"))</f>
        <v>0</v>
      </c>
      <c r="AM96">
        <f>IF($B96="",0,COUNTIFS('UX Weekly'!$H$1:$CT$1,"&gt;="&amp;AM$1,'UX Weekly'!$H$1:$CT$1,"&lt;="&amp;EOMONTH(AM$1,0),'UX Weekly'!$H96:$CT96,"&lt;&gt;"))</f>
        <v>0</v>
      </c>
      <c r="AN96">
        <f>IF($B96="",0,COUNTIFS('UX Weekly'!$H$1:$CT$1,"&gt;="&amp;AN$1,'UX Weekly'!$H$1:$CT$1,"&lt;="&amp;EOMONTH(AN$1,0),'UX Weekly'!$H96:$CT96,"&lt;&gt;"))</f>
        <v>0</v>
      </c>
      <c r="AO96">
        <f>IF($B96="",0,COUNTIFS('UX Weekly'!$H$1:$CT$1,"&gt;="&amp;AO$1,'UX Weekly'!$H$1:$CT$1,"&lt;="&amp;EOMONTH(AO$1,0),'UX Weekly'!$H96:$CT96,"&lt;&gt;"))</f>
        <v>0</v>
      </c>
      <c r="AP96">
        <f>IF($B96="",0,COUNTIFS('UX Weekly'!$H$1:$CT$1,"&gt;="&amp;AP$1,'UX Weekly'!$H$1:$CT$1,"&lt;="&amp;EOMONTH(AP$1,0),'UX Weekly'!$H96:$CT96,"&lt;&gt;"))</f>
        <v>0</v>
      </c>
      <c r="AQ96">
        <f>IF($B96="",0,COUNTIFS('UX Weekly'!$H$1:$CT$1,"&gt;="&amp;AQ$1,'UX Weekly'!$H$1:$CT$1,"&lt;="&amp;EOMONTH(AQ$1,0),'UX Weekly'!$H96:$CT96,"&lt;&gt;"))</f>
        <v>0</v>
      </c>
      <c r="AR96">
        <f>IF($B96="",0,COUNTIFS('UX Weekly'!$H$1:$CT$1,"&gt;="&amp;AR$1,'UX Weekly'!$H$1:$CT$1,"&lt;="&amp;EOMONTH(AR$1,0),'UX Weekly'!$H96:$CT96,"&lt;&gt;"))</f>
        <v>0</v>
      </c>
      <c r="AS96">
        <f>IF($B96="",0,COUNTIFS('UX Weekly'!$H$1:$CT$1,"&gt;="&amp;AS$1,'UX Weekly'!$H$1:$CT$1,"&lt;="&amp;EOMONTH(AS$1,0),'UX Weekly'!$H96:$CT96,"&lt;&gt;"))</f>
        <v>0</v>
      </c>
      <c r="AT96">
        <f>IF($B96="",0,COUNTIFS('UX Weekly'!$H$1:$CT$1,"&gt;="&amp;AT$1,'UX Weekly'!$H$1:$CT$1,"&lt;="&amp;EOMONTH(AT$1,0),'UX Weekly'!$H96:$CT96,"&lt;&gt;"))</f>
        <v>0</v>
      </c>
    </row>
    <row r="97" spans="1:46" x14ac:dyDescent="0.2">
      <c r="A97" s="147">
        <v>98</v>
      </c>
      <c r="B97" s="147" t="str">
        <f>IF(TRIM('UX Weekly'!E97)="","",TRIM('UX Weekly'!E97))</f>
        <v/>
      </c>
      <c r="C97" s="147" t="str">
        <f>IF($B97="","",'UX Weekly'!B97)</f>
        <v/>
      </c>
      <c r="D97" s="147" t="str">
        <f>IF($B97="","",IF(TRIM('UX Weekly'!C97)="","(No theme assigned)",TRIM('UX Weekly'!C97)))</f>
        <v/>
      </c>
      <c r="E97" s="147" t="str">
        <f>IF($B97="","",TRIM('UX Weekly'!F97))</f>
        <v/>
      </c>
      <c r="F97" s="147" t="str">
        <f>IF($B97="","",'UX Weekly'!G97)</f>
        <v/>
      </c>
      <c r="G97" s="148" t="str">
        <f t="array" ref="G97">IF($B97="","",IF($S97=0,"",IFERROR(MIN(IF('UX Weekly'!$H97:$CT97&lt;&gt;"",'UX Weekly'!$H$1:$CT$1)),"")))</f>
        <v/>
      </c>
      <c r="H97" s="148" t="str">
        <f t="array" ref="H97">IF($B97="","",IF($S97=0,"",IFERROR(MAX(IF('UX Weekly'!$H97:$CT97&lt;&gt;"",'UX Weekly'!$H$1:$CT$1)),"")))</f>
        <v/>
      </c>
      <c r="I97" s="149" t="str">
        <f t="shared" ref="I97:I128" ca="1" si="9">IF($Q97&lt;&gt;"",IF($P97&lt;&gt;"",$P97,$Q97),IF($P97&lt;&gt;"",$P97,""))</f>
        <v/>
      </c>
      <c r="J97" s="149" t="str">
        <f t="shared" ref="J97:J128" ca="1" si="10">IF($Q97&lt;&gt;"",EOMONTH($Q97,0),IF($P97&lt;&gt;"",EOMONTH($P97,0),""))</f>
        <v/>
      </c>
      <c r="K97" s="147" t="str">
        <f>IF($B97="","",IFERROR(MATCH($B97,'Dev Tracker'!$D$2:$D$196,0),IF($E97="","",IFERROR(MATCH($E97,'Dev Tracker'!$E$2:$E$196,0),""))))</f>
        <v/>
      </c>
      <c r="L97" s="147" t="str">
        <f>IF($B97="","",IFERROR(MATCH($D97,'Control (Don’t Touch)'!$E$4:$E$30,0),99))</f>
        <v/>
      </c>
      <c r="M97" s="147" t="str">
        <f>IF($B97="","",IFERROR(MATCH($F97,'Control (Don’t Touch)'!$B$4:$B$30,0),99))</f>
        <v/>
      </c>
      <c r="N97" s="147" t="str">
        <f t="shared" ref="N97:N128" si="11">IF($B97="","",$L97*1000000+$M97*10000+ROW())</f>
        <v/>
      </c>
      <c r="O97" s="147" t="str">
        <f>IF($B97="","",COUNTIF($N$2:$N$204,"&lt;"&amp;$N97)+1)</f>
        <v/>
      </c>
      <c r="P97" s="149" t="str">
        <f ca="1">IF($K97="","",IFERROR(DATE(IFERROR(VALUE(RIGHT(TRIM(INDEX('Dev Tracker'!$I$2:$I$196,$K97)),4)),YEAR(TODAY())),MATCH(LEFT(TRIM(INDEX('Dev Tracker'!$I$2:$I$196,$K97)),3),$U$2:$U$12,0),1),""))</f>
        <v/>
      </c>
      <c r="Q97" s="149" t="str">
        <f ca="1">IF($K97="","",IFERROR(DATE(IFERROR(VALUE(RIGHT(TRIM(INDEX('Dev Tracker'!$J$2:$J$196,$K97)),4)),YEAR(TODAY())),MATCH(LEFT(TRIM(INDEX('Dev Tracker'!$J$2:$J$196,$K97)),3),$U$2:$U$12,0),1),""))</f>
        <v/>
      </c>
      <c r="R97" s="147"/>
      <c r="S97" s="147" t="str">
        <f>IF($B97="","",COUNTA('UX Weekly'!$H97:$CT97))</f>
        <v/>
      </c>
      <c r="W97">
        <f>IF($B97="",0,COUNTIFS('UX Weekly'!$H$1:$CT$1,"&gt;="&amp;W$1,'UX Weekly'!$H$1:$CT$1,"&lt;="&amp;EOMONTH(W$1,0),'UX Weekly'!$H97:$CT97,"&lt;&gt;"))</f>
        <v>0</v>
      </c>
      <c r="X97">
        <f>IF($B97="",0,COUNTIFS('UX Weekly'!$H$1:$CT$1,"&gt;="&amp;X$1,'UX Weekly'!$H$1:$CT$1,"&lt;="&amp;EOMONTH(X$1,0),'UX Weekly'!$H97:$CT97,"&lt;&gt;"))</f>
        <v>0</v>
      </c>
      <c r="Y97">
        <f>IF($B97="",0,COUNTIFS('UX Weekly'!$H$1:$CT$1,"&gt;="&amp;Y$1,'UX Weekly'!$H$1:$CT$1,"&lt;="&amp;EOMONTH(Y$1,0),'UX Weekly'!$H97:$CT97,"&lt;&gt;"))</f>
        <v>0</v>
      </c>
      <c r="Z97">
        <f>IF($B97="",0,COUNTIFS('UX Weekly'!$H$1:$CT$1,"&gt;="&amp;Z$1,'UX Weekly'!$H$1:$CT$1,"&lt;="&amp;EOMONTH(Z$1,0),'UX Weekly'!$H97:$CT97,"&lt;&gt;"))</f>
        <v>0</v>
      </c>
      <c r="AA97">
        <f>IF($B97="",0,COUNTIFS('UX Weekly'!$H$1:$CT$1,"&gt;="&amp;AA$1,'UX Weekly'!$H$1:$CT$1,"&lt;="&amp;EOMONTH(AA$1,0),'UX Weekly'!$H97:$CT97,"&lt;&gt;"))</f>
        <v>0</v>
      </c>
      <c r="AB97">
        <f>IF($B97="",0,COUNTIFS('UX Weekly'!$H$1:$CT$1,"&gt;="&amp;AB$1,'UX Weekly'!$H$1:$CT$1,"&lt;="&amp;EOMONTH(AB$1,0),'UX Weekly'!$H97:$CT97,"&lt;&gt;"))</f>
        <v>0</v>
      </c>
      <c r="AC97">
        <f>IF($B97="",0,COUNTIFS('UX Weekly'!$H$1:$CT$1,"&gt;="&amp;AC$1,'UX Weekly'!$H$1:$CT$1,"&lt;="&amp;EOMONTH(AC$1,0),'UX Weekly'!$H97:$CT97,"&lt;&gt;"))</f>
        <v>0</v>
      </c>
      <c r="AD97">
        <f>IF($B97="",0,COUNTIFS('UX Weekly'!$H$1:$CT$1,"&gt;="&amp;AD$1,'UX Weekly'!$H$1:$CT$1,"&lt;="&amp;EOMONTH(AD$1,0),'UX Weekly'!$H97:$CT97,"&lt;&gt;"))</f>
        <v>0</v>
      </c>
      <c r="AE97">
        <f>IF($B97="",0,COUNTIFS('UX Weekly'!$H$1:$CT$1,"&gt;="&amp;AE$1,'UX Weekly'!$H$1:$CT$1,"&lt;="&amp;EOMONTH(AE$1,0),'UX Weekly'!$H97:$CT97,"&lt;&gt;"))</f>
        <v>0</v>
      </c>
      <c r="AF97">
        <f>IF($B97="",0,COUNTIFS('UX Weekly'!$H$1:$CT$1,"&gt;="&amp;AF$1,'UX Weekly'!$H$1:$CT$1,"&lt;="&amp;EOMONTH(AF$1,0),'UX Weekly'!$H97:$CT97,"&lt;&gt;"))</f>
        <v>0</v>
      </c>
      <c r="AG97">
        <f>IF($B97="",0,COUNTIFS('UX Weekly'!$H$1:$CT$1,"&gt;="&amp;AG$1,'UX Weekly'!$H$1:$CT$1,"&lt;="&amp;EOMONTH(AG$1,0),'UX Weekly'!$H97:$CT97,"&lt;&gt;"))</f>
        <v>0</v>
      </c>
      <c r="AH97">
        <f>IF($B97="",0,COUNTIFS('UX Weekly'!$H$1:$CT$1,"&gt;="&amp;AH$1,'UX Weekly'!$H$1:$CT$1,"&lt;="&amp;EOMONTH(AH$1,0),'UX Weekly'!$H97:$CT97,"&lt;&gt;"))</f>
        <v>0</v>
      </c>
      <c r="AI97">
        <f>IF($B97="",0,COUNTIFS('UX Weekly'!$H$1:$CT$1,"&gt;="&amp;AI$1,'UX Weekly'!$H$1:$CT$1,"&lt;="&amp;EOMONTH(AI$1,0),'UX Weekly'!$H97:$CT97,"&lt;&gt;"))</f>
        <v>0</v>
      </c>
      <c r="AJ97">
        <f>IF($B97="",0,COUNTIFS('UX Weekly'!$H$1:$CT$1,"&gt;="&amp;AJ$1,'UX Weekly'!$H$1:$CT$1,"&lt;="&amp;EOMONTH(AJ$1,0),'UX Weekly'!$H97:$CT97,"&lt;&gt;"))</f>
        <v>0</v>
      </c>
      <c r="AK97">
        <f>IF($B97="",0,COUNTIFS('UX Weekly'!$H$1:$CT$1,"&gt;="&amp;AK$1,'UX Weekly'!$H$1:$CT$1,"&lt;="&amp;EOMONTH(AK$1,0),'UX Weekly'!$H97:$CT97,"&lt;&gt;"))</f>
        <v>0</v>
      </c>
      <c r="AL97">
        <f>IF($B97="",0,COUNTIFS('UX Weekly'!$H$1:$CT$1,"&gt;="&amp;AL$1,'UX Weekly'!$H$1:$CT$1,"&lt;="&amp;EOMONTH(AL$1,0),'UX Weekly'!$H97:$CT97,"&lt;&gt;"))</f>
        <v>0</v>
      </c>
      <c r="AM97">
        <f>IF($B97="",0,COUNTIFS('UX Weekly'!$H$1:$CT$1,"&gt;="&amp;AM$1,'UX Weekly'!$H$1:$CT$1,"&lt;="&amp;EOMONTH(AM$1,0),'UX Weekly'!$H97:$CT97,"&lt;&gt;"))</f>
        <v>0</v>
      </c>
      <c r="AN97">
        <f>IF($B97="",0,COUNTIFS('UX Weekly'!$H$1:$CT$1,"&gt;="&amp;AN$1,'UX Weekly'!$H$1:$CT$1,"&lt;="&amp;EOMONTH(AN$1,0),'UX Weekly'!$H97:$CT97,"&lt;&gt;"))</f>
        <v>0</v>
      </c>
      <c r="AO97">
        <f>IF($B97="",0,COUNTIFS('UX Weekly'!$H$1:$CT$1,"&gt;="&amp;AO$1,'UX Weekly'!$H$1:$CT$1,"&lt;="&amp;EOMONTH(AO$1,0),'UX Weekly'!$H97:$CT97,"&lt;&gt;"))</f>
        <v>0</v>
      </c>
      <c r="AP97">
        <f>IF($B97="",0,COUNTIFS('UX Weekly'!$H$1:$CT$1,"&gt;="&amp;AP$1,'UX Weekly'!$H$1:$CT$1,"&lt;="&amp;EOMONTH(AP$1,0),'UX Weekly'!$H97:$CT97,"&lt;&gt;"))</f>
        <v>0</v>
      </c>
      <c r="AQ97">
        <f>IF($B97="",0,COUNTIFS('UX Weekly'!$H$1:$CT$1,"&gt;="&amp;AQ$1,'UX Weekly'!$H$1:$CT$1,"&lt;="&amp;EOMONTH(AQ$1,0),'UX Weekly'!$H97:$CT97,"&lt;&gt;"))</f>
        <v>0</v>
      </c>
      <c r="AR97">
        <f>IF($B97="",0,COUNTIFS('UX Weekly'!$H$1:$CT$1,"&gt;="&amp;AR$1,'UX Weekly'!$H$1:$CT$1,"&lt;="&amp;EOMONTH(AR$1,0),'UX Weekly'!$H97:$CT97,"&lt;&gt;"))</f>
        <v>0</v>
      </c>
      <c r="AS97">
        <f>IF($B97="",0,COUNTIFS('UX Weekly'!$H$1:$CT$1,"&gt;="&amp;AS$1,'UX Weekly'!$H$1:$CT$1,"&lt;="&amp;EOMONTH(AS$1,0),'UX Weekly'!$H97:$CT97,"&lt;&gt;"))</f>
        <v>0</v>
      </c>
      <c r="AT97">
        <f>IF($B97="",0,COUNTIFS('UX Weekly'!$H$1:$CT$1,"&gt;="&amp;AT$1,'UX Weekly'!$H$1:$CT$1,"&lt;="&amp;EOMONTH(AT$1,0),'UX Weekly'!$H97:$CT97,"&lt;&gt;"))</f>
        <v>0</v>
      </c>
    </row>
    <row r="98" spans="1:46" x14ac:dyDescent="0.2">
      <c r="A98" s="147">
        <v>99</v>
      </c>
      <c r="B98" s="147" t="str">
        <f>IF(TRIM('UX Weekly'!E98)="","",TRIM('UX Weekly'!E98))</f>
        <v/>
      </c>
      <c r="C98" s="147" t="str">
        <f>IF($B98="","",'UX Weekly'!B98)</f>
        <v/>
      </c>
      <c r="D98" s="147" t="str">
        <f>IF($B98="","",IF(TRIM('UX Weekly'!C98)="","(No theme assigned)",TRIM('UX Weekly'!C98)))</f>
        <v/>
      </c>
      <c r="E98" s="147" t="str">
        <f>IF($B98="","",TRIM('UX Weekly'!F98))</f>
        <v/>
      </c>
      <c r="F98" s="147" t="str">
        <f>IF($B98="","",'UX Weekly'!G98)</f>
        <v/>
      </c>
      <c r="G98" s="148" t="str">
        <f t="array" ref="G98">IF($B98="","",IF($S98=0,"",IFERROR(MIN(IF('UX Weekly'!$H98:$CT98&lt;&gt;"",'UX Weekly'!$H$1:$CT$1)),"")))</f>
        <v/>
      </c>
      <c r="H98" s="148" t="str">
        <f t="array" ref="H98">IF($B98="","",IF($S98=0,"",IFERROR(MAX(IF('UX Weekly'!$H98:$CT98&lt;&gt;"",'UX Weekly'!$H$1:$CT$1)),"")))</f>
        <v/>
      </c>
      <c r="I98" s="149" t="str">
        <f t="shared" ca="1" si="9"/>
        <v/>
      </c>
      <c r="J98" s="149" t="str">
        <f t="shared" ca="1" si="10"/>
        <v/>
      </c>
      <c r="K98" s="147" t="str">
        <f>IF($B98="","",IFERROR(MATCH($B98,'Dev Tracker'!$D$2:$D$196,0),IF($E98="","",IFERROR(MATCH($E98,'Dev Tracker'!$E$2:$E$196,0),""))))</f>
        <v/>
      </c>
      <c r="L98" s="147" t="str">
        <f>IF($B98="","",IFERROR(MATCH($D98,'Control (Don’t Touch)'!$E$4:$E$30,0),99))</f>
        <v/>
      </c>
      <c r="M98" s="147" t="str">
        <f>IF($B98="","",IFERROR(MATCH($F98,'Control (Don’t Touch)'!$B$4:$B$30,0),99))</f>
        <v/>
      </c>
      <c r="N98" s="147" t="str">
        <f t="shared" si="11"/>
        <v/>
      </c>
      <c r="O98" s="147" t="str">
        <f>IF($B98="","",COUNTIF($N$2:$N$204,"&lt;"&amp;$N98)+1)</f>
        <v/>
      </c>
      <c r="P98" s="149" t="str">
        <f ca="1">IF($K98="","",IFERROR(DATE(IFERROR(VALUE(RIGHT(TRIM(INDEX('Dev Tracker'!$I$2:$I$196,$K98)),4)),YEAR(TODAY())),MATCH(LEFT(TRIM(INDEX('Dev Tracker'!$I$2:$I$196,$K98)),3),$U$2:$U$12,0),1),""))</f>
        <v/>
      </c>
      <c r="Q98" s="149" t="str">
        <f ca="1">IF($K98="","",IFERROR(DATE(IFERROR(VALUE(RIGHT(TRIM(INDEX('Dev Tracker'!$J$2:$J$196,$K98)),4)),YEAR(TODAY())),MATCH(LEFT(TRIM(INDEX('Dev Tracker'!$J$2:$J$196,$K98)),3),$U$2:$U$12,0),1),""))</f>
        <v/>
      </c>
      <c r="R98" s="147"/>
      <c r="S98" s="147" t="str">
        <f>IF($B98="","",COUNTA('UX Weekly'!$H98:$CT98))</f>
        <v/>
      </c>
      <c r="W98">
        <f>IF($B98="",0,COUNTIFS('UX Weekly'!$H$1:$CT$1,"&gt;="&amp;W$1,'UX Weekly'!$H$1:$CT$1,"&lt;="&amp;EOMONTH(W$1,0),'UX Weekly'!$H98:$CT98,"&lt;&gt;"))</f>
        <v>0</v>
      </c>
      <c r="X98">
        <f>IF($B98="",0,COUNTIFS('UX Weekly'!$H$1:$CT$1,"&gt;="&amp;X$1,'UX Weekly'!$H$1:$CT$1,"&lt;="&amp;EOMONTH(X$1,0),'UX Weekly'!$H98:$CT98,"&lt;&gt;"))</f>
        <v>0</v>
      </c>
      <c r="Y98">
        <f>IF($B98="",0,COUNTIFS('UX Weekly'!$H$1:$CT$1,"&gt;="&amp;Y$1,'UX Weekly'!$H$1:$CT$1,"&lt;="&amp;EOMONTH(Y$1,0),'UX Weekly'!$H98:$CT98,"&lt;&gt;"))</f>
        <v>0</v>
      </c>
      <c r="Z98">
        <f>IF($B98="",0,COUNTIFS('UX Weekly'!$H$1:$CT$1,"&gt;="&amp;Z$1,'UX Weekly'!$H$1:$CT$1,"&lt;="&amp;EOMONTH(Z$1,0),'UX Weekly'!$H98:$CT98,"&lt;&gt;"))</f>
        <v>0</v>
      </c>
      <c r="AA98">
        <f>IF($B98="",0,COUNTIFS('UX Weekly'!$H$1:$CT$1,"&gt;="&amp;AA$1,'UX Weekly'!$H$1:$CT$1,"&lt;="&amp;EOMONTH(AA$1,0),'UX Weekly'!$H98:$CT98,"&lt;&gt;"))</f>
        <v>0</v>
      </c>
      <c r="AB98">
        <f>IF($B98="",0,COUNTIFS('UX Weekly'!$H$1:$CT$1,"&gt;="&amp;AB$1,'UX Weekly'!$H$1:$CT$1,"&lt;="&amp;EOMONTH(AB$1,0),'UX Weekly'!$H98:$CT98,"&lt;&gt;"))</f>
        <v>0</v>
      </c>
      <c r="AC98">
        <f>IF($B98="",0,COUNTIFS('UX Weekly'!$H$1:$CT$1,"&gt;="&amp;AC$1,'UX Weekly'!$H$1:$CT$1,"&lt;="&amp;EOMONTH(AC$1,0),'UX Weekly'!$H98:$CT98,"&lt;&gt;"))</f>
        <v>0</v>
      </c>
      <c r="AD98">
        <f>IF($B98="",0,COUNTIFS('UX Weekly'!$H$1:$CT$1,"&gt;="&amp;AD$1,'UX Weekly'!$H$1:$CT$1,"&lt;="&amp;EOMONTH(AD$1,0),'UX Weekly'!$H98:$CT98,"&lt;&gt;"))</f>
        <v>0</v>
      </c>
      <c r="AE98">
        <f>IF($B98="",0,COUNTIFS('UX Weekly'!$H$1:$CT$1,"&gt;="&amp;AE$1,'UX Weekly'!$H$1:$CT$1,"&lt;="&amp;EOMONTH(AE$1,0),'UX Weekly'!$H98:$CT98,"&lt;&gt;"))</f>
        <v>0</v>
      </c>
      <c r="AF98">
        <f>IF($B98="",0,COUNTIFS('UX Weekly'!$H$1:$CT$1,"&gt;="&amp;AF$1,'UX Weekly'!$H$1:$CT$1,"&lt;="&amp;EOMONTH(AF$1,0),'UX Weekly'!$H98:$CT98,"&lt;&gt;"))</f>
        <v>0</v>
      </c>
      <c r="AG98">
        <f>IF($B98="",0,COUNTIFS('UX Weekly'!$H$1:$CT$1,"&gt;="&amp;AG$1,'UX Weekly'!$H$1:$CT$1,"&lt;="&amp;EOMONTH(AG$1,0),'UX Weekly'!$H98:$CT98,"&lt;&gt;"))</f>
        <v>0</v>
      </c>
      <c r="AH98">
        <f>IF($B98="",0,COUNTIFS('UX Weekly'!$H$1:$CT$1,"&gt;="&amp;AH$1,'UX Weekly'!$H$1:$CT$1,"&lt;="&amp;EOMONTH(AH$1,0),'UX Weekly'!$H98:$CT98,"&lt;&gt;"))</f>
        <v>0</v>
      </c>
      <c r="AI98">
        <f>IF($B98="",0,COUNTIFS('UX Weekly'!$H$1:$CT$1,"&gt;="&amp;AI$1,'UX Weekly'!$H$1:$CT$1,"&lt;="&amp;EOMONTH(AI$1,0),'UX Weekly'!$H98:$CT98,"&lt;&gt;"))</f>
        <v>0</v>
      </c>
      <c r="AJ98">
        <f>IF($B98="",0,COUNTIFS('UX Weekly'!$H$1:$CT$1,"&gt;="&amp;AJ$1,'UX Weekly'!$H$1:$CT$1,"&lt;="&amp;EOMONTH(AJ$1,0),'UX Weekly'!$H98:$CT98,"&lt;&gt;"))</f>
        <v>0</v>
      </c>
      <c r="AK98">
        <f>IF($B98="",0,COUNTIFS('UX Weekly'!$H$1:$CT$1,"&gt;="&amp;AK$1,'UX Weekly'!$H$1:$CT$1,"&lt;="&amp;EOMONTH(AK$1,0),'UX Weekly'!$H98:$CT98,"&lt;&gt;"))</f>
        <v>0</v>
      </c>
      <c r="AL98">
        <f>IF($B98="",0,COUNTIFS('UX Weekly'!$H$1:$CT$1,"&gt;="&amp;AL$1,'UX Weekly'!$H$1:$CT$1,"&lt;="&amp;EOMONTH(AL$1,0),'UX Weekly'!$H98:$CT98,"&lt;&gt;"))</f>
        <v>0</v>
      </c>
      <c r="AM98">
        <f>IF($B98="",0,COUNTIFS('UX Weekly'!$H$1:$CT$1,"&gt;="&amp;AM$1,'UX Weekly'!$H$1:$CT$1,"&lt;="&amp;EOMONTH(AM$1,0),'UX Weekly'!$H98:$CT98,"&lt;&gt;"))</f>
        <v>0</v>
      </c>
      <c r="AN98">
        <f>IF($B98="",0,COUNTIFS('UX Weekly'!$H$1:$CT$1,"&gt;="&amp;AN$1,'UX Weekly'!$H$1:$CT$1,"&lt;="&amp;EOMONTH(AN$1,0),'UX Weekly'!$H98:$CT98,"&lt;&gt;"))</f>
        <v>0</v>
      </c>
      <c r="AO98">
        <f>IF($B98="",0,COUNTIFS('UX Weekly'!$H$1:$CT$1,"&gt;="&amp;AO$1,'UX Weekly'!$H$1:$CT$1,"&lt;="&amp;EOMONTH(AO$1,0),'UX Weekly'!$H98:$CT98,"&lt;&gt;"))</f>
        <v>0</v>
      </c>
      <c r="AP98">
        <f>IF($B98="",0,COUNTIFS('UX Weekly'!$H$1:$CT$1,"&gt;="&amp;AP$1,'UX Weekly'!$H$1:$CT$1,"&lt;="&amp;EOMONTH(AP$1,0),'UX Weekly'!$H98:$CT98,"&lt;&gt;"))</f>
        <v>0</v>
      </c>
      <c r="AQ98">
        <f>IF($B98="",0,COUNTIFS('UX Weekly'!$H$1:$CT$1,"&gt;="&amp;AQ$1,'UX Weekly'!$H$1:$CT$1,"&lt;="&amp;EOMONTH(AQ$1,0),'UX Weekly'!$H98:$CT98,"&lt;&gt;"))</f>
        <v>0</v>
      </c>
      <c r="AR98">
        <f>IF($B98="",0,COUNTIFS('UX Weekly'!$H$1:$CT$1,"&gt;="&amp;AR$1,'UX Weekly'!$H$1:$CT$1,"&lt;="&amp;EOMONTH(AR$1,0),'UX Weekly'!$H98:$CT98,"&lt;&gt;"))</f>
        <v>0</v>
      </c>
      <c r="AS98">
        <f>IF($B98="",0,COUNTIFS('UX Weekly'!$H$1:$CT$1,"&gt;="&amp;AS$1,'UX Weekly'!$H$1:$CT$1,"&lt;="&amp;EOMONTH(AS$1,0),'UX Weekly'!$H98:$CT98,"&lt;&gt;"))</f>
        <v>0</v>
      </c>
      <c r="AT98">
        <f>IF($B98="",0,COUNTIFS('UX Weekly'!$H$1:$CT$1,"&gt;="&amp;AT$1,'UX Weekly'!$H$1:$CT$1,"&lt;="&amp;EOMONTH(AT$1,0),'UX Weekly'!$H98:$CT98,"&lt;&gt;"))</f>
        <v>0</v>
      </c>
    </row>
    <row r="99" spans="1:46" x14ac:dyDescent="0.2">
      <c r="A99" s="147">
        <v>100</v>
      </c>
      <c r="B99" s="147" t="str">
        <f>IF(TRIM('UX Weekly'!E99)="","",TRIM('UX Weekly'!E99))</f>
        <v/>
      </c>
      <c r="C99" s="147" t="str">
        <f>IF($B99="","",'UX Weekly'!B99)</f>
        <v/>
      </c>
      <c r="D99" s="147" t="str">
        <f>IF($B99="","",IF(TRIM('UX Weekly'!C99)="","(No theme assigned)",TRIM('UX Weekly'!C99)))</f>
        <v/>
      </c>
      <c r="E99" s="147" t="str">
        <f>IF($B99="","",TRIM('UX Weekly'!F99))</f>
        <v/>
      </c>
      <c r="F99" s="147" t="str">
        <f>IF($B99="","",'UX Weekly'!G99)</f>
        <v/>
      </c>
      <c r="G99" s="148" t="str">
        <f t="array" ref="G99">IF($B99="","",IF($S99=0,"",IFERROR(MIN(IF('UX Weekly'!$H99:$CT99&lt;&gt;"",'UX Weekly'!$H$1:$CT$1)),"")))</f>
        <v/>
      </c>
      <c r="H99" s="148" t="str">
        <f t="array" ref="H99">IF($B99="","",IF($S99=0,"",IFERROR(MAX(IF('UX Weekly'!$H99:$CT99&lt;&gt;"",'UX Weekly'!$H$1:$CT$1)),"")))</f>
        <v/>
      </c>
      <c r="I99" s="149" t="str">
        <f t="shared" ca="1" si="9"/>
        <v/>
      </c>
      <c r="J99" s="149" t="str">
        <f t="shared" ca="1" si="10"/>
        <v/>
      </c>
      <c r="K99" s="147" t="str">
        <f>IF($B99="","",IFERROR(MATCH($B99,'Dev Tracker'!$D$2:$D$196,0),IF($E99="","",IFERROR(MATCH($E99,'Dev Tracker'!$E$2:$E$196,0),""))))</f>
        <v/>
      </c>
      <c r="L99" s="147" t="str">
        <f>IF($B99="","",IFERROR(MATCH($D99,'Control (Don’t Touch)'!$E$4:$E$30,0),99))</f>
        <v/>
      </c>
      <c r="M99" s="147" t="str">
        <f>IF($B99="","",IFERROR(MATCH($F99,'Control (Don’t Touch)'!$B$4:$B$30,0),99))</f>
        <v/>
      </c>
      <c r="N99" s="147" t="str">
        <f t="shared" si="11"/>
        <v/>
      </c>
      <c r="O99" s="147" t="str">
        <f>IF($B99="","",COUNTIF($N$2:$N$204,"&lt;"&amp;$N99)+1)</f>
        <v/>
      </c>
      <c r="P99" s="149" t="str">
        <f ca="1">IF($K99="","",IFERROR(DATE(IFERROR(VALUE(RIGHT(TRIM(INDEX('Dev Tracker'!$I$2:$I$196,$K99)),4)),YEAR(TODAY())),MATCH(LEFT(TRIM(INDEX('Dev Tracker'!$I$2:$I$196,$K99)),3),$U$2:$U$12,0),1),""))</f>
        <v/>
      </c>
      <c r="Q99" s="149" t="str">
        <f ca="1">IF($K99="","",IFERROR(DATE(IFERROR(VALUE(RIGHT(TRIM(INDEX('Dev Tracker'!$J$2:$J$196,$K99)),4)),YEAR(TODAY())),MATCH(LEFT(TRIM(INDEX('Dev Tracker'!$J$2:$J$196,$K99)),3),$U$2:$U$12,0),1),""))</f>
        <v/>
      </c>
      <c r="R99" s="147"/>
      <c r="S99" s="147" t="str">
        <f>IF($B99="","",COUNTA('UX Weekly'!$H99:$CT99))</f>
        <v/>
      </c>
      <c r="W99">
        <f>IF($B99="",0,COUNTIFS('UX Weekly'!$H$1:$CT$1,"&gt;="&amp;W$1,'UX Weekly'!$H$1:$CT$1,"&lt;="&amp;EOMONTH(W$1,0),'UX Weekly'!$H99:$CT99,"&lt;&gt;"))</f>
        <v>0</v>
      </c>
      <c r="X99">
        <f>IF($B99="",0,COUNTIFS('UX Weekly'!$H$1:$CT$1,"&gt;="&amp;X$1,'UX Weekly'!$H$1:$CT$1,"&lt;="&amp;EOMONTH(X$1,0),'UX Weekly'!$H99:$CT99,"&lt;&gt;"))</f>
        <v>0</v>
      </c>
      <c r="Y99">
        <f>IF($B99="",0,COUNTIFS('UX Weekly'!$H$1:$CT$1,"&gt;="&amp;Y$1,'UX Weekly'!$H$1:$CT$1,"&lt;="&amp;EOMONTH(Y$1,0),'UX Weekly'!$H99:$CT99,"&lt;&gt;"))</f>
        <v>0</v>
      </c>
      <c r="Z99">
        <f>IF($B99="",0,COUNTIFS('UX Weekly'!$H$1:$CT$1,"&gt;="&amp;Z$1,'UX Weekly'!$H$1:$CT$1,"&lt;="&amp;EOMONTH(Z$1,0),'UX Weekly'!$H99:$CT99,"&lt;&gt;"))</f>
        <v>0</v>
      </c>
      <c r="AA99">
        <f>IF($B99="",0,COUNTIFS('UX Weekly'!$H$1:$CT$1,"&gt;="&amp;AA$1,'UX Weekly'!$H$1:$CT$1,"&lt;="&amp;EOMONTH(AA$1,0),'UX Weekly'!$H99:$CT99,"&lt;&gt;"))</f>
        <v>0</v>
      </c>
      <c r="AB99">
        <f>IF($B99="",0,COUNTIFS('UX Weekly'!$H$1:$CT$1,"&gt;="&amp;AB$1,'UX Weekly'!$H$1:$CT$1,"&lt;="&amp;EOMONTH(AB$1,0),'UX Weekly'!$H99:$CT99,"&lt;&gt;"))</f>
        <v>0</v>
      </c>
      <c r="AC99">
        <f>IF($B99="",0,COUNTIFS('UX Weekly'!$H$1:$CT$1,"&gt;="&amp;AC$1,'UX Weekly'!$H$1:$CT$1,"&lt;="&amp;EOMONTH(AC$1,0),'UX Weekly'!$H99:$CT99,"&lt;&gt;"))</f>
        <v>0</v>
      </c>
      <c r="AD99">
        <f>IF($B99="",0,COUNTIFS('UX Weekly'!$H$1:$CT$1,"&gt;="&amp;AD$1,'UX Weekly'!$H$1:$CT$1,"&lt;="&amp;EOMONTH(AD$1,0),'UX Weekly'!$H99:$CT99,"&lt;&gt;"))</f>
        <v>0</v>
      </c>
      <c r="AE99">
        <f>IF($B99="",0,COUNTIFS('UX Weekly'!$H$1:$CT$1,"&gt;="&amp;AE$1,'UX Weekly'!$H$1:$CT$1,"&lt;="&amp;EOMONTH(AE$1,0),'UX Weekly'!$H99:$CT99,"&lt;&gt;"))</f>
        <v>0</v>
      </c>
      <c r="AF99">
        <f>IF($B99="",0,COUNTIFS('UX Weekly'!$H$1:$CT$1,"&gt;="&amp;AF$1,'UX Weekly'!$H$1:$CT$1,"&lt;="&amp;EOMONTH(AF$1,0),'UX Weekly'!$H99:$CT99,"&lt;&gt;"))</f>
        <v>0</v>
      </c>
      <c r="AG99">
        <f>IF($B99="",0,COUNTIFS('UX Weekly'!$H$1:$CT$1,"&gt;="&amp;AG$1,'UX Weekly'!$H$1:$CT$1,"&lt;="&amp;EOMONTH(AG$1,0),'UX Weekly'!$H99:$CT99,"&lt;&gt;"))</f>
        <v>0</v>
      </c>
      <c r="AH99">
        <f>IF($B99="",0,COUNTIFS('UX Weekly'!$H$1:$CT$1,"&gt;="&amp;AH$1,'UX Weekly'!$H$1:$CT$1,"&lt;="&amp;EOMONTH(AH$1,0),'UX Weekly'!$H99:$CT99,"&lt;&gt;"))</f>
        <v>0</v>
      </c>
      <c r="AI99">
        <f>IF($B99="",0,COUNTIFS('UX Weekly'!$H$1:$CT$1,"&gt;="&amp;AI$1,'UX Weekly'!$H$1:$CT$1,"&lt;="&amp;EOMONTH(AI$1,0),'UX Weekly'!$H99:$CT99,"&lt;&gt;"))</f>
        <v>0</v>
      </c>
      <c r="AJ99">
        <f>IF($B99="",0,COUNTIFS('UX Weekly'!$H$1:$CT$1,"&gt;="&amp;AJ$1,'UX Weekly'!$H$1:$CT$1,"&lt;="&amp;EOMONTH(AJ$1,0),'UX Weekly'!$H99:$CT99,"&lt;&gt;"))</f>
        <v>0</v>
      </c>
      <c r="AK99">
        <f>IF($B99="",0,COUNTIFS('UX Weekly'!$H$1:$CT$1,"&gt;="&amp;AK$1,'UX Weekly'!$H$1:$CT$1,"&lt;="&amp;EOMONTH(AK$1,0),'UX Weekly'!$H99:$CT99,"&lt;&gt;"))</f>
        <v>0</v>
      </c>
      <c r="AL99">
        <f>IF($B99="",0,COUNTIFS('UX Weekly'!$H$1:$CT$1,"&gt;="&amp;AL$1,'UX Weekly'!$H$1:$CT$1,"&lt;="&amp;EOMONTH(AL$1,0),'UX Weekly'!$H99:$CT99,"&lt;&gt;"))</f>
        <v>0</v>
      </c>
      <c r="AM99">
        <f>IF($B99="",0,COUNTIFS('UX Weekly'!$H$1:$CT$1,"&gt;="&amp;AM$1,'UX Weekly'!$H$1:$CT$1,"&lt;="&amp;EOMONTH(AM$1,0),'UX Weekly'!$H99:$CT99,"&lt;&gt;"))</f>
        <v>0</v>
      </c>
      <c r="AN99">
        <f>IF($B99="",0,COUNTIFS('UX Weekly'!$H$1:$CT$1,"&gt;="&amp;AN$1,'UX Weekly'!$H$1:$CT$1,"&lt;="&amp;EOMONTH(AN$1,0),'UX Weekly'!$H99:$CT99,"&lt;&gt;"))</f>
        <v>0</v>
      </c>
      <c r="AO99">
        <f>IF($B99="",0,COUNTIFS('UX Weekly'!$H$1:$CT$1,"&gt;="&amp;AO$1,'UX Weekly'!$H$1:$CT$1,"&lt;="&amp;EOMONTH(AO$1,0),'UX Weekly'!$H99:$CT99,"&lt;&gt;"))</f>
        <v>0</v>
      </c>
      <c r="AP99">
        <f>IF($B99="",0,COUNTIFS('UX Weekly'!$H$1:$CT$1,"&gt;="&amp;AP$1,'UX Weekly'!$H$1:$CT$1,"&lt;="&amp;EOMONTH(AP$1,0),'UX Weekly'!$H99:$CT99,"&lt;&gt;"))</f>
        <v>0</v>
      </c>
      <c r="AQ99">
        <f>IF($B99="",0,COUNTIFS('UX Weekly'!$H$1:$CT$1,"&gt;="&amp;AQ$1,'UX Weekly'!$H$1:$CT$1,"&lt;="&amp;EOMONTH(AQ$1,0),'UX Weekly'!$H99:$CT99,"&lt;&gt;"))</f>
        <v>0</v>
      </c>
      <c r="AR99">
        <f>IF($B99="",0,COUNTIFS('UX Weekly'!$H$1:$CT$1,"&gt;="&amp;AR$1,'UX Weekly'!$H$1:$CT$1,"&lt;="&amp;EOMONTH(AR$1,0),'UX Weekly'!$H99:$CT99,"&lt;&gt;"))</f>
        <v>0</v>
      </c>
      <c r="AS99">
        <f>IF($B99="",0,COUNTIFS('UX Weekly'!$H$1:$CT$1,"&gt;="&amp;AS$1,'UX Weekly'!$H$1:$CT$1,"&lt;="&amp;EOMONTH(AS$1,0),'UX Weekly'!$H99:$CT99,"&lt;&gt;"))</f>
        <v>0</v>
      </c>
      <c r="AT99">
        <f>IF($B99="",0,COUNTIFS('UX Weekly'!$H$1:$CT$1,"&gt;="&amp;AT$1,'UX Weekly'!$H$1:$CT$1,"&lt;="&amp;EOMONTH(AT$1,0),'UX Weekly'!$H99:$CT99,"&lt;&gt;"))</f>
        <v>0</v>
      </c>
    </row>
    <row r="100" spans="1:46" x14ac:dyDescent="0.2">
      <c r="A100" s="147">
        <v>101</v>
      </c>
      <c r="B100" s="147" t="str">
        <f>IF(TRIM('UX Weekly'!E100)="","",TRIM('UX Weekly'!E100))</f>
        <v/>
      </c>
      <c r="C100" s="147" t="str">
        <f>IF($B100="","",'UX Weekly'!B100)</f>
        <v/>
      </c>
      <c r="D100" s="147" t="str">
        <f>IF($B100="","",IF(TRIM('UX Weekly'!C100)="","(No theme assigned)",TRIM('UX Weekly'!C100)))</f>
        <v/>
      </c>
      <c r="E100" s="147" t="str">
        <f>IF($B100="","",TRIM('UX Weekly'!F100))</f>
        <v/>
      </c>
      <c r="F100" s="147" t="str">
        <f>IF($B100="","",'UX Weekly'!G100)</f>
        <v/>
      </c>
      <c r="G100" s="148" t="str">
        <f t="array" ref="G100">IF($B100="","",IF($S100=0,"",IFERROR(MIN(IF('UX Weekly'!$H100:$CT100&lt;&gt;"",'UX Weekly'!$H$1:$CT$1)),"")))</f>
        <v/>
      </c>
      <c r="H100" s="148" t="str">
        <f t="array" ref="H100">IF($B100="","",IF($S100=0,"",IFERROR(MAX(IF('UX Weekly'!$H100:$CT100&lt;&gt;"",'UX Weekly'!$H$1:$CT$1)),"")))</f>
        <v/>
      </c>
      <c r="I100" s="149" t="str">
        <f t="shared" ca="1" si="9"/>
        <v/>
      </c>
      <c r="J100" s="149" t="str">
        <f t="shared" ca="1" si="10"/>
        <v/>
      </c>
      <c r="K100" s="147" t="str">
        <f>IF($B100="","",IFERROR(MATCH($B100,'Dev Tracker'!$D$2:$D$196,0),IF($E100="","",IFERROR(MATCH($E100,'Dev Tracker'!$E$2:$E$196,0),""))))</f>
        <v/>
      </c>
      <c r="L100" s="147" t="str">
        <f>IF($B100="","",IFERROR(MATCH($D100,'Control (Don’t Touch)'!$E$4:$E$30,0),99))</f>
        <v/>
      </c>
      <c r="M100" s="147" t="str">
        <f>IF($B100="","",IFERROR(MATCH($F100,'Control (Don’t Touch)'!$B$4:$B$30,0),99))</f>
        <v/>
      </c>
      <c r="N100" s="147" t="str">
        <f t="shared" si="11"/>
        <v/>
      </c>
      <c r="O100" s="147" t="str">
        <f>IF($B100="","",COUNTIF($N$2:$N$204,"&lt;"&amp;$N100)+1)</f>
        <v/>
      </c>
      <c r="P100" s="149" t="str">
        <f ca="1">IF($K100="","",IFERROR(DATE(IFERROR(VALUE(RIGHT(TRIM(INDEX('Dev Tracker'!$I$2:$I$196,$K100)),4)),YEAR(TODAY())),MATCH(LEFT(TRIM(INDEX('Dev Tracker'!$I$2:$I$196,$K100)),3),$U$2:$U$12,0),1),""))</f>
        <v/>
      </c>
      <c r="Q100" s="149" t="str">
        <f ca="1">IF($K100="","",IFERROR(DATE(IFERROR(VALUE(RIGHT(TRIM(INDEX('Dev Tracker'!$J$2:$J$196,$K100)),4)),YEAR(TODAY())),MATCH(LEFT(TRIM(INDEX('Dev Tracker'!$J$2:$J$196,$K100)),3),$U$2:$U$12,0),1),""))</f>
        <v/>
      </c>
      <c r="R100" s="147"/>
      <c r="S100" s="147" t="str">
        <f>IF($B100="","",COUNTA('UX Weekly'!$H100:$CT100))</f>
        <v/>
      </c>
      <c r="W100">
        <f>IF($B100="",0,COUNTIFS('UX Weekly'!$H$1:$CT$1,"&gt;="&amp;W$1,'UX Weekly'!$H$1:$CT$1,"&lt;="&amp;EOMONTH(W$1,0),'UX Weekly'!$H100:$CT100,"&lt;&gt;"))</f>
        <v>0</v>
      </c>
      <c r="X100">
        <f>IF($B100="",0,COUNTIFS('UX Weekly'!$H$1:$CT$1,"&gt;="&amp;X$1,'UX Weekly'!$H$1:$CT$1,"&lt;="&amp;EOMONTH(X$1,0),'UX Weekly'!$H100:$CT100,"&lt;&gt;"))</f>
        <v>0</v>
      </c>
      <c r="Y100">
        <f>IF($B100="",0,COUNTIFS('UX Weekly'!$H$1:$CT$1,"&gt;="&amp;Y$1,'UX Weekly'!$H$1:$CT$1,"&lt;="&amp;EOMONTH(Y$1,0),'UX Weekly'!$H100:$CT100,"&lt;&gt;"))</f>
        <v>0</v>
      </c>
      <c r="Z100">
        <f>IF($B100="",0,COUNTIFS('UX Weekly'!$H$1:$CT$1,"&gt;="&amp;Z$1,'UX Weekly'!$H$1:$CT$1,"&lt;="&amp;EOMONTH(Z$1,0),'UX Weekly'!$H100:$CT100,"&lt;&gt;"))</f>
        <v>0</v>
      </c>
      <c r="AA100">
        <f>IF($B100="",0,COUNTIFS('UX Weekly'!$H$1:$CT$1,"&gt;="&amp;AA$1,'UX Weekly'!$H$1:$CT$1,"&lt;="&amp;EOMONTH(AA$1,0),'UX Weekly'!$H100:$CT100,"&lt;&gt;"))</f>
        <v>0</v>
      </c>
      <c r="AB100">
        <f>IF($B100="",0,COUNTIFS('UX Weekly'!$H$1:$CT$1,"&gt;="&amp;AB$1,'UX Weekly'!$H$1:$CT$1,"&lt;="&amp;EOMONTH(AB$1,0),'UX Weekly'!$H100:$CT100,"&lt;&gt;"))</f>
        <v>0</v>
      </c>
      <c r="AC100">
        <f>IF($B100="",0,COUNTIFS('UX Weekly'!$H$1:$CT$1,"&gt;="&amp;AC$1,'UX Weekly'!$H$1:$CT$1,"&lt;="&amp;EOMONTH(AC$1,0),'UX Weekly'!$H100:$CT100,"&lt;&gt;"))</f>
        <v>0</v>
      </c>
      <c r="AD100">
        <f>IF($B100="",0,COUNTIFS('UX Weekly'!$H$1:$CT$1,"&gt;="&amp;AD$1,'UX Weekly'!$H$1:$CT$1,"&lt;="&amp;EOMONTH(AD$1,0),'UX Weekly'!$H100:$CT100,"&lt;&gt;"))</f>
        <v>0</v>
      </c>
      <c r="AE100">
        <f>IF($B100="",0,COUNTIFS('UX Weekly'!$H$1:$CT$1,"&gt;="&amp;AE$1,'UX Weekly'!$H$1:$CT$1,"&lt;="&amp;EOMONTH(AE$1,0),'UX Weekly'!$H100:$CT100,"&lt;&gt;"))</f>
        <v>0</v>
      </c>
      <c r="AF100">
        <f>IF($B100="",0,COUNTIFS('UX Weekly'!$H$1:$CT$1,"&gt;="&amp;AF$1,'UX Weekly'!$H$1:$CT$1,"&lt;="&amp;EOMONTH(AF$1,0),'UX Weekly'!$H100:$CT100,"&lt;&gt;"))</f>
        <v>0</v>
      </c>
      <c r="AG100">
        <f>IF($B100="",0,COUNTIFS('UX Weekly'!$H$1:$CT$1,"&gt;="&amp;AG$1,'UX Weekly'!$H$1:$CT$1,"&lt;="&amp;EOMONTH(AG$1,0),'UX Weekly'!$H100:$CT100,"&lt;&gt;"))</f>
        <v>0</v>
      </c>
      <c r="AH100">
        <f>IF($B100="",0,COUNTIFS('UX Weekly'!$H$1:$CT$1,"&gt;="&amp;AH$1,'UX Weekly'!$H$1:$CT$1,"&lt;="&amp;EOMONTH(AH$1,0),'UX Weekly'!$H100:$CT100,"&lt;&gt;"))</f>
        <v>0</v>
      </c>
      <c r="AI100">
        <f>IF($B100="",0,COUNTIFS('UX Weekly'!$H$1:$CT$1,"&gt;="&amp;AI$1,'UX Weekly'!$H$1:$CT$1,"&lt;="&amp;EOMONTH(AI$1,0),'UX Weekly'!$H100:$CT100,"&lt;&gt;"))</f>
        <v>0</v>
      </c>
      <c r="AJ100">
        <f>IF($B100="",0,COUNTIFS('UX Weekly'!$H$1:$CT$1,"&gt;="&amp;AJ$1,'UX Weekly'!$H$1:$CT$1,"&lt;="&amp;EOMONTH(AJ$1,0),'UX Weekly'!$H100:$CT100,"&lt;&gt;"))</f>
        <v>0</v>
      </c>
      <c r="AK100">
        <f>IF($B100="",0,COUNTIFS('UX Weekly'!$H$1:$CT$1,"&gt;="&amp;AK$1,'UX Weekly'!$H$1:$CT$1,"&lt;="&amp;EOMONTH(AK$1,0),'UX Weekly'!$H100:$CT100,"&lt;&gt;"))</f>
        <v>0</v>
      </c>
      <c r="AL100">
        <f>IF($B100="",0,COUNTIFS('UX Weekly'!$H$1:$CT$1,"&gt;="&amp;AL$1,'UX Weekly'!$H$1:$CT$1,"&lt;="&amp;EOMONTH(AL$1,0),'UX Weekly'!$H100:$CT100,"&lt;&gt;"))</f>
        <v>0</v>
      </c>
      <c r="AM100">
        <f>IF($B100="",0,COUNTIFS('UX Weekly'!$H$1:$CT$1,"&gt;="&amp;AM$1,'UX Weekly'!$H$1:$CT$1,"&lt;="&amp;EOMONTH(AM$1,0),'UX Weekly'!$H100:$CT100,"&lt;&gt;"))</f>
        <v>0</v>
      </c>
      <c r="AN100">
        <f>IF($B100="",0,COUNTIFS('UX Weekly'!$H$1:$CT$1,"&gt;="&amp;AN$1,'UX Weekly'!$H$1:$CT$1,"&lt;="&amp;EOMONTH(AN$1,0),'UX Weekly'!$H100:$CT100,"&lt;&gt;"))</f>
        <v>0</v>
      </c>
      <c r="AO100">
        <f>IF($B100="",0,COUNTIFS('UX Weekly'!$H$1:$CT$1,"&gt;="&amp;AO$1,'UX Weekly'!$H$1:$CT$1,"&lt;="&amp;EOMONTH(AO$1,0),'UX Weekly'!$H100:$CT100,"&lt;&gt;"))</f>
        <v>0</v>
      </c>
      <c r="AP100">
        <f>IF($B100="",0,COUNTIFS('UX Weekly'!$H$1:$CT$1,"&gt;="&amp;AP$1,'UX Weekly'!$H$1:$CT$1,"&lt;="&amp;EOMONTH(AP$1,0),'UX Weekly'!$H100:$CT100,"&lt;&gt;"))</f>
        <v>0</v>
      </c>
      <c r="AQ100">
        <f>IF($B100="",0,COUNTIFS('UX Weekly'!$H$1:$CT$1,"&gt;="&amp;AQ$1,'UX Weekly'!$H$1:$CT$1,"&lt;="&amp;EOMONTH(AQ$1,0),'UX Weekly'!$H100:$CT100,"&lt;&gt;"))</f>
        <v>0</v>
      </c>
      <c r="AR100">
        <f>IF($B100="",0,COUNTIFS('UX Weekly'!$H$1:$CT$1,"&gt;="&amp;AR$1,'UX Weekly'!$H$1:$CT$1,"&lt;="&amp;EOMONTH(AR$1,0),'UX Weekly'!$H100:$CT100,"&lt;&gt;"))</f>
        <v>0</v>
      </c>
      <c r="AS100">
        <f>IF($B100="",0,COUNTIFS('UX Weekly'!$H$1:$CT$1,"&gt;="&amp;AS$1,'UX Weekly'!$H$1:$CT$1,"&lt;="&amp;EOMONTH(AS$1,0),'UX Weekly'!$H100:$CT100,"&lt;&gt;"))</f>
        <v>0</v>
      </c>
      <c r="AT100">
        <f>IF($B100="",0,COUNTIFS('UX Weekly'!$H$1:$CT$1,"&gt;="&amp;AT$1,'UX Weekly'!$H$1:$CT$1,"&lt;="&amp;EOMONTH(AT$1,0),'UX Weekly'!$H100:$CT100,"&lt;&gt;"))</f>
        <v>0</v>
      </c>
    </row>
    <row r="101" spans="1:46" x14ac:dyDescent="0.2">
      <c r="A101" s="147">
        <v>102</v>
      </c>
      <c r="B101" s="147" t="str">
        <f>IF(TRIM('UX Weekly'!E101)="","",TRIM('UX Weekly'!E101))</f>
        <v/>
      </c>
      <c r="C101" s="147" t="str">
        <f>IF($B101="","",'UX Weekly'!B101)</f>
        <v/>
      </c>
      <c r="D101" s="147" t="str">
        <f>IF($B101="","",IF(TRIM('UX Weekly'!C101)="","(No theme assigned)",TRIM('UX Weekly'!C101)))</f>
        <v/>
      </c>
      <c r="E101" s="147" t="str">
        <f>IF($B101="","",TRIM('UX Weekly'!F101))</f>
        <v/>
      </c>
      <c r="F101" s="147" t="str">
        <f>IF($B101="","",'UX Weekly'!G101)</f>
        <v/>
      </c>
      <c r="G101" s="148" t="str">
        <f t="array" ref="G101">IF($B101="","",IF($S101=0,"",IFERROR(MIN(IF('UX Weekly'!$H101:$CT101&lt;&gt;"",'UX Weekly'!$H$1:$CT$1)),"")))</f>
        <v/>
      </c>
      <c r="H101" s="148" t="str">
        <f t="array" ref="H101">IF($B101="","",IF($S101=0,"",IFERROR(MAX(IF('UX Weekly'!$H101:$CT101&lt;&gt;"",'UX Weekly'!$H$1:$CT$1)),"")))</f>
        <v/>
      </c>
      <c r="I101" s="149" t="str">
        <f t="shared" ca="1" si="9"/>
        <v/>
      </c>
      <c r="J101" s="149" t="str">
        <f t="shared" ca="1" si="10"/>
        <v/>
      </c>
      <c r="K101" s="147" t="str">
        <f>IF($B101="","",IFERROR(MATCH($B101,'Dev Tracker'!$D$2:$D$196,0),IF($E101="","",IFERROR(MATCH($E101,'Dev Tracker'!$E$2:$E$196,0),""))))</f>
        <v/>
      </c>
      <c r="L101" s="147" t="str">
        <f>IF($B101="","",IFERROR(MATCH($D101,'Control (Don’t Touch)'!$E$4:$E$30,0),99))</f>
        <v/>
      </c>
      <c r="M101" s="147" t="str">
        <f>IF($B101="","",IFERROR(MATCH($F101,'Control (Don’t Touch)'!$B$4:$B$30,0),99))</f>
        <v/>
      </c>
      <c r="N101" s="147" t="str">
        <f t="shared" si="11"/>
        <v/>
      </c>
      <c r="O101" s="147" t="str">
        <f>IF($B101="","",COUNTIF($N$2:$N$204,"&lt;"&amp;$N101)+1)</f>
        <v/>
      </c>
      <c r="P101" s="149" t="str">
        <f ca="1">IF($K101="","",IFERROR(DATE(IFERROR(VALUE(RIGHT(TRIM(INDEX('Dev Tracker'!$I$2:$I$196,$K101)),4)),YEAR(TODAY())),MATCH(LEFT(TRIM(INDEX('Dev Tracker'!$I$2:$I$196,$K101)),3),$U$2:$U$12,0),1),""))</f>
        <v/>
      </c>
      <c r="Q101" s="149" t="str">
        <f ca="1">IF($K101="","",IFERROR(DATE(IFERROR(VALUE(RIGHT(TRIM(INDEX('Dev Tracker'!$J$2:$J$196,$K101)),4)),YEAR(TODAY())),MATCH(LEFT(TRIM(INDEX('Dev Tracker'!$J$2:$J$196,$K101)),3),$U$2:$U$12,0),1),""))</f>
        <v/>
      </c>
      <c r="R101" s="147"/>
      <c r="S101" s="147" t="str">
        <f>IF($B101="","",COUNTA('UX Weekly'!$H101:$CT101))</f>
        <v/>
      </c>
      <c r="W101">
        <f>IF($B101="",0,COUNTIFS('UX Weekly'!$H$1:$CT$1,"&gt;="&amp;W$1,'UX Weekly'!$H$1:$CT$1,"&lt;="&amp;EOMONTH(W$1,0),'UX Weekly'!$H101:$CT101,"&lt;&gt;"))</f>
        <v>0</v>
      </c>
      <c r="X101">
        <f>IF($B101="",0,COUNTIFS('UX Weekly'!$H$1:$CT$1,"&gt;="&amp;X$1,'UX Weekly'!$H$1:$CT$1,"&lt;="&amp;EOMONTH(X$1,0),'UX Weekly'!$H101:$CT101,"&lt;&gt;"))</f>
        <v>0</v>
      </c>
      <c r="Y101">
        <f>IF($B101="",0,COUNTIFS('UX Weekly'!$H$1:$CT$1,"&gt;="&amp;Y$1,'UX Weekly'!$H$1:$CT$1,"&lt;="&amp;EOMONTH(Y$1,0),'UX Weekly'!$H101:$CT101,"&lt;&gt;"))</f>
        <v>0</v>
      </c>
      <c r="Z101">
        <f>IF($B101="",0,COUNTIFS('UX Weekly'!$H$1:$CT$1,"&gt;="&amp;Z$1,'UX Weekly'!$H$1:$CT$1,"&lt;="&amp;EOMONTH(Z$1,0),'UX Weekly'!$H101:$CT101,"&lt;&gt;"))</f>
        <v>0</v>
      </c>
      <c r="AA101">
        <f>IF($B101="",0,COUNTIFS('UX Weekly'!$H$1:$CT$1,"&gt;="&amp;AA$1,'UX Weekly'!$H$1:$CT$1,"&lt;="&amp;EOMONTH(AA$1,0),'UX Weekly'!$H101:$CT101,"&lt;&gt;"))</f>
        <v>0</v>
      </c>
      <c r="AB101">
        <f>IF($B101="",0,COUNTIFS('UX Weekly'!$H$1:$CT$1,"&gt;="&amp;AB$1,'UX Weekly'!$H$1:$CT$1,"&lt;="&amp;EOMONTH(AB$1,0),'UX Weekly'!$H101:$CT101,"&lt;&gt;"))</f>
        <v>0</v>
      </c>
      <c r="AC101">
        <f>IF($B101="",0,COUNTIFS('UX Weekly'!$H$1:$CT$1,"&gt;="&amp;AC$1,'UX Weekly'!$H$1:$CT$1,"&lt;="&amp;EOMONTH(AC$1,0),'UX Weekly'!$H101:$CT101,"&lt;&gt;"))</f>
        <v>0</v>
      </c>
      <c r="AD101">
        <f>IF($B101="",0,COUNTIFS('UX Weekly'!$H$1:$CT$1,"&gt;="&amp;AD$1,'UX Weekly'!$H$1:$CT$1,"&lt;="&amp;EOMONTH(AD$1,0),'UX Weekly'!$H101:$CT101,"&lt;&gt;"))</f>
        <v>0</v>
      </c>
      <c r="AE101">
        <f>IF($B101="",0,COUNTIFS('UX Weekly'!$H$1:$CT$1,"&gt;="&amp;AE$1,'UX Weekly'!$H$1:$CT$1,"&lt;="&amp;EOMONTH(AE$1,0),'UX Weekly'!$H101:$CT101,"&lt;&gt;"))</f>
        <v>0</v>
      </c>
      <c r="AF101">
        <f>IF($B101="",0,COUNTIFS('UX Weekly'!$H$1:$CT$1,"&gt;="&amp;AF$1,'UX Weekly'!$H$1:$CT$1,"&lt;="&amp;EOMONTH(AF$1,0),'UX Weekly'!$H101:$CT101,"&lt;&gt;"))</f>
        <v>0</v>
      </c>
      <c r="AG101">
        <f>IF($B101="",0,COUNTIFS('UX Weekly'!$H$1:$CT$1,"&gt;="&amp;AG$1,'UX Weekly'!$H$1:$CT$1,"&lt;="&amp;EOMONTH(AG$1,0),'UX Weekly'!$H101:$CT101,"&lt;&gt;"))</f>
        <v>0</v>
      </c>
      <c r="AH101">
        <f>IF($B101="",0,COUNTIFS('UX Weekly'!$H$1:$CT$1,"&gt;="&amp;AH$1,'UX Weekly'!$H$1:$CT$1,"&lt;="&amp;EOMONTH(AH$1,0),'UX Weekly'!$H101:$CT101,"&lt;&gt;"))</f>
        <v>0</v>
      </c>
      <c r="AI101">
        <f>IF($B101="",0,COUNTIFS('UX Weekly'!$H$1:$CT$1,"&gt;="&amp;AI$1,'UX Weekly'!$H$1:$CT$1,"&lt;="&amp;EOMONTH(AI$1,0),'UX Weekly'!$H101:$CT101,"&lt;&gt;"))</f>
        <v>0</v>
      </c>
      <c r="AJ101">
        <f>IF($B101="",0,COUNTIFS('UX Weekly'!$H$1:$CT$1,"&gt;="&amp;AJ$1,'UX Weekly'!$H$1:$CT$1,"&lt;="&amp;EOMONTH(AJ$1,0),'UX Weekly'!$H101:$CT101,"&lt;&gt;"))</f>
        <v>0</v>
      </c>
      <c r="AK101">
        <f>IF($B101="",0,COUNTIFS('UX Weekly'!$H$1:$CT$1,"&gt;="&amp;AK$1,'UX Weekly'!$H$1:$CT$1,"&lt;="&amp;EOMONTH(AK$1,0),'UX Weekly'!$H101:$CT101,"&lt;&gt;"))</f>
        <v>0</v>
      </c>
      <c r="AL101">
        <f>IF($B101="",0,COUNTIFS('UX Weekly'!$H$1:$CT$1,"&gt;="&amp;AL$1,'UX Weekly'!$H$1:$CT$1,"&lt;="&amp;EOMONTH(AL$1,0),'UX Weekly'!$H101:$CT101,"&lt;&gt;"))</f>
        <v>0</v>
      </c>
      <c r="AM101">
        <f>IF($B101="",0,COUNTIFS('UX Weekly'!$H$1:$CT$1,"&gt;="&amp;AM$1,'UX Weekly'!$H$1:$CT$1,"&lt;="&amp;EOMONTH(AM$1,0),'UX Weekly'!$H101:$CT101,"&lt;&gt;"))</f>
        <v>0</v>
      </c>
      <c r="AN101">
        <f>IF($B101="",0,COUNTIFS('UX Weekly'!$H$1:$CT$1,"&gt;="&amp;AN$1,'UX Weekly'!$H$1:$CT$1,"&lt;="&amp;EOMONTH(AN$1,0),'UX Weekly'!$H101:$CT101,"&lt;&gt;"))</f>
        <v>0</v>
      </c>
      <c r="AO101">
        <f>IF($B101="",0,COUNTIFS('UX Weekly'!$H$1:$CT$1,"&gt;="&amp;AO$1,'UX Weekly'!$H$1:$CT$1,"&lt;="&amp;EOMONTH(AO$1,0),'UX Weekly'!$H101:$CT101,"&lt;&gt;"))</f>
        <v>0</v>
      </c>
      <c r="AP101">
        <f>IF($B101="",0,COUNTIFS('UX Weekly'!$H$1:$CT$1,"&gt;="&amp;AP$1,'UX Weekly'!$H$1:$CT$1,"&lt;="&amp;EOMONTH(AP$1,0),'UX Weekly'!$H101:$CT101,"&lt;&gt;"))</f>
        <v>0</v>
      </c>
      <c r="AQ101">
        <f>IF($B101="",0,COUNTIFS('UX Weekly'!$H$1:$CT$1,"&gt;="&amp;AQ$1,'UX Weekly'!$H$1:$CT$1,"&lt;="&amp;EOMONTH(AQ$1,0),'UX Weekly'!$H101:$CT101,"&lt;&gt;"))</f>
        <v>0</v>
      </c>
      <c r="AR101">
        <f>IF($B101="",0,COUNTIFS('UX Weekly'!$H$1:$CT$1,"&gt;="&amp;AR$1,'UX Weekly'!$H$1:$CT$1,"&lt;="&amp;EOMONTH(AR$1,0),'UX Weekly'!$H101:$CT101,"&lt;&gt;"))</f>
        <v>0</v>
      </c>
      <c r="AS101">
        <f>IF($B101="",0,COUNTIFS('UX Weekly'!$H$1:$CT$1,"&gt;="&amp;AS$1,'UX Weekly'!$H$1:$CT$1,"&lt;="&amp;EOMONTH(AS$1,0),'UX Weekly'!$H101:$CT101,"&lt;&gt;"))</f>
        <v>0</v>
      </c>
      <c r="AT101">
        <f>IF($B101="",0,COUNTIFS('UX Weekly'!$H$1:$CT$1,"&gt;="&amp;AT$1,'UX Weekly'!$H$1:$CT$1,"&lt;="&amp;EOMONTH(AT$1,0),'UX Weekly'!$H101:$CT101,"&lt;&gt;"))</f>
        <v>0</v>
      </c>
    </row>
    <row r="102" spans="1:46" x14ac:dyDescent="0.2">
      <c r="A102" s="147">
        <v>103</v>
      </c>
      <c r="B102" s="147" t="str">
        <f>IF(TRIM('UX Weekly'!E102)="","",TRIM('UX Weekly'!E102))</f>
        <v/>
      </c>
      <c r="C102" s="147" t="str">
        <f>IF($B102="","",'UX Weekly'!B102)</f>
        <v/>
      </c>
      <c r="D102" s="147" t="str">
        <f>IF($B102="","",IF(TRIM('UX Weekly'!C102)="","(No theme assigned)",TRIM('UX Weekly'!C102)))</f>
        <v/>
      </c>
      <c r="E102" s="147" t="str">
        <f>IF($B102="","",TRIM('UX Weekly'!F102))</f>
        <v/>
      </c>
      <c r="F102" s="147" t="str">
        <f>IF($B102="","",'UX Weekly'!G102)</f>
        <v/>
      </c>
      <c r="G102" s="148" t="str">
        <f t="array" ref="G102">IF($B102="","",IF($S102=0,"",IFERROR(MIN(IF('UX Weekly'!$H102:$CT102&lt;&gt;"",'UX Weekly'!$H$1:$CT$1)),"")))</f>
        <v/>
      </c>
      <c r="H102" s="148" t="str">
        <f t="array" ref="H102">IF($B102="","",IF($S102=0,"",IFERROR(MAX(IF('UX Weekly'!$H102:$CT102&lt;&gt;"",'UX Weekly'!$H$1:$CT$1)),"")))</f>
        <v/>
      </c>
      <c r="I102" s="149" t="str">
        <f t="shared" ca="1" si="9"/>
        <v/>
      </c>
      <c r="J102" s="149" t="str">
        <f t="shared" ca="1" si="10"/>
        <v/>
      </c>
      <c r="K102" s="147" t="str">
        <f>IF($B102="","",IFERROR(MATCH($B102,'Dev Tracker'!$D$2:$D$196,0),IF($E102="","",IFERROR(MATCH($E102,'Dev Tracker'!$E$2:$E$196,0),""))))</f>
        <v/>
      </c>
      <c r="L102" s="147" t="str">
        <f>IF($B102="","",IFERROR(MATCH($D102,'Control (Don’t Touch)'!$E$4:$E$30,0),99))</f>
        <v/>
      </c>
      <c r="M102" s="147" t="str">
        <f>IF($B102="","",IFERROR(MATCH($F102,'Control (Don’t Touch)'!$B$4:$B$30,0),99))</f>
        <v/>
      </c>
      <c r="N102" s="147" t="str">
        <f t="shared" si="11"/>
        <v/>
      </c>
      <c r="O102" s="147" t="str">
        <f>IF($B102="","",COUNTIF($N$2:$N$204,"&lt;"&amp;$N102)+1)</f>
        <v/>
      </c>
      <c r="P102" s="149" t="str">
        <f ca="1">IF($K102="","",IFERROR(DATE(IFERROR(VALUE(RIGHT(TRIM(INDEX('Dev Tracker'!$I$2:$I$196,$K102)),4)),YEAR(TODAY())),MATCH(LEFT(TRIM(INDEX('Dev Tracker'!$I$2:$I$196,$K102)),3),$U$2:$U$12,0),1),""))</f>
        <v/>
      </c>
      <c r="Q102" s="149" t="str">
        <f ca="1">IF($K102="","",IFERROR(DATE(IFERROR(VALUE(RIGHT(TRIM(INDEX('Dev Tracker'!$J$2:$J$196,$K102)),4)),YEAR(TODAY())),MATCH(LEFT(TRIM(INDEX('Dev Tracker'!$J$2:$J$196,$K102)),3),$U$2:$U$12,0),1),""))</f>
        <v/>
      </c>
      <c r="R102" s="147"/>
      <c r="S102" s="147" t="str">
        <f>IF($B102="","",COUNTA('UX Weekly'!$H102:$CT102))</f>
        <v/>
      </c>
      <c r="W102">
        <f>IF($B102="",0,COUNTIFS('UX Weekly'!$H$1:$CT$1,"&gt;="&amp;W$1,'UX Weekly'!$H$1:$CT$1,"&lt;="&amp;EOMONTH(W$1,0),'UX Weekly'!$H102:$CT102,"&lt;&gt;"))</f>
        <v>0</v>
      </c>
      <c r="X102">
        <f>IF($B102="",0,COUNTIFS('UX Weekly'!$H$1:$CT$1,"&gt;="&amp;X$1,'UX Weekly'!$H$1:$CT$1,"&lt;="&amp;EOMONTH(X$1,0),'UX Weekly'!$H102:$CT102,"&lt;&gt;"))</f>
        <v>0</v>
      </c>
      <c r="Y102">
        <f>IF($B102="",0,COUNTIFS('UX Weekly'!$H$1:$CT$1,"&gt;="&amp;Y$1,'UX Weekly'!$H$1:$CT$1,"&lt;="&amp;EOMONTH(Y$1,0),'UX Weekly'!$H102:$CT102,"&lt;&gt;"))</f>
        <v>0</v>
      </c>
      <c r="Z102">
        <f>IF($B102="",0,COUNTIFS('UX Weekly'!$H$1:$CT$1,"&gt;="&amp;Z$1,'UX Weekly'!$H$1:$CT$1,"&lt;="&amp;EOMONTH(Z$1,0),'UX Weekly'!$H102:$CT102,"&lt;&gt;"))</f>
        <v>0</v>
      </c>
      <c r="AA102">
        <f>IF($B102="",0,COUNTIFS('UX Weekly'!$H$1:$CT$1,"&gt;="&amp;AA$1,'UX Weekly'!$H$1:$CT$1,"&lt;="&amp;EOMONTH(AA$1,0),'UX Weekly'!$H102:$CT102,"&lt;&gt;"))</f>
        <v>0</v>
      </c>
      <c r="AB102">
        <f>IF($B102="",0,COUNTIFS('UX Weekly'!$H$1:$CT$1,"&gt;="&amp;AB$1,'UX Weekly'!$H$1:$CT$1,"&lt;="&amp;EOMONTH(AB$1,0),'UX Weekly'!$H102:$CT102,"&lt;&gt;"))</f>
        <v>0</v>
      </c>
      <c r="AC102">
        <f>IF($B102="",0,COUNTIFS('UX Weekly'!$H$1:$CT$1,"&gt;="&amp;AC$1,'UX Weekly'!$H$1:$CT$1,"&lt;="&amp;EOMONTH(AC$1,0),'UX Weekly'!$H102:$CT102,"&lt;&gt;"))</f>
        <v>0</v>
      </c>
      <c r="AD102">
        <f>IF($B102="",0,COUNTIFS('UX Weekly'!$H$1:$CT$1,"&gt;="&amp;AD$1,'UX Weekly'!$H$1:$CT$1,"&lt;="&amp;EOMONTH(AD$1,0),'UX Weekly'!$H102:$CT102,"&lt;&gt;"))</f>
        <v>0</v>
      </c>
      <c r="AE102">
        <f>IF($B102="",0,COUNTIFS('UX Weekly'!$H$1:$CT$1,"&gt;="&amp;AE$1,'UX Weekly'!$H$1:$CT$1,"&lt;="&amp;EOMONTH(AE$1,0),'UX Weekly'!$H102:$CT102,"&lt;&gt;"))</f>
        <v>0</v>
      </c>
      <c r="AF102">
        <f>IF($B102="",0,COUNTIFS('UX Weekly'!$H$1:$CT$1,"&gt;="&amp;AF$1,'UX Weekly'!$H$1:$CT$1,"&lt;="&amp;EOMONTH(AF$1,0),'UX Weekly'!$H102:$CT102,"&lt;&gt;"))</f>
        <v>0</v>
      </c>
      <c r="AG102">
        <f>IF($B102="",0,COUNTIFS('UX Weekly'!$H$1:$CT$1,"&gt;="&amp;AG$1,'UX Weekly'!$H$1:$CT$1,"&lt;="&amp;EOMONTH(AG$1,0),'UX Weekly'!$H102:$CT102,"&lt;&gt;"))</f>
        <v>0</v>
      </c>
      <c r="AH102">
        <f>IF($B102="",0,COUNTIFS('UX Weekly'!$H$1:$CT$1,"&gt;="&amp;AH$1,'UX Weekly'!$H$1:$CT$1,"&lt;="&amp;EOMONTH(AH$1,0),'UX Weekly'!$H102:$CT102,"&lt;&gt;"))</f>
        <v>0</v>
      </c>
      <c r="AI102">
        <f>IF($B102="",0,COUNTIFS('UX Weekly'!$H$1:$CT$1,"&gt;="&amp;AI$1,'UX Weekly'!$H$1:$CT$1,"&lt;="&amp;EOMONTH(AI$1,0),'UX Weekly'!$H102:$CT102,"&lt;&gt;"))</f>
        <v>0</v>
      </c>
      <c r="AJ102">
        <f>IF($B102="",0,COUNTIFS('UX Weekly'!$H$1:$CT$1,"&gt;="&amp;AJ$1,'UX Weekly'!$H$1:$CT$1,"&lt;="&amp;EOMONTH(AJ$1,0),'UX Weekly'!$H102:$CT102,"&lt;&gt;"))</f>
        <v>0</v>
      </c>
      <c r="AK102">
        <f>IF($B102="",0,COUNTIFS('UX Weekly'!$H$1:$CT$1,"&gt;="&amp;AK$1,'UX Weekly'!$H$1:$CT$1,"&lt;="&amp;EOMONTH(AK$1,0),'UX Weekly'!$H102:$CT102,"&lt;&gt;"))</f>
        <v>0</v>
      </c>
      <c r="AL102">
        <f>IF($B102="",0,COUNTIFS('UX Weekly'!$H$1:$CT$1,"&gt;="&amp;AL$1,'UX Weekly'!$H$1:$CT$1,"&lt;="&amp;EOMONTH(AL$1,0),'UX Weekly'!$H102:$CT102,"&lt;&gt;"))</f>
        <v>0</v>
      </c>
      <c r="AM102">
        <f>IF($B102="",0,COUNTIFS('UX Weekly'!$H$1:$CT$1,"&gt;="&amp;AM$1,'UX Weekly'!$H$1:$CT$1,"&lt;="&amp;EOMONTH(AM$1,0),'UX Weekly'!$H102:$CT102,"&lt;&gt;"))</f>
        <v>0</v>
      </c>
      <c r="AN102">
        <f>IF($B102="",0,COUNTIFS('UX Weekly'!$H$1:$CT$1,"&gt;="&amp;AN$1,'UX Weekly'!$H$1:$CT$1,"&lt;="&amp;EOMONTH(AN$1,0),'UX Weekly'!$H102:$CT102,"&lt;&gt;"))</f>
        <v>0</v>
      </c>
      <c r="AO102">
        <f>IF($B102="",0,COUNTIFS('UX Weekly'!$H$1:$CT$1,"&gt;="&amp;AO$1,'UX Weekly'!$H$1:$CT$1,"&lt;="&amp;EOMONTH(AO$1,0),'UX Weekly'!$H102:$CT102,"&lt;&gt;"))</f>
        <v>0</v>
      </c>
      <c r="AP102">
        <f>IF($B102="",0,COUNTIFS('UX Weekly'!$H$1:$CT$1,"&gt;="&amp;AP$1,'UX Weekly'!$H$1:$CT$1,"&lt;="&amp;EOMONTH(AP$1,0),'UX Weekly'!$H102:$CT102,"&lt;&gt;"))</f>
        <v>0</v>
      </c>
      <c r="AQ102">
        <f>IF($B102="",0,COUNTIFS('UX Weekly'!$H$1:$CT$1,"&gt;="&amp;AQ$1,'UX Weekly'!$H$1:$CT$1,"&lt;="&amp;EOMONTH(AQ$1,0),'UX Weekly'!$H102:$CT102,"&lt;&gt;"))</f>
        <v>0</v>
      </c>
      <c r="AR102">
        <f>IF($B102="",0,COUNTIFS('UX Weekly'!$H$1:$CT$1,"&gt;="&amp;AR$1,'UX Weekly'!$H$1:$CT$1,"&lt;="&amp;EOMONTH(AR$1,0),'UX Weekly'!$H102:$CT102,"&lt;&gt;"))</f>
        <v>0</v>
      </c>
      <c r="AS102">
        <f>IF($B102="",0,COUNTIFS('UX Weekly'!$H$1:$CT$1,"&gt;="&amp;AS$1,'UX Weekly'!$H$1:$CT$1,"&lt;="&amp;EOMONTH(AS$1,0),'UX Weekly'!$H102:$CT102,"&lt;&gt;"))</f>
        <v>0</v>
      </c>
      <c r="AT102">
        <f>IF($B102="",0,COUNTIFS('UX Weekly'!$H$1:$CT$1,"&gt;="&amp;AT$1,'UX Weekly'!$H$1:$CT$1,"&lt;="&amp;EOMONTH(AT$1,0),'UX Weekly'!$H102:$CT102,"&lt;&gt;"))</f>
        <v>0</v>
      </c>
    </row>
    <row r="103" spans="1:46" x14ac:dyDescent="0.2">
      <c r="A103" s="147">
        <v>104</v>
      </c>
      <c r="B103" s="147" t="str">
        <f>IF(TRIM('UX Weekly'!E103)="","",TRIM('UX Weekly'!E103))</f>
        <v/>
      </c>
      <c r="C103" s="147" t="str">
        <f>IF($B103="","",'UX Weekly'!B103)</f>
        <v/>
      </c>
      <c r="D103" s="147" t="str">
        <f>IF($B103="","",IF(TRIM('UX Weekly'!C103)="","(No theme assigned)",TRIM('UX Weekly'!C103)))</f>
        <v/>
      </c>
      <c r="E103" s="147" t="str">
        <f>IF($B103="","",TRIM('UX Weekly'!F103))</f>
        <v/>
      </c>
      <c r="F103" s="147" t="str">
        <f>IF($B103="","",'UX Weekly'!G103)</f>
        <v/>
      </c>
      <c r="G103" s="148" t="str">
        <f t="array" ref="G103">IF($B103="","",IF($S103=0,"",IFERROR(MIN(IF('UX Weekly'!$H103:$CT103&lt;&gt;"",'UX Weekly'!$H$1:$CT$1)),"")))</f>
        <v/>
      </c>
      <c r="H103" s="148" t="str">
        <f t="array" ref="H103">IF($B103="","",IF($S103=0,"",IFERROR(MAX(IF('UX Weekly'!$H103:$CT103&lt;&gt;"",'UX Weekly'!$H$1:$CT$1)),"")))</f>
        <v/>
      </c>
      <c r="I103" s="149" t="str">
        <f t="shared" ca="1" si="9"/>
        <v/>
      </c>
      <c r="J103" s="149" t="str">
        <f t="shared" ca="1" si="10"/>
        <v/>
      </c>
      <c r="K103" s="147" t="str">
        <f>IF($B103="","",IFERROR(MATCH($B103,'Dev Tracker'!$D$2:$D$196,0),IF($E103="","",IFERROR(MATCH($E103,'Dev Tracker'!$E$2:$E$196,0),""))))</f>
        <v/>
      </c>
      <c r="L103" s="147" t="str">
        <f>IF($B103="","",IFERROR(MATCH($D103,'Control (Don’t Touch)'!$E$4:$E$30,0),99))</f>
        <v/>
      </c>
      <c r="M103" s="147" t="str">
        <f>IF($B103="","",IFERROR(MATCH($F103,'Control (Don’t Touch)'!$B$4:$B$30,0),99))</f>
        <v/>
      </c>
      <c r="N103" s="147" t="str">
        <f t="shared" si="11"/>
        <v/>
      </c>
      <c r="O103" s="147" t="str">
        <f>IF($B103="","",COUNTIF($N$2:$N$204,"&lt;"&amp;$N103)+1)</f>
        <v/>
      </c>
      <c r="P103" s="149" t="str">
        <f ca="1">IF($K103="","",IFERROR(DATE(IFERROR(VALUE(RIGHT(TRIM(INDEX('Dev Tracker'!$I$2:$I$196,$K103)),4)),YEAR(TODAY())),MATCH(LEFT(TRIM(INDEX('Dev Tracker'!$I$2:$I$196,$K103)),3),$U$2:$U$12,0),1),""))</f>
        <v/>
      </c>
      <c r="Q103" s="149" t="str">
        <f ca="1">IF($K103="","",IFERROR(DATE(IFERROR(VALUE(RIGHT(TRIM(INDEX('Dev Tracker'!$J$2:$J$196,$K103)),4)),YEAR(TODAY())),MATCH(LEFT(TRIM(INDEX('Dev Tracker'!$J$2:$J$196,$K103)),3),$U$2:$U$12,0),1),""))</f>
        <v/>
      </c>
      <c r="R103" s="147"/>
      <c r="S103" s="147" t="str">
        <f>IF($B103="","",COUNTA('UX Weekly'!$H103:$CT103))</f>
        <v/>
      </c>
      <c r="W103">
        <f>IF($B103="",0,COUNTIFS('UX Weekly'!$H$1:$CT$1,"&gt;="&amp;W$1,'UX Weekly'!$H$1:$CT$1,"&lt;="&amp;EOMONTH(W$1,0),'UX Weekly'!$H103:$CT103,"&lt;&gt;"))</f>
        <v>0</v>
      </c>
      <c r="X103">
        <f>IF($B103="",0,COUNTIFS('UX Weekly'!$H$1:$CT$1,"&gt;="&amp;X$1,'UX Weekly'!$H$1:$CT$1,"&lt;="&amp;EOMONTH(X$1,0),'UX Weekly'!$H103:$CT103,"&lt;&gt;"))</f>
        <v>0</v>
      </c>
      <c r="Y103">
        <f>IF($B103="",0,COUNTIFS('UX Weekly'!$H$1:$CT$1,"&gt;="&amp;Y$1,'UX Weekly'!$H$1:$CT$1,"&lt;="&amp;EOMONTH(Y$1,0),'UX Weekly'!$H103:$CT103,"&lt;&gt;"))</f>
        <v>0</v>
      </c>
      <c r="Z103">
        <f>IF($B103="",0,COUNTIFS('UX Weekly'!$H$1:$CT$1,"&gt;="&amp;Z$1,'UX Weekly'!$H$1:$CT$1,"&lt;="&amp;EOMONTH(Z$1,0),'UX Weekly'!$H103:$CT103,"&lt;&gt;"))</f>
        <v>0</v>
      </c>
      <c r="AA103">
        <f>IF($B103="",0,COUNTIFS('UX Weekly'!$H$1:$CT$1,"&gt;="&amp;AA$1,'UX Weekly'!$H$1:$CT$1,"&lt;="&amp;EOMONTH(AA$1,0),'UX Weekly'!$H103:$CT103,"&lt;&gt;"))</f>
        <v>0</v>
      </c>
      <c r="AB103">
        <f>IF($B103="",0,COUNTIFS('UX Weekly'!$H$1:$CT$1,"&gt;="&amp;AB$1,'UX Weekly'!$H$1:$CT$1,"&lt;="&amp;EOMONTH(AB$1,0),'UX Weekly'!$H103:$CT103,"&lt;&gt;"))</f>
        <v>0</v>
      </c>
      <c r="AC103">
        <f>IF($B103="",0,COUNTIFS('UX Weekly'!$H$1:$CT$1,"&gt;="&amp;AC$1,'UX Weekly'!$H$1:$CT$1,"&lt;="&amp;EOMONTH(AC$1,0),'UX Weekly'!$H103:$CT103,"&lt;&gt;"))</f>
        <v>0</v>
      </c>
      <c r="AD103">
        <f>IF($B103="",0,COUNTIFS('UX Weekly'!$H$1:$CT$1,"&gt;="&amp;AD$1,'UX Weekly'!$H$1:$CT$1,"&lt;="&amp;EOMONTH(AD$1,0),'UX Weekly'!$H103:$CT103,"&lt;&gt;"))</f>
        <v>0</v>
      </c>
      <c r="AE103">
        <f>IF($B103="",0,COUNTIFS('UX Weekly'!$H$1:$CT$1,"&gt;="&amp;AE$1,'UX Weekly'!$H$1:$CT$1,"&lt;="&amp;EOMONTH(AE$1,0),'UX Weekly'!$H103:$CT103,"&lt;&gt;"))</f>
        <v>0</v>
      </c>
      <c r="AF103">
        <f>IF($B103="",0,COUNTIFS('UX Weekly'!$H$1:$CT$1,"&gt;="&amp;AF$1,'UX Weekly'!$H$1:$CT$1,"&lt;="&amp;EOMONTH(AF$1,0),'UX Weekly'!$H103:$CT103,"&lt;&gt;"))</f>
        <v>0</v>
      </c>
      <c r="AG103">
        <f>IF($B103="",0,COUNTIFS('UX Weekly'!$H$1:$CT$1,"&gt;="&amp;AG$1,'UX Weekly'!$H$1:$CT$1,"&lt;="&amp;EOMONTH(AG$1,0),'UX Weekly'!$H103:$CT103,"&lt;&gt;"))</f>
        <v>0</v>
      </c>
      <c r="AH103">
        <f>IF($B103="",0,COUNTIFS('UX Weekly'!$H$1:$CT$1,"&gt;="&amp;AH$1,'UX Weekly'!$H$1:$CT$1,"&lt;="&amp;EOMONTH(AH$1,0),'UX Weekly'!$H103:$CT103,"&lt;&gt;"))</f>
        <v>0</v>
      </c>
      <c r="AI103">
        <f>IF($B103="",0,COUNTIFS('UX Weekly'!$H$1:$CT$1,"&gt;="&amp;AI$1,'UX Weekly'!$H$1:$CT$1,"&lt;="&amp;EOMONTH(AI$1,0),'UX Weekly'!$H103:$CT103,"&lt;&gt;"))</f>
        <v>0</v>
      </c>
      <c r="AJ103">
        <f>IF($B103="",0,COUNTIFS('UX Weekly'!$H$1:$CT$1,"&gt;="&amp;AJ$1,'UX Weekly'!$H$1:$CT$1,"&lt;="&amp;EOMONTH(AJ$1,0),'UX Weekly'!$H103:$CT103,"&lt;&gt;"))</f>
        <v>0</v>
      </c>
      <c r="AK103">
        <f>IF($B103="",0,COUNTIFS('UX Weekly'!$H$1:$CT$1,"&gt;="&amp;AK$1,'UX Weekly'!$H$1:$CT$1,"&lt;="&amp;EOMONTH(AK$1,0),'UX Weekly'!$H103:$CT103,"&lt;&gt;"))</f>
        <v>0</v>
      </c>
      <c r="AL103">
        <f>IF($B103="",0,COUNTIFS('UX Weekly'!$H$1:$CT$1,"&gt;="&amp;AL$1,'UX Weekly'!$H$1:$CT$1,"&lt;="&amp;EOMONTH(AL$1,0),'UX Weekly'!$H103:$CT103,"&lt;&gt;"))</f>
        <v>0</v>
      </c>
      <c r="AM103">
        <f>IF($B103="",0,COUNTIFS('UX Weekly'!$H$1:$CT$1,"&gt;="&amp;AM$1,'UX Weekly'!$H$1:$CT$1,"&lt;="&amp;EOMONTH(AM$1,0),'UX Weekly'!$H103:$CT103,"&lt;&gt;"))</f>
        <v>0</v>
      </c>
      <c r="AN103">
        <f>IF($B103="",0,COUNTIFS('UX Weekly'!$H$1:$CT$1,"&gt;="&amp;AN$1,'UX Weekly'!$H$1:$CT$1,"&lt;="&amp;EOMONTH(AN$1,0),'UX Weekly'!$H103:$CT103,"&lt;&gt;"))</f>
        <v>0</v>
      </c>
      <c r="AO103">
        <f>IF($B103="",0,COUNTIFS('UX Weekly'!$H$1:$CT$1,"&gt;="&amp;AO$1,'UX Weekly'!$H$1:$CT$1,"&lt;="&amp;EOMONTH(AO$1,0),'UX Weekly'!$H103:$CT103,"&lt;&gt;"))</f>
        <v>0</v>
      </c>
      <c r="AP103">
        <f>IF($B103="",0,COUNTIFS('UX Weekly'!$H$1:$CT$1,"&gt;="&amp;AP$1,'UX Weekly'!$H$1:$CT$1,"&lt;="&amp;EOMONTH(AP$1,0),'UX Weekly'!$H103:$CT103,"&lt;&gt;"))</f>
        <v>0</v>
      </c>
      <c r="AQ103">
        <f>IF($B103="",0,COUNTIFS('UX Weekly'!$H$1:$CT$1,"&gt;="&amp;AQ$1,'UX Weekly'!$H$1:$CT$1,"&lt;="&amp;EOMONTH(AQ$1,0),'UX Weekly'!$H103:$CT103,"&lt;&gt;"))</f>
        <v>0</v>
      </c>
      <c r="AR103">
        <f>IF($B103="",0,COUNTIFS('UX Weekly'!$H$1:$CT$1,"&gt;="&amp;AR$1,'UX Weekly'!$H$1:$CT$1,"&lt;="&amp;EOMONTH(AR$1,0),'UX Weekly'!$H103:$CT103,"&lt;&gt;"))</f>
        <v>0</v>
      </c>
      <c r="AS103">
        <f>IF($B103="",0,COUNTIFS('UX Weekly'!$H$1:$CT$1,"&gt;="&amp;AS$1,'UX Weekly'!$H$1:$CT$1,"&lt;="&amp;EOMONTH(AS$1,0),'UX Weekly'!$H103:$CT103,"&lt;&gt;"))</f>
        <v>0</v>
      </c>
      <c r="AT103">
        <f>IF($B103="",0,COUNTIFS('UX Weekly'!$H$1:$CT$1,"&gt;="&amp;AT$1,'UX Weekly'!$H$1:$CT$1,"&lt;="&amp;EOMONTH(AT$1,0),'UX Weekly'!$H103:$CT103,"&lt;&gt;"))</f>
        <v>0</v>
      </c>
    </row>
    <row r="104" spans="1:46" x14ac:dyDescent="0.2">
      <c r="A104" s="147">
        <v>105</v>
      </c>
      <c r="B104" s="147" t="str">
        <f>IF(TRIM('UX Weekly'!E104)="","",TRIM('UX Weekly'!E104))</f>
        <v/>
      </c>
      <c r="C104" s="147" t="str">
        <f>IF($B104="","",'UX Weekly'!B104)</f>
        <v/>
      </c>
      <c r="D104" s="147" t="str">
        <f>IF($B104="","",IF(TRIM('UX Weekly'!C104)="","(No theme assigned)",TRIM('UX Weekly'!C104)))</f>
        <v/>
      </c>
      <c r="E104" s="147" t="str">
        <f>IF($B104="","",TRIM('UX Weekly'!F104))</f>
        <v/>
      </c>
      <c r="F104" s="147" t="str">
        <f>IF($B104="","",'UX Weekly'!G104)</f>
        <v/>
      </c>
      <c r="G104" s="148" t="str">
        <f t="array" ref="G104">IF($B104="","",IF($S104=0,"",IFERROR(MIN(IF('UX Weekly'!$H104:$CT104&lt;&gt;"",'UX Weekly'!$H$1:$CT$1)),"")))</f>
        <v/>
      </c>
      <c r="H104" s="148" t="str">
        <f t="array" ref="H104">IF($B104="","",IF($S104=0,"",IFERROR(MAX(IF('UX Weekly'!$H104:$CT104&lt;&gt;"",'UX Weekly'!$H$1:$CT$1)),"")))</f>
        <v/>
      </c>
      <c r="I104" s="149" t="str">
        <f t="shared" ca="1" si="9"/>
        <v/>
      </c>
      <c r="J104" s="149" t="str">
        <f t="shared" ca="1" si="10"/>
        <v/>
      </c>
      <c r="K104" s="147" t="str">
        <f>IF($B104="","",IFERROR(MATCH($B104,'Dev Tracker'!$D$2:$D$196,0),IF($E104="","",IFERROR(MATCH($E104,'Dev Tracker'!$E$2:$E$196,0),""))))</f>
        <v/>
      </c>
      <c r="L104" s="147" t="str">
        <f>IF($B104="","",IFERROR(MATCH($D104,'Control (Don’t Touch)'!$E$4:$E$30,0),99))</f>
        <v/>
      </c>
      <c r="M104" s="147" t="str">
        <f>IF($B104="","",IFERROR(MATCH($F104,'Control (Don’t Touch)'!$B$4:$B$30,0),99))</f>
        <v/>
      </c>
      <c r="N104" s="147" t="str">
        <f t="shared" si="11"/>
        <v/>
      </c>
      <c r="O104" s="147" t="str">
        <f>IF($B104="","",COUNTIF($N$2:$N$204,"&lt;"&amp;$N104)+1)</f>
        <v/>
      </c>
      <c r="P104" s="149" t="str">
        <f ca="1">IF($K104="","",IFERROR(DATE(IFERROR(VALUE(RIGHT(TRIM(INDEX('Dev Tracker'!$I$2:$I$196,$K104)),4)),YEAR(TODAY())),MATCH(LEFT(TRIM(INDEX('Dev Tracker'!$I$2:$I$196,$K104)),3),$U$2:$U$12,0),1),""))</f>
        <v/>
      </c>
      <c r="Q104" s="149" t="str">
        <f ca="1">IF($K104="","",IFERROR(DATE(IFERROR(VALUE(RIGHT(TRIM(INDEX('Dev Tracker'!$J$2:$J$196,$K104)),4)),YEAR(TODAY())),MATCH(LEFT(TRIM(INDEX('Dev Tracker'!$J$2:$J$196,$K104)),3),$U$2:$U$12,0),1),""))</f>
        <v/>
      </c>
      <c r="R104" s="147"/>
      <c r="S104" s="147" t="str">
        <f>IF($B104="","",COUNTA('UX Weekly'!$H104:$CT104))</f>
        <v/>
      </c>
      <c r="W104">
        <f>IF($B104="",0,COUNTIFS('UX Weekly'!$H$1:$CT$1,"&gt;="&amp;W$1,'UX Weekly'!$H$1:$CT$1,"&lt;="&amp;EOMONTH(W$1,0),'UX Weekly'!$H104:$CT104,"&lt;&gt;"))</f>
        <v>0</v>
      </c>
      <c r="X104">
        <f>IF($B104="",0,COUNTIFS('UX Weekly'!$H$1:$CT$1,"&gt;="&amp;X$1,'UX Weekly'!$H$1:$CT$1,"&lt;="&amp;EOMONTH(X$1,0),'UX Weekly'!$H104:$CT104,"&lt;&gt;"))</f>
        <v>0</v>
      </c>
      <c r="Y104">
        <f>IF($B104="",0,COUNTIFS('UX Weekly'!$H$1:$CT$1,"&gt;="&amp;Y$1,'UX Weekly'!$H$1:$CT$1,"&lt;="&amp;EOMONTH(Y$1,0),'UX Weekly'!$H104:$CT104,"&lt;&gt;"))</f>
        <v>0</v>
      </c>
      <c r="Z104">
        <f>IF($B104="",0,COUNTIFS('UX Weekly'!$H$1:$CT$1,"&gt;="&amp;Z$1,'UX Weekly'!$H$1:$CT$1,"&lt;="&amp;EOMONTH(Z$1,0),'UX Weekly'!$H104:$CT104,"&lt;&gt;"))</f>
        <v>0</v>
      </c>
      <c r="AA104">
        <f>IF($B104="",0,COUNTIFS('UX Weekly'!$H$1:$CT$1,"&gt;="&amp;AA$1,'UX Weekly'!$H$1:$CT$1,"&lt;="&amp;EOMONTH(AA$1,0),'UX Weekly'!$H104:$CT104,"&lt;&gt;"))</f>
        <v>0</v>
      </c>
      <c r="AB104">
        <f>IF($B104="",0,COUNTIFS('UX Weekly'!$H$1:$CT$1,"&gt;="&amp;AB$1,'UX Weekly'!$H$1:$CT$1,"&lt;="&amp;EOMONTH(AB$1,0),'UX Weekly'!$H104:$CT104,"&lt;&gt;"))</f>
        <v>0</v>
      </c>
      <c r="AC104">
        <f>IF($B104="",0,COUNTIFS('UX Weekly'!$H$1:$CT$1,"&gt;="&amp;AC$1,'UX Weekly'!$H$1:$CT$1,"&lt;="&amp;EOMONTH(AC$1,0),'UX Weekly'!$H104:$CT104,"&lt;&gt;"))</f>
        <v>0</v>
      </c>
      <c r="AD104">
        <f>IF($B104="",0,COUNTIFS('UX Weekly'!$H$1:$CT$1,"&gt;="&amp;AD$1,'UX Weekly'!$H$1:$CT$1,"&lt;="&amp;EOMONTH(AD$1,0),'UX Weekly'!$H104:$CT104,"&lt;&gt;"))</f>
        <v>0</v>
      </c>
      <c r="AE104">
        <f>IF($B104="",0,COUNTIFS('UX Weekly'!$H$1:$CT$1,"&gt;="&amp;AE$1,'UX Weekly'!$H$1:$CT$1,"&lt;="&amp;EOMONTH(AE$1,0),'UX Weekly'!$H104:$CT104,"&lt;&gt;"))</f>
        <v>0</v>
      </c>
      <c r="AF104">
        <f>IF($B104="",0,COUNTIFS('UX Weekly'!$H$1:$CT$1,"&gt;="&amp;AF$1,'UX Weekly'!$H$1:$CT$1,"&lt;="&amp;EOMONTH(AF$1,0),'UX Weekly'!$H104:$CT104,"&lt;&gt;"))</f>
        <v>0</v>
      </c>
      <c r="AG104">
        <f>IF($B104="",0,COUNTIFS('UX Weekly'!$H$1:$CT$1,"&gt;="&amp;AG$1,'UX Weekly'!$H$1:$CT$1,"&lt;="&amp;EOMONTH(AG$1,0),'UX Weekly'!$H104:$CT104,"&lt;&gt;"))</f>
        <v>0</v>
      </c>
      <c r="AH104">
        <f>IF($B104="",0,COUNTIFS('UX Weekly'!$H$1:$CT$1,"&gt;="&amp;AH$1,'UX Weekly'!$H$1:$CT$1,"&lt;="&amp;EOMONTH(AH$1,0),'UX Weekly'!$H104:$CT104,"&lt;&gt;"))</f>
        <v>0</v>
      </c>
      <c r="AI104">
        <f>IF($B104="",0,COUNTIFS('UX Weekly'!$H$1:$CT$1,"&gt;="&amp;AI$1,'UX Weekly'!$H$1:$CT$1,"&lt;="&amp;EOMONTH(AI$1,0),'UX Weekly'!$H104:$CT104,"&lt;&gt;"))</f>
        <v>0</v>
      </c>
      <c r="AJ104">
        <f>IF($B104="",0,COUNTIFS('UX Weekly'!$H$1:$CT$1,"&gt;="&amp;AJ$1,'UX Weekly'!$H$1:$CT$1,"&lt;="&amp;EOMONTH(AJ$1,0),'UX Weekly'!$H104:$CT104,"&lt;&gt;"))</f>
        <v>0</v>
      </c>
      <c r="AK104">
        <f>IF($B104="",0,COUNTIFS('UX Weekly'!$H$1:$CT$1,"&gt;="&amp;AK$1,'UX Weekly'!$H$1:$CT$1,"&lt;="&amp;EOMONTH(AK$1,0),'UX Weekly'!$H104:$CT104,"&lt;&gt;"))</f>
        <v>0</v>
      </c>
      <c r="AL104">
        <f>IF($B104="",0,COUNTIFS('UX Weekly'!$H$1:$CT$1,"&gt;="&amp;AL$1,'UX Weekly'!$H$1:$CT$1,"&lt;="&amp;EOMONTH(AL$1,0),'UX Weekly'!$H104:$CT104,"&lt;&gt;"))</f>
        <v>0</v>
      </c>
      <c r="AM104">
        <f>IF($B104="",0,COUNTIFS('UX Weekly'!$H$1:$CT$1,"&gt;="&amp;AM$1,'UX Weekly'!$H$1:$CT$1,"&lt;="&amp;EOMONTH(AM$1,0),'UX Weekly'!$H104:$CT104,"&lt;&gt;"))</f>
        <v>0</v>
      </c>
      <c r="AN104">
        <f>IF($B104="",0,COUNTIFS('UX Weekly'!$H$1:$CT$1,"&gt;="&amp;AN$1,'UX Weekly'!$H$1:$CT$1,"&lt;="&amp;EOMONTH(AN$1,0),'UX Weekly'!$H104:$CT104,"&lt;&gt;"))</f>
        <v>0</v>
      </c>
      <c r="AO104">
        <f>IF($B104="",0,COUNTIFS('UX Weekly'!$H$1:$CT$1,"&gt;="&amp;AO$1,'UX Weekly'!$H$1:$CT$1,"&lt;="&amp;EOMONTH(AO$1,0),'UX Weekly'!$H104:$CT104,"&lt;&gt;"))</f>
        <v>0</v>
      </c>
      <c r="AP104">
        <f>IF($B104="",0,COUNTIFS('UX Weekly'!$H$1:$CT$1,"&gt;="&amp;AP$1,'UX Weekly'!$H$1:$CT$1,"&lt;="&amp;EOMONTH(AP$1,0),'UX Weekly'!$H104:$CT104,"&lt;&gt;"))</f>
        <v>0</v>
      </c>
      <c r="AQ104">
        <f>IF($B104="",0,COUNTIFS('UX Weekly'!$H$1:$CT$1,"&gt;="&amp;AQ$1,'UX Weekly'!$H$1:$CT$1,"&lt;="&amp;EOMONTH(AQ$1,0),'UX Weekly'!$H104:$CT104,"&lt;&gt;"))</f>
        <v>0</v>
      </c>
      <c r="AR104">
        <f>IF($B104="",0,COUNTIFS('UX Weekly'!$H$1:$CT$1,"&gt;="&amp;AR$1,'UX Weekly'!$H$1:$CT$1,"&lt;="&amp;EOMONTH(AR$1,0),'UX Weekly'!$H104:$CT104,"&lt;&gt;"))</f>
        <v>0</v>
      </c>
      <c r="AS104">
        <f>IF($B104="",0,COUNTIFS('UX Weekly'!$H$1:$CT$1,"&gt;="&amp;AS$1,'UX Weekly'!$H$1:$CT$1,"&lt;="&amp;EOMONTH(AS$1,0),'UX Weekly'!$H104:$CT104,"&lt;&gt;"))</f>
        <v>0</v>
      </c>
      <c r="AT104">
        <f>IF($B104="",0,COUNTIFS('UX Weekly'!$H$1:$CT$1,"&gt;="&amp;AT$1,'UX Weekly'!$H$1:$CT$1,"&lt;="&amp;EOMONTH(AT$1,0),'UX Weekly'!$H104:$CT104,"&lt;&gt;"))</f>
        <v>0</v>
      </c>
    </row>
    <row r="105" spans="1:46" x14ac:dyDescent="0.2">
      <c r="A105" s="147">
        <v>106</v>
      </c>
      <c r="B105" s="147" t="str">
        <f>IF(TRIM('UX Weekly'!E105)="","",TRIM('UX Weekly'!E105))</f>
        <v/>
      </c>
      <c r="C105" s="147" t="str">
        <f>IF($B105="","",'UX Weekly'!B105)</f>
        <v/>
      </c>
      <c r="D105" s="147" t="str">
        <f>IF($B105="","",IF(TRIM('UX Weekly'!C105)="","(No theme assigned)",TRIM('UX Weekly'!C105)))</f>
        <v/>
      </c>
      <c r="E105" s="147" t="str">
        <f>IF($B105="","",TRIM('UX Weekly'!F105))</f>
        <v/>
      </c>
      <c r="F105" s="147" t="str">
        <f>IF($B105="","",'UX Weekly'!G105)</f>
        <v/>
      </c>
      <c r="G105" s="148" t="str">
        <f t="array" ref="G105">IF($B105="","",IF($S105=0,"",IFERROR(MIN(IF('UX Weekly'!$H105:$CT105&lt;&gt;"",'UX Weekly'!$H$1:$CT$1)),"")))</f>
        <v/>
      </c>
      <c r="H105" s="148" t="str">
        <f t="array" ref="H105">IF($B105="","",IF($S105=0,"",IFERROR(MAX(IF('UX Weekly'!$H105:$CT105&lt;&gt;"",'UX Weekly'!$H$1:$CT$1)),"")))</f>
        <v/>
      </c>
      <c r="I105" s="149" t="str">
        <f t="shared" ca="1" si="9"/>
        <v/>
      </c>
      <c r="J105" s="149" t="str">
        <f t="shared" ca="1" si="10"/>
        <v/>
      </c>
      <c r="K105" s="147" t="str">
        <f>IF($B105="","",IFERROR(MATCH($B105,'Dev Tracker'!$D$2:$D$196,0),IF($E105="","",IFERROR(MATCH($E105,'Dev Tracker'!$E$2:$E$196,0),""))))</f>
        <v/>
      </c>
      <c r="L105" s="147" t="str">
        <f>IF($B105="","",IFERROR(MATCH($D105,'Control (Don’t Touch)'!$E$4:$E$30,0),99))</f>
        <v/>
      </c>
      <c r="M105" s="147" t="str">
        <f>IF($B105="","",IFERROR(MATCH($F105,'Control (Don’t Touch)'!$B$4:$B$30,0),99))</f>
        <v/>
      </c>
      <c r="N105" s="147" t="str">
        <f t="shared" si="11"/>
        <v/>
      </c>
      <c r="O105" s="147" t="str">
        <f>IF($B105="","",COUNTIF($N$2:$N$204,"&lt;"&amp;$N105)+1)</f>
        <v/>
      </c>
      <c r="P105" s="149" t="str">
        <f ca="1">IF($K105="","",IFERROR(DATE(IFERROR(VALUE(RIGHT(TRIM(INDEX('Dev Tracker'!$I$2:$I$196,$K105)),4)),YEAR(TODAY())),MATCH(LEFT(TRIM(INDEX('Dev Tracker'!$I$2:$I$196,$K105)),3),$U$2:$U$12,0),1),""))</f>
        <v/>
      </c>
      <c r="Q105" s="149" t="str">
        <f ca="1">IF($K105="","",IFERROR(DATE(IFERROR(VALUE(RIGHT(TRIM(INDEX('Dev Tracker'!$J$2:$J$196,$K105)),4)),YEAR(TODAY())),MATCH(LEFT(TRIM(INDEX('Dev Tracker'!$J$2:$J$196,$K105)),3),$U$2:$U$12,0),1),""))</f>
        <v/>
      </c>
      <c r="R105" s="147"/>
      <c r="S105" s="147" t="str">
        <f>IF($B105="","",COUNTA('UX Weekly'!$H105:$CT105))</f>
        <v/>
      </c>
      <c r="W105">
        <f>IF($B105="",0,COUNTIFS('UX Weekly'!$H$1:$CT$1,"&gt;="&amp;W$1,'UX Weekly'!$H$1:$CT$1,"&lt;="&amp;EOMONTH(W$1,0),'UX Weekly'!$H105:$CT105,"&lt;&gt;"))</f>
        <v>0</v>
      </c>
      <c r="X105">
        <f>IF($B105="",0,COUNTIFS('UX Weekly'!$H$1:$CT$1,"&gt;="&amp;X$1,'UX Weekly'!$H$1:$CT$1,"&lt;="&amp;EOMONTH(X$1,0),'UX Weekly'!$H105:$CT105,"&lt;&gt;"))</f>
        <v>0</v>
      </c>
      <c r="Y105">
        <f>IF($B105="",0,COUNTIFS('UX Weekly'!$H$1:$CT$1,"&gt;="&amp;Y$1,'UX Weekly'!$H$1:$CT$1,"&lt;="&amp;EOMONTH(Y$1,0),'UX Weekly'!$H105:$CT105,"&lt;&gt;"))</f>
        <v>0</v>
      </c>
      <c r="Z105">
        <f>IF($B105="",0,COUNTIFS('UX Weekly'!$H$1:$CT$1,"&gt;="&amp;Z$1,'UX Weekly'!$H$1:$CT$1,"&lt;="&amp;EOMONTH(Z$1,0),'UX Weekly'!$H105:$CT105,"&lt;&gt;"))</f>
        <v>0</v>
      </c>
      <c r="AA105">
        <f>IF($B105="",0,COUNTIFS('UX Weekly'!$H$1:$CT$1,"&gt;="&amp;AA$1,'UX Weekly'!$H$1:$CT$1,"&lt;="&amp;EOMONTH(AA$1,0),'UX Weekly'!$H105:$CT105,"&lt;&gt;"))</f>
        <v>0</v>
      </c>
      <c r="AB105">
        <f>IF($B105="",0,COUNTIFS('UX Weekly'!$H$1:$CT$1,"&gt;="&amp;AB$1,'UX Weekly'!$H$1:$CT$1,"&lt;="&amp;EOMONTH(AB$1,0),'UX Weekly'!$H105:$CT105,"&lt;&gt;"))</f>
        <v>0</v>
      </c>
      <c r="AC105">
        <f>IF($B105="",0,COUNTIFS('UX Weekly'!$H$1:$CT$1,"&gt;="&amp;AC$1,'UX Weekly'!$H$1:$CT$1,"&lt;="&amp;EOMONTH(AC$1,0),'UX Weekly'!$H105:$CT105,"&lt;&gt;"))</f>
        <v>0</v>
      </c>
      <c r="AD105">
        <f>IF($B105="",0,COUNTIFS('UX Weekly'!$H$1:$CT$1,"&gt;="&amp;AD$1,'UX Weekly'!$H$1:$CT$1,"&lt;="&amp;EOMONTH(AD$1,0),'UX Weekly'!$H105:$CT105,"&lt;&gt;"))</f>
        <v>0</v>
      </c>
      <c r="AE105">
        <f>IF($B105="",0,COUNTIFS('UX Weekly'!$H$1:$CT$1,"&gt;="&amp;AE$1,'UX Weekly'!$H$1:$CT$1,"&lt;="&amp;EOMONTH(AE$1,0),'UX Weekly'!$H105:$CT105,"&lt;&gt;"))</f>
        <v>0</v>
      </c>
      <c r="AF105">
        <f>IF($B105="",0,COUNTIFS('UX Weekly'!$H$1:$CT$1,"&gt;="&amp;AF$1,'UX Weekly'!$H$1:$CT$1,"&lt;="&amp;EOMONTH(AF$1,0),'UX Weekly'!$H105:$CT105,"&lt;&gt;"))</f>
        <v>0</v>
      </c>
      <c r="AG105">
        <f>IF($B105="",0,COUNTIFS('UX Weekly'!$H$1:$CT$1,"&gt;="&amp;AG$1,'UX Weekly'!$H$1:$CT$1,"&lt;="&amp;EOMONTH(AG$1,0),'UX Weekly'!$H105:$CT105,"&lt;&gt;"))</f>
        <v>0</v>
      </c>
      <c r="AH105">
        <f>IF($B105="",0,COUNTIFS('UX Weekly'!$H$1:$CT$1,"&gt;="&amp;AH$1,'UX Weekly'!$H$1:$CT$1,"&lt;="&amp;EOMONTH(AH$1,0),'UX Weekly'!$H105:$CT105,"&lt;&gt;"))</f>
        <v>0</v>
      </c>
      <c r="AI105">
        <f>IF($B105="",0,COUNTIFS('UX Weekly'!$H$1:$CT$1,"&gt;="&amp;AI$1,'UX Weekly'!$H$1:$CT$1,"&lt;="&amp;EOMONTH(AI$1,0),'UX Weekly'!$H105:$CT105,"&lt;&gt;"))</f>
        <v>0</v>
      </c>
      <c r="AJ105">
        <f>IF($B105="",0,COUNTIFS('UX Weekly'!$H$1:$CT$1,"&gt;="&amp;AJ$1,'UX Weekly'!$H$1:$CT$1,"&lt;="&amp;EOMONTH(AJ$1,0),'UX Weekly'!$H105:$CT105,"&lt;&gt;"))</f>
        <v>0</v>
      </c>
      <c r="AK105">
        <f>IF($B105="",0,COUNTIFS('UX Weekly'!$H$1:$CT$1,"&gt;="&amp;AK$1,'UX Weekly'!$H$1:$CT$1,"&lt;="&amp;EOMONTH(AK$1,0),'UX Weekly'!$H105:$CT105,"&lt;&gt;"))</f>
        <v>0</v>
      </c>
      <c r="AL105">
        <f>IF($B105="",0,COUNTIFS('UX Weekly'!$H$1:$CT$1,"&gt;="&amp;AL$1,'UX Weekly'!$H$1:$CT$1,"&lt;="&amp;EOMONTH(AL$1,0),'UX Weekly'!$H105:$CT105,"&lt;&gt;"))</f>
        <v>0</v>
      </c>
      <c r="AM105">
        <f>IF($B105="",0,COUNTIFS('UX Weekly'!$H$1:$CT$1,"&gt;="&amp;AM$1,'UX Weekly'!$H$1:$CT$1,"&lt;="&amp;EOMONTH(AM$1,0),'UX Weekly'!$H105:$CT105,"&lt;&gt;"))</f>
        <v>0</v>
      </c>
      <c r="AN105">
        <f>IF($B105="",0,COUNTIFS('UX Weekly'!$H$1:$CT$1,"&gt;="&amp;AN$1,'UX Weekly'!$H$1:$CT$1,"&lt;="&amp;EOMONTH(AN$1,0),'UX Weekly'!$H105:$CT105,"&lt;&gt;"))</f>
        <v>0</v>
      </c>
      <c r="AO105">
        <f>IF($B105="",0,COUNTIFS('UX Weekly'!$H$1:$CT$1,"&gt;="&amp;AO$1,'UX Weekly'!$H$1:$CT$1,"&lt;="&amp;EOMONTH(AO$1,0),'UX Weekly'!$H105:$CT105,"&lt;&gt;"))</f>
        <v>0</v>
      </c>
      <c r="AP105">
        <f>IF($B105="",0,COUNTIFS('UX Weekly'!$H$1:$CT$1,"&gt;="&amp;AP$1,'UX Weekly'!$H$1:$CT$1,"&lt;="&amp;EOMONTH(AP$1,0),'UX Weekly'!$H105:$CT105,"&lt;&gt;"))</f>
        <v>0</v>
      </c>
      <c r="AQ105">
        <f>IF($B105="",0,COUNTIFS('UX Weekly'!$H$1:$CT$1,"&gt;="&amp;AQ$1,'UX Weekly'!$H$1:$CT$1,"&lt;="&amp;EOMONTH(AQ$1,0),'UX Weekly'!$H105:$CT105,"&lt;&gt;"))</f>
        <v>0</v>
      </c>
      <c r="AR105">
        <f>IF($B105="",0,COUNTIFS('UX Weekly'!$H$1:$CT$1,"&gt;="&amp;AR$1,'UX Weekly'!$H$1:$CT$1,"&lt;="&amp;EOMONTH(AR$1,0),'UX Weekly'!$H105:$CT105,"&lt;&gt;"))</f>
        <v>0</v>
      </c>
      <c r="AS105">
        <f>IF($B105="",0,COUNTIFS('UX Weekly'!$H$1:$CT$1,"&gt;="&amp;AS$1,'UX Weekly'!$H$1:$CT$1,"&lt;="&amp;EOMONTH(AS$1,0),'UX Weekly'!$H105:$CT105,"&lt;&gt;"))</f>
        <v>0</v>
      </c>
      <c r="AT105">
        <f>IF($B105="",0,COUNTIFS('UX Weekly'!$H$1:$CT$1,"&gt;="&amp;AT$1,'UX Weekly'!$H$1:$CT$1,"&lt;="&amp;EOMONTH(AT$1,0),'UX Weekly'!$H105:$CT105,"&lt;&gt;"))</f>
        <v>0</v>
      </c>
    </row>
    <row r="106" spans="1:46" x14ac:dyDescent="0.2">
      <c r="A106" s="147">
        <v>107</v>
      </c>
      <c r="B106" s="147" t="str">
        <f>IF(TRIM('UX Weekly'!E106)="","",TRIM('UX Weekly'!E106))</f>
        <v/>
      </c>
      <c r="C106" s="147" t="str">
        <f>IF($B106="","",'UX Weekly'!B106)</f>
        <v/>
      </c>
      <c r="D106" s="147" t="str">
        <f>IF($B106="","",IF(TRIM('UX Weekly'!C106)="","(No theme assigned)",TRIM('UX Weekly'!C106)))</f>
        <v/>
      </c>
      <c r="E106" s="147" t="str">
        <f>IF($B106="","",TRIM('UX Weekly'!F106))</f>
        <v/>
      </c>
      <c r="F106" s="147" t="str">
        <f>IF($B106="","",'UX Weekly'!G106)</f>
        <v/>
      </c>
      <c r="G106" s="148" t="str">
        <f t="array" ref="G106">IF($B106="","",IF($S106=0,"",IFERROR(MIN(IF('UX Weekly'!$H106:$CT106&lt;&gt;"",'UX Weekly'!$H$1:$CT$1)),"")))</f>
        <v/>
      </c>
      <c r="H106" s="148" t="str">
        <f t="array" ref="H106">IF($B106="","",IF($S106=0,"",IFERROR(MAX(IF('UX Weekly'!$H106:$CT106&lt;&gt;"",'UX Weekly'!$H$1:$CT$1)),"")))</f>
        <v/>
      </c>
      <c r="I106" s="149" t="str">
        <f t="shared" ca="1" si="9"/>
        <v/>
      </c>
      <c r="J106" s="149" t="str">
        <f t="shared" ca="1" si="10"/>
        <v/>
      </c>
      <c r="K106" s="147" t="str">
        <f>IF($B106="","",IFERROR(MATCH($B106,'Dev Tracker'!$D$2:$D$196,0),IF($E106="","",IFERROR(MATCH($E106,'Dev Tracker'!$E$2:$E$196,0),""))))</f>
        <v/>
      </c>
      <c r="L106" s="147" t="str">
        <f>IF($B106="","",IFERROR(MATCH($D106,'Control (Don’t Touch)'!$E$4:$E$30,0),99))</f>
        <v/>
      </c>
      <c r="M106" s="147" t="str">
        <f>IF($B106="","",IFERROR(MATCH($F106,'Control (Don’t Touch)'!$B$4:$B$30,0),99))</f>
        <v/>
      </c>
      <c r="N106" s="147" t="str">
        <f t="shared" si="11"/>
        <v/>
      </c>
      <c r="O106" s="147" t="str">
        <f>IF($B106="","",COUNTIF($N$2:$N$204,"&lt;"&amp;$N106)+1)</f>
        <v/>
      </c>
      <c r="P106" s="149" t="str">
        <f ca="1">IF($K106="","",IFERROR(DATE(IFERROR(VALUE(RIGHT(TRIM(INDEX('Dev Tracker'!$I$2:$I$196,$K106)),4)),YEAR(TODAY())),MATCH(LEFT(TRIM(INDEX('Dev Tracker'!$I$2:$I$196,$K106)),3),$U$2:$U$12,0),1),""))</f>
        <v/>
      </c>
      <c r="Q106" s="149" t="str">
        <f ca="1">IF($K106="","",IFERROR(DATE(IFERROR(VALUE(RIGHT(TRIM(INDEX('Dev Tracker'!$J$2:$J$196,$K106)),4)),YEAR(TODAY())),MATCH(LEFT(TRIM(INDEX('Dev Tracker'!$J$2:$J$196,$K106)),3),$U$2:$U$12,0),1),""))</f>
        <v/>
      </c>
      <c r="R106" s="147"/>
      <c r="S106" s="147" t="str">
        <f>IF($B106="","",COUNTA('UX Weekly'!$H106:$CT106))</f>
        <v/>
      </c>
      <c r="W106">
        <f>IF($B106="",0,COUNTIFS('UX Weekly'!$H$1:$CT$1,"&gt;="&amp;W$1,'UX Weekly'!$H$1:$CT$1,"&lt;="&amp;EOMONTH(W$1,0),'UX Weekly'!$H106:$CT106,"&lt;&gt;"))</f>
        <v>0</v>
      </c>
      <c r="X106">
        <f>IF($B106="",0,COUNTIFS('UX Weekly'!$H$1:$CT$1,"&gt;="&amp;X$1,'UX Weekly'!$H$1:$CT$1,"&lt;="&amp;EOMONTH(X$1,0),'UX Weekly'!$H106:$CT106,"&lt;&gt;"))</f>
        <v>0</v>
      </c>
      <c r="Y106">
        <f>IF($B106="",0,COUNTIFS('UX Weekly'!$H$1:$CT$1,"&gt;="&amp;Y$1,'UX Weekly'!$H$1:$CT$1,"&lt;="&amp;EOMONTH(Y$1,0),'UX Weekly'!$H106:$CT106,"&lt;&gt;"))</f>
        <v>0</v>
      </c>
      <c r="Z106">
        <f>IF($B106="",0,COUNTIFS('UX Weekly'!$H$1:$CT$1,"&gt;="&amp;Z$1,'UX Weekly'!$H$1:$CT$1,"&lt;="&amp;EOMONTH(Z$1,0),'UX Weekly'!$H106:$CT106,"&lt;&gt;"))</f>
        <v>0</v>
      </c>
      <c r="AA106">
        <f>IF($B106="",0,COUNTIFS('UX Weekly'!$H$1:$CT$1,"&gt;="&amp;AA$1,'UX Weekly'!$H$1:$CT$1,"&lt;="&amp;EOMONTH(AA$1,0),'UX Weekly'!$H106:$CT106,"&lt;&gt;"))</f>
        <v>0</v>
      </c>
      <c r="AB106">
        <f>IF($B106="",0,COUNTIFS('UX Weekly'!$H$1:$CT$1,"&gt;="&amp;AB$1,'UX Weekly'!$H$1:$CT$1,"&lt;="&amp;EOMONTH(AB$1,0),'UX Weekly'!$H106:$CT106,"&lt;&gt;"))</f>
        <v>0</v>
      </c>
      <c r="AC106">
        <f>IF($B106="",0,COUNTIFS('UX Weekly'!$H$1:$CT$1,"&gt;="&amp;AC$1,'UX Weekly'!$H$1:$CT$1,"&lt;="&amp;EOMONTH(AC$1,0),'UX Weekly'!$H106:$CT106,"&lt;&gt;"))</f>
        <v>0</v>
      </c>
      <c r="AD106">
        <f>IF($B106="",0,COUNTIFS('UX Weekly'!$H$1:$CT$1,"&gt;="&amp;AD$1,'UX Weekly'!$H$1:$CT$1,"&lt;="&amp;EOMONTH(AD$1,0),'UX Weekly'!$H106:$CT106,"&lt;&gt;"))</f>
        <v>0</v>
      </c>
      <c r="AE106">
        <f>IF($B106="",0,COUNTIFS('UX Weekly'!$H$1:$CT$1,"&gt;="&amp;AE$1,'UX Weekly'!$H$1:$CT$1,"&lt;="&amp;EOMONTH(AE$1,0),'UX Weekly'!$H106:$CT106,"&lt;&gt;"))</f>
        <v>0</v>
      </c>
      <c r="AF106">
        <f>IF($B106="",0,COUNTIFS('UX Weekly'!$H$1:$CT$1,"&gt;="&amp;AF$1,'UX Weekly'!$H$1:$CT$1,"&lt;="&amp;EOMONTH(AF$1,0),'UX Weekly'!$H106:$CT106,"&lt;&gt;"))</f>
        <v>0</v>
      </c>
      <c r="AG106">
        <f>IF($B106="",0,COUNTIFS('UX Weekly'!$H$1:$CT$1,"&gt;="&amp;AG$1,'UX Weekly'!$H$1:$CT$1,"&lt;="&amp;EOMONTH(AG$1,0),'UX Weekly'!$H106:$CT106,"&lt;&gt;"))</f>
        <v>0</v>
      </c>
      <c r="AH106">
        <f>IF($B106="",0,COUNTIFS('UX Weekly'!$H$1:$CT$1,"&gt;="&amp;AH$1,'UX Weekly'!$H$1:$CT$1,"&lt;="&amp;EOMONTH(AH$1,0),'UX Weekly'!$H106:$CT106,"&lt;&gt;"))</f>
        <v>0</v>
      </c>
      <c r="AI106">
        <f>IF($B106="",0,COUNTIFS('UX Weekly'!$H$1:$CT$1,"&gt;="&amp;AI$1,'UX Weekly'!$H$1:$CT$1,"&lt;="&amp;EOMONTH(AI$1,0),'UX Weekly'!$H106:$CT106,"&lt;&gt;"))</f>
        <v>0</v>
      </c>
      <c r="AJ106">
        <f>IF($B106="",0,COUNTIFS('UX Weekly'!$H$1:$CT$1,"&gt;="&amp;AJ$1,'UX Weekly'!$H$1:$CT$1,"&lt;="&amp;EOMONTH(AJ$1,0),'UX Weekly'!$H106:$CT106,"&lt;&gt;"))</f>
        <v>0</v>
      </c>
      <c r="AK106">
        <f>IF($B106="",0,COUNTIFS('UX Weekly'!$H$1:$CT$1,"&gt;="&amp;AK$1,'UX Weekly'!$H$1:$CT$1,"&lt;="&amp;EOMONTH(AK$1,0),'UX Weekly'!$H106:$CT106,"&lt;&gt;"))</f>
        <v>0</v>
      </c>
      <c r="AL106">
        <f>IF($B106="",0,COUNTIFS('UX Weekly'!$H$1:$CT$1,"&gt;="&amp;AL$1,'UX Weekly'!$H$1:$CT$1,"&lt;="&amp;EOMONTH(AL$1,0),'UX Weekly'!$H106:$CT106,"&lt;&gt;"))</f>
        <v>0</v>
      </c>
      <c r="AM106">
        <f>IF($B106="",0,COUNTIFS('UX Weekly'!$H$1:$CT$1,"&gt;="&amp;AM$1,'UX Weekly'!$H$1:$CT$1,"&lt;="&amp;EOMONTH(AM$1,0),'UX Weekly'!$H106:$CT106,"&lt;&gt;"))</f>
        <v>0</v>
      </c>
      <c r="AN106">
        <f>IF($B106="",0,COUNTIFS('UX Weekly'!$H$1:$CT$1,"&gt;="&amp;AN$1,'UX Weekly'!$H$1:$CT$1,"&lt;="&amp;EOMONTH(AN$1,0),'UX Weekly'!$H106:$CT106,"&lt;&gt;"))</f>
        <v>0</v>
      </c>
      <c r="AO106">
        <f>IF($B106="",0,COUNTIFS('UX Weekly'!$H$1:$CT$1,"&gt;="&amp;AO$1,'UX Weekly'!$H$1:$CT$1,"&lt;="&amp;EOMONTH(AO$1,0),'UX Weekly'!$H106:$CT106,"&lt;&gt;"))</f>
        <v>0</v>
      </c>
      <c r="AP106">
        <f>IF($B106="",0,COUNTIFS('UX Weekly'!$H$1:$CT$1,"&gt;="&amp;AP$1,'UX Weekly'!$H$1:$CT$1,"&lt;="&amp;EOMONTH(AP$1,0),'UX Weekly'!$H106:$CT106,"&lt;&gt;"))</f>
        <v>0</v>
      </c>
      <c r="AQ106">
        <f>IF($B106="",0,COUNTIFS('UX Weekly'!$H$1:$CT$1,"&gt;="&amp;AQ$1,'UX Weekly'!$H$1:$CT$1,"&lt;="&amp;EOMONTH(AQ$1,0),'UX Weekly'!$H106:$CT106,"&lt;&gt;"))</f>
        <v>0</v>
      </c>
      <c r="AR106">
        <f>IF($B106="",0,COUNTIFS('UX Weekly'!$H$1:$CT$1,"&gt;="&amp;AR$1,'UX Weekly'!$H$1:$CT$1,"&lt;="&amp;EOMONTH(AR$1,0),'UX Weekly'!$H106:$CT106,"&lt;&gt;"))</f>
        <v>0</v>
      </c>
      <c r="AS106">
        <f>IF($B106="",0,COUNTIFS('UX Weekly'!$H$1:$CT$1,"&gt;="&amp;AS$1,'UX Weekly'!$H$1:$CT$1,"&lt;="&amp;EOMONTH(AS$1,0),'UX Weekly'!$H106:$CT106,"&lt;&gt;"))</f>
        <v>0</v>
      </c>
      <c r="AT106">
        <f>IF($B106="",0,COUNTIFS('UX Weekly'!$H$1:$CT$1,"&gt;="&amp;AT$1,'UX Weekly'!$H$1:$CT$1,"&lt;="&amp;EOMONTH(AT$1,0),'UX Weekly'!$H106:$CT106,"&lt;&gt;"))</f>
        <v>0</v>
      </c>
    </row>
    <row r="107" spans="1:46" x14ac:dyDescent="0.2">
      <c r="A107" s="147">
        <v>108</v>
      </c>
      <c r="B107" s="147" t="str">
        <f>IF(TRIM('UX Weekly'!E107)="","",TRIM('UX Weekly'!E107))</f>
        <v/>
      </c>
      <c r="C107" s="147" t="str">
        <f>IF($B107="","",'UX Weekly'!B107)</f>
        <v/>
      </c>
      <c r="D107" s="147" t="str">
        <f>IF($B107="","",IF(TRIM('UX Weekly'!C107)="","(No theme assigned)",TRIM('UX Weekly'!C107)))</f>
        <v/>
      </c>
      <c r="E107" s="147" t="str">
        <f>IF($B107="","",TRIM('UX Weekly'!F107))</f>
        <v/>
      </c>
      <c r="F107" s="147" t="str">
        <f>IF($B107="","",'UX Weekly'!G107)</f>
        <v/>
      </c>
      <c r="G107" s="148" t="str">
        <f t="array" ref="G107">IF($B107="","",IF($S107=0,"",IFERROR(MIN(IF('UX Weekly'!$H107:$CT107&lt;&gt;"",'UX Weekly'!$H$1:$CT$1)),"")))</f>
        <v/>
      </c>
      <c r="H107" s="148" t="str">
        <f t="array" ref="H107">IF($B107="","",IF($S107=0,"",IFERROR(MAX(IF('UX Weekly'!$H107:$CT107&lt;&gt;"",'UX Weekly'!$H$1:$CT$1)),"")))</f>
        <v/>
      </c>
      <c r="I107" s="149" t="str">
        <f t="shared" ca="1" si="9"/>
        <v/>
      </c>
      <c r="J107" s="149" t="str">
        <f t="shared" ca="1" si="10"/>
        <v/>
      </c>
      <c r="K107" s="147" t="str">
        <f>IF($B107="","",IFERROR(MATCH($B107,'Dev Tracker'!$D$2:$D$196,0),IF($E107="","",IFERROR(MATCH($E107,'Dev Tracker'!$E$2:$E$196,0),""))))</f>
        <v/>
      </c>
      <c r="L107" s="147" t="str">
        <f>IF($B107="","",IFERROR(MATCH($D107,'Control (Don’t Touch)'!$E$4:$E$30,0),99))</f>
        <v/>
      </c>
      <c r="M107" s="147" t="str">
        <f>IF($B107="","",IFERROR(MATCH($F107,'Control (Don’t Touch)'!$B$4:$B$30,0),99))</f>
        <v/>
      </c>
      <c r="N107" s="147" t="str">
        <f t="shared" si="11"/>
        <v/>
      </c>
      <c r="O107" s="147" t="str">
        <f>IF($B107="","",COUNTIF($N$2:$N$204,"&lt;"&amp;$N107)+1)</f>
        <v/>
      </c>
      <c r="P107" s="149" t="str">
        <f ca="1">IF($K107="","",IFERROR(DATE(IFERROR(VALUE(RIGHT(TRIM(INDEX('Dev Tracker'!$I$2:$I$196,$K107)),4)),YEAR(TODAY())),MATCH(LEFT(TRIM(INDEX('Dev Tracker'!$I$2:$I$196,$K107)),3),$U$2:$U$12,0),1),""))</f>
        <v/>
      </c>
      <c r="Q107" s="149" t="str">
        <f ca="1">IF($K107="","",IFERROR(DATE(IFERROR(VALUE(RIGHT(TRIM(INDEX('Dev Tracker'!$J$2:$J$196,$K107)),4)),YEAR(TODAY())),MATCH(LEFT(TRIM(INDEX('Dev Tracker'!$J$2:$J$196,$K107)),3),$U$2:$U$12,0),1),""))</f>
        <v/>
      </c>
      <c r="R107" s="147"/>
      <c r="S107" s="147" t="str">
        <f>IF($B107="","",COUNTA('UX Weekly'!$H107:$CT107))</f>
        <v/>
      </c>
      <c r="W107">
        <f>IF($B107="",0,COUNTIFS('UX Weekly'!$H$1:$CT$1,"&gt;="&amp;W$1,'UX Weekly'!$H$1:$CT$1,"&lt;="&amp;EOMONTH(W$1,0),'UX Weekly'!$H107:$CT107,"&lt;&gt;"))</f>
        <v>0</v>
      </c>
      <c r="X107">
        <f>IF($B107="",0,COUNTIFS('UX Weekly'!$H$1:$CT$1,"&gt;="&amp;X$1,'UX Weekly'!$H$1:$CT$1,"&lt;="&amp;EOMONTH(X$1,0),'UX Weekly'!$H107:$CT107,"&lt;&gt;"))</f>
        <v>0</v>
      </c>
      <c r="Y107">
        <f>IF($B107="",0,COUNTIFS('UX Weekly'!$H$1:$CT$1,"&gt;="&amp;Y$1,'UX Weekly'!$H$1:$CT$1,"&lt;="&amp;EOMONTH(Y$1,0),'UX Weekly'!$H107:$CT107,"&lt;&gt;"))</f>
        <v>0</v>
      </c>
      <c r="Z107">
        <f>IF($B107="",0,COUNTIFS('UX Weekly'!$H$1:$CT$1,"&gt;="&amp;Z$1,'UX Weekly'!$H$1:$CT$1,"&lt;="&amp;EOMONTH(Z$1,0),'UX Weekly'!$H107:$CT107,"&lt;&gt;"))</f>
        <v>0</v>
      </c>
      <c r="AA107">
        <f>IF($B107="",0,COUNTIFS('UX Weekly'!$H$1:$CT$1,"&gt;="&amp;AA$1,'UX Weekly'!$H$1:$CT$1,"&lt;="&amp;EOMONTH(AA$1,0),'UX Weekly'!$H107:$CT107,"&lt;&gt;"))</f>
        <v>0</v>
      </c>
      <c r="AB107">
        <f>IF($B107="",0,COUNTIFS('UX Weekly'!$H$1:$CT$1,"&gt;="&amp;AB$1,'UX Weekly'!$H$1:$CT$1,"&lt;="&amp;EOMONTH(AB$1,0),'UX Weekly'!$H107:$CT107,"&lt;&gt;"))</f>
        <v>0</v>
      </c>
      <c r="AC107">
        <f>IF($B107="",0,COUNTIFS('UX Weekly'!$H$1:$CT$1,"&gt;="&amp;AC$1,'UX Weekly'!$H$1:$CT$1,"&lt;="&amp;EOMONTH(AC$1,0),'UX Weekly'!$H107:$CT107,"&lt;&gt;"))</f>
        <v>0</v>
      </c>
      <c r="AD107">
        <f>IF($B107="",0,COUNTIFS('UX Weekly'!$H$1:$CT$1,"&gt;="&amp;AD$1,'UX Weekly'!$H$1:$CT$1,"&lt;="&amp;EOMONTH(AD$1,0),'UX Weekly'!$H107:$CT107,"&lt;&gt;"))</f>
        <v>0</v>
      </c>
      <c r="AE107">
        <f>IF($B107="",0,COUNTIFS('UX Weekly'!$H$1:$CT$1,"&gt;="&amp;AE$1,'UX Weekly'!$H$1:$CT$1,"&lt;="&amp;EOMONTH(AE$1,0),'UX Weekly'!$H107:$CT107,"&lt;&gt;"))</f>
        <v>0</v>
      </c>
      <c r="AF107">
        <f>IF($B107="",0,COUNTIFS('UX Weekly'!$H$1:$CT$1,"&gt;="&amp;AF$1,'UX Weekly'!$H$1:$CT$1,"&lt;="&amp;EOMONTH(AF$1,0),'UX Weekly'!$H107:$CT107,"&lt;&gt;"))</f>
        <v>0</v>
      </c>
      <c r="AG107">
        <f>IF($B107="",0,COUNTIFS('UX Weekly'!$H$1:$CT$1,"&gt;="&amp;AG$1,'UX Weekly'!$H$1:$CT$1,"&lt;="&amp;EOMONTH(AG$1,0),'UX Weekly'!$H107:$CT107,"&lt;&gt;"))</f>
        <v>0</v>
      </c>
      <c r="AH107">
        <f>IF($B107="",0,COUNTIFS('UX Weekly'!$H$1:$CT$1,"&gt;="&amp;AH$1,'UX Weekly'!$H$1:$CT$1,"&lt;="&amp;EOMONTH(AH$1,0),'UX Weekly'!$H107:$CT107,"&lt;&gt;"))</f>
        <v>0</v>
      </c>
      <c r="AI107">
        <f>IF($B107="",0,COUNTIFS('UX Weekly'!$H$1:$CT$1,"&gt;="&amp;AI$1,'UX Weekly'!$H$1:$CT$1,"&lt;="&amp;EOMONTH(AI$1,0),'UX Weekly'!$H107:$CT107,"&lt;&gt;"))</f>
        <v>0</v>
      </c>
      <c r="AJ107">
        <f>IF($B107="",0,COUNTIFS('UX Weekly'!$H$1:$CT$1,"&gt;="&amp;AJ$1,'UX Weekly'!$H$1:$CT$1,"&lt;="&amp;EOMONTH(AJ$1,0),'UX Weekly'!$H107:$CT107,"&lt;&gt;"))</f>
        <v>0</v>
      </c>
      <c r="AK107">
        <f>IF($B107="",0,COUNTIFS('UX Weekly'!$H$1:$CT$1,"&gt;="&amp;AK$1,'UX Weekly'!$H$1:$CT$1,"&lt;="&amp;EOMONTH(AK$1,0),'UX Weekly'!$H107:$CT107,"&lt;&gt;"))</f>
        <v>0</v>
      </c>
      <c r="AL107">
        <f>IF($B107="",0,COUNTIFS('UX Weekly'!$H$1:$CT$1,"&gt;="&amp;AL$1,'UX Weekly'!$H$1:$CT$1,"&lt;="&amp;EOMONTH(AL$1,0),'UX Weekly'!$H107:$CT107,"&lt;&gt;"))</f>
        <v>0</v>
      </c>
      <c r="AM107">
        <f>IF($B107="",0,COUNTIFS('UX Weekly'!$H$1:$CT$1,"&gt;="&amp;AM$1,'UX Weekly'!$H$1:$CT$1,"&lt;="&amp;EOMONTH(AM$1,0),'UX Weekly'!$H107:$CT107,"&lt;&gt;"))</f>
        <v>0</v>
      </c>
      <c r="AN107">
        <f>IF($B107="",0,COUNTIFS('UX Weekly'!$H$1:$CT$1,"&gt;="&amp;AN$1,'UX Weekly'!$H$1:$CT$1,"&lt;="&amp;EOMONTH(AN$1,0),'UX Weekly'!$H107:$CT107,"&lt;&gt;"))</f>
        <v>0</v>
      </c>
      <c r="AO107">
        <f>IF($B107="",0,COUNTIFS('UX Weekly'!$H$1:$CT$1,"&gt;="&amp;AO$1,'UX Weekly'!$H$1:$CT$1,"&lt;="&amp;EOMONTH(AO$1,0),'UX Weekly'!$H107:$CT107,"&lt;&gt;"))</f>
        <v>0</v>
      </c>
      <c r="AP107">
        <f>IF($B107="",0,COUNTIFS('UX Weekly'!$H$1:$CT$1,"&gt;="&amp;AP$1,'UX Weekly'!$H$1:$CT$1,"&lt;="&amp;EOMONTH(AP$1,0),'UX Weekly'!$H107:$CT107,"&lt;&gt;"))</f>
        <v>0</v>
      </c>
      <c r="AQ107">
        <f>IF($B107="",0,COUNTIFS('UX Weekly'!$H$1:$CT$1,"&gt;="&amp;AQ$1,'UX Weekly'!$H$1:$CT$1,"&lt;="&amp;EOMONTH(AQ$1,0),'UX Weekly'!$H107:$CT107,"&lt;&gt;"))</f>
        <v>0</v>
      </c>
      <c r="AR107">
        <f>IF($B107="",0,COUNTIFS('UX Weekly'!$H$1:$CT$1,"&gt;="&amp;AR$1,'UX Weekly'!$H$1:$CT$1,"&lt;="&amp;EOMONTH(AR$1,0),'UX Weekly'!$H107:$CT107,"&lt;&gt;"))</f>
        <v>0</v>
      </c>
      <c r="AS107">
        <f>IF($B107="",0,COUNTIFS('UX Weekly'!$H$1:$CT$1,"&gt;="&amp;AS$1,'UX Weekly'!$H$1:$CT$1,"&lt;="&amp;EOMONTH(AS$1,0),'UX Weekly'!$H107:$CT107,"&lt;&gt;"))</f>
        <v>0</v>
      </c>
      <c r="AT107">
        <f>IF($B107="",0,COUNTIFS('UX Weekly'!$H$1:$CT$1,"&gt;="&amp;AT$1,'UX Weekly'!$H$1:$CT$1,"&lt;="&amp;EOMONTH(AT$1,0),'UX Weekly'!$H107:$CT107,"&lt;&gt;"))</f>
        <v>0</v>
      </c>
    </row>
    <row r="108" spans="1:46" x14ac:dyDescent="0.2">
      <c r="A108" s="147">
        <v>109</v>
      </c>
      <c r="B108" s="147" t="str">
        <f>IF(TRIM('UX Weekly'!E108)="","",TRIM('UX Weekly'!E108))</f>
        <v/>
      </c>
      <c r="C108" s="147" t="str">
        <f>IF($B108="","",'UX Weekly'!B108)</f>
        <v/>
      </c>
      <c r="D108" s="147" t="str">
        <f>IF($B108="","",IF(TRIM('UX Weekly'!C108)="","(No theme assigned)",TRIM('UX Weekly'!C108)))</f>
        <v/>
      </c>
      <c r="E108" s="147" t="str">
        <f>IF($B108="","",TRIM('UX Weekly'!F108))</f>
        <v/>
      </c>
      <c r="F108" s="147" t="str">
        <f>IF($B108="","",'UX Weekly'!G108)</f>
        <v/>
      </c>
      <c r="G108" s="148" t="str">
        <f t="array" ref="G108">IF($B108="","",IF($S108=0,"",IFERROR(MIN(IF('UX Weekly'!$H108:$CT108&lt;&gt;"",'UX Weekly'!$H$1:$CT$1)),"")))</f>
        <v/>
      </c>
      <c r="H108" s="148" t="str">
        <f t="array" ref="H108">IF($B108="","",IF($S108=0,"",IFERROR(MAX(IF('UX Weekly'!$H108:$CT108&lt;&gt;"",'UX Weekly'!$H$1:$CT$1)),"")))</f>
        <v/>
      </c>
      <c r="I108" s="149" t="str">
        <f t="shared" ca="1" si="9"/>
        <v/>
      </c>
      <c r="J108" s="149" t="str">
        <f t="shared" ca="1" si="10"/>
        <v/>
      </c>
      <c r="K108" s="147" t="str">
        <f>IF($B108="","",IFERROR(MATCH($B108,'Dev Tracker'!$D$2:$D$196,0),IF($E108="","",IFERROR(MATCH($E108,'Dev Tracker'!$E$2:$E$196,0),""))))</f>
        <v/>
      </c>
      <c r="L108" s="147" t="str">
        <f>IF($B108="","",IFERROR(MATCH($D108,'Control (Don’t Touch)'!$E$4:$E$30,0),99))</f>
        <v/>
      </c>
      <c r="M108" s="147" t="str">
        <f>IF($B108="","",IFERROR(MATCH($F108,'Control (Don’t Touch)'!$B$4:$B$30,0),99))</f>
        <v/>
      </c>
      <c r="N108" s="147" t="str">
        <f t="shared" si="11"/>
        <v/>
      </c>
      <c r="O108" s="147" t="str">
        <f>IF($B108="","",COUNTIF($N$2:$N$204,"&lt;"&amp;$N108)+1)</f>
        <v/>
      </c>
      <c r="P108" s="149" t="str">
        <f ca="1">IF($K108="","",IFERROR(DATE(IFERROR(VALUE(RIGHT(TRIM(INDEX('Dev Tracker'!$I$2:$I$196,$K108)),4)),YEAR(TODAY())),MATCH(LEFT(TRIM(INDEX('Dev Tracker'!$I$2:$I$196,$K108)),3),$U$2:$U$12,0),1),""))</f>
        <v/>
      </c>
      <c r="Q108" s="149" t="str">
        <f ca="1">IF($K108="","",IFERROR(DATE(IFERROR(VALUE(RIGHT(TRIM(INDEX('Dev Tracker'!$J$2:$J$196,$K108)),4)),YEAR(TODAY())),MATCH(LEFT(TRIM(INDEX('Dev Tracker'!$J$2:$J$196,$K108)),3),$U$2:$U$12,0),1),""))</f>
        <v/>
      </c>
      <c r="R108" s="147"/>
      <c r="S108" s="147" t="str">
        <f>IF($B108="","",COUNTA('UX Weekly'!$H108:$CT108))</f>
        <v/>
      </c>
      <c r="W108">
        <f>IF($B108="",0,COUNTIFS('UX Weekly'!$H$1:$CT$1,"&gt;="&amp;W$1,'UX Weekly'!$H$1:$CT$1,"&lt;="&amp;EOMONTH(W$1,0),'UX Weekly'!$H108:$CT108,"&lt;&gt;"))</f>
        <v>0</v>
      </c>
      <c r="X108">
        <f>IF($B108="",0,COUNTIFS('UX Weekly'!$H$1:$CT$1,"&gt;="&amp;X$1,'UX Weekly'!$H$1:$CT$1,"&lt;="&amp;EOMONTH(X$1,0),'UX Weekly'!$H108:$CT108,"&lt;&gt;"))</f>
        <v>0</v>
      </c>
      <c r="Y108">
        <f>IF($B108="",0,COUNTIFS('UX Weekly'!$H$1:$CT$1,"&gt;="&amp;Y$1,'UX Weekly'!$H$1:$CT$1,"&lt;="&amp;EOMONTH(Y$1,0),'UX Weekly'!$H108:$CT108,"&lt;&gt;"))</f>
        <v>0</v>
      </c>
      <c r="Z108">
        <f>IF($B108="",0,COUNTIFS('UX Weekly'!$H$1:$CT$1,"&gt;="&amp;Z$1,'UX Weekly'!$H$1:$CT$1,"&lt;="&amp;EOMONTH(Z$1,0),'UX Weekly'!$H108:$CT108,"&lt;&gt;"))</f>
        <v>0</v>
      </c>
      <c r="AA108">
        <f>IF($B108="",0,COUNTIFS('UX Weekly'!$H$1:$CT$1,"&gt;="&amp;AA$1,'UX Weekly'!$H$1:$CT$1,"&lt;="&amp;EOMONTH(AA$1,0),'UX Weekly'!$H108:$CT108,"&lt;&gt;"))</f>
        <v>0</v>
      </c>
      <c r="AB108">
        <f>IF($B108="",0,COUNTIFS('UX Weekly'!$H$1:$CT$1,"&gt;="&amp;AB$1,'UX Weekly'!$H$1:$CT$1,"&lt;="&amp;EOMONTH(AB$1,0),'UX Weekly'!$H108:$CT108,"&lt;&gt;"))</f>
        <v>0</v>
      </c>
      <c r="AC108">
        <f>IF($B108="",0,COUNTIFS('UX Weekly'!$H$1:$CT$1,"&gt;="&amp;AC$1,'UX Weekly'!$H$1:$CT$1,"&lt;="&amp;EOMONTH(AC$1,0),'UX Weekly'!$H108:$CT108,"&lt;&gt;"))</f>
        <v>0</v>
      </c>
      <c r="AD108">
        <f>IF($B108="",0,COUNTIFS('UX Weekly'!$H$1:$CT$1,"&gt;="&amp;AD$1,'UX Weekly'!$H$1:$CT$1,"&lt;="&amp;EOMONTH(AD$1,0),'UX Weekly'!$H108:$CT108,"&lt;&gt;"))</f>
        <v>0</v>
      </c>
      <c r="AE108">
        <f>IF($B108="",0,COUNTIFS('UX Weekly'!$H$1:$CT$1,"&gt;="&amp;AE$1,'UX Weekly'!$H$1:$CT$1,"&lt;="&amp;EOMONTH(AE$1,0),'UX Weekly'!$H108:$CT108,"&lt;&gt;"))</f>
        <v>0</v>
      </c>
      <c r="AF108">
        <f>IF($B108="",0,COUNTIFS('UX Weekly'!$H$1:$CT$1,"&gt;="&amp;AF$1,'UX Weekly'!$H$1:$CT$1,"&lt;="&amp;EOMONTH(AF$1,0),'UX Weekly'!$H108:$CT108,"&lt;&gt;"))</f>
        <v>0</v>
      </c>
      <c r="AG108">
        <f>IF($B108="",0,COUNTIFS('UX Weekly'!$H$1:$CT$1,"&gt;="&amp;AG$1,'UX Weekly'!$H$1:$CT$1,"&lt;="&amp;EOMONTH(AG$1,0),'UX Weekly'!$H108:$CT108,"&lt;&gt;"))</f>
        <v>0</v>
      </c>
      <c r="AH108">
        <f>IF($B108="",0,COUNTIFS('UX Weekly'!$H$1:$CT$1,"&gt;="&amp;AH$1,'UX Weekly'!$H$1:$CT$1,"&lt;="&amp;EOMONTH(AH$1,0),'UX Weekly'!$H108:$CT108,"&lt;&gt;"))</f>
        <v>0</v>
      </c>
      <c r="AI108">
        <f>IF($B108="",0,COUNTIFS('UX Weekly'!$H$1:$CT$1,"&gt;="&amp;AI$1,'UX Weekly'!$H$1:$CT$1,"&lt;="&amp;EOMONTH(AI$1,0),'UX Weekly'!$H108:$CT108,"&lt;&gt;"))</f>
        <v>0</v>
      </c>
      <c r="AJ108">
        <f>IF($B108="",0,COUNTIFS('UX Weekly'!$H$1:$CT$1,"&gt;="&amp;AJ$1,'UX Weekly'!$H$1:$CT$1,"&lt;="&amp;EOMONTH(AJ$1,0),'UX Weekly'!$H108:$CT108,"&lt;&gt;"))</f>
        <v>0</v>
      </c>
      <c r="AK108">
        <f>IF($B108="",0,COUNTIFS('UX Weekly'!$H$1:$CT$1,"&gt;="&amp;AK$1,'UX Weekly'!$H$1:$CT$1,"&lt;="&amp;EOMONTH(AK$1,0),'UX Weekly'!$H108:$CT108,"&lt;&gt;"))</f>
        <v>0</v>
      </c>
      <c r="AL108">
        <f>IF($B108="",0,COUNTIFS('UX Weekly'!$H$1:$CT$1,"&gt;="&amp;AL$1,'UX Weekly'!$H$1:$CT$1,"&lt;="&amp;EOMONTH(AL$1,0),'UX Weekly'!$H108:$CT108,"&lt;&gt;"))</f>
        <v>0</v>
      </c>
      <c r="AM108">
        <f>IF($B108="",0,COUNTIFS('UX Weekly'!$H$1:$CT$1,"&gt;="&amp;AM$1,'UX Weekly'!$H$1:$CT$1,"&lt;="&amp;EOMONTH(AM$1,0),'UX Weekly'!$H108:$CT108,"&lt;&gt;"))</f>
        <v>0</v>
      </c>
      <c r="AN108">
        <f>IF($B108="",0,COUNTIFS('UX Weekly'!$H$1:$CT$1,"&gt;="&amp;AN$1,'UX Weekly'!$H$1:$CT$1,"&lt;="&amp;EOMONTH(AN$1,0),'UX Weekly'!$H108:$CT108,"&lt;&gt;"))</f>
        <v>0</v>
      </c>
      <c r="AO108">
        <f>IF($B108="",0,COUNTIFS('UX Weekly'!$H$1:$CT$1,"&gt;="&amp;AO$1,'UX Weekly'!$H$1:$CT$1,"&lt;="&amp;EOMONTH(AO$1,0),'UX Weekly'!$H108:$CT108,"&lt;&gt;"))</f>
        <v>0</v>
      </c>
      <c r="AP108">
        <f>IF($B108="",0,COUNTIFS('UX Weekly'!$H$1:$CT$1,"&gt;="&amp;AP$1,'UX Weekly'!$H$1:$CT$1,"&lt;="&amp;EOMONTH(AP$1,0),'UX Weekly'!$H108:$CT108,"&lt;&gt;"))</f>
        <v>0</v>
      </c>
      <c r="AQ108">
        <f>IF($B108="",0,COUNTIFS('UX Weekly'!$H$1:$CT$1,"&gt;="&amp;AQ$1,'UX Weekly'!$H$1:$CT$1,"&lt;="&amp;EOMONTH(AQ$1,0),'UX Weekly'!$H108:$CT108,"&lt;&gt;"))</f>
        <v>0</v>
      </c>
      <c r="AR108">
        <f>IF($B108="",0,COUNTIFS('UX Weekly'!$H$1:$CT$1,"&gt;="&amp;AR$1,'UX Weekly'!$H$1:$CT$1,"&lt;="&amp;EOMONTH(AR$1,0),'UX Weekly'!$H108:$CT108,"&lt;&gt;"))</f>
        <v>0</v>
      </c>
      <c r="AS108">
        <f>IF($B108="",0,COUNTIFS('UX Weekly'!$H$1:$CT$1,"&gt;="&amp;AS$1,'UX Weekly'!$H$1:$CT$1,"&lt;="&amp;EOMONTH(AS$1,0),'UX Weekly'!$H108:$CT108,"&lt;&gt;"))</f>
        <v>0</v>
      </c>
      <c r="AT108">
        <f>IF($B108="",0,COUNTIFS('UX Weekly'!$H$1:$CT$1,"&gt;="&amp;AT$1,'UX Weekly'!$H$1:$CT$1,"&lt;="&amp;EOMONTH(AT$1,0),'UX Weekly'!$H108:$CT108,"&lt;&gt;"))</f>
        <v>0</v>
      </c>
    </row>
    <row r="109" spans="1:46" x14ac:dyDescent="0.2">
      <c r="A109" s="147">
        <v>110</v>
      </c>
      <c r="B109" s="147" t="str">
        <f>IF(TRIM('UX Weekly'!E109)="","",TRIM('UX Weekly'!E109))</f>
        <v/>
      </c>
      <c r="C109" s="147" t="str">
        <f>IF($B109="","",'UX Weekly'!B109)</f>
        <v/>
      </c>
      <c r="D109" s="147" t="str">
        <f>IF($B109="","",IF(TRIM('UX Weekly'!C109)="","(No theme assigned)",TRIM('UX Weekly'!C109)))</f>
        <v/>
      </c>
      <c r="E109" s="147" t="str">
        <f>IF($B109="","",TRIM('UX Weekly'!F109))</f>
        <v/>
      </c>
      <c r="F109" s="147" t="str">
        <f>IF($B109="","",'UX Weekly'!G109)</f>
        <v/>
      </c>
      <c r="G109" s="148" t="str">
        <f t="array" ref="G109">IF($B109="","",IF($S109=0,"",IFERROR(MIN(IF('UX Weekly'!$H109:$CT109&lt;&gt;"",'UX Weekly'!$H$1:$CT$1)),"")))</f>
        <v/>
      </c>
      <c r="H109" s="148" t="str">
        <f t="array" ref="H109">IF($B109="","",IF($S109=0,"",IFERROR(MAX(IF('UX Weekly'!$H109:$CT109&lt;&gt;"",'UX Weekly'!$H$1:$CT$1)),"")))</f>
        <v/>
      </c>
      <c r="I109" s="149" t="str">
        <f t="shared" ca="1" si="9"/>
        <v/>
      </c>
      <c r="J109" s="149" t="str">
        <f t="shared" ca="1" si="10"/>
        <v/>
      </c>
      <c r="K109" s="147" t="str">
        <f>IF($B109="","",IFERROR(MATCH($B109,'Dev Tracker'!$D$2:$D$196,0),IF($E109="","",IFERROR(MATCH($E109,'Dev Tracker'!$E$2:$E$196,0),""))))</f>
        <v/>
      </c>
      <c r="L109" s="147" t="str">
        <f>IF($B109="","",IFERROR(MATCH($D109,'Control (Don’t Touch)'!$E$4:$E$30,0),99))</f>
        <v/>
      </c>
      <c r="M109" s="147" t="str">
        <f>IF($B109="","",IFERROR(MATCH($F109,'Control (Don’t Touch)'!$B$4:$B$30,0),99))</f>
        <v/>
      </c>
      <c r="N109" s="147" t="str">
        <f t="shared" si="11"/>
        <v/>
      </c>
      <c r="O109" s="147" t="str">
        <f>IF($B109="","",COUNTIF($N$2:$N$204,"&lt;"&amp;$N109)+1)</f>
        <v/>
      </c>
      <c r="P109" s="149" t="str">
        <f ca="1">IF($K109="","",IFERROR(DATE(IFERROR(VALUE(RIGHT(TRIM(INDEX('Dev Tracker'!$I$2:$I$196,$K109)),4)),YEAR(TODAY())),MATCH(LEFT(TRIM(INDEX('Dev Tracker'!$I$2:$I$196,$K109)),3),$U$2:$U$12,0),1),""))</f>
        <v/>
      </c>
      <c r="Q109" s="149" t="str">
        <f ca="1">IF($K109="","",IFERROR(DATE(IFERROR(VALUE(RIGHT(TRIM(INDEX('Dev Tracker'!$J$2:$J$196,$K109)),4)),YEAR(TODAY())),MATCH(LEFT(TRIM(INDEX('Dev Tracker'!$J$2:$J$196,$K109)),3),$U$2:$U$12,0),1),""))</f>
        <v/>
      </c>
      <c r="R109" s="147"/>
      <c r="S109" s="147" t="str">
        <f>IF($B109="","",COUNTA('UX Weekly'!$H109:$CT109))</f>
        <v/>
      </c>
      <c r="W109">
        <f>IF($B109="",0,COUNTIFS('UX Weekly'!$H$1:$CT$1,"&gt;="&amp;W$1,'UX Weekly'!$H$1:$CT$1,"&lt;="&amp;EOMONTH(W$1,0),'UX Weekly'!$H109:$CT109,"&lt;&gt;"))</f>
        <v>0</v>
      </c>
      <c r="X109">
        <f>IF($B109="",0,COUNTIFS('UX Weekly'!$H$1:$CT$1,"&gt;="&amp;X$1,'UX Weekly'!$H$1:$CT$1,"&lt;="&amp;EOMONTH(X$1,0),'UX Weekly'!$H109:$CT109,"&lt;&gt;"))</f>
        <v>0</v>
      </c>
      <c r="Y109">
        <f>IF($B109="",0,COUNTIFS('UX Weekly'!$H$1:$CT$1,"&gt;="&amp;Y$1,'UX Weekly'!$H$1:$CT$1,"&lt;="&amp;EOMONTH(Y$1,0),'UX Weekly'!$H109:$CT109,"&lt;&gt;"))</f>
        <v>0</v>
      </c>
      <c r="Z109">
        <f>IF($B109="",0,COUNTIFS('UX Weekly'!$H$1:$CT$1,"&gt;="&amp;Z$1,'UX Weekly'!$H$1:$CT$1,"&lt;="&amp;EOMONTH(Z$1,0),'UX Weekly'!$H109:$CT109,"&lt;&gt;"))</f>
        <v>0</v>
      </c>
      <c r="AA109">
        <f>IF($B109="",0,COUNTIFS('UX Weekly'!$H$1:$CT$1,"&gt;="&amp;AA$1,'UX Weekly'!$H$1:$CT$1,"&lt;="&amp;EOMONTH(AA$1,0),'UX Weekly'!$H109:$CT109,"&lt;&gt;"))</f>
        <v>0</v>
      </c>
      <c r="AB109">
        <f>IF($B109="",0,COUNTIFS('UX Weekly'!$H$1:$CT$1,"&gt;="&amp;AB$1,'UX Weekly'!$H$1:$CT$1,"&lt;="&amp;EOMONTH(AB$1,0),'UX Weekly'!$H109:$CT109,"&lt;&gt;"))</f>
        <v>0</v>
      </c>
      <c r="AC109">
        <f>IF($B109="",0,COUNTIFS('UX Weekly'!$H$1:$CT$1,"&gt;="&amp;AC$1,'UX Weekly'!$H$1:$CT$1,"&lt;="&amp;EOMONTH(AC$1,0),'UX Weekly'!$H109:$CT109,"&lt;&gt;"))</f>
        <v>0</v>
      </c>
      <c r="AD109">
        <f>IF($B109="",0,COUNTIFS('UX Weekly'!$H$1:$CT$1,"&gt;="&amp;AD$1,'UX Weekly'!$H$1:$CT$1,"&lt;="&amp;EOMONTH(AD$1,0),'UX Weekly'!$H109:$CT109,"&lt;&gt;"))</f>
        <v>0</v>
      </c>
      <c r="AE109">
        <f>IF($B109="",0,COUNTIFS('UX Weekly'!$H$1:$CT$1,"&gt;="&amp;AE$1,'UX Weekly'!$H$1:$CT$1,"&lt;="&amp;EOMONTH(AE$1,0),'UX Weekly'!$H109:$CT109,"&lt;&gt;"))</f>
        <v>0</v>
      </c>
      <c r="AF109">
        <f>IF($B109="",0,COUNTIFS('UX Weekly'!$H$1:$CT$1,"&gt;="&amp;AF$1,'UX Weekly'!$H$1:$CT$1,"&lt;="&amp;EOMONTH(AF$1,0),'UX Weekly'!$H109:$CT109,"&lt;&gt;"))</f>
        <v>0</v>
      </c>
      <c r="AG109">
        <f>IF($B109="",0,COUNTIFS('UX Weekly'!$H$1:$CT$1,"&gt;="&amp;AG$1,'UX Weekly'!$H$1:$CT$1,"&lt;="&amp;EOMONTH(AG$1,0),'UX Weekly'!$H109:$CT109,"&lt;&gt;"))</f>
        <v>0</v>
      </c>
      <c r="AH109">
        <f>IF($B109="",0,COUNTIFS('UX Weekly'!$H$1:$CT$1,"&gt;="&amp;AH$1,'UX Weekly'!$H$1:$CT$1,"&lt;="&amp;EOMONTH(AH$1,0),'UX Weekly'!$H109:$CT109,"&lt;&gt;"))</f>
        <v>0</v>
      </c>
      <c r="AI109">
        <f>IF($B109="",0,COUNTIFS('UX Weekly'!$H$1:$CT$1,"&gt;="&amp;AI$1,'UX Weekly'!$H$1:$CT$1,"&lt;="&amp;EOMONTH(AI$1,0),'UX Weekly'!$H109:$CT109,"&lt;&gt;"))</f>
        <v>0</v>
      </c>
      <c r="AJ109">
        <f>IF($B109="",0,COUNTIFS('UX Weekly'!$H$1:$CT$1,"&gt;="&amp;AJ$1,'UX Weekly'!$H$1:$CT$1,"&lt;="&amp;EOMONTH(AJ$1,0),'UX Weekly'!$H109:$CT109,"&lt;&gt;"))</f>
        <v>0</v>
      </c>
      <c r="AK109">
        <f>IF($B109="",0,COUNTIFS('UX Weekly'!$H$1:$CT$1,"&gt;="&amp;AK$1,'UX Weekly'!$H$1:$CT$1,"&lt;="&amp;EOMONTH(AK$1,0),'UX Weekly'!$H109:$CT109,"&lt;&gt;"))</f>
        <v>0</v>
      </c>
      <c r="AL109">
        <f>IF($B109="",0,COUNTIFS('UX Weekly'!$H$1:$CT$1,"&gt;="&amp;AL$1,'UX Weekly'!$H$1:$CT$1,"&lt;="&amp;EOMONTH(AL$1,0),'UX Weekly'!$H109:$CT109,"&lt;&gt;"))</f>
        <v>0</v>
      </c>
      <c r="AM109">
        <f>IF($B109="",0,COUNTIFS('UX Weekly'!$H$1:$CT$1,"&gt;="&amp;AM$1,'UX Weekly'!$H$1:$CT$1,"&lt;="&amp;EOMONTH(AM$1,0),'UX Weekly'!$H109:$CT109,"&lt;&gt;"))</f>
        <v>0</v>
      </c>
      <c r="AN109">
        <f>IF($B109="",0,COUNTIFS('UX Weekly'!$H$1:$CT$1,"&gt;="&amp;AN$1,'UX Weekly'!$H$1:$CT$1,"&lt;="&amp;EOMONTH(AN$1,0),'UX Weekly'!$H109:$CT109,"&lt;&gt;"))</f>
        <v>0</v>
      </c>
      <c r="AO109">
        <f>IF($B109="",0,COUNTIFS('UX Weekly'!$H$1:$CT$1,"&gt;="&amp;AO$1,'UX Weekly'!$H$1:$CT$1,"&lt;="&amp;EOMONTH(AO$1,0),'UX Weekly'!$H109:$CT109,"&lt;&gt;"))</f>
        <v>0</v>
      </c>
      <c r="AP109">
        <f>IF($B109="",0,COUNTIFS('UX Weekly'!$H$1:$CT$1,"&gt;="&amp;AP$1,'UX Weekly'!$H$1:$CT$1,"&lt;="&amp;EOMONTH(AP$1,0),'UX Weekly'!$H109:$CT109,"&lt;&gt;"))</f>
        <v>0</v>
      </c>
      <c r="AQ109">
        <f>IF($B109="",0,COUNTIFS('UX Weekly'!$H$1:$CT$1,"&gt;="&amp;AQ$1,'UX Weekly'!$H$1:$CT$1,"&lt;="&amp;EOMONTH(AQ$1,0),'UX Weekly'!$H109:$CT109,"&lt;&gt;"))</f>
        <v>0</v>
      </c>
      <c r="AR109">
        <f>IF($B109="",0,COUNTIFS('UX Weekly'!$H$1:$CT$1,"&gt;="&amp;AR$1,'UX Weekly'!$H$1:$CT$1,"&lt;="&amp;EOMONTH(AR$1,0),'UX Weekly'!$H109:$CT109,"&lt;&gt;"))</f>
        <v>0</v>
      </c>
      <c r="AS109">
        <f>IF($B109="",0,COUNTIFS('UX Weekly'!$H$1:$CT$1,"&gt;="&amp;AS$1,'UX Weekly'!$H$1:$CT$1,"&lt;="&amp;EOMONTH(AS$1,0),'UX Weekly'!$H109:$CT109,"&lt;&gt;"))</f>
        <v>0</v>
      </c>
      <c r="AT109">
        <f>IF($B109="",0,COUNTIFS('UX Weekly'!$H$1:$CT$1,"&gt;="&amp;AT$1,'UX Weekly'!$H$1:$CT$1,"&lt;="&amp;EOMONTH(AT$1,0),'UX Weekly'!$H109:$CT109,"&lt;&gt;"))</f>
        <v>0</v>
      </c>
    </row>
    <row r="110" spans="1:46" x14ac:dyDescent="0.2">
      <c r="A110" s="147">
        <v>111</v>
      </c>
      <c r="B110" s="147" t="str">
        <f>IF(TRIM('UX Weekly'!E110)="","",TRIM('UX Weekly'!E110))</f>
        <v/>
      </c>
      <c r="C110" s="147" t="str">
        <f>IF($B110="","",'UX Weekly'!B110)</f>
        <v/>
      </c>
      <c r="D110" s="147" t="str">
        <f>IF($B110="","",IF(TRIM('UX Weekly'!C110)="","(No theme assigned)",TRIM('UX Weekly'!C110)))</f>
        <v/>
      </c>
      <c r="E110" s="147" t="str">
        <f>IF($B110="","",TRIM('UX Weekly'!F110))</f>
        <v/>
      </c>
      <c r="F110" s="147" t="str">
        <f>IF($B110="","",'UX Weekly'!G110)</f>
        <v/>
      </c>
      <c r="G110" s="148" t="str">
        <f t="array" ref="G110">IF($B110="","",IF($S110=0,"",IFERROR(MIN(IF('UX Weekly'!$H110:$CT110&lt;&gt;"",'UX Weekly'!$H$1:$CT$1)),"")))</f>
        <v/>
      </c>
      <c r="H110" s="148" t="str">
        <f t="array" ref="H110">IF($B110="","",IF($S110=0,"",IFERROR(MAX(IF('UX Weekly'!$H110:$CT110&lt;&gt;"",'UX Weekly'!$H$1:$CT$1)),"")))</f>
        <v/>
      </c>
      <c r="I110" s="149" t="str">
        <f t="shared" ca="1" si="9"/>
        <v/>
      </c>
      <c r="J110" s="149" t="str">
        <f t="shared" ca="1" si="10"/>
        <v/>
      </c>
      <c r="K110" s="147" t="str">
        <f>IF($B110="","",IFERROR(MATCH($B110,'Dev Tracker'!$D$2:$D$196,0),IF($E110="","",IFERROR(MATCH($E110,'Dev Tracker'!$E$2:$E$196,0),""))))</f>
        <v/>
      </c>
      <c r="L110" s="147" t="str">
        <f>IF($B110="","",IFERROR(MATCH($D110,'Control (Don’t Touch)'!$E$4:$E$30,0),99))</f>
        <v/>
      </c>
      <c r="M110" s="147" t="str">
        <f>IF($B110="","",IFERROR(MATCH($F110,'Control (Don’t Touch)'!$B$4:$B$30,0),99))</f>
        <v/>
      </c>
      <c r="N110" s="147" t="str">
        <f t="shared" si="11"/>
        <v/>
      </c>
      <c r="O110" s="147" t="str">
        <f>IF($B110="","",COUNTIF($N$2:$N$204,"&lt;"&amp;$N110)+1)</f>
        <v/>
      </c>
      <c r="P110" s="149" t="str">
        <f ca="1">IF($K110="","",IFERROR(DATE(IFERROR(VALUE(RIGHT(TRIM(INDEX('Dev Tracker'!$I$2:$I$196,$K110)),4)),YEAR(TODAY())),MATCH(LEFT(TRIM(INDEX('Dev Tracker'!$I$2:$I$196,$K110)),3),$U$2:$U$12,0),1),""))</f>
        <v/>
      </c>
      <c r="Q110" s="149" t="str">
        <f ca="1">IF($K110="","",IFERROR(DATE(IFERROR(VALUE(RIGHT(TRIM(INDEX('Dev Tracker'!$J$2:$J$196,$K110)),4)),YEAR(TODAY())),MATCH(LEFT(TRIM(INDEX('Dev Tracker'!$J$2:$J$196,$K110)),3),$U$2:$U$12,0),1),""))</f>
        <v/>
      </c>
      <c r="R110" s="147"/>
      <c r="S110" s="147" t="str">
        <f>IF($B110="","",COUNTA('UX Weekly'!$H110:$CT110))</f>
        <v/>
      </c>
      <c r="W110">
        <f>IF($B110="",0,COUNTIFS('UX Weekly'!$H$1:$CT$1,"&gt;="&amp;W$1,'UX Weekly'!$H$1:$CT$1,"&lt;="&amp;EOMONTH(W$1,0),'UX Weekly'!$H110:$CT110,"&lt;&gt;"))</f>
        <v>0</v>
      </c>
      <c r="X110">
        <f>IF($B110="",0,COUNTIFS('UX Weekly'!$H$1:$CT$1,"&gt;="&amp;X$1,'UX Weekly'!$H$1:$CT$1,"&lt;="&amp;EOMONTH(X$1,0),'UX Weekly'!$H110:$CT110,"&lt;&gt;"))</f>
        <v>0</v>
      </c>
      <c r="Y110">
        <f>IF($B110="",0,COUNTIFS('UX Weekly'!$H$1:$CT$1,"&gt;="&amp;Y$1,'UX Weekly'!$H$1:$CT$1,"&lt;="&amp;EOMONTH(Y$1,0),'UX Weekly'!$H110:$CT110,"&lt;&gt;"))</f>
        <v>0</v>
      </c>
      <c r="Z110">
        <f>IF($B110="",0,COUNTIFS('UX Weekly'!$H$1:$CT$1,"&gt;="&amp;Z$1,'UX Weekly'!$H$1:$CT$1,"&lt;="&amp;EOMONTH(Z$1,0),'UX Weekly'!$H110:$CT110,"&lt;&gt;"))</f>
        <v>0</v>
      </c>
      <c r="AA110">
        <f>IF($B110="",0,COUNTIFS('UX Weekly'!$H$1:$CT$1,"&gt;="&amp;AA$1,'UX Weekly'!$H$1:$CT$1,"&lt;="&amp;EOMONTH(AA$1,0),'UX Weekly'!$H110:$CT110,"&lt;&gt;"))</f>
        <v>0</v>
      </c>
      <c r="AB110">
        <f>IF($B110="",0,COUNTIFS('UX Weekly'!$H$1:$CT$1,"&gt;="&amp;AB$1,'UX Weekly'!$H$1:$CT$1,"&lt;="&amp;EOMONTH(AB$1,0),'UX Weekly'!$H110:$CT110,"&lt;&gt;"))</f>
        <v>0</v>
      </c>
      <c r="AC110">
        <f>IF($B110="",0,COUNTIFS('UX Weekly'!$H$1:$CT$1,"&gt;="&amp;AC$1,'UX Weekly'!$H$1:$CT$1,"&lt;="&amp;EOMONTH(AC$1,0),'UX Weekly'!$H110:$CT110,"&lt;&gt;"))</f>
        <v>0</v>
      </c>
      <c r="AD110">
        <f>IF($B110="",0,COUNTIFS('UX Weekly'!$H$1:$CT$1,"&gt;="&amp;AD$1,'UX Weekly'!$H$1:$CT$1,"&lt;="&amp;EOMONTH(AD$1,0),'UX Weekly'!$H110:$CT110,"&lt;&gt;"))</f>
        <v>0</v>
      </c>
      <c r="AE110">
        <f>IF($B110="",0,COUNTIFS('UX Weekly'!$H$1:$CT$1,"&gt;="&amp;AE$1,'UX Weekly'!$H$1:$CT$1,"&lt;="&amp;EOMONTH(AE$1,0),'UX Weekly'!$H110:$CT110,"&lt;&gt;"))</f>
        <v>0</v>
      </c>
      <c r="AF110">
        <f>IF($B110="",0,COUNTIFS('UX Weekly'!$H$1:$CT$1,"&gt;="&amp;AF$1,'UX Weekly'!$H$1:$CT$1,"&lt;="&amp;EOMONTH(AF$1,0),'UX Weekly'!$H110:$CT110,"&lt;&gt;"))</f>
        <v>0</v>
      </c>
      <c r="AG110">
        <f>IF($B110="",0,COUNTIFS('UX Weekly'!$H$1:$CT$1,"&gt;="&amp;AG$1,'UX Weekly'!$H$1:$CT$1,"&lt;="&amp;EOMONTH(AG$1,0),'UX Weekly'!$H110:$CT110,"&lt;&gt;"))</f>
        <v>0</v>
      </c>
      <c r="AH110">
        <f>IF($B110="",0,COUNTIFS('UX Weekly'!$H$1:$CT$1,"&gt;="&amp;AH$1,'UX Weekly'!$H$1:$CT$1,"&lt;="&amp;EOMONTH(AH$1,0),'UX Weekly'!$H110:$CT110,"&lt;&gt;"))</f>
        <v>0</v>
      </c>
      <c r="AI110">
        <f>IF($B110="",0,COUNTIFS('UX Weekly'!$H$1:$CT$1,"&gt;="&amp;AI$1,'UX Weekly'!$H$1:$CT$1,"&lt;="&amp;EOMONTH(AI$1,0),'UX Weekly'!$H110:$CT110,"&lt;&gt;"))</f>
        <v>0</v>
      </c>
      <c r="AJ110">
        <f>IF($B110="",0,COUNTIFS('UX Weekly'!$H$1:$CT$1,"&gt;="&amp;AJ$1,'UX Weekly'!$H$1:$CT$1,"&lt;="&amp;EOMONTH(AJ$1,0),'UX Weekly'!$H110:$CT110,"&lt;&gt;"))</f>
        <v>0</v>
      </c>
      <c r="AK110">
        <f>IF($B110="",0,COUNTIFS('UX Weekly'!$H$1:$CT$1,"&gt;="&amp;AK$1,'UX Weekly'!$H$1:$CT$1,"&lt;="&amp;EOMONTH(AK$1,0),'UX Weekly'!$H110:$CT110,"&lt;&gt;"))</f>
        <v>0</v>
      </c>
      <c r="AL110">
        <f>IF($B110="",0,COUNTIFS('UX Weekly'!$H$1:$CT$1,"&gt;="&amp;AL$1,'UX Weekly'!$H$1:$CT$1,"&lt;="&amp;EOMONTH(AL$1,0),'UX Weekly'!$H110:$CT110,"&lt;&gt;"))</f>
        <v>0</v>
      </c>
      <c r="AM110">
        <f>IF($B110="",0,COUNTIFS('UX Weekly'!$H$1:$CT$1,"&gt;="&amp;AM$1,'UX Weekly'!$H$1:$CT$1,"&lt;="&amp;EOMONTH(AM$1,0),'UX Weekly'!$H110:$CT110,"&lt;&gt;"))</f>
        <v>0</v>
      </c>
      <c r="AN110">
        <f>IF($B110="",0,COUNTIFS('UX Weekly'!$H$1:$CT$1,"&gt;="&amp;AN$1,'UX Weekly'!$H$1:$CT$1,"&lt;="&amp;EOMONTH(AN$1,0),'UX Weekly'!$H110:$CT110,"&lt;&gt;"))</f>
        <v>0</v>
      </c>
      <c r="AO110">
        <f>IF($B110="",0,COUNTIFS('UX Weekly'!$H$1:$CT$1,"&gt;="&amp;AO$1,'UX Weekly'!$H$1:$CT$1,"&lt;="&amp;EOMONTH(AO$1,0),'UX Weekly'!$H110:$CT110,"&lt;&gt;"))</f>
        <v>0</v>
      </c>
      <c r="AP110">
        <f>IF($B110="",0,COUNTIFS('UX Weekly'!$H$1:$CT$1,"&gt;="&amp;AP$1,'UX Weekly'!$H$1:$CT$1,"&lt;="&amp;EOMONTH(AP$1,0),'UX Weekly'!$H110:$CT110,"&lt;&gt;"))</f>
        <v>0</v>
      </c>
      <c r="AQ110">
        <f>IF($B110="",0,COUNTIFS('UX Weekly'!$H$1:$CT$1,"&gt;="&amp;AQ$1,'UX Weekly'!$H$1:$CT$1,"&lt;="&amp;EOMONTH(AQ$1,0),'UX Weekly'!$H110:$CT110,"&lt;&gt;"))</f>
        <v>0</v>
      </c>
      <c r="AR110">
        <f>IF($B110="",0,COUNTIFS('UX Weekly'!$H$1:$CT$1,"&gt;="&amp;AR$1,'UX Weekly'!$H$1:$CT$1,"&lt;="&amp;EOMONTH(AR$1,0),'UX Weekly'!$H110:$CT110,"&lt;&gt;"))</f>
        <v>0</v>
      </c>
      <c r="AS110">
        <f>IF($B110="",0,COUNTIFS('UX Weekly'!$H$1:$CT$1,"&gt;="&amp;AS$1,'UX Weekly'!$H$1:$CT$1,"&lt;="&amp;EOMONTH(AS$1,0),'UX Weekly'!$H110:$CT110,"&lt;&gt;"))</f>
        <v>0</v>
      </c>
      <c r="AT110">
        <f>IF($B110="",0,COUNTIFS('UX Weekly'!$H$1:$CT$1,"&gt;="&amp;AT$1,'UX Weekly'!$H$1:$CT$1,"&lt;="&amp;EOMONTH(AT$1,0),'UX Weekly'!$H110:$CT110,"&lt;&gt;"))</f>
        <v>0</v>
      </c>
    </row>
    <row r="111" spans="1:46" x14ac:dyDescent="0.2">
      <c r="A111" s="147">
        <v>112</v>
      </c>
      <c r="B111" s="147" t="str">
        <f>IF(TRIM('UX Weekly'!E111)="","",TRIM('UX Weekly'!E111))</f>
        <v/>
      </c>
      <c r="C111" s="147" t="str">
        <f>IF($B111="","",'UX Weekly'!B111)</f>
        <v/>
      </c>
      <c r="D111" s="147" t="str">
        <f>IF($B111="","",IF(TRIM('UX Weekly'!C111)="","(No theme assigned)",TRIM('UX Weekly'!C111)))</f>
        <v/>
      </c>
      <c r="E111" s="147" t="str">
        <f>IF($B111="","",TRIM('UX Weekly'!F111))</f>
        <v/>
      </c>
      <c r="F111" s="147" t="str">
        <f>IF($B111="","",'UX Weekly'!G111)</f>
        <v/>
      </c>
      <c r="G111" s="148" t="str">
        <f t="array" ref="G111">IF($B111="","",IF($S111=0,"",IFERROR(MIN(IF('UX Weekly'!$H111:$CT111&lt;&gt;"",'UX Weekly'!$H$1:$CT$1)),"")))</f>
        <v/>
      </c>
      <c r="H111" s="148" t="str">
        <f t="array" ref="H111">IF($B111="","",IF($S111=0,"",IFERROR(MAX(IF('UX Weekly'!$H111:$CT111&lt;&gt;"",'UX Weekly'!$H$1:$CT$1)),"")))</f>
        <v/>
      </c>
      <c r="I111" s="149" t="str">
        <f t="shared" ca="1" si="9"/>
        <v/>
      </c>
      <c r="J111" s="149" t="str">
        <f t="shared" ca="1" si="10"/>
        <v/>
      </c>
      <c r="K111" s="147" t="str">
        <f>IF($B111="","",IFERROR(MATCH($B111,'Dev Tracker'!$D$2:$D$196,0),IF($E111="","",IFERROR(MATCH($E111,'Dev Tracker'!$E$2:$E$196,0),""))))</f>
        <v/>
      </c>
      <c r="L111" s="147" t="str">
        <f>IF($B111="","",IFERROR(MATCH($D111,'Control (Don’t Touch)'!$E$4:$E$30,0),99))</f>
        <v/>
      </c>
      <c r="M111" s="147" t="str">
        <f>IF($B111="","",IFERROR(MATCH($F111,'Control (Don’t Touch)'!$B$4:$B$30,0),99))</f>
        <v/>
      </c>
      <c r="N111" s="147" t="str">
        <f t="shared" si="11"/>
        <v/>
      </c>
      <c r="O111" s="147" t="str">
        <f>IF($B111="","",COUNTIF($N$2:$N$204,"&lt;"&amp;$N111)+1)</f>
        <v/>
      </c>
      <c r="P111" s="149" t="str">
        <f ca="1">IF($K111="","",IFERROR(DATE(IFERROR(VALUE(RIGHT(TRIM(INDEX('Dev Tracker'!$I$2:$I$196,$K111)),4)),YEAR(TODAY())),MATCH(LEFT(TRIM(INDEX('Dev Tracker'!$I$2:$I$196,$K111)),3),$U$2:$U$12,0),1),""))</f>
        <v/>
      </c>
      <c r="Q111" s="149" t="str">
        <f ca="1">IF($K111="","",IFERROR(DATE(IFERROR(VALUE(RIGHT(TRIM(INDEX('Dev Tracker'!$J$2:$J$196,$K111)),4)),YEAR(TODAY())),MATCH(LEFT(TRIM(INDEX('Dev Tracker'!$J$2:$J$196,$K111)),3),$U$2:$U$12,0),1),""))</f>
        <v/>
      </c>
      <c r="R111" s="147"/>
      <c r="S111" s="147" t="str">
        <f>IF($B111="","",COUNTA('UX Weekly'!$H111:$CT111))</f>
        <v/>
      </c>
      <c r="W111">
        <f>IF($B111="",0,COUNTIFS('UX Weekly'!$H$1:$CT$1,"&gt;="&amp;W$1,'UX Weekly'!$H$1:$CT$1,"&lt;="&amp;EOMONTH(W$1,0),'UX Weekly'!$H111:$CT111,"&lt;&gt;"))</f>
        <v>0</v>
      </c>
      <c r="X111">
        <f>IF($B111="",0,COUNTIFS('UX Weekly'!$H$1:$CT$1,"&gt;="&amp;X$1,'UX Weekly'!$H$1:$CT$1,"&lt;="&amp;EOMONTH(X$1,0),'UX Weekly'!$H111:$CT111,"&lt;&gt;"))</f>
        <v>0</v>
      </c>
      <c r="Y111">
        <f>IF($B111="",0,COUNTIFS('UX Weekly'!$H$1:$CT$1,"&gt;="&amp;Y$1,'UX Weekly'!$H$1:$CT$1,"&lt;="&amp;EOMONTH(Y$1,0),'UX Weekly'!$H111:$CT111,"&lt;&gt;"))</f>
        <v>0</v>
      </c>
      <c r="Z111">
        <f>IF($B111="",0,COUNTIFS('UX Weekly'!$H$1:$CT$1,"&gt;="&amp;Z$1,'UX Weekly'!$H$1:$CT$1,"&lt;="&amp;EOMONTH(Z$1,0),'UX Weekly'!$H111:$CT111,"&lt;&gt;"))</f>
        <v>0</v>
      </c>
      <c r="AA111">
        <f>IF($B111="",0,COUNTIFS('UX Weekly'!$H$1:$CT$1,"&gt;="&amp;AA$1,'UX Weekly'!$H$1:$CT$1,"&lt;="&amp;EOMONTH(AA$1,0),'UX Weekly'!$H111:$CT111,"&lt;&gt;"))</f>
        <v>0</v>
      </c>
      <c r="AB111">
        <f>IF($B111="",0,COUNTIFS('UX Weekly'!$H$1:$CT$1,"&gt;="&amp;AB$1,'UX Weekly'!$H$1:$CT$1,"&lt;="&amp;EOMONTH(AB$1,0),'UX Weekly'!$H111:$CT111,"&lt;&gt;"))</f>
        <v>0</v>
      </c>
      <c r="AC111">
        <f>IF($B111="",0,COUNTIFS('UX Weekly'!$H$1:$CT$1,"&gt;="&amp;AC$1,'UX Weekly'!$H$1:$CT$1,"&lt;="&amp;EOMONTH(AC$1,0),'UX Weekly'!$H111:$CT111,"&lt;&gt;"))</f>
        <v>0</v>
      </c>
      <c r="AD111">
        <f>IF($B111="",0,COUNTIFS('UX Weekly'!$H$1:$CT$1,"&gt;="&amp;AD$1,'UX Weekly'!$H$1:$CT$1,"&lt;="&amp;EOMONTH(AD$1,0),'UX Weekly'!$H111:$CT111,"&lt;&gt;"))</f>
        <v>0</v>
      </c>
      <c r="AE111">
        <f>IF($B111="",0,COUNTIFS('UX Weekly'!$H$1:$CT$1,"&gt;="&amp;AE$1,'UX Weekly'!$H$1:$CT$1,"&lt;="&amp;EOMONTH(AE$1,0),'UX Weekly'!$H111:$CT111,"&lt;&gt;"))</f>
        <v>0</v>
      </c>
      <c r="AF111">
        <f>IF($B111="",0,COUNTIFS('UX Weekly'!$H$1:$CT$1,"&gt;="&amp;AF$1,'UX Weekly'!$H$1:$CT$1,"&lt;="&amp;EOMONTH(AF$1,0),'UX Weekly'!$H111:$CT111,"&lt;&gt;"))</f>
        <v>0</v>
      </c>
      <c r="AG111">
        <f>IF($B111="",0,COUNTIFS('UX Weekly'!$H$1:$CT$1,"&gt;="&amp;AG$1,'UX Weekly'!$H$1:$CT$1,"&lt;="&amp;EOMONTH(AG$1,0),'UX Weekly'!$H111:$CT111,"&lt;&gt;"))</f>
        <v>0</v>
      </c>
      <c r="AH111">
        <f>IF($B111="",0,COUNTIFS('UX Weekly'!$H$1:$CT$1,"&gt;="&amp;AH$1,'UX Weekly'!$H$1:$CT$1,"&lt;="&amp;EOMONTH(AH$1,0),'UX Weekly'!$H111:$CT111,"&lt;&gt;"))</f>
        <v>0</v>
      </c>
      <c r="AI111">
        <f>IF($B111="",0,COUNTIFS('UX Weekly'!$H$1:$CT$1,"&gt;="&amp;AI$1,'UX Weekly'!$H$1:$CT$1,"&lt;="&amp;EOMONTH(AI$1,0),'UX Weekly'!$H111:$CT111,"&lt;&gt;"))</f>
        <v>0</v>
      </c>
      <c r="AJ111">
        <f>IF($B111="",0,COUNTIFS('UX Weekly'!$H$1:$CT$1,"&gt;="&amp;AJ$1,'UX Weekly'!$H$1:$CT$1,"&lt;="&amp;EOMONTH(AJ$1,0),'UX Weekly'!$H111:$CT111,"&lt;&gt;"))</f>
        <v>0</v>
      </c>
      <c r="AK111">
        <f>IF($B111="",0,COUNTIFS('UX Weekly'!$H$1:$CT$1,"&gt;="&amp;AK$1,'UX Weekly'!$H$1:$CT$1,"&lt;="&amp;EOMONTH(AK$1,0),'UX Weekly'!$H111:$CT111,"&lt;&gt;"))</f>
        <v>0</v>
      </c>
      <c r="AL111">
        <f>IF($B111="",0,COUNTIFS('UX Weekly'!$H$1:$CT$1,"&gt;="&amp;AL$1,'UX Weekly'!$H$1:$CT$1,"&lt;="&amp;EOMONTH(AL$1,0),'UX Weekly'!$H111:$CT111,"&lt;&gt;"))</f>
        <v>0</v>
      </c>
      <c r="AM111">
        <f>IF($B111="",0,COUNTIFS('UX Weekly'!$H$1:$CT$1,"&gt;="&amp;AM$1,'UX Weekly'!$H$1:$CT$1,"&lt;="&amp;EOMONTH(AM$1,0),'UX Weekly'!$H111:$CT111,"&lt;&gt;"))</f>
        <v>0</v>
      </c>
      <c r="AN111">
        <f>IF($B111="",0,COUNTIFS('UX Weekly'!$H$1:$CT$1,"&gt;="&amp;AN$1,'UX Weekly'!$H$1:$CT$1,"&lt;="&amp;EOMONTH(AN$1,0),'UX Weekly'!$H111:$CT111,"&lt;&gt;"))</f>
        <v>0</v>
      </c>
      <c r="AO111">
        <f>IF($B111="",0,COUNTIFS('UX Weekly'!$H$1:$CT$1,"&gt;="&amp;AO$1,'UX Weekly'!$H$1:$CT$1,"&lt;="&amp;EOMONTH(AO$1,0),'UX Weekly'!$H111:$CT111,"&lt;&gt;"))</f>
        <v>0</v>
      </c>
      <c r="AP111">
        <f>IF($B111="",0,COUNTIFS('UX Weekly'!$H$1:$CT$1,"&gt;="&amp;AP$1,'UX Weekly'!$H$1:$CT$1,"&lt;="&amp;EOMONTH(AP$1,0),'UX Weekly'!$H111:$CT111,"&lt;&gt;"))</f>
        <v>0</v>
      </c>
      <c r="AQ111">
        <f>IF($B111="",0,COUNTIFS('UX Weekly'!$H$1:$CT$1,"&gt;="&amp;AQ$1,'UX Weekly'!$H$1:$CT$1,"&lt;="&amp;EOMONTH(AQ$1,0),'UX Weekly'!$H111:$CT111,"&lt;&gt;"))</f>
        <v>0</v>
      </c>
      <c r="AR111">
        <f>IF($B111="",0,COUNTIFS('UX Weekly'!$H$1:$CT$1,"&gt;="&amp;AR$1,'UX Weekly'!$H$1:$CT$1,"&lt;="&amp;EOMONTH(AR$1,0),'UX Weekly'!$H111:$CT111,"&lt;&gt;"))</f>
        <v>0</v>
      </c>
      <c r="AS111">
        <f>IF($B111="",0,COUNTIFS('UX Weekly'!$H$1:$CT$1,"&gt;="&amp;AS$1,'UX Weekly'!$H$1:$CT$1,"&lt;="&amp;EOMONTH(AS$1,0),'UX Weekly'!$H111:$CT111,"&lt;&gt;"))</f>
        <v>0</v>
      </c>
      <c r="AT111">
        <f>IF($B111="",0,COUNTIFS('UX Weekly'!$H$1:$CT$1,"&gt;="&amp;AT$1,'UX Weekly'!$H$1:$CT$1,"&lt;="&amp;EOMONTH(AT$1,0),'UX Weekly'!$H111:$CT111,"&lt;&gt;"))</f>
        <v>0</v>
      </c>
    </row>
    <row r="112" spans="1:46" x14ac:dyDescent="0.2">
      <c r="A112" s="147">
        <v>113</v>
      </c>
      <c r="B112" s="147" t="str">
        <f>IF(TRIM('UX Weekly'!E112)="","",TRIM('UX Weekly'!E112))</f>
        <v/>
      </c>
      <c r="C112" s="147" t="str">
        <f>IF($B112="","",'UX Weekly'!B112)</f>
        <v/>
      </c>
      <c r="D112" s="147" t="str">
        <f>IF($B112="","",IF(TRIM('UX Weekly'!C112)="","(No theme assigned)",TRIM('UX Weekly'!C112)))</f>
        <v/>
      </c>
      <c r="E112" s="147" t="str">
        <f>IF($B112="","",TRIM('UX Weekly'!F112))</f>
        <v/>
      </c>
      <c r="F112" s="147" t="str">
        <f>IF($B112="","",'UX Weekly'!G112)</f>
        <v/>
      </c>
      <c r="G112" s="148" t="str">
        <f t="array" ref="G112">IF($B112="","",IF($S112=0,"",IFERROR(MIN(IF('UX Weekly'!$H112:$CT112&lt;&gt;"",'UX Weekly'!$H$1:$CT$1)),"")))</f>
        <v/>
      </c>
      <c r="H112" s="148" t="str">
        <f t="array" ref="H112">IF($B112="","",IF($S112=0,"",IFERROR(MAX(IF('UX Weekly'!$H112:$CT112&lt;&gt;"",'UX Weekly'!$H$1:$CT$1)),"")))</f>
        <v/>
      </c>
      <c r="I112" s="149" t="str">
        <f t="shared" ca="1" si="9"/>
        <v/>
      </c>
      <c r="J112" s="149" t="str">
        <f t="shared" ca="1" si="10"/>
        <v/>
      </c>
      <c r="K112" s="147" t="str">
        <f>IF($B112="","",IFERROR(MATCH($B112,'Dev Tracker'!$D$2:$D$196,0),IF($E112="","",IFERROR(MATCH($E112,'Dev Tracker'!$E$2:$E$196,0),""))))</f>
        <v/>
      </c>
      <c r="L112" s="147" t="str">
        <f>IF($B112="","",IFERROR(MATCH($D112,'Control (Don’t Touch)'!$E$4:$E$30,0),99))</f>
        <v/>
      </c>
      <c r="M112" s="147" t="str">
        <f>IF($B112="","",IFERROR(MATCH($F112,'Control (Don’t Touch)'!$B$4:$B$30,0),99))</f>
        <v/>
      </c>
      <c r="N112" s="147" t="str">
        <f t="shared" si="11"/>
        <v/>
      </c>
      <c r="O112" s="147" t="str">
        <f>IF($B112="","",COUNTIF($N$2:$N$204,"&lt;"&amp;$N112)+1)</f>
        <v/>
      </c>
      <c r="P112" s="149" t="str">
        <f ca="1">IF($K112="","",IFERROR(DATE(IFERROR(VALUE(RIGHT(TRIM(INDEX('Dev Tracker'!$I$2:$I$196,$K112)),4)),YEAR(TODAY())),MATCH(LEFT(TRIM(INDEX('Dev Tracker'!$I$2:$I$196,$K112)),3),$U$2:$U$12,0),1),""))</f>
        <v/>
      </c>
      <c r="Q112" s="149" t="str">
        <f ca="1">IF($K112="","",IFERROR(DATE(IFERROR(VALUE(RIGHT(TRIM(INDEX('Dev Tracker'!$J$2:$J$196,$K112)),4)),YEAR(TODAY())),MATCH(LEFT(TRIM(INDEX('Dev Tracker'!$J$2:$J$196,$K112)),3),$U$2:$U$12,0),1),""))</f>
        <v/>
      </c>
      <c r="R112" s="147"/>
      <c r="S112" s="147" t="str">
        <f>IF($B112="","",COUNTA('UX Weekly'!$H112:$CT112))</f>
        <v/>
      </c>
      <c r="W112">
        <f>IF($B112="",0,COUNTIFS('UX Weekly'!$H$1:$CT$1,"&gt;="&amp;W$1,'UX Weekly'!$H$1:$CT$1,"&lt;="&amp;EOMONTH(W$1,0),'UX Weekly'!$H112:$CT112,"&lt;&gt;"))</f>
        <v>0</v>
      </c>
      <c r="X112">
        <f>IF($B112="",0,COUNTIFS('UX Weekly'!$H$1:$CT$1,"&gt;="&amp;X$1,'UX Weekly'!$H$1:$CT$1,"&lt;="&amp;EOMONTH(X$1,0),'UX Weekly'!$H112:$CT112,"&lt;&gt;"))</f>
        <v>0</v>
      </c>
      <c r="Y112">
        <f>IF($B112="",0,COUNTIFS('UX Weekly'!$H$1:$CT$1,"&gt;="&amp;Y$1,'UX Weekly'!$H$1:$CT$1,"&lt;="&amp;EOMONTH(Y$1,0),'UX Weekly'!$H112:$CT112,"&lt;&gt;"))</f>
        <v>0</v>
      </c>
      <c r="Z112">
        <f>IF($B112="",0,COUNTIFS('UX Weekly'!$H$1:$CT$1,"&gt;="&amp;Z$1,'UX Weekly'!$H$1:$CT$1,"&lt;="&amp;EOMONTH(Z$1,0),'UX Weekly'!$H112:$CT112,"&lt;&gt;"))</f>
        <v>0</v>
      </c>
      <c r="AA112">
        <f>IF($B112="",0,COUNTIFS('UX Weekly'!$H$1:$CT$1,"&gt;="&amp;AA$1,'UX Weekly'!$H$1:$CT$1,"&lt;="&amp;EOMONTH(AA$1,0),'UX Weekly'!$H112:$CT112,"&lt;&gt;"))</f>
        <v>0</v>
      </c>
      <c r="AB112">
        <f>IF($B112="",0,COUNTIFS('UX Weekly'!$H$1:$CT$1,"&gt;="&amp;AB$1,'UX Weekly'!$H$1:$CT$1,"&lt;="&amp;EOMONTH(AB$1,0),'UX Weekly'!$H112:$CT112,"&lt;&gt;"))</f>
        <v>0</v>
      </c>
      <c r="AC112">
        <f>IF($B112="",0,COUNTIFS('UX Weekly'!$H$1:$CT$1,"&gt;="&amp;AC$1,'UX Weekly'!$H$1:$CT$1,"&lt;="&amp;EOMONTH(AC$1,0),'UX Weekly'!$H112:$CT112,"&lt;&gt;"))</f>
        <v>0</v>
      </c>
      <c r="AD112">
        <f>IF($B112="",0,COUNTIFS('UX Weekly'!$H$1:$CT$1,"&gt;="&amp;AD$1,'UX Weekly'!$H$1:$CT$1,"&lt;="&amp;EOMONTH(AD$1,0),'UX Weekly'!$H112:$CT112,"&lt;&gt;"))</f>
        <v>0</v>
      </c>
      <c r="AE112">
        <f>IF($B112="",0,COUNTIFS('UX Weekly'!$H$1:$CT$1,"&gt;="&amp;AE$1,'UX Weekly'!$H$1:$CT$1,"&lt;="&amp;EOMONTH(AE$1,0),'UX Weekly'!$H112:$CT112,"&lt;&gt;"))</f>
        <v>0</v>
      </c>
      <c r="AF112">
        <f>IF($B112="",0,COUNTIFS('UX Weekly'!$H$1:$CT$1,"&gt;="&amp;AF$1,'UX Weekly'!$H$1:$CT$1,"&lt;="&amp;EOMONTH(AF$1,0),'UX Weekly'!$H112:$CT112,"&lt;&gt;"))</f>
        <v>0</v>
      </c>
      <c r="AG112">
        <f>IF($B112="",0,COUNTIFS('UX Weekly'!$H$1:$CT$1,"&gt;="&amp;AG$1,'UX Weekly'!$H$1:$CT$1,"&lt;="&amp;EOMONTH(AG$1,0),'UX Weekly'!$H112:$CT112,"&lt;&gt;"))</f>
        <v>0</v>
      </c>
      <c r="AH112">
        <f>IF($B112="",0,COUNTIFS('UX Weekly'!$H$1:$CT$1,"&gt;="&amp;AH$1,'UX Weekly'!$H$1:$CT$1,"&lt;="&amp;EOMONTH(AH$1,0),'UX Weekly'!$H112:$CT112,"&lt;&gt;"))</f>
        <v>0</v>
      </c>
      <c r="AI112">
        <f>IF($B112="",0,COUNTIFS('UX Weekly'!$H$1:$CT$1,"&gt;="&amp;AI$1,'UX Weekly'!$H$1:$CT$1,"&lt;="&amp;EOMONTH(AI$1,0),'UX Weekly'!$H112:$CT112,"&lt;&gt;"))</f>
        <v>0</v>
      </c>
      <c r="AJ112">
        <f>IF($B112="",0,COUNTIFS('UX Weekly'!$H$1:$CT$1,"&gt;="&amp;AJ$1,'UX Weekly'!$H$1:$CT$1,"&lt;="&amp;EOMONTH(AJ$1,0),'UX Weekly'!$H112:$CT112,"&lt;&gt;"))</f>
        <v>0</v>
      </c>
      <c r="AK112">
        <f>IF($B112="",0,COUNTIFS('UX Weekly'!$H$1:$CT$1,"&gt;="&amp;AK$1,'UX Weekly'!$H$1:$CT$1,"&lt;="&amp;EOMONTH(AK$1,0),'UX Weekly'!$H112:$CT112,"&lt;&gt;"))</f>
        <v>0</v>
      </c>
      <c r="AL112">
        <f>IF($B112="",0,COUNTIFS('UX Weekly'!$H$1:$CT$1,"&gt;="&amp;AL$1,'UX Weekly'!$H$1:$CT$1,"&lt;="&amp;EOMONTH(AL$1,0),'UX Weekly'!$H112:$CT112,"&lt;&gt;"))</f>
        <v>0</v>
      </c>
      <c r="AM112">
        <f>IF($B112="",0,COUNTIFS('UX Weekly'!$H$1:$CT$1,"&gt;="&amp;AM$1,'UX Weekly'!$H$1:$CT$1,"&lt;="&amp;EOMONTH(AM$1,0),'UX Weekly'!$H112:$CT112,"&lt;&gt;"))</f>
        <v>0</v>
      </c>
      <c r="AN112">
        <f>IF($B112="",0,COUNTIFS('UX Weekly'!$H$1:$CT$1,"&gt;="&amp;AN$1,'UX Weekly'!$H$1:$CT$1,"&lt;="&amp;EOMONTH(AN$1,0),'UX Weekly'!$H112:$CT112,"&lt;&gt;"))</f>
        <v>0</v>
      </c>
      <c r="AO112">
        <f>IF($B112="",0,COUNTIFS('UX Weekly'!$H$1:$CT$1,"&gt;="&amp;AO$1,'UX Weekly'!$H$1:$CT$1,"&lt;="&amp;EOMONTH(AO$1,0),'UX Weekly'!$H112:$CT112,"&lt;&gt;"))</f>
        <v>0</v>
      </c>
      <c r="AP112">
        <f>IF($B112="",0,COUNTIFS('UX Weekly'!$H$1:$CT$1,"&gt;="&amp;AP$1,'UX Weekly'!$H$1:$CT$1,"&lt;="&amp;EOMONTH(AP$1,0),'UX Weekly'!$H112:$CT112,"&lt;&gt;"))</f>
        <v>0</v>
      </c>
      <c r="AQ112">
        <f>IF($B112="",0,COUNTIFS('UX Weekly'!$H$1:$CT$1,"&gt;="&amp;AQ$1,'UX Weekly'!$H$1:$CT$1,"&lt;="&amp;EOMONTH(AQ$1,0),'UX Weekly'!$H112:$CT112,"&lt;&gt;"))</f>
        <v>0</v>
      </c>
      <c r="AR112">
        <f>IF($B112="",0,COUNTIFS('UX Weekly'!$H$1:$CT$1,"&gt;="&amp;AR$1,'UX Weekly'!$H$1:$CT$1,"&lt;="&amp;EOMONTH(AR$1,0),'UX Weekly'!$H112:$CT112,"&lt;&gt;"))</f>
        <v>0</v>
      </c>
      <c r="AS112">
        <f>IF($B112="",0,COUNTIFS('UX Weekly'!$H$1:$CT$1,"&gt;="&amp;AS$1,'UX Weekly'!$H$1:$CT$1,"&lt;="&amp;EOMONTH(AS$1,0),'UX Weekly'!$H112:$CT112,"&lt;&gt;"))</f>
        <v>0</v>
      </c>
      <c r="AT112">
        <f>IF($B112="",0,COUNTIFS('UX Weekly'!$H$1:$CT$1,"&gt;="&amp;AT$1,'UX Weekly'!$H$1:$CT$1,"&lt;="&amp;EOMONTH(AT$1,0),'UX Weekly'!$H112:$CT112,"&lt;&gt;"))</f>
        <v>0</v>
      </c>
    </row>
    <row r="113" spans="1:46" x14ac:dyDescent="0.2">
      <c r="A113" s="147">
        <v>114</v>
      </c>
      <c r="B113" s="147" t="str">
        <f>IF(TRIM('UX Weekly'!E113)="","",TRIM('UX Weekly'!E113))</f>
        <v/>
      </c>
      <c r="C113" s="147" t="str">
        <f>IF($B113="","",'UX Weekly'!B113)</f>
        <v/>
      </c>
      <c r="D113" s="147" t="str">
        <f>IF($B113="","",IF(TRIM('UX Weekly'!C113)="","(No theme assigned)",TRIM('UX Weekly'!C113)))</f>
        <v/>
      </c>
      <c r="E113" s="147" t="str">
        <f>IF($B113="","",TRIM('UX Weekly'!F113))</f>
        <v/>
      </c>
      <c r="F113" s="147" t="str">
        <f>IF($B113="","",'UX Weekly'!G113)</f>
        <v/>
      </c>
      <c r="G113" s="148" t="str">
        <f t="array" ref="G113">IF($B113="","",IF($S113=0,"",IFERROR(MIN(IF('UX Weekly'!$H113:$CT113&lt;&gt;"",'UX Weekly'!$H$1:$CT$1)),"")))</f>
        <v/>
      </c>
      <c r="H113" s="148" t="str">
        <f t="array" ref="H113">IF($B113="","",IF($S113=0,"",IFERROR(MAX(IF('UX Weekly'!$H113:$CT113&lt;&gt;"",'UX Weekly'!$H$1:$CT$1)),"")))</f>
        <v/>
      </c>
      <c r="I113" s="149" t="str">
        <f t="shared" ca="1" si="9"/>
        <v/>
      </c>
      <c r="J113" s="149" t="str">
        <f t="shared" ca="1" si="10"/>
        <v/>
      </c>
      <c r="K113" s="147" t="str">
        <f>IF($B113="","",IFERROR(MATCH($B113,'Dev Tracker'!$D$2:$D$196,0),IF($E113="","",IFERROR(MATCH($E113,'Dev Tracker'!$E$2:$E$196,0),""))))</f>
        <v/>
      </c>
      <c r="L113" s="147" t="str">
        <f>IF($B113="","",IFERROR(MATCH($D113,'Control (Don’t Touch)'!$E$4:$E$30,0),99))</f>
        <v/>
      </c>
      <c r="M113" s="147" t="str">
        <f>IF($B113="","",IFERROR(MATCH($F113,'Control (Don’t Touch)'!$B$4:$B$30,0),99))</f>
        <v/>
      </c>
      <c r="N113" s="147" t="str">
        <f t="shared" si="11"/>
        <v/>
      </c>
      <c r="O113" s="147" t="str">
        <f>IF($B113="","",COUNTIF($N$2:$N$204,"&lt;"&amp;$N113)+1)</f>
        <v/>
      </c>
      <c r="P113" s="149" t="str">
        <f ca="1">IF($K113="","",IFERROR(DATE(IFERROR(VALUE(RIGHT(TRIM(INDEX('Dev Tracker'!$I$2:$I$196,$K113)),4)),YEAR(TODAY())),MATCH(LEFT(TRIM(INDEX('Dev Tracker'!$I$2:$I$196,$K113)),3),$U$2:$U$12,0),1),""))</f>
        <v/>
      </c>
      <c r="Q113" s="149" t="str">
        <f ca="1">IF($K113="","",IFERROR(DATE(IFERROR(VALUE(RIGHT(TRIM(INDEX('Dev Tracker'!$J$2:$J$196,$K113)),4)),YEAR(TODAY())),MATCH(LEFT(TRIM(INDEX('Dev Tracker'!$J$2:$J$196,$K113)),3),$U$2:$U$12,0),1),""))</f>
        <v/>
      </c>
      <c r="R113" s="147"/>
      <c r="S113" s="147" t="str">
        <f>IF($B113="","",COUNTA('UX Weekly'!$H113:$CT113))</f>
        <v/>
      </c>
      <c r="W113">
        <f>IF($B113="",0,COUNTIFS('UX Weekly'!$H$1:$CT$1,"&gt;="&amp;W$1,'UX Weekly'!$H$1:$CT$1,"&lt;="&amp;EOMONTH(W$1,0),'UX Weekly'!$H113:$CT113,"&lt;&gt;"))</f>
        <v>0</v>
      </c>
      <c r="X113">
        <f>IF($B113="",0,COUNTIFS('UX Weekly'!$H$1:$CT$1,"&gt;="&amp;X$1,'UX Weekly'!$H$1:$CT$1,"&lt;="&amp;EOMONTH(X$1,0),'UX Weekly'!$H113:$CT113,"&lt;&gt;"))</f>
        <v>0</v>
      </c>
      <c r="Y113">
        <f>IF($B113="",0,COUNTIFS('UX Weekly'!$H$1:$CT$1,"&gt;="&amp;Y$1,'UX Weekly'!$H$1:$CT$1,"&lt;="&amp;EOMONTH(Y$1,0),'UX Weekly'!$H113:$CT113,"&lt;&gt;"))</f>
        <v>0</v>
      </c>
      <c r="Z113">
        <f>IF($B113="",0,COUNTIFS('UX Weekly'!$H$1:$CT$1,"&gt;="&amp;Z$1,'UX Weekly'!$H$1:$CT$1,"&lt;="&amp;EOMONTH(Z$1,0),'UX Weekly'!$H113:$CT113,"&lt;&gt;"))</f>
        <v>0</v>
      </c>
      <c r="AA113">
        <f>IF($B113="",0,COUNTIFS('UX Weekly'!$H$1:$CT$1,"&gt;="&amp;AA$1,'UX Weekly'!$H$1:$CT$1,"&lt;="&amp;EOMONTH(AA$1,0),'UX Weekly'!$H113:$CT113,"&lt;&gt;"))</f>
        <v>0</v>
      </c>
      <c r="AB113">
        <f>IF($B113="",0,COUNTIFS('UX Weekly'!$H$1:$CT$1,"&gt;="&amp;AB$1,'UX Weekly'!$H$1:$CT$1,"&lt;="&amp;EOMONTH(AB$1,0),'UX Weekly'!$H113:$CT113,"&lt;&gt;"))</f>
        <v>0</v>
      </c>
      <c r="AC113">
        <f>IF($B113="",0,COUNTIFS('UX Weekly'!$H$1:$CT$1,"&gt;="&amp;AC$1,'UX Weekly'!$H$1:$CT$1,"&lt;="&amp;EOMONTH(AC$1,0),'UX Weekly'!$H113:$CT113,"&lt;&gt;"))</f>
        <v>0</v>
      </c>
      <c r="AD113">
        <f>IF($B113="",0,COUNTIFS('UX Weekly'!$H$1:$CT$1,"&gt;="&amp;AD$1,'UX Weekly'!$H$1:$CT$1,"&lt;="&amp;EOMONTH(AD$1,0),'UX Weekly'!$H113:$CT113,"&lt;&gt;"))</f>
        <v>0</v>
      </c>
      <c r="AE113">
        <f>IF($B113="",0,COUNTIFS('UX Weekly'!$H$1:$CT$1,"&gt;="&amp;AE$1,'UX Weekly'!$H$1:$CT$1,"&lt;="&amp;EOMONTH(AE$1,0),'UX Weekly'!$H113:$CT113,"&lt;&gt;"))</f>
        <v>0</v>
      </c>
      <c r="AF113">
        <f>IF($B113="",0,COUNTIFS('UX Weekly'!$H$1:$CT$1,"&gt;="&amp;AF$1,'UX Weekly'!$H$1:$CT$1,"&lt;="&amp;EOMONTH(AF$1,0),'UX Weekly'!$H113:$CT113,"&lt;&gt;"))</f>
        <v>0</v>
      </c>
      <c r="AG113">
        <f>IF($B113="",0,COUNTIFS('UX Weekly'!$H$1:$CT$1,"&gt;="&amp;AG$1,'UX Weekly'!$H$1:$CT$1,"&lt;="&amp;EOMONTH(AG$1,0),'UX Weekly'!$H113:$CT113,"&lt;&gt;"))</f>
        <v>0</v>
      </c>
      <c r="AH113">
        <f>IF($B113="",0,COUNTIFS('UX Weekly'!$H$1:$CT$1,"&gt;="&amp;AH$1,'UX Weekly'!$H$1:$CT$1,"&lt;="&amp;EOMONTH(AH$1,0),'UX Weekly'!$H113:$CT113,"&lt;&gt;"))</f>
        <v>0</v>
      </c>
      <c r="AI113">
        <f>IF($B113="",0,COUNTIFS('UX Weekly'!$H$1:$CT$1,"&gt;="&amp;AI$1,'UX Weekly'!$H$1:$CT$1,"&lt;="&amp;EOMONTH(AI$1,0),'UX Weekly'!$H113:$CT113,"&lt;&gt;"))</f>
        <v>0</v>
      </c>
      <c r="AJ113">
        <f>IF($B113="",0,COUNTIFS('UX Weekly'!$H$1:$CT$1,"&gt;="&amp;AJ$1,'UX Weekly'!$H$1:$CT$1,"&lt;="&amp;EOMONTH(AJ$1,0),'UX Weekly'!$H113:$CT113,"&lt;&gt;"))</f>
        <v>0</v>
      </c>
      <c r="AK113">
        <f>IF($B113="",0,COUNTIFS('UX Weekly'!$H$1:$CT$1,"&gt;="&amp;AK$1,'UX Weekly'!$H$1:$CT$1,"&lt;="&amp;EOMONTH(AK$1,0),'UX Weekly'!$H113:$CT113,"&lt;&gt;"))</f>
        <v>0</v>
      </c>
      <c r="AL113">
        <f>IF($B113="",0,COUNTIFS('UX Weekly'!$H$1:$CT$1,"&gt;="&amp;AL$1,'UX Weekly'!$H$1:$CT$1,"&lt;="&amp;EOMONTH(AL$1,0),'UX Weekly'!$H113:$CT113,"&lt;&gt;"))</f>
        <v>0</v>
      </c>
      <c r="AM113">
        <f>IF($B113="",0,COUNTIFS('UX Weekly'!$H$1:$CT$1,"&gt;="&amp;AM$1,'UX Weekly'!$H$1:$CT$1,"&lt;="&amp;EOMONTH(AM$1,0),'UX Weekly'!$H113:$CT113,"&lt;&gt;"))</f>
        <v>0</v>
      </c>
      <c r="AN113">
        <f>IF($B113="",0,COUNTIFS('UX Weekly'!$H$1:$CT$1,"&gt;="&amp;AN$1,'UX Weekly'!$H$1:$CT$1,"&lt;="&amp;EOMONTH(AN$1,0),'UX Weekly'!$H113:$CT113,"&lt;&gt;"))</f>
        <v>0</v>
      </c>
      <c r="AO113">
        <f>IF($B113="",0,COUNTIFS('UX Weekly'!$H$1:$CT$1,"&gt;="&amp;AO$1,'UX Weekly'!$H$1:$CT$1,"&lt;="&amp;EOMONTH(AO$1,0),'UX Weekly'!$H113:$CT113,"&lt;&gt;"))</f>
        <v>0</v>
      </c>
      <c r="AP113">
        <f>IF($B113="",0,COUNTIFS('UX Weekly'!$H$1:$CT$1,"&gt;="&amp;AP$1,'UX Weekly'!$H$1:$CT$1,"&lt;="&amp;EOMONTH(AP$1,0),'UX Weekly'!$H113:$CT113,"&lt;&gt;"))</f>
        <v>0</v>
      </c>
      <c r="AQ113">
        <f>IF($B113="",0,COUNTIFS('UX Weekly'!$H$1:$CT$1,"&gt;="&amp;AQ$1,'UX Weekly'!$H$1:$CT$1,"&lt;="&amp;EOMONTH(AQ$1,0),'UX Weekly'!$H113:$CT113,"&lt;&gt;"))</f>
        <v>0</v>
      </c>
      <c r="AR113">
        <f>IF($B113="",0,COUNTIFS('UX Weekly'!$H$1:$CT$1,"&gt;="&amp;AR$1,'UX Weekly'!$H$1:$CT$1,"&lt;="&amp;EOMONTH(AR$1,0),'UX Weekly'!$H113:$CT113,"&lt;&gt;"))</f>
        <v>0</v>
      </c>
      <c r="AS113">
        <f>IF($B113="",0,COUNTIFS('UX Weekly'!$H$1:$CT$1,"&gt;="&amp;AS$1,'UX Weekly'!$H$1:$CT$1,"&lt;="&amp;EOMONTH(AS$1,0),'UX Weekly'!$H113:$CT113,"&lt;&gt;"))</f>
        <v>0</v>
      </c>
      <c r="AT113">
        <f>IF($B113="",0,COUNTIFS('UX Weekly'!$H$1:$CT$1,"&gt;="&amp;AT$1,'UX Weekly'!$H$1:$CT$1,"&lt;="&amp;EOMONTH(AT$1,0),'UX Weekly'!$H113:$CT113,"&lt;&gt;"))</f>
        <v>0</v>
      </c>
    </row>
    <row r="114" spans="1:46" x14ac:dyDescent="0.2">
      <c r="A114" s="147">
        <v>115</v>
      </c>
      <c r="B114" s="147" t="str">
        <f>IF(TRIM('UX Weekly'!E114)="","",TRIM('UX Weekly'!E114))</f>
        <v/>
      </c>
      <c r="C114" s="147" t="str">
        <f>IF($B114="","",'UX Weekly'!B114)</f>
        <v/>
      </c>
      <c r="D114" s="147" t="str">
        <f>IF($B114="","",IF(TRIM('UX Weekly'!C114)="","(No theme assigned)",TRIM('UX Weekly'!C114)))</f>
        <v/>
      </c>
      <c r="E114" s="147" t="str">
        <f>IF($B114="","",TRIM('UX Weekly'!F114))</f>
        <v/>
      </c>
      <c r="F114" s="147" t="str">
        <f>IF($B114="","",'UX Weekly'!G114)</f>
        <v/>
      </c>
      <c r="G114" s="148" t="str">
        <f t="array" ref="G114">IF($B114="","",IF($S114=0,"",IFERROR(MIN(IF('UX Weekly'!$H114:$CT114&lt;&gt;"",'UX Weekly'!$H$1:$CT$1)),"")))</f>
        <v/>
      </c>
      <c r="H114" s="148" t="str">
        <f t="array" ref="H114">IF($B114="","",IF($S114=0,"",IFERROR(MAX(IF('UX Weekly'!$H114:$CT114&lt;&gt;"",'UX Weekly'!$H$1:$CT$1)),"")))</f>
        <v/>
      </c>
      <c r="I114" s="149" t="str">
        <f t="shared" ca="1" si="9"/>
        <v/>
      </c>
      <c r="J114" s="149" t="str">
        <f t="shared" ca="1" si="10"/>
        <v/>
      </c>
      <c r="K114" s="147" t="str">
        <f>IF($B114="","",IFERROR(MATCH($B114,'Dev Tracker'!$D$2:$D$196,0),IF($E114="","",IFERROR(MATCH($E114,'Dev Tracker'!$E$2:$E$196,0),""))))</f>
        <v/>
      </c>
      <c r="L114" s="147" t="str">
        <f>IF($B114="","",IFERROR(MATCH($D114,'Control (Don’t Touch)'!$E$4:$E$30,0),99))</f>
        <v/>
      </c>
      <c r="M114" s="147" t="str">
        <f>IF($B114="","",IFERROR(MATCH($F114,'Control (Don’t Touch)'!$B$4:$B$30,0),99))</f>
        <v/>
      </c>
      <c r="N114" s="147" t="str">
        <f t="shared" si="11"/>
        <v/>
      </c>
      <c r="O114" s="147" t="str">
        <f>IF($B114="","",COUNTIF($N$2:$N$204,"&lt;"&amp;$N114)+1)</f>
        <v/>
      </c>
      <c r="P114" s="149" t="str">
        <f ca="1">IF($K114="","",IFERROR(DATE(IFERROR(VALUE(RIGHT(TRIM(INDEX('Dev Tracker'!$I$2:$I$196,$K114)),4)),YEAR(TODAY())),MATCH(LEFT(TRIM(INDEX('Dev Tracker'!$I$2:$I$196,$K114)),3),$U$2:$U$12,0),1),""))</f>
        <v/>
      </c>
      <c r="Q114" s="149" t="str">
        <f ca="1">IF($K114="","",IFERROR(DATE(IFERROR(VALUE(RIGHT(TRIM(INDEX('Dev Tracker'!$J$2:$J$196,$K114)),4)),YEAR(TODAY())),MATCH(LEFT(TRIM(INDEX('Dev Tracker'!$J$2:$J$196,$K114)),3),$U$2:$U$12,0),1),""))</f>
        <v/>
      </c>
      <c r="R114" s="147"/>
      <c r="S114" s="147" t="str">
        <f>IF($B114="","",COUNTA('UX Weekly'!$H114:$CT114))</f>
        <v/>
      </c>
      <c r="W114">
        <f>IF($B114="",0,COUNTIFS('UX Weekly'!$H$1:$CT$1,"&gt;="&amp;W$1,'UX Weekly'!$H$1:$CT$1,"&lt;="&amp;EOMONTH(W$1,0),'UX Weekly'!$H114:$CT114,"&lt;&gt;"))</f>
        <v>0</v>
      </c>
      <c r="X114">
        <f>IF($B114="",0,COUNTIFS('UX Weekly'!$H$1:$CT$1,"&gt;="&amp;X$1,'UX Weekly'!$H$1:$CT$1,"&lt;="&amp;EOMONTH(X$1,0),'UX Weekly'!$H114:$CT114,"&lt;&gt;"))</f>
        <v>0</v>
      </c>
      <c r="Y114">
        <f>IF($B114="",0,COUNTIFS('UX Weekly'!$H$1:$CT$1,"&gt;="&amp;Y$1,'UX Weekly'!$H$1:$CT$1,"&lt;="&amp;EOMONTH(Y$1,0),'UX Weekly'!$H114:$CT114,"&lt;&gt;"))</f>
        <v>0</v>
      </c>
      <c r="Z114">
        <f>IF($B114="",0,COUNTIFS('UX Weekly'!$H$1:$CT$1,"&gt;="&amp;Z$1,'UX Weekly'!$H$1:$CT$1,"&lt;="&amp;EOMONTH(Z$1,0),'UX Weekly'!$H114:$CT114,"&lt;&gt;"))</f>
        <v>0</v>
      </c>
      <c r="AA114">
        <f>IF($B114="",0,COUNTIFS('UX Weekly'!$H$1:$CT$1,"&gt;="&amp;AA$1,'UX Weekly'!$H$1:$CT$1,"&lt;="&amp;EOMONTH(AA$1,0),'UX Weekly'!$H114:$CT114,"&lt;&gt;"))</f>
        <v>0</v>
      </c>
      <c r="AB114">
        <f>IF($B114="",0,COUNTIFS('UX Weekly'!$H$1:$CT$1,"&gt;="&amp;AB$1,'UX Weekly'!$H$1:$CT$1,"&lt;="&amp;EOMONTH(AB$1,0),'UX Weekly'!$H114:$CT114,"&lt;&gt;"))</f>
        <v>0</v>
      </c>
      <c r="AC114">
        <f>IF($B114="",0,COUNTIFS('UX Weekly'!$H$1:$CT$1,"&gt;="&amp;AC$1,'UX Weekly'!$H$1:$CT$1,"&lt;="&amp;EOMONTH(AC$1,0),'UX Weekly'!$H114:$CT114,"&lt;&gt;"))</f>
        <v>0</v>
      </c>
      <c r="AD114">
        <f>IF($B114="",0,COUNTIFS('UX Weekly'!$H$1:$CT$1,"&gt;="&amp;AD$1,'UX Weekly'!$H$1:$CT$1,"&lt;="&amp;EOMONTH(AD$1,0),'UX Weekly'!$H114:$CT114,"&lt;&gt;"))</f>
        <v>0</v>
      </c>
      <c r="AE114">
        <f>IF($B114="",0,COUNTIFS('UX Weekly'!$H$1:$CT$1,"&gt;="&amp;AE$1,'UX Weekly'!$H$1:$CT$1,"&lt;="&amp;EOMONTH(AE$1,0),'UX Weekly'!$H114:$CT114,"&lt;&gt;"))</f>
        <v>0</v>
      </c>
      <c r="AF114">
        <f>IF($B114="",0,COUNTIFS('UX Weekly'!$H$1:$CT$1,"&gt;="&amp;AF$1,'UX Weekly'!$H$1:$CT$1,"&lt;="&amp;EOMONTH(AF$1,0),'UX Weekly'!$H114:$CT114,"&lt;&gt;"))</f>
        <v>0</v>
      </c>
      <c r="AG114">
        <f>IF($B114="",0,COUNTIFS('UX Weekly'!$H$1:$CT$1,"&gt;="&amp;AG$1,'UX Weekly'!$H$1:$CT$1,"&lt;="&amp;EOMONTH(AG$1,0),'UX Weekly'!$H114:$CT114,"&lt;&gt;"))</f>
        <v>0</v>
      </c>
      <c r="AH114">
        <f>IF($B114="",0,COUNTIFS('UX Weekly'!$H$1:$CT$1,"&gt;="&amp;AH$1,'UX Weekly'!$H$1:$CT$1,"&lt;="&amp;EOMONTH(AH$1,0),'UX Weekly'!$H114:$CT114,"&lt;&gt;"))</f>
        <v>0</v>
      </c>
      <c r="AI114">
        <f>IF($B114="",0,COUNTIFS('UX Weekly'!$H$1:$CT$1,"&gt;="&amp;AI$1,'UX Weekly'!$H$1:$CT$1,"&lt;="&amp;EOMONTH(AI$1,0),'UX Weekly'!$H114:$CT114,"&lt;&gt;"))</f>
        <v>0</v>
      </c>
      <c r="AJ114">
        <f>IF($B114="",0,COUNTIFS('UX Weekly'!$H$1:$CT$1,"&gt;="&amp;AJ$1,'UX Weekly'!$H$1:$CT$1,"&lt;="&amp;EOMONTH(AJ$1,0),'UX Weekly'!$H114:$CT114,"&lt;&gt;"))</f>
        <v>0</v>
      </c>
      <c r="AK114">
        <f>IF($B114="",0,COUNTIFS('UX Weekly'!$H$1:$CT$1,"&gt;="&amp;AK$1,'UX Weekly'!$H$1:$CT$1,"&lt;="&amp;EOMONTH(AK$1,0),'UX Weekly'!$H114:$CT114,"&lt;&gt;"))</f>
        <v>0</v>
      </c>
      <c r="AL114">
        <f>IF($B114="",0,COUNTIFS('UX Weekly'!$H$1:$CT$1,"&gt;="&amp;AL$1,'UX Weekly'!$H$1:$CT$1,"&lt;="&amp;EOMONTH(AL$1,0),'UX Weekly'!$H114:$CT114,"&lt;&gt;"))</f>
        <v>0</v>
      </c>
      <c r="AM114">
        <f>IF($B114="",0,COUNTIFS('UX Weekly'!$H$1:$CT$1,"&gt;="&amp;AM$1,'UX Weekly'!$H$1:$CT$1,"&lt;="&amp;EOMONTH(AM$1,0),'UX Weekly'!$H114:$CT114,"&lt;&gt;"))</f>
        <v>0</v>
      </c>
      <c r="AN114">
        <f>IF($B114="",0,COUNTIFS('UX Weekly'!$H$1:$CT$1,"&gt;="&amp;AN$1,'UX Weekly'!$H$1:$CT$1,"&lt;="&amp;EOMONTH(AN$1,0),'UX Weekly'!$H114:$CT114,"&lt;&gt;"))</f>
        <v>0</v>
      </c>
      <c r="AO114">
        <f>IF($B114="",0,COUNTIFS('UX Weekly'!$H$1:$CT$1,"&gt;="&amp;AO$1,'UX Weekly'!$H$1:$CT$1,"&lt;="&amp;EOMONTH(AO$1,0),'UX Weekly'!$H114:$CT114,"&lt;&gt;"))</f>
        <v>0</v>
      </c>
      <c r="AP114">
        <f>IF($B114="",0,COUNTIFS('UX Weekly'!$H$1:$CT$1,"&gt;="&amp;AP$1,'UX Weekly'!$H$1:$CT$1,"&lt;="&amp;EOMONTH(AP$1,0),'UX Weekly'!$H114:$CT114,"&lt;&gt;"))</f>
        <v>0</v>
      </c>
      <c r="AQ114">
        <f>IF($B114="",0,COUNTIFS('UX Weekly'!$H$1:$CT$1,"&gt;="&amp;AQ$1,'UX Weekly'!$H$1:$CT$1,"&lt;="&amp;EOMONTH(AQ$1,0),'UX Weekly'!$H114:$CT114,"&lt;&gt;"))</f>
        <v>0</v>
      </c>
      <c r="AR114">
        <f>IF($B114="",0,COUNTIFS('UX Weekly'!$H$1:$CT$1,"&gt;="&amp;AR$1,'UX Weekly'!$H$1:$CT$1,"&lt;="&amp;EOMONTH(AR$1,0),'UX Weekly'!$H114:$CT114,"&lt;&gt;"))</f>
        <v>0</v>
      </c>
      <c r="AS114">
        <f>IF($B114="",0,COUNTIFS('UX Weekly'!$H$1:$CT$1,"&gt;="&amp;AS$1,'UX Weekly'!$H$1:$CT$1,"&lt;="&amp;EOMONTH(AS$1,0),'UX Weekly'!$H114:$CT114,"&lt;&gt;"))</f>
        <v>0</v>
      </c>
      <c r="AT114">
        <f>IF($B114="",0,COUNTIFS('UX Weekly'!$H$1:$CT$1,"&gt;="&amp;AT$1,'UX Weekly'!$H$1:$CT$1,"&lt;="&amp;EOMONTH(AT$1,0),'UX Weekly'!$H114:$CT114,"&lt;&gt;"))</f>
        <v>0</v>
      </c>
    </row>
    <row r="115" spans="1:46" x14ac:dyDescent="0.2">
      <c r="A115" s="147">
        <v>116</v>
      </c>
      <c r="B115" s="147" t="str">
        <f>IF(TRIM('UX Weekly'!E115)="","",TRIM('UX Weekly'!E115))</f>
        <v/>
      </c>
      <c r="C115" s="147" t="str">
        <f>IF($B115="","",'UX Weekly'!B115)</f>
        <v/>
      </c>
      <c r="D115" s="147" t="str">
        <f>IF($B115="","",IF(TRIM('UX Weekly'!C115)="","(No theme assigned)",TRIM('UX Weekly'!C115)))</f>
        <v/>
      </c>
      <c r="E115" s="147" t="str">
        <f>IF($B115="","",TRIM('UX Weekly'!F115))</f>
        <v/>
      </c>
      <c r="F115" s="147" t="str">
        <f>IF($B115="","",'UX Weekly'!G115)</f>
        <v/>
      </c>
      <c r="G115" s="148" t="str">
        <f t="array" ref="G115">IF($B115="","",IF($S115=0,"",IFERROR(MIN(IF('UX Weekly'!$H115:$CT115&lt;&gt;"",'UX Weekly'!$H$1:$CT$1)),"")))</f>
        <v/>
      </c>
      <c r="H115" s="148" t="str">
        <f t="array" ref="H115">IF($B115="","",IF($S115=0,"",IFERROR(MAX(IF('UX Weekly'!$H115:$CT115&lt;&gt;"",'UX Weekly'!$H$1:$CT$1)),"")))</f>
        <v/>
      </c>
      <c r="I115" s="149" t="str">
        <f t="shared" ca="1" si="9"/>
        <v/>
      </c>
      <c r="J115" s="149" t="str">
        <f t="shared" ca="1" si="10"/>
        <v/>
      </c>
      <c r="K115" s="147" t="str">
        <f>IF($B115="","",IFERROR(MATCH($B115,'Dev Tracker'!$D$2:$D$196,0),IF($E115="","",IFERROR(MATCH($E115,'Dev Tracker'!$E$2:$E$196,0),""))))</f>
        <v/>
      </c>
      <c r="L115" s="147" t="str">
        <f>IF($B115="","",IFERROR(MATCH($D115,'Control (Don’t Touch)'!$E$4:$E$30,0),99))</f>
        <v/>
      </c>
      <c r="M115" s="147" t="str">
        <f>IF($B115="","",IFERROR(MATCH($F115,'Control (Don’t Touch)'!$B$4:$B$30,0),99))</f>
        <v/>
      </c>
      <c r="N115" s="147" t="str">
        <f t="shared" si="11"/>
        <v/>
      </c>
      <c r="O115" s="147" t="str">
        <f>IF($B115="","",COUNTIF($N$2:$N$204,"&lt;"&amp;$N115)+1)</f>
        <v/>
      </c>
      <c r="P115" s="149" t="str">
        <f ca="1">IF($K115="","",IFERROR(DATE(IFERROR(VALUE(RIGHT(TRIM(INDEX('Dev Tracker'!$I$2:$I$196,$K115)),4)),YEAR(TODAY())),MATCH(LEFT(TRIM(INDEX('Dev Tracker'!$I$2:$I$196,$K115)),3),$U$2:$U$12,0),1),""))</f>
        <v/>
      </c>
      <c r="Q115" s="149" t="str">
        <f ca="1">IF($K115="","",IFERROR(DATE(IFERROR(VALUE(RIGHT(TRIM(INDEX('Dev Tracker'!$J$2:$J$196,$K115)),4)),YEAR(TODAY())),MATCH(LEFT(TRIM(INDEX('Dev Tracker'!$J$2:$J$196,$K115)),3),$U$2:$U$12,0),1),""))</f>
        <v/>
      </c>
      <c r="R115" s="147"/>
      <c r="S115" s="147" t="str">
        <f>IF($B115="","",COUNTA('UX Weekly'!$H115:$CT115))</f>
        <v/>
      </c>
      <c r="W115">
        <f>IF($B115="",0,COUNTIFS('UX Weekly'!$H$1:$CT$1,"&gt;="&amp;W$1,'UX Weekly'!$H$1:$CT$1,"&lt;="&amp;EOMONTH(W$1,0),'UX Weekly'!$H115:$CT115,"&lt;&gt;"))</f>
        <v>0</v>
      </c>
      <c r="X115">
        <f>IF($B115="",0,COUNTIFS('UX Weekly'!$H$1:$CT$1,"&gt;="&amp;X$1,'UX Weekly'!$H$1:$CT$1,"&lt;="&amp;EOMONTH(X$1,0),'UX Weekly'!$H115:$CT115,"&lt;&gt;"))</f>
        <v>0</v>
      </c>
      <c r="Y115">
        <f>IF($B115="",0,COUNTIFS('UX Weekly'!$H$1:$CT$1,"&gt;="&amp;Y$1,'UX Weekly'!$H$1:$CT$1,"&lt;="&amp;EOMONTH(Y$1,0),'UX Weekly'!$H115:$CT115,"&lt;&gt;"))</f>
        <v>0</v>
      </c>
      <c r="Z115">
        <f>IF($B115="",0,COUNTIFS('UX Weekly'!$H$1:$CT$1,"&gt;="&amp;Z$1,'UX Weekly'!$H$1:$CT$1,"&lt;="&amp;EOMONTH(Z$1,0),'UX Weekly'!$H115:$CT115,"&lt;&gt;"))</f>
        <v>0</v>
      </c>
      <c r="AA115">
        <f>IF($B115="",0,COUNTIFS('UX Weekly'!$H$1:$CT$1,"&gt;="&amp;AA$1,'UX Weekly'!$H$1:$CT$1,"&lt;="&amp;EOMONTH(AA$1,0),'UX Weekly'!$H115:$CT115,"&lt;&gt;"))</f>
        <v>0</v>
      </c>
      <c r="AB115">
        <f>IF($B115="",0,COUNTIFS('UX Weekly'!$H$1:$CT$1,"&gt;="&amp;AB$1,'UX Weekly'!$H$1:$CT$1,"&lt;="&amp;EOMONTH(AB$1,0),'UX Weekly'!$H115:$CT115,"&lt;&gt;"))</f>
        <v>0</v>
      </c>
      <c r="AC115">
        <f>IF($B115="",0,COUNTIFS('UX Weekly'!$H$1:$CT$1,"&gt;="&amp;AC$1,'UX Weekly'!$H$1:$CT$1,"&lt;="&amp;EOMONTH(AC$1,0),'UX Weekly'!$H115:$CT115,"&lt;&gt;"))</f>
        <v>0</v>
      </c>
      <c r="AD115">
        <f>IF($B115="",0,COUNTIFS('UX Weekly'!$H$1:$CT$1,"&gt;="&amp;AD$1,'UX Weekly'!$H$1:$CT$1,"&lt;="&amp;EOMONTH(AD$1,0),'UX Weekly'!$H115:$CT115,"&lt;&gt;"))</f>
        <v>0</v>
      </c>
      <c r="AE115">
        <f>IF($B115="",0,COUNTIFS('UX Weekly'!$H$1:$CT$1,"&gt;="&amp;AE$1,'UX Weekly'!$H$1:$CT$1,"&lt;="&amp;EOMONTH(AE$1,0),'UX Weekly'!$H115:$CT115,"&lt;&gt;"))</f>
        <v>0</v>
      </c>
      <c r="AF115">
        <f>IF($B115="",0,COUNTIFS('UX Weekly'!$H$1:$CT$1,"&gt;="&amp;AF$1,'UX Weekly'!$H$1:$CT$1,"&lt;="&amp;EOMONTH(AF$1,0),'UX Weekly'!$H115:$CT115,"&lt;&gt;"))</f>
        <v>0</v>
      </c>
      <c r="AG115">
        <f>IF($B115="",0,COUNTIFS('UX Weekly'!$H$1:$CT$1,"&gt;="&amp;AG$1,'UX Weekly'!$H$1:$CT$1,"&lt;="&amp;EOMONTH(AG$1,0),'UX Weekly'!$H115:$CT115,"&lt;&gt;"))</f>
        <v>0</v>
      </c>
      <c r="AH115">
        <f>IF($B115="",0,COUNTIFS('UX Weekly'!$H$1:$CT$1,"&gt;="&amp;AH$1,'UX Weekly'!$H$1:$CT$1,"&lt;="&amp;EOMONTH(AH$1,0),'UX Weekly'!$H115:$CT115,"&lt;&gt;"))</f>
        <v>0</v>
      </c>
      <c r="AI115">
        <f>IF($B115="",0,COUNTIFS('UX Weekly'!$H$1:$CT$1,"&gt;="&amp;AI$1,'UX Weekly'!$H$1:$CT$1,"&lt;="&amp;EOMONTH(AI$1,0),'UX Weekly'!$H115:$CT115,"&lt;&gt;"))</f>
        <v>0</v>
      </c>
      <c r="AJ115">
        <f>IF($B115="",0,COUNTIFS('UX Weekly'!$H$1:$CT$1,"&gt;="&amp;AJ$1,'UX Weekly'!$H$1:$CT$1,"&lt;="&amp;EOMONTH(AJ$1,0),'UX Weekly'!$H115:$CT115,"&lt;&gt;"))</f>
        <v>0</v>
      </c>
      <c r="AK115">
        <f>IF($B115="",0,COUNTIFS('UX Weekly'!$H$1:$CT$1,"&gt;="&amp;AK$1,'UX Weekly'!$H$1:$CT$1,"&lt;="&amp;EOMONTH(AK$1,0),'UX Weekly'!$H115:$CT115,"&lt;&gt;"))</f>
        <v>0</v>
      </c>
      <c r="AL115">
        <f>IF($B115="",0,COUNTIFS('UX Weekly'!$H$1:$CT$1,"&gt;="&amp;AL$1,'UX Weekly'!$H$1:$CT$1,"&lt;="&amp;EOMONTH(AL$1,0),'UX Weekly'!$H115:$CT115,"&lt;&gt;"))</f>
        <v>0</v>
      </c>
      <c r="AM115">
        <f>IF($B115="",0,COUNTIFS('UX Weekly'!$H$1:$CT$1,"&gt;="&amp;AM$1,'UX Weekly'!$H$1:$CT$1,"&lt;="&amp;EOMONTH(AM$1,0),'UX Weekly'!$H115:$CT115,"&lt;&gt;"))</f>
        <v>0</v>
      </c>
      <c r="AN115">
        <f>IF($B115="",0,COUNTIFS('UX Weekly'!$H$1:$CT$1,"&gt;="&amp;AN$1,'UX Weekly'!$H$1:$CT$1,"&lt;="&amp;EOMONTH(AN$1,0),'UX Weekly'!$H115:$CT115,"&lt;&gt;"))</f>
        <v>0</v>
      </c>
      <c r="AO115">
        <f>IF($B115="",0,COUNTIFS('UX Weekly'!$H$1:$CT$1,"&gt;="&amp;AO$1,'UX Weekly'!$H$1:$CT$1,"&lt;="&amp;EOMONTH(AO$1,0),'UX Weekly'!$H115:$CT115,"&lt;&gt;"))</f>
        <v>0</v>
      </c>
      <c r="AP115">
        <f>IF($B115="",0,COUNTIFS('UX Weekly'!$H$1:$CT$1,"&gt;="&amp;AP$1,'UX Weekly'!$H$1:$CT$1,"&lt;="&amp;EOMONTH(AP$1,0),'UX Weekly'!$H115:$CT115,"&lt;&gt;"))</f>
        <v>0</v>
      </c>
      <c r="AQ115">
        <f>IF($B115="",0,COUNTIFS('UX Weekly'!$H$1:$CT$1,"&gt;="&amp;AQ$1,'UX Weekly'!$H$1:$CT$1,"&lt;="&amp;EOMONTH(AQ$1,0),'UX Weekly'!$H115:$CT115,"&lt;&gt;"))</f>
        <v>0</v>
      </c>
      <c r="AR115">
        <f>IF($B115="",0,COUNTIFS('UX Weekly'!$H$1:$CT$1,"&gt;="&amp;AR$1,'UX Weekly'!$H$1:$CT$1,"&lt;="&amp;EOMONTH(AR$1,0),'UX Weekly'!$H115:$CT115,"&lt;&gt;"))</f>
        <v>0</v>
      </c>
      <c r="AS115">
        <f>IF($B115="",0,COUNTIFS('UX Weekly'!$H$1:$CT$1,"&gt;="&amp;AS$1,'UX Weekly'!$H$1:$CT$1,"&lt;="&amp;EOMONTH(AS$1,0),'UX Weekly'!$H115:$CT115,"&lt;&gt;"))</f>
        <v>0</v>
      </c>
      <c r="AT115">
        <f>IF($B115="",0,COUNTIFS('UX Weekly'!$H$1:$CT$1,"&gt;="&amp;AT$1,'UX Weekly'!$H$1:$CT$1,"&lt;="&amp;EOMONTH(AT$1,0),'UX Weekly'!$H115:$CT115,"&lt;&gt;"))</f>
        <v>0</v>
      </c>
    </row>
    <row r="116" spans="1:46" x14ac:dyDescent="0.2">
      <c r="A116" s="147">
        <v>117</v>
      </c>
      <c r="B116" s="147" t="str">
        <f>IF(TRIM('UX Weekly'!E116)="","",TRIM('UX Weekly'!E116))</f>
        <v/>
      </c>
      <c r="C116" s="147" t="str">
        <f>IF($B116="","",'UX Weekly'!B116)</f>
        <v/>
      </c>
      <c r="D116" s="147" t="str">
        <f>IF($B116="","",IF(TRIM('UX Weekly'!C116)="","(No theme assigned)",TRIM('UX Weekly'!C116)))</f>
        <v/>
      </c>
      <c r="E116" s="147" t="str">
        <f>IF($B116="","",TRIM('UX Weekly'!F116))</f>
        <v/>
      </c>
      <c r="F116" s="147" t="str">
        <f>IF($B116="","",'UX Weekly'!G116)</f>
        <v/>
      </c>
      <c r="G116" s="148" t="str">
        <f t="array" ref="G116">IF($B116="","",IF($S116=0,"",IFERROR(MIN(IF('UX Weekly'!$H116:$CT116&lt;&gt;"",'UX Weekly'!$H$1:$CT$1)),"")))</f>
        <v/>
      </c>
      <c r="H116" s="148" t="str">
        <f t="array" ref="H116">IF($B116="","",IF($S116=0,"",IFERROR(MAX(IF('UX Weekly'!$H116:$CT116&lt;&gt;"",'UX Weekly'!$H$1:$CT$1)),"")))</f>
        <v/>
      </c>
      <c r="I116" s="149" t="str">
        <f t="shared" ca="1" si="9"/>
        <v/>
      </c>
      <c r="J116" s="149" t="str">
        <f t="shared" ca="1" si="10"/>
        <v/>
      </c>
      <c r="K116" s="147" t="str">
        <f>IF($B116="","",IFERROR(MATCH($B116,'Dev Tracker'!$D$2:$D$196,0),IF($E116="","",IFERROR(MATCH($E116,'Dev Tracker'!$E$2:$E$196,0),""))))</f>
        <v/>
      </c>
      <c r="L116" s="147" t="str">
        <f>IF($B116="","",IFERROR(MATCH($D116,'Control (Don’t Touch)'!$E$4:$E$30,0),99))</f>
        <v/>
      </c>
      <c r="M116" s="147" t="str">
        <f>IF($B116="","",IFERROR(MATCH($F116,'Control (Don’t Touch)'!$B$4:$B$30,0),99))</f>
        <v/>
      </c>
      <c r="N116" s="147" t="str">
        <f t="shared" si="11"/>
        <v/>
      </c>
      <c r="O116" s="147" t="str">
        <f>IF($B116="","",COUNTIF($N$2:$N$204,"&lt;"&amp;$N116)+1)</f>
        <v/>
      </c>
      <c r="P116" s="149" t="str">
        <f ca="1">IF($K116="","",IFERROR(DATE(IFERROR(VALUE(RIGHT(TRIM(INDEX('Dev Tracker'!$I$2:$I$196,$K116)),4)),YEAR(TODAY())),MATCH(LEFT(TRIM(INDEX('Dev Tracker'!$I$2:$I$196,$K116)),3),$U$2:$U$12,0),1),""))</f>
        <v/>
      </c>
      <c r="Q116" s="149" t="str">
        <f ca="1">IF($K116="","",IFERROR(DATE(IFERROR(VALUE(RIGHT(TRIM(INDEX('Dev Tracker'!$J$2:$J$196,$K116)),4)),YEAR(TODAY())),MATCH(LEFT(TRIM(INDEX('Dev Tracker'!$J$2:$J$196,$K116)),3),$U$2:$U$12,0),1),""))</f>
        <v/>
      </c>
      <c r="R116" s="147"/>
      <c r="S116" s="147" t="str">
        <f>IF($B116="","",COUNTA('UX Weekly'!$H116:$CT116))</f>
        <v/>
      </c>
      <c r="W116">
        <f>IF($B116="",0,COUNTIFS('UX Weekly'!$H$1:$CT$1,"&gt;="&amp;W$1,'UX Weekly'!$H$1:$CT$1,"&lt;="&amp;EOMONTH(W$1,0),'UX Weekly'!$H116:$CT116,"&lt;&gt;"))</f>
        <v>0</v>
      </c>
      <c r="X116">
        <f>IF($B116="",0,COUNTIFS('UX Weekly'!$H$1:$CT$1,"&gt;="&amp;X$1,'UX Weekly'!$H$1:$CT$1,"&lt;="&amp;EOMONTH(X$1,0),'UX Weekly'!$H116:$CT116,"&lt;&gt;"))</f>
        <v>0</v>
      </c>
      <c r="Y116">
        <f>IF($B116="",0,COUNTIFS('UX Weekly'!$H$1:$CT$1,"&gt;="&amp;Y$1,'UX Weekly'!$H$1:$CT$1,"&lt;="&amp;EOMONTH(Y$1,0),'UX Weekly'!$H116:$CT116,"&lt;&gt;"))</f>
        <v>0</v>
      </c>
      <c r="Z116">
        <f>IF($B116="",0,COUNTIFS('UX Weekly'!$H$1:$CT$1,"&gt;="&amp;Z$1,'UX Weekly'!$H$1:$CT$1,"&lt;="&amp;EOMONTH(Z$1,0),'UX Weekly'!$H116:$CT116,"&lt;&gt;"))</f>
        <v>0</v>
      </c>
      <c r="AA116">
        <f>IF($B116="",0,COUNTIFS('UX Weekly'!$H$1:$CT$1,"&gt;="&amp;AA$1,'UX Weekly'!$H$1:$CT$1,"&lt;="&amp;EOMONTH(AA$1,0),'UX Weekly'!$H116:$CT116,"&lt;&gt;"))</f>
        <v>0</v>
      </c>
      <c r="AB116">
        <f>IF($B116="",0,COUNTIFS('UX Weekly'!$H$1:$CT$1,"&gt;="&amp;AB$1,'UX Weekly'!$H$1:$CT$1,"&lt;="&amp;EOMONTH(AB$1,0),'UX Weekly'!$H116:$CT116,"&lt;&gt;"))</f>
        <v>0</v>
      </c>
      <c r="AC116">
        <f>IF($B116="",0,COUNTIFS('UX Weekly'!$H$1:$CT$1,"&gt;="&amp;AC$1,'UX Weekly'!$H$1:$CT$1,"&lt;="&amp;EOMONTH(AC$1,0),'UX Weekly'!$H116:$CT116,"&lt;&gt;"))</f>
        <v>0</v>
      </c>
      <c r="AD116">
        <f>IF($B116="",0,COUNTIFS('UX Weekly'!$H$1:$CT$1,"&gt;="&amp;AD$1,'UX Weekly'!$H$1:$CT$1,"&lt;="&amp;EOMONTH(AD$1,0),'UX Weekly'!$H116:$CT116,"&lt;&gt;"))</f>
        <v>0</v>
      </c>
      <c r="AE116">
        <f>IF($B116="",0,COUNTIFS('UX Weekly'!$H$1:$CT$1,"&gt;="&amp;AE$1,'UX Weekly'!$H$1:$CT$1,"&lt;="&amp;EOMONTH(AE$1,0),'UX Weekly'!$H116:$CT116,"&lt;&gt;"))</f>
        <v>0</v>
      </c>
      <c r="AF116">
        <f>IF($B116="",0,COUNTIFS('UX Weekly'!$H$1:$CT$1,"&gt;="&amp;AF$1,'UX Weekly'!$H$1:$CT$1,"&lt;="&amp;EOMONTH(AF$1,0),'UX Weekly'!$H116:$CT116,"&lt;&gt;"))</f>
        <v>0</v>
      </c>
      <c r="AG116">
        <f>IF($B116="",0,COUNTIFS('UX Weekly'!$H$1:$CT$1,"&gt;="&amp;AG$1,'UX Weekly'!$H$1:$CT$1,"&lt;="&amp;EOMONTH(AG$1,0),'UX Weekly'!$H116:$CT116,"&lt;&gt;"))</f>
        <v>0</v>
      </c>
      <c r="AH116">
        <f>IF($B116="",0,COUNTIFS('UX Weekly'!$H$1:$CT$1,"&gt;="&amp;AH$1,'UX Weekly'!$H$1:$CT$1,"&lt;="&amp;EOMONTH(AH$1,0),'UX Weekly'!$H116:$CT116,"&lt;&gt;"))</f>
        <v>0</v>
      </c>
      <c r="AI116">
        <f>IF($B116="",0,COUNTIFS('UX Weekly'!$H$1:$CT$1,"&gt;="&amp;AI$1,'UX Weekly'!$H$1:$CT$1,"&lt;="&amp;EOMONTH(AI$1,0),'UX Weekly'!$H116:$CT116,"&lt;&gt;"))</f>
        <v>0</v>
      </c>
      <c r="AJ116">
        <f>IF($B116="",0,COUNTIFS('UX Weekly'!$H$1:$CT$1,"&gt;="&amp;AJ$1,'UX Weekly'!$H$1:$CT$1,"&lt;="&amp;EOMONTH(AJ$1,0),'UX Weekly'!$H116:$CT116,"&lt;&gt;"))</f>
        <v>0</v>
      </c>
      <c r="AK116">
        <f>IF($B116="",0,COUNTIFS('UX Weekly'!$H$1:$CT$1,"&gt;="&amp;AK$1,'UX Weekly'!$H$1:$CT$1,"&lt;="&amp;EOMONTH(AK$1,0),'UX Weekly'!$H116:$CT116,"&lt;&gt;"))</f>
        <v>0</v>
      </c>
      <c r="AL116">
        <f>IF($B116="",0,COUNTIFS('UX Weekly'!$H$1:$CT$1,"&gt;="&amp;AL$1,'UX Weekly'!$H$1:$CT$1,"&lt;="&amp;EOMONTH(AL$1,0),'UX Weekly'!$H116:$CT116,"&lt;&gt;"))</f>
        <v>0</v>
      </c>
      <c r="AM116">
        <f>IF($B116="",0,COUNTIFS('UX Weekly'!$H$1:$CT$1,"&gt;="&amp;AM$1,'UX Weekly'!$H$1:$CT$1,"&lt;="&amp;EOMONTH(AM$1,0),'UX Weekly'!$H116:$CT116,"&lt;&gt;"))</f>
        <v>0</v>
      </c>
      <c r="AN116">
        <f>IF($B116="",0,COUNTIFS('UX Weekly'!$H$1:$CT$1,"&gt;="&amp;AN$1,'UX Weekly'!$H$1:$CT$1,"&lt;="&amp;EOMONTH(AN$1,0),'UX Weekly'!$H116:$CT116,"&lt;&gt;"))</f>
        <v>0</v>
      </c>
      <c r="AO116">
        <f>IF($B116="",0,COUNTIFS('UX Weekly'!$H$1:$CT$1,"&gt;="&amp;AO$1,'UX Weekly'!$H$1:$CT$1,"&lt;="&amp;EOMONTH(AO$1,0),'UX Weekly'!$H116:$CT116,"&lt;&gt;"))</f>
        <v>0</v>
      </c>
      <c r="AP116">
        <f>IF($B116="",0,COUNTIFS('UX Weekly'!$H$1:$CT$1,"&gt;="&amp;AP$1,'UX Weekly'!$H$1:$CT$1,"&lt;="&amp;EOMONTH(AP$1,0),'UX Weekly'!$H116:$CT116,"&lt;&gt;"))</f>
        <v>0</v>
      </c>
      <c r="AQ116">
        <f>IF($B116="",0,COUNTIFS('UX Weekly'!$H$1:$CT$1,"&gt;="&amp;AQ$1,'UX Weekly'!$H$1:$CT$1,"&lt;="&amp;EOMONTH(AQ$1,0),'UX Weekly'!$H116:$CT116,"&lt;&gt;"))</f>
        <v>0</v>
      </c>
      <c r="AR116">
        <f>IF($B116="",0,COUNTIFS('UX Weekly'!$H$1:$CT$1,"&gt;="&amp;AR$1,'UX Weekly'!$H$1:$CT$1,"&lt;="&amp;EOMONTH(AR$1,0),'UX Weekly'!$H116:$CT116,"&lt;&gt;"))</f>
        <v>0</v>
      </c>
      <c r="AS116">
        <f>IF($B116="",0,COUNTIFS('UX Weekly'!$H$1:$CT$1,"&gt;="&amp;AS$1,'UX Weekly'!$H$1:$CT$1,"&lt;="&amp;EOMONTH(AS$1,0),'UX Weekly'!$H116:$CT116,"&lt;&gt;"))</f>
        <v>0</v>
      </c>
      <c r="AT116">
        <f>IF($B116="",0,COUNTIFS('UX Weekly'!$H$1:$CT$1,"&gt;="&amp;AT$1,'UX Weekly'!$H$1:$CT$1,"&lt;="&amp;EOMONTH(AT$1,0),'UX Weekly'!$H116:$CT116,"&lt;&gt;"))</f>
        <v>0</v>
      </c>
    </row>
    <row r="117" spans="1:46" x14ac:dyDescent="0.2">
      <c r="A117" s="147">
        <v>118</v>
      </c>
      <c r="B117" s="147" t="str">
        <f>IF(TRIM('UX Weekly'!E117)="","",TRIM('UX Weekly'!E117))</f>
        <v/>
      </c>
      <c r="C117" s="147" t="str">
        <f>IF($B117="","",'UX Weekly'!B117)</f>
        <v/>
      </c>
      <c r="D117" s="147" t="str">
        <f>IF($B117="","",IF(TRIM('UX Weekly'!C117)="","(No theme assigned)",TRIM('UX Weekly'!C117)))</f>
        <v/>
      </c>
      <c r="E117" s="147" t="str">
        <f>IF($B117="","",TRIM('UX Weekly'!F117))</f>
        <v/>
      </c>
      <c r="F117" s="147" t="str">
        <f>IF($B117="","",'UX Weekly'!G117)</f>
        <v/>
      </c>
      <c r="G117" s="148" t="str">
        <f t="array" ref="G117">IF($B117="","",IF($S117=0,"",IFERROR(MIN(IF('UX Weekly'!$H117:$CT117&lt;&gt;"",'UX Weekly'!$H$1:$CT$1)),"")))</f>
        <v/>
      </c>
      <c r="H117" s="148" t="str">
        <f t="array" ref="H117">IF($B117="","",IF($S117=0,"",IFERROR(MAX(IF('UX Weekly'!$H117:$CT117&lt;&gt;"",'UX Weekly'!$H$1:$CT$1)),"")))</f>
        <v/>
      </c>
      <c r="I117" s="149" t="str">
        <f t="shared" ca="1" si="9"/>
        <v/>
      </c>
      <c r="J117" s="149" t="str">
        <f t="shared" ca="1" si="10"/>
        <v/>
      </c>
      <c r="K117" s="147" t="str">
        <f>IF($B117="","",IFERROR(MATCH($B117,'Dev Tracker'!$D$2:$D$196,0),IF($E117="","",IFERROR(MATCH($E117,'Dev Tracker'!$E$2:$E$196,0),""))))</f>
        <v/>
      </c>
      <c r="L117" s="147" t="str">
        <f>IF($B117="","",IFERROR(MATCH($D117,'Control (Don’t Touch)'!$E$4:$E$30,0),99))</f>
        <v/>
      </c>
      <c r="M117" s="147" t="str">
        <f>IF($B117="","",IFERROR(MATCH($F117,'Control (Don’t Touch)'!$B$4:$B$30,0),99))</f>
        <v/>
      </c>
      <c r="N117" s="147" t="str">
        <f t="shared" si="11"/>
        <v/>
      </c>
      <c r="O117" s="147" t="str">
        <f>IF($B117="","",COUNTIF($N$2:$N$204,"&lt;"&amp;$N117)+1)</f>
        <v/>
      </c>
      <c r="P117" s="149" t="str">
        <f ca="1">IF($K117="","",IFERROR(DATE(IFERROR(VALUE(RIGHT(TRIM(INDEX('Dev Tracker'!$I$2:$I$196,$K117)),4)),YEAR(TODAY())),MATCH(LEFT(TRIM(INDEX('Dev Tracker'!$I$2:$I$196,$K117)),3),$U$2:$U$12,0),1),""))</f>
        <v/>
      </c>
      <c r="Q117" s="149" t="str">
        <f ca="1">IF($K117="","",IFERROR(DATE(IFERROR(VALUE(RIGHT(TRIM(INDEX('Dev Tracker'!$J$2:$J$196,$K117)),4)),YEAR(TODAY())),MATCH(LEFT(TRIM(INDEX('Dev Tracker'!$J$2:$J$196,$K117)),3),$U$2:$U$12,0),1),""))</f>
        <v/>
      </c>
      <c r="R117" s="147"/>
      <c r="S117" s="147" t="str">
        <f>IF($B117="","",COUNTA('UX Weekly'!$H117:$CT117))</f>
        <v/>
      </c>
      <c r="W117">
        <f>IF($B117="",0,COUNTIFS('UX Weekly'!$H$1:$CT$1,"&gt;="&amp;W$1,'UX Weekly'!$H$1:$CT$1,"&lt;="&amp;EOMONTH(W$1,0),'UX Weekly'!$H117:$CT117,"&lt;&gt;"))</f>
        <v>0</v>
      </c>
      <c r="X117">
        <f>IF($B117="",0,COUNTIFS('UX Weekly'!$H$1:$CT$1,"&gt;="&amp;X$1,'UX Weekly'!$H$1:$CT$1,"&lt;="&amp;EOMONTH(X$1,0),'UX Weekly'!$H117:$CT117,"&lt;&gt;"))</f>
        <v>0</v>
      </c>
      <c r="Y117">
        <f>IF($B117="",0,COUNTIFS('UX Weekly'!$H$1:$CT$1,"&gt;="&amp;Y$1,'UX Weekly'!$H$1:$CT$1,"&lt;="&amp;EOMONTH(Y$1,0),'UX Weekly'!$H117:$CT117,"&lt;&gt;"))</f>
        <v>0</v>
      </c>
      <c r="Z117">
        <f>IF($B117="",0,COUNTIFS('UX Weekly'!$H$1:$CT$1,"&gt;="&amp;Z$1,'UX Weekly'!$H$1:$CT$1,"&lt;="&amp;EOMONTH(Z$1,0),'UX Weekly'!$H117:$CT117,"&lt;&gt;"))</f>
        <v>0</v>
      </c>
      <c r="AA117">
        <f>IF($B117="",0,COUNTIFS('UX Weekly'!$H$1:$CT$1,"&gt;="&amp;AA$1,'UX Weekly'!$H$1:$CT$1,"&lt;="&amp;EOMONTH(AA$1,0),'UX Weekly'!$H117:$CT117,"&lt;&gt;"))</f>
        <v>0</v>
      </c>
      <c r="AB117">
        <f>IF($B117="",0,COUNTIFS('UX Weekly'!$H$1:$CT$1,"&gt;="&amp;AB$1,'UX Weekly'!$H$1:$CT$1,"&lt;="&amp;EOMONTH(AB$1,0),'UX Weekly'!$H117:$CT117,"&lt;&gt;"))</f>
        <v>0</v>
      </c>
      <c r="AC117">
        <f>IF($B117="",0,COUNTIFS('UX Weekly'!$H$1:$CT$1,"&gt;="&amp;AC$1,'UX Weekly'!$H$1:$CT$1,"&lt;="&amp;EOMONTH(AC$1,0),'UX Weekly'!$H117:$CT117,"&lt;&gt;"))</f>
        <v>0</v>
      </c>
      <c r="AD117">
        <f>IF($B117="",0,COUNTIFS('UX Weekly'!$H$1:$CT$1,"&gt;="&amp;AD$1,'UX Weekly'!$H$1:$CT$1,"&lt;="&amp;EOMONTH(AD$1,0),'UX Weekly'!$H117:$CT117,"&lt;&gt;"))</f>
        <v>0</v>
      </c>
      <c r="AE117">
        <f>IF($B117="",0,COUNTIFS('UX Weekly'!$H$1:$CT$1,"&gt;="&amp;AE$1,'UX Weekly'!$H$1:$CT$1,"&lt;="&amp;EOMONTH(AE$1,0),'UX Weekly'!$H117:$CT117,"&lt;&gt;"))</f>
        <v>0</v>
      </c>
      <c r="AF117">
        <f>IF($B117="",0,COUNTIFS('UX Weekly'!$H$1:$CT$1,"&gt;="&amp;AF$1,'UX Weekly'!$H$1:$CT$1,"&lt;="&amp;EOMONTH(AF$1,0),'UX Weekly'!$H117:$CT117,"&lt;&gt;"))</f>
        <v>0</v>
      </c>
      <c r="AG117">
        <f>IF($B117="",0,COUNTIFS('UX Weekly'!$H$1:$CT$1,"&gt;="&amp;AG$1,'UX Weekly'!$H$1:$CT$1,"&lt;="&amp;EOMONTH(AG$1,0),'UX Weekly'!$H117:$CT117,"&lt;&gt;"))</f>
        <v>0</v>
      </c>
      <c r="AH117">
        <f>IF($B117="",0,COUNTIFS('UX Weekly'!$H$1:$CT$1,"&gt;="&amp;AH$1,'UX Weekly'!$H$1:$CT$1,"&lt;="&amp;EOMONTH(AH$1,0),'UX Weekly'!$H117:$CT117,"&lt;&gt;"))</f>
        <v>0</v>
      </c>
      <c r="AI117">
        <f>IF($B117="",0,COUNTIFS('UX Weekly'!$H$1:$CT$1,"&gt;="&amp;AI$1,'UX Weekly'!$H$1:$CT$1,"&lt;="&amp;EOMONTH(AI$1,0),'UX Weekly'!$H117:$CT117,"&lt;&gt;"))</f>
        <v>0</v>
      </c>
      <c r="AJ117">
        <f>IF($B117="",0,COUNTIFS('UX Weekly'!$H$1:$CT$1,"&gt;="&amp;AJ$1,'UX Weekly'!$H$1:$CT$1,"&lt;="&amp;EOMONTH(AJ$1,0),'UX Weekly'!$H117:$CT117,"&lt;&gt;"))</f>
        <v>0</v>
      </c>
      <c r="AK117">
        <f>IF($B117="",0,COUNTIFS('UX Weekly'!$H$1:$CT$1,"&gt;="&amp;AK$1,'UX Weekly'!$H$1:$CT$1,"&lt;="&amp;EOMONTH(AK$1,0),'UX Weekly'!$H117:$CT117,"&lt;&gt;"))</f>
        <v>0</v>
      </c>
      <c r="AL117">
        <f>IF($B117="",0,COUNTIFS('UX Weekly'!$H$1:$CT$1,"&gt;="&amp;AL$1,'UX Weekly'!$H$1:$CT$1,"&lt;="&amp;EOMONTH(AL$1,0),'UX Weekly'!$H117:$CT117,"&lt;&gt;"))</f>
        <v>0</v>
      </c>
      <c r="AM117">
        <f>IF($B117="",0,COUNTIFS('UX Weekly'!$H$1:$CT$1,"&gt;="&amp;AM$1,'UX Weekly'!$H$1:$CT$1,"&lt;="&amp;EOMONTH(AM$1,0),'UX Weekly'!$H117:$CT117,"&lt;&gt;"))</f>
        <v>0</v>
      </c>
      <c r="AN117">
        <f>IF($B117="",0,COUNTIFS('UX Weekly'!$H$1:$CT$1,"&gt;="&amp;AN$1,'UX Weekly'!$H$1:$CT$1,"&lt;="&amp;EOMONTH(AN$1,0),'UX Weekly'!$H117:$CT117,"&lt;&gt;"))</f>
        <v>0</v>
      </c>
      <c r="AO117">
        <f>IF($B117="",0,COUNTIFS('UX Weekly'!$H$1:$CT$1,"&gt;="&amp;AO$1,'UX Weekly'!$H$1:$CT$1,"&lt;="&amp;EOMONTH(AO$1,0),'UX Weekly'!$H117:$CT117,"&lt;&gt;"))</f>
        <v>0</v>
      </c>
      <c r="AP117">
        <f>IF($B117="",0,COUNTIFS('UX Weekly'!$H$1:$CT$1,"&gt;="&amp;AP$1,'UX Weekly'!$H$1:$CT$1,"&lt;="&amp;EOMONTH(AP$1,0),'UX Weekly'!$H117:$CT117,"&lt;&gt;"))</f>
        <v>0</v>
      </c>
      <c r="AQ117">
        <f>IF($B117="",0,COUNTIFS('UX Weekly'!$H$1:$CT$1,"&gt;="&amp;AQ$1,'UX Weekly'!$H$1:$CT$1,"&lt;="&amp;EOMONTH(AQ$1,0),'UX Weekly'!$H117:$CT117,"&lt;&gt;"))</f>
        <v>0</v>
      </c>
      <c r="AR117">
        <f>IF($B117="",0,COUNTIFS('UX Weekly'!$H$1:$CT$1,"&gt;="&amp;AR$1,'UX Weekly'!$H$1:$CT$1,"&lt;="&amp;EOMONTH(AR$1,0),'UX Weekly'!$H117:$CT117,"&lt;&gt;"))</f>
        <v>0</v>
      </c>
      <c r="AS117">
        <f>IF($B117="",0,COUNTIFS('UX Weekly'!$H$1:$CT$1,"&gt;="&amp;AS$1,'UX Weekly'!$H$1:$CT$1,"&lt;="&amp;EOMONTH(AS$1,0),'UX Weekly'!$H117:$CT117,"&lt;&gt;"))</f>
        <v>0</v>
      </c>
      <c r="AT117">
        <f>IF($B117="",0,COUNTIFS('UX Weekly'!$H$1:$CT$1,"&gt;="&amp;AT$1,'UX Weekly'!$H$1:$CT$1,"&lt;="&amp;EOMONTH(AT$1,0),'UX Weekly'!$H117:$CT117,"&lt;&gt;"))</f>
        <v>0</v>
      </c>
    </row>
    <row r="118" spans="1:46" x14ac:dyDescent="0.2">
      <c r="A118" s="147">
        <v>119</v>
      </c>
      <c r="B118" s="147" t="str">
        <f>IF(TRIM('UX Weekly'!E118)="","",TRIM('UX Weekly'!E118))</f>
        <v/>
      </c>
      <c r="C118" s="147" t="str">
        <f>IF($B118="","",'UX Weekly'!B118)</f>
        <v/>
      </c>
      <c r="D118" s="147" t="str">
        <f>IF($B118="","",IF(TRIM('UX Weekly'!C118)="","(No theme assigned)",TRIM('UX Weekly'!C118)))</f>
        <v/>
      </c>
      <c r="E118" s="147" t="str">
        <f>IF($B118="","",TRIM('UX Weekly'!F118))</f>
        <v/>
      </c>
      <c r="F118" s="147" t="str">
        <f>IF($B118="","",'UX Weekly'!G118)</f>
        <v/>
      </c>
      <c r="G118" s="148" t="str">
        <f t="array" ref="G118">IF($B118="","",IF($S118=0,"",IFERROR(MIN(IF('UX Weekly'!$H118:$CT118&lt;&gt;"",'UX Weekly'!$H$1:$CT$1)),"")))</f>
        <v/>
      </c>
      <c r="H118" s="148" t="str">
        <f t="array" ref="H118">IF($B118="","",IF($S118=0,"",IFERROR(MAX(IF('UX Weekly'!$H118:$CT118&lt;&gt;"",'UX Weekly'!$H$1:$CT$1)),"")))</f>
        <v/>
      </c>
      <c r="I118" s="149" t="str">
        <f t="shared" ca="1" si="9"/>
        <v/>
      </c>
      <c r="J118" s="149" t="str">
        <f t="shared" ca="1" si="10"/>
        <v/>
      </c>
      <c r="K118" s="147" t="str">
        <f>IF($B118="","",IFERROR(MATCH($B118,'Dev Tracker'!$D$2:$D$196,0),IF($E118="","",IFERROR(MATCH($E118,'Dev Tracker'!$E$2:$E$196,0),""))))</f>
        <v/>
      </c>
      <c r="L118" s="147" t="str">
        <f>IF($B118="","",IFERROR(MATCH($D118,'Control (Don’t Touch)'!$E$4:$E$30,0),99))</f>
        <v/>
      </c>
      <c r="M118" s="147" t="str">
        <f>IF($B118="","",IFERROR(MATCH($F118,'Control (Don’t Touch)'!$B$4:$B$30,0),99))</f>
        <v/>
      </c>
      <c r="N118" s="147" t="str">
        <f t="shared" si="11"/>
        <v/>
      </c>
      <c r="O118" s="147" t="str">
        <f>IF($B118="","",COUNTIF($N$2:$N$204,"&lt;"&amp;$N118)+1)</f>
        <v/>
      </c>
      <c r="P118" s="149" t="str">
        <f ca="1">IF($K118="","",IFERROR(DATE(IFERROR(VALUE(RIGHT(TRIM(INDEX('Dev Tracker'!$I$2:$I$196,$K118)),4)),YEAR(TODAY())),MATCH(LEFT(TRIM(INDEX('Dev Tracker'!$I$2:$I$196,$K118)),3),$U$2:$U$12,0),1),""))</f>
        <v/>
      </c>
      <c r="Q118" s="149" t="str">
        <f ca="1">IF($K118="","",IFERROR(DATE(IFERROR(VALUE(RIGHT(TRIM(INDEX('Dev Tracker'!$J$2:$J$196,$K118)),4)),YEAR(TODAY())),MATCH(LEFT(TRIM(INDEX('Dev Tracker'!$J$2:$J$196,$K118)),3),$U$2:$U$12,0),1),""))</f>
        <v/>
      </c>
      <c r="R118" s="147"/>
      <c r="S118" s="147" t="str">
        <f>IF($B118="","",COUNTA('UX Weekly'!$H118:$CT118))</f>
        <v/>
      </c>
      <c r="W118">
        <f>IF($B118="",0,COUNTIFS('UX Weekly'!$H$1:$CT$1,"&gt;="&amp;W$1,'UX Weekly'!$H$1:$CT$1,"&lt;="&amp;EOMONTH(W$1,0),'UX Weekly'!$H118:$CT118,"&lt;&gt;"))</f>
        <v>0</v>
      </c>
      <c r="X118">
        <f>IF($B118="",0,COUNTIFS('UX Weekly'!$H$1:$CT$1,"&gt;="&amp;X$1,'UX Weekly'!$H$1:$CT$1,"&lt;="&amp;EOMONTH(X$1,0),'UX Weekly'!$H118:$CT118,"&lt;&gt;"))</f>
        <v>0</v>
      </c>
      <c r="Y118">
        <f>IF($B118="",0,COUNTIFS('UX Weekly'!$H$1:$CT$1,"&gt;="&amp;Y$1,'UX Weekly'!$H$1:$CT$1,"&lt;="&amp;EOMONTH(Y$1,0),'UX Weekly'!$H118:$CT118,"&lt;&gt;"))</f>
        <v>0</v>
      </c>
      <c r="Z118">
        <f>IF($B118="",0,COUNTIFS('UX Weekly'!$H$1:$CT$1,"&gt;="&amp;Z$1,'UX Weekly'!$H$1:$CT$1,"&lt;="&amp;EOMONTH(Z$1,0),'UX Weekly'!$H118:$CT118,"&lt;&gt;"))</f>
        <v>0</v>
      </c>
      <c r="AA118">
        <f>IF($B118="",0,COUNTIFS('UX Weekly'!$H$1:$CT$1,"&gt;="&amp;AA$1,'UX Weekly'!$H$1:$CT$1,"&lt;="&amp;EOMONTH(AA$1,0),'UX Weekly'!$H118:$CT118,"&lt;&gt;"))</f>
        <v>0</v>
      </c>
      <c r="AB118">
        <f>IF($B118="",0,COUNTIFS('UX Weekly'!$H$1:$CT$1,"&gt;="&amp;AB$1,'UX Weekly'!$H$1:$CT$1,"&lt;="&amp;EOMONTH(AB$1,0),'UX Weekly'!$H118:$CT118,"&lt;&gt;"))</f>
        <v>0</v>
      </c>
      <c r="AC118">
        <f>IF($B118="",0,COUNTIFS('UX Weekly'!$H$1:$CT$1,"&gt;="&amp;AC$1,'UX Weekly'!$H$1:$CT$1,"&lt;="&amp;EOMONTH(AC$1,0),'UX Weekly'!$H118:$CT118,"&lt;&gt;"))</f>
        <v>0</v>
      </c>
      <c r="AD118">
        <f>IF($B118="",0,COUNTIFS('UX Weekly'!$H$1:$CT$1,"&gt;="&amp;AD$1,'UX Weekly'!$H$1:$CT$1,"&lt;="&amp;EOMONTH(AD$1,0),'UX Weekly'!$H118:$CT118,"&lt;&gt;"))</f>
        <v>0</v>
      </c>
      <c r="AE118">
        <f>IF($B118="",0,COUNTIFS('UX Weekly'!$H$1:$CT$1,"&gt;="&amp;AE$1,'UX Weekly'!$H$1:$CT$1,"&lt;="&amp;EOMONTH(AE$1,0),'UX Weekly'!$H118:$CT118,"&lt;&gt;"))</f>
        <v>0</v>
      </c>
      <c r="AF118">
        <f>IF($B118="",0,COUNTIFS('UX Weekly'!$H$1:$CT$1,"&gt;="&amp;AF$1,'UX Weekly'!$H$1:$CT$1,"&lt;="&amp;EOMONTH(AF$1,0),'UX Weekly'!$H118:$CT118,"&lt;&gt;"))</f>
        <v>0</v>
      </c>
      <c r="AG118">
        <f>IF($B118="",0,COUNTIFS('UX Weekly'!$H$1:$CT$1,"&gt;="&amp;AG$1,'UX Weekly'!$H$1:$CT$1,"&lt;="&amp;EOMONTH(AG$1,0),'UX Weekly'!$H118:$CT118,"&lt;&gt;"))</f>
        <v>0</v>
      </c>
      <c r="AH118">
        <f>IF($B118="",0,COUNTIFS('UX Weekly'!$H$1:$CT$1,"&gt;="&amp;AH$1,'UX Weekly'!$H$1:$CT$1,"&lt;="&amp;EOMONTH(AH$1,0),'UX Weekly'!$H118:$CT118,"&lt;&gt;"))</f>
        <v>0</v>
      </c>
      <c r="AI118">
        <f>IF($B118="",0,COUNTIFS('UX Weekly'!$H$1:$CT$1,"&gt;="&amp;AI$1,'UX Weekly'!$H$1:$CT$1,"&lt;="&amp;EOMONTH(AI$1,0),'UX Weekly'!$H118:$CT118,"&lt;&gt;"))</f>
        <v>0</v>
      </c>
      <c r="AJ118">
        <f>IF($B118="",0,COUNTIFS('UX Weekly'!$H$1:$CT$1,"&gt;="&amp;AJ$1,'UX Weekly'!$H$1:$CT$1,"&lt;="&amp;EOMONTH(AJ$1,0),'UX Weekly'!$H118:$CT118,"&lt;&gt;"))</f>
        <v>0</v>
      </c>
      <c r="AK118">
        <f>IF($B118="",0,COUNTIFS('UX Weekly'!$H$1:$CT$1,"&gt;="&amp;AK$1,'UX Weekly'!$H$1:$CT$1,"&lt;="&amp;EOMONTH(AK$1,0),'UX Weekly'!$H118:$CT118,"&lt;&gt;"))</f>
        <v>0</v>
      </c>
      <c r="AL118">
        <f>IF($B118="",0,COUNTIFS('UX Weekly'!$H$1:$CT$1,"&gt;="&amp;AL$1,'UX Weekly'!$H$1:$CT$1,"&lt;="&amp;EOMONTH(AL$1,0),'UX Weekly'!$H118:$CT118,"&lt;&gt;"))</f>
        <v>0</v>
      </c>
      <c r="AM118">
        <f>IF($B118="",0,COUNTIFS('UX Weekly'!$H$1:$CT$1,"&gt;="&amp;AM$1,'UX Weekly'!$H$1:$CT$1,"&lt;="&amp;EOMONTH(AM$1,0),'UX Weekly'!$H118:$CT118,"&lt;&gt;"))</f>
        <v>0</v>
      </c>
      <c r="AN118">
        <f>IF($B118="",0,COUNTIFS('UX Weekly'!$H$1:$CT$1,"&gt;="&amp;AN$1,'UX Weekly'!$H$1:$CT$1,"&lt;="&amp;EOMONTH(AN$1,0),'UX Weekly'!$H118:$CT118,"&lt;&gt;"))</f>
        <v>0</v>
      </c>
      <c r="AO118">
        <f>IF($B118="",0,COUNTIFS('UX Weekly'!$H$1:$CT$1,"&gt;="&amp;AO$1,'UX Weekly'!$H$1:$CT$1,"&lt;="&amp;EOMONTH(AO$1,0),'UX Weekly'!$H118:$CT118,"&lt;&gt;"))</f>
        <v>0</v>
      </c>
      <c r="AP118">
        <f>IF($B118="",0,COUNTIFS('UX Weekly'!$H$1:$CT$1,"&gt;="&amp;AP$1,'UX Weekly'!$H$1:$CT$1,"&lt;="&amp;EOMONTH(AP$1,0),'UX Weekly'!$H118:$CT118,"&lt;&gt;"))</f>
        <v>0</v>
      </c>
      <c r="AQ118">
        <f>IF($B118="",0,COUNTIFS('UX Weekly'!$H$1:$CT$1,"&gt;="&amp;AQ$1,'UX Weekly'!$H$1:$CT$1,"&lt;="&amp;EOMONTH(AQ$1,0),'UX Weekly'!$H118:$CT118,"&lt;&gt;"))</f>
        <v>0</v>
      </c>
      <c r="AR118">
        <f>IF($B118="",0,COUNTIFS('UX Weekly'!$H$1:$CT$1,"&gt;="&amp;AR$1,'UX Weekly'!$H$1:$CT$1,"&lt;="&amp;EOMONTH(AR$1,0),'UX Weekly'!$H118:$CT118,"&lt;&gt;"))</f>
        <v>0</v>
      </c>
      <c r="AS118">
        <f>IF($B118="",0,COUNTIFS('UX Weekly'!$H$1:$CT$1,"&gt;="&amp;AS$1,'UX Weekly'!$H$1:$CT$1,"&lt;="&amp;EOMONTH(AS$1,0),'UX Weekly'!$H118:$CT118,"&lt;&gt;"))</f>
        <v>0</v>
      </c>
      <c r="AT118">
        <f>IF($B118="",0,COUNTIFS('UX Weekly'!$H$1:$CT$1,"&gt;="&amp;AT$1,'UX Weekly'!$H$1:$CT$1,"&lt;="&amp;EOMONTH(AT$1,0),'UX Weekly'!$H118:$CT118,"&lt;&gt;"))</f>
        <v>0</v>
      </c>
    </row>
    <row r="119" spans="1:46" x14ac:dyDescent="0.2">
      <c r="A119" s="147">
        <v>120</v>
      </c>
      <c r="B119" s="147" t="str">
        <f>IF(TRIM('UX Weekly'!E119)="","",TRIM('UX Weekly'!E119))</f>
        <v/>
      </c>
      <c r="C119" s="147" t="str">
        <f>IF($B119="","",'UX Weekly'!B119)</f>
        <v/>
      </c>
      <c r="D119" s="147" t="str">
        <f>IF($B119="","",IF(TRIM('UX Weekly'!C119)="","(No theme assigned)",TRIM('UX Weekly'!C119)))</f>
        <v/>
      </c>
      <c r="E119" s="147" t="str">
        <f>IF($B119="","",TRIM('UX Weekly'!F119))</f>
        <v/>
      </c>
      <c r="F119" s="147" t="str">
        <f>IF($B119="","",'UX Weekly'!G119)</f>
        <v/>
      </c>
      <c r="G119" s="148" t="str">
        <f t="array" ref="G119">IF($B119="","",IF($S119=0,"",IFERROR(MIN(IF('UX Weekly'!$H119:$CT119&lt;&gt;"",'UX Weekly'!$H$1:$CT$1)),"")))</f>
        <v/>
      </c>
      <c r="H119" s="148" t="str">
        <f t="array" ref="H119">IF($B119="","",IF($S119=0,"",IFERROR(MAX(IF('UX Weekly'!$H119:$CT119&lt;&gt;"",'UX Weekly'!$H$1:$CT$1)),"")))</f>
        <v/>
      </c>
      <c r="I119" s="149" t="str">
        <f t="shared" ca="1" si="9"/>
        <v/>
      </c>
      <c r="J119" s="149" t="str">
        <f t="shared" ca="1" si="10"/>
        <v/>
      </c>
      <c r="K119" s="147" t="str">
        <f>IF($B119="","",IFERROR(MATCH($B119,'Dev Tracker'!$D$2:$D$196,0),IF($E119="","",IFERROR(MATCH($E119,'Dev Tracker'!$E$2:$E$196,0),""))))</f>
        <v/>
      </c>
      <c r="L119" s="147" t="str">
        <f>IF($B119="","",IFERROR(MATCH($D119,'Control (Don’t Touch)'!$E$4:$E$30,0),99))</f>
        <v/>
      </c>
      <c r="M119" s="147" t="str">
        <f>IF($B119="","",IFERROR(MATCH($F119,'Control (Don’t Touch)'!$B$4:$B$30,0),99))</f>
        <v/>
      </c>
      <c r="N119" s="147" t="str">
        <f t="shared" si="11"/>
        <v/>
      </c>
      <c r="O119" s="147" t="str">
        <f>IF($B119="","",COUNTIF($N$2:$N$204,"&lt;"&amp;$N119)+1)</f>
        <v/>
      </c>
      <c r="P119" s="149" t="str">
        <f ca="1">IF($K119="","",IFERROR(DATE(IFERROR(VALUE(RIGHT(TRIM(INDEX('Dev Tracker'!$I$2:$I$196,$K119)),4)),YEAR(TODAY())),MATCH(LEFT(TRIM(INDEX('Dev Tracker'!$I$2:$I$196,$K119)),3),$U$2:$U$12,0),1),""))</f>
        <v/>
      </c>
      <c r="Q119" s="149" t="str">
        <f ca="1">IF($K119="","",IFERROR(DATE(IFERROR(VALUE(RIGHT(TRIM(INDEX('Dev Tracker'!$J$2:$J$196,$K119)),4)),YEAR(TODAY())),MATCH(LEFT(TRIM(INDEX('Dev Tracker'!$J$2:$J$196,$K119)),3),$U$2:$U$12,0),1),""))</f>
        <v/>
      </c>
      <c r="R119" s="147"/>
      <c r="S119" s="147" t="str">
        <f>IF($B119="","",COUNTA('UX Weekly'!$H119:$CT119))</f>
        <v/>
      </c>
      <c r="W119">
        <f>IF($B119="",0,COUNTIFS('UX Weekly'!$H$1:$CT$1,"&gt;="&amp;W$1,'UX Weekly'!$H$1:$CT$1,"&lt;="&amp;EOMONTH(W$1,0),'UX Weekly'!$H119:$CT119,"&lt;&gt;"))</f>
        <v>0</v>
      </c>
      <c r="X119">
        <f>IF($B119="",0,COUNTIFS('UX Weekly'!$H$1:$CT$1,"&gt;="&amp;X$1,'UX Weekly'!$H$1:$CT$1,"&lt;="&amp;EOMONTH(X$1,0),'UX Weekly'!$H119:$CT119,"&lt;&gt;"))</f>
        <v>0</v>
      </c>
      <c r="Y119">
        <f>IF($B119="",0,COUNTIFS('UX Weekly'!$H$1:$CT$1,"&gt;="&amp;Y$1,'UX Weekly'!$H$1:$CT$1,"&lt;="&amp;EOMONTH(Y$1,0),'UX Weekly'!$H119:$CT119,"&lt;&gt;"))</f>
        <v>0</v>
      </c>
      <c r="Z119">
        <f>IF($B119="",0,COUNTIFS('UX Weekly'!$H$1:$CT$1,"&gt;="&amp;Z$1,'UX Weekly'!$H$1:$CT$1,"&lt;="&amp;EOMONTH(Z$1,0),'UX Weekly'!$H119:$CT119,"&lt;&gt;"))</f>
        <v>0</v>
      </c>
      <c r="AA119">
        <f>IF($B119="",0,COUNTIFS('UX Weekly'!$H$1:$CT$1,"&gt;="&amp;AA$1,'UX Weekly'!$H$1:$CT$1,"&lt;="&amp;EOMONTH(AA$1,0),'UX Weekly'!$H119:$CT119,"&lt;&gt;"))</f>
        <v>0</v>
      </c>
      <c r="AB119">
        <f>IF($B119="",0,COUNTIFS('UX Weekly'!$H$1:$CT$1,"&gt;="&amp;AB$1,'UX Weekly'!$H$1:$CT$1,"&lt;="&amp;EOMONTH(AB$1,0),'UX Weekly'!$H119:$CT119,"&lt;&gt;"))</f>
        <v>0</v>
      </c>
      <c r="AC119">
        <f>IF($B119="",0,COUNTIFS('UX Weekly'!$H$1:$CT$1,"&gt;="&amp;AC$1,'UX Weekly'!$H$1:$CT$1,"&lt;="&amp;EOMONTH(AC$1,0),'UX Weekly'!$H119:$CT119,"&lt;&gt;"))</f>
        <v>0</v>
      </c>
      <c r="AD119">
        <f>IF($B119="",0,COUNTIFS('UX Weekly'!$H$1:$CT$1,"&gt;="&amp;AD$1,'UX Weekly'!$H$1:$CT$1,"&lt;="&amp;EOMONTH(AD$1,0),'UX Weekly'!$H119:$CT119,"&lt;&gt;"))</f>
        <v>0</v>
      </c>
      <c r="AE119">
        <f>IF($B119="",0,COUNTIFS('UX Weekly'!$H$1:$CT$1,"&gt;="&amp;AE$1,'UX Weekly'!$H$1:$CT$1,"&lt;="&amp;EOMONTH(AE$1,0),'UX Weekly'!$H119:$CT119,"&lt;&gt;"))</f>
        <v>0</v>
      </c>
      <c r="AF119">
        <f>IF($B119="",0,COUNTIFS('UX Weekly'!$H$1:$CT$1,"&gt;="&amp;AF$1,'UX Weekly'!$H$1:$CT$1,"&lt;="&amp;EOMONTH(AF$1,0),'UX Weekly'!$H119:$CT119,"&lt;&gt;"))</f>
        <v>0</v>
      </c>
      <c r="AG119">
        <f>IF($B119="",0,COUNTIFS('UX Weekly'!$H$1:$CT$1,"&gt;="&amp;AG$1,'UX Weekly'!$H$1:$CT$1,"&lt;="&amp;EOMONTH(AG$1,0),'UX Weekly'!$H119:$CT119,"&lt;&gt;"))</f>
        <v>0</v>
      </c>
      <c r="AH119">
        <f>IF($B119="",0,COUNTIFS('UX Weekly'!$H$1:$CT$1,"&gt;="&amp;AH$1,'UX Weekly'!$H$1:$CT$1,"&lt;="&amp;EOMONTH(AH$1,0),'UX Weekly'!$H119:$CT119,"&lt;&gt;"))</f>
        <v>0</v>
      </c>
      <c r="AI119">
        <f>IF($B119="",0,COUNTIFS('UX Weekly'!$H$1:$CT$1,"&gt;="&amp;AI$1,'UX Weekly'!$H$1:$CT$1,"&lt;="&amp;EOMONTH(AI$1,0),'UX Weekly'!$H119:$CT119,"&lt;&gt;"))</f>
        <v>0</v>
      </c>
      <c r="AJ119">
        <f>IF($B119="",0,COUNTIFS('UX Weekly'!$H$1:$CT$1,"&gt;="&amp;AJ$1,'UX Weekly'!$H$1:$CT$1,"&lt;="&amp;EOMONTH(AJ$1,0),'UX Weekly'!$H119:$CT119,"&lt;&gt;"))</f>
        <v>0</v>
      </c>
      <c r="AK119">
        <f>IF($B119="",0,COUNTIFS('UX Weekly'!$H$1:$CT$1,"&gt;="&amp;AK$1,'UX Weekly'!$H$1:$CT$1,"&lt;="&amp;EOMONTH(AK$1,0),'UX Weekly'!$H119:$CT119,"&lt;&gt;"))</f>
        <v>0</v>
      </c>
      <c r="AL119">
        <f>IF($B119="",0,COUNTIFS('UX Weekly'!$H$1:$CT$1,"&gt;="&amp;AL$1,'UX Weekly'!$H$1:$CT$1,"&lt;="&amp;EOMONTH(AL$1,0),'UX Weekly'!$H119:$CT119,"&lt;&gt;"))</f>
        <v>0</v>
      </c>
      <c r="AM119">
        <f>IF($B119="",0,COUNTIFS('UX Weekly'!$H$1:$CT$1,"&gt;="&amp;AM$1,'UX Weekly'!$H$1:$CT$1,"&lt;="&amp;EOMONTH(AM$1,0),'UX Weekly'!$H119:$CT119,"&lt;&gt;"))</f>
        <v>0</v>
      </c>
      <c r="AN119">
        <f>IF($B119="",0,COUNTIFS('UX Weekly'!$H$1:$CT$1,"&gt;="&amp;AN$1,'UX Weekly'!$H$1:$CT$1,"&lt;="&amp;EOMONTH(AN$1,0),'UX Weekly'!$H119:$CT119,"&lt;&gt;"))</f>
        <v>0</v>
      </c>
      <c r="AO119">
        <f>IF($B119="",0,COUNTIFS('UX Weekly'!$H$1:$CT$1,"&gt;="&amp;AO$1,'UX Weekly'!$H$1:$CT$1,"&lt;="&amp;EOMONTH(AO$1,0),'UX Weekly'!$H119:$CT119,"&lt;&gt;"))</f>
        <v>0</v>
      </c>
      <c r="AP119">
        <f>IF($B119="",0,COUNTIFS('UX Weekly'!$H$1:$CT$1,"&gt;="&amp;AP$1,'UX Weekly'!$H$1:$CT$1,"&lt;="&amp;EOMONTH(AP$1,0),'UX Weekly'!$H119:$CT119,"&lt;&gt;"))</f>
        <v>0</v>
      </c>
      <c r="AQ119">
        <f>IF($B119="",0,COUNTIFS('UX Weekly'!$H$1:$CT$1,"&gt;="&amp;AQ$1,'UX Weekly'!$H$1:$CT$1,"&lt;="&amp;EOMONTH(AQ$1,0),'UX Weekly'!$H119:$CT119,"&lt;&gt;"))</f>
        <v>0</v>
      </c>
      <c r="AR119">
        <f>IF($B119="",0,COUNTIFS('UX Weekly'!$H$1:$CT$1,"&gt;="&amp;AR$1,'UX Weekly'!$H$1:$CT$1,"&lt;="&amp;EOMONTH(AR$1,0),'UX Weekly'!$H119:$CT119,"&lt;&gt;"))</f>
        <v>0</v>
      </c>
      <c r="AS119">
        <f>IF($B119="",0,COUNTIFS('UX Weekly'!$H$1:$CT$1,"&gt;="&amp;AS$1,'UX Weekly'!$H$1:$CT$1,"&lt;="&amp;EOMONTH(AS$1,0),'UX Weekly'!$H119:$CT119,"&lt;&gt;"))</f>
        <v>0</v>
      </c>
      <c r="AT119">
        <f>IF($B119="",0,COUNTIFS('UX Weekly'!$H$1:$CT$1,"&gt;="&amp;AT$1,'UX Weekly'!$H$1:$CT$1,"&lt;="&amp;EOMONTH(AT$1,0),'UX Weekly'!$H119:$CT119,"&lt;&gt;"))</f>
        <v>0</v>
      </c>
    </row>
    <row r="120" spans="1:46" x14ac:dyDescent="0.2">
      <c r="A120" s="147">
        <v>121</v>
      </c>
      <c r="B120" s="147" t="str">
        <f>IF(TRIM('UX Weekly'!E120)="","",TRIM('UX Weekly'!E120))</f>
        <v/>
      </c>
      <c r="C120" s="147" t="str">
        <f>IF($B120="","",'UX Weekly'!B120)</f>
        <v/>
      </c>
      <c r="D120" s="147" t="str">
        <f>IF($B120="","",IF(TRIM('UX Weekly'!C120)="","(No theme assigned)",TRIM('UX Weekly'!C120)))</f>
        <v/>
      </c>
      <c r="E120" s="147" t="str">
        <f>IF($B120="","",TRIM('UX Weekly'!F120))</f>
        <v/>
      </c>
      <c r="F120" s="147" t="str">
        <f>IF($B120="","",'UX Weekly'!G120)</f>
        <v/>
      </c>
      <c r="G120" s="148" t="str">
        <f t="array" ref="G120">IF($B120="","",IF($S120=0,"",IFERROR(MIN(IF('UX Weekly'!$H120:$CT120&lt;&gt;"",'UX Weekly'!$H$1:$CT$1)),"")))</f>
        <v/>
      </c>
      <c r="H120" s="148" t="str">
        <f t="array" ref="H120">IF($B120="","",IF($S120=0,"",IFERROR(MAX(IF('UX Weekly'!$H120:$CT120&lt;&gt;"",'UX Weekly'!$H$1:$CT$1)),"")))</f>
        <v/>
      </c>
      <c r="I120" s="149" t="str">
        <f t="shared" ca="1" si="9"/>
        <v/>
      </c>
      <c r="J120" s="149" t="str">
        <f t="shared" ca="1" si="10"/>
        <v/>
      </c>
      <c r="K120" s="147" t="str">
        <f>IF($B120="","",IFERROR(MATCH($B120,'Dev Tracker'!$D$2:$D$196,0),IF($E120="","",IFERROR(MATCH($E120,'Dev Tracker'!$E$2:$E$196,0),""))))</f>
        <v/>
      </c>
      <c r="L120" s="147" t="str">
        <f>IF($B120="","",IFERROR(MATCH($D120,'Control (Don’t Touch)'!$E$4:$E$30,0),99))</f>
        <v/>
      </c>
      <c r="M120" s="147" t="str">
        <f>IF($B120="","",IFERROR(MATCH($F120,'Control (Don’t Touch)'!$B$4:$B$30,0),99))</f>
        <v/>
      </c>
      <c r="N120" s="147" t="str">
        <f t="shared" si="11"/>
        <v/>
      </c>
      <c r="O120" s="147" t="str">
        <f>IF($B120="","",COUNTIF($N$2:$N$204,"&lt;"&amp;$N120)+1)</f>
        <v/>
      </c>
      <c r="P120" s="149" t="str">
        <f ca="1">IF($K120="","",IFERROR(DATE(IFERROR(VALUE(RIGHT(TRIM(INDEX('Dev Tracker'!$I$2:$I$196,$K120)),4)),YEAR(TODAY())),MATCH(LEFT(TRIM(INDEX('Dev Tracker'!$I$2:$I$196,$K120)),3),$U$2:$U$12,0),1),""))</f>
        <v/>
      </c>
      <c r="Q120" s="149" t="str">
        <f ca="1">IF($K120="","",IFERROR(DATE(IFERROR(VALUE(RIGHT(TRIM(INDEX('Dev Tracker'!$J$2:$J$196,$K120)),4)),YEAR(TODAY())),MATCH(LEFT(TRIM(INDEX('Dev Tracker'!$J$2:$J$196,$K120)),3),$U$2:$U$12,0),1),""))</f>
        <v/>
      </c>
      <c r="R120" s="147"/>
      <c r="S120" s="147" t="str">
        <f>IF($B120="","",COUNTA('UX Weekly'!$H120:$CT120))</f>
        <v/>
      </c>
      <c r="W120">
        <f>IF($B120="",0,COUNTIFS('UX Weekly'!$H$1:$CT$1,"&gt;="&amp;W$1,'UX Weekly'!$H$1:$CT$1,"&lt;="&amp;EOMONTH(W$1,0),'UX Weekly'!$H120:$CT120,"&lt;&gt;"))</f>
        <v>0</v>
      </c>
      <c r="X120">
        <f>IF($B120="",0,COUNTIFS('UX Weekly'!$H$1:$CT$1,"&gt;="&amp;X$1,'UX Weekly'!$H$1:$CT$1,"&lt;="&amp;EOMONTH(X$1,0),'UX Weekly'!$H120:$CT120,"&lt;&gt;"))</f>
        <v>0</v>
      </c>
      <c r="Y120">
        <f>IF($B120="",0,COUNTIFS('UX Weekly'!$H$1:$CT$1,"&gt;="&amp;Y$1,'UX Weekly'!$H$1:$CT$1,"&lt;="&amp;EOMONTH(Y$1,0),'UX Weekly'!$H120:$CT120,"&lt;&gt;"))</f>
        <v>0</v>
      </c>
      <c r="Z120">
        <f>IF($B120="",0,COUNTIFS('UX Weekly'!$H$1:$CT$1,"&gt;="&amp;Z$1,'UX Weekly'!$H$1:$CT$1,"&lt;="&amp;EOMONTH(Z$1,0),'UX Weekly'!$H120:$CT120,"&lt;&gt;"))</f>
        <v>0</v>
      </c>
      <c r="AA120">
        <f>IF($B120="",0,COUNTIFS('UX Weekly'!$H$1:$CT$1,"&gt;="&amp;AA$1,'UX Weekly'!$H$1:$CT$1,"&lt;="&amp;EOMONTH(AA$1,0),'UX Weekly'!$H120:$CT120,"&lt;&gt;"))</f>
        <v>0</v>
      </c>
      <c r="AB120">
        <f>IF($B120="",0,COUNTIFS('UX Weekly'!$H$1:$CT$1,"&gt;="&amp;AB$1,'UX Weekly'!$H$1:$CT$1,"&lt;="&amp;EOMONTH(AB$1,0),'UX Weekly'!$H120:$CT120,"&lt;&gt;"))</f>
        <v>0</v>
      </c>
      <c r="AC120">
        <f>IF($B120="",0,COUNTIFS('UX Weekly'!$H$1:$CT$1,"&gt;="&amp;AC$1,'UX Weekly'!$H$1:$CT$1,"&lt;="&amp;EOMONTH(AC$1,0),'UX Weekly'!$H120:$CT120,"&lt;&gt;"))</f>
        <v>0</v>
      </c>
      <c r="AD120">
        <f>IF($B120="",0,COUNTIFS('UX Weekly'!$H$1:$CT$1,"&gt;="&amp;AD$1,'UX Weekly'!$H$1:$CT$1,"&lt;="&amp;EOMONTH(AD$1,0),'UX Weekly'!$H120:$CT120,"&lt;&gt;"))</f>
        <v>0</v>
      </c>
      <c r="AE120">
        <f>IF($B120="",0,COUNTIFS('UX Weekly'!$H$1:$CT$1,"&gt;="&amp;AE$1,'UX Weekly'!$H$1:$CT$1,"&lt;="&amp;EOMONTH(AE$1,0),'UX Weekly'!$H120:$CT120,"&lt;&gt;"))</f>
        <v>0</v>
      </c>
      <c r="AF120">
        <f>IF($B120="",0,COUNTIFS('UX Weekly'!$H$1:$CT$1,"&gt;="&amp;AF$1,'UX Weekly'!$H$1:$CT$1,"&lt;="&amp;EOMONTH(AF$1,0),'UX Weekly'!$H120:$CT120,"&lt;&gt;"))</f>
        <v>0</v>
      </c>
      <c r="AG120">
        <f>IF($B120="",0,COUNTIFS('UX Weekly'!$H$1:$CT$1,"&gt;="&amp;AG$1,'UX Weekly'!$H$1:$CT$1,"&lt;="&amp;EOMONTH(AG$1,0),'UX Weekly'!$H120:$CT120,"&lt;&gt;"))</f>
        <v>0</v>
      </c>
      <c r="AH120">
        <f>IF($B120="",0,COUNTIFS('UX Weekly'!$H$1:$CT$1,"&gt;="&amp;AH$1,'UX Weekly'!$H$1:$CT$1,"&lt;="&amp;EOMONTH(AH$1,0),'UX Weekly'!$H120:$CT120,"&lt;&gt;"))</f>
        <v>0</v>
      </c>
      <c r="AI120">
        <f>IF($B120="",0,COUNTIFS('UX Weekly'!$H$1:$CT$1,"&gt;="&amp;AI$1,'UX Weekly'!$H$1:$CT$1,"&lt;="&amp;EOMONTH(AI$1,0),'UX Weekly'!$H120:$CT120,"&lt;&gt;"))</f>
        <v>0</v>
      </c>
      <c r="AJ120">
        <f>IF($B120="",0,COUNTIFS('UX Weekly'!$H$1:$CT$1,"&gt;="&amp;AJ$1,'UX Weekly'!$H$1:$CT$1,"&lt;="&amp;EOMONTH(AJ$1,0),'UX Weekly'!$H120:$CT120,"&lt;&gt;"))</f>
        <v>0</v>
      </c>
      <c r="AK120">
        <f>IF($B120="",0,COUNTIFS('UX Weekly'!$H$1:$CT$1,"&gt;="&amp;AK$1,'UX Weekly'!$H$1:$CT$1,"&lt;="&amp;EOMONTH(AK$1,0),'UX Weekly'!$H120:$CT120,"&lt;&gt;"))</f>
        <v>0</v>
      </c>
      <c r="AL120">
        <f>IF($B120="",0,COUNTIFS('UX Weekly'!$H$1:$CT$1,"&gt;="&amp;AL$1,'UX Weekly'!$H$1:$CT$1,"&lt;="&amp;EOMONTH(AL$1,0),'UX Weekly'!$H120:$CT120,"&lt;&gt;"))</f>
        <v>0</v>
      </c>
      <c r="AM120">
        <f>IF($B120="",0,COUNTIFS('UX Weekly'!$H$1:$CT$1,"&gt;="&amp;AM$1,'UX Weekly'!$H$1:$CT$1,"&lt;="&amp;EOMONTH(AM$1,0),'UX Weekly'!$H120:$CT120,"&lt;&gt;"))</f>
        <v>0</v>
      </c>
      <c r="AN120">
        <f>IF($B120="",0,COUNTIFS('UX Weekly'!$H$1:$CT$1,"&gt;="&amp;AN$1,'UX Weekly'!$H$1:$CT$1,"&lt;="&amp;EOMONTH(AN$1,0),'UX Weekly'!$H120:$CT120,"&lt;&gt;"))</f>
        <v>0</v>
      </c>
      <c r="AO120">
        <f>IF($B120="",0,COUNTIFS('UX Weekly'!$H$1:$CT$1,"&gt;="&amp;AO$1,'UX Weekly'!$H$1:$CT$1,"&lt;="&amp;EOMONTH(AO$1,0),'UX Weekly'!$H120:$CT120,"&lt;&gt;"))</f>
        <v>0</v>
      </c>
      <c r="AP120">
        <f>IF($B120="",0,COUNTIFS('UX Weekly'!$H$1:$CT$1,"&gt;="&amp;AP$1,'UX Weekly'!$H$1:$CT$1,"&lt;="&amp;EOMONTH(AP$1,0),'UX Weekly'!$H120:$CT120,"&lt;&gt;"))</f>
        <v>0</v>
      </c>
      <c r="AQ120">
        <f>IF($B120="",0,COUNTIFS('UX Weekly'!$H$1:$CT$1,"&gt;="&amp;AQ$1,'UX Weekly'!$H$1:$CT$1,"&lt;="&amp;EOMONTH(AQ$1,0),'UX Weekly'!$H120:$CT120,"&lt;&gt;"))</f>
        <v>0</v>
      </c>
      <c r="AR120">
        <f>IF($B120="",0,COUNTIFS('UX Weekly'!$H$1:$CT$1,"&gt;="&amp;AR$1,'UX Weekly'!$H$1:$CT$1,"&lt;="&amp;EOMONTH(AR$1,0),'UX Weekly'!$H120:$CT120,"&lt;&gt;"))</f>
        <v>0</v>
      </c>
      <c r="AS120">
        <f>IF($B120="",0,COUNTIFS('UX Weekly'!$H$1:$CT$1,"&gt;="&amp;AS$1,'UX Weekly'!$H$1:$CT$1,"&lt;="&amp;EOMONTH(AS$1,0),'UX Weekly'!$H120:$CT120,"&lt;&gt;"))</f>
        <v>0</v>
      </c>
      <c r="AT120">
        <f>IF($B120="",0,COUNTIFS('UX Weekly'!$H$1:$CT$1,"&gt;="&amp;AT$1,'UX Weekly'!$H$1:$CT$1,"&lt;="&amp;EOMONTH(AT$1,0),'UX Weekly'!$H120:$CT120,"&lt;&gt;"))</f>
        <v>0</v>
      </c>
    </row>
    <row r="121" spans="1:46" x14ac:dyDescent="0.2">
      <c r="A121" s="147">
        <v>122</v>
      </c>
      <c r="B121" s="147" t="str">
        <f>IF(TRIM('UX Weekly'!E121)="","",TRIM('UX Weekly'!E121))</f>
        <v/>
      </c>
      <c r="C121" s="147" t="str">
        <f>IF($B121="","",'UX Weekly'!B121)</f>
        <v/>
      </c>
      <c r="D121" s="147" t="str">
        <f>IF($B121="","",IF(TRIM('UX Weekly'!C121)="","(No theme assigned)",TRIM('UX Weekly'!C121)))</f>
        <v/>
      </c>
      <c r="E121" s="147" t="str">
        <f>IF($B121="","",TRIM('UX Weekly'!F121))</f>
        <v/>
      </c>
      <c r="F121" s="147" t="str">
        <f>IF($B121="","",'UX Weekly'!G121)</f>
        <v/>
      </c>
      <c r="G121" s="148" t="str">
        <f t="array" ref="G121">IF($B121="","",IF($S121=0,"",IFERROR(MIN(IF('UX Weekly'!$H121:$CT121&lt;&gt;"",'UX Weekly'!$H$1:$CT$1)),"")))</f>
        <v/>
      </c>
      <c r="H121" s="148" t="str">
        <f t="array" ref="H121">IF($B121="","",IF($S121=0,"",IFERROR(MAX(IF('UX Weekly'!$H121:$CT121&lt;&gt;"",'UX Weekly'!$H$1:$CT$1)),"")))</f>
        <v/>
      </c>
      <c r="I121" s="149" t="str">
        <f t="shared" ca="1" si="9"/>
        <v/>
      </c>
      <c r="J121" s="149" t="str">
        <f t="shared" ca="1" si="10"/>
        <v/>
      </c>
      <c r="K121" s="147" t="str">
        <f>IF($B121="","",IFERROR(MATCH($B121,'Dev Tracker'!$D$2:$D$196,0),IF($E121="","",IFERROR(MATCH($E121,'Dev Tracker'!$E$2:$E$196,0),""))))</f>
        <v/>
      </c>
      <c r="L121" s="147" t="str">
        <f>IF($B121="","",IFERROR(MATCH($D121,'Control (Don’t Touch)'!$E$4:$E$30,0),99))</f>
        <v/>
      </c>
      <c r="M121" s="147" t="str">
        <f>IF($B121="","",IFERROR(MATCH($F121,'Control (Don’t Touch)'!$B$4:$B$30,0),99))</f>
        <v/>
      </c>
      <c r="N121" s="147" t="str">
        <f t="shared" si="11"/>
        <v/>
      </c>
      <c r="O121" s="147" t="str">
        <f>IF($B121="","",COUNTIF($N$2:$N$204,"&lt;"&amp;$N121)+1)</f>
        <v/>
      </c>
      <c r="P121" s="149" t="str">
        <f ca="1">IF($K121="","",IFERROR(DATE(IFERROR(VALUE(RIGHT(TRIM(INDEX('Dev Tracker'!$I$2:$I$196,$K121)),4)),YEAR(TODAY())),MATCH(LEFT(TRIM(INDEX('Dev Tracker'!$I$2:$I$196,$K121)),3),$U$2:$U$12,0),1),""))</f>
        <v/>
      </c>
      <c r="Q121" s="149" t="str">
        <f ca="1">IF($K121="","",IFERROR(DATE(IFERROR(VALUE(RIGHT(TRIM(INDEX('Dev Tracker'!$J$2:$J$196,$K121)),4)),YEAR(TODAY())),MATCH(LEFT(TRIM(INDEX('Dev Tracker'!$J$2:$J$196,$K121)),3),$U$2:$U$12,0),1),""))</f>
        <v/>
      </c>
      <c r="R121" s="147"/>
      <c r="S121" s="147" t="str">
        <f>IF($B121="","",COUNTA('UX Weekly'!$H121:$CT121))</f>
        <v/>
      </c>
      <c r="W121">
        <f>IF($B121="",0,COUNTIFS('UX Weekly'!$H$1:$CT$1,"&gt;="&amp;W$1,'UX Weekly'!$H$1:$CT$1,"&lt;="&amp;EOMONTH(W$1,0),'UX Weekly'!$H121:$CT121,"&lt;&gt;"))</f>
        <v>0</v>
      </c>
      <c r="X121">
        <f>IF($B121="",0,COUNTIFS('UX Weekly'!$H$1:$CT$1,"&gt;="&amp;X$1,'UX Weekly'!$H$1:$CT$1,"&lt;="&amp;EOMONTH(X$1,0),'UX Weekly'!$H121:$CT121,"&lt;&gt;"))</f>
        <v>0</v>
      </c>
      <c r="Y121">
        <f>IF($B121="",0,COUNTIFS('UX Weekly'!$H$1:$CT$1,"&gt;="&amp;Y$1,'UX Weekly'!$H$1:$CT$1,"&lt;="&amp;EOMONTH(Y$1,0),'UX Weekly'!$H121:$CT121,"&lt;&gt;"))</f>
        <v>0</v>
      </c>
      <c r="Z121">
        <f>IF($B121="",0,COUNTIFS('UX Weekly'!$H$1:$CT$1,"&gt;="&amp;Z$1,'UX Weekly'!$H$1:$CT$1,"&lt;="&amp;EOMONTH(Z$1,0),'UX Weekly'!$H121:$CT121,"&lt;&gt;"))</f>
        <v>0</v>
      </c>
      <c r="AA121">
        <f>IF($B121="",0,COUNTIFS('UX Weekly'!$H$1:$CT$1,"&gt;="&amp;AA$1,'UX Weekly'!$H$1:$CT$1,"&lt;="&amp;EOMONTH(AA$1,0),'UX Weekly'!$H121:$CT121,"&lt;&gt;"))</f>
        <v>0</v>
      </c>
      <c r="AB121">
        <f>IF($B121="",0,COUNTIFS('UX Weekly'!$H$1:$CT$1,"&gt;="&amp;AB$1,'UX Weekly'!$H$1:$CT$1,"&lt;="&amp;EOMONTH(AB$1,0),'UX Weekly'!$H121:$CT121,"&lt;&gt;"))</f>
        <v>0</v>
      </c>
      <c r="AC121">
        <f>IF($B121="",0,COUNTIFS('UX Weekly'!$H$1:$CT$1,"&gt;="&amp;AC$1,'UX Weekly'!$H$1:$CT$1,"&lt;="&amp;EOMONTH(AC$1,0),'UX Weekly'!$H121:$CT121,"&lt;&gt;"))</f>
        <v>0</v>
      </c>
      <c r="AD121">
        <f>IF($B121="",0,COUNTIFS('UX Weekly'!$H$1:$CT$1,"&gt;="&amp;AD$1,'UX Weekly'!$H$1:$CT$1,"&lt;="&amp;EOMONTH(AD$1,0),'UX Weekly'!$H121:$CT121,"&lt;&gt;"))</f>
        <v>0</v>
      </c>
      <c r="AE121">
        <f>IF($B121="",0,COUNTIFS('UX Weekly'!$H$1:$CT$1,"&gt;="&amp;AE$1,'UX Weekly'!$H$1:$CT$1,"&lt;="&amp;EOMONTH(AE$1,0),'UX Weekly'!$H121:$CT121,"&lt;&gt;"))</f>
        <v>0</v>
      </c>
      <c r="AF121">
        <f>IF($B121="",0,COUNTIFS('UX Weekly'!$H$1:$CT$1,"&gt;="&amp;AF$1,'UX Weekly'!$H$1:$CT$1,"&lt;="&amp;EOMONTH(AF$1,0),'UX Weekly'!$H121:$CT121,"&lt;&gt;"))</f>
        <v>0</v>
      </c>
      <c r="AG121">
        <f>IF($B121="",0,COUNTIFS('UX Weekly'!$H$1:$CT$1,"&gt;="&amp;AG$1,'UX Weekly'!$H$1:$CT$1,"&lt;="&amp;EOMONTH(AG$1,0),'UX Weekly'!$H121:$CT121,"&lt;&gt;"))</f>
        <v>0</v>
      </c>
      <c r="AH121">
        <f>IF($B121="",0,COUNTIFS('UX Weekly'!$H$1:$CT$1,"&gt;="&amp;AH$1,'UX Weekly'!$H$1:$CT$1,"&lt;="&amp;EOMONTH(AH$1,0),'UX Weekly'!$H121:$CT121,"&lt;&gt;"))</f>
        <v>0</v>
      </c>
      <c r="AI121">
        <f>IF($B121="",0,COUNTIFS('UX Weekly'!$H$1:$CT$1,"&gt;="&amp;AI$1,'UX Weekly'!$H$1:$CT$1,"&lt;="&amp;EOMONTH(AI$1,0),'UX Weekly'!$H121:$CT121,"&lt;&gt;"))</f>
        <v>0</v>
      </c>
      <c r="AJ121">
        <f>IF($B121="",0,COUNTIFS('UX Weekly'!$H$1:$CT$1,"&gt;="&amp;AJ$1,'UX Weekly'!$H$1:$CT$1,"&lt;="&amp;EOMONTH(AJ$1,0),'UX Weekly'!$H121:$CT121,"&lt;&gt;"))</f>
        <v>0</v>
      </c>
      <c r="AK121">
        <f>IF($B121="",0,COUNTIFS('UX Weekly'!$H$1:$CT$1,"&gt;="&amp;AK$1,'UX Weekly'!$H$1:$CT$1,"&lt;="&amp;EOMONTH(AK$1,0),'UX Weekly'!$H121:$CT121,"&lt;&gt;"))</f>
        <v>0</v>
      </c>
      <c r="AL121">
        <f>IF($B121="",0,COUNTIFS('UX Weekly'!$H$1:$CT$1,"&gt;="&amp;AL$1,'UX Weekly'!$H$1:$CT$1,"&lt;="&amp;EOMONTH(AL$1,0),'UX Weekly'!$H121:$CT121,"&lt;&gt;"))</f>
        <v>0</v>
      </c>
      <c r="AM121">
        <f>IF($B121="",0,COUNTIFS('UX Weekly'!$H$1:$CT$1,"&gt;="&amp;AM$1,'UX Weekly'!$H$1:$CT$1,"&lt;="&amp;EOMONTH(AM$1,0),'UX Weekly'!$H121:$CT121,"&lt;&gt;"))</f>
        <v>0</v>
      </c>
      <c r="AN121">
        <f>IF($B121="",0,COUNTIFS('UX Weekly'!$H$1:$CT$1,"&gt;="&amp;AN$1,'UX Weekly'!$H$1:$CT$1,"&lt;="&amp;EOMONTH(AN$1,0),'UX Weekly'!$H121:$CT121,"&lt;&gt;"))</f>
        <v>0</v>
      </c>
      <c r="AO121">
        <f>IF($B121="",0,COUNTIFS('UX Weekly'!$H$1:$CT$1,"&gt;="&amp;AO$1,'UX Weekly'!$H$1:$CT$1,"&lt;="&amp;EOMONTH(AO$1,0),'UX Weekly'!$H121:$CT121,"&lt;&gt;"))</f>
        <v>0</v>
      </c>
      <c r="AP121">
        <f>IF($B121="",0,COUNTIFS('UX Weekly'!$H$1:$CT$1,"&gt;="&amp;AP$1,'UX Weekly'!$H$1:$CT$1,"&lt;="&amp;EOMONTH(AP$1,0),'UX Weekly'!$H121:$CT121,"&lt;&gt;"))</f>
        <v>0</v>
      </c>
      <c r="AQ121">
        <f>IF($B121="",0,COUNTIFS('UX Weekly'!$H$1:$CT$1,"&gt;="&amp;AQ$1,'UX Weekly'!$H$1:$CT$1,"&lt;="&amp;EOMONTH(AQ$1,0),'UX Weekly'!$H121:$CT121,"&lt;&gt;"))</f>
        <v>0</v>
      </c>
      <c r="AR121">
        <f>IF($B121="",0,COUNTIFS('UX Weekly'!$H$1:$CT$1,"&gt;="&amp;AR$1,'UX Weekly'!$H$1:$CT$1,"&lt;="&amp;EOMONTH(AR$1,0),'UX Weekly'!$H121:$CT121,"&lt;&gt;"))</f>
        <v>0</v>
      </c>
      <c r="AS121">
        <f>IF($B121="",0,COUNTIFS('UX Weekly'!$H$1:$CT$1,"&gt;="&amp;AS$1,'UX Weekly'!$H$1:$CT$1,"&lt;="&amp;EOMONTH(AS$1,0),'UX Weekly'!$H121:$CT121,"&lt;&gt;"))</f>
        <v>0</v>
      </c>
      <c r="AT121">
        <f>IF($B121="",0,COUNTIFS('UX Weekly'!$H$1:$CT$1,"&gt;="&amp;AT$1,'UX Weekly'!$H$1:$CT$1,"&lt;="&amp;EOMONTH(AT$1,0),'UX Weekly'!$H121:$CT121,"&lt;&gt;"))</f>
        <v>0</v>
      </c>
    </row>
    <row r="122" spans="1:46" x14ac:dyDescent="0.2">
      <c r="A122" s="147">
        <v>123</v>
      </c>
      <c r="B122" s="147" t="str">
        <f>IF(TRIM('UX Weekly'!E122)="","",TRIM('UX Weekly'!E122))</f>
        <v/>
      </c>
      <c r="C122" s="147" t="str">
        <f>IF($B122="","",'UX Weekly'!B122)</f>
        <v/>
      </c>
      <c r="D122" s="147" t="str">
        <f>IF($B122="","",IF(TRIM('UX Weekly'!C122)="","(No theme assigned)",TRIM('UX Weekly'!C122)))</f>
        <v/>
      </c>
      <c r="E122" s="147" t="str">
        <f>IF($B122="","",TRIM('UX Weekly'!F122))</f>
        <v/>
      </c>
      <c r="F122" s="147" t="str">
        <f>IF($B122="","",'UX Weekly'!G122)</f>
        <v/>
      </c>
      <c r="G122" s="148" t="str">
        <f t="array" ref="G122">IF($B122="","",IF($S122=0,"",IFERROR(MIN(IF('UX Weekly'!$H122:$CT122&lt;&gt;"",'UX Weekly'!$H$1:$CT$1)),"")))</f>
        <v/>
      </c>
      <c r="H122" s="148" t="str">
        <f t="array" ref="H122">IF($B122="","",IF($S122=0,"",IFERROR(MAX(IF('UX Weekly'!$H122:$CT122&lt;&gt;"",'UX Weekly'!$H$1:$CT$1)),"")))</f>
        <v/>
      </c>
      <c r="I122" s="149" t="str">
        <f t="shared" ca="1" si="9"/>
        <v/>
      </c>
      <c r="J122" s="149" t="str">
        <f t="shared" ca="1" si="10"/>
        <v/>
      </c>
      <c r="K122" s="147" t="str">
        <f>IF($B122="","",IFERROR(MATCH($B122,'Dev Tracker'!$D$2:$D$196,0),IF($E122="","",IFERROR(MATCH($E122,'Dev Tracker'!$E$2:$E$196,0),""))))</f>
        <v/>
      </c>
      <c r="L122" s="147" t="str">
        <f>IF($B122="","",IFERROR(MATCH($D122,'Control (Don’t Touch)'!$E$4:$E$30,0),99))</f>
        <v/>
      </c>
      <c r="M122" s="147" t="str">
        <f>IF($B122="","",IFERROR(MATCH($F122,'Control (Don’t Touch)'!$B$4:$B$30,0),99))</f>
        <v/>
      </c>
      <c r="N122" s="147" t="str">
        <f t="shared" si="11"/>
        <v/>
      </c>
      <c r="O122" s="147" t="str">
        <f>IF($B122="","",COUNTIF($N$2:$N$204,"&lt;"&amp;$N122)+1)</f>
        <v/>
      </c>
      <c r="P122" s="149" t="str">
        <f ca="1">IF($K122="","",IFERROR(DATE(IFERROR(VALUE(RIGHT(TRIM(INDEX('Dev Tracker'!$I$2:$I$196,$K122)),4)),YEAR(TODAY())),MATCH(LEFT(TRIM(INDEX('Dev Tracker'!$I$2:$I$196,$K122)),3),$U$2:$U$12,0),1),""))</f>
        <v/>
      </c>
      <c r="Q122" s="149" t="str">
        <f ca="1">IF($K122="","",IFERROR(DATE(IFERROR(VALUE(RIGHT(TRIM(INDEX('Dev Tracker'!$J$2:$J$196,$K122)),4)),YEAR(TODAY())),MATCH(LEFT(TRIM(INDEX('Dev Tracker'!$J$2:$J$196,$K122)),3),$U$2:$U$12,0),1),""))</f>
        <v/>
      </c>
      <c r="R122" s="147"/>
      <c r="S122" s="147" t="str">
        <f>IF($B122="","",COUNTA('UX Weekly'!$H122:$CT122))</f>
        <v/>
      </c>
      <c r="W122">
        <f>IF($B122="",0,COUNTIFS('UX Weekly'!$H$1:$CT$1,"&gt;="&amp;W$1,'UX Weekly'!$H$1:$CT$1,"&lt;="&amp;EOMONTH(W$1,0),'UX Weekly'!$H122:$CT122,"&lt;&gt;"))</f>
        <v>0</v>
      </c>
      <c r="X122">
        <f>IF($B122="",0,COUNTIFS('UX Weekly'!$H$1:$CT$1,"&gt;="&amp;X$1,'UX Weekly'!$H$1:$CT$1,"&lt;="&amp;EOMONTH(X$1,0),'UX Weekly'!$H122:$CT122,"&lt;&gt;"))</f>
        <v>0</v>
      </c>
      <c r="Y122">
        <f>IF($B122="",0,COUNTIFS('UX Weekly'!$H$1:$CT$1,"&gt;="&amp;Y$1,'UX Weekly'!$H$1:$CT$1,"&lt;="&amp;EOMONTH(Y$1,0),'UX Weekly'!$H122:$CT122,"&lt;&gt;"))</f>
        <v>0</v>
      </c>
      <c r="Z122">
        <f>IF($B122="",0,COUNTIFS('UX Weekly'!$H$1:$CT$1,"&gt;="&amp;Z$1,'UX Weekly'!$H$1:$CT$1,"&lt;="&amp;EOMONTH(Z$1,0),'UX Weekly'!$H122:$CT122,"&lt;&gt;"))</f>
        <v>0</v>
      </c>
      <c r="AA122">
        <f>IF($B122="",0,COUNTIFS('UX Weekly'!$H$1:$CT$1,"&gt;="&amp;AA$1,'UX Weekly'!$H$1:$CT$1,"&lt;="&amp;EOMONTH(AA$1,0),'UX Weekly'!$H122:$CT122,"&lt;&gt;"))</f>
        <v>0</v>
      </c>
      <c r="AB122">
        <f>IF($B122="",0,COUNTIFS('UX Weekly'!$H$1:$CT$1,"&gt;="&amp;AB$1,'UX Weekly'!$H$1:$CT$1,"&lt;="&amp;EOMONTH(AB$1,0),'UX Weekly'!$H122:$CT122,"&lt;&gt;"))</f>
        <v>0</v>
      </c>
      <c r="AC122">
        <f>IF($B122="",0,COUNTIFS('UX Weekly'!$H$1:$CT$1,"&gt;="&amp;AC$1,'UX Weekly'!$H$1:$CT$1,"&lt;="&amp;EOMONTH(AC$1,0),'UX Weekly'!$H122:$CT122,"&lt;&gt;"))</f>
        <v>0</v>
      </c>
      <c r="AD122">
        <f>IF($B122="",0,COUNTIFS('UX Weekly'!$H$1:$CT$1,"&gt;="&amp;AD$1,'UX Weekly'!$H$1:$CT$1,"&lt;="&amp;EOMONTH(AD$1,0),'UX Weekly'!$H122:$CT122,"&lt;&gt;"))</f>
        <v>0</v>
      </c>
      <c r="AE122">
        <f>IF($B122="",0,COUNTIFS('UX Weekly'!$H$1:$CT$1,"&gt;="&amp;AE$1,'UX Weekly'!$H$1:$CT$1,"&lt;="&amp;EOMONTH(AE$1,0),'UX Weekly'!$H122:$CT122,"&lt;&gt;"))</f>
        <v>0</v>
      </c>
      <c r="AF122">
        <f>IF($B122="",0,COUNTIFS('UX Weekly'!$H$1:$CT$1,"&gt;="&amp;AF$1,'UX Weekly'!$H$1:$CT$1,"&lt;="&amp;EOMONTH(AF$1,0),'UX Weekly'!$H122:$CT122,"&lt;&gt;"))</f>
        <v>0</v>
      </c>
      <c r="AG122">
        <f>IF($B122="",0,COUNTIFS('UX Weekly'!$H$1:$CT$1,"&gt;="&amp;AG$1,'UX Weekly'!$H$1:$CT$1,"&lt;="&amp;EOMONTH(AG$1,0),'UX Weekly'!$H122:$CT122,"&lt;&gt;"))</f>
        <v>0</v>
      </c>
      <c r="AH122">
        <f>IF($B122="",0,COUNTIFS('UX Weekly'!$H$1:$CT$1,"&gt;="&amp;AH$1,'UX Weekly'!$H$1:$CT$1,"&lt;="&amp;EOMONTH(AH$1,0),'UX Weekly'!$H122:$CT122,"&lt;&gt;"))</f>
        <v>0</v>
      </c>
      <c r="AI122">
        <f>IF($B122="",0,COUNTIFS('UX Weekly'!$H$1:$CT$1,"&gt;="&amp;AI$1,'UX Weekly'!$H$1:$CT$1,"&lt;="&amp;EOMONTH(AI$1,0),'UX Weekly'!$H122:$CT122,"&lt;&gt;"))</f>
        <v>0</v>
      </c>
      <c r="AJ122">
        <f>IF($B122="",0,COUNTIFS('UX Weekly'!$H$1:$CT$1,"&gt;="&amp;AJ$1,'UX Weekly'!$H$1:$CT$1,"&lt;="&amp;EOMONTH(AJ$1,0),'UX Weekly'!$H122:$CT122,"&lt;&gt;"))</f>
        <v>0</v>
      </c>
      <c r="AK122">
        <f>IF($B122="",0,COUNTIFS('UX Weekly'!$H$1:$CT$1,"&gt;="&amp;AK$1,'UX Weekly'!$H$1:$CT$1,"&lt;="&amp;EOMONTH(AK$1,0),'UX Weekly'!$H122:$CT122,"&lt;&gt;"))</f>
        <v>0</v>
      </c>
      <c r="AL122">
        <f>IF($B122="",0,COUNTIFS('UX Weekly'!$H$1:$CT$1,"&gt;="&amp;AL$1,'UX Weekly'!$H$1:$CT$1,"&lt;="&amp;EOMONTH(AL$1,0),'UX Weekly'!$H122:$CT122,"&lt;&gt;"))</f>
        <v>0</v>
      </c>
      <c r="AM122">
        <f>IF($B122="",0,COUNTIFS('UX Weekly'!$H$1:$CT$1,"&gt;="&amp;AM$1,'UX Weekly'!$H$1:$CT$1,"&lt;="&amp;EOMONTH(AM$1,0),'UX Weekly'!$H122:$CT122,"&lt;&gt;"))</f>
        <v>0</v>
      </c>
      <c r="AN122">
        <f>IF($B122="",0,COUNTIFS('UX Weekly'!$H$1:$CT$1,"&gt;="&amp;AN$1,'UX Weekly'!$H$1:$CT$1,"&lt;="&amp;EOMONTH(AN$1,0),'UX Weekly'!$H122:$CT122,"&lt;&gt;"))</f>
        <v>0</v>
      </c>
      <c r="AO122">
        <f>IF($B122="",0,COUNTIFS('UX Weekly'!$H$1:$CT$1,"&gt;="&amp;AO$1,'UX Weekly'!$H$1:$CT$1,"&lt;="&amp;EOMONTH(AO$1,0),'UX Weekly'!$H122:$CT122,"&lt;&gt;"))</f>
        <v>0</v>
      </c>
      <c r="AP122">
        <f>IF($B122="",0,COUNTIFS('UX Weekly'!$H$1:$CT$1,"&gt;="&amp;AP$1,'UX Weekly'!$H$1:$CT$1,"&lt;="&amp;EOMONTH(AP$1,0),'UX Weekly'!$H122:$CT122,"&lt;&gt;"))</f>
        <v>0</v>
      </c>
      <c r="AQ122">
        <f>IF($B122="",0,COUNTIFS('UX Weekly'!$H$1:$CT$1,"&gt;="&amp;AQ$1,'UX Weekly'!$H$1:$CT$1,"&lt;="&amp;EOMONTH(AQ$1,0),'UX Weekly'!$H122:$CT122,"&lt;&gt;"))</f>
        <v>0</v>
      </c>
      <c r="AR122">
        <f>IF($B122="",0,COUNTIFS('UX Weekly'!$H$1:$CT$1,"&gt;="&amp;AR$1,'UX Weekly'!$H$1:$CT$1,"&lt;="&amp;EOMONTH(AR$1,0),'UX Weekly'!$H122:$CT122,"&lt;&gt;"))</f>
        <v>0</v>
      </c>
      <c r="AS122">
        <f>IF($B122="",0,COUNTIFS('UX Weekly'!$H$1:$CT$1,"&gt;="&amp;AS$1,'UX Weekly'!$H$1:$CT$1,"&lt;="&amp;EOMONTH(AS$1,0),'UX Weekly'!$H122:$CT122,"&lt;&gt;"))</f>
        <v>0</v>
      </c>
      <c r="AT122">
        <f>IF($B122="",0,COUNTIFS('UX Weekly'!$H$1:$CT$1,"&gt;="&amp;AT$1,'UX Weekly'!$H$1:$CT$1,"&lt;="&amp;EOMONTH(AT$1,0),'UX Weekly'!$H122:$CT122,"&lt;&gt;"))</f>
        <v>0</v>
      </c>
    </row>
    <row r="123" spans="1:46" x14ac:dyDescent="0.2">
      <c r="A123" s="147">
        <v>124</v>
      </c>
      <c r="B123" s="147" t="str">
        <f>IF(TRIM('UX Weekly'!E123)="","",TRIM('UX Weekly'!E123))</f>
        <v/>
      </c>
      <c r="C123" s="147" t="str">
        <f>IF($B123="","",'UX Weekly'!B123)</f>
        <v/>
      </c>
      <c r="D123" s="147" t="str">
        <f>IF($B123="","",IF(TRIM('UX Weekly'!C123)="","(No theme assigned)",TRIM('UX Weekly'!C123)))</f>
        <v/>
      </c>
      <c r="E123" s="147" t="str">
        <f>IF($B123="","",TRIM('UX Weekly'!F123))</f>
        <v/>
      </c>
      <c r="F123" s="147" t="str">
        <f>IF($B123="","",'UX Weekly'!G123)</f>
        <v/>
      </c>
      <c r="G123" s="148" t="str">
        <f t="array" ref="G123">IF($B123="","",IF($S123=0,"",IFERROR(MIN(IF('UX Weekly'!$H123:$CT123&lt;&gt;"",'UX Weekly'!$H$1:$CT$1)),"")))</f>
        <v/>
      </c>
      <c r="H123" s="148" t="str">
        <f t="array" ref="H123">IF($B123="","",IF($S123=0,"",IFERROR(MAX(IF('UX Weekly'!$H123:$CT123&lt;&gt;"",'UX Weekly'!$H$1:$CT$1)),"")))</f>
        <v/>
      </c>
      <c r="I123" s="149" t="str">
        <f t="shared" ca="1" si="9"/>
        <v/>
      </c>
      <c r="J123" s="149" t="str">
        <f t="shared" ca="1" si="10"/>
        <v/>
      </c>
      <c r="K123" s="147" t="str">
        <f>IF($B123="","",IFERROR(MATCH($B123,'Dev Tracker'!$D$2:$D$196,0),IF($E123="","",IFERROR(MATCH($E123,'Dev Tracker'!$E$2:$E$196,0),""))))</f>
        <v/>
      </c>
      <c r="L123" s="147" t="str">
        <f>IF($B123="","",IFERROR(MATCH($D123,'Control (Don’t Touch)'!$E$4:$E$30,0),99))</f>
        <v/>
      </c>
      <c r="M123" s="147" t="str">
        <f>IF($B123="","",IFERROR(MATCH($F123,'Control (Don’t Touch)'!$B$4:$B$30,0),99))</f>
        <v/>
      </c>
      <c r="N123" s="147" t="str">
        <f t="shared" si="11"/>
        <v/>
      </c>
      <c r="O123" s="147" t="str">
        <f>IF($B123="","",COUNTIF($N$2:$N$204,"&lt;"&amp;$N123)+1)</f>
        <v/>
      </c>
      <c r="P123" s="149" t="str">
        <f ca="1">IF($K123="","",IFERROR(DATE(IFERROR(VALUE(RIGHT(TRIM(INDEX('Dev Tracker'!$I$2:$I$196,$K123)),4)),YEAR(TODAY())),MATCH(LEFT(TRIM(INDEX('Dev Tracker'!$I$2:$I$196,$K123)),3),$U$2:$U$12,0),1),""))</f>
        <v/>
      </c>
      <c r="Q123" s="149" t="str">
        <f ca="1">IF($K123="","",IFERROR(DATE(IFERROR(VALUE(RIGHT(TRIM(INDEX('Dev Tracker'!$J$2:$J$196,$K123)),4)),YEAR(TODAY())),MATCH(LEFT(TRIM(INDEX('Dev Tracker'!$J$2:$J$196,$K123)),3),$U$2:$U$12,0),1),""))</f>
        <v/>
      </c>
      <c r="R123" s="147"/>
      <c r="S123" s="147" t="str">
        <f>IF($B123="","",COUNTA('UX Weekly'!$H123:$CT123))</f>
        <v/>
      </c>
      <c r="W123">
        <f>IF($B123="",0,COUNTIFS('UX Weekly'!$H$1:$CT$1,"&gt;="&amp;W$1,'UX Weekly'!$H$1:$CT$1,"&lt;="&amp;EOMONTH(W$1,0),'UX Weekly'!$H123:$CT123,"&lt;&gt;"))</f>
        <v>0</v>
      </c>
      <c r="X123">
        <f>IF($B123="",0,COUNTIFS('UX Weekly'!$H$1:$CT$1,"&gt;="&amp;X$1,'UX Weekly'!$H$1:$CT$1,"&lt;="&amp;EOMONTH(X$1,0),'UX Weekly'!$H123:$CT123,"&lt;&gt;"))</f>
        <v>0</v>
      </c>
      <c r="Y123">
        <f>IF($B123="",0,COUNTIFS('UX Weekly'!$H$1:$CT$1,"&gt;="&amp;Y$1,'UX Weekly'!$H$1:$CT$1,"&lt;="&amp;EOMONTH(Y$1,0),'UX Weekly'!$H123:$CT123,"&lt;&gt;"))</f>
        <v>0</v>
      </c>
      <c r="Z123">
        <f>IF($B123="",0,COUNTIFS('UX Weekly'!$H$1:$CT$1,"&gt;="&amp;Z$1,'UX Weekly'!$H$1:$CT$1,"&lt;="&amp;EOMONTH(Z$1,0),'UX Weekly'!$H123:$CT123,"&lt;&gt;"))</f>
        <v>0</v>
      </c>
      <c r="AA123">
        <f>IF($B123="",0,COUNTIFS('UX Weekly'!$H$1:$CT$1,"&gt;="&amp;AA$1,'UX Weekly'!$H$1:$CT$1,"&lt;="&amp;EOMONTH(AA$1,0),'UX Weekly'!$H123:$CT123,"&lt;&gt;"))</f>
        <v>0</v>
      </c>
      <c r="AB123">
        <f>IF($B123="",0,COUNTIFS('UX Weekly'!$H$1:$CT$1,"&gt;="&amp;AB$1,'UX Weekly'!$H$1:$CT$1,"&lt;="&amp;EOMONTH(AB$1,0),'UX Weekly'!$H123:$CT123,"&lt;&gt;"))</f>
        <v>0</v>
      </c>
      <c r="AC123">
        <f>IF($B123="",0,COUNTIFS('UX Weekly'!$H$1:$CT$1,"&gt;="&amp;AC$1,'UX Weekly'!$H$1:$CT$1,"&lt;="&amp;EOMONTH(AC$1,0),'UX Weekly'!$H123:$CT123,"&lt;&gt;"))</f>
        <v>0</v>
      </c>
      <c r="AD123">
        <f>IF($B123="",0,COUNTIFS('UX Weekly'!$H$1:$CT$1,"&gt;="&amp;AD$1,'UX Weekly'!$H$1:$CT$1,"&lt;="&amp;EOMONTH(AD$1,0),'UX Weekly'!$H123:$CT123,"&lt;&gt;"))</f>
        <v>0</v>
      </c>
      <c r="AE123">
        <f>IF($B123="",0,COUNTIFS('UX Weekly'!$H$1:$CT$1,"&gt;="&amp;AE$1,'UX Weekly'!$H$1:$CT$1,"&lt;="&amp;EOMONTH(AE$1,0),'UX Weekly'!$H123:$CT123,"&lt;&gt;"))</f>
        <v>0</v>
      </c>
      <c r="AF123">
        <f>IF($B123="",0,COUNTIFS('UX Weekly'!$H$1:$CT$1,"&gt;="&amp;AF$1,'UX Weekly'!$H$1:$CT$1,"&lt;="&amp;EOMONTH(AF$1,0),'UX Weekly'!$H123:$CT123,"&lt;&gt;"))</f>
        <v>0</v>
      </c>
      <c r="AG123">
        <f>IF($B123="",0,COUNTIFS('UX Weekly'!$H$1:$CT$1,"&gt;="&amp;AG$1,'UX Weekly'!$H$1:$CT$1,"&lt;="&amp;EOMONTH(AG$1,0),'UX Weekly'!$H123:$CT123,"&lt;&gt;"))</f>
        <v>0</v>
      </c>
      <c r="AH123">
        <f>IF($B123="",0,COUNTIFS('UX Weekly'!$H$1:$CT$1,"&gt;="&amp;AH$1,'UX Weekly'!$H$1:$CT$1,"&lt;="&amp;EOMONTH(AH$1,0),'UX Weekly'!$H123:$CT123,"&lt;&gt;"))</f>
        <v>0</v>
      </c>
      <c r="AI123">
        <f>IF($B123="",0,COUNTIFS('UX Weekly'!$H$1:$CT$1,"&gt;="&amp;AI$1,'UX Weekly'!$H$1:$CT$1,"&lt;="&amp;EOMONTH(AI$1,0),'UX Weekly'!$H123:$CT123,"&lt;&gt;"))</f>
        <v>0</v>
      </c>
      <c r="AJ123">
        <f>IF($B123="",0,COUNTIFS('UX Weekly'!$H$1:$CT$1,"&gt;="&amp;AJ$1,'UX Weekly'!$H$1:$CT$1,"&lt;="&amp;EOMONTH(AJ$1,0),'UX Weekly'!$H123:$CT123,"&lt;&gt;"))</f>
        <v>0</v>
      </c>
      <c r="AK123">
        <f>IF($B123="",0,COUNTIFS('UX Weekly'!$H$1:$CT$1,"&gt;="&amp;AK$1,'UX Weekly'!$H$1:$CT$1,"&lt;="&amp;EOMONTH(AK$1,0),'UX Weekly'!$H123:$CT123,"&lt;&gt;"))</f>
        <v>0</v>
      </c>
      <c r="AL123">
        <f>IF($B123="",0,COUNTIFS('UX Weekly'!$H$1:$CT$1,"&gt;="&amp;AL$1,'UX Weekly'!$H$1:$CT$1,"&lt;="&amp;EOMONTH(AL$1,0),'UX Weekly'!$H123:$CT123,"&lt;&gt;"))</f>
        <v>0</v>
      </c>
      <c r="AM123">
        <f>IF($B123="",0,COUNTIFS('UX Weekly'!$H$1:$CT$1,"&gt;="&amp;AM$1,'UX Weekly'!$H$1:$CT$1,"&lt;="&amp;EOMONTH(AM$1,0),'UX Weekly'!$H123:$CT123,"&lt;&gt;"))</f>
        <v>0</v>
      </c>
      <c r="AN123">
        <f>IF($B123="",0,COUNTIFS('UX Weekly'!$H$1:$CT$1,"&gt;="&amp;AN$1,'UX Weekly'!$H$1:$CT$1,"&lt;="&amp;EOMONTH(AN$1,0),'UX Weekly'!$H123:$CT123,"&lt;&gt;"))</f>
        <v>0</v>
      </c>
      <c r="AO123">
        <f>IF($B123="",0,COUNTIFS('UX Weekly'!$H$1:$CT$1,"&gt;="&amp;AO$1,'UX Weekly'!$H$1:$CT$1,"&lt;="&amp;EOMONTH(AO$1,0),'UX Weekly'!$H123:$CT123,"&lt;&gt;"))</f>
        <v>0</v>
      </c>
      <c r="AP123">
        <f>IF($B123="",0,COUNTIFS('UX Weekly'!$H$1:$CT$1,"&gt;="&amp;AP$1,'UX Weekly'!$H$1:$CT$1,"&lt;="&amp;EOMONTH(AP$1,0),'UX Weekly'!$H123:$CT123,"&lt;&gt;"))</f>
        <v>0</v>
      </c>
      <c r="AQ123">
        <f>IF($B123="",0,COUNTIFS('UX Weekly'!$H$1:$CT$1,"&gt;="&amp;AQ$1,'UX Weekly'!$H$1:$CT$1,"&lt;="&amp;EOMONTH(AQ$1,0),'UX Weekly'!$H123:$CT123,"&lt;&gt;"))</f>
        <v>0</v>
      </c>
      <c r="AR123">
        <f>IF($B123="",0,COUNTIFS('UX Weekly'!$H$1:$CT$1,"&gt;="&amp;AR$1,'UX Weekly'!$H$1:$CT$1,"&lt;="&amp;EOMONTH(AR$1,0),'UX Weekly'!$H123:$CT123,"&lt;&gt;"))</f>
        <v>0</v>
      </c>
      <c r="AS123">
        <f>IF($B123="",0,COUNTIFS('UX Weekly'!$H$1:$CT$1,"&gt;="&amp;AS$1,'UX Weekly'!$H$1:$CT$1,"&lt;="&amp;EOMONTH(AS$1,0),'UX Weekly'!$H123:$CT123,"&lt;&gt;"))</f>
        <v>0</v>
      </c>
      <c r="AT123">
        <f>IF($B123="",0,COUNTIFS('UX Weekly'!$H$1:$CT$1,"&gt;="&amp;AT$1,'UX Weekly'!$H$1:$CT$1,"&lt;="&amp;EOMONTH(AT$1,0),'UX Weekly'!$H123:$CT123,"&lt;&gt;"))</f>
        <v>0</v>
      </c>
    </row>
    <row r="124" spans="1:46" x14ac:dyDescent="0.2">
      <c r="A124" s="147">
        <v>125</v>
      </c>
      <c r="B124" s="147" t="str">
        <f>IF(TRIM('UX Weekly'!E124)="","",TRIM('UX Weekly'!E124))</f>
        <v/>
      </c>
      <c r="C124" s="147" t="str">
        <f>IF($B124="","",'UX Weekly'!B124)</f>
        <v/>
      </c>
      <c r="D124" s="147" t="str">
        <f>IF($B124="","",IF(TRIM('UX Weekly'!C124)="","(No theme assigned)",TRIM('UX Weekly'!C124)))</f>
        <v/>
      </c>
      <c r="E124" s="147" t="str">
        <f>IF($B124="","",TRIM('UX Weekly'!F124))</f>
        <v/>
      </c>
      <c r="F124" s="147" t="str">
        <f>IF($B124="","",'UX Weekly'!G124)</f>
        <v/>
      </c>
      <c r="G124" s="148" t="str">
        <f t="array" ref="G124">IF($B124="","",IF($S124=0,"",IFERROR(MIN(IF('UX Weekly'!$H124:$CT124&lt;&gt;"",'UX Weekly'!$H$1:$CT$1)),"")))</f>
        <v/>
      </c>
      <c r="H124" s="148" t="str">
        <f t="array" ref="H124">IF($B124="","",IF($S124=0,"",IFERROR(MAX(IF('UX Weekly'!$H124:$CT124&lt;&gt;"",'UX Weekly'!$H$1:$CT$1)),"")))</f>
        <v/>
      </c>
      <c r="I124" s="149" t="str">
        <f t="shared" ca="1" si="9"/>
        <v/>
      </c>
      <c r="J124" s="149" t="str">
        <f t="shared" ca="1" si="10"/>
        <v/>
      </c>
      <c r="K124" s="147" t="str">
        <f>IF($B124="","",IFERROR(MATCH($B124,'Dev Tracker'!$D$2:$D$196,0),IF($E124="","",IFERROR(MATCH($E124,'Dev Tracker'!$E$2:$E$196,0),""))))</f>
        <v/>
      </c>
      <c r="L124" s="147" t="str">
        <f>IF($B124="","",IFERROR(MATCH($D124,'Control (Don’t Touch)'!$E$4:$E$30,0),99))</f>
        <v/>
      </c>
      <c r="M124" s="147" t="str">
        <f>IF($B124="","",IFERROR(MATCH($F124,'Control (Don’t Touch)'!$B$4:$B$30,0),99))</f>
        <v/>
      </c>
      <c r="N124" s="147" t="str">
        <f t="shared" si="11"/>
        <v/>
      </c>
      <c r="O124" s="147" t="str">
        <f>IF($B124="","",COUNTIF($N$2:$N$204,"&lt;"&amp;$N124)+1)</f>
        <v/>
      </c>
      <c r="P124" s="149" t="str">
        <f ca="1">IF($K124="","",IFERROR(DATE(IFERROR(VALUE(RIGHT(TRIM(INDEX('Dev Tracker'!$I$2:$I$196,$K124)),4)),YEAR(TODAY())),MATCH(LEFT(TRIM(INDEX('Dev Tracker'!$I$2:$I$196,$K124)),3),$U$2:$U$12,0),1),""))</f>
        <v/>
      </c>
      <c r="Q124" s="149" t="str">
        <f ca="1">IF($K124="","",IFERROR(DATE(IFERROR(VALUE(RIGHT(TRIM(INDEX('Dev Tracker'!$J$2:$J$196,$K124)),4)),YEAR(TODAY())),MATCH(LEFT(TRIM(INDEX('Dev Tracker'!$J$2:$J$196,$K124)),3),$U$2:$U$12,0),1),""))</f>
        <v/>
      </c>
      <c r="R124" s="147"/>
      <c r="S124" s="147" t="str">
        <f>IF($B124="","",COUNTA('UX Weekly'!$H124:$CT124))</f>
        <v/>
      </c>
      <c r="W124">
        <f>IF($B124="",0,COUNTIFS('UX Weekly'!$H$1:$CT$1,"&gt;="&amp;W$1,'UX Weekly'!$H$1:$CT$1,"&lt;="&amp;EOMONTH(W$1,0),'UX Weekly'!$H124:$CT124,"&lt;&gt;"))</f>
        <v>0</v>
      </c>
      <c r="X124">
        <f>IF($B124="",0,COUNTIFS('UX Weekly'!$H$1:$CT$1,"&gt;="&amp;X$1,'UX Weekly'!$H$1:$CT$1,"&lt;="&amp;EOMONTH(X$1,0),'UX Weekly'!$H124:$CT124,"&lt;&gt;"))</f>
        <v>0</v>
      </c>
      <c r="Y124">
        <f>IF($B124="",0,COUNTIFS('UX Weekly'!$H$1:$CT$1,"&gt;="&amp;Y$1,'UX Weekly'!$H$1:$CT$1,"&lt;="&amp;EOMONTH(Y$1,0),'UX Weekly'!$H124:$CT124,"&lt;&gt;"))</f>
        <v>0</v>
      </c>
      <c r="Z124">
        <f>IF($B124="",0,COUNTIFS('UX Weekly'!$H$1:$CT$1,"&gt;="&amp;Z$1,'UX Weekly'!$H$1:$CT$1,"&lt;="&amp;EOMONTH(Z$1,0),'UX Weekly'!$H124:$CT124,"&lt;&gt;"))</f>
        <v>0</v>
      </c>
      <c r="AA124">
        <f>IF($B124="",0,COUNTIFS('UX Weekly'!$H$1:$CT$1,"&gt;="&amp;AA$1,'UX Weekly'!$H$1:$CT$1,"&lt;="&amp;EOMONTH(AA$1,0),'UX Weekly'!$H124:$CT124,"&lt;&gt;"))</f>
        <v>0</v>
      </c>
      <c r="AB124">
        <f>IF($B124="",0,COUNTIFS('UX Weekly'!$H$1:$CT$1,"&gt;="&amp;AB$1,'UX Weekly'!$H$1:$CT$1,"&lt;="&amp;EOMONTH(AB$1,0),'UX Weekly'!$H124:$CT124,"&lt;&gt;"))</f>
        <v>0</v>
      </c>
      <c r="AC124">
        <f>IF($B124="",0,COUNTIFS('UX Weekly'!$H$1:$CT$1,"&gt;="&amp;AC$1,'UX Weekly'!$H$1:$CT$1,"&lt;="&amp;EOMONTH(AC$1,0),'UX Weekly'!$H124:$CT124,"&lt;&gt;"))</f>
        <v>0</v>
      </c>
      <c r="AD124">
        <f>IF($B124="",0,COUNTIFS('UX Weekly'!$H$1:$CT$1,"&gt;="&amp;AD$1,'UX Weekly'!$H$1:$CT$1,"&lt;="&amp;EOMONTH(AD$1,0),'UX Weekly'!$H124:$CT124,"&lt;&gt;"))</f>
        <v>0</v>
      </c>
      <c r="AE124">
        <f>IF($B124="",0,COUNTIFS('UX Weekly'!$H$1:$CT$1,"&gt;="&amp;AE$1,'UX Weekly'!$H$1:$CT$1,"&lt;="&amp;EOMONTH(AE$1,0),'UX Weekly'!$H124:$CT124,"&lt;&gt;"))</f>
        <v>0</v>
      </c>
      <c r="AF124">
        <f>IF($B124="",0,COUNTIFS('UX Weekly'!$H$1:$CT$1,"&gt;="&amp;AF$1,'UX Weekly'!$H$1:$CT$1,"&lt;="&amp;EOMONTH(AF$1,0),'UX Weekly'!$H124:$CT124,"&lt;&gt;"))</f>
        <v>0</v>
      </c>
      <c r="AG124">
        <f>IF($B124="",0,COUNTIFS('UX Weekly'!$H$1:$CT$1,"&gt;="&amp;AG$1,'UX Weekly'!$H$1:$CT$1,"&lt;="&amp;EOMONTH(AG$1,0),'UX Weekly'!$H124:$CT124,"&lt;&gt;"))</f>
        <v>0</v>
      </c>
      <c r="AH124">
        <f>IF($B124="",0,COUNTIFS('UX Weekly'!$H$1:$CT$1,"&gt;="&amp;AH$1,'UX Weekly'!$H$1:$CT$1,"&lt;="&amp;EOMONTH(AH$1,0),'UX Weekly'!$H124:$CT124,"&lt;&gt;"))</f>
        <v>0</v>
      </c>
      <c r="AI124">
        <f>IF($B124="",0,COUNTIFS('UX Weekly'!$H$1:$CT$1,"&gt;="&amp;AI$1,'UX Weekly'!$H$1:$CT$1,"&lt;="&amp;EOMONTH(AI$1,0),'UX Weekly'!$H124:$CT124,"&lt;&gt;"))</f>
        <v>0</v>
      </c>
      <c r="AJ124">
        <f>IF($B124="",0,COUNTIFS('UX Weekly'!$H$1:$CT$1,"&gt;="&amp;AJ$1,'UX Weekly'!$H$1:$CT$1,"&lt;="&amp;EOMONTH(AJ$1,0),'UX Weekly'!$H124:$CT124,"&lt;&gt;"))</f>
        <v>0</v>
      </c>
      <c r="AK124">
        <f>IF($B124="",0,COUNTIFS('UX Weekly'!$H$1:$CT$1,"&gt;="&amp;AK$1,'UX Weekly'!$H$1:$CT$1,"&lt;="&amp;EOMONTH(AK$1,0),'UX Weekly'!$H124:$CT124,"&lt;&gt;"))</f>
        <v>0</v>
      </c>
      <c r="AL124">
        <f>IF($B124="",0,COUNTIFS('UX Weekly'!$H$1:$CT$1,"&gt;="&amp;AL$1,'UX Weekly'!$H$1:$CT$1,"&lt;="&amp;EOMONTH(AL$1,0),'UX Weekly'!$H124:$CT124,"&lt;&gt;"))</f>
        <v>0</v>
      </c>
      <c r="AM124">
        <f>IF($B124="",0,COUNTIFS('UX Weekly'!$H$1:$CT$1,"&gt;="&amp;AM$1,'UX Weekly'!$H$1:$CT$1,"&lt;="&amp;EOMONTH(AM$1,0),'UX Weekly'!$H124:$CT124,"&lt;&gt;"))</f>
        <v>0</v>
      </c>
      <c r="AN124">
        <f>IF($B124="",0,COUNTIFS('UX Weekly'!$H$1:$CT$1,"&gt;="&amp;AN$1,'UX Weekly'!$H$1:$CT$1,"&lt;="&amp;EOMONTH(AN$1,0),'UX Weekly'!$H124:$CT124,"&lt;&gt;"))</f>
        <v>0</v>
      </c>
      <c r="AO124">
        <f>IF($B124="",0,COUNTIFS('UX Weekly'!$H$1:$CT$1,"&gt;="&amp;AO$1,'UX Weekly'!$H$1:$CT$1,"&lt;="&amp;EOMONTH(AO$1,0),'UX Weekly'!$H124:$CT124,"&lt;&gt;"))</f>
        <v>0</v>
      </c>
      <c r="AP124">
        <f>IF($B124="",0,COUNTIFS('UX Weekly'!$H$1:$CT$1,"&gt;="&amp;AP$1,'UX Weekly'!$H$1:$CT$1,"&lt;="&amp;EOMONTH(AP$1,0),'UX Weekly'!$H124:$CT124,"&lt;&gt;"))</f>
        <v>0</v>
      </c>
      <c r="AQ124">
        <f>IF($B124="",0,COUNTIFS('UX Weekly'!$H$1:$CT$1,"&gt;="&amp;AQ$1,'UX Weekly'!$H$1:$CT$1,"&lt;="&amp;EOMONTH(AQ$1,0),'UX Weekly'!$H124:$CT124,"&lt;&gt;"))</f>
        <v>0</v>
      </c>
      <c r="AR124">
        <f>IF($B124="",0,COUNTIFS('UX Weekly'!$H$1:$CT$1,"&gt;="&amp;AR$1,'UX Weekly'!$H$1:$CT$1,"&lt;="&amp;EOMONTH(AR$1,0),'UX Weekly'!$H124:$CT124,"&lt;&gt;"))</f>
        <v>0</v>
      </c>
      <c r="AS124">
        <f>IF($B124="",0,COUNTIFS('UX Weekly'!$H$1:$CT$1,"&gt;="&amp;AS$1,'UX Weekly'!$H$1:$CT$1,"&lt;="&amp;EOMONTH(AS$1,0),'UX Weekly'!$H124:$CT124,"&lt;&gt;"))</f>
        <v>0</v>
      </c>
      <c r="AT124">
        <f>IF($B124="",0,COUNTIFS('UX Weekly'!$H$1:$CT$1,"&gt;="&amp;AT$1,'UX Weekly'!$H$1:$CT$1,"&lt;="&amp;EOMONTH(AT$1,0),'UX Weekly'!$H124:$CT124,"&lt;&gt;"))</f>
        <v>0</v>
      </c>
    </row>
    <row r="125" spans="1:46" x14ac:dyDescent="0.2">
      <c r="A125" s="147">
        <v>126</v>
      </c>
      <c r="B125" s="147" t="str">
        <f>IF(TRIM('UX Weekly'!E125)="","",TRIM('UX Weekly'!E125))</f>
        <v/>
      </c>
      <c r="C125" s="147" t="str">
        <f>IF($B125="","",'UX Weekly'!B125)</f>
        <v/>
      </c>
      <c r="D125" s="147" t="str">
        <f>IF($B125="","",IF(TRIM('UX Weekly'!C125)="","(No theme assigned)",TRIM('UX Weekly'!C125)))</f>
        <v/>
      </c>
      <c r="E125" s="147" t="str">
        <f>IF($B125="","",TRIM('UX Weekly'!F125))</f>
        <v/>
      </c>
      <c r="F125" s="147" t="str">
        <f>IF($B125="","",'UX Weekly'!G125)</f>
        <v/>
      </c>
      <c r="G125" s="148" t="str">
        <f t="array" ref="G125">IF($B125="","",IF($S125=0,"",IFERROR(MIN(IF('UX Weekly'!$H125:$CT125&lt;&gt;"",'UX Weekly'!$H$1:$CT$1)),"")))</f>
        <v/>
      </c>
      <c r="H125" s="148" t="str">
        <f t="array" ref="H125">IF($B125="","",IF($S125=0,"",IFERROR(MAX(IF('UX Weekly'!$H125:$CT125&lt;&gt;"",'UX Weekly'!$H$1:$CT$1)),"")))</f>
        <v/>
      </c>
      <c r="I125" s="149" t="str">
        <f t="shared" ca="1" si="9"/>
        <v/>
      </c>
      <c r="J125" s="149" t="str">
        <f t="shared" ca="1" si="10"/>
        <v/>
      </c>
      <c r="K125" s="147" t="str">
        <f>IF($B125="","",IFERROR(MATCH($B125,'Dev Tracker'!$D$2:$D$196,0),IF($E125="","",IFERROR(MATCH($E125,'Dev Tracker'!$E$2:$E$196,0),""))))</f>
        <v/>
      </c>
      <c r="L125" s="147" t="str">
        <f>IF($B125="","",IFERROR(MATCH($D125,'Control (Don’t Touch)'!$E$4:$E$30,0),99))</f>
        <v/>
      </c>
      <c r="M125" s="147" t="str">
        <f>IF($B125="","",IFERROR(MATCH($F125,'Control (Don’t Touch)'!$B$4:$B$30,0),99))</f>
        <v/>
      </c>
      <c r="N125" s="147" t="str">
        <f t="shared" si="11"/>
        <v/>
      </c>
      <c r="O125" s="147" t="str">
        <f>IF($B125="","",COUNTIF($N$2:$N$204,"&lt;"&amp;$N125)+1)</f>
        <v/>
      </c>
      <c r="P125" s="149" t="str">
        <f ca="1">IF($K125="","",IFERROR(DATE(IFERROR(VALUE(RIGHT(TRIM(INDEX('Dev Tracker'!$I$2:$I$196,$K125)),4)),YEAR(TODAY())),MATCH(LEFT(TRIM(INDEX('Dev Tracker'!$I$2:$I$196,$K125)),3),$U$2:$U$12,0),1),""))</f>
        <v/>
      </c>
      <c r="Q125" s="149" t="str">
        <f ca="1">IF($K125="","",IFERROR(DATE(IFERROR(VALUE(RIGHT(TRIM(INDEX('Dev Tracker'!$J$2:$J$196,$K125)),4)),YEAR(TODAY())),MATCH(LEFT(TRIM(INDEX('Dev Tracker'!$J$2:$J$196,$K125)),3),$U$2:$U$12,0),1),""))</f>
        <v/>
      </c>
      <c r="R125" s="147"/>
      <c r="S125" s="147" t="str">
        <f>IF($B125="","",COUNTA('UX Weekly'!$H125:$CT125))</f>
        <v/>
      </c>
      <c r="W125">
        <f>IF($B125="",0,COUNTIFS('UX Weekly'!$H$1:$CT$1,"&gt;="&amp;W$1,'UX Weekly'!$H$1:$CT$1,"&lt;="&amp;EOMONTH(W$1,0),'UX Weekly'!$H125:$CT125,"&lt;&gt;"))</f>
        <v>0</v>
      </c>
      <c r="X125">
        <f>IF($B125="",0,COUNTIFS('UX Weekly'!$H$1:$CT$1,"&gt;="&amp;X$1,'UX Weekly'!$H$1:$CT$1,"&lt;="&amp;EOMONTH(X$1,0),'UX Weekly'!$H125:$CT125,"&lt;&gt;"))</f>
        <v>0</v>
      </c>
      <c r="Y125">
        <f>IF($B125="",0,COUNTIFS('UX Weekly'!$H$1:$CT$1,"&gt;="&amp;Y$1,'UX Weekly'!$H$1:$CT$1,"&lt;="&amp;EOMONTH(Y$1,0),'UX Weekly'!$H125:$CT125,"&lt;&gt;"))</f>
        <v>0</v>
      </c>
      <c r="Z125">
        <f>IF($B125="",0,COUNTIFS('UX Weekly'!$H$1:$CT$1,"&gt;="&amp;Z$1,'UX Weekly'!$H$1:$CT$1,"&lt;="&amp;EOMONTH(Z$1,0),'UX Weekly'!$H125:$CT125,"&lt;&gt;"))</f>
        <v>0</v>
      </c>
      <c r="AA125">
        <f>IF($B125="",0,COUNTIFS('UX Weekly'!$H$1:$CT$1,"&gt;="&amp;AA$1,'UX Weekly'!$H$1:$CT$1,"&lt;="&amp;EOMONTH(AA$1,0),'UX Weekly'!$H125:$CT125,"&lt;&gt;"))</f>
        <v>0</v>
      </c>
      <c r="AB125">
        <f>IF($B125="",0,COUNTIFS('UX Weekly'!$H$1:$CT$1,"&gt;="&amp;AB$1,'UX Weekly'!$H$1:$CT$1,"&lt;="&amp;EOMONTH(AB$1,0),'UX Weekly'!$H125:$CT125,"&lt;&gt;"))</f>
        <v>0</v>
      </c>
      <c r="AC125">
        <f>IF($B125="",0,COUNTIFS('UX Weekly'!$H$1:$CT$1,"&gt;="&amp;AC$1,'UX Weekly'!$H$1:$CT$1,"&lt;="&amp;EOMONTH(AC$1,0),'UX Weekly'!$H125:$CT125,"&lt;&gt;"))</f>
        <v>0</v>
      </c>
      <c r="AD125">
        <f>IF($B125="",0,COUNTIFS('UX Weekly'!$H$1:$CT$1,"&gt;="&amp;AD$1,'UX Weekly'!$H$1:$CT$1,"&lt;="&amp;EOMONTH(AD$1,0),'UX Weekly'!$H125:$CT125,"&lt;&gt;"))</f>
        <v>0</v>
      </c>
      <c r="AE125">
        <f>IF($B125="",0,COUNTIFS('UX Weekly'!$H$1:$CT$1,"&gt;="&amp;AE$1,'UX Weekly'!$H$1:$CT$1,"&lt;="&amp;EOMONTH(AE$1,0),'UX Weekly'!$H125:$CT125,"&lt;&gt;"))</f>
        <v>0</v>
      </c>
      <c r="AF125">
        <f>IF($B125="",0,COUNTIFS('UX Weekly'!$H$1:$CT$1,"&gt;="&amp;AF$1,'UX Weekly'!$H$1:$CT$1,"&lt;="&amp;EOMONTH(AF$1,0),'UX Weekly'!$H125:$CT125,"&lt;&gt;"))</f>
        <v>0</v>
      </c>
      <c r="AG125">
        <f>IF($B125="",0,COUNTIFS('UX Weekly'!$H$1:$CT$1,"&gt;="&amp;AG$1,'UX Weekly'!$H$1:$CT$1,"&lt;="&amp;EOMONTH(AG$1,0),'UX Weekly'!$H125:$CT125,"&lt;&gt;"))</f>
        <v>0</v>
      </c>
      <c r="AH125">
        <f>IF($B125="",0,COUNTIFS('UX Weekly'!$H$1:$CT$1,"&gt;="&amp;AH$1,'UX Weekly'!$H$1:$CT$1,"&lt;="&amp;EOMONTH(AH$1,0),'UX Weekly'!$H125:$CT125,"&lt;&gt;"))</f>
        <v>0</v>
      </c>
      <c r="AI125">
        <f>IF($B125="",0,COUNTIFS('UX Weekly'!$H$1:$CT$1,"&gt;="&amp;AI$1,'UX Weekly'!$H$1:$CT$1,"&lt;="&amp;EOMONTH(AI$1,0),'UX Weekly'!$H125:$CT125,"&lt;&gt;"))</f>
        <v>0</v>
      </c>
      <c r="AJ125">
        <f>IF($B125="",0,COUNTIFS('UX Weekly'!$H$1:$CT$1,"&gt;="&amp;AJ$1,'UX Weekly'!$H$1:$CT$1,"&lt;="&amp;EOMONTH(AJ$1,0),'UX Weekly'!$H125:$CT125,"&lt;&gt;"))</f>
        <v>0</v>
      </c>
      <c r="AK125">
        <f>IF($B125="",0,COUNTIFS('UX Weekly'!$H$1:$CT$1,"&gt;="&amp;AK$1,'UX Weekly'!$H$1:$CT$1,"&lt;="&amp;EOMONTH(AK$1,0),'UX Weekly'!$H125:$CT125,"&lt;&gt;"))</f>
        <v>0</v>
      </c>
      <c r="AL125">
        <f>IF($B125="",0,COUNTIFS('UX Weekly'!$H$1:$CT$1,"&gt;="&amp;AL$1,'UX Weekly'!$H$1:$CT$1,"&lt;="&amp;EOMONTH(AL$1,0),'UX Weekly'!$H125:$CT125,"&lt;&gt;"))</f>
        <v>0</v>
      </c>
      <c r="AM125">
        <f>IF($B125="",0,COUNTIFS('UX Weekly'!$H$1:$CT$1,"&gt;="&amp;AM$1,'UX Weekly'!$H$1:$CT$1,"&lt;="&amp;EOMONTH(AM$1,0),'UX Weekly'!$H125:$CT125,"&lt;&gt;"))</f>
        <v>0</v>
      </c>
      <c r="AN125">
        <f>IF($B125="",0,COUNTIFS('UX Weekly'!$H$1:$CT$1,"&gt;="&amp;AN$1,'UX Weekly'!$H$1:$CT$1,"&lt;="&amp;EOMONTH(AN$1,0),'UX Weekly'!$H125:$CT125,"&lt;&gt;"))</f>
        <v>0</v>
      </c>
      <c r="AO125">
        <f>IF($B125="",0,COUNTIFS('UX Weekly'!$H$1:$CT$1,"&gt;="&amp;AO$1,'UX Weekly'!$H$1:$CT$1,"&lt;="&amp;EOMONTH(AO$1,0),'UX Weekly'!$H125:$CT125,"&lt;&gt;"))</f>
        <v>0</v>
      </c>
      <c r="AP125">
        <f>IF($B125="",0,COUNTIFS('UX Weekly'!$H$1:$CT$1,"&gt;="&amp;AP$1,'UX Weekly'!$H$1:$CT$1,"&lt;="&amp;EOMONTH(AP$1,0),'UX Weekly'!$H125:$CT125,"&lt;&gt;"))</f>
        <v>0</v>
      </c>
      <c r="AQ125">
        <f>IF($B125="",0,COUNTIFS('UX Weekly'!$H$1:$CT$1,"&gt;="&amp;AQ$1,'UX Weekly'!$H$1:$CT$1,"&lt;="&amp;EOMONTH(AQ$1,0),'UX Weekly'!$H125:$CT125,"&lt;&gt;"))</f>
        <v>0</v>
      </c>
      <c r="AR125">
        <f>IF($B125="",0,COUNTIFS('UX Weekly'!$H$1:$CT$1,"&gt;="&amp;AR$1,'UX Weekly'!$H$1:$CT$1,"&lt;="&amp;EOMONTH(AR$1,0),'UX Weekly'!$H125:$CT125,"&lt;&gt;"))</f>
        <v>0</v>
      </c>
      <c r="AS125">
        <f>IF($B125="",0,COUNTIFS('UX Weekly'!$H$1:$CT$1,"&gt;="&amp;AS$1,'UX Weekly'!$H$1:$CT$1,"&lt;="&amp;EOMONTH(AS$1,0),'UX Weekly'!$H125:$CT125,"&lt;&gt;"))</f>
        <v>0</v>
      </c>
      <c r="AT125">
        <f>IF($B125="",0,COUNTIFS('UX Weekly'!$H$1:$CT$1,"&gt;="&amp;AT$1,'UX Weekly'!$H$1:$CT$1,"&lt;="&amp;EOMONTH(AT$1,0),'UX Weekly'!$H125:$CT125,"&lt;&gt;"))</f>
        <v>0</v>
      </c>
    </row>
    <row r="126" spans="1:46" x14ac:dyDescent="0.2">
      <c r="A126" s="147">
        <v>127</v>
      </c>
      <c r="B126" s="147" t="str">
        <f>IF(TRIM('UX Weekly'!E126)="","",TRIM('UX Weekly'!E126))</f>
        <v/>
      </c>
      <c r="C126" s="147" t="str">
        <f>IF($B126="","",'UX Weekly'!B126)</f>
        <v/>
      </c>
      <c r="D126" s="147" t="str">
        <f>IF($B126="","",IF(TRIM('UX Weekly'!C126)="","(No theme assigned)",TRIM('UX Weekly'!C126)))</f>
        <v/>
      </c>
      <c r="E126" s="147" t="str">
        <f>IF($B126="","",TRIM('UX Weekly'!F126))</f>
        <v/>
      </c>
      <c r="F126" s="147" t="str">
        <f>IF($B126="","",'UX Weekly'!G126)</f>
        <v/>
      </c>
      <c r="G126" s="148" t="str">
        <f t="array" ref="G126">IF($B126="","",IF($S126=0,"",IFERROR(MIN(IF('UX Weekly'!$H126:$CT126&lt;&gt;"",'UX Weekly'!$H$1:$CT$1)),"")))</f>
        <v/>
      </c>
      <c r="H126" s="148" t="str">
        <f t="array" ref="H126">IF($B126="","",IF($S126=0,"",IFERROR(MAX(IF('UX Weekly'!$H126:$CT126&lt;&gt;"",'UX Weekly'!$H$1:$CT$1)),"")))</f>
        <v/>
      </c>
      <c r="I126" s="149" t="str">
        <f t="shared" ca="1" si="9"/>
        <v/>
      </c>
      <c r="J126" s="149" t="str">
        <f t="shared" ca="1" si="10"/>
        <v/>
      </c>
      <c r="K126" s="147" t="str">
        <f>IF($B126="","",IFERROR(MATCH($B126,'Dev Tracker'!$D$2:$D$196,0),IF($E126="","",IFERROR(MATCH($E126,'Dev Tracker'!$E$2:$E$196,0),""))))</f>
        <v/>
      </c>
      <c r="L126" s="147" t="str">
        <f>IF($B126="","",IFERROR(MATCH($D126,'Control (Don’t Touch)'!$E$4:$E$30,0),99))</f>
        <v/>
      </c>
      <c r="M126" s="147" t="str">
        <f>IF($B126="","",IFERROR(MATCH($F126,'Control (Don’t Touch)'!$B$4:$B$30,0),99))</f>
        <v/>
      </c>
      <c r="N126" s="147" t="str">
        <f t="shared" si="11"/>
        <v/>
      </c>
      <c r="O126" s="147" t="str">
        <f>IF($B126="","",COUNTIF($N$2:$N$204,"&lt;"&amp;$N126)+1)</f>
        <v/>
      </c>
      <c r="P126" s="149" t="str">
        <f ca="1">IF($K126="","",IFERROR(DATE(IFERROR(VALUE(RIGHT(TRIM(INDEX('Dev Tracker'!$I$2:$I$196,$K126)),4)),YEAR(TODAY())),MATCH(LEFT(TRIM(INDEX('Dev Tracker'!$I$2:$I$196,$K126)),3),$U$2:$U$12,0),1),""))</f>
        <v/>
      </c>
      <c r="Q126" s="149" t="str">
        <f ca="1">IF($K126="","",IFERROR(DATE(IFERROR(VALUE(RIGHT(TRIM(INDEX('Dev Tracker'!$J$2:$J$196,$K126)),4)),YEAR(TODAY())),MATCH(LEFT(TRIM(INDEX('Dev Tracker'!$J$2:$J$196,$K126)),3),$U$2:$U$12,0),1),""))</f>
        <v/>
      </c>
      <c r="R126" s="147"/>
      <c r="S126" s="147" t="str">
        <f>IF($B126="","",COUNTA('UX Weekly'!$H126:$CT126))</f>
        <v/>
      </c>
      <c r="W126">
        <f>IF($B126="",0,COUNTIFS('UX Weekly'!$H$1:$CT$1,"&gt;="&amp;W$1,'UX Weekly'!$H$1:$CT$1,"&lt;="&amp;EOMONTH(W$1,0),'UX Weekly'!$H126:$CT126,"&lt;&gt;"))</f>
        <v>0</v>
      </c>
      <c r="X126">
        <f>IF($B126="",0,COUNTIFS('UX Weekly'!$H$1:$CT$1,"&gt;="&amp;X$1,'UX Weekly'!$H$1:$CT$1,"&lt;="&amp;EOMONTH(X$1,0),'UX Weekly'!$H126:$CT126,"&lt;&gt;"))</f>
        <v>0</v>
      </c>
      <c r="Y126">
        <f>IF($B126="",0,COUNTIFS('UX Weekly'!$H$1:$CT$1,"&gt;="&amp;Y$1,'UX Weekly'!$H$1:$CT$1,"&lt;="&amp;EOMONTH(Y$1,0),'UX Weekly'!$H126:$CT126,"&lt;&gt;"))</f>
        <v>0</v>
      </c>
      <c r="Z126">
        <f>IF($B126="",0,COUNTIFS('UX Weekly'!$H$1:$CT$1,"&gt;="&amp;Z$1,'UX Weekly'!$H$1:$CT$1,"&lt;="&amp;EOMONTH(Z$1,0),'UX Weekly'!$H126:$CT126,"&lt;&gt;"))</f>
        <v>0</v>
      </c>
      <c r="AA126">
        <f>IF($B126="",0,COUNTIFS('UX Weekly'!$H$1:$CT$1,"&gt;="&amp;AA$1,'UX Weekly'!$H$1:$CT$1,"&lt;="&amp;EOMONTH(AA$1,0),'UX Weekly'!$H126:$CT126,"&lt;&gt;"))</f>
        <v>0</v>
      </c>
      <c r="AB126">
        <f>IF($B126="",0,COUNTIFS('UX Weekly'!$H$1:$CT$1,"&gt;="&amp;AB$1,'UX Weekly'!$H$1:$CT$1,"&lt;="&amp;EOMONTH(AB$1,0),'UX Weekly'!$H126:$CT126,"&lt;&gt;"))</f>
        <v>0</v>
      </c>
      <c r="AC126">
        <f>IF($B126="",0,COUNTIFS('UX Weekly'!$H$1:$CT$1,"&gt;="&amp;AC$1,'UX Weekly'!$H$1:$CT$1,"&lt;="&amp;EOMONTH(AC$1,0),'UX Weekly'!$H126:$CT126,"&lt;&gt;"))</f>
        <v>0</v>
      </c>
      <c r="AD126">
        <f>IF($B126="",0,COUNTIFS('UX Weekly'!$H$1:$CT$1,"&gt;="&amp;AD$1,'UX Weekly'!$H$1:$CT$1,"&lt;="&amp;EOMONTH(AD$1,0),'UX Weekly'!$H126:$CT126,"&lt;&gt;"))</f>
        <v>0</v>
      </c>
      <c r="AE126">
        <f>IF($B126="",0,COUNTIFS('UX Weekly'!$H$1:$CT$1,"&gt;="&amp;AE$1,'UX Weekly'!$H$1:$CT$1,"&lt;="&amp;EOMONTH(AE$1,0),'UX Weekly'!$H126:$CT126,"&lt;&gt;"))</f>
        <v>0</v>
      </c>
      <c r="AF126">
        <f>IF($B126="",0,COUNTIFS('UX Weekly'!$H$1:$CT$1,"&gt;="&amp;AF$1,'UX Weekly'!$H$1:$CT$1,"&lt;="&amp;EOMONTH(AF$1,0),'UX Weekly'!$H126:$CT126,"&lt;&gt;"))</f>
        <v>0</v>
      </c>
      <c r="AG126">
        <f>IF($B126="",0,COUNTIFS('UX Weekly'!$H$1:$CT$1,"&gt;="&amp;AG$1,'UX Weekly'!$H$1:$CT$1,"&lt;="&amp;EOMONTH(AG$1,0),'UX Weekly'!$H126:$CT126,"&lt;&gt;"))</f>
        <v>0</v>
      </c>
      <c r="AH126">
        <f>IF($B126="",0,COUNTIFS('UX Weekly'!$H$1:$CT$1,"&gt;="&amp;AH$1,'UX Weekly'!$H$1:$CT$1,"&lt;="&amp;EOMONTH(AH$1,0),'UX Weekly'!$H126:$CT126,"&lt;&gt;"))</f>
        <v>0</v>
      </c>
      <c r="AI126">
        <f>IF($B126="",0,COUNTIFS('UX Weekly'!$H$1:$CT$1,"&gt;="&amp;AI$1,'UX Weekly'!$H$1:$CT$1,"&lt;="&amp;EOMONTH(AI$1,0),'UX Weekly'!$H126:$CT126,"&lt;&gt;"))</f>
        <v>0</v>
      </c>
      <c r="AJ126">
        <f>IF($B126="",0,COUNTIFS('UX Weekly'!$H$1:$CT$1,"&gt;="&amp;AJ$1,'UX Weekly'!$H$1:$CT$1,"&lt;="&amp;EOMONTH(AJ$1,0),'UX Weekly'!$H126:$CT126,"&lt;&gt;"))</f>
        <v>0</v>
      </c>
      <c r="AK126">
        <f>IF($B126="",0,COUNTIFS('UX Weekly'!$H$1:$CT$1,"&gt;="&amp;AK$1,'UX Weekly'!$H$1:$CT$1,"&lt;="&amp;EOMONTH(AK$1,0),'UX Weekly'!$H126:$CT126,"&lt;&gt;"))</f>
        <v>0</v>
      </c>
      <c r="AL126">
        <f>IF($B126="",0,COUNTIFS('UX Weekly'!$H$1:$CT$1,"&gt;="&amp;AL$1,'UX Weekly'!$H$1:$CT$1,"&lt;="&amp;EOMONTH(AL$1,0),'UX Weekly'!$H126:$CT126,"&lt;&gt;"))</f>
        <v>0</v>
      </c>
      <c r="AM126">
        <f>IF($B126="",0,COUNTIFS('UX Weekly'!$H$1:$CT$1,"&gt;="&amp;AM$1,'UX Weekly'!$H$1:$CT$1,"&lt;="&amp;EOMONTH(AM$1,0),'UX Weekly'!$H126:$CT126,"&lt;&gt;"))</f>
        <v>0</v>
      </c>
      <c r="AN126">
        <f>IF($B126="",0,COUNTIFS('UX Weekly'!$H$1:$CT$1,"&gt;="&amp;AN$1,'UX Weekly'!$H$1:$CT$1,"&lt;="&amp;EOMONTH(AN$1,0),'UX Weekly'!$H126:$CT126,"&lt;&gt;"))</f>
        <v>0</v>
      </c>
      <c r="AO126">
        <f>IF($B126="",0,COUNTIFS('UX Weekly'!$H$1:$CT$1,"&gt;="&amp;AO$1,'UX Weekly'!$H$1:$CT$1,"&lt;="&amp;EOMONTH(AO$1,0),'UX Weekly'!$H126:$CT126,"&lt;&gt;"))</f>
        <v>0</v>
      </c>
      <c r="AP126">
        <f>IF($B126="",0,COUNTIFS('UX Weekly'!$H$1:$CT$1,"&gt;="&amp;AP$1,'UX Weekly'!$H$1:$CT$1,"&lt;="&amp;EOMONTH(AP$1,0),'UX Weekly'!$H126:$CT126,"&lt;&gt;"))</f>
        <v>0</v>
      </c>
      <c r="AQ126">
        <f>IF($B126="",0,COUNTIFS('UX Weekly'!$H$1:$CT$1,"&gt;="&amp;AQ$1,'UX Weekly'!$H$1:$CT$1,"&lt;="&amp;EOMONTH(AQ$1,0),'UX Weekly'!$H126:$CT126,"&lt;&gt;"))</f>
        <v>0</v>
      </c>
      <c r="AR126">
        <f>IF($B126="",0,COUNTIFS('UX Weekly'!$H$1:$CT$1,"&gt;="&amp;AR$1,'UX Weekly'!$H$1:$CT$1,"&lt;="&amp;EOMONTH(AR$1,0),'UX Weekly'!$H126:$CT126,"&lt;&gt;"))</f>
        <v>0</v>
      </c>
      <c r="AS126">
        <f>IF($B126="",0,COUNTIFS('UX Weekly'!$H$1:$CT$1,"&gt;="&amp;AS$1,'UX Weekly'!$H$1:$CT$1,"&lt;="&amp;EOMONTH(AS$1,0),'UX Weekly'!$H126:$CT126,"&lt;&gt;"))</f>
        <v>0</v>
      </c>
      <c r="AT126">
        <f>IF($B126="",0,COUNTIFS('UX Weekly'!$H$1:$CT$1,"&gt;="&amp;AT$1,'UX Weekly'!$H$1:$CT$1,"&lt;="&amp;EOMONTH(AT$1,0),'UX Weekly'!$H126:$CT126,"&lt;&gt;"))</f>
        <v>0</v>
      </c>
    </row>
    <row r="127" spans="1:46" x14ac:dyDescent="0.2">
      <c r="A127" s="147">
        <v>128</v>
      </c>
      <c r="B127" s="147" t="str">
        <f>IF(TRIM('UX Weekly'!E127)="","",TRIM('UX Weekly'!E127))</f>
        <v/>
      </c>
      <c r="C127" s="147" t="str">
        <f>IF($B127="","",'UX Weekly'!B127)</f>
        <v/>
      </c>
      <c r="D127" s="147" t="str">
        <f>IF($B127="","",IF(TRIM('UX Weekly'!C127)="","(No theme assigned)",TRIM('UX Weekly'!C127)))</f>
        <v/>
      </c>
      <c r="E127" s="147" t="str">
        <f>IF($B127="","",TRIM('UX Weekly'!F127))</f>
        <v/>
      </c>
      <c r="F127" s="147" t="str">
        <f>IF($B127="","",'UX Weekly'!G127)</f>
        <v/>
      </c>
      <c r="G127" s="148" t="str">
        <f t="array" ref="G127">IF($B127="","",IF($S127=0,"",IFERROR(MIN(IF('UX Weekly'!$H127:$CT127&lt;&gt;"",'UX Weekly'!$H$1:$CT$1)),"")))</f>
        <v/>
      </c>
      <c r="H127" s="148" t="str">
        <f t="array" ref="H127">IF($B127="","",IF($S127=0,"",IFERROR(MAX(IF('UX Weekly'!$H127:$CT127&lt;&gt;"",'UX Weekly'!$H$1:$CT$1)),"")))</f>
        <v/>
      </c>
      <c r="I127" s="149" t="str">
        <f t="shared" ca="1" si="9"/>
        <v/>
      </c>
      <c r="J127" s="149" t="str">
        <f t="shared" ca="1" si="10"/>
        <v/>
      </c>
      <c r="K127" s="147" t="str">
        <f>IF($B127="","",IFERROR(MATCH($B127,'Dev Tracker'!$D$2:$D$196,0),IF($E127="","",IFERROR(MATCH($E127,'Dev Tracker'!$E$2:$E$196,0),""))))</f>
        <v/>
      </c>
      <c r="L127" s="147" t="str">
        <f>IF($B127="","",IFERROR(MATCH($D127,'Control (Don’t Touch)'!$E$4:$E$30,0),99))</f>
        <v/>
      </c>
      <c r="M127" s="147" t="str">
        <f>IF($B127="","",IFERROR(MATCH($F127,'Control (Don’t Touch)'!$B$4:$B$30,0),99))</f>
        <v/>
      </c>
      <c r="N127" s="147" t="str">
        <f t="shared" si="11"/>
        <v/>
      </c>
      <c r="O127" s="147" t="str">
        <f>IF($B127="","",COUNTIF($N$2:$N$204,"&lt;"&amp;$N127)+1)</f>
        <v/>
      </c>
      <c r="P127" s="149" t="str">
        <f ca="1">IF($K127="","",IFERROR(DATE(IFERROR(VALUE(RIGHT(TRIM(INDEX('Dev Tracker'!$I$2:$I$196,$K127)),4)),YEAR(TODAY())),MATCH(LEFT(TRIM(INDEX('Dev Tracker'!$I$2:$I$196,$K127)),3),$U$2:$U$12,0),1),""))</f>
        <v/>
      </c>
      <c r="Q127" s="149" t="str">
        <f ca="1">IF($K127="","",IFERROR(DATE(IFERROR(VALUE(RIGHT(TRIM(INDEX('Dev Tracker'!$J$2:$J$196,$K127)),4)),YEAR(TODAY())),MATCH(LEFT(TRIM(INDEX('Dev Tracker'!$J$2:$J$196,$K127)),3),$U$2:$U$12,0),1),""))</f>
        <v/>
      </c>
      <c r="R127" s="147"/>
      <c r="S127" s="147" t="str">
        <f>IF($B127="","",COUNTA('UX Weekly'!$H127:$CT127))</f>
        <v/>
      </c>
      <c r="W127">
        <f>IF($B127="",0,COUNTIFS('UX Weekly'!$H$1:$CT$1,"&gt;="&amp;W$1,'UX Weekly'!$H$1:$CT$1,"&lt;="&amp;EOMONTH(W$1,0),'UX Weekly'!$H127:$CT127,"&lt;&gt;"))</f>
        <v>0</v>
      </c>
      <c r="X127">
        <f>IF($B127="",0,COUNTIFS('UX Weekly'!$H$1:$CT$1,"&gt;="&amp;X$1,'UX Weekly'!$H$1:$CT$1,"&lt;="&amp;EOMONTH(X$1,0),'UX Weekly'!$H127:$CT127,"&lt;&gt;"))</f>
        <v>0</v>
      </c>
      <c r="Y127">
        <f>IF($B127="",0,COUNTIFS('UX Weekly'!$H$1:$CT$1,"&gt;="&amp;Y$1,'UX Weekly'!$H$1:$CT$1,"&lt;="&amp;EOMONTH(Y$1,0),'UX Weekly'!$H127:$CT127,"&lt;&gt;"))</f>
        <v>0</v>
      </c>
      <c r="Z127">
        <f>IF($B127="",0,COUNTIFS('UX Weekly'!$H$1:$CT$1,"&gt;="&amp;Z$1,'UX Weekly'!$H$1:$CT$1,"&lt;="&amp;EOMONTH(Z$1,0),'UX Weekly'!$H127:$CT127,"&lt;&gt;"))</f>
        <v>0</v>
      </c>
      <c r="AA127">
        <f>IF($B127="",0,COUNTIFS('UX Weekly'!$H$1:$CT$1,"&gt;="&amp;AA$1,'UX Weekly'!$H$1:$CT$1,"&lt;="&amp;EOMONTH(AA$1,0),'UX Weekly'!$H127:$CT127,"&lt;&gt;"))</f>
        <v>0</v>
      </c>
      <c r="AB127">
        <f>IF($B127="",0,COUNTIFS('UX Weekly'!$H$1:$CT$1,"&gt;="&amp;AB$1,'UX Weekly'!$H$1:$CT$1,"&lt;="&amp;EOMONTH(AB$1,0),'UX Weekly'!$H127:$CT127,"&lt;&gt;"))</f>
        <v>0</v>
      </c>
      <c r="AC127">
        <f>IF($B127="",0,COUNTIFS('UX Weekly'!$H$1:$CT$1,"&gt;="&amp;AC$1,'UX Weekly'!$H$1:$CT$1,"&lt;="&amp;EOMONTH(AC$1,0),'UX Weekly'!$H127:$CT127,"&lt;&gt;"))</f>
        <v>0</v>
      </c>
      <c r="AD127">
        <f>IF($B127="",0,COUNTIFS('UX Weekly'!$H$1:$CT$1,"&gt;="&amp;AD$1,'UX Weekly'!$H$1:$CT$1,"&lt;="&amp;EOMONTH(AD$1,0),'UX Weekly'!$H127:$CT127,"&lt;&gt;"))</f>
        <v>0</v>
      </c>
      <c r="AE127">
        <f>IF($B127="",0,COUNTIFS('UX Weekly'!$H$1:$CT$1,"&gt;="&amp;AE$1,'UX Weekly'!$H$1:$CT$1,"&lt;="&amp;EOMONTH(AE$1,0),'UX Weekly'!$H127:$CT127,"&lt;&gt;"))</f>
        <v>0</v>
      </c>
      <c r="AF127">
        <f>IF($B127="",0,COUNTIFS('UX Weekly'!$H$1:$CT$1,"&gt;="&amp;AF$1,'UX Weekly'!$H$1:$CT$1,"&lt;="&amp;EOMONTH(AF$1,0),'UX Weekly'!$H127:$CT127,"&lt;&gt;"))</f>
        <v>0</v>
      </c>
      <c r="AG127">
        <f>IF($B127="",0,COUNTIFS('UX Weekly'!$H$1:$CT$1,"&gt;="&amp;AG$1,'UX Weekly'!$H$1:$CT$1,"&lt;="&amp;EOMONTH(AG$1,0),'UX Weekly'!$H127:$CT127,"&lt;&gt;"))</f>
        <v>0</v>
      </c>
      <c r="AH127">
        <f>IF($B127="",0,COUNTIFS('UX Weekly'!$H$1:$CT$1,"&gt;="&amp;AH$1,'UX Weekly'!$H$1:$CT$1,"&lt;="&amp;EOMONTH(AH$1,0),'UX Weekly'!$H127:$CT127,"&lt;&gt;"))</f>
        <v>0</v>
      </c>
      <c r="AI127">
        <f>IF($B127="",0,COUNTIFS('UX Weekly'!$H$1:$CT$1,"&gt;="&amp;AI$1,'UX Weekly'!$H$1:$CT$1,"&lt;="&amp;EOMONTH(AI$1,0),'UX Weekly'!$H127:$CT127,"&lt;&gt;"))</f>
        <v>0</v>
      </c>
      <c r="AJ127">
        <f>IF($B127="",0,COUNTIFS('UX Weekly'!$H$1:$CT$1,"&gt;="&amp;AJ$1,'UX Weekly'!$H$1:$CT$1,"&lt;="&amp;EOMONTH(AJ$1,0),'UX Weekly'!$H127:$CT127,"&lt;&gt;"))</f>
        <v>0</v>
      </c>
      <c r="AK127">
        <f>IF($B127="",0,COUNTIFS('UX Weekly'!$H$1:$CT$1,"&gt;="&amp;AK$1,'UX Weekly'!$H$1:$CT$1,"&lt;="&amp;EOMONTH(AK$1,0),'UX Weekly'!$H127:$CT127,"&lt;&gt;"))</f>
        <v>0</v>
      </c>
      <c r="AL127">
        <f>IF($B127="",0,COUNTIFS('UX Weekly'!$H$1:$CT$1,"&gt;="&amp;AL$1,'UX Weekly'!$H$1:$CT$1,"&lt;="&amp;EOMONTH(AL$1,0),'UX Weekly'!$H127:$CT127,"&lt;&gt;"))</f>
        <v>0</v>
      </c>
      <c r="AM127">
        <f>IF($B127="",0,COUNTIFS('UX Weekly'!$H$1:$CT$1,"&gt;="&amp;AM$1,'UX Weekly'!$H$1:$CT$1,"&lt;="&amp;EOMONTH(AM$1,0),'UX Weekly'!$H127:$CT127,"&lt;&gt;"))</f>
        <v>0</v>
      </c>
      <c r="AN127">
        <f>IF($B127="",0,COUNTIFS('UX Weekly'!$H$1:$CT$1,"&gt;="&amp;AN$1,'UX Weekly'!$H$1:$CT$1,"&lt;="&amp;EOMONTH(AN$1,0),'UX Weekly'!$H127:$CT127,"&lt;&gt;"))</f>
        <v>0</v>
      </c>
      <c r="AO127">
        <f>IF($B127="",0,COUNTIFS('UX Weekly'!$H$1:$CT$1,"&gt;="&amp;AO$1,'UX Weekly'!$H$1:$CT$1,"&lt;="&amp;EOMONTH(AO$1,0),'UX Weekly'!$H127:$CT127,"&lt;&gt;"))</f>
        <v>0</v>
      </c>
      <c r="AP127">
        <f>IF($B127="",0,COUNTIFS('UX Weekly'!$H$1:$CT$1,"&gt;="&amp;AP$1,'UX Weekly'!$H$1:$CT$1,"&lt;="&amp;EOMONTH(AP$1,0),'UX Weekly'!$H127:$CT127,"&lt;&gt;"))</f>
        <v>0</v>
      </c>
      <c r="AQ127">
        <f>IF($B127="",0,COUNTIFS('UX Weekly'!$H$1:$CT$1,"&gt;="&amp;AQ$1,'UX Weekly'!$H$1:$CT$1,"&lt;="&amp;EOMONTH(AQ$1,0),'UX Weekly'!$H127:$CT127,"&lt;&gt;"))</f>
        <v>0</v>
      </c>
      <c r="AR127">
        <f>IF($B127="",0,COUNTIFS('UX Weekly'!$H$1:$CT$1,"&gt;="&amp;AR$1,'UX Weekly'!$H$1:$CT$1,"&lt;="&amp;EOMONTH(AR$1,0),'UX Weekly'!$H127:$CT127,"&lt;&gt;"))</f>
        <v>0</v>
      </c>
      <c r="AS127">
        <f>IF($B127="",0,COUNTIFS('UX Weekly'!$H$1:$CT$1,"&gt;="&amp;AS$1,'UX Weekly'!$H$1:$CT$1,"&lt;="&amp;EOMONTH(AS$1,0),'UX Weekly'!$H127:$CT127,"&lt;&gt;"))</f>
        <v>0</v>
      </c>
      <c r="AT127">
        <f>IF($B127="",0,COUNTIFS('UX Weekly'!$H$1:$CT$1,"&gt;="&amp;AT$1,'UX Weekly'!$H$1:$CT$1,"&lt;="&amp;EOMONTH(AT$1,0),'UX Weekly'!$H127:$CT127,"&lt;&gt;"))</f>
        <v>0</v>
      </c>
    </row>
    <row r="128" spans="1:46" x14ac:dyDescent="0.2">
      <c r="A128" s="147">
        <v>129</v>
      </c>
      <c r="B128" s="147" t="str">
        <f>IF(TRIM('UX Weekly'!E128)="","",TRIM('UX Weekly'!E128))</f>
        <v/>
      </c>
      <c r="C128" s="147" t="str">
        <f>IF($B128="","",'UX Weekly'!B128)</f>
        <v/>
      </c>
      <c r="D128" s="147" t="str">
        <f>IF($B128="","",IF(TRIM('UX Weekly'!C128)="","(No theme assigned)",TRIM('UX Weekly'!C128)))</f>
        <v/>
      </c>
      <c r="E128" s="147" t="str">
        <f>IF($B128="","",TRIM('UX Weekly'!F128))</f>
        <v/>
      </c>
      <c r="F128" s="147" t="str">
        <f>IF($B128="","",'UX Weekly'!G128)</f>
        <v/>
      </c>
      <c r="G128" s="148" t="str">
        <f t="array" ref="G128">IF($B128="","",IF($S128=0,"",IFERROR(MIN(IF('UX Weekly'!$H128:$CT128&lt;&gt;"",'UX Weekly'!$H$1:$CT$1)),"")))</f>
        <v/>
      </c>
      <c r="H128" s="148" t="str">
        <f t="array" ref="H128">IF($B128="","",IF($S128=0,"",IFERROR(MAX(IF('UX Weekly'!$H128:$CT128&lt;&gt;"",'UX Weekly'!$H$1:$CT$1)),"")))</f>
        <v/>
      </c>
      <c r="I128" s="149" t="str">
        <f t="shared" ca="1" si="9"/>
        <v/>
      </c>
      <c r="J128" s="149" t="str">
        <f t="shared" ca="1" si="10"/>
        <v/>
      </c>
      <c r="K128" s="147" t="str">
        <f>IF($B128="","",IFERROR(MATCH($B128,'Dev Tracker'!$D$2:$D$196,0),IF($E128="","",IFERROR(MATCH($E128,'Dev Tracker'!$E$2:$E$196,0),""))))</f>
        <v/>
      </c>
      <c r="L128" s="147" t="str">
        <f>IF($B128="","",IFERROR(MATCH($D128,'Control (Don’t Touch)'!$E$4:$E$30,0),99))</f>
        <v/>
      </c>
      <c r="M128" s="147" t="str">
        <f>IF($B128="","",IFERROR(MATCH($F128,'Control (Don’t Touch)'!$B$4:$B$30,0),99))</f>
        <v/>
      </c>
      <c r="N128" s="147" t="str">
        <f t="shared" si="11"/>
        <v/>
      </c>
      <c r="O128" s="147" t="str">
        <f>IF($B128="","",COUNTIF($N$2:$N$204,"&lt;"&amp;$N128)+1)</f>
        <v/>
      </c>
      <c r="P128" s="149" t="str">
        <f ca="1">IF($K128="","",IFERROR(DATE(IFERROR(VALUE(RIGHT(TRIM(INDEX('Dev Tracker'!$I$2:$I$196,$K128)),4)),YEAR(TODAY())),MATCH(LEFT(TRIM(INDEX('Dev Tracker'!$I$2:$I$196,$K128)),3),$U$2:$U$12,0),1),""))</f>
        <v/>
      </c>
      <c r="Q128" s="149" t="str">
        <f ca="1">IF($K128="","",IFERROR(DATE(IFERROR(VALUE(RIGHT(TRIM(INDEX('Dev Tracker'!$J$2:$J$196,$K128)),4)),YEAR(TODAY())),MATCH(LEFT(TRIM(INDEX('Dev Tracker'!$J$2:$J$196,$K128)),3),$U$2:$U$12,0),1),""))</f>
        <v/>
      </c>
      <c r="R128" s="147"/>
      <c r="S128" s="147" t="str">
        <f>IF($B128="","",COUNTA('UX Weekly'!$H128:$CT128))</f>
        <v/>
      </c>
      <c r="W128">
        <f>IF($B128="",0,COUNTIFS('UX Weekly'!$H$1:$CT$1,"&gt;="&amp;W$1,'UX Weekly'!$H$1:$CT$1,"&lt;="&amp;EOMONTH(W$1,0),'UX Weekly'!$H128:$CT128,"&lt;&gt;"))</f>
        <v>0</v>
      </c>
      <c r="X128">
        <f>IF($B128="",0,COUNTIFS('UX Weekly'!$H$1:$CT$1,"&gt;="&amp;X$1,'UX Weekly'!$H$1:$CT$1,"&lt;="&amp;EOMONTH(X$1,0),'UX Weekly'!$H128:$CT128,"&lt;&gt;"))</f>
        <v>0</v>
      </c>
      <c r="Y128">
        <f>IF($B128="",0,COUNTIFS('UX Weekly'!$H$1:$CT$1,"&gt;="&amp;Y$1,'UX Weekly'!$H$1:$CT$1,"&lt;="&amp;EOMONTH(Y$1,0),'UX Weekly'!$H128:$CT128,"&lt;&gt;"))</f>
        <v>0</v>
      </c>
      <c r="Z128">
        <f>IF($B128="",0,COUNTIFS('UX Weekly'!$H$1:$CT$1,"&gt;="&amp;Z$1,'UX Weekly'!$H$1:$CT$1,"&lt;="&amp;EOMONTH(Z$1,0),'UX Weekly'!$H128:$CT128,"&lt;&gt;"))</f>
        <v>0</v>
      </c>
      <c r="AA128">
        <f>IF($B128="",0,COUNTIFS('UX Weekly'!$H$1:$CT$1,"&gt;="&amp;AA$1,'UX Weekly'!$H$1:$CT$1,"&lt;="&amp;EOMONTH(AA$1,0),'UX Weekly'!$H128:$CT128,"&lt;&gt;"))</f>
        <v>0</v>
      </c>
      <c r="AB128">
        <f>IF($B128="",0,COUNTIFS('UX Weekly'!$H$1:$CT$1,"&gt;="&amp;AB$1,'UX Weekly'!$H$1:$CT$1,"&lt;="&amp;EOMONTH(AB$1,0),'UX Weekly'!$H128:$CT128,"&lt;&gt;"))</f>
        <v>0</v>
      </c>
      <c r="AC128">
        <f>IF($B128="",0,COUNTIFS('UX Weekly'!$H$1:$CT$1,"&gt;="&amp;AC$1,'UX Weekly'!$H$1:$CT$1,"&lt;="&amp;EOMONTH(AC$1,0),'UX Weekly'!$H128:$CT128,"&lt;&gt;"))</f>
        <v>0</v>
      </c>
      <c r="AD128">
        <f>IF($B128="",0,COUNTIFS('UX Weekly'!$H$1:$CT$1,"&gt;="&amp;AD$1,'UX Weekly'!$H$1:$CT$1,"&lt;="&amp;EOMONTH(AD$1,0),'UX Weekly'!$H128:$CT128,"&lt;&gt;"))</f>
        <v>0</v>
      </c>
      <c r="AE128">
        <f>IF($B128="",0,COUNTIFS('UX Weekly'!$H$1:$CT$1,"&gt;="&amp;AE$1,'UX Weekly'!$H$1:$CT$1,"&lt;="&amp;EOMONTH(AE$1,0),'UX Weekly'!$H128:$CT128,"&lt;&gt;"))</f>
        <v>0</v>
      </c>
      <c r="AF128">
        <f>IF($B128="",0,COUNTIFS('UX Weekly'!$H$1:$CT$1,"&gt;="&amp;AF$1,'UX Weekly'!$H$1:$CT$1,"&lt;="&amp;EOMONTH(AF$1,0),'UX Weekly'!$H128:$CT128,"&lt;&gt;"))</f>
        <v>0</v>
      </c>
      <c r="AG128">
        <f>IF($B128="",0,COUNTIFS('UX Weekly'!$H$1:$CT$1,"&gt;="&amp;AG$1,'UX Weekly'!$H$1:$CT$1,"&lt;="&amp;EOMONTH(AG$1,0),'UX Weekly'!$H128:$CT128,"&lt;&gt;"))</f>
        <v>0</v>
      </c>
      <c r="AH128">
        <f>IF($B128="",0,COUNTIFS('UX Weekly'!$H$1:$CT$1,"&gt;="&amp;AH$1,'UX Weekly'!$H$1:$CT$1,"&lt;="&amp;EOMONTH(AH$1,0),'UX Weekly'!$H128:$CT128,"&lt;&gt;"))</f>
        <v>0</v>
      </c>
      <c r="AI128">
        <f>IF($B128="",0,COUNTIFS('UX Weekly'!$H$1:$CT$1,"&gt;="&amp;AI$1,'UX Weekly'!$H$1:$CT$1,"&lt;="&amp;EOMONTH(AI$1,0),'UX Weekly'!$H128:$CT128,"&lt;&gt;"))</f>
        <v>0</v>
      </c>
      <c r="AJ128">
        <f>IF($B128="",0,COUNTIFS('UX Weekly'!$H$1:$CT$1,"&gt;="&amp;AJ$1,'UX Weekly'!$H$1:$CT$1,"&lt;="&amp;EOMONTH(AJ$1,0),'UX Weekly'!$H128:$CT128,"&lt;&gt;"))</f>
        <v>0</v>
      </c>
      <c r="AK128">
        <f>IF($B128="",0,COUNTIFS('UX Weekly'!$H$1:$CT$1,"&gt;="&amp;AK$1,'UX Weekly'!$H$1:$CT$1,"&lt;="&amp;EOMONTH(AK$1,0),'UX Weekly'!$H128:$CT128,"&lt;&gt;"))</f>
        <v>0</v>
      </c>
      <c r="AL128">
        <f>IF($B128="",0,COUNTIFS('UX Weekly'!$H$1:$CT$1,"&gt;="&amp;AL$1,'UX Weekly'!$H$1:$CT$1,"&lt;="&amp;EOMONTH(AL$1,0),'UX Weekly'!$H128:$CT128,"&lt;&gt;"))</f>
        <v>0</v>
      </c>
      <c r="AM128">
        <f>IF($B128="",0,COUNTIFS('UX Weekly'!$H$1:$CT$1,"&gt;="&amp;AM$1,'UX Weekly'!$H$1:$CT$1,"&lt;="&amp;EOMONTH(AM$1,0),'UX Weekly'!$H128:$CT128,"&lt;&gt;"))</f>
        <v>0</v>
      </c>
      <c r="AN128">
        <f>IF($B128="",0,COUNTIFS('UX Weekly'!$H$1:$CT$1,"&gt;="&amp;AN$1,'UX Weekly'!$H$1:$CT$1,"&lt;="&amp;EOMONTH(AN$1,0),'UX Weekly'!$H128:$CT128,"&lt;&gt;"))</f>
        <v>0</v>
      </c>
      <c r="AO128">
        <f>IF($B128="",0,COUNTIFS('UX Weekly'!$H$1:$CT$1,"&gt;="&amp;AO$1,'UX Weekly'!$H$1:$CT$1,"&lt;="&amp;EOMONTH(AO$1,0),'UX Weekly'!$H128:$CT128,"&lt;&gt;"))</f>
        <v>0</v>
      </c>
      <c r="AP128">
        <f>IF($B128="",0,COUNTIFS('UX Weekly'!$H$1:$CT$1,"&gt;="&amp;AP$1,'UX Weekly'!$H$1:$CT$1,"&lt;="&amp;EOMONTH(AP$1,0),'UX Weekly'!$H128:$CT128,"&lt;&gt;"))</f>
        <v>0</v>
      </c>
      <c r="AQ128">
        <f>IF($B128="",0,COUNTIFS('UX Weekly'!$H$1:$CT$1,"&gt;="&amp;AQ$1,'UX Weekly'!$H$1:$CT$1,"&lt;="&amp;EOMONTH(AQ$1,0),'UX Weekly'!$H128:$CT128,"&lt;&gt;"))</f>
        <v>0</v>
      </c>
      <c r="AR128">
        <f>IF($B128="",0,COUNTIFS('UX Weekly'!$H$1:$CT$1,"&gt;="&amp;AR$1,'UX Weekly'!$H$1:$CT$1,"&lt;="&amp;EOMONTH(AR$1,0),'UX Weekly'!$H128:$CT128,"&lt;&gt;"))</f>
        <v>0</v>
      </c>
      <c r="AS128">
        <f>IF($B128="",0,COUNTIFS('UX Weekly'!$H$1:$CT$1,"&gt;="&amp;AS$1,'UX Weekly'!$H$1:$CT$1,"&lt;="&amp;EOMONTH(AS$1,0),'UX Weekly'!$H128:$CT128,"&lt;&gt;"))</f>
        <v>0</v>
      </c>
      <c r="AT128">
        <f>IF($B128="",0,COUNTIFS('UX Weekly'!$H$1:$CT$1,"&gt;="&amp;AT$1,'UX Weekly'!$H$1:$CT$1,"&lt;="&amp;EOMONTH(AT$1,0),'UX Weekly'!$H128:$CT128,"&lt;&gt;"))</f>
        <v>0</v>
      </c>
    </row>
    <row r="129" spans="1:46" x14ac:dyDescent="0.2">
      <c r="A129" s="147">
        <v>130</v>
      </c>
      <c r="B129" s="147" t="str">
        <f>IF(TRIM('UX Weekly'!E129)="","",TRIM('UX Weekly'!E129))</f>
        <v/>
      </c>
      <c r="C129" s="147" t="str">
        <f>IF($B129="","",'UX Weekly'!B129)</f>
        <v/>
      </c>
      <c r="D129" s="147" t="str">
        <f>IF($B129="","",IF(TRIM('UX Weekly'!C129)="","(No theme assigned)",TRIM('UX Weekly'!C129)))</f>
        <v/>
      </c>
      <c r="E129" s="147" t="str">
        <f>IF($B129="","",TRIM('UX Weekly'!F129))</f>
        <v/>
      </c>
      <c r="F129" s="147" t="str">
        <f>IF($B129="","",'UX Weekly'!G129)</f>
        <v/>
      </c>
      <c r="G129" s="148" t="str">
        <f t="array" ref="G129">IF($B129="","",IF($S129=0,"",IFERROR(MIN(IF('UX Weekly'!$H129:$CT129&lt;&gt;"",'UX Weekly'!$H$1:$CT$1)),"")))</f>
        <v/>
      </c>
      <c r="H129" s="148" t="str">
        <f t="array" ref="H129">IF($B129="","",IF($S129=0,"",IFERROR(MAX(IF('UX Weekly'!$H129:$CT129&lt;&gt;"",'UX Weekly'!$H$1:$CT$1)),"")))</f>
        <v/>
      </c>
      <c r="I129" s="149" t="str">
        <f t="shared" ref="I129:I150" ca="1" si="12">IF($Q129&lt;&gt;"",IF($P129&lt;&gt;"",$P129,$Q129),IF($P129&lt;&gt;"",$P129,""))</f>
        <v/>
      </c>
      <c r="J129" s="149" t="str">
        <f t="shared" ref="J129:J150" ca="1" si="13">IF($Q129&lt;&gt;"",EOMONTH($Q129,0),IF($P129&lt;&gt;"",EOMONTH($P129,0),""))</f>
        <v/>
      </c>
      <c r="K129" s="147" t="str">
        <f>IF($B129="","",IFERROR(MATCH($B129,'Dev Tracker'!$D$2:$D$196,0),IF($E129="","",IFERROR(MATCH($E129,'Dev Tracker'!$E$2:$E$196,0),""))))</f>
        <v/>
      </c>
      <c r="L129" s="147" t="str">
        <f>IF($B129="","",IFERROR(MATCH($D129,'Control (Don’t Touch)'!$E$4:$E$30,0),99))</f>
        <v/>
      </c>
      <c r="M129" s="147" t="str">
        <f>IF($B129="","",IFERROR(MATCH($F129,'Control (Don’t Touch)'!$B$4:$B$30,0),99))</f>
        <v/>
      </c>
      <c r="N129" s="147" t="str">
        <f t="shared" ref="N129:N150" si="14">IF($B129="","",$L129*1000000+$M129*10000+ROW())</f>
        <v/>
      </c>
      <c r="O129" s="147" t="str">
        <f>IF($B129="","",COUNTIF($N$2:$N$204,"&lt;"&amp;$N129)+1)</f>
        <v/>
      </c>
      <c r="P129" s="149" t="str">
        <f ca="1">IF($K129="","",IFERROR(DATE(IFERROR(VALUE(RIGHT(TRIM(INDEX('Dev Tracker'!$I$2:$I$196,$K129)),4)),YEAR(TODAY())),MATCH(LEFT(TRIM(INDEX('Dev Tracker'!$I$2:$I$196,$K129)),3),$U$2:$U$12,0),1),""))</f>
        <v/>
      </c>
      <c r="Q129" s="149" t="str">
        <f ca="1">IF($K129="","",IFERROR(DATE(IFERROR(VALUE(RIGHT(TRIM(INDEX('Dev Tracker'!$J$2:$J$196,$K129)),4)),YEAR(TODAY())),MATCH(LEFT(TRIM(INDEX('Dev Tracker'!$J$2:$J$196,$K129)),3),$U$2:$U$12,0),1),""))</f>
        <v/>
      </c>
      <c r="R129" s="147"/>
      <c r="S129" s="147" t="str">
        <f>IF($B129="","",COUNTA('UX Weekly'!$H129:$CT129))</f>
        <v/>
      </c>
      <c r="W129">
        <f>IF($B129="",0,COUNTIFS('UX Weekly'!$H$1:$CT$1,"&gt;="&amp;W$1,'UX Weekly'!$H$1:$CT$1,"&lt;="&amp;EOMONTH(W$1,0),'UX Weekly'!$H129:$CT129,"&lt;&gt;"))</f>
        <v>0</v>
      </c>
      <c r="X129">
        <f>IF($B129="",0,COUNTIFS('UX Weekly'!$H$1:$CT$1,"&gt;="&amp;X$1,'UX Weekly'!$H$1:$CT$1,"&lt;="&amp;EOMONTH(X$1,0),'UX Weekly'!$H129:$CT129,"&lt;&gt;"))</f>
        <v>0</v>
      </c>
      <c r="Y129">
        <f>IF($B129="",0,COUNTIFS('UX Weekly'!$H$1:$CT$1,"&gt;="&amp;Y$1,'UX Weekly'!$H$1:$CT$1,"&lt;="&amp;EOMONTH(Y$1,0),'UX Weekly'!$H129:$CT129,"&lt;&gt;"))</f>
        <v>0</v>
      </c>
      <c r="Z129">
        <f>IF($B129="",0,COUNTIFS('UX Weekly'!$H$1:$CT$1,"&gt;="&amp;Z$1,'UX Weekly'!$H$1:$CT$1,"&lt;="&amp;EOMONTH(Z$1,0),'UX Weekly'!$H129:$CT129,"&lt;&gt;"))</f>
        <v>0</v>
      </c>
      <c r="AA129">
        <f>IF($B129="",0,COUNTIFS('UX Weekly'!$H$1:$CT$1,"&gt;="&amp;AA$1,'UX Weekly'!$H$1:$CT$1,"&lt;="&amp;EOMONTH(AA$1,0),'UX Weekly'!$H129:$CT129,"&lt;&gt;"))</f>
        <v>0</v>
      </c>
      <c r="AB129">
        <f>IF($B129="",0,COUNTIFS('UX Weekly'!$H$1:$CT$1,"&gt;="&amp;AB$1,'UX Weekly'!$H$1:$CT$1,"&lt;="&amp;EOMONTH(AB$1,0),'UX Weekly'!$H129:$CT129,"&lt;&gt;"))</f>
        <v>0</v>
      </c>
      <c r="AC129">
        <f>IF($B129="",0,COUNTIFS('UX Weekly'!$H$1:$CT$1,"&gt;="&amp;AC$1,'UX Weekly'!$H$1:$CT$1,"&lt;="&amp;EOMONTH(AC$1,0),'UX Weekly'!$H129:$CT129,"&lt;&gt;"))</f>
        <v>0</v>
      </c>
      <c r="AD129">
        <f>IF($B129="",0,COUNTIFS('UX Weekly'!$H$1:$CT$1,"&gt;="&amp;AD$1,'UX Weekly'!$H$1:$CT$1,"&lt;="&amp;EOMONTH(AD$1,0),'UX Weekly'!$H129:$CT129,"&lt;&gt;"))</f>
        <v>0</v>
      </c>
      <c r="AE129">
        <f>IF($B129="",0,COUNTIFS('UX Weekly'!$H$1:$CT$1,"&gt;="&amp;AE$1,'UX Weekly'!$H$1:$CT$1,"&lt;="&amp;EOMONTH(AE$1,0),'UX Weekly'!$H129:$CT129,"&lt;&gt;"))</f>
        <v>0</v>
      </c>
      <c r="AF129">
        <f>IF($B129="",0,COUNTIFS('UX Weekly'!$H$1:$CT$1,"&gt;="&amp;AF$1,'UX Weekly'!$H$1:$CT$1,"&lt;="&amp;EOMONTH(AF$1,0),'UX Weekly'!$H129:$CT129,"&lt;&gt;"))</f>
        <v>0</v>
      </c>
      <c r="AG129">
        <f>IF($B129="",0,COUNTIFS('UX Weekly'!$H$1:$CT$1,"&gt;="&amp;AG$1,'UX Weekly'!$H$1:$CT$1,"&lt;="&amp;EOMONTH(AG$1,0),'UX Weekly'!$H129:$CT129,"&lt;&gt;"))</f>
        <v>0</v>
      </c>
      <c r="AH129">
        <f>IF($B129="",0,COUNTIFS('UX Weekly'!$H$1:$CT$1,"&gt;="&amp;AH$1,'UX Weekly'!$H$1:$CT$1,"&lt;="&amp;EOMONTH(AH$1,0),'UX Weekly'!$H129:$CT129,"&lt;&gt;"))</f>
        <v>0</v>
      </c>
      <c r="AI129">
        <f>IF($B129="",0,COUNTIFS('UX Weekly'!$H$1:$CT$1,"&gt;="&amp;AI$1,'UX Weekly'!$H$1:$CT$1,"&lt;="&amp;EOMONTH(AI$1,0),'UX Weekly'!$H129:$CT129,"&lt;&gt;"))</f>
        <v>0</v>
      </c>
      <c r="AJ129">
        <f>IF($B129="",0,COUNTIFS('UX Weekly'!$H$1:$CT$1,"&gt;="&amp;AJ$1,'UX Weekly'!$H$1:$CT$1,"&lt;="&amp;EOMONTH(AJ$1,0),'UX Weekly'!$H129:$CT129,"&lt;&gt;"))</f>
        <v>0</v>
      </c>
      <c r="AK129">
        <f>IF($B129="",0,COUNTIFS('UX Weekly'!$H$1:$CT$1,"&gt;="&amp;AK$1,'UX Weekly'!$H$1:$CT$1,"&lt;="&amp;EOMONTH(AK$1,0),'UX Weekly'!$H129:$CT129,"&lt;&gt;"))</f>
        <v>0</v>
      </c>
      <c r="AL129">
        <f>IF($B129="",0,COUNTIFS('UX Weekly'!$H$1:$CT$1,"&gt;="&amp;AL$1,'UX Weekly'!$H$1:$CT$1,"&lt;="&amp;EOMONTH(AL$1,0),'UX Weekly'!$H129:$CT129,"&lt;&gt;"))</f>
        <v>0</v>
      </c>
      <c r="AM129">
        <f>IF($B129="",0,COUNTIFS('UX Weekly'!$H$1:$CT$1,"&gt;="&amp;AM$1,'UX Weekly'!$H$1:$CT$1,"&lt;="&amp;EOMONTH(AM$1,0),'UX Weekly'!$H129:$CT129,"&lt;&gt;"))</f>
        <v>0</v>
      </c>
      <c r="AN129">
        <f>IF($B129="",0,COUNTIFS('UX Weekly'!$H$1:$CT$1,"&gt;="&amp;AN$1,'UX Weekly'!$H$1:$CT$1,"&lt;="&amp;EOMONTH(AN$1,0),'UX Weekly'!$H129:$CT129,"&lt;&gt;"))</f>
        <v>0</v>
      </c>
      <c r="AO129">
        <f>IF($B129="",0,COUNTIFS('UX Weekly'!$H$1:$CT$1,"&gt;="&amp;AO$1,'UX Weekly'!$H$1:$CT$1,"&lt;="&amp;EOMONTH(AO$1,0),'UX Weekly'!$H129:$CT129,"&lt;&gt;"))</f>
        <v>0</v>
      </c>
      <c r="AP129">
        <f>IF($B129="",0,COUNTIFS('UX Weekly'!$H$1:$CT$1,"&gt;="&amp;AP$1,'UX Weekly'!$H$1:$CT$1,"&lt;="&amp;EOMONTH(AP$1,0),'UX Weekly'!$H129:$CT129,"&lt;&gt;"))</f>
        <v>0</v>
      </c>
      <c r="AQ129">
        <f>IF($B129="",0,COUNTIFS('UX Weekly'!$H$1:$CT$1,"&gt;="&amp;AQ$1,'UX Weekly'!$H$1:$CT$1,"&lt;="&amp;EOMONTH(AQ$1,0),'UX Weekly'!$H129:$CT129,"&lt;&gt;"))</f>
        <v>0</v>
      </c>
      <c r="AR129">
        <f>IF($B129="",0,COUNTIFS('UX Weekly'!$H$1:$CT$1,"&gt;="&amp;AR$1,'UX Weekly'!$H$1:$CT$1,"&lt;="&amp;EOMONTH(AR$1,0),'UX Weekly'!$H129:$CT129,"&lt;&gt;"))</f>
        <v>0</v>
      </c>
      <c r="AS129">
        <f>IF($B129="",0,COUNTIFS('UX Weekly'!$H$1:$CT$1,"&gt;="&amp;AS$1,'UX Weekly'!$H$1:$CT$1,"&lt;="&amp;EOMONTH(AS$1,0),'UX Weekly'!$H129:$CT129,"&lt;&gt;"))</f>
        <v>0</v>
      </c>
      <c r="AT129">
        <f>IF($B129="",0,COUNTIFS('UX Weekly'!$H$1:$CT$1,"&gt;="&amp;AT$1,'UX Weekly'!$H$1:$CT$1,"&lt;="&amp;EOMONTH(AT$1,0),'UX Weekly'!$H129:$CT129,"&lt;&gt;"))</f>
        <v>0</v>
      </c>
    </row>
    <row r="130" spans="1:46" x14ac:dyDescent="0.2">
      <c r="A130" s="147">
        <v>131</v>
      </c>
      <c r="B130" s="147" t="str">
        <f>IF(TRIM('UX Weekly'!E130)="","",TRIM('UX Weekly'!E130))</f>
        <v/>
      </c>
      <c r="C130" s="147" t="str">
        <f>IF($B130="","",'UX Weekly'!B130)</f>
        <v/>
      </c>
      <c r="D130" s="147" t="str">
        <f>IF($B130="","",IF(TRIM('UX Weekly'!C130)="","(No theme assigned)",TRIM('UX Weekly'!C130)))</f>
        <v/>
      </c>
      <c r="E130" s="147" t="str">
        <f>IF($B130="","",TRIM('UX Weekly'!F130))</f>
        <v/>
      </c>
      <c r="F130" s="147" t="str">
        <f>IF($B130="","",'UX Weekly'!G130)</f>
        <v/>
      </c>
      <c r="G130" s="148" t="str">
        <f t="array" ref="G130">IF($B130="","",IF($S130=0,"",IFERROR(MIN(IF('UX Weekly'!$H130:$CT130&lt;&gt;"",'UX Weekly'!$H$1:$CT$1)),"")))</f>
        <v/>
      </c>
      <c r="H130" s="148" t="str">
        <f t="array" ref="H130">IF($B130="","",IF($S130=0,"",IFERROR(MAX(IF('UX Weekly'!$H130:$CT130&lt;&gt;"",'UX Weekly'!$H$1:$CT$1)),"")))</f>
        <v/>
      </c>
      <c r="I130" s="149" t="str">
        <f t="shared" ca="1" si="12"/>
        <v/>
      </c>
      <c r="J130" s="149" t="str">
        <f t="shared" ca="1" si="13"/>
        <v/>
      </c>
      <c r="K130" s="147" t="str">
        <f>IF($B130="","",IFERROR(MATCH($B130,'Dev Tracker'!$D$2:$D$196,0),IF($E130="","",IFERROR(MATCH($E130,'Dev Tracker'!$E$2:$E$196,0),""))))</f>
        <v/>
      </c>
      <c r="L130" s="147" t="str">
        <f>IF($B130="","",IFERROR(MATCH($D130,'Control (Don’t Touch)'!$E$4:$E$30,0),99))</f>
        <v/>
      </c>
      <c r="M130" s="147" t="str">
        <f>IF($B130="","",IFERROR(MATCH($F130,'Control (Don’t Touch)'!$B$4:$B$30,0),99))</f>
        <v/>
      </c>
      <c r="N130" s="147" t="str">
        <f t="shared" si="14"/>
        <v/>
      </c>
      <c r="O130" s="147" t="str">
        <f>IF($B130="","",COUNTIF($N$2:$N$204,"&lt;"&amp;$N130)+1)</f>
        <v/>
      </c>
      <c r="P130" s="149" t="str">
        <f ca="1">IF($K130="","",IFERROR(DATE(IFERROR(VALUE(RIGHT(TRIM(INDEX('Dev Tracker'!$I$2:$I$196,$K130)),4)),YEAR(TODAY())),MATCH(LEFT(TRIM(INDEX('Dev Tracker'!$I$2:$I$196,$K130)),3),$U$2:$U$12,0),1),""))</f>
        <v/>
      </c>
      <c r="Q130" s="149" t="str">
        <f ca="1">IF($K130="","",IFERROR(DATE(IFERROR(VALUE(RIGHT(TRIM(INDEX('Dev Tracker'!$J$2:$J$196,$K130)),4)),YEAR(TODAY())),MATCH(LEFT(TRIM(INDEX('Dev Tracker'!$J$2:$J$196,$K130)),3),$U$2:$U$12,0),1),""))</f>
        <v/>
      </c>
      <c r="R130" s="147"/>
      <c r="S130" s="147" t="str">
        <f>IF($B130="","",COUNTA('UX Weekly'!$H130:$CT130))</f>
        <v/>
      </c>
      <c r="W130">
        <f>IF($B130="",0,COUNTIFS('UX Weekly'!$H$1:$CT$1,"&gt;="&amp;W$1,'UX Weekly'!$H$1:$CT$1,"&lt;="&amp;EOMONTH(W$1,0),'UX Weekly'!$H130:$CT130,"&lt;&gt;"))</f>
        <v>0</v>
      </c>
      <c r="X130">
        <f>IF($B130="",0,COUNTIFS('UX Weekly'!$H$1:$CT$1,"&gt;="&amp;X$1,'UX Weekly'!$H$1:$CT$1,"&lt;="&amp;EOMONTH(X$1,0),'UX Weekly'!$H130:$CT130,"&lt;&gt;"))</f>
        <v>0</v>
      </c>
      <c r="Y130">
        <f>IF($B130="",0,COUNTIFS('UX Weekly'!$H$1:$CT$1,"&gt;="&amp;Y$1,'UX Weekly'!$H$1:$CT$1,"&lt;="&amp;EOMONTH(Y$1,0),'UX Weekly'!$H130:$CT130,"&lt;&gt;"))</f>
        <v>0</v>
      </c>
      <c r="Z130">
        <f>IF($B130="",0,COUNTIFS('UX Weekly'!$H$1:$CT$1,"&gt;="&amp;Z$1,'UX Weekly'!$H$1:$CT$1,"&lt;="&amp;EOMONTH(Z$1,0),'UX Weekly'!$H130:$CT130,"&lt;&gt;"))</f>
        <v>0</v>
      </c>
      <c r="AA130">
        <f>IF($B130="",0,COUNTIFS('UX Weekly'!$H$1:$CT$1,"&gt;="&amp;AA$1,'UX Weekly'!$H$1:$CT$1,"&lt;="&amp;EOMONTH(AA$1,0),'UX Weekly'!$H130:$CT130,"&lt;&gt;"))</f>
        <v>0</v>
      </c>
      <c r="AB130">
        <f>IF($B130="",0,COUNTIFS('UX Weekly'!$H$1:$CT$1,"&gt;="&amp;AB$1,'UX Weekly'!$H$1:$CT$1,"&lt;="&amp;EOMONTH(AB$1,0),'UX Weekly'!$H130:$CT130,"&lt;&gt;"))</f>
        <v>0</v>
      </c>
      <c r="AC130">
        <f>IF($B130="",0,COUNTIFS('UX Weekly'!$H$1:$CT$1,"&gt;="&amp;AC$1,'UX Weekly'!$H$1:$CT$1,"&lt;="&amp;EOMONTH(AC$1,0),'UX Weekly'!$H130:$CT130,"&lt;&gt;"))</f>
        <v>0</v>
      </c>
      <c r="AD130">
        <f>IF($B130="",0,COUNTIFS('UX Weekly'!$H$1:$CT$1,"&gt;="&amp;AD$1,'UX Weekly'!$H$1:$CT$1,"&lt;="&amp;EOMONTH(AD$1,0),'UX Weekly'!$H130:$CT130,"&lt;&gt;"))</f>
        <v>0</v>
      </c>
      <c r="AE130">
        <f>IF($B130="",0,COUNTIFS('UX Weekly'!$H$1:$CT$1,"&gt;="&amp;AE$1,'UX Weekly'!$H$1:$CT$1,"&lt;="&amp;EOMONTH(AE$1,0),'UX Weekly'!$H130:$CT130,"&lt;&gt;"))</f>
        <v>0</v>
      </c>
      <c r="AF130">
        <f>IF($B130="",0,COUNTIFS('UX Weekly'!$H$1:$CT$1,"&gt;="&amp;AF$1,'UX Weekly'!$H$1:$CT$1,"&lt;="&amp;EOMONTH(AF$1,0),'UX Weekly'!$H130:$CT130,"&lt;&gt;"))</f>
        <v>0</v>
      </c>
      <c r="AG130">
        <f>IF($B130="",0,COUNTIFS('UX Weekly'!$H$1:$CT$1,"&gt;="&amp;AG$1,'UX Weekly'!$H$1:$CT$1,"&lt;="&amp;EOMONTH(AG$1,0),'UX Weekly'!$H130:$CT130,"&lt;&gt;"))</f>
        <v>0</v>
      </c>
      <c r="AH130">
        <f>IF($B130="",0,COUNTIFS('UX Weekly'!$H$1:$CT$1,"&gt;="&amp;AH$1,'UX Weekly'!$H$1:$CT$1,"&lt;="&amp;EOMONTH(AH$1,0),'UX Weekly'!$H130:$CT130,"&lt;&gt;"))</f>
        <v>0</v>
      </c>
      <c r="AI130">
        <f>IF($B130="",0,COUNTIFS('UX Weekly'!$H$1:$CT$1,"&gt;="&amp;AI$1,'UX Weekly'!$H$1:$CT$1,"&lt;="&amp;EOMONTH(AI$1,0),'UX Weekly'!$H130:$CT130,"&lt;&gt;"))</f>
        <v>0</v>
      </c>
      <c r="AJ130">
        <f>IF($B130="",0,COUNTIFS('UX Weekly'!$H$1:$CT$1,"&gt;="&amp;AJ$1,'UX Weekly'!$H$1:$CT$1,"&lt;="&amp;EOMONTH(AJ$1,0),'UX Weekly'!$H130:$CT130,"&lt;&gt;"))</f>
        <v>0</v>
      </c>
      <c r="AK130">
        <f>IF($B130="",0,COUNTIFS('UX Weekly'!$H$1:$CT$1,"&gt;="&amp;AK$1,'UX Weekly'!$H$1:$CT$1,"&lt;="&amp;EOMONTH(AK$1,0),'UX Weekly'!$H130:$CT130,"&lt;&gt;"))</f>
        <v>0</v>
      </c>
      <c r="AL130">
        <f>IF($B130="",0,COUNTIFS('UX Weekly'!$H$1:$CT$1,"&gt;="&amp;AL$1,'UX Weekly'!$H$1:$CT$1,"&lt;="&amp;EOMONTH(AL$1,0),'UX Weekly'!$H130:$CT130,"&lt;&gt;"))</f>
        <v>0</v>
      </c>
      <c r="AM130">
        <f>IF($B130="",0,COUNTIFS('UX Weekly'!$H$1:$CT$1,"&gt;="&amp;AM$1,'UX Weekly'!$H$1:$CT$1,"&lt;="&amp;EOMONTH(AM$1,0),'UX Weekly'!$H130:$CT130,"&lt;&gt;"))</f>
        <v>0</v>
      </c>
      <c r="AN130">
        <f>IF($B130="",0,COUNTIFS('UX Weekly'!$H$1:$CT$1,"&gt;="&amp;AN$1,'UX Weekly'!$H$1:$CT$1,"&lt;="&amp;EOMONTH(AN$1,0),'UX Weekly'!$H130:$CT130,"&lt;&gt;"))</f>
        <v>0</v>
      </c>
      <c r="AO130">
        <f>IF($B130="",0,COUNTIFS('UX Weekly'!$H$1:$CT$1,"&gt;="&amp;AO$1,'UX Weekly'!$H$1:$CT$1,"&lt;="&amp;EOMONTH(AO$1,0),'UX Weekly'!$H130:$CT130,"&lt;&gt;"))</f>
        <v>0</v>
      </c>
      <c r="AP130">
        <f>IF($B130="",0,COUNTIFS('UX Weekly'!$H$1:$CT$1,"&gt;="&amp;AP$1,'UX Weekly'!$H$1:$CT$1,"&lt;="&amp;EOMONTH(AP$1,0),'UX Weekly'!$H130:$CT130,"&lt;&gt;"))</f>
        <v>0</v>
      </c>
      <c r="AQ130">
        <f>IF($B130="",0,COUNTIFS('UX Weekly'!$H$1:$CT$1,"&gt;="&amp;AQ$1,'UX Weekly'!$H$1:$CT$1,"&lt;="&amp;EOMONTH(AQ$1,0),'UX Weekly'!$H130:$CT130,"&lt;&gt;"))</f>
        <v>0</v>
      </c>
      <c r="AR130">
        <f>IF($B130="",0,COUNTIFS('UX Weekly'!$H$1:$CT$1,"&gt;="&amp;AR$1,'UX Weekly'!$H$1:$CT$1,"&lt;="&amp;EOMONTH(AR$1,0),'UX Weekly'!$H130:$CT130,"&lt;&gt;"))</f>
        <v>0</v>
      </c>
      <c r="AS130">
        <f>IF($B130="",0,COUNTIFS('UX Weekly'!$H$1:$CT$1,"&gt;="&amp;AS$1,'UX Weekly'!$H$1:$CT$1,"&lt;="&amp;EOMONTH(AS$1,0),'UX Weekly'!$H130:$CT130,"&lt;&gt;"))</f>
        <v>0</v>
      </c>
      <c r="AT130">
        <f>IF($B130="",0,COUNTIFS('UX Weekly'!$H$1:$CT$1,"&gt;="&amp;AT$1,'UX Weekly'!$H$1:$CT$1,"&lt;="&amp;EOMONTH(AT$1,0),'UX Weekly'!$H130:$CT130,"&lt;&gt;"))</f>
        <v>0</v>
      </c>
    </row>
    <row r="131" spans="1:46" x14ac:dyDescent="0.2">
      <c r="A131" s="147">
        <v>132</v>
      </c>
      <c r="B131" s="147" t="str">
        <f>IF(TRIM('UX Weekly'!E131)="","",TRIM('UX Weekly'!E131))</f>
        <v/>
      </c>
      <c r="C131" s="147" t="str">
        <f>IF($B131="","",'UX Weekly'!B131)</f>
        <v/>
      </c>
      <c r="D131" s="147" t="str">
        <f>IF($B131="","",IF(TRIM('UX Weekly'!C131)="","(No theme assigned)",TRIM('UX Weekly'!C131)))</f>
        <v/>
      </c>
      <c r="E131" s="147" t="str">
        <f>IF($B131="","",TRIM('UX Weekly'!F131))</f>
        <v/>
      </c>
      <c r="F131" s="147" t="str">
        <f>IF($B131="","",'UX Weekly'!G131)</f>
        <v/>
      </c>
      <c r="G131" s="148" t="str">
        <f t="array" ref="G131">IF($B131="","",IF($S131=0,"",IFERROR(MIN(IF('UX Weekly'!$H131:$CT131&lt;&gt;"",'UX Weekly'!$H$1:$CT$1)),"")))</f>
        <v/>
      </c>
      <c r="H131" s="148" t="str">
        <f t="array" ref="H131">IF($B131="","",IF($S131=0,"",IFERROR(MAX(IF('UX Weekly'!$H131:$CT131&lt;&gt;"",'UX Weekly'!$H$1:$CT$1)),"")))</f>
        <v/>
      </c>
      <c r="I131" s="149" t="str">
        <f t="shared" ca="1" si="12"/>
        <v/>
      </c>
      <c r="J131" s="149" t="str">
        <f t="shared" ca="1" si="13"/>
        <v/>
      </c>
      <c r="K131" s="147" t="str">
        <f>IF($B131="","",IFERROR(MATCH($B131,'Dev Tracker'!$D$2:$D$196,0),IF($E131="","",IFERROR(MATCH($E131,'Dev Tracker'!$E$2:$E$196,0),""))))</f>
        <v/>
      </c>
      <c r="L131" s="147" t="str">
        <f>IF($B131="","",IFERROR(MATCH($D131,'Control (Don’t Touch)'!$E$4:$E$30,0),99))</f>
        <v/>
      </c>
      <c r="M131" s="147" t="str">
        <f>IF($B131="","",IFERROR(MATCH($F131,'Control (Don’t Touch)'!$B$4:$B$30,0),99))</f>
        <v/>
      </c>
      <c r="N131" s="147" t="str">
        <f t="shared" si="14"/>
        <v/>
      </c>
      <c r="O131" s="147" t="str">
        <f>IF($B131="","",COUNTIF($N$2:$N$204,"&lt;"&amp;$N131)+1)</f>
        <v/>
      </c>
      <c r="P131" s="149" t="str">
        <f ca="1">IF($K131="","",IFERROR(DATE(IFERROR(VALUE(RIGHT(TRIM(INDEX('Dev Tracker'!$I$2:$I$196,$K131)),4)),YEAR(TODAY())),MATCH(LEFT(TRIM(INDEX('Dev Tracker'!$I$2:$I$196,$K131)),3),$U$2:$U$12,0),1),""))</f>
        <v/>
      </c>
      <c r="Q131" s="149" t="str">
        <f ca="1">IF($K131="","",IFERROR(DATE(IFERROR(VALUE(RIGHT(TRIM(INDEX('Dev Tracker'!$J$2:$J$196,$K131)),4)),YEAR(TODAY())),MATCH(LEFT(TRIM(INDEX('Dev Tracker'!$J$2:$J$196,$K131)),3),$U$2:$U$12,0),1),""))</f>
        <v/>
      </c>
      <c r="R131" s="147"/>
      <c r="S131" s="147" t="str">
        <f>IF($B131="","",COUNTA('UX Weekly'!$H131:$CT131))</f>
        <v/>
      </c>
      <c r="W131">
        <f>IF($B131="",0,COUNTIFS('UX Weekly'!$H$1:$CT$1,"&gt;="&amp;W$1,'UX Weekly'!$H$1:$CT$1,"&lt;="&amp;EOMONTH(W$1,0),'UX Weekly'!$H131:$CT131,"&lt;&gt;"))</f>
        <v>0</v>
      </c>
      <c r="X131">
        <f>IF($B131="",0,COUNTIFS('UX Weekly'!$H$1:$CT$1,"&gt;="&amp;X$1,'UX Weekly'!$H$1:$CT$1,"&lt;="&amp;EOMONTH(X$1,0),'UX Weekly'!$H131:$CT131,"&lt;&gt;"))</f>
        <v>0</v>
      </c>
      <c r="Y131">
        <f>IF($B131="",0,COUNTIFS('UX Weekly'!$H$1:$CT$1,"&gt;="&amp;Y$1,'UX Weekly'!$H$1:$CT$1,"&lt;="&amp;EOMONTH(Y$1,0),'UX Weekly'!$H131:$CT131,"&lt;&gt;"))</f>
        <v>0</v>
      </c>
      <c r="Z131">
        <f>IF($B131="",0,COUNTIFS('UX Weekly'!$H$1:$CT$1,"&gt;="&amp;Z$1,'UX Weekly'!$H$1:$CT$1,"&lt;="&amp;EOMONTH(Z$1,0),'UX Weekly'!$H131:$CT131,"&lt;&gt;"))</f>
        <v>0</v>
      </c>
      <c r="AA131">
        <f>IF($B131="",0,COUNTIFS('UX Weekly'!$H$1:$CT$1,"&gt;="&amp;AA$1,'UX Weekly'!$H$1:$CT$1,"&lt;="&amp;EOMONTH(AA$1,0),'UX Weekly'!$H131:$CT131,"&lt;&gt;"))</f>
        <v>0</v>
      </c>
      <c r="AB131">
        <f>IF($B131="",0,COUNTIFS('UX Weekly'!$H$1:$CT$1,"&gt;="&amp;AB$1,'UX Weekly'!$H$1:$CT$1,"&lt;="&amp;EOMONTH(AB$1,0),'UX Weekly'!$H131:$CT131,"&lt;&gt;"))</f>
        <v>0</v>
      </c>
      <c r="AC131">
        <f>IF($B131="",0,COUNTIFS('UX Weekly'!$H$1:$CT$1,"&gt;="&amp;AC$1,'UX Weekly'!$H$1:$CT$1,"&lt;="&amp;EOMONTH(AC$1,0),'UX Weekly'!$H131:$CT131,"&lt;&gt;"))</f>
        <v>0</v>
      </c>
      <c r="AD131">
        <f>IF($B131="",0,COUNTIFS('UX Weekly'!$H$1:$CT$1,"&gt;="&amp;AD$1,'UX Weekly'!$H$1:$CT$1,"&lt;="&amp;EOMONTH(AD$1,0),'UX Weekly'!$H131:$CT131,"&lt;&gt;"))</f>
        <v>0</v>
      </c>
      <c r="AE131">
        <f>IF($B131="",0,COUNTIFS('UX Weekly'!$H$1:$CT$1,"&gt;="&amp;AE$1,'UX Weekly'!$H$1:$CT$1,"&lt;="&amp;EOMONTH(AE$1,0),'UX Weekly'!$H131:$CT131,"&lt;&gt;"))</f>
        <v>0</v>
      </c>
      <c r="AF131">
        <f>IF($B131="",0,COUNTIFS('UX Weekly'!$H$1:$CT$1,"&gt;="&amp;AF$1,'UX Weekly'!$H$1:$CT$1,"&lt;="&amp;EOMONTH(AF$1,0),'UX Weekly'!$H131:$CT131,"&lt;&gt;"))</f>
        <v>0</v>
      </c>
      <c r="AG131">
        <f>IF($B131="",0,COUNTIFS('UX Weekly'!$H$1:$CT$1,"&gt;="&amp;AG$1,'UX Weekly'!$H$1:$CT$1,"&lt;="&amp;EOMONTH(AG$1,0),'UX Weekly'!$H131:$CT131,"&lt;&gt;"))</f>
        <v>0</v>
      </c>
      <c r="AH131">
        <f>IF($B131="",0,COUNTIFS('UX Weekly'!$H$1:$CT$1,"&gt;="&amp;AH$1,'UX Weekly'!$H$1:$CT$1,"&lt;="&amp;EOMONTH(AH$1,0),'UX Weekly'!$H131:$CT131,"&lt;&gt;"))</f>
        <v>0</v>
      </c>
      <c r="AI131">
        <f>IF($B131="",0,COUNTIFS('UX Weekly'!$H$1:$CT$1,"&gt;="&amp;AI$1,'UX Weekly'!$H$1:$CT$1,"&lt;="&amp;EOMONTH(AI$1,0),'UX Weekly'!$H131:$CT131,"&lt;&gt;"))</f>
        <v>0</v>
      </c>
      <c r="AJ131">
        <f>IF($B131="",0,COUNTIFS('UX Weekly'!$H$1:$CT$1,"&gt;="&amp;AJ$1,'UX Weekly'!$H$1:$CT$1,"&lt;="&amp;EOMONTH(AJ$1,0),'UX Weekly'!$H131:$CT131,"&lt;&gt;"))</f>
        <v>0</v>
      </c>
      <c r="AK131">
        <f>IF($B131="",0,COUNTIFS('UX Weekly'!$H$1:$CT$1,"&gt;="&amp;AK$1,'UX Weekly'!$H$1:$CT$1,"&lt;="&amp;EOMONTH(AK$1,0),'UX Weekly'!$H131:$CT131,"&lt;&gt;"))</f>
        <v>0</v>
      </c>
      <c r="AL131">
        <f>IF($B131="",0,COUNTIFS('UX Weekly'!$H$1:$CT$1,"&gt;="&amp;AL$1,'UX Weekly'!$H$1:$CT$1,"&lt;="&amp;EOMONTH(AL$1,0),'UX Weekly'!$H131:$CT131,"&lt;&gt;"))</f>
        <v>0</v>
      </c>
      <c r="AM131">
        <f>IF($B131="",0,COUNTIFS('UX Weekly'!$H$1:$CT$1,"&gt;="&amp;AM$1,'UX Weekly'!$H$1:$CT$1,"&lt;="&amp;EOMONTH(AM$1,0),'UX Weekly'!$H131:$CT131,"&lt;&gt;"))</f>
        <v>0</v>
      </c>
      <c r="AN131">
        <f>IF($B131="",0,COUNTIFS('UX Weekly'!$H$1:$CT$1,"&gt;="&amp;AN$1,'UX Weekly'!$H$1:$CT$1,"&lt;="&amp;EOMONTH(AN$1,0),'UX Weekly'!$H131:$CT131,"&lt;&gt;"))</f>
        <v>0</v>
      </c>
      <c r="AO131">
        <f>IF($B131="",0,COUNTIFS('UX Weekly'!$H$1:$CT$1,"&gt;="&amp;AO$1,'UX Weekly'!$H$1:$CT$1,"&lt;="&amp;EOMONTH(AO$1,0),'UX Weekly'!$H131:$CT131,"&lt;&gt;"))</f>
        <v>0</v>
      </c>
      <c r="AP131">
        <f>IF($B131="",0,COUNTIFS('UX Weekly'!$H$1:$CT$1,"&gt;="&amp;AP$1,'UX Weekly'!$H$1:$CT$1,"&lt;="&amp;EOMONTH(AP$1,0),'UX Weekly'!$H131:$CT131,"&lt;&gt;"))</f>
        <v>0</v>
      </c>
      <c r="AQ131">
        <f>IF($B131="",0,COUNTIFS('UX Weekly'!$H$1:$CT$1,"&gt;="&amp;AQ$1,'UX Weekly'!$H$1:$CT$1,"&lt;="&amp;EOMONTH(AQ$1,0),'UX Weekly'!$H131:$CT131,"&lt;&gt;"))</f>
        <v>0</v>
      </c>
      <c r="AR131">
        <f>IF($B131="",0,COUNTIFS('UX Weekly'!$H$1:$CT$1,"&gt;="&amp;AR$1,'UX Weekly'!$H$1:$CT$1,"&lt;="&amp;EOMONTH(AR$1,0),'UX Weekly'!$H131:$CT131,"&lt;&gt;"))</f>
        <v>0</v>
      </c>
      <c r="AS131">
        <f>IF($B131="",0,COUNTIFS('UX Weekly'!$H$1:$CT$1,"&gt;="&amp;AS$1,'UX Weekly'!$H$1:$CT$1,"&lt;="&amp;EOMONTH(AS$1,0),'UX Weekly'!$H131:$CT131,"&lt;&gt;"))</f>
        <v>0</v>
      </c>
      <c r="AT131">
        <f>IF($B131="",0,COUNTIFS('UX Weekly'!$H$1:$CT$1,"&gt;="&amp;AT$1,'UX Weekly'!$H$1:$CT$1,"&lt;="&amp;EOMONTH(AT$1,0),'UX Weekly'!$H131:$CT131,"&lt;&gt;"))</f>
        <v>0</v>
      </c>
    </row>
    <row r="132" spans="1:46" x14ac:dyDescent="0.2">
      <c r="A132" s="147">
        <v>133</v>
      </c>
      <c r="B132" s="147" t="str">
        <f>IF(TRIM('UX Weekly'!E132)="","",TRIM('UX Weekly'!E132))</f>
        <v/>
      </c>
      <c r="C132" s="147" t="str">
        <f>IF($B132="","",'UX Weekly'!B132)</f>
        <v/>
      </c>
      <c r="D132" s="147" t="str">
        <f>IF($B132="","",IF(TRIM('UX Weekly'!C132)="","(No theme assigned)",TRIM('UX Weekly'!C132)))</f>
        <v/>
      </c>
      <c r="E132" s="147" t="str">
        <f>IF($B132="","",TRIM('UX Weekly'!F132))</f>
        <v/>
      </c>
      <c r="F132" s="147" t="str">
        <f>IF($B132="","",'UX Weekly'!G132)</f>
        <v/>
      </c>
      <c r="G132" s="148" t="str">
        <f t="array" ref="G132">IF($B132="","",IF($S132=0,"",IFERROR(MIN(IF('UX Weekly'!$H132:$CT132&lt;&gt;"",'UX Weekly'!$H$1:$CT$1)),"")))</f>
        <v/>
      </c>
      <c r="H132" s="148" t="str">
        <f t="array" ref="H132">IF($B132="","",IF($S132=0,"",IFERROR(MAX(IF('UX Weekly'!$H132:$CT132&lt;&gt;"",'UX Weekly'!$H$1:$CT$1)),"")))</f>
        <v/>
      </c>
      <c r="I132" s="149" t="str">
        <f t="shared" ca="1" si="12"/>
        <v/>
      </c>
      <c r="J132" s="149" t="str">
        <f t="shared" ca="1" si="13"/>
        <v/>
      </c>
      <c r="K132" s="147" t="str">
        <f>IF($B132="","",IFERROR(MATCH($B132,'Dev Tracker'!$D$2:$D$196,0),IF($E132="","",IFERROR(MATCH($E132,'Dev Tracker'!$E$2:$E$196,0),""))))</f>
        <v/>
      </c>
      <c r="L132" s="147" t="str">
        <f>IF($B132="","",IFERROR(MATCH($D132,'Control (Don’t Touch)'!$E$4:$E$30,0),99))</f>
        <v/>
      </c>
      <c r="M132" s="147" t="str">
        <f>IF($B132="","",IFERROR(MATCH($F132,'Control (Don’t Touch)'!$B$4:$B$30,0),99))</f>
        <v/>
      </c>
      <c r="N132" s="147" t="str">
        <f t="shared" si="14"/>
        <v/>
      </c>
      <c r="O132" s="147" t="str">
        <f>IF($B132="","",COUNTIF($N$2:$N$204,"&lt;"&amp;$N132)+1)</f>
        <v/>
      </c>
      <c r="P132" s="149" t="str">
        <f ca="1">IF($K132="","",IFERROR(DATE(IFERROR(VALUE(RIGHT(TRIM(INDEX('Dev Tracker'!$I$2:$I$196,$K132)),4)),YEAR(TODAY())),MATCH(LEFT(TRIM(INDEX('Dev Tracker'!$I$2:$I$196,$K132)),3),$U$2:$U$12,0),1),""))</f>
        <v/>
      </c>
      <c r="Q132" s="149" t="str">
        <f ca="1">IF($K132="","",IFERROR(DATE(IFERROR(VALUE(RIGHT(TRIM(INDEX('Dev Tracker'!$J$2:$J$196,$K132)),4)),YEAR(TODAY())),MATCH(LEFT(TRIM(INDEX('Dev Tracker'!$J$2:$J$196,$K132)),3),$U$2:$U$12,0),1),""))</f>
        <v/>
      </c>
      <c r="R132" s="147"/>
      <c r="S132" s="147" t="str">
        <f>IF($B132="","",COUNTA('UX Weekly'!$H132:$CT132))</f>
        <v/>
      </c>
      <c r="W132">
        <f>IF($B132="",0,COUNTIFS('UX Weekly'!$H$1:$CT$1,"&gt;="&amp;W$1,'UX Weekly'!$H$1:$CT$1,"&lt;="&amp;EOMONTH(W$1,0),'UX Weekly'!$H132:$CT132,"&lt;&gt;"))</f>
        <v>0</v>
      </c>
      <c r="X132">
        <f>IF($B132="",0,COUNTIFS('UX Weekly'!$H$1:$CT$1,"&gt;="&amp;X$1,'UX Weekly'!$H$1:$CT$1,"&lt;="&amp;EOMONTH(X$1,0),'UX Weekly'!$H132:$CT132,"&lt;&gt;"))</f>
        <v>0</v>
      </c>
      <c r="Y132">
        <f>IF($B132="",0,COUNTIFS('UX Weekly'!$H$1:$CT$1,"&gt;="&amp;Y$1,'UX Weekly'!$H$1:$CT$1,"&lt;="&amp;EOMONTH(Y$1,0),'UX Weekly'!$H132:$CT132,"&lt;&gt;"))</f>
        <v>0</v>
      </c>
      <c r="Z132">
        <f>IF($B132="",0,COUNTIFS('UX Weekly'!$H$1:$CT$1,"&gt;="&amp;Z$1,'UX Weekly'!$H$1:$CT$1,"&lt;="&amp;EOMONTH(Z$1,0),'UX Weekly'!$H132:$CT132,"&lt;&gt;"))</f>
        <v>0</v>
      </c>
      <c r="AA132">
        <f>IF($B132="",0,COUNTIFS('UX Weekly'!$H$1:$CT$1,"&gt;="&amp;AA$1,'UX Weekly'!$H$1:$CT$1,"&lt;="&amp;EOMONTH(AA$1,0),'UX Weekly'!$H132:$CT132,"&lt;&gt;"))</f>
        <v>0</v>
      </c>
      <c r="AB132">
        <f>IF($B132="",0,COUNTIFS('UX Weekly'!$H$1:$CT$1,"&gt;="&amp;AB$1,'UX Weekly'!$H$1:$CT$1,"&lt;="&amp;EOMONTH(AB$1,0),'UX Weekly'!$H132:$CT132,"&lt;&gt;"))</f>
        <v>0</v>
      </c>
      <c r="AC132">
        <f>IF($B132="",0,COUNTIFS('UX Weekly'!$H$1:$CT$1,"&gt;="&amp;AC$1,'UX Weekly'!$H$1:$CT$1,"&lt;="&amp;EOMONTH(AC$1,0),'UX Weekly'!$H132:$CT132,"&lt;&gt;"))</f>
        <v>0</v>
      </c>
      <c r="AD132">
        <f>IF($B132="",0,COUNTIFS('UX Weekly'!$H$1:$CT$1,"&gt;="&amp;AD$1,'UX Weekly'!$H$1:$CT$1,"&lt;="&amp;EOMONTH(AD$1,0),'UX Weekly'!$H132:$CT132,"&lt;&gt;"))</f>
        <v>0</v>
      </c>
      <c r="AE132">
        <f>IF($B132="",0,COUNTIFS('UX Weekly'!$H$1:$CT$1,"&gt;="&amp;AE$1,'UX Weekly'!$H$1:$CT$1,"&lt;="&amp;EOMONTH(AE$1,0),'UX Weekly'!$H132:$CT132,"&lt;&gt;"))</f>
        <v>0</v>
      </c>
      <c r="AF132">
        <f>IF($B132="",0,COUNTIFS('UX Weekly'!$H$1:$CT$1,"&gt;="&amp;AF$1,'UX Weekly'!$H$1:$CT$1,"&lt;="&amp;EOMONTH(AF$1,0),'UX Weekly'!$H132:$CT132,"&lt;&gt;"))</f>
        <v>0</v>
      </c>
      <c r="AG132">
        <f>IF($B132="",0,COUNTIFS('UX Weekly'!$H$1:$CT$1,"&gt;="&amp;AG$1,'UX Weekly'!$H$1:$CT$1,"&lt;="&amp;EOMONTH(AG$1,0),'UX Weekly'!$H132:$CT132,"&lt;&gt;"))</f>
        <v>0</v>
      </c>
      <c r="AH132">
        <f>IF($B132="",0,COUNTIFS('UX Weekly'!$H$1:$CT$1,"&gt;="&amp;AH$1,'UX Weekly'!$H$1:$CT$1,"&lt;="&amp;EOMONTH(AH$1,0),'UX Weekly'!$H132:$CT132,"&lt;&gt;"))</f>
        <v>0</v>
      </c>
      <c r="AI132">
        <f>IF($B132="",0,COUNTIFS('UX Weekly'!$H$1:$CT$1,"&gt;="&amp;AI$1,'UX Weekly'!$H$1:$CT$1,"&lt;="&amp;EOMONTH(AI$1,0),'UX Weekly'!$H132:$CT132,"&lt;&gt;"))</f>
        <v>0</v>
      </c>
      <c r="AJ132">
        <f>IF($B132="",0,COUNTIFS('UX Weekly'!$H$1:$CT$1,"&gt;="&amp;AJ$1,'UX Weekly'!$H$1:$CT$1,"&lt;="&amp;EOMONTH(AJ$1,0),'UX Weekly'!$H132:$CT132,"&lt;&gt;"))</f>
        <v>0</v>
      </c>
      <c r="AK132">
        <f>IF($B132="",0,COUNTIFS('UX Weekly'!$H$1:$CT$1,"&gt;="&amp;AK$1,'UX Weekly'!$H$1:$CT$1,"&lt;="&amp;EOMONTH(AK$1,0),'UX Weekly'!$H132:$CT132,"&lt;&gt;"))</f>
        <v>0</v>
      </c>
      <c r="AL132">
        <f>IF($B132="",0,COUNTIFS('UX Weekly'!$H$1:$CT$1,"&gt;="&amp;AL$1,'UX Weekly'!$H$1:$CT$1,"&lt;="&amp;EOMONTH(AL$1,0),'UX Weekly'!$H132:$CT132,"&lt;&gt;"))</f>
        <v>0</v>
      </c>
      <c r="AM132">
        <f>IF($B132="",0,COUNTIFS('UX Weekly'!$H$1:$CT$1,"&gt;="&amp;AM$1,'UX Weekly'!$H$1:$CT$1,"&lt;="&amp;EOMONTH(AM$1,0),'UX Weekly'!$H132:$CT132,"&lt;&gt;"))</f>
        <v>0</v>
      </c>
      <c r="AN132">
        <f>IF($B132="",0,COUNTIFS('UX Weekly'!$H$1:$CT$1,"&gt;="&amp;AN$1,'UX Weekly'!$H$1:$CT$1,"&lt;="&amp;EOMONTH(AN$1,0),'UX Weekly'!$H132:$CT132,"&lt;&gt;"))</f>
        <v>0</v>
      </c>
      <c r="AO132">
        <f>IF($B132="",0,COUNTIFS('UX Weekly'!$H$1:$CT$1,"&gt;="&amp;AO$1,'UX Weekly'!$H$1:$CT$1,"&lt;="&amp;EOMONTH(AO$1,0),'UX Weekly'!$H132:$CT132,"&lt;&gt;"))</f>
        <v>0</v>
      </c>
      <c r="AP132">
        <f>IF($B132="",0,COUNTIFS('UX Weekly'!$H$1:$CT$1,"&gt;="&amp;AP$1,'UX Weekly'!$H$1:$CT$1,"&lt;="&amp;EOMONTH(AP$1,0),'UX Weekly'!$H132:$CT132,"&lt;&gt;"))</f>
        <v>0</v>
      </c>
      <c r="AQ132">
        <f>IF($B132="",0,COUNTIFS('UX Weekly'!$H$1:$CT$1,"&gt;="&amp;AQ$1,'UX Weekly'!$H$1:$CT$1,"&lt;="&amp;EOMONTH(AQ$1,0),'UX Weekly'!$H132:$CT132,"&lt;&gt;"))</f>
        <v>0</v>
      </c>
      <c r="AR132">
        <f>IF($B132="",0,COUNTIFS('UX Weekly'!$H$1:$CT$1,"&gt;="&amp;AR$1,'UX Weekly'!$H$1:$CT$1,"&lt;="&amp;EOMONTH(AR$1,0),'UX Weekly'!$H132:$CT132,"&lt;&gt;"))</f>
        <v>0</v>
      </c>
      <c r="AS132">
        <f>IF($B132="",0,COUNTIFS('UX Weekly'!$H$1:$CT$1,"&gt;="&amp;AS$1,'UX Weekly'!$H$1:$CT$1,"&lt;="&amp;EOMONTH(AS$1,0),'UX Weekly'!$H132:$CT132,"&lt;&gt;"))</f>
        <v>0</v>
      </c>
      <c r="AT132">
        <f>IF($B132="",0,COUNTIFS('UX Weekly'!$H$1:$CT$1,"&gt;="&amp;AT$1,'UX Weekly'!$H$1:$CT$1,"&lt;="&amp;EOMONTH(AT$1,0),'UX Weekly'!$H132:$CT132,"&lt;&gt;"))</f>
        <v>0</v>
      </c>
    </row>
    <row r="133" spans="1:46" x14ac:dyDescent="0.2">
      <c r="A133" s="147">
        <v>134</v>
      </c>
      <c r="B133" s="147" t="str">
        <f>IF(TRIM('UX Weekly'!E133)="","",TRIM('UX Weekly'!E133))</f>
        <v/>
      </c>
      <c r="C133" s="147" t="str">
        <f>IF($B133="","",'UX Weekly'!B133)</f>
        <v/>
      </c>
      <c r="D133" s="147" t="str">
        <f>IF($B133="","",IF(TRIM('UX Weekly'!C133)="","(No theme assigned)",TRIM('UX Weekly'!C133)))</f>
        <v/>
      </c>
      <c r="E133" s="147" t="str">
        <f>IF($B133="","",TRIM('UX Weekly'!F133))</f>
        <v/>
      </c>
      <c r="F133" s="147" t="str">
        <f>IF($B133="","",'UX Weekly'!G133)</f>
        <v/>
      </c>
      <c r="G133" s="148" t="str">
        <f t="array" ref="G133">IF($B133="","",IF($S133=0,"",IFERROR(MIN(IF('UX Weekly'!$H133:$CT133&lt;&gt;"",'UX Weekly'!$H$1:$CT$1)),"")))</f>
        <v/>
      </c>
      <c r="H133" s="148" t="str">
        <f t="array" ref="H133">IF($B133="","",IF($S133=0,"",IFERROR(MAX(IF('UX Weekly'!$H133:$CT133&lt;&gt;"",'UX Weekly'!$H$1:$CT$1)),"")))</f>
        <v/>
      </c>
      <c r="I133" s="149" t="str">
        <f t="shared" ca="1" si="12"/>
        <v/>
      </c>
      <c r="J133" s="149" t="str">
        <f t="shared" ca="1" si="13"/>
        <v/>
      </c>
      <c r="K133" s="147" t="str">
        <f>IF($B133="","",IFERROR(MATCH($B133,'Dev Tracker'!$D$2:$D$196,0),IF($E133="","",IFERROR(MATCH($E133,'Dev Tracker'!$E$2:$E$196,0),""))))</f>
        <v/>
      </c>
      <c r="L133" s="147" t="str">
        <f>IF($B133="","",IFERROR(MATCH($D133,'Control (Don’t Touch)'!$E$4:$E$30,0),99))</f>
        <v/>
      </c>
      <c r="M133" s="147" t="str">
        <f>IF($B133="","",IFERROR(MATCH($F133,'Control (Don’t Touch)'!$B$4:$B$30,0),99))</f>
        <v/>
      </c>
      <c r="N133" s="147" t="str">
        <f t="shared" si="14"/>
        <v/>
      </c>
      <c r="O133" s="147" t="str">
        <f>IF($B133="","",COUNTIF($N$2:$N$204,"&lt;"&amp;$N133)+1)</f>
        <v/>
      </c>
      <c r="P133" s="149" t="str">
        <f ca="1">IF($K133="","",IFERROR(DATE(IFERROR(VALUE(RIGHT(TRIM(INDEX('Dev Tracker'!$I$2:$I$196,$K133)),4)),YEAR(TODAY())),MATCH(LEFT(TRIM(INDEX('Dev Tracker'!$I$2:$I$196,$K133)),3),$U$2:$U$12,0),1),""))</f>
        <v/>
      </c>
      <c r="Q133" s="149" t="str">
        <f ca="1">IF($K133="","",IFERROR(DATE(IFERROR(VALUE(RIGHT(TRIM(INDEX('Dev Tracker'!$J$2:$J$196,$K133)),4)),YEAR(TODAY())),MATCH(LEFT(TRIM(INDEX('Dev Tracker'!$J$2:$J$196,$K133)),3),$U$2:$U$12,0),1),""))</f>
        <v/>
      </c>
      <c r="R133" s="147"/>
      <c r="S133" s="147" t="str">
        <f>IF($B133="","",COUNTA('UX Weekly'!$H133:$CT133))</f>
        <v/>
      </c>
      <c r="W133">
        <f>IF($B133="",0,COUNTIFS('UX Weekly'!$H$1:$CT$1,"&gt;="&amp;W$1,'UX Weekly'!$H$1:$CT$1,"&lt;="&amp;EOMONTH(W$1,0),'UX Weekly'!$H133:$CT133,"&lt;&gt;"))</f>
        <v>0</v>
      </c>
      <c r="X133">
        <f>IF($B133="",0,COUNTIFS('UX Weekly'!$H$1:$CT$1,"&gt;="&amp;X$1,'UX Weekly'!$H$1:$CT$1,"&lt;="&amp;EOMONTH(X$1,0),'UX Weekly'!$H133:$CT133,"&lt;&gt;"))</f>
        <v>0</v>
      </c>
      <c r="Y133">
        <f>IF($B133="",0,COUNTIFS('UX Weekly'!$H$1:$CT$1,"&gt;="&amp;Y$1,'UX Weekly'!$H$1:$CT$1,"&lt;="&amp;EOMONTH(Y$1,0),'UX Weekly'!$H133:$CT133,"&lt;&gt;"))</f>
        <v>0</v>
      </c>
      <c r="Z133">
        <f>IF($B133="",0,COUNTIFS('UX Weekly'!$H$1:$CT$1,"&gt;="&amp;Z$1,'UX Weekly'!$H$1:$CT$1,"&lt;="&amp;EOMONTH(Z$1,0),'UX Weekly'!$H133:$CT133,"&lt;&gt;"))</f>
        <v>0</v>
      </c>
      <c r="AA133">
        <f>IF($B133="",0,COUNTIFS('UX Weekly'!$H$1:$CT$1,"&gt;="&amp;AA$1,'UX Weekly'!$H$1:$CT$1,"&lt;="&amp;EOMONTH(AA$1,0),'UX Weekly'!$H133:$CT133,"&lt;&gt;"))</f>
        <v>0</v>
      </c>
      <c r="AB133">
        <f>IF($B133="",0,COUNTIFS('UX Weekly'!$H$1:$CT$1,"&gt;="&amp;AB$1,'UX Weekly'!$H$1:$CT$1,"&lt;="&amp;EOMONTH(AB$1,0),'UX Weekly'!$H133:$CT133,"&lt;&gt;"))</f>
        <v>0</v>
      </c>
      <c r="AC133">
        <f>IF($B133="",0,COUNTIFS('UX Weekly'!$H$1:$CT$1,"&gt;="&amp;AC$1,'UX Weekly'!$H$1:$CT$1,"&lt;="&amp;EOMONTH(AC$1,0),'UX Weekly'!$H133:$CT133,"&lt;&gt;"))</f>
        <v>0</v>
      </c>
      <c r="AD133">
        <f>IF($B133="",0,COUNTIFS('UX Weekly'!$H$1:$CT$1,"&gt;="&amp;AD$1,'UX Weekly'!$H$1:$CT$1,"&lt;="&amp;EOMONTH(AD$1,0),'UX Weekly'!$H133:$CT133,"&lt;&gt;"))</f>
        <v>0</v>
      </c>
      <c r="AE133">
        <f>IF($B133="",0,COUNTIFS('UX Weekly'!$H$1:$CT$1,"&gt;="&amp;AE$1,'UX Weekly'!$H$1:$CT$1,"&lt;="&amp;EOMONTH(AE$1,0),'UX Weekly'!$H133:$CT133,"&lt;&gt;"))</f>
        <v>0</v>
      </c>
      <c r="AF133">
        <f>IF($B133="",0,COUNTIFS('UX Weekly'!$H$1:$CT$1,"&gt;="&amp;AF$1,'UX Weekly'!$H$1:$CT$1,"&lt;="&amp;EOMONTH(AF$1,0),'UX Weekly'!$H133:$CT133,"&lt;&gt;"))</f>
        <v>0</v>
      </c>
      <c r="AG133">
        <f>IF($B133="",0,COUNTIFS('UX Weekly'!$H$1:$CT$1,"&gt;="&amp;AG$1,'UX Weekly'!$H$1:$CT$1,"&lt;="&amp;EOMONTH(AG$1,0),'UX Weekly'!$H133:$CT133,"&lt;&gt;"))</f>
        <v>0</v>
      </c>
      <c r="AH133">
        <f>IF($B133="",0,COUNTIFS('UX Weekly'!$H$1:$CT$1,"&gt;="&amp;AH$1,'UX Weekly'!$H$1:$CT$1,"&lt;="&amp;EOMONTH(AH$1,0),'UX Weekly'!$H133:$CT133,"&lt;&gt;"))</f>
        <v>0</v>
      </c>
      <c r="AI133">
        <f>IF($B133="",0,COUNTIFS('UX Weekly'!$H$1:$CT$1,"&gt;="&amp;AI$1,'UX Weekly'!$H$1:$CT$1,"&lt;="&amp;EOMONTH(AI$1,0),'UX Weekly'!$H133:$CT133,"&lt;&gt;"))</f>
        <v>0</v>
      </c>
      <c r="AJ133">
        <f>IF($B133="",0,COUNTIFS('UX Weekly'!$H$1:$CT$1,"&gt;="&amp;AJ$1,'UX Weekly'!$H$1:$CT$1,"&lt;="&amp;EOMONTH(AJ$1,0),'UX Weekly'!$H133:$CT133,"&lt;&gt;"))</f>
        <v>0</v>
      </c>
      <c r="AK133">
        <f>IF($B133="",0,COUNTIFS('UX Weekly'!$H$1:$CT$1,"&gt;="&amp;AK$1,'UX Weekly'!$H$1:$CT$1,"&lt;="&amp;EOMONTH(AK$1,0),'UX Weekly'!$H133:$CT133,"&lt;&gt;"))</f>
        <v>0</v>
      </c>
      <c r="AL133">
        <f>IF($B133="",0,COUNTIFS('UX Weekly'!$H$1:$CT$1,"&gt;="&amp;AL$1,'UX Weekly'!$H$1:$CT$1,"&lt;="&amp;EOMONTH(AL$1,0),'UX Weekly'!$H133:$CT133,"&lt;&gt;"))</f>
        <v>0</v>
      </c>
      <c r="AM133">
        <f>IF($B133="",0,COUNTIFS('UX Weekly'!$H$1:$CT$1,"&gt;="&amp;AM$1,'UX Weekly'!$H$1:$CT$1,"&lt;="&amp;EOMONTH(AM$1,0),'UX Weekly'!$H133:$CT133,"&lt;&gt;"))</f>
        <v>0</v>
      </c>
      <c r="AN133">
        <f>IF($B133="",0,COUNTIFS('UX Weekly'!$H$1:$CT$1,"&gt;="&amp;AN$1,'UX Weekly'!$H$1:$CT$1,"&lt;="&amp;EOMONTH(AN$1,0),'UX Weekly'!$H133:$CT133,"&lt;&gt;"))</f>
        <v>0</v>
      </c>
      <c r="AO133">
        <f>IF($B133="",0,COUNTIFS('UX Weekly'!$H$1:$CT$1,"&gt;="&amp;AO$1,'UX Weekly'!$H$1:$CT$1,"&lt;="&amp;EOMONTH(AO$1,0),'UX Weekly'!$H133:$CT133,"&lt;&gt;"))</f>
        <v>0</v>
      </c>
      <c r="AP133">
        <f>IF($B133="",0,COUNTIFS('UX Weekly'!$H$1:$CT$1,"&gt;="&amp;AP$1,'UX Weekly'!$H$1:$CT$1,"&lt;="&amp;EOMONTH(AP$1,0),'UX Weekly'!$H133:$CT133,"&lt;&gt;"))</f>
        <v>0</v>
      </c>
      <c r="AQ133">
        <f>IF($B133="",0,COUNTIFS('UX Weekly'!$H$1:$CT$1,"&gt;="&amp;AQ$1,'UX Weekly'!$H$1:$CT$1,"&lt;="&amp;EOMONTH(AQ$1,0),'UX Weekly'!$H133:$CT133,"&lt;&gt;"))</f>
        <v>0</v>
      </c>
      <c r="AR133">
        <f>IF($B133="",0,COUNTIFS('UX Weekly'!$H$1:$CT$1,"&gt;="&amp;AR$1,'UX Weekly'!$H$1:$CT$1,"&lt;="&amp;EOMONTH(AR$1,0),'UX Weekly'!$H133:$CT133,"&lt;&gt;"))</f>
        <v>0</v>
      </c>
      <c r="AS133">
        <f>IF($B133="",0,COUNTIFS('UX Weekly'!$H$1:$CT$1,"&gt;="&amp;AS$1,'UX Weekly'!$H$1:$CT$1,"&lt;="&amp;EOMONTH(AS$1,0),'UX Weekly'!$H133:$CT133,"&lt;&gt;"))</f>
        <v>0</v>
      </c>
      <c r="AT133">
        <f>IF($B133="",0,COUNTIFS('UX Weekly'!$H$1:$CT$1,"&gt;="&amp;AT$1,'UX Weekly'!$H$1:$CT$1,"&lt;="&amp;EOMONTH(AT$1,0),'UX Weekly'!$H133:$CT133,"&lt;&gt;"))</f>
        <v>0</v>
      </c>
    </row>
    <row r="134" spans="1:46" x14ac:dyDescent="0.2">
      <c r="A134" s="147">
        <v>135</v>
      </c>
      <c r="B134" s="147" t="str">
        <f>IF(TRIM('UX Weekly'!E134)="","",TRIM('UX Weekly'!E134))</f>
        <v/>
      </c>
      <c r="C134" s="147" t="str">
        <f>IF($B134="","",'UX Weekly'!B134)</f>
        <v/>
      </c>
      <c r="D134" s="147" t="str">
        <f>IF($B134="","",IF(TRIM('UX Weekly'!C134)="","(No theme assigned)",TRIM('UX Weekly'!C134)))</f>
        <v/>
      </c>
      <c r="E134" s="147" t="str">
        <f>IF($B134="","",TRIM('UX Weekly'!F134))</f>
        <v/>
      </c>
      <c r="F134" s="147" t="str">
        <f>IF($B134="","",'UX Weekly'!G134)</f>
        <v/>
      </c>
      <c r="G134" s="148" t="str">
        <f t="array" ref="G134">IF($B134="","",IF($S134=0,"",IFERROR(MIN(IF('UX Weekly'!$H134:$CT134&lt;&gt;"",'UX Weekly'!$H$1:$CT$1)),"")))</f>
        <v/>
      </c>
      <c r="H134" s="148" t="str">
        <f t="array" ref="H134">IF($B134="","",IF($S134=0,"",IFERROR(MAX(IF('UX Weekly'!$H134:$CT134&lt;&gt;"",'UX Weekly'!$H$1:$CT$1)),"")))</f>
        <v/>
      </c>
      <c r="I134" s="149" t="str">
        <f t="shared" ca="1" si="12"/>
        <v/>
      </c>
      <c r="J134" s="149" t="str">
        <f t="shared" ca="1" si="13"/>
        <v/>
      </c>
      <c r="K134" s="147" t="str">
        <f>IF($B134="","",IFERROR(MATCH($B134,'Dev Tracker'!$D$2:$D$196,0),IF($E134="","",IFERROR(MATCH($E134,'Dev Tracker'!$E$2:$E$196,0),""))))</f>
        <v/>
      </c>
      <c r="L134" s="147" t="str">
        <f>IF($B134="","",IFERROR(MATCH($D134,'Control (Don’t Touch)'!$E$4:$E$30,0),99))</f>
        <v/>
      </c>
      <c r="M134" s="147" t="str">
        <f>IF($B134="","",IFERROR(MATCH($F134,'Control (Don’t Touch)'!$B$4:$B$30,0),99))</f>
        <v/>
      </c>
      <c r="N134" s="147" t="str">
        <f t="shared" si="14"/>
        <v/>
      </c>
      <c r="O134" s="147" t="str">
        <f>IF($B134="","",COUNTIF($N$2:$N$204,"&lt;"&amp;$N134)+1)</f>
        <v/>
      </c>
      <c r="P134" s="149" t="str">
        <f ca="1">IF($K134="","",IFERROR(DATE(IFERROR(VALUE(RIGHT(TRIM(INDEX('Dev Tracker'!$I$2:$I$196,$K134)),4)),YEAR(TODAY())),MATCH(LEFT(TRIM(INDEX('Dev Tracker'!$I$2:$I$196,$K134)),3),$U$2:$U$12,0),1),""))</f>
        <v/>
      </c>
      <c r="Q134" s="149" t="str">
        <f ca="1">IF($K134="","",IFERROR(DATE(IFERROR(VALUE(RIGHT(TRIM(INDEX('Dev Tracker'!$J$2:$J$196,$K134)),4)),YEAR(TODAY())),MATCH(LEFT(TRIM(INDEX('Dev Tracker'!$J$2:$J$196,$K134)),3),$U$2:$U$12,0),1),""))</f>
        <v/>
      </c>
      <c r="R134" s="147"/>
      <c r="S134" s="147" t="str">
        <f>IF($B134="","",COUNTA('UX Weekly'!$H134:$CT134))</f>
        <v/>
      </c>
      <c r="W134">
        <f>IF($B134="",0,COUNTIFS('UX Weekly'!$H$1:$CT$1,"&gt;="&amp;W$1,'UX Weekly'!$H$1:$CT$1,"&lt;="&amp;EOMONTH(W$1,0),'UX Weekly'!$H134:$CT134,"&lt;&gt;"))</f>
        <v>0</v>
      </c>
      <c r="X134">
        <f>IF($B134="",0,COUNTIFS('UX Weekly'!$H$1:$CT$1,"&gt;="&amp;X$1,'UX Weekly'!$H$1:$CT$1,"&lt;="&amp;EOMONTH(X$1,0),'UX Weekly'!$H134:$CT134,"&lt;&gt;"))</f>
        <v>0</v>
      </c>
      <c r="Y134">
        <f>IF($B134="",0,COUNTIFS('UX Weekly'!$H$1:$CT$1,"&gt;="&amp;Y$1,'UX Weekly'!$H$1:$CT$1,"&lt;="&amp;EOMONTH(Y$1,0),'UX Weekly'!$H134:$CT134,"&lt;&gt;"))</f>
        <v>0</v>
      </c>
      <c r="Z134">
        <f>IF($B134="",0,COUNTIFS('UX Weekly'!$H$1:$CT$1,"&gt;="&amp;Z$1,'UX Weekly'!$H$1:$CT$1,"&lt;="&amp;EOMONTH(Z$1,0),'UX Weekly'!$H134:$CT134,"&lt;&gt;"))</f>
        <v>0</v>
      </c>
      <c r="AA134">
        <f>IF($B134="",0,COUNTIFS('UX Weekly'!$H$1:$CT$1,"&gt;="&amp;AA$1,'UX Weekly'!$H$1:$CT$1,"&lt;="&amp;EOMONTH(AA$1,0),'UX Weekly'!$H134:$CT134,"&lt;&gt;"))</f>
        <v>0</v>
      </c>
      <c r="AB134">
        <f>IF($B134="",0,COUNTIFS('UX Weekly'!$H$1:$CT$1,"&gt;="&amp;AB$1,'UX Weekly'!$H$1:$CT$1,"&lt;="&amp;EOMONTH(AB$1,0),'UX Weekly'!$H134:$CT134,"&lt;&gt;"))</f>
        <v>0</v>
      </c>
      <c r="AC134">
        <f>IF($B134="",0,COUNTIFS('UX Weekly'!$H$1:$CT$1,"&gt;="&amp;AC$1,'UX Weekly'!$H$1:$CT$1,"&lt;="&amp;EOMONTH(AC$1,0),'UX Weekly'!$H134:$CT134,"&lt;&gt;"))</f>
        <v>0</v>
      </c>
      <c r="AD134">
        <f>IF($B134="",0,COUNTIFS('UX Weekly'!$H$1:$CT$1,"&gt;="&amp;AD$1,'UX Weekly'!$H$1:$CT$1,"&lt;="&amp;EOMONTH(AD$1,0),'UX Weekly'!$H134:$CT134,"&lt;&gt;"))</f>
        <v>0</v>
      </c>
      <c r="AE134">
        <f>IF($B134="",0,COUNTIFS('UX Weekly'!$H$1:$CT$1,"&gt;="&amp;AE$1,'UX Weekly'!$H$1:$CT$1,"&lt;="&amp;EOMONTH(AE$1,0),'UX Weekly'!$H134:$CT134,"&lt;&gt;"))</f>
        <v>0</v>
      </c>
      <c r="AF134">
        <f>IF($B134="",0,COUNTIFS('UX Weekly'!$H$1:$CT$1,"&gt;="&amp;AF$1,'UX Weekly'!$H$1:$CT$1,"&lt;="&amp;EOMONTH(AF$1,0),'UX Weekly'!$H134:$CT134,"&lt;&gt;"))</f>
        <v>0</v>
      </c>
      <c r="AG134">
        <f>IF($B134="",0,COUNTIFS('UX Weekly'!$H$1:$CT$1,"&gt;="&amp;AG$1,'UX Weekly'!$H$1:$CT$1,"&lt;="&amp;EOMONTH(AG$1,0),'UX Weekly'!$H134:$CT134,"&lt;&gt;"))</f>
        <v>0</v>
      </c>
      <c r="AH134">
        <f>IF($B134="",0,COUNTIFS('UX Weekly'!$H$1:$CT$1,"&gt;="&amp;AH$1,'UX Weekly'!$H$1:$CT$1,"&lt;="&amp;EOMONTH(AH$1,0),'UX Weekly'!$H134:$CT134,"&lt;&gt;"))</f>
        <v>0</v>
      </c>
      <c r="AI134">
        <f>IF($B134="",0,COUNTIFS('UX Weekly'!$H$1:$CT$1,"&gt;="&amp;AI$1,'UX Weekly'!$H$1:$CT$1,"&lt;="&amp;EOMONTH(AI$1,0),'UX Weekly'!$H134:$CT134,"&lt;&gt;"))</f>
        <v>0</v>
      </c>
      <c r="AJ134">
        <f>IF($B134="",0,COUNTIFS('UX Weekly'!$H$1:$CT$1,"&gt;="&amp;AJ$1,'UX Weekly'!$H$1:$CT$1,"&lt;="&amp;EOMONTH(AJ$1,0),'UX Weekly'!$H134:$CT134,"&lt;&gt;"))</f>
        <v>0</v>
      </c>
      <c r="AK134">
        <f>IF($B134="",0,COUNTIFS('UX Weekly'!$H$1:$CT$1,"&gt;="&amp;AK$1,'UX Weekly'!$H$1:$CT$1,"&lt;="&amp;EOMONTH(AK$1,0),'UX Weekly'!$H134:$CT134,"&lt;&gt;"))</f>
        <v>0</v>
      </c>
      <c r="AL134">
        <f>IF($B134="",0,COUNTIFS('UX Weekly'!$H$1:$CT$1,"&gt;="&amp;AL$1,'UX Weekly'!$H$1:$CT$1,"&lt;="&amp;EOMONTH(AL$1,0),'UX Weekly'!$H134:$CT134,"&lt;&gt;"))</f>
        <v>0</v>
      </c>
      <c r="AM134">
        <f>IF($B134="",0,COUNTIFS('UX Weekly'!$H$1:$CT$1,"&gt;="&amp;AM$1,'UX Weekly'!$H$1:$CT$1,"&lt;="&amp;EOMONTH(AM$1,0),'UX Weekly'!$H134:$CT134,"&lt;&gt;"))</f>
        <v>0</v>
      </c>
      <c r="AN134">
        <f>IF($B134="",0,COUNTIFS('UX Weekly'!$H$1:$CT$1,"&gt;="&amp;AN$1,'UX Weekly'!$H$1:$CT$1,"&lt;="&amp;EOMONTH(AN$1,0),'UX Weekly'!$H134:$CT134,"&lt;&gt;"))</f>
        <v>0</v>
      </c>
      <c r="AO134">
        <f>IF($B134="",0,COUNTIFS('UX Weekly'!$H$1:$CT$1,"&gt;="&amp;AO$1,'UX Weekly'!$H$1:$CT$1,"&lt;="&amp;EOMONTH(AO$1,0),'UX Weekly'!$H134:$CT134,"&lt;&gt;"))</f>
        <v>0</v>
      </c>
      <c r="AP134">
        <f>IF($B134="",0,COUNTIFS('UX Weekly'!$H$1:$CT$1,"&gt;="&amp;AP$1,'UX Weekly'!$H$1:$CT$1,"&lt;="&amp;EOMONTH(AP$1,0),'UX Weekly'!$H134:$CT134,"&lt;&gt;"))</f>
        <v>0</v>
      </c>
      <c r="AQ134">
        <f>IF($B134="",0,COUNTIFS('UX Weekly'!$H$1:$CT$1,"&gt;="&amp;AQ$1,'UX Weekly'!$H$1:$CT$1,"&lt;="&amp;EOMONTH(AQ$1,0),'UX Weekly'!$H134:$CT134,"&lt;&gt;"))</f>
        <v>0</v>
      </c>
      <c r="AR134">
        <f>IF($B134="",0,COUNTIFS('UX Weekly'!$H$1:$CT$1,"&gt;="&amp;AR$1,'UX Weekly'!$H$1:$CT$1,"&lt;="&amp;EOMONTH(AR$1,0),'UX Weekly'!$H134:$CT134,"&lt;&gt;"))</f>
        <v>0</v>
      </c>
      <c r="AS134">
        <f>IF($B134="",0,COUNTIFS('UX Weekly'!$H$1:$CT$1,"&gt;="&amp;AS$1,'UX Weekly'!$H$1:$CT$1,"&lt;="&amp;EOMONTH(AS$1,0),'UX Weekly'!$H134:$CT134,"&lt;&gt;"))</f>
        <v>0</v>
      </c>
      <c r="AT134">
        <f>IF($B134="",0,COUNTIFS('UX Weekly'!$H$1:$CT$1,"&gt;="&amp;AT$1,'UX Weekly'!$H$1:$CT$1,"&lt;="&amp;EOMONTH(AT$1,0),'UX Weekly'!$H134:$CT134,"&lt;&gt;"))</f>
        <v>0</v>
      </c>
    </row>
    <row r="135" spans="1:46" x14ac:dyDescent="0.2">
      <c r="A135" s="147">
        <v>136</v>
      </c>
      <c r="B135" s="147" t="str">
        <f>IF(TRIM('UX Weekly'!E135)="","",TRIM('UX Weekly'!E135))</f>
        <v/>
      </c>
      <c r="C135" s="147" t="str">
        <f>IF($B135="","",'UX Weekly'!B135)</f>
        <v/>
      </c>
      <c r="D135" s="147" t="str">
        <f>IF($B135="","",IF(TRIM('UX Weekly'!C135)="","(No theme assigned)",TRIM('UX Weekly'!C135)))</f>
        <v/>
      </c>
      <c r="E135" s="147" t="str">
        <f>IF($B135="","",TRIM('UX Weekly'!F135))</f>
        <v/>
      </c>
      <c r="F135" s="147" t="str">
        <f>IF($B135="","",'UX Weekly'!G135)</f>
        <v/>
      </c>
      <c r="G135" s="148" t="str">
        <f t="array" ref="G135">IF($B135="","",IF($S135=0,"",IFERROR(MIN(IF('UX Weekly'!$H135:$CT135&lt;&gt;"",'UX Weekly'!$H$1:$CT$1)),"")))</f>
        <v/>
      </c>
      <c r="H135" s="148" t="str">
        <f t="array" ref="H135">IF($B135="","",IF($S135=0,"",IFERROR(MAX(IF('UX Weekly'!$H135:$CT135&lt;&gt;"",'UX Weekly'!$H$1:$CT$1)),"")))</f>
        <v/>
      </c>
      <c r="I135" s="149" t="str">
        <f t="shared" ca="1" si="12"/>
        <v/>
      </c>
      <c r="J135" s="149" t="str">
        <f t="shared" ca="1" si="13"/>
        <v/>
      </c>
      <c r="K135" s="147" t="str">
        <f>IF($B135="","",IFERROR(MATCH($B135,'Dev Tracker'!$D$2:$D$196,0),IF($E135="","",IFERROR(MATCH($E135,'Dev Tracker'!$E$2:$E$196,0),""))))</f>
        <v/>
      </c>
      <c r="L135" s="147" t="str">
        <f>IF($B135="","",IFERROR(MATCH($D135,'Control (Don’t Touch)'!$E$4:$E$30,0),99))</f>
        <v/>
      </c>
      <c r="M135" s="147" t="str">
        <f>IF($B135="","",IFERROR(MATCH($F135,'Control (Don’t Touch)'!$B$4:$B$30,0),99))</f>
        <v/>
      </c>
      <c r="N135" s="147" t="str">
        <f t="shared" si="14"/>
        <v/>
      </c>
      <c r="O135" s="147" t="str">
        <f>IF($B135="","",COUNTIF($N$2:$N$204,"&lt;"&amp;$N135)+1)</f>
        <v/>
      </c>
      <c r="P135" s="149" t="str">
        <f ca="1">IF($K135="","",IFERROR(DATE(IFERROR(VALUE(RIGHT(TRIM(INDEX('Dev Tracker'!$I$2:$I$196,$K135)),4)),YEAR(TODAY())),MATCH(LEFT(TRIM(INDEX('Dev Tracker'!$I$2:$I$196,$K135)),3),$U$2:$U$12,0),1),""))</f>
        <v/>
      </c>
      <c r="Q135" s="149" t="str">
        <f ca="1">IF($K135="","",IFERROR(DATE(IFERROR(VALUE(RIGHT(TRIM(INDEX('Dev Tracker'!$J$2:$J$196,$K135)),4)),YEAR(TODAY())),MATCH(LEFT(TRIM(INDEX('Dev Tracker'!$J$2:$J$196,$K135)),3),$U$2:$U$12,0),1),""))</f>
        <v/>
      </c>
      <c r="R135" s="147"/>
      <c r="S135" s="147" t="str">
        <f>IF($B135="","",COUNTA('UX Weekly'!$H135:$CT135))</f>
        <v/>
      </c>
      <c r="W135">
        <f>IF($B135="",0,COUNTIFS('UX Weekly'!$H$1:$CT$1,"&gt;="&amp;W$1,'UX Weekly'!$H$1:$CT$1,"&lt;="&amp;EOMONTH(W$1,0),'UX Weekly'!$H135:$CT135,"&lt;&gt;"))</f>
        <v>0</v>
      </c>
      <c r="X135">
        <f>IF($B135="",0,COUNTIFS('UX Weekly'!$H$1:$CT$1,"&gt;="&amp;X$1,'UX Weekly'!$H$1:$CT$1,"&lt;="&amp;EOMONTH(X$1,0),'UX Weekly'!$H135:$CT135,"&lt;&gt;"))</f>
        <v>0</v>
      </c>
      <c r="Y135">
        <f>IF($B135="",0,COUNTIFS('UX Weekly'!$H$1:$CT$1,"&gt;="&amp;Y$1,'UX Weekly'!$H$1:$CT$1,"&lt;="&amp;EOMONTH(Y$1,0),'UX Weekly'!$H135:$CT135,"&lt;&gt;"))</f>
        <v>0</v>
      </c>
      <c r="Z135">
        <f>IF($B135="",0,COUNTIFS('UX Weekly'!$H$1:$CT$1,"&gt;="&amp;Z$1,'UX Weekly'!$H$1:$CT$1,"&lt;="&amp;EOMONTH(Z$1,0),'UX Weekly'!$H135:$CT135,"&lt;&gt;"))</f>
        <v>0</v>
      </c>
      <c r="AA135">
        <f>IF($B135="",0,COUNTIFS('UX Weekly'!$H$1:$CT$1,"&gt;="&amp;AA$1,'UX Weekly'!$H$1:$CT$1,"&lt;="&amp;EOMONTH(AA$1,0),'UX Weekly'!$H135:$CT135,"&lt;&gt;"))</f>
        <v>0</v>
      </c>
      <c r="AB135">
        <f>IF($B135="",0,COUNTIFS('UX Weekly'!$H$1:$CT$1,"&gt;="&amp;AB$1,'UX Weekly'!$H$1:$CT$1,"&lt;="&amp;EOMONTH(AB$1,0),'UX Weekly'!$H135:$CT135,"&lt;&gt;"))</f>
        <v>0</v>
      </c>
      <c r="AC135">
        <f>IF($B135="",0,COUNTIFS('UX Weekly'!$H$1:$CT$1,"&gt;="&amp;AC$1,'UX Weekly'!$H$1:$CT$1,"&lt;="&amp;EOMONTH(AC$1,0),'UX Weekly'!$H135:$CT135,"&lt;&gt;"))</f>
        <v>0</v>
      </c>
      <c r="AD135">
        <f>IF($B135="",0,COUNTIFS('UX Weekly'!$H$1:$CT$1,"&gt;="&amp;AD$1,'UX Weekly'!$H$1:$CT$1,"&lt;="&amp;EOMONTH(AD$1,0),'UX Weekly'!$H135:$CT135,"&lt;&gt;"))</f>
        <v>0</v>
      </c>
      <c r="AE135">
        <f>IF($B135="",0,COUNTIFS('UX Weekly'!$H$1:$CT$1,"&gt;="&amp;AE$1,'UX Weekly'!$H$1:$CT$1,"&lt;="&amp;EOMONTH(AE$1,0),'UX Weekly'!$H135:$CT135,"&lt;&gt;"))</f>
        <v>0</v>
      </c>
      <c r="AF135">
        <f>IF($B135="",0,COUNTIFS('UX Weekly'!$H$1:$CT$1,"&gt;="&amp;AF$1,'UX Weekly'!$H$1:$CT$1,"&lt;="&amp;EOMONTH(AF$1,0),'UX Weekly'!$H135:$CT135,"&lt;&gt;"))</f>
        <v>0</v>
      </c>
      <c r="AG135">
        <f>IF($B135="",0,COUNTIFS('UX Weekly'!$H$1:$CT$1,"&gt;="&amp;AG$1,'UX Weekly'!$H$1:$CT$1,"&lt;="&amp;EOMONTH(AG$1,0),'UX Weekly'!$H135:$CT135,"&lt;&gt;"))</f>
        <v>0</v>
      </c>
      <c r="AH135">
        <f>IF($B135="",0,COUNTIFS('UX Weekly'!$H$1:$CT$1,"&gt;="&amp;AH$1,'UX Weekly'!$H$1:$CT$1,"&lt;="&amp;EOMONTH(AH$1,0),'UX Weekly'!$H135:$CT135,"&lt;&gt;"))</f>
        <v>0</v>
      </c>
      <c r="AI135">
        <f>IF($B135="",0,COUNTIFS('UX Weekly'!$H$1:$CT$1,"&gt;="&amp;AI$1,'UX Weekly'!$H$1:$CT$1,"&lt;="&amp;EOMONTH(AI$1,0),'UX Weekly'!$H135:$CT135,"&lt;&gt;"))</f>
        <v>0</v>
      </c>
      <c r="AJ135">
        <f>IF($B135="",0,COUNTIFS('UX Weekly'!$H$1:$CT$1,"&gt;="&amp;AJ$1,'UX Weekly'!$H$1:$CT$1,"&lt;="&amp;EOMONTH(AJ$1,0),'UX Weekly'!$H135:$CT135,"&lt;&gt;"))</f>
        <v>0</v>
      </c>
      <c r="AK135">
        <f>IF($B135="",0,COUNTIFS('UX Weekly'!$H$1:$CT$1,"&gt;="&amp;AK$1,'UX Weekly'!$H$1:$CT$1,"&lt;="&amp;EOMONTH(AK$1,0),'UX Weekly'!$H135:$CT135,"&lt;&gt;"))</f>
        <v>0</v>
      </c>
      <c r="AL135">
        <f>IF($B135="",0,COUNTIFS('UX Weekly'!$H$1:$CT$1,"&gt;="&amp;AL$1,'UX Weekly'!$H$1:$CT$1,"&lt;="&amp;EOMONTH(AL$1,0),'UX Weekly'!$H135:$CT135,"&lt;&gt;"))</f>
        <v>0</v>
      </c>
      <c r="AM135">
        <f>IF($B135="",0,COUNTIFS('UX Weekly'!$H$1:$CT$1,"&gt;="&amp;AM$1,'UX Weekly'!$H$1:$CT$1,"&lt;="&amp;EOMONTH(AM$1,0),'UX Weekly'!$H135:$CT135,"&lt;&gt;"))</f>
        <v>0</v>
      </c>
      <c r="AN135">
        <f>IF($B135="",0,COUNTIFS('UX Weekly'!$H$1:$CT$1,"&gt;="&amp;AN$1,'UX Weekly'!$H$1:$CT$1,"&lt;="&amp;EOMONTH(AN$1,0),'UX Weekly'!$H135:$CT135,"&lt;&gt;"))</f>
        <v>0</v>
      </c>
      <c r="AO135">
        <f>IF($B135="",0,COUNTIFS('UX Weekly'!$H$1:$CT$1,"&gt;="&amp;AO$1,'UX Weekly'!$H$1:$CT$1,"&lt;="&amp;EOMONTH(AO$1,0),'UX Weekly'!$H135:$CT135,"&lt;&gt;"))</f>
        <v>0</v>
      </c>
      <c r="AP135">
        <f>IF($B135="",0,COUNTIFS('UX Weekly'!$H$1:$CT$1,"&gt;="&amp;AP$1,'UX Weekly'!$H$1:$CT$1,"&lt;="&amp;EOMONTH(AP$1,0),'UX Weekly'!$H135:$CT135,"&lt;&gt;"))</f>
        <v>0</v>
      </c>
      <c r="AQ135">
        <f>IF($B135="",0,COUNTIFS('UX Weekly'!$H$1:$CT$1,"&gt;="&amp;AQ$1,'UX Weekly'!$H$1:$CT$1,"&lt;="&amp;EOMONTH(AQ$1,0),'UX Weekly'!$H135:$CT135,"&lt;&gt;"))</f>
        <v>0</v>
      </c>
      <c r="AR135">
        <f>IF($B135="",0,COUNTIFS('UX Weekly'!$H$1:$CT$1,"&gt;="&amp;AR$1,'UX Weekly'!$H$1:$CT$1,"&lt;="&amp;EOMONTH(AR$1,0),'UX Weekly'!$H135:$CT135,"&lt;&gt;"))</f>
        <v>0</v>
      </c>
      <c r="AS135">
        <f>IF($B135="",0,COUNTIFS('UX Weekly'!$H$1:$CT$1,"&gt;="&amp;AS$1,'UX Weekly'!$H$1:$CT$1,"&lt;="&amp;EOMONTH(AS$1,0),'UX Weekly'!$H135:$CT135,"&lt;&gt;"))</f>
        <v>0</v>
      </c>
      <c r="AT135">
        <f>IF($B135="",0,COUNTIFS('UX Weekly'!$H$1:$CT$1,"&gt;="&amp;AT$1,'UX Weekly'!$H$1:$CT$1,"&lt;="&amp;EOMONTH(AT$1,0),'UX Weekly'!$H135:$CT135,"&lt;&gt;"))</f>
        <v>0</v>
      </c>
    </row>
    <row r="136" spans="1:46" x14ac:dyDescent="0.2">
      <c r="A136" s="147">
        <v>137</v>
      </c>
      <c r="B136" s="147" t="str">
        <f>IF(TRIM('UX Weekly'!E136)="","",TRIM('UX Weekly'!E136))</f>
        <v/>
      </c>
      <c r="C136" s="147" t="str">
        <f>IF($B136="","",'UX Weekly'!B136)</f>
        <v/>
      </c>
      <c r="D136" s="147" t="str">
        <f>IF($B136="","",IF(TRIM('UX Weekly'!C136)="","(No theme assigned)",TRIM('UX Weekly'!C136)))</f>
        <v/>
      </c>
      <c r="E136" s="147" t="str">
        <f>IF($B136="","",TRIM('UX Weekly'!F136))</f>
        <v/>
      </c>
      <c r="F136" s="147" t="str">
        <f>IF($B136="","",'UX Weekly'!G136)</f>
        <v/>
      </c>
      <c r="G136" s="148" t="str">
        <f t="array" ref="G136">IF($B136="","",IF($S136=0,"",IFERROR(MIN(IF('UX Weekly'!$H136:$CT136&lt;&gt;"",'UX Weekly'!$H$1:$CT$1)),"")))</f>
        <v/>
      </c>
      <c r="H136" s="148" t="str">
        <f t="array" ref="H136">IF($B136="","",IF($S136=0,"",IFERROR(MAX(IF('UX Weekly'!$H136:$CT136&lt;&gt;"",'UX Weekly'!$H$1:$CT$1)),"")))</f>
        <v/>
      </c>
      <c r="I136" s="149" t="str">
        <f t="shared" ca="1" si="12"/>
        <v/>
      </c>
      <c r="J136" s="149" t="str">
        <f t="shared" ca="1" si="13"/>
        <v/>
      </c>
      <c r="K136" s="147" t="str">
        <f>IF($B136="","",IFERROR(MATCH($B136,'Dev Tracker'!$D$2:$D$196,0),IF($E136="","",IFERROR(MATCH($E136,'Dev Tracker'!$E$2:$E$196,0),""))))</f>
        <v/>
      </c>
      <c r="L136" s="147" t="str">
        <f>IF($B136="","",IFERROR(MATCH($D136,'Control (Don’t Touch)'!$E$4:$E$30,0),99))</f>
        <v/>
      </c>
      <c r="M136" s="147" t="str">
        <f>IF($B136="","",IFERROR(MATCH($F136,'Control (Don’t Touch)'!$B$4:$B$30,0),99))</f>
        <v/>
      </c>
      <c r="N136" s="147" t="str">
        <f t="shared" si="14"/>
        <v/>
      </c>
      <c r="O136" s="147" t="str">
        <f>IF($B136="","",COUNTIF($N$2:$N$204,"&lt;"&amp;$N136)+1)</f>
        <v/>
      </c>
      <c r="P136" s="149" t="str">
        <f ca="1">IF($K136="","",IFERROR(DATE(IFERROR(VALUE(RIGHT(TRIM(INDEX('Dev Tracker'!$I$2:$I$196,$K136)),4)),YEAR(TODAY())),MATCH(LEFT(TRIM(INDEX('Dev Tracker'!$I$2:$I$196,$K136)),3),$U$2:$U$12,0),1),""))</f>
        <v/>
      </c>
      <c r="Q136" s="149" t="str">
        <f ca="1">IF($K136="","",IFERROR(DATE(IFERROR(VALUE(RIGHT(TRIM(INDEX('Dev Tracker'!$J$2:$J$196,$K136)),4)),YEAR(TODAY())),MATCH(LEFT(TRIM(INDEX('Dev Tracker'!$J$2:$J$196,$K136)),3),$U$2:$U$12,0),1),""))</f>
        <v/>
      </c>
      <c r="R136" s="147"/>
      <c r="S136" s="147" t="str">
        <f>IF($B136="","",COUNTA('UX Weekly'!$H136:$CT136))</f>
        <v/>
      </c>
      <c r="W136">
        <f>IF($B136="",0,COUNTIFS('UX Weekly'!$H$1:$CT$1,"&gt;="&amp;W$1,'UX Weekly'!$H$1:$CT$1,"&lt;="&amp;EOMONTH(W$1,0),'UX Weekly'!$H136:$CT136,"&lt;&gt;"))</f>
        <v>0</v>
      </c>
      <c r="X136">
        <f>IF($B136="",0,COUNTIFS('UX Weekly'!$H$1:$CT$1,"&gt;="&amp;X$1,'UX Weekly'!$H$1:$CT$1,"&lt;="&amp;EOMONTH(X$1,0),'UX Weekly'!$H136:$CT136,"&lt;&gt;"))</f>
        <v>0</v>
      </c>
      <c r="Y136">
        <f>IF($B136="",0,COUNTIFS('UX Weekly'!$H$1:$CT$1,"&gt;="&amp;Y$1,'UX Weekly'!$H$1:$CT$1,"&lt;="&amp;EOMONTH(Y$1,0),'UX Weekly'!$H136:$CT136,"&lt;&gt;"))</f>
        <v>0</v>
      </c>
      <c r="Z136">
        <f>IF($B136="",0,COUNTIFS('UX Weekly'!$H$1:$CT$1,"&gt;="&amp;Z$1,'UX Weekly'!$H$1:$CT$1,"&lt;="&amp;EOMONTH(Z$1,0),'UX Weekly'!$H136:$CT136,"&lt;&gt;"))</f>
        <v>0</v>
      </c>
      <c r="AA136">
        <f>IF($B136="",0,COUNTIFS('UX Weekly'!$H$1:$CT$1,"&gt;="&amp;AA$1,'UX Weekly'!$H$1:$CT$1,"&lt;="&amp;EOMONTH(AA$1,0),'UX Weekly'!$H136:$CT136,"&lt;&gt;"))</f>
        <v>0</v>
      </c>
      <c r="AB136">
        <f>IF($B136="",0,COUNTIFS('UX Weekly'!$H$1:$CT$1,"&gt;="&amp;AB$1,'UX Weekly'!$H$1:$CT$1,"&lt;="&amp;EOMONTH(AB$1,0),'UX Weekly'!$H136:$CT136,"&lt;&gt;"))</f>
        <v>0</v>
      </c>
      <c r="AC136">
        <f>IF($B136="",0,COUNTIFS('UX Weekly'!$H$1:$CT$1,"&gt;="&amp;AC$1,'UX Weekly'!$H$1:$CT$1,"&lt;="&amp;EOMONTH(AC$1,0),'UX Weekly'!$H136:$CT136,"&lt;&gt;"))</f>
        <v>0</v>
      </c>
      <c r="AD136">
        <f>IF($B136="",0,COUNTIFS('UX Weekly'!$H$1:$CT$1,"&gt;="&amp;AD$1,'UX Weekly'!$H$1:$CT$1,"&lt;="&amp;EOMONTH(AD$1,0),'UX Weekly'!$H136:$CT136,"&lt;&gt;"))</f>
        <v>0</v>
      </c>
      <c r="AE136">
        <f>IF($B136="",0,COUNTIFS('UX Weekly'!$H$1:$CT$1,"&gt;="&amp;AE$1,'UX Weekly'!$H$1:$CT$1,"&lt;="&amp;EOMONTH(AE$1,0),'UX Weekly'!$H136:$CT136,"&lt;&gt;"))</f>
        <v>0</v>
      </c>
      <c r="AF136">
        <f>IF($B136="",0,COUNTIFS('UX Weekly'!$H$1:$CT$1,"&gt;="&amp;AF$1,'UX Weekly'!$H$1:$CT$1,"&lt;="&amp;EOMONTH(AF$1,0),'UX Weekly'!$H136:$CT136,"&lt;&gt;"))</f>
        <v>0</v>
      </c>
      <c r="AG136">
        <f>IF($B136="",0,COUNTIFS('UX Weekly'!$H$1:$CT$1,"&gt;="&amp;AG$1,'UX Weekly'!$H$1:$CT$1,"&lt;="&amp;EOMONTH(AG$1,0),'UX Weekly'!$H136:$CT136,"&lt;&gt;"))</f>
        <v>0</v>
      </c>
      <c r="AH136">
        <f>IF($B136="",0,COUNTIFS('UX Weekly'!$H$1:$CT$1,"&gt;="&amp;AH$1,'UX Weekly'!$H$1:$CT$1,"&lt;="&amp;EOMONTH(AH$1,0),'UX Weekly'!$H136:$CT136,"&lt;&gt;"))</f>
        <v>0</v>
      </c>
      <c r="AI136">
        <f>IF($B136="",0,COUNTIFS('UX Weekly'!$H$1:$CT$1,"&gt;="&amp;AI$1,'UX Weekly'!$H$1:$CT$1,"&lt;="&amp;EOMONTH(AI$1,0),'UX Weekly'!$H136:$CT136,"&lt;&gt;"))</f>
        <v>0</v>
      </c>
      <c r="AJ136">
        <f>IF($B136="",0,COUNTIFS('UX Weekly'!$H$1:$CT$1,"&gt;="&amp;AJ$1,'UX Weekly'!$H$1:$CT$1,"&lt;="&amp;EOMONTH(AJ$1,0),'UX Weekly'!$H136:$CT136,"&lt;&gt;"))</f>
        <v>0</v>
      </c>
      <c r="AK136">
        <f>IF($B136="",0,COUNTIFS('UX Weekly'!$H$1:$CT$1,"&gt;="&amp;AK$1,'UX Weekly'!$H$1:$CT$1,"&lt;="&amp;EOMONTH(AK$1,0),'UX Weekly'!$H136:$CT136,"&lt;&gt;"))</f>
        <v>0</v>
      </c>
      <c r="AL136">
        <f>IF($B136="",0,COUNTIFS('UX Weekly'!$H$1:$CT$1,"&gt;="&amp;AL$1,'UX Weekly'!$H$1:$CT$1,"&lt;="&amp;EOMONTH(AL$1,0),'UX Weekly'!$H136:$CT136,"&lt;&gt;"))</f>
        <v>0</v>
      </c>
      <c r="AM136">
        <f>IF($B136="",0,COUNTIFS('UX Weekly'!$H$1:$CT$1,"&gt;="&amp;AM$1,'UX Weekly'!$H$1:$CT$1,"&lt;="&amp;EOMONTH(AM$1,0),'UX Weekly'!$H136:$CT136,"&lt;&gt;"))</f>
        <v>0</v>
      </c>
      <c r="AN136">
        <f>IF($B136="",0,COUNTIFS('UX Weekly'!$H$1:$CT$1,"&gt;="&amp;AN$1,'UX Weekly'!$H$1:$CT$1,"&lt;="&amp;EOMONTH(AN$1,0),'UX Weekly'!$H136:$CT136,"&lt;&gt;"))</f>
        <v>0</v>
      </c>
      <c r="AO136">
        <f>IF($B136="",0,COUNTIFS('UX Weekly'!$H$1:$CT$1,"&gt;="&amp;AO$1,'UX Weekly'!$H$1:$CT$1,"&lt;="&amp;EOMONTH(AO$1,0),'UX Weekly'!$H136:$CT136,"&lt;&gt;"))</f>
        <v>0</v>
      </c>
      <c r="AP136">
        <f>IF($B136="",0,COUNTIFS('UX Weekly'!$H$1:$CT$1,"&gt;="&amp;AP$1,'UX Weekly'!$H$1:$CT$1,"&lt;="&amp;EOMONTH(AP$1,0),'UX Weekly'!$H136:$CT136,"&lt;&gt;"))</f>
        <v>0</v>
      </c>
      <c r="AQ136">
        <f>IF($B136="",0,COUNTIFS('UX Weekly'!$H$1:$CT$1,"&gt;="&amp;AQ$1,'UX Weekly'!$H$1:$CT$1,"&lt;="&amp;EOMONTH(AQ$1,0),'UX Weekly'!$H136:$CT136,"&lt;&gt;"))</f>
        <v>0</v>
      </c>
      <c r="AR136">
        <f>IF($B136="",0,COUNTIFS('UX Weekly'!$H$1:$CT$1,"&gt;="&amp;AR$1,'UX Weekly'!$H$1:$CT$1,"&lt;="&amp;EOMONTH(AR$1,0),'UX Weekly'!$H136:$CT136,"&lt;&gt;"))</f>
        <v>0</v>
      </c>
      <c r="AS136">
        <f>IF($B136="",0,COUNTIFS('UX Weekly'!$H$1:$CT$1,"&gt;="&amp;AS$1,'UX Weekly'!$H$1:$CT$1,"&lt;="&amp;EOMONTH(AS$1,0),'UX Weekly'!$H136:$CT136,"&lt;&gt;"))</f>
        <v>0</v>
      </c>
      <c r="AT136">
        <f>IF($B136="",0,COUNTIFS('UX Weekly'!$H$1:$CT$1,"&gt;="&amp;AT$1,'UX Weekly'!$H$1:$CT$1,"&lt;="&amp;EOMONTH(AT$1,0),'UX Weekly'!$H136:$CT136,"&lt;&gt;"))</f>
        <v>0</v>
      </c>
    </row>
    <row r="137" spans="1:46" x14ac:dyDescent="0.2">
      <c r="A137" s="147">
        <v>138</v>
      </c>
      <c r="B137" s="147" t="str">
        <f>IF(TRIM('UX Weekly'!E137)="","",TRIM('UX Weekly'!E137))</f>
        <v/>
      </c>
      <c r="C137" s="147" t="str">
        <f>IF($B137="","",'UX Weekly'!B137)</f>
        <v/>
      </c>
      <c r="D137" s="147" t="str">
        <f>IF($B137="","",IF(TRIM('UX Weekly'!C137)="","(No theme assigned)",TRIM('UX Weekly'!C137)))</f>
        <v/>
      </c>
      <c r="E137" s="147" t="str">
        <f>IF($B137="","",TRIM('UX Weekly'!F137))</f>
        <v/>
      </c>
      <c r="F137" s="147" t="str">
        <f>IF($B137="","",'UX Weekly'!G137)</f>
        <v/>
      </c>
      <c r="G137" s="148" t="str">
        <f t="array" ref="G137">IF($B137="","",IF($S137=0,"",IFERROR(MIN(IF('UX Weekly'!$H137:$CT137&lt;&gt;"",'UX Weekly'!$H$1:$CT$1)),"")))</f>
        <v/>
      </c>
      <c r="H137" s="148" t="str">
        <f t="array" ref="H137">IF($B137="","",IF($S137=0,"",IFERROR(MAX(IF('UX Weekly'!$H137:$CT137&lt;&gt;"",'UX Weekly'!$H$1:$CT$1)),"")))</f>
        <v/>
      </c>
      <c r="I137" s="149" t="str">
        <f t="shared" ca="1" si="12"/>
        <v/>
      </c>
      <c r="J137" s="149" t="str">
        <f t="shared" ca="1" si="13"/>
        <v/>
      </c>
      <c r="K137" s="147" t="str">
        <f>IF($B137="","",IFERROR(MATCH($B137,'Dev Tracker'!$D$2:$D$196,0),IF($E137="","",IFERROR(MATCH($E137,'Dev Tracker'!$E$2:$E$196,0),""))))</f>
        <v/>
      </c>
      <c r="L137" s="147" t="str">
        <f>IF($B137="","",IFERROR(MATCH($D137,'Control (Don’t Touch)'!$E$4:$E$30,0),99))</f>
        <v/>
      </c>
      <c r="M137" s="147" t="str">
        <f>IF($B137="","",IFERROR(MATCH($F137,'Control (Don’t Touch)'!$B$4:$B$30,0),99))</f>
        <v/>
      </c>
      <c r="N137" s="147" t="str">
        <f t="shared" si="14"/>
        <v/>
      </c>
      <c r="O137" s="147" t="str">
        <f>IF($B137="","",COUNTIF($N$2:$N$204,"&lt;"&amp;$N137)+1)</f>
        <v/>
      </c>
      <c r="P137" s="149" t="str">
        <f ca="1">IF($K137="","",IFERROR(DATE(IFERROR(VALUE(RIGHT(TRIM(INDEX('Dev Tracker'!$I$2:$I$196,$K137)),4)),YEAR(TODAY())),MATCH(LEFT(TRIM(INDEX('Dev Tracker'!$I$2:$I$196,$K137)),3),$U$2:$U$12,0),1),""))</f>
        <v/>
      </c>
      <c r="Q137" s="149" t="str">
        <f ca="1">IF($K137="","",IFERROR(DATE(IFERROR(VALUE(RIGHT(TRIM(INDEX('Dev Tracker'!$J$2:$J$196,$K137)),4)),YEAR(TODAY())),MATCH(LEFT(TRIM(INDEX('Dev Tracker'!$J$2:$J$196,$K137)),3),$U$2:$U$12,0),1),""))</f>
        <v/>
      </c>
      <c r="R137" s="147"/>
      <c r="S137" s="147" t="str">
        <f>IF($B137="","",COUNTA('UX Weekly'!$H137:$CT137))</f>
        <v/>
      </c>
      <c r="W137">
        <f>IF($B137="",0,COUNTIFS('UX Weekly'!$H$1:$CT$1,"&gt;="&amp;W$1,'UX Weekly'!$H$1:$CT$1,"&lt;="&amp;EOMONTH(W$1,0),'UX Weekly'!$H137:$CT137,"&lt;&gt;"))</f>
        <v>0</v>
      </c>
      <c r="X137">
        <f>IF($B137="",0,COUNTIFS('UX Weekly'!$H$1:$CT$1,"&gt;="&amp;X$1,'UX Weekly'!$H$1:$CT$1,"&lt;="&amp;EOMONTH(X$1,0),'UX Weekly'!$H137:$CT137,"&lt;&gt;"))</f>
        <v>0</v>
      </c>
      <c r="Y137">
        <f>IF($B137="",0,COUNTIFS('UX Weekly'!$H$1:$CT$1,"&gt;="&amp;Y$1,'UX Weekly'!$H$1:$CT$1,"&lt;="&amp;EOMONTH(Y$1,0),'UX Weekly'!$H137:$CT137,"&lt;&gt;"))</f>
        <v>0</v>
      </c>
      <c r="Z137">
        <f>IF($B137="",0,COUNTIFS('UX Weekly'!$H$1:$CT$1,"&gt;="&amp;Z$1,'UX Weekly'!$H$1:$CT$1,"&lt;="&amp;EOMONTH(Z$1,0),'UX Weekly'!$H137:$CT137,"&lt;&gt;"))</f>
        <v>0</v>
      </c>
      <c r="AA137">
        <f>IF($B137="",0,COUNTIFS('UX Weekly'!$H$1:$CT$1,"&gt;="&amp;AA$1,'UX Weekly'!$H$1:$CT$1,"&lt;="&amp;EOMONTH(AA$1,0),'UX Weekly'!$H137:$CT137,"&lt;&gt;"))</f>
        <v>0</v>
      </c>
      <c r="AB137">
        <f>IF($B137="",0,COUNTIFS('UX Weekly'!$H$1:$CT$1,"&gt;="&amp;AB$1,'UX Weekly'!$H$1:$CT$1,"&lt;="&amp;EOMONTH(AB$1,0),'UX Weekly'!$H137:$CT137,"&lt;&gt;"))</f>
        <v>0</v>
      </c>
      <c r="AC137">
        <f>IF($B137="",0,COUNTIFS('UX Weekly'!$H$1:$CT$1,"&gt;="&amp;AC$1,'UX Weekly'!$H$1:$CT$1,"&lt;="&amp;EOMONTH(AC$1,0),'UX Weekly'!$H137:$CT137,"&lt;&gt;"))</f>
        <v>0</v>
      </c>
      <c r="AD137">
        <f>IF($B137="",0,COUNTIFS('UX Weekly'!$H$1:$CT$1,"&gt;="&amp;AD$1,'UX Weekly'!$H$1:$CT$1,"&lt;="&amp;EOMONTH(AD$1,0),'UX Weekly'!$H137:$CT137,"&lt;&gt;"))</f>
        <v>0</v>
      </c>
      <c r="AE137">
        <f>IF($B137="",0,COUNTIFS('UX Weekly'!$H$1:$CT$1,"&gt;="&amp;AE$1,'UX Weekly'!$H$1:$CT$1,"&lt;="&amp;EOMONTH(AE$1,0),'UX Weekly'!$H137:$CT137,"&lt;&gt;"))</f>
        <v>0</v>
      </c>
      <c r="AF137">
        <f>IF($B137="",0,COUNTIFS('UX Weekly'!$H$1:$CT$1,"&gt;="&amp;AF$1,'UX Weekly'!$H$1:$CT$1,"&lt;="&amp;EOMONTH(AF$1,0),'UX Weekly'!$H137:$CT137,"&lt;&gt;"))</f>
        <v>0</v>
      </c>
      <c r="AG137">
        <f>IF($B137="",0,COUNTIFS('UX Weekly'!$H$1:$CT$1,"&gt;="&amp;AG$1,'UX Weekly'!$H$1:$CT$1,"&lt;="&amp;EOMONTH(AG$1,0),'UX Weekly'!$H137:$CT137,"&lt;&gt;"))</f>
        <v>0</v>
      </c>
      <c r="AH137">
        <f>IF($B137="",0,COUNTIFS('UX Weekly'!$H$1:$CT$1,"&gt;="&amp;AH$1,'UX Weekly'!$H$1:$CT$1,"&lt;="&amp;EOMONTH(AH$1,0),'UX Weekly'!$H137:$CT137,"&lt;&gt;"))</f>
        <v>0</v>
      </c>
      <c r="AI137">
        <f>IF($B137="",0,COUNTIFS('UX Weekly'!$H$1:$CT$1,"&gt;="&amp;AI$1,'UX Weekly'!$H$1:$CT$1,"&lt;="&amp;EOMONTH(AI$1,0),'UX Weekly'!$H137:$CT137,"&lt;&gt;"))</f>
        <v>0</v>
      </c>
      <c r="AJ137">
        <f>IF($B137="",0,COUNTIFS('UX Weekly'!$H$1:$CT$1,"&gt;="&amp;AJ$1,'UX Weekly'!$H$1:$CT$1,"&lt;="&amp;EOMONTH(AJ$1,0),'UX Weekly'!$H137:$CT137,"&lt;&gt;"))</f>
        <v>0</v>
      </c>
      <c r="AK137">
        <f>IF($B137="",0,COUNTIFS('UX Weekly'!$H$1:$CT$1,"&gt;="&amp;AK$1,'UX Weekly'!$H$1:$CT$1,"&lt;="&amp;EOMONTH(AK$1,0),'UX Weekly'!$H137:$CT137,"&lt;&gt;"))</f>
        <v>0</v>
      </c>
      <c r="AL137">
        <f>IF($B137="",0,COUNTIFS('UX Weekly'!$H$1:$CT$1,"&gt;="&amp;AL$1,'UX Weekly'!$H$1:$CT$1,"&lt;="&amp;EOMONTH(AL$1,0),'UX Weekly'!$H137:$CT137,"&lt;&gt;"))</f>
        <v>0</v>
      </c>
      <c r="AM137">
        <f>IF($B137="",0,COUNTIFS('UX Weekly'!$H$1:$CT$1,"&gt;="&amp;AM$1,'UX Weekly'!$H$1:$CT$1,"&lt;="&amp;EOMONTH(AM$1,0),'UX Weekly'!$H137:$CT137,"&lt;&gt;"))</f>
        <v>0</v>
      </c>
      <c r="AN137">
        <f>IF($B137="",0,COUNTIFS('UX Weekly'!$H$1:$CT$1,"&gt;="&amp;AN$1,'UX Weekly'!$H$1:$CT$1,"&lt;="&amp;EOMONTH(AN$1,0),'UX Weekly'!$H137:$CT137,"&lt;&gt;"))</f>
        <v>0</v>
      </c>
      <c r="AO137">
        <f>IF($B137="",0,COUNTIFS('UX Weekly'!$H$1:$CT$1,"&gt;="&amp;AO$1,'UX Weekly'!$H$1:$CT$1,"&lt;="&amp;EOMONTH(AO$1,0),'UX Weekly'!$H137:$CT137,"&lt;&gt;"))</f>
        <v>0</v>
      </c>
      <c r="AP137">
        <f>IF($B137="",0,COUNTIFS('UX Weekly'!$H$1:$CT$1,"&gt;="&amp;AP$1,'UX Weekly'!$H$1:$CT$1,"&lt;="&amp;EOMONTH(AP$1,0),'UX Weekly'!$H137:$CT137,"&lt;&gt;"))</f>
        <v>0</v>
      </c>
      <c r="AQ137">
        <f>IF($B137="",0,COUNTIFS('UX Weekly'!$H$1:$CT$1,"&gt;="&amp;AQ$1,'UX Weekly'!$H$1:$CT$1,"&lt;="&amp;EOMONTH(AQ$1,0),'UX Weekly'!$H137:$CT137,"&lt;&gt;"))</f>
        <v>0</v>
      </c>
      <c r="AR137">
        <f>IF($B137="",0,COUNTIFS('UX Weekly'!$H$1:$CT$1,"&gt;="&amp;AR$1,'UX Weekly'!$H$1:$CT$1,"&lt;="&amp;EOMONTH(AR$1,0),'UX Weekly'!$H137:$CT137,"&lt;&gt;"))</f>
        <v>0</v>
      </c>
      <c r="AS137">
        <f>IF($B137="",0,COUNTIFS('UX Weekly'!$H$1:$CT$1,"&gt;="&amp;AS$1,'UX Weekly'!$H$1:$CT$1,"&lt;="&amp;EOMONTH(AS$1,0),'UX Weekly'!$H137:$CT137,"&lt;&gt;"))</f>
        <v>0</v>
      </c>
      <c r="AT137">
        <f>IF($B137="",0,COUNTIFS('UX Weekly'!$H$1:$CT$1,"&gt;="&amp;AT$1,'UX Weekly'!$H$1:$CT$1,"&lt;="&amp;EOMONTH(AT$1,0),'UX Weekly'!$H137:$CT137,"&lt;&gt;"))</f>
        <v>0</v>
      </c>
    </row>
    <row r="138" spans="1:46" x14ac:dyDescent="0.2">
      <c r="A138" s="147">
        <v>139</v>
      </c>
      <c r="B138" s="147" t="str">
        <f>IF(TRIM('UX Weekly'!E138)="","",TRIM('UX Weekly'!E138))</f>
        <v/>
      </c>
      <c r="C138" s="147" t="str">
        <f>IF($B138="","",'UX Weekly'!B138)</f>
        <v/>
      </c>
      <c r="D138" s="147" t="str">
        <f>IF($B138="","",IF(TRIM('UX Weekly'!C138)="","(No theme assigned)",TRIM('UX Weekly'!C138)))</f>
        <v/>
      </c>
      <c r="E138" s="147" t="str">
        <f>IF($B138="","",TRIM('UX Weekly'!F138))</f>
        <v/>
      </c>
      <c r="F138" s="147" t="str">
        <f>IF($B138="","",'UX Weekly'!G138)</f>
        <v/>
      </c>
      <c r="G138" s="148" t="str">
        <f t="array" ref="G138">IF($B138="","",IF($S138=0,"",IFERROR(MIN(IF('UX Weekly'!$H138:$CT138&lt;&gt;"",'UX Weekly'!$H$1:$CT$1)),"")))</f>
        <v/>
      </c>
      <c r="H138" s="148" t="str">
        <f t="array" ref="H138">IF($B138="","",IF($S138=0,"",IFERROR(MAX(IF('UX Weekly'!$H138:$CT138&lt;&gt;"",'UX Weekly'!$H$1:$CT$1)),"")))</f>
        <v/>
      </c>
      <c r="I138" s="149" t="str">
        <f t="shared" ca="1" si="12"/>
        <v/>
      </c>
      <c r="J138" s="149" t="str">
        <f t="shared" ca="1" si="13"/>
        <v/>
      </c>
      <c r="K138" s="147" t="str">
        <f>IF($B138="","",IFERROR(MATCH($B138,'Dev Tracker'!$D$2:$D$196,0),IF($E138="","",IFERROR(MATCH($E138,'Dev Tracker'!$E$2:$E$196,0),""))))</f>
        <v/>
      </c>
      <c r="L138" s="147" t="str">
        <f>IF($B138="","",IFERROR(MATCH($D138,'Control (Don’t Touch)'!$E$4:$E$30,0),99))</f>
        <v/>
      </c>
      <c r="M138" s="147" t="str">
        <f>IF($B138="","",IFERROR(MATCH($F138,'Control (Don’t Touch)'!$B$4:$B$30,0),99))</f>
        <v/>
      </c>
      <c r="N138" s="147" t="str">
        <f t="shared" si="14"/>
        <v/>
      </c>
      <c r="O138" s="147" t="str">
        <f>IF($B138="","",COUNTIF($N$2:$N$204,"&lt;"&amp;$N138)+1)</f>
        <v/>
      </c>
      <c r="P138" s="149" t="str">
        <f ca="1">IF($K138="","",IFERROR(DATE(IFERROR(VALUE(RIGHT(TRIM(INDEX('Dev Tracker'!$I$2:$I$196,$K138)),4)),YEAR(TODAY())),MATCH(LEFT(TRIM(INDEX('Dev Tracker'!$I$2:$I$196,$K138)),3),$U$2:$U$12,0),1),""))</f>
        <v/>
      </c>
      <c r="Q138" s="149" t="str">
        <f ca="1">IF($K138="","",IFERROR(DATE(IFERROR(VALUE(RIGHT(TRIM(INDEX('Dev Tracker'!$J$2:$J$196,$K138)),4)),YEAR(TODAY())),MATCH(LEFT(TRIM(INDEX('Dev Tracker'!$J$2:$J$196,$K138)),3),$U$2:$U$12,0),1),""))</f>
        <v/>
      </c>
      <c r="R138" s="147"/>
      <c r="S138" s="147" t="str">
        <f>IF($B138="","",COUNTA('UX Weekly'!$H138:$CT138))</f>
        <v/>
      </c>
      <c r="W138">
        <f>IF($B138="",0,COUNTIFS('UX Weekly'!$H$1:$CT$1,"&gt;="&amp;W$1,'UX Weekly'!$H$1:$CT$1,"&lt;="&amp;EOMONTH(W$1,0),'UX Weekly'!$H138:$CT138,"&lt;&gt;"))</f>
        <v>0</v>
      </c>
      <c r="X138">
        <f>IF($B138="",0,COUNTIFS('UX Weekly'!$H$1:$CT$1,"&gt;="&amp;X$1,'UX Weekly'!$H$1:$CT$1,"&lt;="&amp;EOMONTH(X$1,0),'UX Weekly'!$H138:$CT138,"&lt;&gt;"))</f>
        <v>0</v>
      </c>
      <c r="Y138">
        <f>IF($B138="",0,COUNTIFS('UX Weekly'!$H$1:$CT$1,"&gt;="&amp;Y$1,'UX Weekly'!$H$1:$CT$1,"&lt;="&amp;EOMONTH(Y$1,0),'UX Weekly'!$H138:$CT138,"&lt;&gt;"))</f>
        <v>0</v>
      </c>
      <c r="Z138">
        <f>IF($B138="",0,COUNTIFS('UX Weekly'!$H$1:$CT$1,"&gt;="&amp;Z$1,'UX Weekly'!$H$1:$CT$1,"&lt;="&amp;EOMONTH(Z$1,0),'UX Weekly'!$H138:$CT138,"&lt;&gt;"))</f>
        <v>0</v>
      </c>
      <c r="AA138">
        <f>IF($B138="",0,COUNTIFS('UX Weekly'!$H$1:$CT$1,"&gt;="&amp;AA$1,'UX Weekly'!$H$1:$CT$1,"&lt;="&amp;EOMONTH(AA$1,0),'UX Weekly'!$H138:$CT138,"&lt;&gt;"))</f>
        <v>0</v>
      </c>
      <c r="AB138">
        <f>IF($B138="",0,COUNTIFS('UX Weekly'!$H$1:$CT$1,"&gt;="&amp;AB$1,'UX Weekly'!$H$1:$CT$1,"&lt;="&amp;EOMONTH(AB$1,0),'UX Weekly'!$H138:$CT138,"&lt;&gt;"))</f>
        <v>0</v>
      </c>
      <c r="AC138">
        <f>IF($B138="",0,COUNTIFS('UX Weekly'!$H$1:$CT$1,"&gt;="&amp;AC$1,'UX Weekly'!$H$1:$CT$1,"&lt;="&amp;EOMONTH(AC$1,0),'UX Weekly'!$H138:$CT138,"&lt;&gt;"))</f>
        <v>0</v>
      </c>
      <c r="AD138">
        <f>IF($B138="",0,COUNTIFS('UX Weekly'!$H$1:$CT$1,"&gt;="&amp;AD$1,'UX Weekly'!$H$1:$CT$1,"&lt;="&amp;EOMONTH(AD$1,0),'UX Weekly'!$H138:$CT138,"&lt;&gt;"))</f>
        <v>0</v>
      </c>
      <c r="AE138">
        <f>IF($B138="",0,COUNTIFS('UX Weekly'!$H$1:$CT$1,"&gt;="&amp;AE$1,'UX Weekly'!$H$1:$CT$1,"&lt;="&amp;EOMONTH(AE$1,0),'UX Weekly'!$H138:$CT138,"&lt;&gt;"))</f>
        <v>0</v>
      </c>
      <c r="AF138">
        <f>IF($B138="",0,COUNTIFS('UX Weekly'!$H$1:$CT$1,"&gt;="&amp;AF$1,'UX Weekly'!$H$1:$CT$1,"&lt;="&amp;EOMONTH(AF$1,0),'UX Weekly'!$H138:$CT138,"&lt;&gt;"))</f>
        <v>0</v>
      </c>
      <c r="AG138">
        <f>IF($B138="",0,COUNTIFS('UX Weekly'!$H$1:$CT$1,"&gt;="&amp;AG$1,'UX Weekly'!$H$1:$CT$1,"&lt;="&amp;EOMONTH(AG$1,0),'UX Weekly'!$H138:$CT138,"&lt;&gt;"))</f>
        <v>0</v>
      </c>
      <c r="AH138">
        <f>IF($B138="",0,COUNTIFS('UX Weekly'!$H$1:$CT$1,"&gt;="&amp;AH$1,'UX Weekly'!$H$1:$CT$1,"&lt;="&amp;EOMONTH(AH$1,0),'UX Weekly'!$H138:$CT138,"&lt;&gt;"))</f>
        <v>0</v>
      </c>
      <c r="AI138">
        <f>IF($B138="",0,COUNTIFS('UX Weekly'!$H$1:$CT$1,"&gt;="&amp;AI$1,'UX Weekly'!$H$1:$CT$1,"&lt;="&amp;EOMONTH(AI$1,0),'UX Weekly'!$H138:$CT138,"&lt;&gt;"))</f>
        <v>0</v>
      </c>
      <c r="AJ138">
        <f>IF($B138="",0,COUNTIFS('UX Weekly'!$H$1:$CT$1,"&gt;="&amp;AJ$1,'UX Weekly'!$H$1:$CT$1,"&lt;="&amp;EOMONTH(AJ$1,0),'UX Weekly'!$H138:$CT138,"&lt;&gt;"))</f>
        <v>0</v>
      </c>
      <c r="AK138">
        <f>IF($B138="",0,COUNTIFS('UX Weekly'!$H$1:$CT$1,"&gt;="&amp;AK$1,'UX Weekly'!$H$1:$CT$1,"&lt;="&amp;EOMONTH(AK$1,0),'UX Weekly'!$H138:$CT138,"&lt;&gt;"))</f>
        <v>0</v>
      </c>
      <c r="AL138">
        <f>IF($B138="",0,COUNTIFS('UX Weekly'!$H$1:$CT$1,"&gt;="&amp;AL$1,'UX Weekly'!$H$1:$CT$1,"&lt;="&amp;EOMONTH(AL$1,0),'UX Weekly'!$H138:$CT138,"&lt;&gt;"))</f>
        <v>0</v>
      </c>
      <c r="AM138">
        <f>IF($B138="",0,COUNTIFS('UX Weekly'!$H$1:$CT$1,"&gt;="&amp;AM$1,'UX Weekly'!$H$1:$CT$1,"&lt;="&amp;EOMONTH(AM$1,0),'UX Weekly'!$H138:$CT138,"&lt;&gt;"))</f>
        <v>0</v>
      </c>
      <c r="AN138">
        <f>IF($B138="",0,COUNTIFS('UX Weekly'!$H$1:$CT$1,"&gt;="&amp;AN$1,'UX Weekly'!$H$1:$CT$1,"&lt;="&amp;EOMONTH(AN$1,0),'UX Weekly'!$H138:$CT138,"&lt;&gt;"))</f>
        <v>0</v>
      </c>
      <c r="AO138">
        <f>IF($B138="",0,COUNTIFS('UX Weekly'!$H$1:$CT$1,"&gt;="&amp;AO$1,'UX Weekly'!$H$1:$CT$1,"&lt;="&amp;EOMONTH(AO$1,0),'UX Weekly'!$H138:$CT138,"&lt;&gt;"))</f>
        <v>0</v>
      </c>
      <c r="AP138">
        <f>IF($B138="",0,COUNTIFS('UX Weekly'!$H$1:$CT$1,"&gt;="&amp;AP$1,'UX Weekly'!$H$1:$CT$1,"&lt;="&amp;EOMONTH(AP$1,0),'UX Weekly'!$H138:$CT138,"&lt;&gt;"))</f>
        <v>0</v>
      </c>
      <c r="AQ138">
        <f>IF($B138="",0,COUNTIFS('UX Weekly'!$H$1:$CT$1,"&gt;="&amp;AQ$1,'UX Weekly'!$H$1:$CT$1,"&lt;="&amp;EOMONTH(AQ$1,0),'UX Weekly'!$H138:$CT138,"&lt;&gt;"))</f>
        <v>0</v>
      </c>
      <c r="AR138">
        <f>IF($B138="",0,COUNTIFS('UX Weekly'!$H$1:$CT$1,"&gt;="&amp;AR$1,'UX Weekly'!$H$1:$CT$1,"&lt;="&amp;EOMONTH(AR$1,0),'UX Weekly'!$H138:$CT138,"&lt;&gt;"))</f>
        <v>0</v>
      </c>
      <c r="AS138">
        <f>IF($B138="",0,COUNTIFS('UX Weekly'!$H$1:$CT$1,"&gt;="&amp;AS$1,'UX Weekly'!$H$1:$CT$1,"&lt;="&amp;EOMONTH(AS$1,0),'UX Weekly'!$H138:$CT138,"&lt;&gt;"))</f>
        <v>0</v>
      </c>
      <c r="AT138">
        <f>IF($B138="",0,COUNTIFS('UX Weekly'!$H$1:$CT$1,"&gt;="&amp;AT$1,'UX Weekly'!$H$1:$CT$1,"&lt;="&amp;EOMONTH(AT$1,0),'UX Weekly'!$H138:$CT138,"&lt;&gt;"))</f>
        <v>0</v>
      </c>
    </row>
    <row r="139" spans="1:46" x14ac:dyDescent="0.2">
      <c r="A139" s="147">
        <v>140</v>
      </c>
      <c r="B139" s="147" t="str">
        <f>IF(TRIM('UX Weekly'!E139)="","",TRIM('UX Weekly'!E139))</f>
        <v/>
      </c>
      <c r="C139" s="147" t="str">
        <f>IF($B139="","",'UX Weekly'!B139)</f>
        <v/>
      </c>
      <c r="D139" s="147" t="str">
        <f>IF($B139="","",IF(TRIM('UX Weekly'!C139)="","(No theme assigned)",TRIM('UX Weekly'!C139)))</f>
        <v/>
      </c>
      <c r="E139" s="147" t="str">
        <f>IF($B139="","",TRIM('UX Weekly'!F139))</f>
        <v/>
      </c>
      <c r="F139" s="147" t="str">
        <f>IF($B139="","",'UX Weekly'!G139)</f>
        <v/>
      </c>
      <c r="G139" s="148" t="str">
        <f t="array" ref="G139">IF($B139="","",IF($S139=0,"",IFERROR(MIN(IF('UX Weekly'!$H139:$CT139&lt;&gt;"",'UX Weekly'!$H$1:$CT$1)),"")))</f>
        <v/>
      </c>
      <c r="H139" s="148" t="str">
        <f t="array" ref="H139">IF($B139="","",IF($S139=0,"",IFERROR(MAX(IF('UX Weekly'!$H139:$CT139&lt;&gt;"",'UX Weekly'!$H$1:$CT$1)),"")))</f>
        <v/>
      </c>
      <c r="I139" s="149" t="str">
        <f t="shared" ca="1" si="12"/>
        <v/>
      </c>
      <c r="J139" s="149" t="str">
        <f t="shared" ca="1" si="13"/>
        <v/>
      </c>
      <c r="K139" s="147" t="str">
        <f>IF($B139="","",IFERROR(MATCH($B139,'Dev Tracker'!$D$2:$D$196,0),IF($E139="","",IFERROR(MATCH($E139,'Dev Tracker'!$E$2:$E$196,0),""))))</f>
        <v/>
      </c>
      <c r="L139" s="147" t="str">
        <f>IF($B139="","",IFERROR(MATCH($D139,'Control (Don’t Touch)'!$E$4:$E$30,0),99))</f>
        <v/>
      </c>
      <c r="M139" s="147" t="str">
        <f>IF($B139="","",IFERROR(MATCH($F139,'Control (Don’t Touch)'!$B$4:$B$30,0),99))</f>
        <v/>
      </c>
      <c r="N139" s="147" t="str">
        <f t="shared" si="14"/>
        <v/>
      </c>
      <c r="O139" s="147" t="str">
        <f>IF($B139="","",COUNTIF($N$2:$N$204,"&lt;"&amp;$N139)+1)</f>
        <v/>
      </c>
      <c r="P139" s="149" t="str">
        <f ca="1">IF($K139="","",IFERROR(DATE(IFERROR(VALUE(RIGHT(TRIM(INDEX('Dev Tracker'!$I$2:$I$196,$K139)),4)),YEAR(TODAY())),MATCH(LEFT(TRIM(INDEX('Dev Tracker'!$I$2:$I$196,$K139)),3),$U$2:$U$12,0),1),""))</f>
        <v/>
      </c>
      <c r="Q139" s="149" t="str">
        <f ca="1">IF($K139="","",IFERROR(DATE(IFERROR(VALUE(RIGHT(TRIM(INDEX('Dev Tracker'!$J$2:$J$196,$K139)),4)),YEAR(TODAY())),MATCH(LEFT(TRIM(INDEX('Dev Tracker'!$J$2:$J$196,$K139)),3),$U$2:$U$12,0),1),""))</f>
        <v/>
      </c>
      <c r="R139" s="147"/>
      <c r="S139" s="147" t="str">
        <f>IF($B139="","",COUNTA('UX Weekly'!$H139:$CT139))</f>
        <v/>
      </c>
      <c r="W139">
        <f>IF($B139="",0,COUNTIFS('UX Weekly'!$H$1:$CT$1,"&gt;="&amp;W$1,'UX Weekly'!$H$1:$CT$1,"&lt;="&amp;EOMONTH(W$1,0),'UX Weekly'!$H139:$CT139,"&lt;&gt;"))</f>
        <v>0</v>
      </c>
      <c r="X139">
        <f>IF($B139="",0,COUNTIFS('UX Weekly'!$H$1:$CT$1,"&gt;="&amp;X$1,'UX Weekly'!$H$1:$CT$1,"&lt;="&amp;EOMONTH(X$1,0),'UX Weekly'!$H139:$CT139,"&lt;&gt;"))</f>
        <v>0</v>
      </c>
      <c r="Y139">
        <f>IF($B139="",0,COUNTIFS('UX Weekly'!$H$1:$CT$1,"&gt;="&amp;Y$1,'UX Weekly'!$H$1:$CT$1,"&lt;="&amp;EOMONTH(Y$1,0),'UX Weekly'!$H139:$CT139,"&lt;&gt;"))</f>
        <v>0</v>
      </c>
      <c r="Z139">
        <f>IF($B139="",0,COUNTIFS('UX Weekly'!$H$1:$CT$1,"&gt;="&amp;Z$1,'UX Weekly'!$H$1:$CT$1,"&lt;="&amp;EOMONTH(Z$1,0),'UX Weekly'!$H139:$CT139,"&lt;&gt;"))</f>
        <v>0</v>
      </c>
      <c r="AA139">
        <f>IF($B139="",0,COUNTIFS('UX Weekly'!$H$1:$CT$1,"&gt;="&amp;AA$1,'UX Weekly'!$H$1:$CT$1,"&lt;="&amp;EOMONTH(AA$1,0),'UX Weekly'!$H139:$CT139,"&lt;&gt;"))</f>
        <v>0</v>
      </c>
      <c r="AB139">
        <f>IF($B139="",0,COUNTIFS('UX Weekly'!$H$1:$CT$1,"&gt;="&amp;AB$1,'UX Weekly'!$H$1:$CT$1,"&lt;="&amp;EOMONTH(AB$1,0),'UX Weekly'!$H139:$CT139,"&lt;&gt;"))</f>
        <v>0</v>
      </c>
      <c r="AC139">
        <f>IF($B139="",0,COUNTIFS('UX Weekly'!$H$1:$CT$1,"&gt;="&amp;AC$1,'UX Weekly'!$H$1:$CT$1,"&lt;="&amp;EOMONTH(AC$1,0),'UX Weekly'!$H139:$CT139,"&lt;&gt;"))</f>
        <v>0</v>
      </c>
      <c r="AD139">
        <f>IF($B139="",0,COUNTIFS('UX Weekly'!$H$1:$CT$1,"&gt;="&amp;AD$1,'UX Weekly'!$H$1:$CT$1,"&lt;="&amp;EOMONTH(AD$1,0),'UX Weekly'!$H139:$CT139,"&lt;&gt;"))</f>
        <v>0</v>
      </c>
      <c r="AE139">
        <f>IF($B139="",0,COUNTIFS('UX Weekly'!$H$1:$CT$1,"&gt;="&amp;AE$1,'UX Weekly'!$H$1:$CT$1,"&lt;="&amp;EOMONTH(AE$1,0),'UX Weekly'!$H139:$CT139,"&lt;&gt;"))</f>
        <v>0</v>
      </c>
      <c r="AF139">
        <f>IF($B139="",0,COUNTIFS('UX Weekly'!$H$1:$CT$1,"&gt;="&amp;AF$1,'UX Weekly'!$H$1:$CT$1,"&lt;="&amp;EOMONTH(AF$1,0),'UX Weekly'!$H139:$CT139,"&lt;&gt;"))</f>
        <v>0</v>
      </c>
      <c r="AG139">
        <f>IF($B139="",0,COUNTIFS('UX Weekly'!$H$1:$CT$1,"&gt;="&amp;AG$1,'UX Weekly'!$H$1:$CT$1,"&lt;="&amp;EOMONTH(AG$1,0),'UX Weekly'!$H139:$CT139,"&lt;&gt;"))</f>
        <v>0</v>
      </c>
      <c r="AH139">
        <f>IF($B139="",0,COUNTIFS('UX Weekly'!$H$1:$CT$1,"&gt;="&amp;AH$1,'UX Weekly'!$H$1:$CT$1,"&lt;="&amp;EOMONTH(AH$1,0),'UX Weekly'!$H139:$CT139,"&lt;&gt;"))</f>
        <v>0</v>
      </c>
      <c r="AI139">
        <f>IF($B139="",0,COUNTIFS('UX Weekly'!$H$1:$CT$1,"&gt;="&amp;AI$1,'UX Weekly'!$H$1:$CT$1,"&lt;="&amp;EOMONTH(AI$1,0),'UX Weekly'!$H139:$CT139,"&lt;&gt;"))</f>
        <v>0</v>
      </c>
      <c r="AJ139">
        <f>IF($B139="",0,COUNTIFS('UX Weekly'!$H$1:$CT$1,"&gt;="&amp;AJ$1,'UX Weekly'!$H$1:$CT$1,"&lt;="&amp;EOMONTH(AJ$1,0),'UX Weekly'!$H139:$CT139,"&lt;&gt;"))</f>
        <v>0</v>
      </c>
      <c r="AK139">
        <f>IF($B139="",0,COUNTIFS('UX Weekly'!$H$1:$CT$1,"&gt;="&amp;AK$1,'UX Weekly'!$H$1:$CT$1,"&lt;="&amp;EOMONTH(AK$1,0),'UX Weekly'!$H139:$CT139,"&lt;&gt;"))</f>
        <v>0</v>
      </c>
      <c r="AL139">
        <f>IF($B139="",0,COUNTIFS('UX Weekly'!$H$1:$CT$1,"&gt;="&amp;AL$1,'UX Weekly'!$H$1:$CT$1,"&lt;="&amp;EOMONTH(AL$1,0),'UX Weekly'!$H139:$CT139,"&lt;&gt;"))</f>
        <v>0</v>
      </c>
      <c r="AM139">
        <f>IF($B139="",0,COUNTIFS('UX Weekly'!$H$1:$CT$1,"&gt;="&amp;AM$1,'UX Weekly'!$H$1:$CT$1,"&lt;="&amp;EOMONTH(AM$1,0),'UX Weekly'!$H139:$CT139,"&lt;&gt;"))</f>
        <v>0</v>
      </c>
      <c r="AN139">
        <f>IF($B139="",0,COUNTIFS('UX Weekly'!$H$1:$CT$1,"&gt;="&amp;AN$1,'UX Weekly'!$H$1:$CT$1,"&lt;="&amp;EOMONTH(AN$1,0),'UX Weekly'!$H139:$CT139,"&lt;&gt;"))</f>
        <v>0</v>
      </c>
      <c r="AO139">
        <f>IF($B139="",0,COUNTIFS('UX Weekly'!$H$1:$CT$1,"&gt;="&amp;AO$1,'UX Weekly'!$H$1:$CT$1,"&lt;="&amp;EOMONTH(AO$1,0),'UX Weekly'!$H139:$CT139,"&lt;&gt;"))</f>
        <v>0</v>
      </c>
      <c r="AP139">
        <f>IF($B139="",0,COUNTIFS('UX Weekly'!$H$1:$CT$1,"&gt;="&amp;AP$1,'UX Weekly'!$H$1:$CT$1,"&lt;="&amp;EOMONTH(AP$1,0),'UX Weekly'!$H139:$CT139,"&lt;&gt;"))</f>
        <v>0</v>
      </c>
      <c r="AQ139">
        <f>IF($B139="",0,COUNTIFS('UX Weekly'!$H$1:$CT$1,"&gt;="&amp;AQ$1,'UX Weekly'!$H$1:$CT$1,"&lt;="&amp;EOMONTH(AQ$1,0),'UX Weekly'!$H139:$CT139,"&lt;&gt;"))</f>
        <v>0</v>
      </c>
      <c r="AR139">
        <f>IF($B139="",0,COUNTIFS('UX Weekly'!$H$1:$CT$1,"&gt;="&amp;AR$1,'UX Weekly'!$H$1:$CT$1,"&lt;="&amp;EOMONTH(AR$1,0),'UX Weekly'!$H139:$CT139,"&lt;&gt;"))</f>
        <v>0</v>
      </c>
      <c r="AS139">
        <f>IF($B139="",0,COUNTIFS('UX Weekly'!$H$1:$CT$1,"&gt;="&amp;AS$1,'UX Weekly'!$H$1:$CT$1,"&lt;="&amp;EOMONTH(AS$1,0),'UX Weekly'!$H139:$CT139,"&lt;&gt;"))</f>
        <v>0</v>
      </c>
      <c r="AT139">
        <f>IF($B139="",0,COUNTIFS('UX Weekly'!$H$1:$CT$1,"&gt;="&amp;AT$1,'UX Weekly'!$H$1:$CT$1,"&lt;="&amp;EOMONTH(AT$1,0),'UX Weekly'!$H139:$CT139,"&lt;&gt;"))</f>
        <v>0</v>
      </c>
    </row>
    <row r="140" spans="1:46" x14ac:dyDescent="0.2">
      <c r="A140" s="147">
        <v>141</v>
      </c>
      <c r="B140" s="147" t="str">
        <f>IF(TRIM('UX Weekly'!E140)="","",TRIM('UX Weekly'!E140))</f>
        <v/>
      </c>
      <c r="C140" s="147" t="str">
        <f>IF($B140="","",'UX Weekly'!B140)</f>
        <v/>
      </c>
      <c r="D140" s="147" t="str">
        <f>IF($B140="","",IF(TRIM('UX Weekly'!C140)="","(No theme assigned)",TRIM('UX Weekly'!C140)))</f>
        <v/>
      </c>
      <c r="E140" s="147" t="str">
        <f>IF($B140="","",TRIM('UX Weekly'!F140))</f>
        <v/>
      </c>
      <c r="F140" s="147" t="str">
        <f>IF($B140="","",'UX Weekly'!G140)</f>
        <v/>
      </c>
      <c r="G140" s="148" t="str">
        <f t="array" ref="G140">IF($B140="","",IF($S140=0,"",IFERROR(MIN(IF('UX Weekly'!$H140:$CT140&lt;&gt;"",'UX Weekly'!$H$1:$CT$1)),"")))</f>
        <v/>
      </c>
      <c r="H140" s="148" t="str">
        <f t="array" ref="H140">IF($B140="","",IF($S140=0,"",IFERROR(MAX(IF('UX Weekly'!$H140:$CT140&lt;&gt;"",'UX Weekly'!$H$1:$CT$1)),"")))</f>
        <v/>
      </c>
      <c r="I140" s="149" t="str">
        <f t="shared" ca="1" si="12"/>
        <v/>
      </c>
      <c r="J140" s="149" t="str">
        <f t="shared" ca="1" si="13"/>
        <v/>
      </c>
      <c r="K140" s="147" t="str">
        <f>IF($B140="","",IFERROR(MATCH($B140,'Dev Tracker'!$D$2:$D$196,0),IF($E140="","",IFERROR(MATCH($E140,'Dev Tracker'!$E$2:$E$196,0),""))))</f>
        <v/>
      </c>
      <c r="L140" s="147" t="str">
        <f>IF($B140="","",IFERROR(MATCH($D140,'Control (Don’t Touch)'!$E$4:$E$30,0),99))</f>
        <v/>
      </c>
      <c r="M140" s="147" t="str">
        <f>IF($B140="","",IFERROR(MATCH($F140,'Control (Don’t Touch)'!$B$4:$B$30,0),99))</f>
        <v/>
      </c>
      <c r="N140" s="147" t="str">
        <f t="shared" si="14"/>
        <v/>
      </c>
      <c r="O140" s="147" t="str">
        <f>IF($B140="","",COUNTIF($N$2:$N$204,"&lt;"&amp;$N140)+1)</f>
        <v/>
      </c>
      <c r="P140" s="149" t="str">
        <f ca="1">IF($K140="","",IFERROR(DATE(IFERROR(VALUE(RIGHT(TRIM(INDEX('Dev Tracker'!$I$2:$I$196,$K140)),4)),YEAR(TODAY())),MATCH(LEFT(TRIM(INDEX('Dev Tracker'!$I$2:$I$196,$K140)),3),$U$2:$U$12,0),1),""))</f>
        <v/>
      </c>
      <c r="Q140" s="149" t="str">
        <f ca="1">IF($K140="","",IFERROR(DATE(IFERROR(VALUE(RIGHT(TRIM(INDEX('Dev Tracker'!$J$2:$J$196,$K140)),4)),YEAR(TODAY())),MATCH(LEFT(TRIM(INDEX('Dev Tracker'!$J$2:$J$196,$K140)),3),$U$2:$U$12,0),1),""))</f>
        <v/>
      </c>
      <c r="R140" s="147"/>
      <c r="S140" s="147" t="str">
        <f>IF($B140="","",COUNTA('UX Weekly'!$H140:$CT140))</f>
        <v/>
      </c>
      <c r="W140">
        <f>IF($B140="",0,COUNTIFS('UX Weekly'!$H$1:$CT$1,"&gt;="&amp;W$1,'UX Weekly'!$H$1:$CT$1,"&lt;="&amp;EOMONTH(W$1,0),'UX Weekly'!$H140:$CT140,"&lt;&gt;"))</f>
        <v>0</v>
      </c>
      <c r="X140">
        <f>IF($B140="",0,COUNTIFS('UX Weekly'!$H$1:$CT$1,"&gt;="&amp;X$1,'UX Weekly'!$H$1:$CT$1,"&lt;="&amp;EOMONTH(X$1,0),'UX Weekly'!$H140:$CT140,"&lt;&gt;"))</f>
        <v>0</v>
      </c>
      <c r="Y140">
        <f>IF($B140="",0,COUNTIFS('UX Weekly'!$H$1:$CT$1,"&gt;="&amp;Y$1,'UX Weekly'!$H$1:$CT$1,"&lt;="&amp;EOMONTH(Y$1,0),'UX Weekly'!$H140:$CT140,"&lt;&gt;"))</f>
        <v>0</v>
      </c>
      <c r="Z140">
        <f>IF($B140="",0,COUNTIFS('UX Weekly'!$H$1:$CT$1,"&gt;="&amp;Z$1,'UX Weekly'!$H$1:$CT$1,"&lt;="&amp;EOMONTH(Z$1,0),'UX Weekly'!$H140:$CT140,"&lt;&gt;"))</f>
        <v>0</v>
      </c>
      <c r="AA140">
        <f>IF($B140="",0,COUNTIFS('UX Weekly'!$H$1:$CT$1,"&gt;="&amp;AA$1,'UX Weekly'!$H$1:$CT$1,"&lt;="&amp;EOMONTH(AA$1,0),'UX Weekly'!$H140:$CT140,"&lt;&gt;"))</f>
        <v>0</v>
      </c>
      <c r="AB140">
        <f>IF($B140="",0,COUNTIFS('UX Weekly'!$H$1:$CT$1,"&gt;="&amp;AB$1,'UX Weekly'!$H$1:$CT$1,"&lt;="&amp;EOMONTH(AB$1,0),'UX Weekly'!$H140:$CT140,"&lt;&gt;"))</f>
        <v>0</v>
      </c>
      <c r="AC140">
        <f>IF($B140="",0,COUNTIFS('UX Weekly'!$H$1:$CT$1,"&gt;="&amp;AC$1,'UX Weekly'!$H$1:$CT$1,"&lt;="&amp;EOMONTH(AC$1,0),'UX Weekly'!$H140:$CT140,"&lt;&gt;"))</f>
        <v>0</v>
      </c>
      <c r="AD140">
        <f>IF($B140="",0,COUNTIFS('UX Weekly'!$H$1:$CT$1,"&gt;="&amp;AD$1,'UX Weekly'!$H$1:$CT$1,"&lt;="&amp;EOMONTH(AD$1,0),'UX Weekly'!$H140:$CT140,"&lt;&gt;"))</f>
        <v>0</v>
      </c>
      <c r="AE140">
        <f>IF($B140="",0,COUNTIFS('UX Weekly'!$H$1:$CT$1,"&gt;="&amp;AE$1,'UX Weekly'!$H$1:$CT$1,"&lt;="&amp;EOMONTH(AE$1,0),'UX Weekly'!$H140:$CT140,"&lt;&gt;"))</f>
        <v>0</v>
      </c>
      <c r="AF140">
        <f>IF($B140="",0,COUNTIFS('UX Weekly'!$H$1:$CT$1,"&gt;="&amp;AF$1,'UX Weekly'!$H$1:$CT$1,"&lt;="&amp;EOMONTH(AF$1,0),'UX Weekly'!$H140:$CT140,"&lt;&gt;"))</f>
        <v>0</v>
      </c>
      <c r="AG140">
        <f>IF($B140="",0,COUNTIFS('UX Weekly'!$H$1:$CT$1,"&gt;="&amp;AG$1,'UX Weekly'!$H$1:$CT$1,"&lt;="&amp;EOMONTH(AG$1,0),'UX Weekly'!$H140:$CT140,"&lt;&gt;"))</f>
        <v>0</v>
      </c>
      <c r="AH140">
        <f>IF($B140="",0,COUNTIFS('UX Weekly'!$H$1:$CT$1,"&gt;="&amp;AH$1,'UX Weekly'!$H$1:$CT$1,"&lt;="&amp;EOMONTH(AH$1,0),'UX Weekly'!$H140:$CT140,"&lt;&gt;"))</f>
        <v>0</v>
      </c>
      <c r="AI140">
        <f>IF($B140="",0,COUNTIFS('UX Weekly'!$H$1:$CT$1,"&gt;="&amp;AI$1,'UX Weekly'!$H$1:$CT$1,"&lt;="&amp;EOMONTH(AI$1,0),'UX Weekly'!$H140:$CT140,"&lt;&gt;"))</f>
        <v>0</v>
      </c>
      <c r="AJ140">
        <f>IF($B140="",0,COUNTIFS('UX Weekly'!$H$1:$CT$1,"&gt;="&amp;AJ$1,'UX Weekly'!$H$1:$CT$1,"&lt;="&amp;EOMONTH(AJ$1,0),'UX Weekly'!$H140:$CT140,"&lt;&gt;"))</f>
        <v>0</v>
      </c>
      <c r="AK140">
        <f>IF($B140="",0,COUNTIFS('UX Weekly'!$H$1:$CT$1,"&gt;="&amp;AK$1,'UX Weekly'!$H$1:$CT$1,"&lt;="&amp;EOMONTH(AK$1,0),'UX Weekly'!$H140:$CT140,"&lt;&gt;"))</f>
        <v>0</v>
      </c>
      <c r="AL140">
        <f>IF($B140="",0,COUNTIFS('UX Weekly'!$H$1:$CT$1,"&gt;="&amp;AL$1,'UX Weekly'!$H$1:$CT$1,"&lt;="&amp;EOMONTH(AL$1,0),'UX Weekly'!$H140:$CT140,"&lt;&gt;"))</f>
        <v>0</v>
      </c>
      <c r="AM140">
        <f>IF($B140="",0,COUNTIFS('UX Weekly'!$H$1:$CT$1,"&gt;="&amp;AM$1,'UX Weekly'!$H$1:$CT$1,"&lt;="&amp;EOMONTH(AM$1,0),'UX Weekly'!$H140:$CT140,"&lt;&gt;"))</f>
        <v>0</v>
      </c>
      <c r="AN140">
        <f>IF($B140="",0,COUNTIFS('UX Weekly'!$H$1:$CT$1,"&gt;="&amp;AN$1,'UX Weekly'!$H$1:$CT$1,"&lt;="&amp;EOMONTH(AN$1,0),'UX Weekly'!$H140:$CT140,"&lt;&gt;"))</f>
        <v>0</v>
      </c>
      <c r="AO140">
        <f>IF($B140="",0,COUNTIFS('UX Weekly'!$H$1:$CT$1,"&gt;="&amp;AO$1,'UX Weekly'!$H$1:$CT$1,"&lt;="&amp;EOMONTH(AO$1,0),'UX Weekly'!$H140:$CT140,"&lt;&gt;"))</f>
        <v>0</v>
      </c>
      <c r="AP140">
        <f>IF($B140="",0,COUNTIFS('UX Weekly'!$H$1:$CT$1,"&gt;="&amp;AP$1,'UX Weekly'!$H$1:$CT$1,"&lt;="&amp;EOMONTH(AP$1,0),'UX Weekly'!$H140:$CT140,"&lt;&gt;"))</f>
        <v>0</v>
      </c>
      <c r="AQ140">
        <f>IF($B140="",0,COUNTIFS('UX Weekly'!$H$1:$CT$1,"&gt;="&amp;AQ$1,'UX Weekly'!$H$1:$CT$1,"&lt;="&amp;EOMONTH(AQ$1,0),'UX Weekly'!$H140:$CT140,"&lt;&gt;"))</f>
        <v>0</v>
      </c>
      <c r="AR140">
        <f>IF($B140="",0,COUNTIFS('UX Weekly'!$H$1:$CT$1,"&gt;="&amp;AR$1,'UX Weekly'!$H$1:$CT$1,"&lt;="&amp;EOMONTH(AR$1,0),'UX Weekly'!$H140:$CT140,"&lt;&gt;"))</f>
        <v>0</v>
      </c>
      <c r="AS140">
        <f>IF($B140="",0,COUNTIFS('UX Weekly'!$H$1:$CT$1,"&gt;="&amp;AS$1,'UX Weekly'!$H$1:$CT$1,"&lt;="&amp;EOMONTH(AS$1,0),'UX Weekly'!$H140:$CT140,"&lt;&gt;"))</f>
        <v>0</v>
      </c>
      <c r="AT140">
        <f>IF($B140="",0,COUNTIFS('UX Weekly'!$H$1:$CT$1,"&gt;="&amp;AT$1,'UX Weekly'!$H$1:$CT$1,"&lt;="&amp;EOMONTH(AT$1,0),'UX Weekly'!$H140:$CT140,"&lt;&gt;"))</f>
        <v>0</v>
      </c>
    </row>
    <row r="141" spans="1:46" x14ac:dyDescent="0.2">
      <c r="A141" s="147">
        <v>142</v>
      </c>
      <c r="B141" s="147" t="str">
        <f>IF(TRIM('UX Weekly'!E141)="","",TRIM('UX Weekly'!E141))</f>
        <v/>
      </c>
      <c r="C141" s="147" t="str">
        <f>IF($B141="","",'UX Weekly'!B141)</f>
        <v/>
      </c>
      <c r="D141" s="147" t="str">
        <f>IF($B141="","",IF(TRIM('UX Weekly'!C141)="","(No theme assigned)",TRIM('UX Weekly'!C141)))</f>
        <v/>
      </c>
      <c r="E141" s="147" t="str">
        <f>IF($B141="","",TRIM('UX Weekly'!F141))</f>
        <v/>
      </c>
      <c r="F141" s="147" t="str">
        <f>IF($B141="","",'UX Weekly'!G141)</f>
        <v/>
      </c>
      <c r="G141" s="148" t="str">
        <f t="array" ref="G141">IF($B141="","",IF($S141=0,"",IFERROR(MIN(IF('UX Weekly'!$H141:$CT141&lt;&gt;"",'UX Weekly'!$H$1:$CT$1)),"")))</f>
        <v/>
      </c>
      <c r="H141" s="148" t="str">
        <f t="array" ref="H141">IF($B141="","",IF($S141=0,"",IFERROR(MAX(IF('UX Weekly'!$H141:$CT141&lt;&gt;"",'UX Weekly'!$H$1:$CT$1)),"")))</f>
        <v/>
      </c>
      <c r="I141" s="149" t="str">
        <f t="shared" ca="1" si="12"/>
        <v/>
      </c>
      <c r="J141" s="149" t="str">
        <f t="shared" ca="1" si="13"/>
        <v/>
      </c>
      <c r="K141" s="147" t="str">
        <f>IF($B141="","",IFERROR(MATCH($B141,'Dev Tracker'!$D$2:$D$196,0),IF($E141="","",IFERROR(MATCH($E141,'Dev Tracker'!$E$2:$E$196,0),""))))</f>
        <v/>
      </c>
      <c r="L141" s="147" t="str">
        <f>IF($B141="","",IFERROR(MATCH($D141,'Control (Don’t Touch)'!$E$4:$E$30,0),99))</f>
        <v/>
      </c>
      <c r="M141" s="147" t="str">
        <f>IF($B141="","",IFERROR(MATCH($F141,'Control (Don’t Touch)'!$B$4:$B$30,0),99))</f>
        <v/>
      </c>
      <c r="N141" s="147" t="str">
        <f t="shared" si="14"/>
        <v/>
      </c>
      <c r="O141" s="147" t="str">
        <f>IF($B141="","",COUNTIF($N$2:$N$204,"&lt;"&amp;$N141)+1)</f>
        <v/>
      </c>
      <c r="P141" s="149" t="str">
        <f ca="1">IF($K141="","",IFERROR(DATE(IFERROR(VALUE(RIGHT(TRIM(INDEX('Dev Tracker'!$I$2:$I$196,$K141)),4)),YEAR(TODAY())),MATCH(LEFT(TRIM(INDEX('Dev Tracker'!$I$2:$I$196,$K141)),3),$U$2:$U$12,0),1),""))</f>
        <v/>
      </c>
      <c r="Q141" s="149" t="str">
        <f ca="1">IF($K141="","",IFERROR(DATE(IFERROR(VALUE(RIGHT(TRIM(INDEX('Dev Tracker'!$J$2:$J$196,$K141)),4)),YEAR(TODAY())),MATCH(LEFT(TRIM(INDEX('Dev Tracker'!$J$2:$J$196,$K141)),3),$U$2:$U$12,0),1),""))</f>
        <v/>
      </c>
      <c r="R141" s="147"/>
      <c r="S141" s="147" t="str">
        <f>IF($B141="","",COUNTA('UX Weekly'!$H141:$CT141))</f>
        <v/>
      </c>
      <c r="W141">
        <f>IF($B141="",0,COUNTIFS('UX Weekly'!$H$1:$CT$1,"&gt;="&amp;W$1,'UX Weekly'!$H$1:$CT$1,"&lt;="&amp;EOMONTH(W$1,0),'UX Weekly'!$H141:$CT141,"&lt;&gt;"))</f>
        <v>0</v>
      </c>
      <c r="X141">
        <f>IF($B141="",0,COUNTIFS('UX Weekly'!$H$1:$CT$1,"&gt;="&amp;X$1,'UX Weekly'!$H$1:$CT$1,"&lt;="&amp;EOMONTH(X$1,0),'UX Weekly'!$H141:$CT141,"&lt;&gt;"))</f>
        <v>0</v>
      </c>
      <c r="Y141">
        <f>IF($B141="",0,COUNTIFS('UX Weekly'!$H$1:$CT$1,"&gt;="&amp;Y$1,'UX Weekly'!$H$1:$CT$1,"&lt;="&amp;EOMONTH(Y$1,0),'UX Weekly'!$H141:$CT141,"&lt;&gt;"))</f>
        <v>0</v>
      </c>
      <c r="Z141">
        <f>IF($B141="",0,COUNTIFS('UX Weekly'!$H$1:$CT$1,"&gt;="&amp;Z$1,'UX Weekly'!$H$1:$CT$1,"&lt;="&amp;EOMONTH(Z$1,0),'UX Weekly'!$H141:$CT141,"&lt;&gt;"))</f>
        <v>0</v>
      </c>
      <c r="AA141">
        <f>IF($B141="",0,COUNTIFS('UX Weekly'!$H$1:$CT$1,"&gt;="&amp;AA$1,'UX Weekly'!$H$1:$CT$1,"&lt;="&amp;EOMONTH(AA$1,0),'UX Weekly'!$H141:$CT141,"&lt;&gt;"))</f>
        <v>0</v>
      </c>
      <c r="AB141">
        <f>IF($B141="",0,COUNTIFS('UX Weekly'!$H$1:$CT$1,"&gt;="&amp;AB$1,'UX Weekly'!$H$1:$CT$1,"&lt;="&amp;EOMONTH(AB$1,0),'UX Weekly'!$H141:$CT141,"&lt;&gt;"))</f>
        <v>0</v>
      </c>
      <c r="AC141">
        <f>IF($B141="",0,COUNTIFS('UX Weekly'!$H$1:$CT$1,"&gt;="&amp;AC$1,'UX Weekly'!$H$1:$CT$1,"&lt;="&amp;EOMONTH(AC$1,0),'UX Weekly'!$H141:$CT141,"&lt;&gt;"))</f>
        <v>0</v>
      </c>
      <c r="AD141">
        <f>IF($B141="",0,COUNTIFS('UX Weekly'!$H$1:$CT$1,"&gt;="&amp;AD$1,'UX Weekly'!$H$1:$CT$1,"&lt;="&amp;EOMONTH(AD$1,0),'UX Weekly'!$H141:$CT141,"&lt;&gt;"))</f>
        <v>0</v>
      </c>
      <c r="AE141">
        <f>IF($B141="",0,COUNTIFS('UX Weekly'!$H$1:$CT$1,"&gt;="&amp;AE$1,'UX Weekly'!$H$1:$CT$1,"&lt;="&amp;EOMONTH(AE$1,0),'UX Weekly'!$H141:$CT141,"&lt;&gt;"))</f>
        <v>0</v>
      </c>
      <c r="AF141">
        <f>IF($B141="",0,COUNTIFS('UX Weekly'!$H$1:$CT$1,"&gt;="&amp;AF$1,'UX Weekly'!$H$1:$CT$1,"&lt;="&amp;EOMONTH(AF$1,0),'UX Weekly'!$H141:$CT141,"&lt;&gt;"))</f>
        <v>0</v>
      </c>
      <c r="AG141">
        <f>IF($B141="",0,COUNTIFS('UX Weekly'!$H$1:$CT$1,"&gt;="&amp;AG$1,'UX Weekly'!$H$1:$CT$1,"&lt;="&amp;EOMONTH(AG$1,0),'UX Weekly'!$H141:$CT141,"&lt;&gt;"))</f>
        <v>0</v>
      </c>
      <c r="AH141">
        <f>IF($B141="",0,COUNTIFS('UX Weekly'!$H$1:$CT$1,"&gt;="&amp;AH$1,'UX Weekly'!$H$1:$CT$1,"&lt;="&amp;EOMONTH(AH$1,0),'UX Weekly'!$H141:$CT141,"&lt;&gt;"))</f>
        <v>0</v>
      </c>
      <c r="AI141">
        <f>IF($B141="",0,COUNTIFS('UX Weekly'!$H$1:$CT$1,"&gt;="&amp;AI$1,'UX Weekly'!$H$1:$CT$1,"&lt;="&amp;EOMONTH(AI$1,0),'UX Weekly'!$H141:$CT141,"&lt;&gt;"))</f>
        <v>0</v>
      </c>
      <c r="AJ141">
        <f>IF($B141="",0,COUNTIFS('UX Weekly'!$H$1:$CT$1,"&gt;="&amp;AJ$1,'UX Weekly'!$H$1:$CT$1,"&lt;="&amp;EOMONTH(AJ$1,0),'UX Weekly'!$H141:$CT141,"&lt;&gt;"))</f>
        <v>0</v>
      </c>
      <c r="AK141">
        <f>IF($B141="",0,COUNTIFS('UX Weekly'!$H$1:$CT$1,"&gt;="&amp;AK$1,'UX Weekly'!$H$1:$CT$1,"&lt;="&amp;EOMONTH(AK$1,0),'UX Weekly'!$H141:$CT141,"&lt;&gt;"))</f>
        <v>0</v>
      </c>
      <c r="AL141">
        <f>IF($B141="",0,COUNTIFS('UX Weekly'!$H$1:$CT$1,"&gt;="&amp;AL$1,'UX Weekly'!$H$1:$CT$1,"&lt;="&amp;EOMONTH(AL$1,0),'UX Weekly'!$H141:$CT141,"&lt;&gt;"))</f>
        <v>0</v>
      </c>
      <c r="AM141">
        <f>IF($B141="",0,COUNTIFS('UX Weekly'!$H$1:$CT$1,"&gt;="&amp;AM$1,'UX Weekly'!$H$1:$CT$1,"&lt;="&amp;EOMONTH(AM$1,0),'UX Weekly'!$H141:$CT141,"&lt;&gt;"))</f>
        <v>0</v>
      </c>
      <c r="AN141">
        <f>IF($B141="",0,COUNTIFS('UX Weekly'!$H$1:$CT$1,"&gt;="&amp;AN$1,'UX Weekly'!$H$1:$CT$1,"&lt;="&amp;EOMONTH(AN$1,0),'UX Weekly'!$H141:$CT141,"&lt;&gt;"))</f>
        <v>0</v>
      </c>
      <c r="AO141">
        <f>IF($B141="",0,COUNTIFS('UX Weekly'!$H$1:$CT$1,"&gt;="&amp;AO$1,'UX Weekly'!$H$1:$CT$1,"&lt;="&amp;EOMONTH(AO$1,0),'UX Weekly'!$H141:$CT141,"&lt;&gt;"))</f>
        <v>0</v>
      </c>
      <c r="AP141">
        <f>IF($B141="",0,COUNTIFS('UX Weekly'!$H$1:$CT$1,"&gt;="&amp;AP$1,'UX Weekly'!$H$1:$CT$1,"&lt;="&amp;EOMONTH(AP$1,0),'UX Weekly'!$H141:$CT141,"&lt;&gt;"))</f>
        <v>0</v>
      </c>
      <c r="AQ141">
        <f>IF($B141="",0,COUNTIFS('UX Weekly'!$H$1:$CT$1,"&gt;="&amp;AQ$1,'UX Weekly'!$H$1:$CT$1,"&lt;="&amp;EOMONTH(AQ$1,0),'UX Weekly'!$H141:$CT141,"&lt;&gt;"))</f>
        <v>0</v>
      </c>
      <c r="AR141">
        <f>IF($B141="",0,COUNTIFS('UX Weekly'!$H$1:$CT$1,"&gt;="&amp;AR$1,'UX Weekly'!$H$1:$CT$1,"&lt;="&amp;EOMONTH(AR$1,0),'UX Weekly'!$H141:$CT141,"&lt;&gt;"))</f>
        <v>0</v>
      </c>
      <c r="AS141">
        <f>IF($B141="",0,COUNTIFS('UX Weekly'!$H$1:$CT$1,"&gt;="&amp;AS$1,'UX Weekly'!$H$1:$CT$1,"&lt;="&amp;EOMONTH(AS$1,0),'UX Weekly'!$H141:$CT141,"&lt;&gt;"))</f>
        <v>0</v>
      </c>
      <c r="AT141">
        <f>IF($B141="",0,COUNTIFS('UX Weekly'!$H$1:$CT$1,"&gt;="&amp;AT$1,'UX Weekly'!$H$1:$CT$1,"&lt;="&amp;EOMONTH(AT$1,0),'UX Weekly'!$H141:$CT141,"&lt;&gt;"))</f>
        <v>0</v>
      </c>
    </row>
    <row r="142" spans="1:46" x14ac:dyDescent="0.2">
      <c r="A142" s="147">
        <v>143</v>
      </c>
      <c r="B142" s="147" t="str">
        <f>IF(TRIM('UX Weekly'!E142)="","",TRIM('UX Weekly'!E142))</f>
        <v/>
      </c>
      <c r="C142" s="147" t="str">
        <f>IF($B142="","",'UX Weekly'!B142)</f>
        <v/>
      </c>
      <c r="D142" s="147" t="str">
        <f>IF($B142="","",IF(TRIM('UX Weekly'!C142)="","(No theme assigned)",TRIM('UX Weekly'!C142)))</f>
        <v/>
      </c>
      <c r="E142" s="147" t="str">
        <f>IF($B142="","",TRIM('UX Weekly'!F142))</f>
        <v/>
      </c>
      <c r="F142" s="147" t="str">
        <f>IF($B142="","",'UX Weekly'!G142)</f>
        <v/>
      </c>
      <c r="G142" s="148" t="str">
        <f t="array" ref="G142">IF($B142="","",IF($S142=0,"",IFERROR(MIN(IF('UX Weekly'!$H142:$CT142&lt;&gt;"",'UX Weekly'!$H$1:$CT$1)),"")))</f>
        <v/>
      </c>
      <c r="H142" s="148" t="str">
        <f t="array" ref="H142">IF($B142="","",IF($S142=0,"",IFERROR(MAX(IF('UX Weekly'!$H142:$CT142&lt;&gt;"",'UX Weekly'!$H$1:$CT$1)),"")))</f>
        <v/>
      </c>
      <c r="I142" s="149" t="str">
        <f t="shared" ca="1" si="12"/>
        <v/>
      </c>
      <c r="J142" s="149" t="str">
        <f t="shared" ca="1" si="13"/>
        <v/>
      </c>
      <c r="K142" s="147" t="str">
        <f>IF($B142="","",IFERROR(MATCH($B142,'Dev Tracker'!$D$2:$D$196,0),IF($E142="","",IFERROR(MATCH($E142,'Dev Tracker'!$E$2:$E$196,0),""))))</f>
        <v/>
      </c>
      <c r="L142" s="147" t="str">
        <f>IF($B142="","",IFERROR(MATCH($D142,'Control (Don’t Touch)'!$E$4:$E$30,0),99))</f>
        <v/>
      </c>
      <c r="M142" s="147" t="str">
        <f>IF($B142="","",IFERROR(MATCH($F142,'Control (Don’t Touch)'!$B$4:$B$30,0),99))</f>
        <v/>
      </c>
      <c r="N142" s="147" t="str">
        <f t="shared" si="14"/>
        <v/>
      </c>
      <c r="O142" s="147" t="str">
        <f>IF($B142="","",COUNTIF($N$2:$N$204,"&lt;"&amp;$N142)+1)</f>
        <v/>
      </c>
      <c r="P142" s="149" t="str">
        <f ca="1">IF($K142="","",IFERROR(DATE(IFERROR(VALUE(RIGHT(TRIM(INDEX('Dev Tracker'!$I$2:$I$196,$K142)),4)),YEAR(TODAY())),MATCH(LEFT(TRIM(INDEX('Dev Tracker'!$I$2:$I$196,$K142)),3),$U$2:$U$12,0),1),""))</f>
        <v/>
      </c>
      <c r="Q142" s="149" t="str">
        <f ca="1">IF($K142="","",IFERROR(DATE(IFERROR(VALUE(RIGHT(TRIM(INDEX('Dev Tracker'!$J$2:$J$196,$K142)),4)),YEAR(TODAY())),MATCH(LEFT(TRIM(INDEX('Dev Tracker'!$J$2:$J$196,$K142)),3),$U$2:$U$12,0),1),""))</f>
        <v/>
      </c>
      <c r="R142" s="147"/>
      <c r="S142" s="147" t="str">
        <f>IF($B142="","",COUNTA('UX Weekly'!$H142:$CT142))</f>
        <v/>
      </c>
      <c r="W142">
        <f>IF($B142="",0,COUNTIFS('UX Weekly'!$H$1:$CT$1,"&gt;="&amp;W$1,'UX Weekly'!$H$1:$CT$1,"&lt;="&amp;EOMONTH(W$1,0),'UX Weekly'!$H142:$CT142,"&lt;&gt;"))</f>
        <v>0</v>
      </c>
      <c r="X142">
        <f>IF($B142="",0,COUNTIFS('UX Weekly'!$H$1:$CT$1,"&gt;="&amp;X$1,'UX Weekly'!$H$1:$CT$1,"&lt;="&amp;EOMONTH(X$1,0),'UX Weekly'!$H142:$CT142,"&lt;&gt;"))</f>
        <v>0</v>
      </c>
      <c r="Y142">
        <f>IF($B142="",0,COUNTIFS('UX Weekly'!$H$1:$CT$1,"&gt;="&amp;Y$1,'UX Weekly'!$H$1:$CT$1,"&lt;="&amp;EOMONTH(Y$1,0),'UX Weekly'!$H142:$CT142,"&lt;&gt;"))</f>
        <v>0</v>
      </c>
      <c r="Z142">
        <f>IF($B142="",0,COUNTIFS('UX Weekly'!$H$1:$CT$1,"&gt;="&amp;Z$1,'UX Weekly'!$H$1:$CT$1,"&lt;="&amp;EOMONTH(Z$1,0),'UX Weekly'!$H142:$CT142,"&lt;&gt;"))</f>
        <v>0</v>
      </c>
      <c r="AA142">
        <f>IF($B142="",0,COUNTIFS('UX Weekly'!$H$1:$CT$1,"&gt;="&amp;AA$1,'UX Weekly'!$H$1:$CT$1,"&lt;="&amp;EOMONTH(AA$1,0),'UX Weekly'!$H142:$CT142,"&lt;&gt;"))</f>
        <v>0</v>
      </c>
      <c r="AB142">
        <f>IF($B142="",0,COUNTIFS('UX Weekly'!$H$1:$CT$1,"&gt;="&amp;AB$1,'UX Weekly'!$H$1:$CT$1,"&lt;="&amp;EOMONTH(AB$1,0),'UX Weekly'!$H142:$CT142,"&lt;&gt;"))</f>
        <v>0</v>
      </c>
      <c r="AC142">
        <f>IF($B142="",0,COUNTIFS('UX Weekly'!$H$1:$CT$1,"&gt;="&amp;AC$1,'UX Weekly'!$H$1:$CT$1,"&lt;="&amp;EOMONTH(AC$1,0),'UX Weekly'!$H142:$CT142,"&lt;&gt;"))</f>
        <v>0</v>
      </c>
      <c r="AD142">
        <f>IF($B142="",0,COUNTIFS('UX Weekly'!$H$1:$CT$1,"&gt;="&amp;AD$1,'UX Weekly'!$H$1:$CT$1,"&lt;="&amp;EOMONTH(AD$1,0),'UX Weekly'!$H142:$CT142,"&lt;&gt;"))</f>
        <v>0</v>
      </c>
      <c r="AE142">
        <f>IF($B142="",0,COUNTIFS('UX Weekly'!$H$1:$CT$1,"&gt;="&amp;AE$1,'UX Weekly'!$H$1:$CT$1,"&lt;="&amp;EOMONTH(AE$1,0),'UX Weekly'!$H142:$CT142,"&lt;&gt;"))</f>
        <v>0</v>
      </c>
      <c r="AF142">
        <f>IF($B142="",0,COUNTIFS('UX Weekly'!$H$1:$CT$1,"&gt;="&amp;AF$1,'UX Weekly'!$H$1:$CT$1,"&lt;="&amp;EOMONTH(AF$1,0),'UX Weekly'!$H142:$CT142,"&lt;&gt;"))</f>
        <v>0</v>
      </c>
      <c r="AG142">
        <f>IF($B142="",0,COUNTIFS('UX Weekly'!$H$1:$CT$1,"&gt;="&amp;AG$1,'UX Weekly'!$H$1:$CT$1,"&lt;="&amp;EOMONTH(AG$1,0),'UX Weekly'!$H142:$CT142,"&lt;&gt;"))</f>
        <v>0</v>
      </c>
      <c r="AH142">
        <f>IF($B142="",0,COUNTIFS('UX Weekly'!$H$1:$CT$1,"&gt;="&amp;AH$1,'UX Weekly'!$H$1:$CT$1,"&lt;="&amp;EOMONTH(AH$1,0),'UX Weekly'!$H142:$CT142,"&lt;&gt;"))</f>
        <v>0</v>
      </c>
      <c r="AI142">
        <f>IF($B142="",0,COUNTIFS('UX Weekly'!$H$1:$CT$1,"&gt;="&amp;AI$1,'UX Weekly'!$H$1:$CT$1,"&lt;="&amp;EOMONTH(AI$1,0),'UX Weekly'!$H142:$CT142,"&lt;&gt;"))</f>
        <v>0</v>
      </c>
      <c r="AJ142">
        <f>IF($B142="",0,COUNTIFS('UX Weekly'!$H$1:$CT$1,"&gt;="&amp;AJ$1,'UX Weekly'!$H$1:$CT$1,"&lt;="&amp;EOMONTH(AJ$1,0),'UX Weekly'!$H142:$CT142,"&lt;&gt;"))</f>
        <v>0</v>
      </c>
      <c r="AK142">
        <f>IF($B142="",0,COUNTIFS('UX Weekly'!$H$1:$CT$1,"&gt;="&amp;AK$1,'UX Weekly'!$H$1:$CT$1,"&lt;="&amp;EOMONTH(AK$1,0),'UX Weekly'!$H142:$CT142,"&lt;&gt;"))</f>
        <v>0</v>
      </c>
      <c r="AL142">
        <f>IF($B142="",0,COUNTIFS('UX Weekly'!$H$1:$CT$1,"&gt;="&amp;AL$1,'UX Weekly'!$H$1:$CT$1,"&lt;="&amp;EOMONTH(AL$1,0),'UX Weekly'!$H142:$CT142,"&lt;&gt;"))</f>
        <v>0</v>
      </c>
      <c r="AM142">
        <f>IF($B142="",0,COUNTIFS('UX Weekly'!$H$1:$CT$1,"&gt;="&amp;AM$1,'UX Weekly'!$H$1:$CT$1,"&lt;="&amp;EOMONTH(AM$1,0),'UX Weekly'!$H142:$CT142,"&lt;&gt;"))</f>
        <v>0</v>
      </c>
      <c r="AN142">
        <f>IF($B142="",0,COUNTIFS('UX Weekly'!$H$1:$CT$1,"&gt;="&amp;AN$1,'UX Weekly'!$H$1:$CT$1,"&lt;="&amp;EOMONTH(AN$1,0),'UX Weekly'!$H142:$CT142,"&lt;&gt;"))</f>
        <v>0</v>
      </c>
      <c r="AO142">
        <f>IF($B142="",0,COUNTIFS('UX Weekly'!$H$1:$CT$1,"&gt;="&amp;AO$1,'UX Weekly'!$H$1:$CT$1,"&lt;="&amp;EOMONTH(AO$1,0),'UX Weekly'!$H142:$CT142,"&lt;&gt;"))</f>
        <v>0</v>
      </c>
      <c r="AP142">
        <f>IF($B142="",0,COUNTIFS('UX Weekly'!$H$1:$CT$1,"&gt;="&amp;AP$1,'UX Weekly'!$H$1:$CT$1,"&lt;="&amp;EOMONTH(AP$1,0),'UX Weekly'!$H142:$CT142,"&lt;&gt;"))</f>
        <v>0</v>
      </c>
      <c r="AQ142">
        <f>IF($B142="",0,COUNTIFS('UX Weekly'!$H$1:$CT$1,"&gt;="&amp;AQ$1,'UX Weekly'!$H$1:$CT$1,"&lt;="&amp;EOMONTH(AQ$1,0),'UX Weekly'!$H142:$CT142,"&lt;&gt;"))</f>
        <v>0</v>
      </c>
      <c r="AR142">
        <f>IF($B142="",0,COUNTIFS('UX Weekly'!$H$1:$CT$1,"&gt;="&amp;AR$1,'UX Weekly'!$H$1:$CT$1,"&lt;="&amp;EOMONTH(AR$1,0),'UX Weekly'!$H142:$CT142,"&lt;&gt;"))</f>
        <v>0</v>
      </c>
      <c r="AS142">
        <f>IF($B142="",0,COUNTIFS('UX Weekly'!$H$1:$CT$1,"&gt;="&amp;AS$1,'UX Weekly'!$H$1:$CT$1,"&lt;="&amp;EOMONTH(AS$1,0),'UX Weekly'!$H142:$CT142,"&lt;&gt;"))</f>
        <v>0</v>
      </c>
      <c r="AT142">
        <f>IF($B142="",0,COUNTIFS('UX Weekly'!$H$1:$CT$1,"&gt;="&amp;AT$1,'UX Weekly'!$H$1:$CT$1,"&lt;="&amp;EOMONTH(AT$1,0),'UX Weekly'!$H142:$CT142,"&lt;&gt;"))</f>
        <v>0</v>
      </c>
    </row>
    <row r="143" spans="1:46" x14ac:dyDescent="0.2">
      <c r="A143" s="147">
        <v>144</v>
      </c>
      <c r="B143" s="147" t="str">
        <f>IF(TRIM('UX Weekly'!E143)="","",TRIM('UX Weekly'!E143))</f>
        <v/>
      </c>
      <c r="C143" s="147" t="str">
        <f>IF($B143="","",'UX Weekly'!B143)</f>
        <v/>
      </c>
      <c r="D143" s="147" t="str">
        <f>IF($B143="","",IF(TRIM('UX Weekly'!C143)="","(No theme assigned)",TRIM('UX Weekly'!C143)))</f>
        <v/>
      </c>
      <c r="E143" s="147" t="str">
        <f>IF($B143="","",TRIM('UX Weekly'!F143))</f>
        <v/>
      </c>
      <c r="F143" s="147" t="str">
        <f>IF($B143="","",'UX Weekly'!G143)</f>
        <v/>
      </c>
      <c r="G143" s="148" t="str">
        <f t="array" ref="G143">IF($B143="","",IF($S143=0,"",IFERROR(MIN(IF('UX Weekly'!$H143:$CT143&lt;&gt;"",'UX Weekly'!$H$1:$CT$1)),"")))</f>
        <v/>
      </c>
      <c r="H143" s="148" t="str">
        <f t="array" ref="H143">IF($B143="","",IF($S143=0,"",IFERROR(MAX(IF('UX Weekly'!$H143:$CT143&lt;&gt;"",'UX Weekly'!$H$1:$CT$1)),"")))</f>
        <v/>
      </c>
      <c r="I143" s="149" t="str">
        <f t="shared" ca="1" si="12"/>
        <v/>
      </c>
      <c r="J143" s="149" t="str">
        <f t="shared" ca="1" si="13"/>
        <v/>
      </c>
      <c r="K143" s="147" t="str">
        <f>IF($B143="","",IFERROR(MATCH($B143,'Dev Tracker'!$D$2:$D$196,0),IF($E143="","",IFERROR(MATCH($E143,'Dev Tracker'!$E$2:$E$196,0),""))))</f>
        <v/>
      </c>
      <c r="L143" s="147" t="str">
        <f>IF($B143="","",IFERROR(MATCH($D143,'Control (Don’t Touch)'!$E$4:$E$30,0),99))</f>
        <v/>
      </c>
      <c r="M143" s="147" t="str">
        <f>IF($B143="","",IFERROR(MATCH($F143,'Control (Don’t Touch)'!$B$4:$B$30,0),99))</f>
        <v/>
      </c>
      <c r="N143" s="147" t="str">
        <f t="shared" si="14"/>
        <v/>
      </c>
      <c r="O143" s="147" t="str">
        <f>IF($B143="","",COUNTIF($N$2:$N$204,"&lt;"&amp;$N143)+1)</f>
        <v/>
      </c>
      <c r="P143" s="149" t="str">
        <f ca="1">IF($K143="","",IFERROR(DATE(IFERROR(VALUE(RIGHT(TRIM(INDEX('Dev Tracker'!$I$2:$I$196,$K143)),4)),YEAR(TODAY())),MATCH(LEFT(TRIM(INDEX('Dev Tracker'!$I$2:$I$196,$K143)),3),$U$2:$U$12,0),1),""))</f>
        <v/>
      </c>
      <c r="Q143" s="149" t="str">
        <f ca="1">IF($K143="","",IFERROR(DATE(IFERROR(VALUE(RIGHT(TRIM(INDEX('Dev Tracker'!$J$2:$J$196,$K143)),4)),YEAR(TODAY())),MATCH(LEFT(TRIM(INDEX('Dev Tracker'!$J$2:$J$196,$K143)),3),$U$2:$U$12,0),1),""))</f>
        <v/>
      </c>
      <c r="R143" s="147"/>
      <c r="S143" s="147" t="str">
        <f>IF($B143="","",COUNTA('UX Weekly'!$H143:$CT143))</f>
        <v/>
      </c>
      <c r="W143">
        <f>IF($B143="",0,COUNTIFS('UX Weekly'!$H$1:$CT$1,"&gt;="&amp;W$1,'UX Weekly'!$H$1:$CT$1,"&lt;="&amp;EOMONTH(W$1,0),'UX Weekly'!$H143:$CT143,"&lt;&gt;"))</f>
        <v>0</v>
      </c>
      <c r="X143">
        <f>IF($B143="",0,COUNTIFS('UX Weekly'!$H$1:$CT$1,"&gt;="&amp;X$1,'UX Weekly'!$H$1:$CT$1,"&lt;="&amp;EOMONTH(X$1,0),'UX Weekly'!$H143:$CT143,"&lt;&gt;"))</f>
        <v>0</v>
      </c>
      <c r="Y143">
        <f>IF($B143="",0,COUNTIFS('UX Weekly'!$H$1:$CT$1,"&gt;="&amp;Y$1,'UX Weekly'!$H$1:$CT$1,"&lt;="&amp;EOMONTH(Y$1,0),'UX Weekly'!$H143:$CT143,"&lt;&gt;"))</f>
        <v>0</v>
      </c>
      <c r="Z143">
        <f>IF($B143="",0,COUNTIFS('UX Weekly'!$H$1:$CT$1,"&gt;="&amp;Z$1,'UX Weekly'!$H$1:$CT$1,"&lt;="&amp;EOMONTH(Z$1,0),'UX Weekly'!$H143:$CT143,"&lt;&gt;"))</f>
        <v>0</v>
      </c>
      <c r="AA143">
        <f>IF($B143="",0,COUNTIFS('UX Weekly'!$H$1:$CT$1,"&gt;="&amp;AA$1,'UX Weekly'!$H$1:$CT$1,"&lt;="&amp;EOMONTH(AA$1,0),'UX Weekly'!$H143:$CT143,"&lt;&gt;"))</f>
        <v>0</v>
      </c>
      <c r="AB143">
        <f>IF($B143="",0,COUNTIFS('UX Weekly'!$H$1:$CT$1,"&gt;="&amp;AB$1,'UX Weekly'!$H$1:$CT$1,"&lt;="&amp;EOMONTH(AB$1,0),'UX Weekly'!$H143:$CT143,"&lt;&gt;"))</f>
        <v>0</v>
      </c>
      <c r="AC143">
        <f>IF($B143="",0,COUNTIFS('UX Weekly'!$H$1:$CT$1,"&gt;="&amp;AC$1,'UX Weekly'!$H$1:$CT$1,"&lt;="&amp;EOMONTH(AC$1,0),'UX Weekly'!$H143:$CT143,"&lt;&gt;"))</f>
        <v>0</v>
      </c>
      <c r="AD143">
        <f>IF($B143="",0,COUNTIFS('UX Weekly'!$H$1:$CT$1,"&gt;="&amp;AD$1,'UX Weekly'!$H$1:$CT$1,"&lt;="&amp;EOMONTH(AD$1,0),'UX Weekly'!$H143:$CT143,"&lt;&gt;"))</f>
        <v>0</v>
      </c>
      <c r="AE143">
        <f>IF($B143="",0,COUNTIFS('UX Weekly'!$H$1:$CT$1,"&gt;="&amp;AE$1,'UX Weekly'!$H$1:$CT$1,"&lt;="&amp;EOMONTH(AE$1,0),'UX Weekly'!$H143:$CT143,"&lt;&gt;"))</f>
        <v>0</v>
      </c>
      <c r="AF143">
        <f>IF($B143="",0,COUNTIFS('UX Weekly'!$H$1:$CT$1,"&gt;="&amp;AF$1,'UX Weekly'!$H$1:$CT$1,"&lt;="&amp;EOMONTH(AF$1,0),'UX Weekly'!$H143:$CT143,"&lt;&gt;"))</f>
        <v>0</v>
      </c>
      <c r="AG143">
        <f>IF($B143="",0,COUNTIFS('UX Weekly'!$H$1:$CT$1,"&gt;="&amp;AG$1,'UX Weekly'!$H$1:$CT$1,"&lt;="&amp;EOMONTH(AG$1,0),'UX Weekly'!$H143:$CT143,"&lt;&gt;"))</f>
        <v>0</v>
      </c>
      <c r="AH143">
        <f>IF($B143="",0,COUNTIFS('UX Weekly'!$H$1:$CT$1,"&gt;="&amp;AH$1,'UX Weekly'!$H$1:$CT$1,"&lt;="&amp;EOMONTH(AH$1,0),'UX Weekly'!$H143:$CT143,"&lt;&gt;"))</f>
        <v>0</v>
      </c>
      <c r="AI143">
        <f>IF($B143="",0,COUNTIFS('UX Weekly'!$H$1:$CT$1,"&gt;="&amp;AI$1,'UX Weekly'!$H$1:$CT$1,"&lt;="&amp;EOMONTH(AI$1,0),'UX Weekly'!$H143:$CT143,"&lt;&gt;"))</f>
        <v>0</v>
      </c>
      <c r="AJ143">
        <f>IF($B143="",0,COUNTIFS('UX Weekly'!$H$1:$CT$1,"&gt;="&amp;AJ$1,'UX Weekly'!$H$1:$CT$1,"&lt;="&amp;EOMONTH(AJ$1,0),'UX Weekly'!$H143:$CT143,"&lt;&gt;"))</f>
        <v>0</v>
      </c>
      <c r="AK143">
        <f>IF($B143="",0,COUNTIFS('UX Weekly'!$H$1:$CT$1,"&gt;="&amp;AK$1,'UX Weekly'!$H$1:$CT$1,"&lt;="&amp;EOMONTH(AK$1,0),'UX Weekly'!$H143:$CT143,"&lt;&gt;"))</f>
        <v>0</v>
      </c>
      <c r="AL143">
        <f>IF($B143="",0,COUNTIFS('UX Weekly'!$H$1:$CT$1,"&gt;="&amp;AL$1,'UX Weekly'!$H$1:$CT$1,"&lt;="&amp;EOMONTH(AL$1,0),'UX Weekly'!$H143:$CT143,"&lt;&gt;"))</f>
        <v>0</v>
      </c>
      <c r="AM143">
        <f>IF($B143="",0,COUNTIFS('UX Weekly'!$H$1:$CT$1,"&gt;="&amp;AM$1,'UX Weekly'!$H$1:$CT$1,"&lt;="&amp;EOMONTH(AM$1,0),'UX Weekly'!$H143:$CT143,"&lt;&gt;"))</f>
        <v>0</v>
      </c>
      <c r="AN143">
        <f>IF($B143="",0,COUNTIFS('UX Weekly'!$H$1:$CT$1,"&gt;="&amp;AN$1,'UX Weekly'!$H$1:$CT$1,"&lt;="&amp;EOMONTH(AN$1,0),'UX Weekly'!$H143:$CT143,"&lt;&gt;"))</f>
        <v>0</v>
      </c>
      <c r="AO143">
        <f>IF($B143="",0,COUNTIFS('UX Weekly'!$H$1:$CT$1,"&gt;="&amp;AO$1,'UX Weekly'!$H$1:$CT$1,"&lt;="&amp;EOMONTH(AO$1,0),'UX Weekly'!$H143:$CT143,"&lt;&gt;"))</f>
        <v>0</v>
      </c>
      <c r="AP143">
        <f>IF($B143="",0,COUNTIFS('UX Weekly'!$H$1:$CT$1,"&gt;="&amp;AP$1,'UX Weekly'!$H$1:$CT$1,"&lt;="&amp;EOMONTH(AP$1,0),'UX Weekly'!$H143:$CT143,"&lt;&gt;"))</f>
        <v>0</v>
      </c>
      <c r="AQ143">
        <f>IF($B143="",0,COUNTIFS('UX Weekly'!$H$1:$CT$1,"&gt;="&amp;AQ$1,'UX Weekly'!$H$1:$CT$1,"&lt;="&amp;EOMONTH(AQ$1,0),'UX Weekly'!$H143:$CT143,"&lt;&gt;"))</f>
        <v>0</v>
      </c>
      <c r="AR143">
        <f>IF($B143="",0,COUNTIFS('UX Weekly'!$H$1:$CT$1,"&gt;="&amp;AR$1,'UX Weekly'!$H$1:$CT$1,"&lt;="&amp;EOMONTH(AR$1,0),'UX Weekly'!$H143:$CT143,"&lt;&gt;"))</f>
        <v>0</v>
      </c>
      <c r="AS143">
        <f>IF($B143="",0,COUNTIFS('UX Weekly'!$H$1:$CT$1,"&gt;="&amp;AS$1,'UX Weekly'!$H$1:$CT$1,"&lt;="&amp;EOMONTH(AS$1,0),'UX Weekly'!$H143:$CT143,"&lt;&gt;"))</f>
        <v>0</v>
      </c>
      <c r="AT143">
        <f>IF($B143="",0,COUNTIFS('UX Weekly'!$H$1:$CT$1,"&gt;="&amp;AT$1,'UX Weekly'!$H$1:$CT$1,"&lt;="&amp;EOMONTH(AT$1,0),'UX Weekly'!$H143:$CT143,"&lt;&gt;"))</f>
        <v>0</v>
      </c>
    </row>
    <row r="144" spans="1:46" x14ac:dyDescent="0.2">
      <c r="A144" s="147">
        <v>145</v>
      </c>
      <c r="B144" s="147" t="str">
        <f>IF(TRIM('UX Weekly'!E144)="","",TRIM('UX Weekly'!E144))</f>
        <v/>
      </c>
      <c r="C144" s="147" t="str">
        <f>IF($B144="","",'UX Weekly'!B144)</f>
        <v/>
      </c>
      <c r="D144" s="147" t="str">
        <f>IF($B144="","",IF(TRIM('UX Weekly'!C144)="","(No theme assigned)",TRIM('UX Weekly'!C144)))</f>
        <v/>
      </c>
      <c r="E144" s="147" t="str">
        <f>IF($B144="","",TRIM('UX Weekly'!F144))</f>
        <v/>
      </c>
      <c r="F144" s="147" t="str">
        <f>IF($B144="","",'UX Weekly'!G144)</f>
        <v/>
      </c>
      <c r="G144" s="148" t="str">
        <f t="array" ref="G144">IF($B144="","",IF($S144=0,"",IFERROR(MIN(IF('UX Weekly'!$H144:$CT144&lt;&gt;"",'UX Weekly'!$H$1:$CT$1)),"")))</f>
        <v/>
      </c>
      <c r="H144" s="148" t="str">
        <f t="array" ref="H144">IF($B144="","",IF($S144=0,"",IFERROR(MAX(IF('UX Weekly'!$H144:$CT144&lt;&gt;"",'UX Weekly'!$H$1:$CT$1)),"")))</f>
        <v/>
      </c>
      <c r="I144" s="149" t="str">
        <f t="shared" ca="1" si="12"/>
        <v/>
      </c>
      <c r="J144" s="149" t="str">
        <f t="shared" ca="1" si="13"/>
        <v/>
      </c>
      <c r="K144" s="147" t="str">
        <f>IF($B144="","",IFERROR(MATCH($B144,'Dev Tracker'!$D$2:$D$196,0),IF($E144="","",IFERROR(MATCH($E144,'Dev Tracker'!$E$2:$E$196,0),""))))</f>
        <v/>
      </c>
      <c r="L144" s="147" t="str">
        <f>IF($B144="","",IFERROR(MATCH($D144,'Control (Don’t Touch)'!$E$4:$E$30,0),99))</f>
        <v/>
      </c>
      <c r="M144" s="147" t="str">
        <f>IF($B144="","",IFERROR(MATCH($F144,'Control (Don’t Touch)'!$B$4:$B$30,0),99))</f>
        <v/>
      </c>
      <c r="N144" s="147" t="str">
        <f t="shared" si="14"/>
        <v/>
      </c>
      <c r="O144" s="147" t="str">
        <f>IF($B144="","",COUNTIF($N$2:$N$204,"&lt;"&amp;$N144)+1)</f>
        <v/>
      </c>
      <c r="P144" s="149" t="str">
        <f ca="1">IF($K144="","",IFERROR(DATE(IFERROR(VALUE(RIGHT(TRIM(INDEX('Dev Tracker'!$I$2:$I$196,$K144)),4)),YEAR(TODAY())),MATCH(LEFT(TRIM(INDEX('Dev Tracker'!$I$2:$I$196,$K144)),3),$U$2:$U$12,0),1),""))</f>
        <v/>
      </c>
      <c r="Q144" s="149" t="str">
        <f ca="1">IF($K144="","",IFERROR(DATE(IFERROR(VALUE(RIGHT(TRIM(INDEX('Dev Tracker'!$J$2:$J$196,$K144)),4)),YEAR(TODAY())),MATCH(LEFT(TRIM(INDEX('Dev Tracker'!$J$2:$J$196,$K144)),3),$U$2:$U$12,0),1),""))</f>
        <v/>
      </c>
      <c r="R144" s="147"/>
      <c r="S144" s="147" t="str">
        <f>IF($B144="","",COUNTA('UX Weekly'!$H144:$CT144))</f>
        <v/>
      </c>
      <c r="W144">
        <f>IF($B144="",0,COUNTIFS('UX Weekly'!$H$1:$CT$1,"&gt;="&amp;W$1,'UX Weekly'!$H$1:$CT$1,"&lt;="&amp;EOMONTH(W$1,0),'UX Weekly'!$H144:$CT144,"&lt;&gt;"))</f>
        <v>0</v>
      </c>
      <c r="X144">
        <f>IF($B144="",0,COUNTIFS('UX Weekly'!$H$1:$CT$1,"&gt;="&amp;X$1,'UX Weekly'!$H$1:$CT$1,"&lt;="&amp;EOMONTH(X$1,0),'UX Weekly'!$H144:$CT144,"&lt;&gt;"))</f>
        <v>0</v>
      </c>
      <c r="Y144">
        <f>IF($B144="",0,COUNTIFS('UX Weekly'!$H$1:$CT$1,"&gt;="&amp;Y$1,'UX Weekly'!$H$1:$CT$1,"&lt;="&amp;EOMONTH(Y$1,0),'UX Weekly'!$H144:$CT144,"&lt;&gt;"))</f>
        <v>0</v>
      </c>
      <c r="Z144">
        <f>IF($B144="",0,COUNTIFS('UX Weekly'!$H$1:$CT$1,"&gt;="&amp;Z$1,'UX Weekly'!$H$1:$CT$1,"&lt;="&amp;EOMONTH(Z$1,0),'UX Weekly'!$H144:$CT144,"&lt;&gt;"))</f>
        <v>0</v>
      </c>
      <c r="AA144">
        <f>IF($B144="",0,COUNTIFS('UX Weekly'!$H$1:$CT$1,"&gt;="&amp;AA$1,'UX Weekly'!$H$1:$CT$1,"&lt;="&amp;EOMONTH(AA$1,0),'UX Weekly'!$H144:$CT144,"&lt;&gt;"))</f>
        <v>0</v>
      </c>
      <c r="AB144">
        <f>IF($B144="",0,COUNTIFS('UX Weekly'!$H$1:$CT$1,"&gt;="&amp;AB$1,'UX Weekly'!$H$1:$CT$1,"&lt;="&amp;EOMONTH(AB$1,0),'UX Weekly'!$H144:$CT144,"&lt;&gt;"))</f>
        <v>0</v>
      </c>
      <c r="AC144">
        <f>IF($B144="",0,COUNTIFS('UX Weekly'!$H$1:$CT$1,"&gt;="&amp;AC$1,'UX Weekly'!$H$1:$CT$1,"&lt;="&amp;EOMONTH(AC$1,0),'UX Weekly'!$H144:$CT144,"&lt;&gt;"))</f>
        <v>0</v>
      </c>
      <c r="AD144">
        <f>IF($B144="",0,COUNTIFS('UX Weekly'!$H$1:$CT$1,"&gt;="&amp;AD$1,'UX Weekly'!$H$1:$CT$1,"&lt;="&amp;EOMONTH(AD$1,0),'UX Weekly'!$H144:$CT144,"&lt;&gt;"))</f>
        <v>0</v>
      </c>
      <c r="AE144">
        <f>IF($B144="",0,COUNTIFS('UX Weekly'!$H$1:$CT$1,"&gt;="&amp;AE$1,'UX Weekly'!$H$1:$CT$1,"&lt;="&amp;EOMONTH(AE$1,0),'UX Weekly'!$H144:$CT144,"&lt;&gt;"))</f>
        <v>0</v>
      </c>
      <c r="AF144">
        <f>IF($B144="",0,COUNTIFS('UX Weekly'!$H$1:$CT$1,"&gt;="&amp;AF$1,'UX Weekly'!$H$1:$CT$1,"&lt;="&amp;EOMONTH(AF$1,0),'UX Weekly'!$H144:$CT144,"&lt;&gt;"))</f>
        <v>0</v>
      </c>
      <c r="AG144">
        <f>IF($B144="",0,COUNTIFS('UX Weekly'!$H$1:$CT$1,"&gt;="&amp;AG$1,'UX Weekly'!$H$1:$CT$1,"&lt;="&amp;EOMONTH(AG$1,0),'UX Weekly'!$H144:$CT144,"&lt;&gt;"))</f>
        <v>0</v>
      </c>
      <c r="AH144">
        <f>IF($B144="",0,COUNTIFS('UX Weekly'!$H$1:$CT$1,"&gt;="&amp;AH$1,'UX Weekly'!$H$1:$CT$1,"&lt;="&amp;EOMONTH(AH$1,0),'UX Weekly'!$H144:$CT144,"&lt;&gt;"))</f>
        <v>0</v>
      </c>
      <c r="AI144">
        <f>IF($B144="",0,COUNTIFS('UX Weekly'!$H$1:$CT$1,"&gt;="&amp;AI$1,'UX Weekly'!$H$1:$CT$1,"&lt;="&amp;EOMONTH(AI$1,0),'UX Weekly'!$H144:$CT144,"&lt;&gt;"))</f>
        <v>0</v>
      </c>
      <c r="AJ144">
        <f>IF($B144="",0,COUNTIFS('UX Weekly'!$H$1:$CT$1,"&gt;="&amp;AJ$1,'UX Weekly'!$H$1:$CT$1,"&lt;="&amp;EOMONTH(AJ$1,0),'UX Weekly'!$H144:$CT144,"&lt;&gt;"))</f>
        <v>0</v>
      </c>
      <c r="AK144">
        <f>IF($B144="",0,COUNTIFS('UX Weekly'!$H$1:$CT$1,"&gt;="&amp;AK$1,'UX Weekly'!$H$1:$CT$1,"&lt;="&amp;EOMONTH(AK$1,0),'UX Weekly'!$H144:$CT144,"&lt;&gt;"))</f>
        <v>0</v>
      </c>
      <c r="AL144">
        <f>IF($B144="",0,COUNTIFS('UX Weekly'!$H$1:$CT$1,"&gt;="&amp;AL$1,'UX Weekly'!$H$1:$CT$1,"&lt;="&amp;EOMONTH(AL$1,0),'UX Weekly'!$H144:$CT144,"&lt;&gt;"))</f>
        <v>0</v>
      </c>
      <c r="AM144">
        <f>IF($B144="",0,COUNTIFS('UX Weekly'!$H$1:$CT$1,"&gt;="&amp;AM$1,'UX Weekly'!$H$1:$CT$1,"&lt;="&amp;EOMONTH(AM$1,0),'UX Weekly'!$H144:$CT144,"&lt;&gt;"))</f>
        <v>0</v>
      </c>
      <c r="AN144">
        <f>IF($B144="",0,COUNTIFS('UX Weekly'!$H$1:$CT$1,"&gt;="&amp;AN$1,'UX Weekly'!$H$1:$CT$1,"&lt;="&amp;EOMONTH(AN$1,0),'UX Weekly'!$H144:$CT144,"&lt;&gt;"))</f>
        <v>0</v>
      </c>
      <c r="AO144">
        <f>IF($B144="",0,COUNTIFS('UX Weekly'!$H$1:$CT$1,"&gt;="&amp;AO$1,'UX Weekly'!$H$1:$CT$1,"&lt;="&amp;EOMONTH(AO$1,0),'UX Weekly'!$H144:$CT144,"&lt;&gt;"))</f>
        <v>0</v>
      </c>
      <c r="AP144">
        <f>IF($B144="",0,COUNTIFS('UX Weekly'!$H$1:$CT$1,"&gt;="&amp;AP$1,'UX Weekly'!$H$1:$CT$1,"&lt;="&amp;EOMONTH(AP$1,0),'UX Weekly'!$H144:$CT144,"&lt;&gt;"))</f>
        <v>0</v>
      </c>
      <c r="AQ144">
        <f>IF($B144="",0,COUNTIFS('UX Weekly'!$H$1:$CT$1,"&gt;="&amp;AQ$1,'UX Weekly'!$H$1:$CT$1,"&lt;="&amp;EOMONTH(AQ$1,0),'UX Weekly'!$H144:$CT144,"&lt;&gt;"))</f>
        <v>0</v>
      </c>
      <c r="AR144">
        <f>IF($B144="",0,COUNTIFS('UX Weekly'!$H$1:$CT$1,"&gt;="&amp;AR$1,'UX Weekly'!$H$1:$CT$1,"&lt;="&amp;EOMONTH(AR$1,0),'UX Weekly'!$H144:$CT144,"&lt;&gt;"))</f>
        <v>0</v>
      </c>
      <c r="AS144">
        <f>IF($B144="",0,COUNTIFS('UX Weekly'!$H$1:$CT$1,"&gt;="&amp;AS$1,'UX Weekly'!$H$1:$CT$1,"&lt;="&amp;EOMONTH(AS$1,0),'UX Weekly'!$H144:$CT144,"&lt;&gt;"))</f>
        <v>0</v>
      </c>
      <c r="AT144">
        <f>IF($B144="",0,COUNTIFS('UX Weekly'!$H$1:$CT$1,"&gt;="&amp;AT$1,'UX Weekly'!$H$1:$CT$1,"&lt;="&amp;EOMONTH(AT$1,0),'UX Weekly'!$H144:$CT144,"&lt;&gt;"))</f>
        <v>0</v>
      </c>
    </row>
    <row r="145" spans="1:46" x14ac:dyDescent="0.2">
      <c r="A145" s="147">
        <v>146</v>
      </c>
      <c r="B145" s="147" t="str">
        <f>IF(TRIM('UX Weekly'!E145)="","",TRIM('UX Weekly'!E145))</f>
        <v/>
      </c>
      <c r="C145" s="147" t="str">
        <f>IF($B145="","",'UX Weekly'!B145)</f>
        <v/>
      </c>
      <c r="D145" s="147" t="str">
        <f>IF($B145="","",IF(TRIM('UX Weekly'!C145)="","(No theme assigned)",TRIM('UX Weekly'!C145)))</f>
        <v/>
      </c>
      <c r="E145" s="147" t="str">
        <f>IF($B145="","",TRIM('UX Weekly'!F145))</f>
        <v/>
      </c>
      <c r="F145" s="147" t="str">
        <f>IF($B145="","",'UX Weekly'!G145)</f>
        <v/>
      </c>
      <c r="G145" s="148" t="str">
        <f t="array" ref="G145">IF($B145="","",IF($S145=0,"",IFERROR(MIN(IF('UX Weekly'!$H145:$CT145&lt;&gt;"",'UX Weekly'!$H$1:$CT$1)),"")))</f>
        <v/>
      </c>
      <c r="H145" s="148" t="str">
        <f t="array" ref="H145">IF($B145="","",IF($S145=0,"",IFERROR(MAX(IF('UX Weekly'!$H145:$CT145&lt;&gt;"",'UX Weekly'!$H$1:$CT$1)),"")))</f>
        <v/>
      </c>
      <c r="I145" s="149" t="str">
        <f t="shared" ca="1" si="12"/>
        <v/>
      </c>
      <c r="J145" s="149" t="str">
        <f t="shared" ca="1" si="13"/>
        <v/>
      </c>
      <c r="K145" s="147" t="str">
        <f>IF($B145="","",IFERROR(MATCH($B145,'Dev Tracker'!$D$2:$D$196,0),IF($E145="","",IFERROR(MATCH($E145,'Dev Tracker'!$E$2:$E$196,0),""))))</f>
        <v/>
      </c>
      <c r="L145" s="147" t="str">
        <f>IF($B145="","",IFERROR(MATCH($D145,'Control (Don’t Touch)'!$E$4:$E$30,0),99))</f>
        <v/>
      </c>
      <c r="M145" s="147" t="str">
        <f>IF($B145="","",IFERROR(MATCH($F145,'Control (Don’t Touch)'!$B$4:$B$30,0),99))</f>
        <v/>
      </c>
      <c r="N145" s="147" t="str">
        <f t="shared" si="14"/>
        <v/>
      </c>
      <c r="O145" s="147" t="str">
        <f>IF($B145="","",COUNTIF($N$2:$N$204,"&lt;"&amp;$N145)+1)</f>
        <v/>
      </c>
      <c r="P145" s="149" t="str">
        <f ca="1">IF($K145="","",IFERROR(DATE(IFERROR(VALUE(RIGHT(TRIM(INDEX('Dev Tracker'!$I$2:$I$196,$K145)),4)),YEAR(TODAY())),MATCH(LEFT(TRIM(INDEX('Dev Tracker'!$I$2:$I$196,$K145)),3),$U$2:$U$12,0),1),""))</f>
        <v/>
      </c>
      <c r="Q145" s="149" t="str">
        <f ca="1">IF($K145="","",IFERROR(DATE(IFERROR(VALUE(RIGHT(TRIM(INDEX('Dev Tracker'!$J$2:$J$196,$K145)),4)),YEAR(TODAY())),MATCH(LEFT(TRIM(INDEX('Dev Tracker'!$J$2:$J$196,$K145)),3),$U$2:$U$12,0),1),""))</f>
        <v/>
      </c>
      <c r="R145" s="147"/>
      <c r="S145" s="147" t="str">
        <f>IF($B145="","",COUNTA('UX Weekly'!$H145:$CT145))</f>
        <v/>
      </c>
      <c r="W145">
        <f>IF($B145="",0,COUNTIFS('UX Weekly'!$H$1:$CT$1,"&gt;="&amp;W$1,'UX Weekly'!$H$1:$CT$1,"&lt;="&amp;EOMONTH(W$1,0),'UX Weekly'!$H145:$CT145,"&lt;&gt;"))</f>
        <v>0</v>
      </c>
      <c r="X145">
        <f>IF($B145="",0,COUNTIFS('UX Weekly'!$H$1:$CT$1,"&gt;="&amp;X$1,'UX Weekly'!$H$1:$CT$1,"&lt;="&amp;EOMONTH(X$1,0),'UX Weekly'!$H145:$CT145,"&lt;&gt;"))</f>
        <v>0</v>
      </c>
      <c r="Y145">
        <f>IF($B145="",0,COUNTIFS('UX Weekly'!$H$1:$CT$1,"&gt;="&amp;Y$1,'UX Weekly'!$H$1:$CT$1,"&lt;="&amp;EOMONTH(Y$1,0),'UX Weekly'!$H145:$CT145,"&lt;&gt;"))</f>
        <v>0</v>
      </c>
      <c r="Z145">
        <f>IF($B145="",0,COUNTIFS('UX Weekly'!$H$1:$CT$1,"&gt;="&amp;Z$1,'UX Weekly'!$H$1:$CT$1,"&lt;="&amp;EOMONTH(Z$1,0),'UX Weekly'!$H145:$CT145,"&lt;&gt;"))</f>
        <v>0</v>
      </c>
      <c r="AA145">
        <f>IF($B145="",0,COUNTIFS('UX Weekly'!$H$1:$CT$1,"&gt;="&amp;AA$1,'UX Weekly'!$H$1:$CT$1,"&lt;="&amp;EOMONTH(AA$1,0),'UX Weekly'!$H145:$CT145,"&lt;&gt;"))</f>
        <v>0</v>
      </c>
      <c r="AB145">
        <f>IF($B145="",0,COUNTIFS('UX Weekly'!$H$1:$CT$1,"&gt;="&amp;AB$1,'UX Weekly'!$H$1:$CT$1,"&lt;="&amp;EOMONTH(AB$1,0),'UX Weekly'!$H145:$CT145,"&lt;&gt;"))</f>
        <v>0</v>
      </c>
      <c r="AC145">
        <f>IF($B145="",0,COUNTIFS('UX Weekly'!$H$1:$CT$1,"&gt;="&amp;AC$1,'UX Weekly'!$H$1:$CT$1,"&lt;="&amp;EOMONTH(AC$1,0),'UX Weekly'!$H145:$CT145,"&lt;&gt;"))</f>
        <v>0</v>
      </c>
      <c r="AD145">
        <f>IF($B145="",0,COUNTIFS('UX Weekly'!$H$1:$CT$1,"&gt;="&amp;AD$1,'UX Weekly'!$H$1:$CT$1,"&lt;="&amp;EOMONTH(AD$1,0),'UX Weekly'!$H145:$CT145,"&lt;&gt;"))</f>
        <v>0</v>
      </c>
      <c r="AE145">
        <f>IF($B145="",0,COUNTIFS('UX Weekly'!$H$1:$CT$1,"&gt;="&amp;AE$1,'UX Weekly'!$H$1:$CT$1,"&lt;="&amp;EOMONTH(AE$1,0),'UX Weekly'!$H145:$CT145,"&lt;&gt;"))</f>
        <v>0</v>
      </c>
      <c r="AF145">
        <f>IF($B145="",0,COUNTIFS('UX Weekly'!$H$1:$CT$1,"&gt;="&amp;AF$1,'UX Weekly'!$H$1:$CT$1,"&lt;="&amp;EOMONTH(AF$1,0),'UX Weekly'!$H145:$CT145,"&lt;&gt;"))</f>
        <v>0</v>
      </c>
      <c r="AG145">
        <f>IF($B145="",0,COUNTIFS('UX Weekly'!$H$1:$CT$1,"&gt;="&amp;AG$1,'UX Weekly'!$H$1:$CT$1,"&lt;="&amp;EOMONTH(AG$1,0),'UX Weekly'!$H145:$CT145,"&lt;&gt;"))</f>
        <v>0</v>
      </c>
      <c r="AH145">
        <f>IF($B145="",0,COUNTIFS('UX Weekly'!$H$1:$CT$1,"&gt;="&amp;AH$1,'UX Weekly'!$H$1:$CT$1,"&lt;="&amp;EOMONTH(AH$1,0),'UX Weekly'!$H145:$CT145,"&lt;&gt;"))</f>
        <v>0</v>
      </c>
      <c r="AI145">
        <f>IF($B145="",0,COUNTIFS('UX Weekly'!$H$1:$CT$1,"&gt;="&amp;AI$1,'UX Weekly'!$H$1:$CT$1,"&lt;="&amp;EOMONTH(AI$1,0),'UX Weekly'!$H145:$CT145,"&lt;&gt;"))</f>
        <v>0</v>
      </c>
      <c r="AJ145">
        <f>IF($B145="",0,COUNTIFS('UX Weekly'!$H$1:$CT$1,"&gt;="&amp;AJ$1,'UX Weekly'!$H$1:$CT$1,"&lt;="&amp;EOMONTH(AJ$1,0),'UX Weekly'!$H145:$CT145,"&lt;&gt;"))</f>
        <v>0</v>
      </c>
      <c r="AK145">
        <f>IF($B145="",0,COUNTIFS('UX Weekly'!$H$1:$CT$1,"&gt;="&amp;AK$1,'UX Weekly'!$H$1:$CT$1,"&lt;="&amp;EOMONTH(AK$1,0),'UX Weekly'!$H145:$CT145,"&lt;&gt;"))</f>
        <v>0</v>
      </c>
      <c r="AL145">
        <f>IF($B145="",0,COUNTIFS('UX Weekly'!$H$1:$CT$1,"&gt;="&amp;AL$1,'UX Weekly'!$H$1:$CT$1,"&lt;="&amp;EOMONTH(AL$1,0),'UX Weekly'!$H145:$CT145,"&lt;&gt;"))</f>
        <v>0</v>
      </c>
      <c r="AM145">
        <f>IF($B145="",0,COUNTIFS('UX Weekly'!$H$1:$CT$1,"&gt;="&amp;AM$1,'UX Weekly'!$H$1:$CT$1,"&lt;="&amp;EOMONTH(AM$1,0),'UX Weekly'!$H145:$CT145,"&lt;&gt;"))</f>
        <v>0</v>
      </c>
      <c r="AN145">
        <f>IF($B145="",0,COUNTIFS('UX Weekly'!$H$1:$CT$1,"&gt;="&amp;AN$1,'UX Weekly'!$H$1:$CT$1,"&lt;="&amp;EOMONTH(AN$1,0),'UX Weekly'!$H145:$CT145,"&lt;&gt;"))</f>
        <v>0</v>
      </c>
      <c r="AO145">
        <f>IF($B145="",0,COUNTIFS('UX Weekly'!$H$1:$CT$1,"&gt;="&amp;AO$1,'UX Weekly'!$H$1:$CT$1,"&lt;="&amp;EOMONTH(AO$1,0),'UX Weekly'!$H145:$CT145,"&lt;&gt;"))</f>
        <v>0</v>
      </c>
      <c r="AP145">
        <f>IF($B145="",0,COUNTIFS('UX Weekly'!$H$1:$CT$1,"&gt;="&amp;AP$1,'UX Weekly'!$H$1:$CT$1,"&lt;="&amp;EOMONTH(AP$1,0),'UX Weekly'!$H145:$CT145,"&lt;&gt;"))</f>
        <v>0</v>
      </c>
      <c r="AQ145">
        <f>IF($B145="",0,COUNTIFS('UX Weekly'!$H$1:$CT$1,"&gt;="&amp;AQ$1,'UX Weekly'!$H$1:$CT$1,"&lt;="&amp;EOMONTH(AQ$1,0),'UX Weekly'!$H145:$CT145,"&lt;&gt;"))</f>
        <v>0</v>
      </c>
      <c r="AR145">
        <f>IF($B145="",0,COUNTIFS('UX Weekly'!$H$1:$CT$1,"&gt;="&amp;AR$1,'UX Weekly'!$H$1:$CT$1,"&lt;="&amp;EOMONTH(AR$1,0),'UX Weekly'!$H145:$CT145,"&lt;&gt;"))</f>
        <v>0</v>
      </c>
      <c r="AS145">
        <f>IF($B145="",0,COUNTIFS('UX Weekly'!$H$1:$CT$1,"&gt;="&amp;AS$1,'UX Weekly'!$H$1:$CT$1,"&lt;="&amp;EOMONTH(AS$1,0),'UX Weekly'!$H145:$CT145,"&lt;&gt;"))</f>
        <v>0</v>
      </c>
      <c r="AT145">
        <f>IF($B145="",0,COUNTIFS('UX Weekly'!$H$1:$CT$1,"&gt;="&amp;AT$1,'UX Weekly'!$H$1:$CT$1,"&lt;="&amp;EOMONTH(AT$1,0),'UX Weekly'!$H145:$CT145,"&lt;&gt;"))</f>
        <v>0</v>
      </c>
    </row>
    <row r="146" spans="1:46" x14ac:dyDescent="0.2">
      <c r="A146" s="147">
        <v>147</v>
      </c>
      <c r="B146" s="147" t="str">
        <f>IF(TRIM('UX Weekly'!E146)="","",TRIM('UX Weekly'!E146))</f>
        <v/>
      </c>
      <c r="C146" s="147" t="str">
        <f>IF($B146="","",'UX Weekly'!B146)</f>
        <v/>
      </c>
      <c r="D146" s="147" t="str">
        <f>IF($B146="","",IF(TRIM('UX Weekly'!C146)="","(No theme assigned)",TRIM('UX Weekly'!C146)))</f>
        <v/>
      </c>
      <c r="E146" s="147" t="str">
        <f>IF($B146="","",TRIM('UX Weekly'!F146))</f>
        <v/>
      </c>
      <c r="F146" s="147" t="str">
        <f>IF($B146="","",'UX Weekly'!G146)</f>
        <v/>
      </c>
      <c r="G146" s="148" t="str">
        <f t="array" ref="G146">IF($B146="","",IF($S146=0,"",IFERROR(MIN(IF('UX Weekly'!$H146:$CT146&lt;&gt;"",'UX Weekly'!$H$1:$CT$1)),"")))</f>
        <v/>
      </c>
      <c r="H146" s="148" t="str">
        <f t="array" ref="H146">IF($B146="","",IF($S146=0,"",IFERROR(MAX(IF('UX Weekly'!$H146:$CT146&lt;&gt;"",'UX Weekly'!$H$1:$CT$1)),"")))</f>
        <v/>
      </c>
      <c r="I146" s="149" t="str">
        <f t="shared" ca="1" si="12"/>
        <v/>
      </c>
      <c r="J146" s="149" t="str">
        <f t="shared" ca="1" si="13"/>
        <v/>
      </c>
      <c r="K146" s="147" t="str">
        <f>IF($B146="","",IFERROR(MATCH($B146,'Dev Tracker'!$D$2:$D$196,0),IF($E146="","",IFERROR(MATCH($E146,'Dev Tracker'!$E$2:$E$196,0),""))))</f>
        <v/>
      </c>
      <c r="L146" s="147" t="str">
        <f>IF($B146="","",IFERROR(MATCH($D146,'Control (Don’t Touch)'!$E$4:$E$30,0),99))</f>
        <v/>
      </c>
      <c r="M146" s="147" t="str">
        <f>IF($B146="","",IFERROR(MATCH($F146,'Control (Don’t Touch)'!$B$4:$B$30,0),99))</f>
        <v/>
      </c>
      <c r="N146" s="147" t="str">
        <f t="shared" si="14"/>
        <v/>
      </c>
      <c r="O146" s="147" t="str">
        <f>IF($B146="","",COUNTIF($N$2:$N$204,"&lt;"&amp;$N146)+1)</f>
        <v/>
      </c>
      <c r="P146" s="149" t="str">
        <f ca="1">IF($K146="","",IFERROR(DATE(IFERROR(VALUE(RIGHT(TRIM(INDEX('Dev Tracker'!$I$2:$I$196,$K146)),4)),YEAR(TODAY())),MATCH(LEFT(TRIM(INDEX('Dev Tracker'!$I$2:$I$196,$K146)),3),$U$2:$U$12,0),1),""))</f>
        <v/>
      </c>
      <c r="Q146" s="149" t="str">
        <f ca="1">IF($K146="","",IFERROR(DATE(IFERROR(VALUE(RIGHT(TRIM(INDEX('Dev Tracker'!$J$2:$J$196,$K146)),4)),YEAR(TODAY())),MATCH(LEFT(TRIM(INDEX('Dev Tracker'!$J$2:$J$196,$K146)),3),$U$2:$U$12,0),1),""))</f>
        <v/>
      </c>
      <c r="R146" s="147"/>
      <c r="S146" s="147" t="str">
        <f>IF($B146="","",COUNTA('UX Weekly'!$H146:$CT146))</f>
        <v/>
      </c>
      <c r="W146">
        <f>IF($B146="",0,COUNTIFS('UX Weekly'!$H$1:$CT$1,"&gt;="&amp;W$1,'UX Weekly'!$H$1:$CT$1,"&lt;="&amp;EOMONTH(W$1,0),'UX Weekly'!$H146:$CT146,"&lt;&gt;"))</f>
        <v>0</v>
      </c>
      <c r="X146">
        <f>IF($B146="",0,COUNTIFS('UX Weekly'!$H$1:$CT$1,"&gt;="&amp;X$1,'UX Weekly'!$H$1:$CT$1,"&lt;="&amp;EOMONTH(X$1,0),'UX Weekly'!$H146:$CT146,"&lt;&gt;"))</f>
        <v>0</v>
      </c>
      <c r="Y146">
        <f>IF($B146="",0,COUNTIFS('UX Weekly'!$H$1:$CT$1,"&gt;="&amp;Y$1,'UX Weekly'!$H$1:$CT$1,"&lt;="&amp;EOMONTH(Y$1,0),'UX Weekly'!$H146:$CT146,"&lt;&gt;"))</f>
        <v>0</v>
      </c>
      <c r="Z146">
        <f>IF($B146="",0,COUNTIFS('UX Weekly'!$H$1:$CT$1,"&gt;="&amp;Z$1,'UX Weekly'!$H$1:$CT$1,"&lt;="&amp;EOMONTH(Z$1,0),'UX Weekly'!$H146:$CT146,"&lt;&gt;"))</f>
        <v>0</v>
      </c>
      <c r="AA146">
        <f>IF($B146="",0,COUNTIFS('UX Weekly'!$H$1:$CT$1,"&gt;="&amp;AA$1,'UX Weekly'!$H$1:$CT$1,"&lt;="&amp;EOMONTH(AA$1,0),'UX Weekly'!$H146:$CT146,"&lt;&gt;"))</f>
        <v>0</v>
      </c>
      <c r="AB146">
        <f>IF($B146="",0,COUNTIFS('UX Weekly'!$H$1:$CT$1,"&gt;="&amp;AB$1,'UX Weekly'!$H$1:$CT$1,"&lt;="&amp;EOMONTH(AB$1,0),'UX Weekly'!$H146:$CT146,"&lt;&gt;"))</f>
        <v>0</v>
      </c>
      <c r="AC146">
        <f>IF($B146="",0,COUNTIFS('UX Weekly'!$H$1:$CT$1,"&gt;="&amp;AC$1,'UX Weekly'!$H$1:$CT$1,"&lt;="&amp;EOMONTH(AC$1,0),'UX Weekly'!$H146:$CT146,"&lt;&gt;"))</f>
        <v>0</v>
      </c>
      <c r="AD146">
        <f>IF($B146="",0,COUNTIFS('UX Weekly'!$H$1:$CT$1,"&gt;="&amp;AD$1,'UX Weekly'!$H$1:$CT$1,"&lt;="&amp;EOMONTH(AD$1,0),'UX Weekly'!$H146:$CT146,"&lt;&gt;"))</f>
        <v>0</v>
      </c>
      <c r="AE146">
        <f>IF($B146="",0,COUNTIFS('UX Weekly'!$H$1:$CT$1,"&gt;="&amp;AE$1,'UX Weekly'!$H$1:$CT$1,"&lt;="&amp;EOMONTH(AE$1,0),'UX Weekly'!$H146:$CT146,"&lt;&gt;"))</f>
        <v>0</v>
      </c>
      <c r="AF146">
        <f>IF($B146="",0,COUNTIFS('UX Weekly'!$H$1:$CT$1,"&gt;="&amp;AF$1,'UX Weekly'!$H$1:$CT$1,"&lt;="&amp;EOMONTH(AF$1,0),'UX Weekly'!$H146:$CT146,"&lt;&gt;"))</f>
        <v>0</v>
      </c>
      <c r="AG146">
        <f>IF($B146="",0,COUNTIFS('UX Weekly'!$H$1:$CT$1,"&gt;="&amp;AG$1,'UX Weekly'!$H$1:$CT$1,"&lt;="&amp;EOMONTH(AG$1,0),'UX Weekly'!$H146:$CT146,"&lt;&gt;"))</f>
        <v>0</v>
      </c>
      <c r="AH146">
        <f>IF($B146="",0,COUNTIFS('UX Weekly'!$H$1:$CT$1,"&gt;="&amp;AH$1,'UX Weekly'!$H$1:$CT$1,"&lt;="&amp;EOMONTH(AH$1,0),'UX Weekly'!$H146:$CT146,"&lt;&gt;"))</f>
        <v>0</v>
      </c>
      <c r="AI146">
        <f>IF($B146="",0,COUNTIFS('UX Weekly'!$H$1:$CT$1,"&gt;="&amp;AI$1,'UX Weekly'!$H$1:$CT$1,"&lt;="&amp;EOMONTH(AI$1,0),'UX Weekly'!$H146:$CT146,"&lt;&gt;"))</f>
        <v>0</v>
      </c>
      <c r="AJ146">
        <f>IF($B146="",0,COUNTIFS('UX Weekly'!$H$1:$CT$1,"&gt;="&amp;AJ$1,'UX Weekly'!$H$1:$CT$1,"&lt;="&amp;EOMONTH(AJ$1,0),'UX Weekly'!$H146:$CT146,"&lt;&gt;"))</f>
        <v>0</v>
      </c>
      <c r="AK146">
        <f>IF($B146="",0,COUNTIFS('UX Weekly'!$H$1:$CT$1,"&gt;="&amp;AK$1,'UX Weekly'!$H$1:$CT$1,"&lt;="&amp;EOMONTH(AK$1,0),'UX Weekly'!$H146:$CT146,"&lt;&gt;"))</f>
        <v>0</v>
      </c>
      <c r="AL146">
        <f>IF($B146="",0,COUNTIFS('UX Weekly'!$H$1:$CT$1,"&gt;="&amp;AL$1,'UX Weekly'!$H$1:$CT$1,"&lt;="&amp;EOMONTH(AL$1,0),'UX Weekly'!$H146:$CT146,"&lt;&gt;"))</f>
        <v>0</v>
      </c>
      <c r="AM146">
        <f>IF($B146="",0,COUNTIFS('UX Weekly'!$H$1:$CT$1,"&gt;="&amp;AM$1,'UX Weekly'!$H$1:$CT$1,"&lt;="&amp;EOMONTH(AM$1,0),'UX Weekly'!$H146:$CT146,"&lt;&gt;"))</f>
        <v>0</v>
      </c>
      <c r="AN146">
        <f>IF($B146="",0,COUNTIFS('UX Weekly'!$H$1:$CT$1,"&gt;="&amp;AN$1,'UX Weekly'!$H$1:$CT$1,"&lt;="&amp;EOMONTH(AN$1,0),'UX Weekly'!$H146:$CT146,"&lt;&gt;"))</f>
        <v>0</v>
      </c>
      <c r="AO146">
        <f>IF($B146="",0,COUNTIFS('UX Weekly'!$H$1:$CT$1,"&gt;="&amp;AO$1,'UX Weekly'!$H$1:$CT$1,"&lt;="&amp;EOMONTH(AO$1,0),'UX Weekly'!$H146:$CT146,"&lt;&gt;"))</f>
        <v>0</v>
      </c>
      <c r="AP146">
        <f>IF($B146="",0,COUNTIFS('UX Weekly'!$H$1:$CT$1,"&gt;="&amp;AP$1,'UX Weekly'!$H$1:$CT$1,"&lt;="&amp;EOMONTH(AP$1,0),'UX Weekly'!$H146:$CT146,"&lt;&gt;"))</f>
        <v>0</v>
      </c>
      <c r="AQ146">
        <f>IF($B146="",0,COUNTIFS('UX Weekly'!$H$1:$CT$1,"&gt;="&amp;AQ$1,'UX Weekly'!$H$1:$CT$1,"&lt;="&amp;EOMONTH(AQ$1,0),'UX Weekly'!$H146:$CT146,"&lt;&gt;"))</f>
        <v>0</v>
      </c>
      <c r="AR146">
        <f>IF($B146="",0,COUNTIFS('UX Weekly'!$H$1:$CT$1,"&gt;="&amp;AR$1,'UX Weekly'!$H$1:$CT$1,"&lt;="&amp;EOMONTH(AR$1,0),'UX Weekly'!$H146:$CT146,"&lt;&gt;"))</f>
        <v>0</v>
      </c>
      <c r="AS146">
        <f>IF($B146="",0,COUNTIFS('UX Weekly'!$H$1:$CT$1,"&gt;="&amp;AS$1,'UX Weekly'!$H$1:$CT$1,"&lt;="&amp;EOMONTH(AS$1,0),'UX Weekly'!$H146:$CT146,"&lt;&gt;"))</f>
        <v>0</v>
      </c>
      <c r="AT146">
        <f>IF($B146="",0,COUNTIFS('UX Weekly'!$H$1:$CT$1,"&gt;="&amp;AT$1,'UX Weekly'!$H$1:$CT$1,"&lt;="&amp;EOMONTH(AT$1,0),'UX Weekly'!$H146:$CT146,"&lt;&gt;"))</f>
        <v>0</v>
      </c>
    </row>
    <row r="147" spans="1:46" x14ac:dyDescent="0.2">
      <c r="A147" s="147">
        <v>148</v>
      </c>
      <c r="B147" s="147" t="str">
        <f>IF(TRIM('UX Weekly'!E147)="","",TRIM('UX Weekly'!E147))</f>
        <v/>
      </c>
      <c r="C147" s="147" t="str">
        <f>IF($B147="","",'UX Weekly'!B147)</f>
        <v/>
      </c>
      <c r="D147" s="147" t="str">
        <f>IF($B147="","",IF(TRIM('UX Weekly'!C147)="","(No theme assigned)",TRIM('UX Weekly'!C147)))</f>
        <v/>
      </c>
      <c r="E147" s="147" t="str">
        <f>IF($B147="","",TRIM('UX Weekly'!F147))</f>
        <v/>
      </c>
      <c r="F147" s="147" t="str">
        <f>IF($B147="","",'UX Weekly'!G147)</f>
        <v/>
      </c>
      <c r="G147" s="148" t="str">
        <f t="array" ref="G147">IF($B147="","",IF($S147=0,"",IFERROR(MIN(IF('UX Weekly'!$H147:$CT147&lt;&gt;"",'UX Weekly'!$H$1:$CT$1)),"")))</f>
        <v/>
      </c>
      <c r="H147" s="148" t="str">
        <f t="array" ref="H147">IF($B147="","",IF($S147=0,"",IFERROR(MAX(IF('UX Weekly'!$H147:$CT147&lt;&gt;"",'UX Weekly'!$H$1:$CT$1)),"")))</f>
        <v/>
      </c>
      <c r="I147" s="149" t="str">
        <f t="shared" ca="1" si="12"/>
        <v/>
      </c>
      <c r="J147" s="149" t="str">
        <f t="shared" ca="1" si="13"/>
        <v/>
      </c>
      <c r="K147" s="147" t="str">
        <f>IF($B147="","",IFERROR(MATCH($B147,'Dev Tracker'!$D$2:$D$196,0),IF($E147="","",IFERROR(MATCH($E147,'Dev Tracker'!$E$2:$E$196,0),""))))</f>
        <v/>
      </c>
      <c r="L147" s="147" t="str">
        <f>IF($B147="","",IFERROR(MATCH($D147,'Control (Don’t Touch)'!$E$4:$E$30,0),99))</f>
        <v/>
      </c>
      <c r="M147" s="147" t="str">
        <f>IF($B147="","",IFERROR(MATCH($F147,'Control (Don’t Touch)'!$B$4:$B$30,0),99))</f>
        <v/>
      </c>
      <c r="N147" s="147" t="str">
        <f t="shared" si="14"/>
        <v/>
      </c>
      <c r="O147" s="147" t="str">
        <f>IF($B147="","",COUNTIF($N$2:$N$204,"&lt;"&amp;$N147)+1)</f>
        <v/>
      </c>
      <c r="P147" s="149" t="str">
        <f ca="1">IF($K147="","",IFERROR(DATE(IFERROR(VALUE(RIGHT(TRIM(INDEX('Dev Tracker'!$I$2:$I$196,$K147)),4)),YEAR(TODAY())),MATCH(LEFT(TRIM(INDEX('Dev Tracker'!$I$2:$I$196,$K147)),3),$U$2:$U$12,0),1),""))</f>
        <v/>
      </c>
      <c r="Q147" s="149" t="str">
        <f ca="1">IF($K147="","",IFERROR(DATE(IFERROR(VALUE(RIGHT(TRIM(INDEX('Dev Tracker'!$J$2:$J$196,$K147)),4)),YEAR(TODAY())),MATCH(LEFT(TRIM(INDEX('Dev Tracker'!$J$2:$J$196,$K147)),3),$U$2:$U$12,0),1),""))</f>
        <v/>
      </c>
      <c r="R147" s="147"/>
      <c r="S147" s="147" t="str">
        <f>IF($B147="","",COUNTA('UX Weekly'!$H147:$CT147))</f>
        <v/>
      </c>
      <c r="W147">
        <f>IF($B147="",0,COUNTIFS('UX Weekly'!$H$1:$CT$1,"&gt;="&amp;W$1,'UX Weekly'!$H$1:$CT$1,"&lt;="&amp;EOMONTH(W$1,0),'UX Weekly'!$H147:$CT147,"&lt;&gt;"))</f>
        <v>0</v>
      </c>
      <c r="X147">
        <f>IF($B147="",0,COUNTIFS('UX Weekly'!$H$1:$CT$1,"&gt;="&amp;X$1,'UX Weekly'!$H$1:$CT$1,"&lt;="&amp;EOMONTH(X$1,0),'UX Weekly'!$H147:$CT147,"&lt;&gt;"))</f>
        <v>0</v>
      </c>
      <c r="Y147">
        <f>IF($B147="",0,COUNTIFS('UX Weekly'!$H$1:$CT$1,"&gt;="&amp;Y$1,'UX Weekly'!$H$1:$CT$1,"&lt;="&amp;EOMONTH(Y$1,0),'UX Weekly'!$H147:$CT147,"&lt;&gt;"))</f>
        <v>0</v>
      </c>
      <c r="Z147">
        <f>IF($B147="",0,COUNTIFS('UX Weekly'!$H$1:$CT$1,"&gt;="&amp;Z$1,'UX Weekly'!$H$1:$CT$1,"&lt;="&amp;EOMONTH(Z$1,0),'UX Weekly'!$H147:$CT147,"&lt;&gt;"))</f>
        <v>0</v>
      </c>
      <c r="AA147">
        <f>IF($B147="",0,COUNTIFS('UX Weekly'!$H$1:$CT$1,"&gt;="&amp;AA$1,'UX Weekly'!$H$1:$CT$1,"&lt;="&amp;EOMONTH(AA$1,0),'UX Weekly'!$H147:$CT147,"&lt;&gt;"))</f>
        <v>0</v>
      </c>
      <c r="AB147">
        <f>IF($B147="",0,COUNTIFS('UX Weekly'!$H$1:$CT$1,"&gt;="&amp;AB$1,'UX Weekly'!$H$1:$CT$1,"&lt;="&amp;EOMONTH(AB$1,0),'UX Weekly'!$H147:$CT147,"&lt;&gt;"))</f>
        <v>0</v>
      </c>
      <c r="AC147">
        <f>IF($B147="",0,COUNTIFS('UX Weekly'!$H$1:$CT$1,"&gt;="&amp;AC$1,'UX Weekly'!$H$1:$CT$1,"&lt;="&amp;EOMONTH(AC$1,0),'UX Weekly'!$H147:$CT147,"&lt;&gt;"))</f>
        <v>0</v>
      </c>
      <c r="AD147">
        <f>IF($B147="",0,COUNTIFS('UX Weekly'!$H$1:$CT$1,"&gt;="&amp;AD$1,'UX Weekly'!$H$1:$CT$1,"&lt;="&amp;EOMONTH(AD$1,0),'UX Weekly'!$H147:$CT147,"&lt;&gt;"))</f>
        <v>0</v>
      </c>
      <c r="AE147">
        <f>IF($B147="",0,COUNTIFS('UX Weekly'!$H$1:$CT$1,"&gt;="&amp;AE$1,'UX Weekly'!$H$1:$CT$1,"&lt;="&amp;EOMONTH(AE$1,0),'UX Weekly'!$H147:$CT147,"&lt;&gt;"))</f>
        <v>0</v>
      </c>
      <c r="AF147">
        <f>IF($B147="",0,COUNTIFS('UX Weekly'!$H$1:$CT$1,"&gt;="&amp;AF$1,'UX Weekly'!$H$1:$CT$1,"&lt;="&amp;EOMONTH(AF$1,0),'UX Weekly'!$H147:$CT147,"&lt;&gt;"))</f>
        <v>0</v>
      </c>
      <c r="AG147">
        <f>IF($B147="",0,COUNTIFS('UX Weekly'!$H$1:$CT$1,"&gt;="&amp;AG$1,'UX Weekly'!$H$1:$CT$1,"&lt;="&amp;EOMONTH(AG$1,0),'UX Weekly'!$H147:$CT147,"&lt;&gt;"))</f>
        <v>0</v>
      </c>
      <c r="AH147">
        <f>IF($B147="",0,COUNTIFS('UX Weekly'!$H$1:$CT$1,"&gt;="&amp;AH$1,'UX Weekly'!$H$1:$CT$1,"&lt;="&amp;EOMONTH(AH$1,0),'UX Weekly'!$H147:$CT147,"&lt;&gt;"))</f>
        <v>0</v>
      </c>
      <c r="AI147">
        <f>IF($B147="",0,COUNTIFS('UX Weekly'!$H$1:$CT$1,"&gt;="&amp;AI$1,'UX Weekly'!$H$1:$CT$1,"&lt;="&amp;EOMONTH(AI$1,0),'UX Weekly'!$H147:$CT147,"&lt;&gt;"))</f>
        <v>0</v>
      </c>
      <c r="AJ147">
        <f>IF($B147="",0,COUNTIFS('UX Weekly'!$H$1:$CT$1,"&gt;="&amp;AJ$1,'UX Weekly'!$H$1:$CT$1,"&lt;="&amp;EOMONTH(AJ$1,0),'UX Weekly'!$H147:$CT147,"&lt;&gt;"))</f>
        <v>0</v>
      </c>
      <c r="AK147">
        <f>IF($B147="",0,COUNTIFS('UX Weekly'!$H$1:$CT$1,"&gt;="&amp;AK$1,'UX Weekly'!$H$1:$CT$1,"&lt;="&amp;EOMONTH(AK$1,0),'UX Weekly'!$H147:$CT147,"&lt;&gt;"))</f>
        <v>0</v>
      </c>
      <c r="AL147">
        <f>IF($B147="",0,COUNTIFS('UX Weekly'!$H$1:$CT$1,"&gt;="&amp;AL$1,'UX Weekly'!$H$1:$CT$1,"&lt;="&amp;EOMONTH(AL$1,0),'UX Weekly'!$H147:$CT147,"&lt;&gt;"))</f>
        <v>0</v>
      </c>
      <c r="AM147">
        <f>IF($B147="",0,COUNTIFS('UX Weekly'!$H$1:$CT$1,"&gt;="&amp;AM$1,'UX Weekly'!$H$1:$CT$1,"&lt;="&amp;EOMONTH(AM$1,0),'UX Weekly'!$H147:$CT147,"&lt;&gt;"))</f>
        <v>0</v>
      </c>
      <c r="AN147">
        <f>IF($B147="",0,COUNTIFS('UX Weekly'!$H$1:$CT$1,"&gt;="&amp;AN$1,'UX Weekly'!$H$1:$CT$1,"&lt;="&amp;EOMONTH(AN$1,0),'UX Weekly'!$H147:$CT147,"&lt;&gt;"))</f>
        <v>0</v>
      </c>
      <c r="AO147">
        <f>IF($B147="",0,COUNTIFS('UX Weekly'!$H$1:$CT$1,"&gt;="&amp;AO$1,'UX Weekly'!$H$1:$CT$1,"&lt;="&amp;EOMONTH(AO$1,0),'UX Weekly'!$H147:$CT147,"&lt;&gt;"))</f>
        <v>0</v>
      </c>
      <c r="AP147">
        <f>IF($B147="",0,COUNTIFS('UX Weekly'!$H$1:$CT$1,"&gt;="&amp;AP$1,'UX Weekly'!$H$1:$CT$1,"&lt;="&amp;EOMONTH(AP$1,0),'UX Weekly'!$H147:$CT147,"&lt;&gt;"))</f>
        <v>0</v>
      </c>
      <c r="AQ147">
        <f>IF($B147="",0,COUNTIFS('UX Weekly'!$H$1:$CT$1,"&gt;="&amp;AQ$1,'UX Weekly'!$H$1:$CT$1,"&lt;="&amp;EOMONTH(AQ$1,0),'UX Weekly'!$H147:$CT147,"&lt;&gt;"))</f>
        <v>0</v>
      </c>
      <c r="AR147">
        <f>IF($B147="",0,COUNTIFS('UX Weekly'!$H$1:$CT$1,"&gt;="&amp;AR$1,'UX Weekly'!$H$1:$CT$1,"&lt;="&amp;EOMONTH(AR$1,0),'UX Weekly'!$H147:$CT147,"&lt;&gt;"))</f>
        <v>0</v>
      </c>
      <c r="AS147">
        <f>IF($B147="",0,COUNTIFS('UX Weekly'!$H$1:$CT$1,"&gt;="&amp;AS$1,'UX Weekly'!$H$1:$CT$1,"&lt;="&amp;EOMONTH(AS$1,0),'UX Weekly'!$H147:$CT147,"&lt;&gt;"))</f>
        <v>0</v>
      </c>
      <c r="AT147">
        <f>IF($B147="",0,COUNTIFS('UX Weekly'!$H$1:$CT$1,"&gt;="&amp;AT$1,'UX Weekly'!$H$1:$CT$1,"&lt;="&amp;EOMONTH(AT$1,0),'UX Weekly'!$H147:$CT147,"&lt;&gt;"))</f>
        <v>0</v>
      </c>
    </row>
    <row r="148" spans="1:46" x14ac:dyDescent="0.2">
      <c r="A148" s="147">
        <v>149</v>
      </c>
      <c r="B148" s="147" t="str">
        <f>IF(TRIM('UX Weekly'!E148)="","",TRIM('UX Weekly'!E148))</f>
        <v/>
      </c>
      <c r="C148" s="147" t="str">
        <f>IF($B148="","",'UX Weekly'!B148)</f>
        <v/>
      </c>
      <c r="D148" s="147" t="str">
        <f>IF($B148="","",IF(TRIM('UX Weekly'!C148)="","(No theme assigned)",TRIM('UX Weekly'!C148)))</f>
        <v/>
      </c>
      <c r="E148" s="147" t="str">
        <f>IF($B148="","",TRIM('UX Weekly'!F148))</f>
        <v/>
      </c>
      <c r="F148" s="147" t="str">
        <f>IF($B148="","",'UX Weekly'!G148)</f>
        <v/>
      </c>
      <c r="G148" s="148" t="str">
        <f t="array" ref="G148">IF($B148="","",IF($S148=0,"",IFERROR(MIN(IF('UX Weekly'!$H148:$CT148&lt;&gt;"",'UX Weekly'!$H$1:$CT$1)),"")))</f>
        <v/>
      </c>
      <c r="H148" s="148" t="str">
        <f t="array" ref="H148">IF($B148="","",IF($S148=0,"",IFERROR(MAX(IF('UX Weekly'!$H148:$CT148&lt;&gt;"",'UX Weekly'!$H$1:$CT$1)),"")))</f>
        <v/>
      </c>
      <c r="I148" s="149" t="str">
        <f t="shared" ca="1" si="12"/>
        <v/>
      </c>
      <c r="J148" s="149" t="str">
        <f t="shared" ca="1" si="13"/>
        <v/>
      </c>
      <c r="K148" s="147" t="str">
        <f>IF($B148="","",IFERROR(MATCH($B148,'Dev Tracker'!$D$2:$D$196,0),IF($E148="","",IFERROR(MATCH($E148,'Dev Tracker'!$E$2:$E$196,0),""))))</f>
        <v/>
      </c>
      <c r="L148" s="147" t="str">
        <f>IF($B148="","",IFERROR(MATCH($D148,'Control (Don’t Touch)'!$E$4:$E$30,0),99))</f>
        <v/>
      </c>
      <c r="M148" s="147" t="str">
        <f>IF($B148="","",IFERROR(MATCH($F148,'Control (Don’t Touch)'!$B$4:$B$30,0),99))</f>
        <v/>
      </c>
      <c r="N148" s="147" t="str">
        <f t="shared" si="14"/>
        <v/>
      </c>
      <c r="O148" s="147" t="str">
        <f>IF($B148="","",COUNTIF($N$2:$N$204,"&lt;"&amp;$N148)+1)</f>
        <v/>
      </c>
      <c r="P148" s="149" t="str">
        <f ca="1">IF($K148="","",IFERROR(DATE(IFERROR(VALUE(RIGHT(TRIM(INDEX('Dev Tracker'!$I$2:$I$196,$K148)),4)),YEAR(TODAY())),MATCH(LEFT(TRIM(INDEX('Dev Tracker'!$I$2:$I$196,$K148)),3),$U$2:$U$12,0),1),""))</f>
        <v/>
      </c>
      <c r="Q148" s="149" t="str">
        <f ca="1">IF($K148="","",IFERROR(DATE(IFERROR(VALUE(RIGHT(TRIM(INDEX('Dev Tracker'!$J$2:$J$196,$K148)),4)),YEAR(TODAY())),MATCH(LEFT(TRIM(INDEX('Dev Tracker'!$J$2:$J$196,$K148)),3),$U$2:$U$12,0),1),""))</f>
        <v/>
      </c>
      <c r="R148" s="147"/>
      <c r="S148" s="147" t="str">
        <f>IF($B148="","",COUNTA('UX Weekly'!$H148:$CT148))</f>
        <v/>
      </c>
      <c r="W148">
        <f>IF($B148="",0,COUNTIFS('UX Weekly'!$H$1:$CT$1,"&gt;="&amp;W$1,'UX Weekly'!$H$1:$CT$1,"&lt;="&amp;EOMONTH(W$1,0),'UX Weekly'!$H148:$CT148,"&lt;&gt;"))</f>
        <v>0</v>
      </c>
      <c r="X148">
        <f>IF($B148="",0,COUNTIFS('UX Weekly'!$H$1:$CT$1,"&gt;="&amp;X$1,'UX Weekly'!$H$1:$CT$1,"&lt;="&amp;EOMONTH(X$1,0),'UX Weekly'!$H148:$CT148,"&lt;&gt;"))</f>
        <v>0</v>
      </c>
      <c r="Y148">
        <f>IF($B148="",0,COUNTIFS('UX Weekly'!$H$1:$CT$1,"&gt;="&amp;Y$1,'UX Weekly'!$H$1:$CT$1,"&lt;="&amp;EOMONTH(Y$1,0),'UX Weekly'!$H148:$CT148,"&lt;&gt;"))</f>
        <v>0</v>
      </c>
      <c r="Z148">
        <f>IF($B148="",0,COUNTIFS('UX Weekly'!$H$1:$CT$1,"&gt;="&amp;Z$1,'UX Weekly'!$H$1:$CT$1,"&lt;="&amp;EOMONTH(Z$1,0),'UX Weekly'!$H148:$CT148,"&lt;&gt;"))</f>
        <v>0</v>
      </c>
      <c r="AA148">
        <f>IF($B148="",0,COUNTIFS('UX Weekly'!$H$1:$CT$1,"&gt;="&amp;AA$1,'UX Weekly'!$H$1:$CT$1,"&lt;="&amp;EOMONTH(AA$1,0),'UX Weekly'!$H148:$CT148,"&lt;&gt;"))</f>
        <v>0</v>
      </c>
      <c r="AB148">
        <f>IF($B148="",0,COUNTIFS('UX Weekly'!$H$1:$CT$1,"&gt;="&amp;AB$1,'UX Weekly'!$H$1:$CT$1,"&lt;="&amp;EOMONTH(AB$1,0),'UX Weekly'!$H148:$CT148,"&lt;&gt;"))</f>
        <v>0</v>
      </c>
      <c r="AC148">
        <f>IF($B148="",0,COUNTIFS('UX Weekly'!$H$1:$CT$1,"&gt;="&amp;AC$1,'UX Weekly'!$H$1:$CT$1,"&lt;="&amp;EOMONTH(AC$1,0),'UX Weekly'!$H148:$CT148,"&lt;&gt;"))</f>
        <v>0</v>
      </c>
      <c r="AD148">
        <f>IF($B148="",0,COUNTIFS('UX Weekly'!$H$1:$CT$1,"&gt;="&amp;AD$1,'UX Weekly'!$H$1:$CT$1,"&lt;="&amp;EOMONTH(AD$1,0),'UX Weekly'!$H148:$CT148,"&lt;&gt;"))</f>
        <v>0</v>
      </c>
      <c r="AE148">
        <f>IF($B148="",0,COUNTIFS('UX Weekly'!$H$1:$CT$1,"&gt;="&amp;AE$1,'UX Weekly'!$H$1:$CT$1,"&lt;="&amp;EOMONTH(AE$1,0),'UX Weekly'!$H148:$CT148,"&lt;&gt;"))</f>
        <v>0</v>
      </c>
      <c r="AF148">
        <f>IF($B148="",0,COUNTIFS('UX Weekly'!$H$1:$CT$1,"&gt;="&amp;AF$1,'UX Weekly'!$H$1:$CT$1,"&lt;="&amp;EOMONTH(AF$1,0),'UX Weekly'!$H148:$CT148,"&lt;&gt;"))</f>
        <v>0</v>
      </c>
      <c r="AG148">
        <f>IF($B148="",0,COUNTIFS('UX Weekly'!$H$1:$CT$1,"&gt;="&amp;AG$1,'UX Weekly'!$H$1:$CT$1,"&lt;="&amp;EOMONTH(AG$1,0),'UX Weekly'!$H148:$CT148,"&lt;&gt;"))</f>
        <v>0</v>
      </c>
      <c r="AH148">
        <f>IF($B148="",0,COUNTIFS('UX Weekly'!$H$1:$CT$1,"&gt;="&amp;AH$1,'UX Weekly'!$H$1:$CT$1,"&lt;="&amp;EOMONTH(AH$1,0),'UX Weekly'!$H148:$CT148,"&lt;&gt;"))</f>
        <v>0</v>
      </c>
      <c r="AI148">
        <f>IF($B148="",0,COUNTIFS('UX Weekly'!$H$1:$CT$1,"&gt;="&amp;AI$1,'UX Weekly'!$H$1:$CT$1,"&lt;="&amp;EOMONTH(AI$1,0),'UX Weekly'!$H148:$CT148,"&lt;&gt;"))</f>
        <v>0</v>
      </c>
      <c r="AJ148">
        <f>IF($B148="",0,COUNTIFS('UX Weekly'!$H$1:$CT$1,"&gt;="&amp;AJ$1,'UX Weekly'!$H$1:$CT$1,"&lt;="&amp;EOMONTH(AJ$1,0),'UX Weekly'!$H148:$CT148,"&lt;&gt;"))</f>
        <v>0</v>
      </c>
      <c r="AK148">
        <f>IF($B148="",0,COUNTIFS('UX Weekly'!$H$1:$CT$1,"&gt;="&amp;AK$1,'UX Weekly'!$H$1:$CT$1,"&lt;="&amp;EOMONTH(AK$1,0),'UX Weekly'!$H148:$CT148,"&lt;&gt;"))</f>
        <v>0</v>
      </c>
      <c r="AL148">
        <f>IF($B148="",0,COUNTIFS('UX Weekly'!$H$1:$CT$1,"&gt;="&amp;AL$1,'UX Weekly'!$H$1:$CT$1,"&lt;="&amp;EOMONTH(AL$1,0),'UX Weekly'!$H148:$CT148,"&lt;&gt;"))</f>
        <v>0</v>
      </c>
      <c r="AM148">
        <f>IF($B148="",0,COUNTIFS('UX Weekly'!$H$1:$CT$1,"&gt;="&amp;AM$1,'UX Weekly'!$H$1:$CT$1,"&lt;="&amp;EOMONTH(AM$1,0),'UX Weekly'!$H148:$CT148,"&lt;&gt;"))</f>
        <v>0</v>
      </c>
      <c r="AN148">
        <f>IF($B148="",0,COUNTIFS('UX Weekly'!$H$1:$CT$1,"&gt;="&amp;AN$1,'UX Weekly'!$H$1:$CT$1,"&lt;="&amp;EOMONTH(AN$1,0),'UX Weekly'!$H148:$CT148,"&lt;&gt;"))</f>
        <v>0</v>
      </c>
      <c r="AO148">
        <f>IF($B148="",0,COUNTIFS('UX Weekly'!$H$1:$CT$1,"&gt;="&amp;AO$1,'UX Weekly'!$H$1:$CT$1,"&lt;="&amp;EOMONTH(AO$1,0),'UX Weekly'!$H148:$CT148,"&lt;&gt;"))</f>
        <v>0</v>
      </c>
      <c r="AP148">
        <f>IF($B148="",0,COUNTIFS('UX Weekly'!$H$1:$CT$1,"&gt;="&amp;AP$1,'UX Weekly'!$H$1:$CT$1,"&lt;="&amp;EOMONTH(AP$1,0),'UX Weekly'!$H148:$CT148,"&lt;&gt;"))</f>
        <v>0</v>
      </c>
      <c r="AQ148">
        <f>IF($B148="",0,COUNTIFS('UX Weekly'!$H$1:$CT$1,"&gt;="&amp;AQ$1,'UX Weekly'!$H$1:$CT$1,"&lt;="&amp;EOMONTH(AQ$1,0),'UX Weekly'!$H148:$CT148,"&lt;&gt;"))</f>
        <v>0</v>
      </c>
      <c r="AR148">
        <f>IF($B148="",0,COUNTIFS('UX Weekly'!$H$1:$CT$1,"&gt;="&amp;AR$1,'UX Weekly'!$H$1:$CT$1,"&lt;="&amp;EOMONTH(AR$1,0),'UX Weekly'!$H148:$CT148,"&lt;&gt;"))</f>
        <v>0</v>
      </c>
      <c r="AS148">
        <f>IF($B148="",0,COUNTIFS('UX Weekly'!$H$1:$CT$1,"&gt;="&amp;AS$1,'UX Weekly'!$H$1:$CT$1,"&lt;="&amp;EOMONTH(AS$1,0),'UX Weekly'!$H148:$CT148,"&lt;&gt;"))</f>
        <v>0</v>
      </c>
      <c r="AT148">
        <f>IF($B148="",0,COUNTIFS('UX Weekly'!$H$1:$CT$1,"&gt;="&amp;AT$1,'UX Weekly'!$H$1:$CT$1,"&lt;="&amp;EOMONTH(AT$1,0),'UX Weekly'!$H148:$CT148,"&lt;&gt;"))</f>
        <v>0</v>
      </c>
    </row>
    <row r="149" spans="1:46" x14ac:dyDescent="0.2">
      <c r="A149" s="147">
        <v>150</v>
      </c>
      <c r="B149" s="147" t="str">
        <f>IF(TRIM('UX Weekly'!E149)="","",TRIM('UX Weekly'!E149))</f>
        <v/>
      </c>
      <c r="C149" s="147" t="str">
        <f>IF($B149="","",'UX Weekly'!B149)</f>
        <v/>
      </c>
      <c r="D149" s="147" t="str">
        <f>IF($B149="","",IF(TRIM('UX Weekly'!C149)="","(No theme assigned)",TRIM('UX Weekly'!C149)))</f>
        <v/>
      </c>
      <c r="E149" s="147" t="str">
        <f>IF($B149="","",TRIM('UX Weekly'!F149))</f>
        <v/>
      </c>
      <c r="F149" s="147" t="str">
        <f>IF($B149="","",'UX Weekly'!G149)</f>
        <v/>
      </c>
      <c r="G149" s="148" t="str">
        <f t="array" ref="G149">IF($B149="","",IF($S149=0,"",IFERROR(MIN(IF('UX Weekly'!$H149:$CT149&lt;&gt;"",'UX Weekly'!$H$1:$CT$1)),"")))</f>
        <v/>
      </c>
      <c r="H149" s="148" t="str">
        <f t="array" ref="H149">IF($B149="","",IF($S149=0,"",IFERROR(MAX(IF('UX Weekly'!$H149:$CT149&lt;&gt;"",'UX Weekly'!$H$1:$CT$1)),"")))</f>
        <v/>
      </c>
      <c r="I149" s="149" t="str">
        <f t="shared" ca="1" si="12"/>
        <v/>
      </c>
      <c r="J149" s="149" t="str">
        <f t="shared" ca="1" si="13"/>
        <v/>
      </c>
      <c r="K149" s="147" t="str">
        <f>IF($B149="","",IFERROR(MATCH($B149,'Dev Tracker'!$D$2:$D$196,0),IF($E149="","",IFERROR(MATCH($E149,'Dev Tracker'!$E$2:$E$196,0),""))))</f>
        <v/>
      </c>
      <c r="L149" s="147" t="str">
        <f>IF($B149="","",IFERROR(MATCH($D149,'Control (Don’t Touch)'!$E$4:$E$30,0),99))</f>
        <v/>
      </c>
      <c r="M149" s="147" t="str">
        <f>IF($B149="","",IFERROR(MATCH($F149,'Control (Don’t Touch)'!$B$4:$B$30,0),99))</f>
        <v/>
      </c>
      <c r="N149" s="147" t="str">
        <f t="shared" si="14"/>
        <v/>
      </c>
      <c r="O149" s="147" t="str">
        <f>IF($B149="","",COUNTIF($N$2:$N$204,"&lt;"&amp;$N149)+1)</f>
        <v/>
      </c>
      <c r="P149" s="149" t="str">
        <f ca="1">IF($K149="","",IFERROR(DATE(IFERROR(VALUE(RIGHT(TRIM(INDEX('Dev Tracker'!$I$2:$I$196,$K149)),4)),YEAR(TODAY())),MATCH(LEFT(TRIM(INDEX('Dev Tracker'!$I$2:$I$196,$K149)),3),$U$2:$U$12,0),1),""))</f>
        <v/>
      </c>
      <c r="Q149" s="149" t="str">
        <f ca="1">IF($K149="","",IFERROR(DATE(IFERROR(VALUE(RIGHT(TRIM(INDEX('Dev Tracker'!$J$2:$J$196,$K149)),4)),YEAR(TODAY())),MATCH(LEFT(TRIM(INDEX('Dev Tracker'!$J$2:$J$196,$K149)),3),$U$2:$U$12,0),1),""))</f>
        <v/>
      </c>
      <c r="R149" s="147"/>
      <c r="S149" s="147" t="str">
        <f>IF($B149="","",COUNTA('UX Weekly'!$H149:$CT149))</f>
        <v/>
      </c>
      <c r="W149">
        <f>IF($B149="",0,COUNTIFS('UX Weekly'!$H$1:$CT$1,"&gt;="&amp;W$1,'UX Weekly'!$H$1:$CT$1,"&lt;="&amp;EOMONTH(W$1,0),'UX Weekly'!$H149:$CT149,"&lt;&gt;"))</f>
        <v>0</v>
      </c>
      <c r="X149">
        <f>IF($B149="",0,COUNTIFS('UX Weekly'!$H$1:$CT$1,"&gt;="&amp;X$1,'UX Weekly'!$H$1:$CT$1,"&lt;="&amp;EOMONTH(X$1,0),'UX Weekly'!$H149:$CT149,"&lt;&gt;"))</f>
        <v>0</v>
      </c>
      <c r="Y149">
        <f>IF($B149="",0,COUNTIFS('UX Weekly'!$H$1:$CT$1,"&gt;="&amp;Y$1,'UX Weekly'!$H$1:$CT$1,"&lt;="&amp;EOMONTH(Y$1,0),'UX Weekly'!$H149:$CT149,"&lt;&gt;"))</f>
        <v>0</v>
      </c>
      <c r="Z149">
        <f>IF($B149="",0,COUNTIFS('UX Weekly'!$H$1:$CT$1,"&gt;="&amp;Z$1,'UX Weekly'!$H$1:$CT$1,"&lt;="&amp;EOMONTH(Z$1,0),'UX Weekly'!$H149:$CT149,"&lt;&gt;"))</f>
        <v>0</v>
      </c>
      <c r="AA149">
        <f>IF($B149="",0,COUNTIFS('UX Weekly'!$H$1:$CT$1,"&gt;="&amp;AA$1,'UX Weekly'!$H$1:$CT$1,"&lt;="&amp;EOMONTH(AA$1,0),'UX Weekly'!$H149:$CT149,"&lt;&gt;"))</f>
        <v>0</v>
      </c>
      <c r="AB149">
        <f>IF($B149="",0,COUNTIFS('UX Weekly'!$H$1:$CT$1,"&gt;="&amp;AB$1,'UX Weekly'!$H$1:$CT$1,"&lt;="&amp;EOMONTH(AB$1,0),'UX Weekly'!$H149:$CT149,"&lt;&gt;"))</f>
        <v>0</v>
      </c>
      <c r="AC149">
        <f>IF($B149="",0,COUNTIFS('UX Weekly'!$H$1:$CT$1,"&gt;="&amp;AC$1,'UX Weekly'!$H$1:$CT$1,"&lt;="&amp;EOMONTH(AC$1,0),'UX Weekly'!$H149:$CT149,"&lt;&gt;"))</f>
        <v>0</v>
      </c>
      <c r="AD149">
        <f>IF($B149="",0,COUNTIFS('UX Weekly'!$H$1:$CT$1,"&gt;="&amp;AD$1,'UX Weekly'!$H$1:$CT$1,"&lt;="&amp;EOMONTH(AD$1,0),'UX Weekly'!$H149:$CT149,"&lt;&gt;"))</f>
        <v>0</v>
      </c>
      <c r="AE149">
        <f>IF($B149="",0,COUNTIFS('UX Weekly'!$H$1:$CT$1,"&gt;="&amp;AE$1,'UX Weekly'!$H$1:$CT$1,"&lt;="&amp;EOMONTH(AE$1,0),'UX Weekly'!$H149:$CT149,"&lt;&gt;"))</f>
        <v>0</v>
      </c>
      <c r="AF149">
        <f>IF($B149="",0,COUNTIFS('UX Weekly'!$H$1:$CT$1,"&gt;="&amp;AF$1,'UX Weekly'!$H$1:$CT$1,"&lt;="&amp;EOMONTH(AF$1,0),'UX Weekly'!$H149:$CT149,"&lt;&gt;"))</f>
        <v>0</v>
      </c>
      <c r="AG149">
        <f>IF($B149="",0,COUNTIFS('UX Weekly'!$H$1:$CT$1,"&gt;="&amp;AG$1,'UX Weekly'!$H$1:$CT$1,"&lt;="&amp;EOMONTH(AG$1,0),'UX Weekly'!$H149:$CT149,"&lt;&gt;"))</f>
        <v>0</v>
      </c>
      <c r="AH149">
        <f>IF($B149="",0,COUNTIFS('UX Weekly'!$H$1:$CT$1,"&gt;="&amp;AH$1,'UX Weekly'!$H$1:$CT$1,"&lt;="&amp;EOMONTH(AH$1,0),'UX Weekly'!$H149:$CT149,"&lt;&gt;"))</f>
        <v>0</v>
      </c>
      <c r="AI149">
        <f>IF($B149="",0,COUNTIFS('UX Weekly'!$H$1:$CT$1,"&gt;="&amp;AI$1,'UX Weekly'!$H$1:$CT$1,"&lt;="&amp;EOMONTH(AI$1,0),'UX Weekly'!$H149:$CT149,"&lt;&gt;"))</f>
        <v>0</v>
      </c>
      <c r="AJ149">
        <f>IF($B149="",0,COUNTIFS('UX Weekly'!$H$1:$CT$1,"&gt;="&amp;AJ$1,'UX Weekly'!$H$1:$CT$1,"&lt;="&amp;EOMONTH(AJ$1,0),'UX Weekly'!$H149:$CT149,"&lt;&gt;"))</f>
        <v>0</v>
      </c>
      <c r="AK149">
        <f>IF($B149="",0,COUNTIFS('UX Weekly'!$H$1:$CT$1,"&gt;="&amp;AK$1,'UX Weekly'!$H$1:$CT$1,"&lt;="&amp;EOMONTH(AK$1,0),'UX Weekly'!$H149:$CT149,"&lt;&gt;"))</f>
        <v>0</v>
      </c>
      <c r="AL149">
        <f>IF($B149="",0,COUNTIFS('UX Weekly'!$H$1:$CT$1,"&gt;="&amp;AL$1,'UX Weekly'!$H$1:$CT$1,"&lt;="&amp;EOMONTH(AL$1,0),'UX Weekly'!$H149:$CT149,"&lt;&gt;"))</f>
        <v>0</v>
      </c>
      <c r="AM149">
        <f>IF($B149="",0,COUNTIFS('UX Weekly'!$H$1:$CT$1,"&gt;="&amp;AM$1,'UX Weekly'!$H$1:$CT$1,"&lt;="&amp;EOMONTH(AM$1,0),'UX Weekly'!$H149:$CT149,"&lt;&gt;"))</f>
        <v>0</v>
      </c>
      <c r="AN149">
        <f>IF($B149="",0,COUNTIFS('UX Weekly'!$H$1:$CT$1,"&gt;="&amp;AN$1,'UX Weekly'!$H$1:$CT$1,"&lt;="&amp;EOMONTH(AN$1,0),'UX Weekly'!$H149:$CT149,"&lt;&gt;"))</f>
        <v>0</v>
      </c>
      <c r="AO149">
        <f>IF($B149="",0,COUNTIFS('UX Weekly'!$H$1:$CT$1,"&gt;="&amp;AO$1,'UX Weekly'!$H$1:$CT$1,"&lt;="&amp;EOMONTH(AO$1,0),'UX Weekly'!$H149:$CT149,"&lt;&gt;"))</f>
        <v>0</v>
      </c>
      <c r="AP149">
        <f>IF($B149="",0,COUNTIFS('UX Weekly'!$H$1:$CT$1,"&gt;="&amp;AP$1,'UX Weekly'!$H$1:$CT$1,"&lt;="&amp;EOMONTH(AP$1,0),'UX Weekly'!$H149:$CT149,"&lt;&gt;"))</f>
        <v>0</v>
      </c>
      <c r="AQ149">
        <f>IF($B149="",0,COUNTIFS('UX Weekly'!$H$1:$CT$1,"&gt;="&amp;AQ$1,'UX Weekly'!$H$1:$CT$1,"&lt;="&amp;EOMONTH(AQ$1,0),'UX Weekly'!$H149:$CT149,"&lt;&gt;"))</f>
        <v>0</v>
      </c>
      <c r="AR149">
        <f>IF($B149="",0,COUNTIFS('UX Weekly'!$H$1:$CT$1,"&gt;="&amp;AR$1,'UX Weekly'!$H$1:$CT$1,"&lt;="&amp;EOMONTH(AR$1,0),'UX Weekly'!$H149:$CT149,"&lt;&gt;"))</f>
        <v>0</v>
      </c>
      <c r="AS149">
        <f>IF($B149="",0,COUNTIFS('UX Weekly'!$H$1:$CT$1,"&gt;="&amp;AS$1,'UX Weekly'!$H$1:$CT$1,"&lt;="&amp;EOMONTH(AS$1,0),'UX Weekly'!$H149:$CT149,"&lt;&gt;"))</f>
        <v>0</v>
      </c>
      <c r="AT149">
        <f>IF($B149="",0,COUNTIFS('UX Weekly'!$H$1:$CT$1,"&gt;="&amp;AT$1,'UX Weekly'!$H$1:$CT$1,"&lt;="&amp;EOMONTH(AT$1,0),'UX Weekly'!$H149:$CT149,"&lt;&gt;"))</f>
        <v>0</v>
      </c>
    </row>
    <row r="150" spans="1:46" x14ac:dyDescent="0.2">
      <c r="A150" s="147">
        <v>151</v>
      </c>
      <c r="B150" s="147" t="str">
        <f>IF(TRIM('UX Weekly'!E150)="","",TRIM('UX Weekly'!E150))</f>
        <v/>
      </c>
      <c r="C150" s="147" t="str">
        <f>IF($B150="","",'UX Weekly'!B150)</f>
        <v/>
      </c>
      <c r="D150" s="147" t="str">
        <f>IF($B150="","",IF(TRIM('UX Weekly'!C150)="","(No theme assigned)",TRIM('UX Weekly'!C150)))</f>
        <v/>
      </c>
      <c r="E150" s="147" t="str">
        <f>IF($B150="","",TRIM('UX Weekly'!F150))</f>
        <v/>
      </c>
      <c r="F150" s="147" t="str">
        <f>IF($B150="","",'UX Weekly'!G150)</f>
        <v/>
      </c>
      <c r="G150" s="148" t="str">
        <f t="array" ref="G150">IF($B150="","",IF($S150=0,"",IFERROR(MIN(IF('UX Weekly'!$H150:$CT150&lt;&gt;"",'UX Weekly'!$H$1:$CT$1)),"")))</f>
        <v/>
      </c>
      <c r="H150" s="148" t="str">
        <f t="array" ref="H150">IF($B150="","",IF($S150=0,"",IFERROR(MAX(IF('UX Weekly'!$H150:$CT150&lt;&gt;"",'UX Weekly'!$H$1:$CT$1)),"")))</f>
        <v/>
      </c>
      <c r="I150" s="149" t="str">
        <f t="shared" ca="1" si="12"/>
        <v/>
      </c>
      <c r="J150" s="149" t="str">
        <f t="shared" ca="1" si="13"/>
        <v/>
      </c>
      <c r="K150" s="147" t="str">
        <f>IF($B150="","",IFERROR(MATCH($B150,'Dev Tracker'!$D$2:$D$196,0),IF($E150="","",IFERROR(MATCH($E150,'Dev Tracker'!$E$2:$E$196,0),""))))</f>
        <v/>
      </c>
      <c r="L150" s="147" t="str">
        <f>IF($B150="","",IFERROR(MATCH($D150,'Control (Don’t Touch)'!$E$4:$E$30,0),99))</f>
        <v/>
      </c>
      <c r="M150" s="147" t="str">
        <f>IF($B150="","",IFERROR(MATCH($F150,'Control (Don’t Touch)'!$B$4:$B$30,0),99))</f>
        <v/>
      </c>
      <c r="N150" s="147" t="str">
        <f t="shared" si="14"/>
        <v/>
      </c>
      <c r="O150" s="147" t="str">
        <f>IF($B150="","",COUNTIF($N$2:$N$204,"&lt;"&amp;$N150)+1)</f>
        <v/>
      </c>
      <c r="P150" s="149" t="str">
        <f ca="1">IF($K150="","",IFERROR(DATE(IFERROR(VALUE(RIGHT(TRIM(INDEX('Dev Tracker'!$I$2:$I$196,$K150)),4)),YEAR(TODAY())),MATCH(LEFT(TRIM(INDEX('Dev Tracker'!$I$2:$I$196,$K150)),3),$U$2:$U$12,0),1),""))</f>
        <v/>
      </c>
      <c r="Q150" s="149" t="str">
        <f ca="1">IF($K150="","",IFERROR(DATE(IFERROR(VALUE(RIGHT(TRIM(INDEX('Dev Tracker'!$J$2:$J$196,$K150)),4)),YEAR(TODAY())),MATCH(LEFT(TRIM(INDEX('Dev Tracker'!$J$2:$J$196,$K150)),3),$U$2:$U$12,0),1),""))</f>
        <v/>
      </c>
      <c r="R150" s="147"/>
      <c r="S150" s="147" t="str">
        <f>IF($B150="","",COUNTA('UX Weekly'!$H150:$CT150))</f>
        <v/>
      </c>
      <c r="W150">
        <f>IF($B150="",0,COUNTIFS('UX Weekly'!$H$1:$CT$1,"&gt;="&amp;W$1,'UX Weekly'!$H$1:$CT$1,"&lt;="&amp;EOMONTH(W$1,0),'UX Weekly'!$H150:$CT150,"&lt;&gt;"))</f>
        <v>0</v>
      </c>
      <c r="X150">
        <f>IF($B150="",0,COUNTIFS('UX Weekly'!$H$1:$CT$1,"&gt;="&amp;X$1,'UX Weekly'!$H$1:$CT$1,"&lt;="&amp;EOMONTH(X$1,0),'UX Weekly'!$H150:$CT150,"&lt;&gt;"))</f>
        <v>0</v>
      </c>
      <c r="Y150">
        <f>IF($B150="",0,COUNTIFS('UX Weekly'!$H$1:$CT$1,"&gt;="&amp;Y$1,'UX Weekly'!$H$1:$CT$1,"&lt;="&amp;EOMONTH(Y$1,0),'UX Weekly'!$H150:$CT150,"&lt;&gt;"))</f>
        <v>0</v>
      </c>
      <c r="Z150">
        <f>IF($B150="",0,COUNTIFS('UX Weekly'!$H$1:$CT$1,"&gt;="&amp;Z$1,'UX Weekly'!$H$1:$CT$1,"&lt;="&amp;EOMONTH(Z$1,0),'UX Weekly'!$H150:$CT150,"&lt;&gt;"))</f>
        <v>0</v>
      </c>
      <c r="AA150">
        <f>IF($B150="",0,COUNTIFS('UX Weekly'!$H$1:$CT$1,"&gt;="&amp;AA$1,'UX Weekly'!$H$1:$CT$1,"&lt;="&amp;EOMONTH(AA$1,0),'UX Weekly'!$H150:$CT150,"&lt;&gt;"))</f>
        <v>0</v>
      </c>
      <c r="AB150">
        <f>IF($B150="",0,COUNTIFS('UX Weekly'!$H$1:$CT$1,"&gt;="&amp;AB$1,'UX Weekly'!$H$1:$CT$1,"&lt;="&amp;EOMONTH(AB$1,0),'UX Weekly'!$H150:$CT150,"&lt;&gt;"))</f>
        <v>0</v>
      </c>
      <c r="AC150">
        <f>IF($B150="",0,COUNTIFS('UX Weekly'!$H$1:$CT$1,"&gt;="&amp;AC$1,'UX Weekly'!$H$1:$CT$1,"&lt;="&amp;EOMONTH(AC$1,0),'UX Weekly'!$H150:$CT150,"&lt;&gt;"))</f>
        <v>0</v>
      </c>
      <c r="AD150">
        <f>IF($B150="",0,COUNTIFS('UX Weekly'!$H$1:$CT$1,"&gt;="&amp;AD$1,'UX Weekly'!$H$1:$CT$1,"&lt;="&amp;EOMONTH(AD$1,0),'UX Weekly'!$H150:$CT150,"&lt;&gt;"))</f>
        <v>0</v>
      </c>
      <c r="AE150">
        <f>IF($B150="",0,COUNTIFS('UX Weekly'!$H$1:$CT$1,"&gt;="&amp;AE$1,'UX Weekly'!$H$1:$CT$1,"&lt;="&amp;EOMONTH(AE$1,0),'UX Weekly'!$H150:$CT150,"&lt;&gt;"))</f>
        <v>0</v>
      </c>
      <c r="AF150">
        <f>IF($B150="",0,COUNTIFS('UX Weekly'!$H$1:$CT$1,"&gt;="&amp;AF$1,'UX Weekly'!$H$1:$CT$1,"&lt;="&amp;EOMONTH(AF$1,0),'UX Weekly'!$H150:$CT150,"&lt;&gt;"))</f>
        <v>0</v>
      </c>
      <c r="AG150">
        <f>IF($B150="",0,COUNTIFS('UX Weekly'!$H$1:$CT$1,"&gt;="&amp;AG$1,'UX Weekly'!$H$1:$CT$1,"&lt;="&amp;EOMONTH(AG$1,0),'UX Weekly'!$H150:$CT150,"&lt;&gt;"))</f>
        <v>0</v>
      </c>
      <c r="AH150">
        <f>IF($B150="",0,COUNTIFS('UX Weekly'!$H$1:$CT$1,"&gt;="&amp;AH$1,'UX Weekly'!$H$1:$CT$1,"&lt;="&amp;EOMONTH(AH$1,0),'UX Weekly'!$H150:$CT150,"&lt;&gt;"))</f>
        <v>0</v>
      </c>
      <c r="AI150">
        <f>IF($B150="",0,COUNTIFS('UX Weekly'!$H$1:$CT$1,"&gt;="&amp;AI$1,'UX Weekly'!$H$1:$CT$1,"&lt;="&amp;EOMONTH(AI$1,0),'UX Weekly'!$H150:$CT150,"&lt;&gt;"))</f>
        <v>0</v>
      </c>
      <c r="AJ150">
        <f>IF($B150="",0,COUNTIFS('UX Weekly'!$H$1:$CT$1,"&gt;="&amp;AJ$1,'UX Weekly'!$H$1:$CT$1,"&lt;="&amp;EOMONTH(AJ$1,0),'UX Weekly'!$H150:$CT150,"&lt;&gt;"))</f>
        <v>0</v>
      </c>
      <c r="AK150">
        <f>IF($B150="",0,COUNTIFS('UX Weekly'!$H$1:$CT$1,"&gt;="&amp;AK$1,'UX Weekly'!$H$1:$CT$1,"&lt;="&amp;EOMONTH(AK$1,0),'UX Weekly'!$H150:$CT150,"&lt;&gt;"))</f>
        <v>0</v>
      </c>
      <c r="AL150">
        <f>IF($B150="",0,COUNTIFS('UX Weekly'!$H$1:$CT$1,"&gt;="&amp;AL$1,'UX Weekly'!$H$1:$CT$1,"&lt;="&amp;EOMONTH(AL$1,0),'UX Weekly'!$H150:$CT150,"&lt;&gt;"))</f>
        <v>0</v>
      </c>
      <c r="AM150">
        <f>IF($B150="",0,COUNTIFS('UX Weekly'!$H$1:$CT$1,"&gt;="&amp;AM$1,'UX Weekly'!$H$1:$CT$1,"&lt;="&amp;EOMONTH(AM$1,0),'UX Weekly'!$H150:$CT150,"&lt;&gt;"))</f>
        <v>0</v>
      </c>
      <c r="AN150">
        <f>IF($B150="",0,COUNTIFS('UX Weekly'!$H$1:$CT$1,"&gt;="&amp;AN$1,'UX Weekly'!$H$1:$CT$1,"&lt;="&amp;EOMONTH(AN$1,0),'UX Weekly'!$H150:$CT150,"&lt;&gt;"))</f>
        <v>0</v>
      </c>
      <c r="AO150">
        <f>IF($B150="",0,COUNTIFS('UX Weekly'!$H$1:$CT$1,"&gt;="&amp;AO$1,'UX Weekly'!$H$1:$CT$1,"&lt;="&amp;EOMONTH(AO$1,0),'UX Weekly'!$H150:$CT150,"&lt;&gt;"))</f>
        <v>0</v>
      </c>
      <c r="AP150">
        <f>IF($B150="",0,COUNTIFS('UX Weekly'!$H$1:$CT$1,"&gt;="&amp;AP$1,'UX Weekly'!$H$1:$CT$1,"&lt;="&amp;EOMONTH(AP$1,0),'UX Weekly'!$H150:$CT150,"&lt;&gt;"))</f>
        <v>0</v>
      </c>
      <c r="AQ150">
        <f>IF($B150="",0,COUNTIFS('UX Weekly'!$H$1:$CT$1,"&gt;="&amp;AQ$1,'UX Weekly'!$H$1:$CT$1,"&lt;="&amp;EOMONTH(AQ$1,0),'UX Weekly'!$H150:$CT150,"&lt;&gt;"))</f>
        <v>0</v>
      </c>
      <c r="AR150">
        <f>IF($B150="",0,COUNTIFS('UX Weekly'!$H$1:$CT$1,"&gt;="&amp;AR$1,'UX Weekly'!$H$1:$CT$1,"&lt;="&amp;EOMONTH(AR$1,0),'UX Weekly'!$H150:$CT150,"&lt;&gt;"))</f>
        <v>0</v>
      </c>
      <c r="AS150">
        <f>IF($B150="",0,COUNTIFS('UX Weekly'!$H$1:$CT$1,"&gt;="&amp;AS$1,'UX Weekly'!$H$1:$CT$1,"&lt;="&amp;EOMONTH(AS$1,0),'UX Weekly'!$H150:$CT150,"&lt;&gt;"))</f>
        <v>0</v>
      </c>
      <c r="AT150">
        <f>IF($B150="",0,COUNTIFS('UX Weekly'!$H$1:$CT$1,"&gt;="&amp;AT$1,'UX Weekly'!$H$1:$CT$1,"&lt;="&amp;EOMONTH(AT$1,0),'UX Weekly'!$H150:$CT150,"&lt;&gt;"))</f>
        <v>0</v>
      </c>
    </row>
    <row r="154" spans="1:46" x14ac:dyDescent="0.2">
      <c r="A154" s="147">
        <v>5</v>
      </c>
      <c r="B154" s="147" t="str">
        <f>IF(TRIM('Dev Tracker'!D2)="","",IF(COUNTIF($K$2:$K$150,1)&gt;0,"",TRIM('Dev Tracker'!D2)))</f>
        <v/>
      </c>
      <c r="C154" s="147" t="str">
        <f>IF($B154="","",'Dev Tracker'!#REF!)</f>
        <v/>
      </c>
      <c r="D154" s="147" t="str">
        <f t="shared" ref="D154:D185" si="15">IF($B154="","","(Tracker only — no Weekly row)")</f>
        <v/>
      </c>
      <c r="E154" s="147" t="str">
        <f>IF($B154="","",TRIM('Dev Tracker'!E2))</f>
        <v/>
      </c>
      <c r="F154" s="147" t="str">
        <f>IF($B154="","",'Dev Tracker'!F2)</f>
        <v/>
      </c>
      <c r="G154" s="148" t="str">
        <f>""</f>
        <v/>
      </c>
      <c r="H154" s="148" t="str">
        <f>""</f>
        <v/>
      </c>
      <c r="I154" s="149" t="str">
        <f t="shared" ref="I154:I185" ca="1" si="16">IF($Q154&lt;&gt;"",IF($P154&lt;&gt;"",$P154,$Q154),IF($P154&lt;&gt;"",$P154,""))</f>
        <v/>
      </c>
      <c r="J154" s="149" t="str">
        <f t="shared" ref="J154:J185" ca="1" si="17">IF($Q154&lt;&gt;"",EOMONTH($Q154,0),IF($P154&lt;&gt;"",EOMONTH($P154,0),""))</f>
        <v/>
      </c>
      <c r="K154" s="147" t="str">
        <f>IF($B154="","",1)</f>
        <v/>
      </c>
      <c r="L154" s="147" t="str">
        <f t="shared" ref="L154:L185" si="18">IF($B154="","",100)</f>
        <v/>
      </c>
      <c r="M154" s="147" t="str">
        <f>IF($B154="","",IFERROR(MATCH($F154,'Control (Don’t Touch)'!$B$4:$B$30,0),99))</f>
        <v/>
      </c>
      <c r="N154" s="147" t="str">
        <f t="shared" ref="N154:N185" si="19">IF($B154="","",$L154*1000000+$M154*10000+ROW())</f>
        <v/>
      </c>
      <c r="O154" s="147" t="str">
        <f>IF($B154="","",COUNTIF($N$2:$N$204,"&lt;"&amp;$N154)+1)</f>
        <v/>
      </c>
      <c r="P154" s="149" t="str">
        <f ca="1">IF($B154="","",IFERROR(DATE(IFERROR(VALUE(RIGHT(TRIM('Dev Tracker'!I2),4)),YEAR(TODAY())),MATCH(LEFT(TRIM('Dev Tracker'!I2),3),$U$2:$U$12,0),1),""))</f>
        <v/>
      </c>
      <c r="Q154" s="149" t="str">
        <f ca="1">IF($B154="","",IFERROR(DATE(IFERROR(VALUE(RIGHT(TRIM('Dev Tracker'!J2),4)),YEAR(TODAY())),MATCH(LEFT(TRIM('Dev Tracker'!J2),3),$U$2:$U$12,0),1),""))</f>
        <v/>
      </c>
      <c r="R154" s="147"/>
      <c r="S154" s="147" t="str">
        <f>""</f>
        <v/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</row>
    <row r="155" spans="1:46" x14ac:dyDescent="0.2">
      <c r="A155" s="147">
        <v>6</v>
      </c>
      <c r="B155" s="147" t="str">
        <f>IF(TRIM('Dev Tracker'!D3)="","",IF(COUNTIF($K$2:$K$150,2)&gt;0,"",TRIM('Dev Tracker'!D3)))</f>
        <v/>
      </c>
      <c r="C155" s="147" t="str">
        <f>IF($B155="","",'Dev Tracker'!#REF!)</f>
        <v/>
      </c>
      <c r="D155" s="147" t="str">
        <f t="shared" si="15"/>
        <v/>
      </c>
      <c r="E155" s="147" t="str">
        <f>IF($B155="","",TRIM('Dev Tracker'!E3))</f>
        <v/>
      </c>
      <c r="F155" s="147" t="str">
        <f>IF($B155="","",'Dev Tracker'!F3)</f>
        <v/>
      </c>
      <c r="G155" s="148" t="str">
        <f>""</f>
        <v/>
      </c>
      <c r="H155" s="148" t="str">
        <f>""</f>
        <v/>
      </c>
      <c r="I155" s="149" t="str">
        <f t="shared" ca="1" si="16"/>
        <v/>
      </c>
      <c r="J155" s="149" t="str">
        <f t="shared" ca="1" si="17"/>
        <v/>
      </c>
      <c r="K155" s="147" t="str">
        <f>IF($B155="","",2)</f>
        <v/>
      </c>
      <c r="L155" s="147" t="str">
        <f t="shared" si="18"/>
        <v/>
      </c>
      <c r="M155" s="147" t="str">
        <f>IF($B155="","",IFERROR(MATCH($F155,'Control (Don’t Touch)'!$B$4:$B$30,0),99))</f>
        <v/>
      </c>
      <c r="N155" s="147" t="str">
        <f t="shared" si="19"/>
        <v/>
      </c>
      <c r="O155" s="147" t="str">
        <f>IF($B155="","",COUNTIF($N$2:$N$204,"&lt;"&amp;$N155)+1)</f>
        <v/>
      </c>
      <c r="P155" s="149" t="str">
        <f ca="1">IF($B155="","",IFERROR(DATE(IFERROR(VALUE(RIGHT(TRIM('Dev Tracker'!I3),4)),YEAR(TODAY())),MATCH(LEFT(TRIM('Dev Tracker'!I3),3),$U$2:$U$12,0),1),""))</f>
        <v/>
      </c>
      <c r="Q155" s="149" t="str">
        <f ca="1">IF($B155="","",IFERROR(DATE(IFERROR(VALUE(RIGHT(TRIM('Dev Tracker'!J3),4)),YEAR(TODAY())),MATCH(LEFT(TRIM('Dev Tracker'!J3),3),$U$2:$U$12,0),1),""))</f>
        <v/>
      </c>
      <c r="R155" s="147"/>
      <c r="S155" s="147" t="str">
        <f>""</f>
        <v/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</row>
    <row r="156" spans="1:46" x14ac:dyDescent="0.2">
      <c r="A156" s="147">
        <v>7</v>
      </c>
      <c r="B156" s="147" t="str">
        <f>IF(TRIM('Dev Tracker'!D4)="","",IF(COUNTIF($K$2:$K$150,3)&gt;0,"",TRIM('Dev Tracker'!D4)))</f>
        <v/>
      </c>
      <c r="C156" s="147" t="str">
        <f>IF($B156="","",'Dev Tracker'!#REF!)</f>
        <v/>
      </c>
      <c r="D156" s="147" t="str">
        <f t="shared" si="15"/>
        <v/>
      </c>
      <c r="E156" s="147" t="str">
        <f>IF($B156="","",TRIM('Dev Tracker'!E4))</f>
        <v/>
      </c>
      <c r="F156" s="147" t="str">
        <f>IF($B156="","",'Dev Tracker'!F4)</f>
        <v/>
      </c>
      <c r="G156" s="148" t="str">
        <f>""</f>
        <v/>
      </c>
      <c r="H156" s="148" t="str">
        <f>""</f>
        <v/>
      </c>
      <c r="I156" s="149" t="str">
        <f t="shared" ca="1" si="16"/>
        <v/>
      </c>
      <c r="J156" s="149" t="str">
        <f t="shared" ca="1" si="17"/>
        <v/>
      </c>
      <c r="K156" s="147" t="str">
        <f>IF($B156="","",3)</f>
        <v/>
      </c>
      <c r="L156" s="147" t="str">
        <f t="shared" si="18"/>
        <v/>
      </c>
      <c r="M156" s="147" t="str">
        <f>IF($B156="","",IFERROR(MATCH($F156,'Control (Don’t Touch)'!$B$4:$B$30,0),99))</f>
        <v/>
      </c>
      <c r="N156" s="147" t="str">
        <f t="shared" si="19"/>
        <v/>
      </c>
      <c r="O156" s="147" t="str">
        <f>IF($B156="","",COUNTIF($N$2:$N$204,"&lt;"&amp;$N156)+1)</f>
        <v/>
      </c>
      <c r="P156" s="149" t="str">
        <f ca="1">IF($B156="","",IFERROR(DATE(IFERROR(VALUE(RIGHT(TRIM('Dev Tracker'!I4),4)),YEAR(TODAY())),MATCH(LEFT(TRIM('Dev Tracker'!I4),3),$U$2:$U$12,0),1),""))</f>
        <v/>
      </c>
      <c r="Q156" s="149" t="str">
        <f ca="1">IF($B156="","",IFERROR(DATE(IFERROR(VALUE(RIGHT(TRIM('Dev Tracker'!J4),4)),YEAR(TODAY())),MATCH(LEFT(TRIM('Dev Tracker'!J4),3),$U$2:$U$12,0),1),""))</f>
        <v/>
      </c>
      <c r="R156" s="147"/>
      <c r="S156" s="147" t="str">
        <f>""</f>
        <v/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</row>
    <row r="157" spans="1:46" x14ac:dyDescent="0.2">
      <c r="A157" s="147">
        <v>8</v>
      </c>
      <c r="B157" s="147" t="str">
        <f>IF(TRIM('Dev Tracker'!D5)="","",IF(COUNTIF($K$2:$K$150,4)&gt;0,"",TRIM('Dev Tracker'!D5)))</f>
        <v/>
      </c>
      <c r="C157" s="147" t="str">
        <f>IF($B157="","",'Dev Tracker'!#REF!)</f>
        <v/>
      </c>
      <c r="D157" s="147" t="str">
        <f t="shared" si="15"/>
        <v/>
      </c>
      <c r="E157" s="147" t="str">
        <f>IF($B157="","",TRIM('Dev Tracker'!E5))</f>
        <v/>
      </c>
      <c r="F157" s="147" t="str">
        <f>IF($B157="","",'Dev Tracker'!F5)</f>
        <v/>
      </c>
      <c r="G157" s="148" t="str">
        <f>""</f>
        <v/>
      </c>
      <c r="H157" s="148" t="str">
        <f>""</f>
        <v/>
      </c>
      <c r="I157" s="149" t="str">
        <f t="shared" ca="1" si="16"/>
        <v/>
      </c>
      <c r="J157" s="149" t="str">
        <f t="shared" ca="1" si="17"/>
        <v/>
      </c>
      <c r="K157" s="147" t="str">
        <f>IF($B157="","",4)</f>
        <v/>
      </c>
      <c r="L157" s="147" t="str">
        <f t="shared" si="18"/>
        <v/>
      </c>
      <c r="M157" s="147" t="str">
        <f>IF($B157="","",IFERROR(MATCH($F157,'Control (Don’t Touch)'!$B$4:$B$30,0),99))</f>
        <v/>
      </c>
      <c r="N157" s="147" t="str">
        <f t="shared" si="19"/>
        <v/>
      </c>
      <c r="O157" s="147" t="str">
        <f>IF($B157="","",COUNTIF($N$2:$N$204,"&lt;"&amp;$N157)+1)</f>
        <v/>
      </c>
      <c r="P157" s="149" t="str">
        <f ca="1">IF($B157="","",IFERROR(DATE(IFERROR(VALUE(RIGHT(TRIM('Dev Tracker'!I5),4)),YEAR(TODAY())),MATCH(LEFT(TRIM('Dev Tracker'!I5),3),$U$2:$U$12,0),1),""))</f>
        <v/>
      </c>
      <c r="Q157" s="149" t="str">
        <f ca="1">IF($B157="","",IFERROR(DATE(IFERROR(VALUE(RIGHT(TRIM('Dev Tracker'!J5),4)),YEAR(TODAY())),MATCH(LEFT(TRIM('Dev Tracker'!J5),3),$U$2:$U$12,0),1),""))</f>
        <v/>
      </c>
      <c r="R157" s="147"/>
      <c r="S157" s="147" t="str">
        <f>""</f>
        <v/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</row>
    <row r="158" spans="1:46" x14ac:dyDescent="0.2">
      <c r="A158" s="147">
        <v>9</v>
      </c>
      <c r="B158" s="147" t="str">
        <f>IF(TRIM('Dev Tracker'!D6)="","",IF(COUNTIF($K$2:$K$150,5)&gt;0,"",TRIM('Dev Tracker'!D6)))</f>
        <v/>
      </c>
      <c r="C158" s="147" t="str">
        <f>IF($B158="","",'Dev Tracker'!#REF!)</f>
        <v/>
      </c>
      <c r="D158" s="147" t="str">
        <f t="shared" si="15"/>
        <v/>
      </c>
      <c r="E158" s="147" t="str">
        <f>IF($B158="","",TRIM('Dev Tracker'!E6))</f>
        <v/>
      </c>
      <c r="F158" s="147" t="str">
        <f>IF($B158="","",'Dev Tracker'!F6)</f>
        <v/>
      </c>
      <c r="G158" s="148" t="str">
        <f>""</f>
        <v/>
      </c>
      <c r="H158" s="148" t="str">
        <f>""</f>
        <v/>
      </c>
      <c r="I158" s="149" t="str">
        <f t="shared" ca="1" si="16"/>
        <v/>
      </c>
      <c r="J158" s="149" t="str">
        <f t="shared" ca="1" si="17"/>
        <v/>
      </c>
      <c r="K158" s="147" t="str">
        <f>IF($B158="","",5)</f>
        <v/>
      </c>
      <c r="L158" s="147" t="str">
        <f t="shared" si="18"/>
        <v/>
      </c>
      <c r="M158" s="147" t="str">
        <f>IF($B158="","",IFERROR(MATCH($F158,'Control (Don’t Touch)'!$B$4:$B$30,0),99))</f>
        <v/>
      </c>
      <c r="N158" s="147" t="str">
        <f t="shared" si="19"/>
        <v/>
      </c>
      <c r="O158" s="147" t="str">
        <f>IF($B158="","",COUNTIF($N$2:$N$204,"&lt;"&amp;$N158)+1)</f>
        <v/>
      </c>
      <c r="P158" s="149" t="str">
        <f ca="1">IF($B158="","",IFERROR(DATE(IFERROR(VALUE(RIGHT(TRIM('Dev Tracker'!I6),4)),YEAR(TODAY())),MATCH(LEFT(TRIM('Dev Tracker'!I6),3),$U$2:$U$12,0),1),""))</f>
        <v/>
      </c>
      <c r="Q158" s="149" t="str">
        <f ca="1">IF($B158="","",IFERROR(DATE(IFERROR(VALUE(RIGHT(TRIM('Dev Tracker'!J6),4)),YEAR(TODAY())),MATCH(LEFT(TRIM('Dev Tracker'!J6),3),$U$2:$U$12,0),1),""))</f>
        <v/>
      </c>
      <c r="R158" s="147"/>
      <c r="S158" s="147" t="str">
        <f>""</f>
        <v/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</row>
    <row r="159" spans="1:46" x14ac:dyDescent="0.2">
      <c r="A159" s="147">
        <v>10</v>
      </c>
      <c r="B159" s="147" t="str">
        <f>IF(TRIM('Dev Tracker'!D7)="","",IF(COUNTIF($K$2:$K$150,6)&gt;0,"",TRIM('Dev Tracker'!D7)))</f>
        <v/>
      </c>
      <c r="C159" s="147" t="str">
        <f>IF($B159="","",'Dev Tracker'!#REF!)</f>
        <v/>
      </c>
      <c r="D159" s="147" t="str">
        <f t="shared" si="15"/>
        <v/>
      </c>
      <c r="E159" s="147" t="str">
        <f>IF($B159="","",TRIM('Dev Tracker'!E7))</f>
        <v/>
      </c>
      <c r="F159" s="147" t="str">
        <f>IF($B159="","",'Dev Tracker'!F7)</f>
        <v/>
      </c>
      <c r="G159" s="148" t="str">
        <f>""</f>
        <v/>
      </c>
      <c r="H159" s="148" t="str">
        <f>""</f>
        <v/>
      </c>
      <c r="I159" s="149" t="str">
        <f t="shared" ca="1" si="16"/>
        <v/>
      </c>
      <c r="J159" s="149" t="str">
        <f t="shared" ca="1" si="17"/>
        <v/>
      </c>
      <c r="K159" s="147" t="str">
        <f>IF($B159="","",6)</f>
        <v/>
      </c>
      <c r="L159" s="147" t="str">
        <f t="shared" si="18"/>
        <v/>
      </c>
      <c r="M159" s="147" t="str">
        <f>IF($B159="","",IFERROR(MATCH($F159,'Control (Don’t Touch)'!$B$4:$B$30,0),99))</f>
        <v/>
      </c>
      <c r="N159" s="147" t="str">
        <f t="shared" si="19"/>
        <v/>
      </c>
      <c r="O159" s="147" t="str">
        <f>IF($B159="","",COUNTIF($N$2:$N$204,"&lt;"&amp;$N159)+1)</f>
        <v/>
      </c>
      <c r="P159" s="149" t="str">
        <f ca="1">IF($B159="","",IFERROR(DATE(IFERROR(VALUE(RIGHT(TRIM('Dev Tracker'!I7),4)),YEAR(TODAY())),MATCH(LEFT(TRIM('Dev Tracker'!I7),3),$U$2:$U$12,0),1),""))</f>
        <v/>
      </c>
      <c r="Q159" s="149" t="str">
        <f ca="1">IF($B159="","",IFERROR(DATE(IFERROR(VALUE(RIGHT(TRIM('Dev Tracker'!J7),4)),YEAR(TODAY())),MATCH(LEFT(TRIM('Dev Tracker'!J7),3),$U$2:$U$12,0),1),""))</f>
        <v/>
      </c>
      <c r="R159" s="147"/>
      <c r="S159" s="147" t="str">
        <f>""</f>
        <v/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</row>
    <row r="160" spans="1:46" x14ac:dyDescent="0.2">
      <c r="A160" s="147">
        <v>11</v>
      </c>
      <c r="B160" s="147" t="str">
        <f>IF(TRIM('Dev Tracker'!D8)="","",IF(COUNTIF($K$2:$K$150,7)&gt;0,"",TRIM('Dev Tracker'!D8)))</f>
        <v/>
      </c>
      <c r="C160" s="147" t="str">
        <f>IF($B160="","",'Dev Tracker'!#REF!)</f>
        <v/>
      </c>
      <c r="D160" s="147" t="str">
        <f t="shared" si="15"/>
        <v/>
      </c>
      <c r="E160" s="147" t="str">
        <f>IF($B160="","",TRIM('Dev Tracker'!E8))</f>
        <v/>
      </c>
      <c r="F160" s="147" t="str">
        <f>IF($B160="","",'Dev Tracker'!F8)</f>
        <v/>
      </c>
      <c r="G160" s="148" t="str">
        <f>""</f>
        <v/>
      </c>
      <c r="H160" s="148" t="str">
        <f>""</f>
        <v/>
      </c>
      <c r="I160" s="149" t="str">
        <f t="shared" ca="1" si="16"/>
        <v/>
      </c>
      <c r="J160" s="149" t="str">
        <f t="shared" ca="1" si="17"/>
        <v/>
      </c>
      <c r="K160" s="147" t="str">
        <f>IF($B160="","",7)</f>
        <v/>
      </c>
      <c r="L160" s="147" t="str">
        <f t="shared" si="18"/>
        <v/>
      </c>
      <c r="M160" s="147" t="str">
        <f>IF($B160="","",IFERROR(MATCH($F160,'Control (Don’t Touch)'!$B$4:$B$30,0),99))</f>
        <v/>
      </c>
      <c r="N160" s="147" t="str">
        <f t="shared" si="19"/>
        <v/>
      </c>
      <c r="O160" s="147" t="str">
        <f>IF($B160="","",COUNTIF($N$2:$N$204,"&lt;"&amp;$N160)+1)</f>
        <v/>
      </c>
      <c r="P160" s="149" t="str">
        <f ca="1">IF($B160="","",IFERROR(DATE(IFERROR(VALUE(RIGHT(TRIM('Dev Tracker'!I8),4)),YEAR(TODAY())),MATCH(LEFT(TRIM('Dev Tracker'!I8),3),$U$2:$U$12,0),1),""))</f>
        <v/>
      </c>
      <c r="Q160" s="149" t="str">
        <f ca="1">IF($B160="","",IFERROR(DATE(IFERROR(VALUE(RIGHT(TRIM('Dev Tracker'!J8),4)),YEAR(TODAY())),MATCH(LEFT(TRIM('Dev Tracker'!J8),3),$U$2:$U$12,0),1),""))</f>
        <v/>
      </c>
      <c r="R160" s="147"/>
      <c r="S160" s="147" t="str">
        <f>""</f>
        <v/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</row>
    <row r="161" spans="1:46" x14ac:dyDescent="0.2">
      <c r="A161" s="147">
        <v>12</v>
      </c>
      <c r="B161" s="147" t="str">
        <f>IF(TRIM('Dev Tracker'!D9)="","",IF(COUNTIF($K$2:$K$150,8)&gt;0,"",TRIM('Dev Tracker'!D9)))</f>
        <v/>
      </c>
      <c r="C161" s="147" t="str">
        <f>IF($B161="","",'Dev Tracker'!#REF!)</f>
        <v/>
      </c>
      <c r="D161" s="147" t="str">
        <f t="shared" si="15"/>
        <v/>
      </c>
      <c r="E161" s="147" t="str">
        <f>IF($B161="","",TRIM('Dev Tracker'!E9))</f>
        <v/>
      </c>
      <c r="F161" s="147" t="str">
        <f>IF($B161="","",'Dev Tracker'!F9)</f>
        <v/>
      </c>
      <c r="G161" s="148" t="str">
        <f>""</f>
        <v/>
      </c>
      <c r="H161" s="148" t="str">
        <f>""</f>
        <v/>
      </c>
      <c r="I161" s="149" t="str">
        <f t="shared" ca="1" si="16"/>
        <v/>
      </c>
      <c r="J161" s="149" t="str">
        <f t="shared" ca="1" si="17"/>
        <v/>
      </c>
      <c r="K161" s="147" t="str">
        <f>IF($B161="","",8)</f>
        <v/>
      </c>
      <c r="L161" s="147" t="str">
        <f t="shared" si="18"/>
        <v/>
      </c>
      <c r="M161" s="147" t="str">
        <f>IF($B161="","",IFERROR(MATCH($F161,'Control (Don’t Touch)'!$B$4:$B$30,0),99))</f>
        <v/>
      </c>
      <c r="N161" s="147" t="str">
        <f t="shared" si="19"/>
        <v/>
      </c>
      <c r="O161" s="147" t="str">
        <f>IF($B161="","",COUNTIF($N$2:$N$204,"&lt;"&amp;$N161)+1)</f>
        <v/>
      </c>
      <c r="P161" s="149" t="str">
        <f ca="1">IF($B161="","",IFERROR(DATE(IFERROR(VALUE(RIGHT(TRIM('Dev Tracker'!I9),4)),YEAR(TODAY())),MATCH(LEFT(TRIM('Dev Tracker'!I9),3),$U$2:$U$12,0),1),""))</f>
        <v/>
      </c>
      <c r="Q161" s="149" t="str">
        <f ca="1">IF($B161="","",IFERROR(DATE(IFERROR(VALUE(RIGHT(TRIM('Dev Tracker'!J9),4)),YEAR(TODAY())),MATCH(LEFT(TRIM('Dev Tracker'!J9),3),$U$2:$U$12,0),1),""))</f>
        <v/>
      </c>
      <c r="R161" s="147"/>
      <c r="S161" s="147" t="str">
        <f>""</f>
        <v/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</row>
    <row r="162" spans="1:46" x14ac:dyDescent="0.2">
      <c r="A162" s="147">
        <v>13</v>
      </c>
      <c r="B162" s="147" t="str">
        <f>IF(TRIM('Dev Tracker'!D10)="","",IF(COUNTIF($K$2:$K$150,9)&gt;0,"",TRIM('Dev Tracker'!D10)))</f>
        <v/>
      </c>
      <c r="C162" s="147" t="str">
        <f>IF($B162="","",'Dev Tracker'!#REF!)</f>
        <v/>
      </c>
      <c r="D162" s="147" t="str">
        <f t="shared" si="15"/>
        <v/>
      </c>
      <c r="E162" s="147" t="str">
        <f>IF($B162="","",TRIM('Dev Tracker'!E10))</f>
        <v/>
      </c>
      <c r="F162" s="147" t="str">
        <f>IF($B162="","",'Dev Tracker'!F10)</f>
        <v/>
      </c>
      <c r="G162" s="148" t="str">
        <f>""</f>
        <v/>
      </c>
      <c r="H162" s="148" t="str">
        <f>""</f>
        <v/>
      </c>
      <c r="I162" s="149" t="str">
        <f t="shared" ca="1" si="16"/>
        <v/>
      </c>
      <c r="J162" s="149" t="str">
        <f t="shared" ca="1" si="17"/>
        <v/>
      </c>
      <c r="K162" s="147" t="str">
        <f>IF($B162="","",9)</f>
        <v/>
      </c>
      <c r="L162" s="147" t="str">
        <f t="shared" si="18"/>
        <v/>
      </c>
      <c r="M162" s="147" t="str">
        <f>IF($B162="","",IFERROR(MATCH($F162,'Control (Don’t Touch)'!$B$4:$B$30,0),99))</f>
        <v/>
      </c>
      <c r="N162" s="147" t="str">
        <f t="shared" si="19"/>
        <v/>
      </c>
      <c r="O162" s="147" t="str">
        <f>IF($B162="","",COUNTIF($N$2:$N$204,"&lt;"&amp;$N162)+1)</f>
        <v/>
      </c>
      <c r="P162" s="149" t="str">
        <f ca="1">IF($B162="","",IFERROR(DATE(IFERROR(VALUE(RIGHT(TRIM('Dev Tracker'!I10),4)),YEAR(TODAY())),MATCH(LEFT(TRIM('Dev Tracker'!I10),3),$U$2:$U$12,0),1),""))</f>
        <v/>
      </c>
      <c r="Q162" s="149" t="str">
        <f ca="1">IF($B162="","",IFERROR(DATE(IFERROR(VALUE(RIGHT(TRIM('Dev Tracker'!J10),4)),YEAR(TODAY())),MATCH(LEFT(TRIM('Dev Tracker'!J10),3),$U$2:$U$12,0),1),""))</f>
        <v/>
      </c>
      <c r="R162" s="147"/>
      <c r="S162" s="147" t="str">
        <f>""</f>
        <v/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</row>
    <row r="163" spans="1:46" x14ac:dyDescent="0.2">
      <c r="A163" s="147">
        <v>14</v>
      </c>
      <c r="B163" s="147" t="e">
        <f>IF(TRIM('Dev Tracker'!#REF!)="","",IF(COUNTIF($K$2:$K$150,10)&gt;0,"",TRIM('Dev Tracker'!#REF!)))</f>
        <v>#REF!</v>
      </c>
      <c r="C163" s="147" t="e">
        <f>IF($B163="","",'Dev Tracker'!#REF!)</f>
        <v>#REF!</v>
      </c>
      <c r="D163" s="147" t="e">
        <f t="shared" si="15"/>
        <v>#REF!</v>
      </c>
      <c r="E163" s="147" t="e">
        <f>IF($B163="","",TRIM('Dev Tracker'!#REF!))</f>
        <v>#REF!</v>
      </c>
      <c r="F163" s="147" t="e">
        <f>IF($B163="","",'Dev Tracker'!#REF!)</f>
        <v>#REF!</v>
      </c>
      <c r="G163" s="148" t="str">
        <f>""</f>
        <v/>
      </c>
      <c r="H163" s="148" t="str">
        <f>""</f>
        <v/>
      </c>
      <c r="I163" s="149" t="e">
        <f t="shared" ca="1" si="16"/>
        <v>#REF!</v>
      </c>
      <c r="J163" s="149" t="e">
        <f t="shared" ca="1" si="17"/>
        <v>#REF!</v>
      </c>
      <c r="K163" s="147" t="e">
        <f>IF($B163="","",10)</f>
        <v>#REF!</v>
      </c>
      <c r="L163" s="147" t="e">
        <f t="shared" si="18"/>
        <v>#REF!</v>
      </c>
      <c r="M163" s="147" t="e">
        <f>IF($B163="","",IFERROR(MATCH($F163,'Control (Don’t Touch)'!$B$4:$B$30,0),99))</f>
        <v>#REF!</v>
      </c>
      <c r="N163" s="147" t="e">
        <f t="shared" si="19"/>
        <v>#REF!</v>
      </c>
      <c r="O163" s="147" t="e">
        <f>IF($B163="","",COUNTIF($N$2:$N$204,"&lt;"&amp;$N163)+1)</f>
        <v>#REF!</v>
      </c>
      <c r="P163" s="149" t="e">
        <f ca="1">IF($B163="","",IFERROR(DATE(IFERROR(VALUE(RIGHT(TRIM('Dev Tracker'!#REF!),4)),YEAR(TODAY())),MATCH(LEFT(TRIM('Dev Tracker'!#REF!),3),$U$2:$U$12,0),1),""))</f>
        <v>#REF!</v>
      </c>
      <c r="Q163" s="149" t="e">
        <f ca="1">IF($B163="","",IFERROR(DATE(IFERROR(VALUE(RIGHT(TRIM('Dev Tracker'!#REF!),4)),YEAR(TODAY())),MATCH(LEFT(TRIM('Dev Tracker'!#REF!),3),$U$2:$U$12,0),1),""))</f>
        <v>#REF!</v>
      </c>
      <c r="R163" s="147"/>
      <c r="S163" s="147" t="str">
        <f>""</f>
        <v/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</row>
    <row r="164" spans="1:46" x14ac:dyDescent="0.2">
      <c r="A164" s="147">
        <v>15</v>
      </c>
      <c r="B164" s="147" t="str">
        <f>IF(TRIM('Dev Tracker'!D11)="","",IF(COUNTIF($K$2:$K$150,11)&gt;0,"",TRIM('Dev Tracker'!D11)))</f>
        <v/>
      </c>
      <c r="C164" s="147" t="str">
        <f>IF($B164="","",'Dev Tracker'!#REF!)</f>
        <v/>
      </c>
      <c r="D164" s="147" t="str">
        <f t="shared" si="15"/>
        <v/>
      </c>
      <c r="E164" s="147" t="str">
        <f>IF($B164="","",TRIM('Dev Tracker'!E11))</f>
        <v/>
      </c>
      <c r="F164" s="147" t="str">
        <f>IF($B164="","",'Dev Tracker'!F11)</f>
        <v/>
      </c>
      <c r="G164" s="148" t="str">
        <f>""</f>
        <v/>
      </c>
      <c r="H164" s="148" t="str">
        <f>""</f>
        <v/>
      </c>
      <c r="I164" s="149" t="str">
        <f t="shared" ca="1" si="16"/>
        <v/>
      </c>
      <c r="J164" s="149" t="str">
        <f t="shared" ca="1" si="17"/>
        <v/>
      </c>
      <c r="K164" s="147" t="str">
        <f>IF($B164="","",11)</f>
        <v/>
      </c>
      <c r="L164" s="147" t="str">
        <f t="shared" si="18"/>
        <v/>
      </c>
      <c r="M164" s="147" t="str">
        <f>IF($B164="","",IFERROR(MATCH($F164,'Control (Don’t Touch)'!$B$4:$B$30,0),99))</f>
        <v/>
      </c>
      <c r="N164" s="147" t="str">
        <f t="shared" si="19"/>
        <v/>
      </c>
      <c r="O164" s="147" t="str">
        <f>IF($B164="","",COUNTIF($N$2:$N$204,"&lt;"&amp;$N164)+1)</f>
        <v/>
      </c>
      <c r="P164" s="149" t="str">
        <f ca="1">IF($B164="","",IFERROR(DATE(IFERROR(VALUE(RIGHT(TRIM('Dev Tracker'!I11),4)),YEAR(TODAY())),MATCH(LEFT(TRIM('Dev Tracker'!I11),3),$U$2:$U$12,0),1),""))</f>
        <v/>
      </c>
      <c r="Q164" s="149" t="str">
        <f ca="1">IF($B164="","",IFERROR(DATE(IFERROR(VALUE(RIGHT(TRIM('Dev Tracker'!J11),4)),YEAR(TODAY())),MATCH(LEFT(TRIM('Dev Tracker'!J11),3),$U$2:$U$12,0),1),""))</f>
        <v/>
      </c>
      <c r="R164" s="147"/>
      <c r="S164" s="147" t="str">
        <f>""</f>
        <v/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</row>
    <row r="165" spans="1:46" x14ac:dyDescent="0.2">
      <c r="A165" s="147">
        <v>16</v>
      </c>
      <c r="B165" s="147" t="str">
        <f>IF(TRIM('Dev Tracker'!D12)="","",IF(COUNTIF($K$2:$K$150,12)&gt;0,"",TRIM('Dev Tracker'!D12)))</f>
        <v/>
      </c>
      <c r="C165" s="147" t="str">
        <f>IF($B165="","",'Dev Tracker'!#REF!)</f>
        <v/>
      </c>
      <c r="D165" s="147" t="str">
        <f t="shared" si="15"/>
        <v/>
      </c>
      <c r="E165" s="147" t="str">
        <f>IF($B165="","",TRIM('Dev Tracker'!E12))</f>
        <v/>
      </c>
      <c r="F165" s="147" t="str">
        <f>IF($B165="","",'Dev Tracker'!F12)</f>
        <v/>
      </c>
      <c r="G165" s="148" t="str">
        <f>""</f>
        <v/>
      </c>
      <c r="H165" s="148" t="str">
        <f>""</f>
        <v/>
      </c>
      <c r="I165" s="149" t="str">
        <f t="shared" ca="1" si="16"/>
        <v/>
      </c>
      <c r="J165" s="149" t="str">
        <f t="shared" ca="1" si="17"/>
        <v/>
      </c>
      <c r="K165" s="147" t="str">
        <f>IF($B165="","",12)</f>
        <v/>
      </c>
      <c r="L165" s="147" t="str">
        <f t="shared" si="18"/>
        <v/>
      </c>
      <c r="M165" s="147" t="str">
        <f>IF($B165="","",IFERROR(MATCH($F165,'Control (Don’t Touch)'!$B$4:$B$30,0),99))</f>
        <v/>
      </c>
      <c r="N165" s="147" t="str">
        <f t="shared" si="19"/>
        <v/>
      </c>
      <c r="O165" s="147" t="str">
        <f>IF($B165="","",COUNTIF($N$2:$N$204,"&lt;"&amp;$N165)+1)</f>
        <v/>
      </c>
      <c r="P165" s="149" t="str">
        <f ca="1">IF($B165="","",IFERROR(DATE(IFERROR(VALUE(RIGHT(TRIM('Dev Tracker'!I12),4)),YEAR(TODAY())),MATCH(LEFT(TRIM('Dev Tracker'!I12),3),$U$2:$U$12,0),1),""))</f>
        <v/>
      </c>
      <c r="Q165" s="149" t="str">
        <f ca="1">IF($B165="","",IFERROR(DATE(IFERROR(VALUE(RIGHT(TRIM('Dev Tracker'!J12),4)),YEAR(TODAY())),MATCH(LEFT(TRIM('Dev Tracker'!J12),3),$U$2:$U$12,0),1),""))</f>
        <v/>
      </c>
      <c r="R165" s="147"/>
      <c r="S165" s="147" t="str">
        <f>""</f>
        <v/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</row>
    <row r="166" spans="1:46" x14ac:dyDescent="0.2">
      <c r="A166" s="147">
        <v>17</v>
      </c>
      <c r="B166" s="147" t="str">
        <f>IF(TRIM('Dev Tracker'!D13)="","",IF(COUNTIF($K$2:$K$150,13)&gt;0,"",TRIM('Dev Tracker'!D13)))</f>
        <v/>
      </c>
      <c r="C166" s="147" t="str">
        <f>IF($B166="","",'Dev Tracker'!#REF!)</f>
        <v/>
      </c>
      <c r="D166" s="147" t="str">
        <f t="shared" si="15"/>
        <v/>
      </c>
      <c r="E166" s="147" t="str">
        <f>IF($B166="","",TRIM('Dev Tracker'!E13))</f>
        <v/>
      </c>
      <c r="F166" s="147" t="str">
        <f>IF($B166="","",'Dev Tracker'!F13)</f>
        <v/>
      </c>
      <c r="G166" s="148" t="str">
        <f>""</f>
        <v/>
      </c>
      <c r="H166" s="148" t="str">
        <f>""</f>
        <v/>
      </c>
      <c r="I166" s="149" t="str">
        <f t="shared" ca="1" si="16"/>
        <v/>
      </c>
      <c r="J166" s="149" t="str">
        <f t="shared" ca="1" si="17"/>
        <v/>
      </c>
      <c r="K166" s="147" t="str">
        <f>IF($B166="","",13)</f>
        <v/>
      </c>
      <c r="L166" s="147" t="str">
        <f t="shared" si="18"/>
        <v/>
      </c>
      <c r="M166" s="147" t="str">
        <f>IF($B166="","",IFERROR(MATCH($F166,'Control (Don’t Touch)'!$B$4:$B$30,0),99))</f>
        <v/>
      </c>
      <c r="N166" s="147" t="str">
        <f t="shared" si="19"/>
        <v/>
      </c>
      <c r="O166" s="147" t="str">
        <f>IF($B166="","",COUNTIF($N$2:$N$204,"&lt;"&amp;$N166)+1)</f>
        <v/>
      </c>
      <c r="P166" s="149" t="str">
        <f ca="1">IF($B166="","",IFERROR(DATE(IFERROR(VALUE(RIGHT(TRIM('Dev Tracker'!I13),4)),YEAR(TODAY())),MATCH(LEFT(TRIM('Dev Tracker'!I13),3),$U$2:$U$12,0),1),""))</f>
        <v/>
      </c>
      <c r="Q166" s="149" t="str">
        <f ca="1">IF($B166="","",IFERROR(DATE(IFERROR(VALUE(RIGHT(TRIM('Dev Tracker'!J13),4)),YEAR(TODAY())),MATCH(LEFT(TRIM('Dev Tracker'!J13),3),$U$2:$U$12,0),1),""))</f>
        <v/>
      </c>
      <c r="R166" s="147"/>
      <c r="S166" s="147" t="str">
        <f>""</f>
        <v/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</row>
    <row r="167" spans="1:46" x14ac:dyDescent="0.2">
      <c r="A167" s="147">
        <v>18</v>
      </c>
      <c r="B167" s="147" t="str">
        <f>IF(TRIM('Dev Tracker'!D14)="","",IF(COUNTIF($K$2:$K$150,14)&gt;0,"",TRIM('Dev Tracker'!D14)))</f>
        <v/>
      </c>
      <c r="C167" s="147" t="str">
        <f>IF($B167="","",'Dev Tracker'!#REF!)</f>
        <v/>
      </c>
      <c r="D167" s="147" t="str">
        <f t="shared" si="15"/>
        <v/>
      </c>
      <c r="E167" s="147" t="str">
        <f>IF($B167="","",TRIM('Dev Tracker'!E14))</f>
        <v/>
      </c>
      <c r="F167" s="147" t="str">
        <f>IF($B167="","",'Dev Tracker'!F14)</f>
        <v/>
      </c>
      <c r="G167" s="148" t="str">
        <f>""</f>
        <v/>
      </c>
      <c r="H167" s="148" t="str">
        <f>""</f>
        <v/>
      </c>
      <c r="I167" s="149" t="str">
        <f t="shared" ca="1" si="16"/>
        <v/>
      </c>
      <c r="J167" s="149" t="str">
        <f t="shared" ca="1" si="17"/>
        <v/>
      </c>
      <c r="K167" s="147" t="str">
        <f>IF($B167="","",14)</f>
        <v/>
      </c>
      <c r="L167" s="147" t="str">
        <f t="shared" si="18"/>
        <v/>
      </c>
      <c r="M167" s="147" t="str">
        <f>IF($B167="","",IFERROR(MATCH($F167,'Control (Don’t Touch)'!$B$4:$B$30,0),99))</f>
        <v/>
      </c>
      <c r="N167" s="147" t="str">
        <f t="shared" si="19"/>
        <v/>
      </c>
      <c r="O167" s="147" t="str">
        <f>IF($B167="","",COUNTIF($N$2:$N$204,"&lt;"&amp;$N167)+1)</f>
        <v/>
      </c>
      <c r="P167" s="149" t="str">
        <f ca="1">IF($B167="","",IFERROR(DATE(IFERROR(VALUE(RIGHT(TRIM('Dev Tracker'!I14),4)),YEAR(TODAY())),MATCH(LEFT(TRIM('Dev Tracker'!I14),3),$U$2:$U$12,0),1),""))</f>
        <v/>
      </c>
      <c r="Q167" s="149" t="str">
        <f ca="1">IF($B167="","",IFERROR(DATE(IFERROR(VALUE(RIGHT(TRIM('Dev Tracker'!J14),4)),YEAR(TODAY())),MATCH(LEFT(TRIM('Dev Tracker'!J14),3),$U$2:$U$12,0),1),""))</f>
        <v/>
      </c>
      <c r="R167" s="147"/>
      <c r="S167" s="147" t="str">
        <f>""</f>
        <v/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</row>
    <row r="168" spans="1:46" x14ac:dyDescent="0.2">
      <c r="A168" s="147">
        <v>19</v>
      </c>
      <c r="B168" s="147" t="str">
        <f>IF(TRIM('Dev Tracker'!D15)="","",IF(COUNTIF($K$2:$K$150,15)&gt;0,"",TRIM('Dev Tracker'!D15)))</f>
        <v/>
      </c>
      <c r="C168" s="147" t="str">
        <f>IF($B168="","",'Dev Tracker'!#REF!)</f>
        <v/>
      </c>
      <c r="D168" s="147" t="str">
        <f t="shared" si="15"/>
        <v/>
      </c>
      <c r="E168" s="147" t="str">
        <f>IF($B168="","",TRIM('Dev Tracker'!E15))</f>
        <v/>
      </c>
      <c r="F168" s="147" t="str">
        <f>IF($B168="","",'Dev Tracker'!F15)</f>
        <v/>
      </c>
      <c r="G168" s="148" t="str">
        <f>""</f>
        <v/>
      </c>
      <c r="H168" s="148" t="str">
        <f>""</f>
        <v/>
      </c>
      <c r="I168" s="149" t="str">
        <f t="shared" ca="1" si="16"/>
        <v/>
      </c>
      <c r="J168" s="149" t="str">
        <f t="shared" ca="1" si="17"/>
        <v/>
      </c>
      <c r="K168" s="147" t="str">
        <f>IF($B168="","",15)</f>
        <v/>
      </c>
      <c r="L168" s="147" t="str">
        <f t="shared" si="18"/>
        <v/>
      </c>
      <c r="M168" s="147" t="str">
        <f>IF($B168="","",IFERROR(MATCH($F168,'Control (Don’t Touch)'!$B$4:$B$30,0),99))</f>
        <v/>
      </c>
      <c r="N168" s="147" t="str">
        <f t="shared" si="19"/>
        <v/>
      </c>
      <c r="O168" s="147" t="str">
        <f>IF($B168="","",COUNTIF($N$2:$N$204,"&lt;"&amp;$N168)+1)</f>
        <v/>
      </c>
      <c r="P168" s="149" t="str">
        <f ca="1">IF($B168="","",IFERROR(DATE(IFERROR(VALUE(RIGHT(TRIM('Dev Tracker'!I15),4)),YEAR(TODAY())),MATCH(LEFT(TRIM('Dev Tracker'!I15),3),$U$2:$U$12,0),1),""))</f>
        <v/>
      </c>
      <c r="Q168" s="149" t="str">
        <f ca="1">IF($B168="","",IFERROR(DATE(IFERROR(VALUE(RIGHT(TRIM('Dev Tracker'!J15),4)),YEAR(TODAY())),MATCH(LEFT(TRIM('Dev Tracker'!J15),3),$U$2:$U$12,0),1),""))</f>
        <v/>
      </c>
      <c r="R168" s="147"/>
      <c r="S168" s="147" t="str">
        <f>""</f>
        <v/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</row>
    <row r="169" spans="1:46" x14ac:dyDescent="0.2">
      <c r="A169" s="147">
        <v>20</v>
      </c>
      <c r="B169" s="147" t="str">
        <f>IF(TRIM('Dev Tracker'!D16)="","",IF(COUNTIF($K$2:$K$150,16)&gt;0,"",TRIM('Dev Tracker'!D16)))</f>
        <v/>
      </c>
      <c r="C169" s="147" t="str">
        <f>IF($B169="","",'Dev Tracker'!#REF!)</f>
        <v/>
      </c>
      <c r="D169" s="147" t="str">
        <f t="shared" si="15"/>
        <v/>
      </c>
      <c r="E169" s="147" t="str">
        <f>IF($B169="","",TRIM('Dev Tracker'!E16))</f>
        <v/>
      </c>
      <c r="F169" s="147" t="str">
        <f>IF($B169="","",'Dev Tracker'!F16)</f>
        <v/>
      </c>
      <c r="G169" s="148" t="str">
        <f>""</f>
        <v/>
      </c>
      <c r="H169" s="148" t="str">
        <f>""</f>
        <v/>
      </c>
      <c r="I169" s="149" t="str">
        <f t="shared" ca="1" si="16"/>
        <v/>
      </c>
      <c r="J169" s="149" t="str">
        <f t="shared" ca="1" si="17"/>
        <v/>
      </c>
      <c r="K169" s="147" t="str">
        <f>IF($B169="","",16)</f>
        <v/>
      </c>
      <c r="L169" s="147" t="str">
        <f t="shared" si="18"/>
        <v/>
      </c>
      <c r="M169" s="147" t="str">
        <f>IF($B169="","",IFERROR(MATCH($F169,'Control (Don’t Touch)'!$B$4:$B$30,0),99))</f>
        <v/>
      </c>
      <c r="N169" s="147" t="str">
        <f t="shared" si="19"/>
        <v/>
      </c>
      <c r="O169" s="147" t="str">
        <f>IF($B169="","",COUNTIF($N$2:$N$204,"&lt;"&amp;$N169)+1)</f>
        <v/>
      </c>
      <c r="P169" s="149" t="str">
        <f ca="1">IF($B169="","",IFERROR(DATE(IFERROR(VALUE(RIGHT(TRIM('Dev Tracker'!I16),4)),YEAR(TODAY())),MATCH(LEFT(TRIM('Dev Tracker'!I16),3),$U$2:$U$12,0),1),""))</f>
        <v/>
      </c>
      <c r="Q169" s="149" t="str">
        <f ca="1">IF($B169="","",IFERROR(DATE(IFERROR(VALUE(RIGHT(TRIM('Dev Tracker'!J16),4)),YEAR(TODAY())),MATCH(LEFT(TRIM('Dev Tracker'!J16),3),$U$2:$U$12,0),1),""))</f>
        <v/>
      </c>
      <c r="R169" s="147"/>
      <c r="S169" s="147" t="str">
        <f>""</f>
        <v/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</row>
    <row r="170" spans="1:46" x14ac:dyDescent="0.2">
      <c r="A170" s="147">
        <v>21</v>
      </c>
      <c r="B170" s="147" t="str">
        <f>IF(TRIM('Dev Tracker'!D17)="","",IF(COUNTIF($K$2:$K$150,17)&gt;0,"",TRIM('Dev Tracker'!D17)))</f>
        <v/>
      </c>
      <c r="C170" s="147" t="str">
        <f>IF($B170="","",'Dev Tracker'!#REF!)</f>
        <v/>
      </c>
      <c r="D170" s="147" t="str">
        <f t="shared" si="15"/>
        <v/>
      </c>
      <c r="E170" s="147" t="str">
        <f>IF($B170="","",TRIM('Dev Tracker'!E17))</f>
        <v/>
      </c>
      <c r="F170" s="147" t="str">
        <f>IF($B170="","",'Dev Tracker'!F17)</f>
        <v/>
      </c>
      <c r="G170" s="148" t="str">
        <f>""</f>
        <v/>
      </c>
      <c r="H170" s="148" t="str">
        <f>""</f>
        <v/>
      </c>
      <c r="I170" s="149" t="str">
        <f t="shared" ca="1" si="16"/>
        <v/>
      </c>
      <c r="J170" s="149" t="str">
        <f t="shared" ca="1" si="17"/>
        <v/>
      </c>
      <c r="K170" s="147" t="str">
        <f>IF($B170="","",17)</f>
        <v/>
      </c>
      <c r="L170" s="147" t="str">
        <f t="shared" si="18"/>
        <v/>
      </c>
      <c r="M170" s="147" t="str">
        <f>IF($B170="","",IFERROR(MATCH($F170,'Control (Don’t Touch)'!$B$4:$B$30,0),99))</f>
        <v/>
      </c>
      <c r="N170" s="147" t="str">
        <f t="shared" si="19"/>
        <v/>
      </c>
      <c r="O170" s="147" t="str">
        <f>IF($B170="","",COUNTIF($N$2:$N$204,"&lt;"&amp;$N170)+1)</f>
        <v/>
      </c>
      <c r="P170" s="149" t="str">
        <f ca="1">IF($B170="","",IFERROR(DATE(IFERROR(VALUE(RIGHT(TRIM('Dev Tracker'!I17),4)),YEAR(TODAY())),MATCH(LEFT(TRIM('Dev Tracker'!I17),3),$U$2:$U$12,0),1),""))</f>
        <v/>
      </c>
      <c r="Q170" s="149" t="str">
        <f ca="1">IF($B170="","",IFERROR(DATE(IFERROR(VALUE(RIGHT(TRIM('Dev Tracker'!J17),4)),YEAR(TODAY())),MATCH(LEFT(TRIM('Dev Tracker'!J17),3),$U$2:$U$12,0),1),""))</f>
        <v/>
      </c>
      <c r="R170" s="147"/>
      <c r="S170" s="147" t="str">
        <f>""</f>
        <v/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</row>
    <row r="171" spans="1:46" x14ac:dyDescent="0.2">
      <c r="A171" s="147">
        <v>22</v>
      </c>
      <c r="B171" s="147" t="str">
        <f>IF(TRIM('Dev Tracker'!D18)="","",IF(COUNTIF($K$2:$K$150,18)&gt;0,"",TRIM('Dev Tracker'!D18)))</f>
        <v/>
      </c>
      <c r="C171" s="147" t="str">
        <f>IF($B171="","",'Dev Tracker'!#REF!)</f>
        <v/>
      </c>
      <c r="D171" s="147" t="str">
        <f t="shared" si="15"/>
        <v/>
      </c>
      <c r="E171" s="147" t="str">
        <f>IF($B171="","",TRIM('Dev Tracker'!E18))</f>
        <v/>
      </c>
      <c r="F171" s="147" t="str">
        <f>IF($B171="","",'Dev Tracker'!F18)</f>
        <v/>
      </c>
      <c r="G171" s="148" t="str">
        <f>""</f>
        <v/>
      </c>
      <c r="H171" s="148" t="str">
        <f>""</f>
        <v/>
      </c>
      <c r="I171" s="149" t="str">
        <f t="shared" ca="1" si="16"/>
        <v/>
      </c>
      <c r="J171" s="149" t="str">
        <f t="shared" ca="1" si="17"/>
        <v/>
      </c>
      <c r="K171" s="147" t="str">
        <f>IF($B171="","",18)</f>
        <v/>
      </c>
      <c r="L171" s="147" t="str">
        <f t="shared" si="18"/>
        <v/>
      </c>
      <c r="M171" s="147" t="str">
        <f>IF($B171="","",IFERROR(MATCH($F171,'Control (Don’t Touch)'!$B$4:$B$30,0),99))</f>
        <v/>
      </c>
      <c r="N171" s="147" t="str">
        <f t="shared" si="19"/>
        <v/>
      </c>
      <c r="O171" s="147" t="str">
        <f>IF($B171="","",COUNTIF($N$2:$N$204,"&lt;"&amp;$N171)+1)</f>
        <v/>
      </c>
      <c r="P171" s="149" t="str">
        <f ca="1">IF($B171="","",IFERROR(DATE(IFERROR(VALUE(RIGHT(TRIM('Dev Tracker'!I18),4)),YEAR(TODAY())),MATCH(LEFT(TRIM('Dev Tracker'!I18),3),$U$2:$U$12,0),1),""))</f>
        <v/>
      </c>
      <c r="Q171" s="149" t="str">
        <f ca="1">IF($B171="","",IFERROR(DATE(IFERROR(VALUE(RIGHT(TRIM('Dev Tracker'!J18),4)),YEAR(TODAY())),MATCH(LEFT(TRIM('Dev Tracker'!J18),3),$U$2:$U$12,0),1),""))</f>
        <v/>
      </c>
      <c r="R171" s="147"/>
      <c r="S171" s="147" t="str">
        <f>""</f>
        <v/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</row>
    <row r="172" spans="1:46" x14ac:dyDescent="0.2">
      <c r="A172" s="147">
        <v>23</v>
      </c>
      <c r="B172" s="147" t="str">
        <f>IF(TRIM('Dev Tracker'!D19)="","",IF(COUNTIF($K$2:$K$150,19)&gt;0,"",TRIM('Dev Tracker'!D19)))</f>
        <v/>
      </c>
      <c r="C172" s="147" t="str">
        <f>IF($B172="","",'Dev Tracker'!#REF!)</f>
        <v/>
      </c>
      <c r="D172" s="147" t="str">
        <f t="shared" si="15"/>
        <v/>
      </c>
      <c r="E172" s="147" t="str">
        <f>IF($B172="","",TRIM('Dev Tracker'!E19))</f>
        <v/>
      </c>
      <c r="F172" s="147" t="str">
        <f>IF($B172="","",'Dev Tracker'!F19)</f>
        <v/>
      </c>
      <c r="G172" s="148" t="str">
        <f>""</f>
        <v/>
      </c>
      <c r="H172" s="148" t="str">
        <f>""</f>
        <v/>
      </c>
      <c r="I172" s="149" t="str">
        <f t="shared" ca="1" si="16"/>
        <v/>
      </c>
      <c r="J172" s="149" t="str">
        <f t="shared" ca="1" si="17"/>
        <v/>
      </c>
      <c r="K172" s="147" t="str">
        <f>IF($B172="","",19)</f>
        <v/>
      </c>
      <c r="L172" s="147" t="str">
        <f t="shared" si="18"/>
        <v/>
      </c>
      <c r="M172" s="147" t="str">
        <f>IF($B172="","",IFERROR(MATCH($F172,'Control (Don’t Touch)'!$B$4:$B$30,0),99))</f>
        <v/>
      </c>
      <c r="N172" s="147" t="str">
        <f t="shared" si="19"/>
        <v/>
      </c>
      <c r="O172" s="147" t="str">
        <f>IF($B172="","",COUNTIF($N$2:$N$204,"&lt;"&amp;$N172)+1)</f>
        <v/>
      </c>
      <c r="P172" s="149" t="str">
        <f ca="1">IF($B172="","",IFERROR(DATE(IFERROR(VALUE(RIGHT(TRIM('Dev Tracker'!I19),4)),YEAR(TODAY())),MATCH(LEFT(TRIM('Dev Tracker'!I19),3),$U$2:$U$12,0),1),""))</f>
        <v/>
      </c>
      <c r="Q172" s="149" t="str">
        <f ca="1">IF($B172="","",IFERROR(DATE(IFERROR(VALUE(RIGHT(TRIM('Dev Tracker'!J19),4)),YEAR(TODAY())),MATCH(LEFT(TRIM('Dev Tracker'!J19),3),$U$2:$U$12,0),1),""))</f>
        <v/>
      </c>
      <c r="R172" s="147"/>
      <c r="S172" s="147" t="str">
        <f>""</f>
        <v/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</row>
    <row r="173" spans="1:46" x14ac:dyDescent="0.2">
      <c r="A173" s="147">
        <v>24</v>
      </c>
      <c r="B173" s="147" t="str">
        <f>IF(TRIM('Dev Tracker'!D20)="","",IF(COUNTIF($K$2:$K$150,20)&gt;0,"",TRIM('Dev Tracker'!D20)))</f>
        <v/>
      </c>
      <c r="C173" s="147" t="str">
        <f>IF($B173="","",'Dev Tracker'!#REF!)</f>
        <v/>
      </c>
      <c r="D173" s="147" t="str">
        <f t="shared" si="15"/>
        <v/>
      </c>
      <c r="E173" s="147" t="str">
        <f>IF($B173="","",TRIM('Dev Tracker'!E20))</f>
        <v/>
      </c>
      <c r="F173" s="147" t="str">
        <f>IF($B173="","",'Dev Tracker'!F20)</f>
        <v/>
      </c>
      <c r="G173" s="148" t="str">
        <f>""</f>
        <v/>
      </c>
      <c r="H173" s="148" t="str">
        <f>""</f>
        <v/>
      </c>
      <c r="I173" s="149" t="str">
        <f t="shared" ca="1" si="16"/>
        <v/>
      </c>
      <c r="J173" s="149" t="str">
        <f t="shared" ca="1" si="17"/>
        <v/>
      </c>
      <c r="K173" s="147" t="str">
        <f>IF($B173="","",20)</f>
        <v/>
      </c>
      <c r="L173" s="147" t="str">
        <f t="shared" si="18"/>
        <v/>
      </c>
      <c r="M173" s="147" t="str">
        <f>IF($B173="","",IFERROR(MATCH($F173,'Control (Don’t Touch)'!$B$4:$B$30,0),99))</f>
        <v/>
      </c>
      <c r="N173" s="147" t="str">
        <f t="shared" si="19"/>
        <v/>
      </c>
      <c r="O173" s="147" t="str">
        <f>IF($B173="","",COUNTIF($N$2:$N$204,"&lt;"&amp;$N173)+1)</f>
        <v/>
      </c>
      <c r="P173" s="149" t="str">
        <f ca="1">IF($B173="","",IFERROR(DATE(IFERROR(VALUE(RIGHT(TRIM('Dev Tracker'!I20),4)),YEAR(TODAY())),MATCH(LEFT(TRIM('Dev Tracker'!I20),3),$U$2:$U$12,0),1),""))</f>
        <v/>
      </c>
      <c r="Q173" s="149" t="str">
        <f ca="1">IF($B173="","",IFERROR(DATE(IFERROR(VALUE(RIGHT(TRIM('Dev Tracker'!J20),4)),YEAR(TODAY())),MATCH(LEFT(TRIM('Dev Tracker'!J20),3),$U$2:$U$12,0),1),""))</f>
        <v/>
      </c>
      <c r="R173" s="147"/>
      <c r="S173" s="147" t="str">
        <f>""</f>
        <v/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</row>
    <row r="174" spans="1:46" x14ac:dyDescent="0.2">
      <c r="A174" s="147">
        <v>25</v>
      </c>
      <c r="B174" s="147" t="str">
        <f>IF(TRIM('Dev Tracker'!D21)="","",IF(COUNTIF($K$2:$K$150,21)&gt;0,"",TRIM('Dev Tracker'!D21)))</f>
        <v/>
      </c>
      <c r="C174" s="147" t="str">
        <f>IF($B174="","",'Dev Tracker'!#REF!)</f>
        <v/>
      </c>
      <c r="D174" s="147" t="str">
        <f t="shared" si="15"/>
        <v/>
      </c>
      <c r="E174" s="147" t="str">
        <f>IF($B174="","",TRIM('Dev Tracker'!E21))</f>
        <v/>
      </c>
      <c r="F174" s="147" t="str">
        <f>IF($B174="","",'Dev Tracker'!F21)</f>
        <v/>
      </c>
      <c r="G174" s="148" t="str">
        <f>""</f>
        <v/>
      </c>
      <c r="H174" s="148" t="str">
        <f>""</f>
        <v/>
      </c>
      <c r="I174" s="149" t="str">
        <f t="shared" ca="1" si="16"/>
        <v/>
      </c>
      <c r="J174" s="149" t="str">
        <f t="shared" ca="1" si="17"/>
        <v/>
      </c>
      <c r="K174" s="147" t="str">
        <f>IF($B174="","",21)</f>
        <v/>
      </c>
      <c r="L174" s="147" t="str">
        <f t="shared" si="18"/>
        <v/>
      </c>
      <c r="M174" s="147" t="str">
        <f>IF($B174="","",IFERROR(MATCH($F174,'Control (Don’t Touch)'!$B$4:$B$30,0),99))</f>
        <v/>
      </c>
      <c r="N174" s="147" t="str">
        <f t="shared" si="19"/>
        <v/>
      </c>
      <c r="O174" s="147" t="str">
        <f>IF($B174="","",COUNTIF($N$2:$N$204,"&lt;"&amp;$N174)+1)</f>
        <v/>
      </c>
      <c r="P174" s="149" t="str">
        <f ca="1">IF($B174="","",IFERROR(DATE(IFERROR(VALUE(RIGHT(TRIM('Dev Tracker'!I21),4)),YEAR(TODAY())),MATCH(LEFT(TRIM('Dev Tracker'!I21),3),$U$2:$U$12,0),1),""))</f>
        <v/>
      </c>
      <c r="Q174" s="149" t="str">
        <f ca="1">IF($B174="","",IFERROR(DATE(IFERROR(VALUE(RIGHT(TRIM('Dev Tracker'!J21),4)),YEAR(TODAY())),MATCH(LEFT(TRIM('Dev Tracker'!J21),3),$U$2:$U$12,0),1),""))</f>
        <v/>
      </c>
      <c r="R174" s="147"/>
      <c r="S174" s="147" t="str">
        <f>""</f>
        <v/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</row>
    <row r="175" spans="1:46" x14ac:dyDescent="0.2">
      <c r="A175" s="147">
        <v>26</v>
      </c>
      <c r="B175" s="147" t="str">
        <f>IF(TRIM('Dev Tracker'!D22)="","",IF(COUNTIF($K$2:$K$150,22)&gt;0,"",TRIM('Dev Tracker'!D22)))</f>
        <v/>
      </c>
      <c r="C175" s="147" t="str">
        <f>IF($B175="","",'Dev Tracker'!#REF!)</f>
        <v/>
      </c>
      <c r="D175" s="147" t="str">
        <f t="shared" si="15"/>
        <v/>
      </c>
      <c r="E175" s="147" t="str">
        <f>IF($B175="","",TRIM('Dev Tracker'!E22))</f>
        <v/>
      </c>
      <c r="F175" s="147" t="str">
        <f>IF($B175="","",'Dev Tracker'!F22)</f>
        <v/>
      </c>
      <c r="G175" s="148" t="str">
        <f>""</f>
        <v/>
      </c>
      <c r="H175" s="148" t="str">
        <f>""</f>
        <v/>
      </c>
      <c r="I175" s="149" t="str">
        <f t="shared" ca="1" si="16"/>
        <v/>
      </c>
      <c r="J175" s="149" t="str">
        <f t="shared" ca="1" si="17"/>
        <v/>
      </c>
      <c r="K175" s="147" t="str">
        <f>IF($B175="","",22)</f>
        <v/>
      </c>
      <c r="L175" s="147" t="str">
        <f t="shared" si="18"/>
        <v/>
      </c>
      <c r="M175" s="147" t="str">
        <f>IF($B175="","",IFERROR(MATCH($F175,'Control (Don’t Touch)'!$B$4:$B$30,0),99))</f>
        <v/>
      </c>
      <c r="N175" s="147" t="str">
        <f t="shared" si="19"/>
        <v/>
      </c>
      <c r="O175" s="147" t="str">
        <f>IF($B175="","",COUNTIF($N$2:$N$204,"&lt;"&amp;$N175)+1)</f>
        <v/>
      </c>
      <c r="P175" s="149" t="str">
        <f ca="1">IF($B175="","",IFERROR(DATE(IFERROR(VALUE(RIGHT(TRIM('Dev Tracker'!I22),4)),YEAR(TODAY())),MATCH(LEFT(TRIM('Dev Tracker'!I22),3),$U$2:$U$12,0),1),""))</f>
        <v/>
      </c>
      <c r="Q175" s="149" t="str">
        <f ca="1">IF($B175="","",IFERROR(DATE(IFERROR(VALUE(RIGHT(TRIM('Dev Tracker'!J22),4)),YEAR(TODAY())),MATCH(LEFT(TRIM('Dev Tracker'!J22),3),$U$2:$U$12,0),1),""))</f>
        <v/>
      </c>
      <c r="R175" s="147"/>
      <c r="S175" s="147" t="str">
        <f>""</f>
        <v/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</row>
    <row r="176" spans="1:46" x14ac:dyDescent="0.2">
      <c r="A176" s="147">
        <v>27</v>
      </c>
      <c r="B176" s="147" t="str">
        <f>IF(TRIM('Dev Tracker'!D23)="","",IF(COUNTIF($K$2:$K$150,23)&gt;0,"",TRIM('Dev Tracker'!D23)))</f>
        <v/>
      </c>
      <c r="C176" s="147" t="str">
        <f>IF($B176="","",'Dev Tracker'!#REF!)</f>
        <v/>
      </c>
      <c r="D176" s="147" t="str">
        <f t="shared" si="15"/>
        <v/>
      </c>
      <c r="E176" s="147" t="str">
        <f>IF($B176="","",TRIM('Dev Tracker'!E23))</f>
        <v/>
      </c>
      <c r="F176" s="147" t="str">
        <f>IF($B176="","",'Dev Tracker'!F23)</f>
        <v/>
      </c>
      <c r="G176" s="148" t="str">
        <f>""</f>
        <v/>
      </c>
      <c r="H176" s="148" t="str">
        <f>""</f>
        <v/>
      </c>
      <c r="I176" s="149" t="str">
        <f t="shared" ca="1" si="16"/>
        <v/>
      </c>
      <c r="J176" s="149" t="str">
        <f t="shared" ca="1" si="17"/>
        <v/>
      </c>
      <c r="K176" s="147" t="str">
        <f>IF($B176="","",23)</f>
        <v/>
      </c>
      <c r="L176" s="147" t="str">
        <f t="shared" si="18"/>
        <v/>
      </c>
      <c r="M176" s="147" t="str">
        <f>IF($B176="","",IFERROR(MATCH($F176,'Control (Don’t Touch)'!$B$4:$B$30,0),99))</f>
        <v/>
      </c>
      <c r="N176" s="147" t="str">
        <f t="shared" si="19"/>
        <v/>
      </c>
      <c r="O176" s="147" t="str">
        <f>IF($B176="","",COUNTIF($N$2:$N$204,"&lt;"&amp;$N176)+1)</f>
        <v/>
      </c>
      <c r="P176" s="149" t="str">
        <f ca="1">IF($B176="","",IFERROR(DATE(IFERROR(VALUE(RIGHT(TRIM('Dev Tracker'!I23),4)),YEAR(TODAY())),MATCH(LEFT(TRIM('Dev Tracker'!I23),3),$U$2:$U$12,0),1),""))</f>
        <v/>
      </c>
      <c r="Q176" s="149" t="str">
        <f ca="1">IF($B176="","",IFERROR(DATE(IFERROR(VALUE(RIGHT(TRIM('Dev Tracker'!J23),4)),YEAR(TODAY())),MATCH(LEFT(TRIM('Dev Tracker'!J23),3),$U$2:$U$12,0),1),""))</f>
        <v/>
      </c>
      <c r="R176" s="147"/>
      <c r="S176" s="147" t="str">
        <f>""</f>
        <v/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</row>
    <row r="177" spans="1:46" x14ac:dyDescent="0.2">
      <c r="A177" s="147">
        <v>28</v>
      </c>
      <c r="B177" s="147" t="str">
        <f>IF(TRIM('Dev Tracker'!D24)="","",IF(COUNTIF($K$2:$K$150,24)&gt;0,"",TRIM('Dev Tracker'!D24)))</f>
        <v/>
      </c>
      <c r="C177" s="147" t="str">
        <f>IF($B177="","",'Dev Tracker'!#REF!)</f>
        <v/>
      </c>
      <c r="D177" s="147" t="str">
        <f t="shared" si="15"/>
        <v/>
      </c>
      <c r="E177" s="147" t="str">
        <f>IF($B177="","",TRIM('Dev Tracker'!E24))</f>
        <v/>
      </c>
      <c r="F177" s="147" t="str">
        <f>IF($B177="","",'Dev Tracker'!F24)</f>
        <v/>
      </c>
      <c r="G177" s="148" t="str">
        <f>""</f>
        <v/>
      </c>
      <c r="H177" s="148" t="str">
        <f>""</f>
        <v/>
      </c>
      <c r="I177" s="149" t="str">
        <f t="shared" ca="1" si="16"/>
        <v/>
      </c>
      <c r="J177" s="149" t="str">
        <f t="shared" ca="1" si="17"/>
        <v/>
      </c>
      <c r="K177" s="147" t="str">
        <f>IF($B177="","",24)</f>
        <v/>
      </c>
      <c r="L177" s="147" t="str">
        <f t="shared" si="18"/>
        <v/>
      </c>
      <c r="M177" s="147" t="str">
        <f>IF($B177="","",IFERROR(MATCH($F177,'Control (Don’t Touch)'!$B$4:$B$30,0),99))</f>
        <v/>
      </c>
      <c r="N177" s="147" t="str">
        <f t="shared" si="19"/>
        <v/>
      </c>
      <c r="O177" s="147" t="str">
        <f>IF($B177="","",COUNTIF($N$2:$N$204,"&lt;"&amp;$N177)+1)</f>
        <v/>
      </c>
      <c r="P177" s="149" t="str">
        <f ca="1">IF($B177="","",IFERROR(DATE(IFERROR(VALUE(RIGHT(TRIM('Dev Tracker'!I24),4)),YEAR(TODAY())),MATCH(LEFT(TRIM('Dev Tracker'!I24),3),$U$2:$U$12,0),1),""))</f>
        <v/>
      </c>
      <c r="Q177" s="149" t="str">
        <f ca="1">IF($B177="","",IFERROR(DATE(IFERROR(VALUE(RIGHT(TRIM('Dev Tracker'!J24),4)),YEAR(TODAY())),MATCH(LEFT(TRIM('Dev Tracker'!J24),3),$U$2:$U$12,0),1),""))</f>
        <v/>
      </c>
      <c r="R177" s="147"/>
      <c r="S177" s="147" t="str">
        <f>""</f>
        <v/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</row>
    <row r="178" spans="1:46" x14ac:dyDescent="0.2">
      <c r="A178" s="147">
        <v>29</v>
      </c>
      <c r="B178" s="147" t="str">
        <f>IF(TRIM('Dev Tracker'!D25)="","",IF(COUNTIF($K$2:$K$150,25)&gt;0,"",TRIM('Dev Tracker'!D25)))</f>
        <v/>
      </c>
      <c r="C178" s="147" t="str">
        <f>IF($B178="","",'Dev Tracker'!#REF!)</f>
        <v/>
      </c>
      <c r="D178" s="147" t="str">
        <f t="shared" si="15"/>
        <v/>
      </c>
      <c r="E178" s="147" t="str">
        <f>IF($B178="","",TRIM('Dev Tracker'!E25))</f>
        <v/>
      </c>
      <c r="F178" s="147" t="str">
        <f>IF($B178="","",'Dev Tracker'!F25)</f>
        <v/>
      </c>
      <c r="G178" s="148" t="str">
        <f>""</f>
        <v/>
      </c>
      <c r="H178" s="148" t="str">
        <f>""</f>
        <v/>
      </c>
      <c r="I178" s="149" t="str">
        <f t="shared" ca="1" si="16"/>
        <v/>
      </c>
      <c r="J178" s="149" t="str">
        <f t="shared" ca="1" si="17"/>
        <v/>
      </c>
      <c r="K178" s="147" t="str">
        <f>IF($B178="","",25)</f>
        <v/>
      </c>
      <c r="L178" s="147" t="str">
        <f t="shared" si="18"/>
        <v/>
      </c>
      <c r="M178" s="147" t="str">
        <f>IF($B178="","",IFERROR(MATCH($F178,'Control (Don’t Touch)'!$B$4:$B$30,0),99))</f>
        <v/>
      </c>
      <c r="N178" s="147" t="str">
        <f t="shared" si="19"/>
        <v/>
      </c>
      <c r="O178" s="147" t="str">
        <f>IF($B178="","",COUNTIF($N$2:$N$204,"&lt;"&amp;$N178)+1)</f>
        <v/>
      </c>
      <c r="P178" s="149" t="str">
        <f ca="1">IF($B178="","",IFERROR(DATE(IFERROR(VALUE(RIGHT(TRIM('Dev Tracker'!I25),4)),YEAR(TODAY())),MATCH(LEFT(TRIM('Dev Tracker'!I25),3),$U$2:$U$12,0),1),""))</f>
        <v/>
      </c>
      <c r="Q178" s="149" t="str">
        <f ca="1">IF($B178="","",IFERROR(DATE(IFERROR(VALUE(RIGHT(TRIM('Dev Tracker'!J25),4)),YEAR(TODAY())),MATCH(LEFT(TRIM('Dev Tracker'!J25),3),$U$2:$U$12,0),1),""))</f>
        <v/>
      </c>
      <c r="R178" s="147"/>
      <c r="S178" s="147" t="str">
        <f>""</f>
        <v/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</row>
    <row r="179" spans="1:46" x14ac:dyDescent="0.2">
      <c r="A179" s="147">
        <v>30</v>
      </c>
      <c r="B179" s="147" t="str">
        <f>IF(TRIM('Dev Tracker'!D26)="","",IF(COUNTIF($K$2:$K$150,26)&gt;0,"",TRIM('Dev Tracker'!D26)))</f>
        <v/>
      </c>
      <c r="C179" s="147" t="str">
        <f>IF($B179="","",'Dev Tracker'!#REF!)</f>
        <v/>
      </c>
      <c r="D179" s="147" t="str">
        <f t="shared" si="15"/>
        <v/>
      </c>
      <c r="E179" s="147" t="str">
        <f>IF($B179="","",TRIM('Dev Tracker'!E26))</f>
        <v/>
      </c>
      <c r="F179" s="147" t="str">
        <f>IF($B179="","",'Dev Tracker'!F26)</f>
        <v/>
      </c>
      <c r="G179" s="148" t="str">
        <f>""</f>
        <v/>
      </c>
      <c r="H179" s="148" t="str">
        <f>""</f>
        <v/>
      </c>
      <c r="I179" s="149" t="str">
        <f t="shared" ca="1" si="16"/>
        <v/>
      </c>
      <c r="J179" s="149" t="str">
        <f t="shared" ca="1" si="17"/>
        <v/>
      </c>
      <c r="K179" s="147" t="str">
        <f>IF($B179="","",26)</f>
        <v/>
      </c>
      <c r="L179" s="147" t="str">
        <f t="shared" si="18"/>
        <v/>
      </c>
      <c r="M179" s="147" t="str">
        <f>IF($B179="","",IFERROR(MATCH($F179,'Control (Don’t Touch)'!$B$4:$B$30,0),99))</f>
        <v/>
      </c>
      <c r="N179" s="147" t="str">
        <f t="shared" si="19"/>
        <v/>
      </c>
      <c r="O179" s="147" t="str">
        <f>IF($B179="","",COUNTIF($N$2:$N$204,"&lt;"&amp;$N179)+1)</f>
        <v/>
      </c>
      <c r="P179" s="149" t="str">
        <f ca="1">IF($B179="","",IFERROR(DATE(IFERROR(VALUE(RIGHT(TRIM('Dev Tracker'!I26),4)),YEAR(TODAY())),MATCH(LEFT(TRIM('Dev Tracker'!I26),3),$U$2:$U$12,0),1),""))</f>
        <v/>
      </c>
      <c r="Q179" s="149" t="str">
        <f ca="1">IF($B179="","",IFERROR(DATE(IFERROR(VALUE(RIGHT(TRIM('Dev Tracker'!J26),4)),YEAR(TODAY())),MATCH(LEFT(TRIM('Dev Tracker'!J26),3),$U$2:$U$12,0),1),""))</f>
        <v/>
      </c>
      <c r="R179" s="147"/>
      <c r="S179" s="147" t="str">
        <f>""</f>
        <v/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</row>
    <row r="180" spans="1:46" x14ac:dyDescent="0.2">
      <c r="A180" s="147">
        <v>31</v>
      </c>
      <c r="B180" s="147" t="str">
        <f>IF(TRIM('Dev Tracker'!D27)="","",IF(COUNTIF($K$2:$K$150,27)&gt;0,"",TRIM('Dev Tracker'!D27)))</f>
        <v/>
      </c>
      <c r="C180" s="147" t="str">
        <f>IF($B180="","",'Dev Tracker'!#REF!)</f>
        <v/>
      </c>
      <c r="D180" s="147" t="str">
        <f t="shared" si="15"/>
        <v/>
      </c>
      <c r="E180" s="147" t="str">
        <f>IF($B180="","",TRIM('Dev Tracker'!E27))</f>
        <v/>
      </c>
      <c r="F180" s="147" t="str">
        <f>IF($B180="","",'Dev Tracker'!F27)</f>
        <v/>
      </c>
      <c r="G180" s="148" t="str">
        <f>""</f>
        <v/>
      </c>
      <c r="H180" s="148" t="str">
        <f>""</f>
        <v/>
      </c>
      <c r="I180" s="149" t="str">
        <f t="shared" ca="1" si="16"/>
        <v/>
      </c>
      <c r="J180" s="149" t="str">
        <f t="shared" ca="1" si="17"/>
        <v/>
      </c>
      <c r="K180" s="147" t="str">
        <f>IF($B180="","",27)</f>
        <v/>
      </c>
      <c r="L180" s="147" t="str">
        <f t="shared" si="18"/>
        <v/>
      </c>
      <c r="M180" s="147" t="str">
        <f>IF($B180="","",IFERROR(MATCH($F180,'Control (Don’t Touch)'!$B$4:$B$30,0),99))</f>
        <v/>
      </c>
      <c r="N180" s="147" t="str">
        <f t="shared" si="19"/>
        <v/>
      </c>
      <c r="O180" s="147" t="str">
        <f>IF($B180="","",COUNTIF($N$2:$N$204,"&lt;"&amp;$N180)+1)</f>
        <v/>
      </c>
      <c r="P180" s="149" t="str">
        <f ca="1">IF($B180="","",IFERROR(DATE(IFERROR(VALUE(RIGHT(TRIM('Dev Tracker'!I27),4)),YEAR(TODAY())),MATCH(LEFT(TRIM('Dev Tracker'!I27),3),$U$2:$U$12,0),1),""))</f>
        <v/>
      </c>
      <c r="Q180" s="149" t="str">
        <f ca="1">IF($B180="","",IFERROR(DATE(IFERROR(VALUE(RIGHT(TRIM('Dev Tracker'!J27),4)),YEAR(TODAY())),MATCH(LEFT(TRIM('Dev Tracker'!J27),3),$U$2:$U$12,0),1),""))</f>
        <v/>
      </c>
      <c r="R180" s="147"/>
      <c r="S180" s="147" t="str">
        <f>""</f>
        <v/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</row>
    <row r="181" spans="1:46" x14ac:dyDescent="0.2">
      <c r="A181" s="147">
        <v>32</v>
      </c>
      <c r="B181" s="147" t="str">
        <f>IF(TRIM('Dev Tracker'!D28)="","",IF(COUNTIF($K$2:$K$150,28)&gt;0,"",TRIM('Dev Tracker'!D28)))</f>
        <v/>
      </c>
      <c r="C181" s="147" t="str">
        <f>IF($B181="","",'Dev Tracker'!#REF!)</f>
        <v/>
      </c>
      <c r="D181" s="147" t="str">
        <f t="shared" si="15"/>
        <v/>
      </c>
      <c r="E181" s="147" t="str">
        <f>IF($B181="","",TRIM('Dev Tracker'!E28))</f>
        <v/>
      </c>
      <c r="F181" s="147" t="str">
        <f>IF($B181="","",'Dev Tracker'!F28)</f>
        <v/>
      </c>
      <c r="G181" s="148" t="str">
        <f>""</f>
        <v/>
      </c>
      <c r="H181" s="148" t="str">
        <f>""</f>
        <v/>
      </c>
      <c r="I181" s="149" t="str">
        <f t="shared" ca="1" si="16"/>
        <v/>
      </c>
      <c r="J181" s="149" t="str">
        <f t="shared" ca="1" si="17"/>
        <v/>
      </c>
      <c r="K181" s="147" t="str">
        <f>IF($B181="","",28)</f>
        <v/>
      </c>
      <c r="L181" s="147" t="str">
        <f t="shared" si="18"/>
        <v/>
      </c>
      <c r="M181" s="147" t="str">
        <f>IF($B181="","",IFERROR(MATCH($F181,'Control (Don’t Touch)'!$B$4:$B$30,0),99))</f>
        <v/>
      </c>
      <c r="N181" s="147" t="str">
        <f t="shared" si="19"/>
        <v/>
      </c>
      <c r="O181" s="147" t="str">
        <f>IF($B181="","",COUNTIF($N$2:$N$204,"&lt;"&amp;$N181)+1)</f>
        <v/>
      </c>
      <c r="P181" s="149" t="str">
        <f ca="1">IF($B181="","",IFERROR(DATE(IFERROR(VALUE(RIGHT(TRIM('Dev Tracker'!I28),4)),YEAR(TODAY())),MATCH(LEFT(TRIM('Dev Tracker'!I28),3),$U$2:$U$12,0),1),""))</f>
        <v/>
      </c>
      <c r="Q181" s="149" t="str">
        <f ca="1">IF($B181="","",IFERROR(DATE(IFERROR(VALUE(RIGHT(TRIM('Dev Tracker'!J28),4)),YEAR(TODAY())),MATCH(LEFT(TRIM('Dev Tracker'!J28),3),$U$2:$U$12,0),1),""))</f>
        <v/>
      </c>
      <c r="R181" s="147"/>
      <c r="S181" s="147" t="str">
        <f>""</f>
        <v/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</row>
    <row r="182" spans="1:46" x14ac:dyDescent="0.2">
      <c r="A182" s="147">
        <v>33</v>
      </c>
      <c r="B182" s="147" t="str">
        <f>IF(TRIM('Dev Tracker'!D29)="","",IF(COUNTIF($K$2:$K$150,29)&gt;0,"",TRIM('Dev Tracker'!D29)))</f>
        <v/>
      </c>
      <c r="C182" s="147" t="str">
        <f>IF($B182="","",'Dev Tracker'!#REF!)</f>
        <v/>
      </c>
      <c r="D182" s="147" t="str">
        <f t="shared" si="15"/>
        <v/>
      </c>
      <c r="E182" s="147" t="str">
        <f>IF($B182="","",TRIM('Dev Tracker'!E29))</f>
        <v/>
      </c>
      <c r="F182" s="147" t="str">
        <f>IF($B182="","",'Dev Tracker'!F29)</f>
        <v/>
      </c>
      <c r="G182" s="148" t="str">
        <f>""</f>
        <v/>
      </c>
      <c r="H182" s="148" t="str">
        <f>""</f>
        <v/>
      </c>
      <c r="I182" s="149" t="str">
        <f t="shared" ca="1" si="16"/>
        <v/>
      </c>
      <c r="J182" s="149" t="str">
        <f t="shared" ca="1" si="17"/>
        <v/>
      </c>
      <c r="K182" s="147" t="str">
        <f>IF($B182="","",29)</f>
        <v/>
      </c>
      <c r="L182" s="147" t="str">
        <f t="shared" si="18"/>
        <v/>
      </c>
      <c r="M182" s="147" t="str">
        <f>IF($B182="","",IFERROR(MATCH($F182,'Control (Don’t Touch)'!$B$4:$B$30,0),99))</f>
        <v/>
      </c>
      <c r="N182" s="147" t="str">
        <f t="shared" si="19"/>
        <v/>
      </c>
      <c r="O182" s="147" t="str">
        <f>IF($B182="","",COUNTIF($N$2:$N$204,"&lt;"&amp;$N182)+1)</f>
        <v/>
      </c>
      <c r="P182" s="149" t="str">
        <f ca="1">IF($B182="","",IFERROR(DATE(IFERROR(VALUE(RIGHT(TRIM('Dev Tracker'!I29),4)),YEAR(TODAY())),MATCH(LEFT(TRIM('Dev Tracker'!I29),3),$U$2:$U$12,0),1),""))</f>
        <v/>
      </c>
      <c r="Q182" s="149" t="str">
        <f ca="1">IF($B182="","",IFERROR(DATE(IFERROR(VALUE(RIGHT(TRIM('Dev Tracker'!J29),4)),YEAR(TODAY())),MATCH(LEFT(TRIM('Dev Tracker'!J29),3),$U$2:$U$12,0),1),""))</f>
        <v/>
      </c>
      <c r="R182" s="147"/>
      <c r="S182" s="147" t="str">
        <f>""</f>
        <v/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</row>
    <row r="183" spans="1:46" x14ac:dyDescent="0.2">
      <c r="A183" s="147">
        <v>34</v>
      </c>
      <c r="B183" s="147" t="str">
        <f>IF(TRIM('Dev Tracker'!D30)="","",IF(COUNTIF($K$2:$K$150,30)&gt;0,"",TRIM('Dev Tracker'!D30)))</f>
        <v/>
      </c>
      <c r="C183" s="147" t="str">
        <f>IF($B183="","",'Dev Tracker'!#REF!)</f>
        <v/>
      </c>
      <c r="D183" s="147" t="str">
        <f t="shared" si="15"/>
        <v/>
      </c>
      <c r="E183" s="147" t="str">
        <f>IF($B183="","",TRIM('Dev Tracker'!E30))</f>
        <v/>
      </c>
      <c r="F183" s="147" t="str">
        <f>IF($B183="","",'Dev Tracker'!F30)</f>
        <v/>
      </c>
      <c r="G183" s="148" t="str">
        <f>""</f>
        <v/>
      </c>
      <c r="H183" s="148" t="str">
        <f>""</f>
        <v/>
      </c>
      <c r="I183" s="149" t="str">
        <f t="shared" ca="1" si="16"/>
        <v/>
      </c>
      <c r="J183" s="149" t="str">
        <f t="shared" ca="1" si="17"/>
        <v/>
      </c>
      <c r="K183" s="147" t="str">
        <f>IF($B183="","",30)</f>
        <v/>
      </c>
      <c r="L183" s="147" t="str">
        <f t="shared" si="18"/>
        <v/>
      </c>
      <c r="M183" s="147" t="str">
        <f>IF($B183="","",IFERROR(MATCH($F183,'Control (Don’t Touch)'!$B$4:$B$30,0),99))</f>
        <v/>
      </c>
      <c r="N183" s="147" t="str">
        <f t="shared" si="19"/>
        <v/>
      </c>
      <c r="O183" s="147" t="str">
        <f>IF($B183="","",COUNTIF($N$2:$N$204,"&lt;"&amp;$N183)+1)</f>
        <v/>
      </c>
      <c r="P183" s="149" t="str">
        <f ca="1">IF($B183="","",IFERROR(DATE(IFERROR(VALUE(RIGHT(TRIM('Dev Tracker'!I30),4)),YEAR(TODAY())),MATCH(LEFT(TRIM('Dev Tracker'!I30),3),$U$2:$U$12,0),1),""))</f>
        <v/>
      </c>
      <c r="Q183" s="149" t="str">
        <f ca="1">IF($B183="","",IFERROR(DATE(IFERROR(VALUE(RIGHT(TRIM('Dev Tracker'!J30),4)),YEAR(TODAY())),MATCH(LEFT(TRIM('Dev Tracker'!J30),3),$U$2:$U$12,0),1),""))</f>
        <v/>
      </c>
      <c r="R183" s="147"/>
      <c r="S183" s="147" t="str">
        <f>""</f>
        <v/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</row>
    <row r="184" spans="1:46" x14ac:dyDescent="0.2">
      <c r="A184" s="147">
        <v>35</v>
      </c>
      <c r="B184" s="147" t="str">
        <f>IF(TRIM('Dev Tracker'!D31)="","",IF(COUNTIF($K$2:$K$150,31)&gt;0,"",TRIM('Dev Tracker'!D31)))</f>
        <v/>
      </c>
      <c r="C184" s="147" t="str">
        <f>IF($B184="","",'Dev Tracker'!#REF!)</f>
        <v/>
      </c>
      <c r="D184" s="147" t="str">
        <f t="shared" si="15"/>
        <v/>
      </c>
      <c r="E184" s="147" t="str">
        <f>IF($B184="","",TRIM('Dev Tracker'!E31))</f>
        <v/>
      </c>
      <c r="F184" s="147" t="str">
        <f>IF($B184="","",'Dev Tracker'!F31)</f>
        <v/>
      </c>
      <c r="G184" s="148" t="str">
        <f>""</f>
        <v/>
      </c>
      <c r="H184" s="148" t="str">
        <f>""</f>
        <v/>
      </c>
      <c r="I184" s="149" t="str">
        <f t="shared" ca="1" si="16"/>
        <v/>
      </c>
      <c r="J184" s="149" t="str">
        <f t="shared" ca="1" si="17"/>
        <v/>
      </c>
      <c r="K184" s="147" t="str">
        <f>IF($B184="","",31)</f>
        <v/>
      </c>
      <c r="L184" s="147" t="str">
        <f t="shared" si="18"/>
        <v/>
      </c>
      <c r="M184" s="147" t="str">
        <f>IF($B184="","",IFERROR(MATCH($F184,'Control (Don’t Touch)'!$B$4:$B$30,0),99))</f>
        <v/>
      </c>
      <c r="N184" s="147" t="str">
        <f t="shared" si="19"/>
        <v/>
      </c>
      <c r="O184" s="147" t="str">
        <f>IF($B184="","",COUNTIF($N$2:$N$204,"&lt;"&amp;$N184)+1)</f>
        <v/>
      </c>
      <c r="P184" s="149" t="str">
        <f ca="1">IF($B184="","",IFERROR(DATE(IFERROR(VALUE(RIGHT(TRIM('Dev Tracker'!I31),4)),YEAR(TODAY())),MATCH(LEFT(TRIM('Dev Tracker'!I31),3),$U$2:$U$12,0),1),""))</f>
        <v/>
      </c>
      <c r="Q184" s="149" t="str">
        <f ca="1">IF($B184="","",IFERROR(DATE(IFERROR(VALUE(RIGHT(TRIM('Dev Tracker'!J31),4)),YEAR(TODAY())),MATCH(LEFT(TRIM('Dev Tracker'!J31),3),$U$2:$U$12,0),1),""))</f>
        <v/>
      </c>
      <c r="R184" s="147"/>
      <c r="S184" s="147" t="str">
        <f>""</f>
        <v/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</row>
    <row r="185" spans="1:46" x14ac:dyDescent="0.2">
      <c r="A185" s="147">
        <v>36</v>
      </c>
      <c r="B185" s="147" t="str">
        <f>IF(TRIM('Dev Tracker'!D32)="","",IF(COUNTIF($K$2:$K$150,32)&gt;0,"",TRIM('Dev Tracker'!D32)))</f>
        <v/>
      </c>
      <c r="C185" s="147" t="str">
        <f>IF($B185="","",'Dev Tracker'!#REF!)</f>
        <v/>
      </c>
      <c r="D185" s="147" t="str">
        <f t="shared" si="15"/>
        <v/>
      </c>
      <c r="E185" s="147" t="str">
        <f>IF($B185="","",TRIM('Dev Tracker'!E32))</f>
        <v/>
      </c>
      <c r="F185" s="147" t="str">
        <f>IF($B185="","",'Dev Tracker'!F32)</f>
        <v/>
      </c>
      <c r="G185" s="148" t="str">
        <f>""</f>
        <v/>
      </c>
      <c r="H185" s="148" t="str">
        <f>""</f>
        <v/>
      </c>
      <c r="I185" s="149" t="str">
        <f t="shared" ca="1" si="16"/>
        <v/>
      </c>
      <c r="J185" s="149" t="str">
        <f t="shared" ca="1" si="17"/>
        <v/>
      </c>
      <c r="K185" s="147" t="str">
        <f>IF($B185="","",32)</f>
        <v/>
      </c>
      <c r="L185" s="147" t="str">
        <f t="shared" si="18"/>
        <v/>
      </c>
      <c r="M185" s="147" t="str">
        <f>IF($B185="","",IFERROR(MATCH($F185,'Control (Don’t Touch)'!$B$4:$B$30,0),99))</f>
        <v/>
      </c>
      <c r="N185" s="147" t="str">
        <f t="shared" si="19"/>
        <v/>
      </c>
      <c r="O185" s="147" t="str">
        <f>IF($B185="","",COUNTIF($N$2:$N$204,"&lt;"&amp;$N185)+1)</f>
        <v/>
      </c>
      <c r="P185" s="149" t="str">
        <f ca="1">IF($B185="","",IFERROR(DATE(IFERROR(VALUE(RIGHT(TRIM('Dev Tracker'!I32),4)),YEAR(TODAY())),MATCH(LEFT(TRIM('Dev Tracker'!I32),3),$U$2:$U$12,0),1),""))</f>
        <v/>
      </c>
      <c r="Q185" s="149" t="str">
        <f ca="1">IF($B185="","",IFERROR(DATE(IFERROR(VALUE(RIGHT(TRIM('Dev Tracker'!J32),4)),YEAR(TODAY())),MATCH(LEFT(TRIM('Dev Tracker'!J32),3),$U$2:$U$12,0),1),""))</f>
        <v/>
      </c>
      <c r="R185" s="147"/>
      <c r="S185" s="147" t="str">
        <f>""</f>
        <v/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</row>
    <row r="186" spans="1:46" x14ac:dyDescent="0.2">
      <c r="A186" s="147">
        <v>37</v>
      </c>
      <c r="B186" s="147" t="str">
        <f>IF(TRIM('Dev Tracker'!D33)="","",IF(COUNTIF($K$2:$K$150,33)&gt;0,"",TRIM('Dev Tracker'!D33)))</f>
        <v/>
      </c>
      <c r="C186" s="147" t="str">
        <f>IF($B186="","",'Dev Tracker'!#REF!)</f>
        <v/>
      </c>
      <c r="D186" s="147" t="str">
        <f t="shared" ref="D186:D204" si="20">IF($B186="","","(Tracker only — no Weekly row)")</f>
        <v/>
      </c>
      <c r="E186" s="147" t="str">
        <f>IF($B186="","",TRIM('Dev Tracker'!E33))</f>
        <v/>
      </c>
      <c r="F186" s="147" t="str">
        <f>IF($B186="","",'Dev Tracker'!F33)</f>
        <v/>
      </c>
      <c r="G186" s="148" t="str">
        <f>""</f>
        <v/>
      </c>
      <c r="H186" s="148" t="str">
        <f>""</f>
        <v/>
      </c>
      <c r="I186" s="149" t="str">
        <f t="shared" ref="I186:I204" ca="1" si="21">IF($Q186&lt;&gt;"",IF($P186&lt;&gt;"",$P186,$Q186),IF($P186&lt;&gt;"",$P186,""))</f>
        <v/>
      </c>
      <c r="J186" s="149" t="str">
        <f t="shared" ref="J186:J204" ca="1" si="22">IF($Q186&lt;&gt;"",EOMONTH($Q186,0),IF($P186&lt;&gt;"",EOMONTH($P186,0),""))</f>
        <v/>
      </c>
      <c r="K186" s="147" t="str">
        <f>IF($B186="","",33)</f>
        <v/>
      </c>
      <c r="L186" s="147" t="str">
        <f t="shared" ref="L186:L204" si="23">IF($B186="","",100)</f>
        <v/>
      </c>
      <c r="M186" s="147" t="str">
        <f>IF($B186="","",IFERROR(MATCH($F186,'Control (Don’t Touch)'!$B$4:$B$30,0),99))</f>
        <v/>
      </c>
      <c r="N186" s="147" t="str">
        <f t="shared" ref="N186:N204" si="24">IF($B186="","",$L186*1000000+$M186*10000+ROW())</f>
        <v/>
      </c>
      <c r="O186" s="147" t="str">
        <f>IF($B186="","",COUNTIF($N$2:$N$204,"&lt;"&amp;$N186)+1)</f>
        <v/>
      </c>
      <c r="P186" s="149" t="str">
        <f ca="1">IF($B186="","",IFERROR(DATE(IFERROR(VALUE(RIGHT(TRIM('Dev Tracker'!I33),4)),YEAR(TODAY())),MATCH(LEFT(TRIM('Dev Tracker'!I33),3),$U$2:$U$12,0),1),""))</f>
        <v/>
      </c>
      <c r="Q186" s="149" t="str">
        <f ca="1">IF($B186="","",IFERROR(DATE(IFERROR(VALUE(RIGHT(TRIM('Dev Tracker'!J33),4)),YEAR(TODAY())),MATCH(LEFT(TRIM('Dev Tracker'!J33),3),$U$2:$U$12,0),1),""))</f>
        <v/>
      </c>
      <c r="R186" s="147"/>
      <c r="S186" s="147" t="str">
        <f>""</f>
        <v/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</row>
    <row r="187" spans="1:46" x14ac:dyDescent="0.2">
      <c r="A187" s="147">
        <v>38</v>
      </c>
      <c r="B187" s="147" t="str">
        <f>IF(TRIM('Dev Tracker'!D34)="","",IF(COUNTIF($K$2:$K$150,34)&gt;0,"",TRIM('Dev Tracker'!D34)))</f>
        <v/>
      </c>
      <c r="C187" s="147" t="str">
        <f>IF($B187="","",'Dev Tracker'!#REF!)</f>
        <v/>
      </c>
      <c r="D187" s="147" t="str">
        <f t="shared" si="20"/>
        <v/>
      </c>
      <c r="E187" s="147" t="str">
        <f>IF($B187="","",TRIM('Dev Tracker'!E34))</f>
        <v/>
      </c>
      <c r="F187" s="147" t="str">
        <f>IF($B187="","",'Dev Tracker'!F34)</f>
        <v/>
      </c>
      <c r="G187" s="148" t="str">
        <f>""</f>
        <v/>
      </c>
      <c r="H187" s="148" t="str">
        <f>""</f>
        <v/>
      </c>
      <c r="I187" s="149" t="str">
        <f t="shared" ca="1" si="21"/>
        <v/>
      </c>
      <c r="J187" s="149" t="str">
        <f t="shared" ca="1" si="22"/>
        <v/>
      </c>
      <c r="K187" s="147" t="str">
        <f>IF($B187="","",34)</f>
        <v/>
      </c>
      <c r="L187" s="147" t="str">
        <f t="shared" si="23"/>
        <v/>
      </c>
      <c r="M187" s="147" t="str">
        <f>IF($B187="","",IFERROR(MATCH($F187,'Control (Don’t Touch)'!$B$4:$B$30,0),99))</f>
        <v/>
      </c>
      <c r="N187" s="147" t="str">
        <f t="shared" si="24"/>
        <v/>
      </c>
      <c r="O187" s="147" t="str">
        <f>IF($B187="","",COUNTIF($N$2:$N$204,"&lt;"&amp;$N187)+1)</f>
        <v/>
      </c>
      <c r="P187" s="149" t="str">
        <f ca="1">IF($B187="","",IFERROR(DATE(IFERROR(VALUE(RIGHT(TRIM('Dev Tracker'!I34),4)),YEAR(TODAY())),MATCH(LEFT(TRIM('Dev Tracker'!I34),3),$U$2:$U$12,0),1),""))</f>
        <v/>
      </c>
      <c r="Q187" s="149" t="str">
        <f ca="1">IF($B187="","",IFERROR(DATE(IFERROR(VALUE(RIGHT(TRIM('Dev Tracker'!J34),4)),YEAR(TODAY())),MATCH(LEFT(TRIM('Dev Tracker'!J34),3),$U$2:$U$12,0),1),""))</f>
        <v/>
      </c>
      <c r="R187" s="147"/>
      <c r="S187" s="147" t="str">
        <f>""</f>
        <v/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</row>
    <row r="188" spans="1:46" x14ac:dyDescent="0.2">
      <c r="A188" s="147">
        <v>39</v>
      </c>
      <c r="B188" s="147" t="str">
        <f>IF(TRIM('Dev Tracker'!D35)="","",IF(COUNTIF($K$2:$K$150,35)&gt;0,"",TRIM('Dev Tracker'!D35)))</f>
        <v/>
      </c>
      <c r="C188" s="147" t="str">
        <f>IF($B188="","",'Dev Tracker'!#REF!)</f>
        <v/>
      </c>
      <c r="D188" s="147" t="str">
        <f t="shared" si="20"/>
        <v/>
      </c>
      <c r="E188" s="147" t="str">
        <f>IF($B188="","",TRIM('Dev Tracker'!E35))</f>
        <v/>
      </c>
      <c r="F188" s="147" t="str">
        <f>IF($B188="","",'Dev Tracker'!F35)</f>
        <v/>
      </c>
      <c r="G188" s="148" t="str">
        <f>""</f>
        <v/>
      </c>
      <c r="H188" s="148" t="str">
        <f>""</f>
        <v/>
      </c>
      <c r="I188" s="149" t="str">
        <f t="shared" ca="1" si="21"/>
        <v/>
      </c>
      <c r="J188" s="149" t="str">
        <f t="shared" ca="1" si="22"/>
        <v/>
      </c>
      <c r="K188" s="147" t="str">
        <f>IF($B188="","",35)</f>
        <v/>
      </c>
      <c r="L188" s="147" t="str">
        <f t="shared" si="23"/>
        <v/>
      </c>
      <c r="M188" s="147" t="str">
        <f>IF($B188="","",IFERROR(MATCH($F188,'Control (Don’t Touch)'!$B$4:$B$30,0),99))</f>
        <v/>
      </c>
      <c r="N188" s="147" t="str">
        <f t="shared" si="24"/>
        <v/>
      </c>
      <c r="O188" s="147" t="str">
        <f>IF($B188="","",COUNTIF($N$2:$N$204,"&lt;"&amp;$N188)+1)</f>
        <v/>
      </c>
      <c r="P188" s="149" t="str">
        <f ca="1">IF($B188="","",IFERROR(DATE(IFERROR(VALUE(RIGHT(TRIM('Dev Tracker'!I35),4)),YEAR(TODAY())),MATCH(LEFT(TRIM('Dev Tracker'!I35),3),$U$2:$U$12,0),1),""))</f>
        <v/>
      </c>
      <c r="Q188" s="149" t="str">
        <f ca="1">IF($B188="","",IFERROR(DATE(IFERROR(VALUE(RIGHT(TRIM('Dev Tracker'!J35),4)),YEAR(TODAY())),MATCH(LEFT(TRIM('Dev Tracker'!J35),3),$U$2:$U$12,0),1),""))</f>
        <v/>
      </c>
      <c r="R188" s="147"/>
      <c r="S188" s="147" t="str">
        <f>""</f>
        <v/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</row>
    <row r="189" spans="1:46" x14ac:dyDescent="0.2">
      <c r="A189" s="147">
        <v>40</v>
      </c>
      <c r="B189" s="147" t="str">
        <f>IF(TRIM('Dev Tracker'!D36)="","",IF(COUNTIF($K$2:$K$150,36)&gt;0,"",TRIM('Dev Tracker'!D36)))</f>
        <v/>
      </c>
      <c r="C189" s="147" t="str">
        <f>IF($B189="","",'Dev Tracker'!#REF!)</f>
        <v/>
      </c>
      <c r="D189" s="147" t="str">
        <f t="shared" si="20"/>
        <v/>
      </c>
      <c r="E189" s="147" t="str">
        <f>IF($B189="","",TRIM('Dev Tracker'!E36))</f>
        <v/>
      </c>
      <c r="F189" s="147" t="str">
        <f>IF($B189="","",'Dev Tracker'!F36)</f>
        <v/>
      </c>
      <c r="G189" s="148" t="str">
        <f>""</f>
        <v/>
      </c>
      <c r="H189" s="148" t="str">
        <f>""</f>
        <v/>
      </c>
      <c r="I189" s="149" t="str">
        <f t="shared" ca="1" si="21"/>
        <v/>
      </c>
      <c r="J189" s="149" t="str">
        <f t="shared" ca="1" si="22"/>
        <v/>
      </c>
      <c r="K189" s="147" t="str">
        <f>IF($B189="","",36)</f>
        <v/>
      </c>
      <c r="L189" s="147" t="str">
        <f t="shared" si="23"/>
        <v/>
      </c>
      <c r="M189" s="147" t="str">
        <f>IF($B189="","",IFERROR(MATCH($F189,'Control (Don’t Touch)'!$B$4:$B$30,0),99))</f>
        <v/>
      </c>
      <c r="N189" s="147" t="str">
        <f t="shared" si="24"/>
        <v/>
      </c>
      <c r="O189" s="147" t="str">
        <f>IF($B189="","",COUNTIF($N$2:$N$204,"&lt;"&amp;$N189)+1)</f>
        <v/>
      </c>
      <c r="P189" s="149" t="str">
        <f ca="1">IF($B189="","",IFERROR(DATE(IFERROR(VALUE(RIGHT(TRIM('Dev Tracker'!I36),4)),YEAR(TODAY())),MATCH(LEFT(TRIM('Dev Tracker'!I36),3),$U$2:$U$12,0),1),""))</f>
        <v/>
      </c>
      <c r="Q189" s="149" t="str">
        <f ca="1">IF($B189="","",IFERROR(DATE(IFERROR(VALUE(RIGHT(TRIM('Dev Tracker'!J36),4)),YEAR(TODAY())),MATCH(LEFT(TRIM('Dev Tracker'!J36),3),$U$2:$U$12,0),1),""))</f>
        <v/>
      </c>
      <c r="R189" s="147"/>
      <c r="S189" s="147" t="str">
        <f>""</f>
        <v/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</row>
    <row r="190" spans="1:46" x14ac:dyDescent="0.2">
      <c r="A190" s="147">
        <v>41</v>
      </c>
      <c r="B190" s="147" t="str">
        <f>IF(TRIM('Dev Tracker'!D37)="","",IF(COUNTIF($K$2:$K$150,37)&gt;0,"",TRIM('Dev Tracker'!D37)))</f>
        <v/>
      </c>
      <c r="C190" s="147" t="str">
        <f>IF($B190="","",'Dev Tracker'!#REF!)</f>
        <v/>
      </c>
      <c r="D190" s="147" t="str">
        <f t="shared" si="20"/>
        <v/>
      </c>
      <c r="E190" s="147" t="str">
        <f>IF($B190="","",TRIM('Dev Tracker'!E37))</f>
        <v/>
      </c>
      <c r="F190" s="147" t="str">
        <f>IF($B190="","",'Dev Tracker'!F37)</f>
        <v/>
      </c>
      <c r="G190" s="148" t="str">
        <f>""</f>
        <v/>
      </c>
      <c r="H190" s="148" t="str">
        <f>""</f>
        <v/>
      </c>
      <c r="I190" s="149" t="str">
        <f t="shared" ca="1" si="21"/>
        <v/>
      </c>
      <c r="J190" s="149" t="str">
        <f t="shared" ca="1" si="22"/>
        <v/>
      </c>
      <c r="K190" s="147" t="str">
        <f>IF($B190="","",37)</f>
        <v/>
      </c>
      <c r="L190" s="147" t="str">
        <f t="shared" si="23"/>
        <v/>
      </c>
      <c r="M190" s="147" t="str">
        <f>IF($B190="","",IFERROR(MATCH($F190,'Control (Don’t Touch)'!$B$4:$B$30,0),99))</f>
        <v/>
      </c>
      <c r="N190" s="147" t="str">
        <f t="shared" si="24"/>
        <v/>
      </c>
      <c r="O190" s="147" t="str">
        <f>IF($B190="","",COUNTIF($N$2:$N$204,"&lt;"&amp;$N190)+1)</f>
        <v/>
      </c>
      <c r="P190" s="149" t="str">
        <f ca="1">IF($B190="","",IFERROR(DATE(IFERROR(VALUE(RIGHT(TRIM('Dev Tracker'!I37),4)),YEAR(TODAY())),MATCH(LEFT(TRIM('Dev Tracker'!I37),3),$U$2:$U$12,0),1),""))</f>
        <v/>
      </c>
      <c r="Q190" s="149" t="str">
        <f ca="1">IF($B190="","",IFERROR(DATE(IFERROR(VALUE(RIGHT(TRIM('Dev Tracker'!J37),4)),YEAR(TODAY())),MATCH(LEFT(TRIM('Dev Tracker'!J37),3),$U$2:$U$12,0),1),""))</f>
        <v/>
      </c>
      <c r="R190" s="147"/>
      <c r="S190" s="147" t="str">
        <f>""</f>
        <v/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</row>
    <row r="191" spans="1:46" x14ac:dyDescent="0.2">
      <c r="A191" s="147">
        <v>42</v>
      </c>
      <c r="B191" s="147" t="str">
        <f>IF(TRIM('Dev Tracker'!D38)="","",IF(COUNTIF($K$2:$K$150,38)&gt;0,"",TRIM('Dev Tracker'!D38)))</f>
        <v/>
      </c>
      <c r="C191" s="147" t="str">
        <f>IF($B191="","",'Dev Tracker'!#REF!)</f>
        <v/>
      </c>
      <c r="D191" s="147" t="str">
        <f t="shared" si="20"/>
        <v/>
      </c>
      <c r="E191" s="147" t="str">
        <f>IF($B191="","",TRIM('Dev Tracker'!E38))</f>
        <v/>
      </c>
      <c r="F191" s="147" t="str">
        <f>IF($B191="","",'Dev Tracker'!F38)</f>
        <v/>
      </c>
      <c r="G191" s="148" t="str">
        <f>""</f>
        <v/>
      </c>
      <c r="H191" s="148" t="str">
        <f>""</f>
        <v/>
      </c>
      <c r="I191" s="149" t="str">
        <f t="shared" ca="1" si="21"/>
        <v/>
      </c>
      <c r="J191" s="149" t="str">
        <f t="shared" ca="1" si="22"/>
        <v/>
      </c>
      <c r="K191" s="147" t="str">
        <f>IF($B191="","",38)</f>
        <v/>
      </c>
      <c r="L191" s="147" t="str">
        <f t="shared" si="23"/>
        <v/>
      </c>
      <c r="M191" s="147" t="str">
        <f>IF($B191="","",IFERROR(MATCH($F191,'Control (Don’t Touch)'!$B$4:$B$30,0),99))</f>
        <v/>
      </c>
      <c r="N191" s="147" t="str">
        <f t="shared" si="24"/>
        <v/>
      </c>
      <c r="O191" s="147" t="str">
        <f>IF($B191="","",COUNTIF($N$2:$N$204,"&lt;"&amp;$N191)+1)</f>
        <v/>
      </c>
      <c r="P191" s="149" t="str">
        <f ca="1">IF($B191="","",IFERROR(DATE(IFERROR(VALUE(RIGHT(TRIM('Dev Tracker'!I38),4)),YEAR(TODAY())),MATCH(LEFT(TRIM('Dev Tracker'!I38),3),$U$2:$U$12,0),1),""))</f>
        <v/>
      </c>
      <c r="Q191" s="149" t="str">
        <f ca="1">IF($B191="","",IFERROR(DATE(IFERROR(VALUE(RIGHT(TRIM('Dev Tracker'!J38),4)),YEAR(TODAY())),MATCH(LEFT(TRIM('Dev Tracker'!J38),3),$U$2:$U$12,0),1),""))</f>
        <v/>
      </c>
      <c r="R191" s="147"/>
      <c r="S191" s="147" t="str">
        <f>""</f>
        <v/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</row>
    <row r="192" spans="1:46" x14ac:dyDescent="0.2">
      <c r="A192" s="147">
        <v>43</v>
      </c>
      <c r="B192" s="147" t="str">
        <f>IF(TRIM('Dev Tracker'!D39)="","",IF(COUNTIF($K$2:$K$150,39)&gt;0,"",TRIM('Dev Tracker'!D39)))</f>
        <v/>
      </c>
      <c r="C192" s="147" t="str">
        <f>IF($B192="","",'Dev Tracker'!#REF!)</f>
        <v/>
      </c>
      <c r="D192" s="147" t="str">
        <f t="shared" si="20"/>
        <v/>
      </c>
      <c r="E192" s="147" t="str">
        <f>IF($B192="","",TRIM('Dev Tracker'!E39))</f>
        <v/>
      </c>
      <c r="F192" s="147" t="str">
        <f>IF($B192="","",'Dev Tracker'!F39)</f>
        <v/>
      </c>
      <c r="G192" s="148" t="str">
        <f>""</f>
        <v/>
      </c>
      <c r="H192" s="148" t="str">
        <f>""</f>
        <v/>
      </c>
      <c r="I192" s="149" t="str">
        <f t="shared" ca="1" si="21"/>
        <v/>
      </c>
      <c r="J192" s="149" t="str">
        <f t="shared" ca="1" si="22"/>
        <v/>
      </c>
      <c r="K192" s="147" t="str">
        <f>IF($B192="","",39)</f>
        <v/>
      </c>
      <c r="L192" s="147" t="str">
        <f t="shared" si="23"/>
        <v/>
      </c>
      <c r="M192" s="147" t="str">
        <f>IF($B192="","",IFERROR(MATCH($F192,'Control (Don’t Touch)'!$B$4:$B$30,0),99))</f>
        <v/>
      </c>
      <c r="N192" s="147" t="str">
        <f t="shared" si="24"/>
        <v/>
      </c>
      <c r="O192" s="147" t="str">
        <f>IF($B192="","",COUNTIF($N$2:$N$204,"&lt;"&amp;$N192)+1)</f>
        <v/>
      </c>
      <c r="P192" s="149" t="str">
        <f ca="1">IF($B192="","",IFERROR(DATE(IFERROR(VALUE(RIGHT(TRIM('Dev Tracker'!I39),4)),YEAR(TODAY())),MATCH(LEFT(TRIM('Dev Tracker'!I39),3),$U$2:$U$12,0),1),""))</f>
        <v/>
      </c>
      <c r="Q192" s="149" t="str">
        <f ca="1">IF($B192="","",IFERROR(DATE(IFERROR(VALUE(RIGHT(TRIM('Dev Tracker'!J39),4)),YEAR(TODAY())),MATCH(LEFT(TRIM('Dev Tracker'!J39),3),$U$2:$U$12,0),1),""))</f>
        <v/>
      </c>
      <c r="R192" s="147"/>
      <c r="S192" s="147" t="str">
        <f>""</f>
        <v/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</row>
    <row r="193" spans="1:46" x14ac:dyDescent="0.2">
      <c r="A193" s="147">
        <v>44</v>
      </c>
      <c r="B193" s="147" t="str">
        <f>IF(TRIM('Dev Tracker'!D40)="","",IF(COUNTIF($K$2:$K$150,40)&gt;0,"",TRIM('Dev Tracker'!D40)))</f>
        <v/>
      </c>
      <c r="C193" s="147" t="str">
        <f>IF($B193="","",'Dev Tracker'!#REF!)</f>
        <v/>
      </c>
      <c r="D193" s="147" t="str">
        <f t="shared" si="20"/>
        <v/>
      </c>
      <c r="E193" s="147" t="str">
        <f>IF($B193="","",TRIM('Dev Tracker'!E40))</f>
        <v/>
      </c>
      <c r="F193" s="147" t="str">
        <f>IF($B193="","",'Dev Tracker'!F40)</f>
        <v/>
      </c>
      <c r="G193" s="148" t="str">
        <f>""</f>
        <v/>
      </c>
      <c r="H193" s="148" t="str">
        <f>""</f>
        <v/>
      </c>
      <c r="I193" s="149" t="str">
        <f t="shared" ca="1" si="21"/>
        <v/>
      </c>
      <c r="J193" s="149" t="str">
        <f t="shared" ca="1" si="22"/>
        <v/>
      </c>
      <c r="K193" s="147" t="str">
        <f>IF($B193="","",40)</f>
        <v/>
      </c>
      <c r="L193" s="147" t="str">
        <f t="shared" si="23"/>
        <v/>
      </c>
      <c r="M193" s="147" t="str">
        <f>IF($B193="","",IFERROR(MATCH($F193,'Control (Don’t Touch)'!$B$4:$B$30,0),99))</f>
        <v/>
      </c>
      <c r="N193" s="147" t="str">
        <f t="shared" si="24"/>
        <v/>
      </c>
      <c r="O193" s="147" t="str">
        <f>IF($B193="","",COUNTIF($N$2:$N$204,"&lt;"&amp;$N193)+1)</f>
        <v/>
      </c>
      <c r="P193" s="149" t="str">
        <f ca="1">IF($B193="","",IFERROR(DATE(IFERROR(VALUE(RIGHT(TRIM('Dev Tracker'!I40),4)),YEAR(TODAY())),MATCH(LEFT(TRIM('Dev Tracker'!I40),3),$U$2:$U$12,0),1),""))</f>
        <v/>
      </c>
      <c r="Q193" s="149" t="str">
        <f ca="1">IF($B193="","",IFERROR(DATE(IFERROR(VALUE(RIGHT(TRIM('Dev Tracker'!J40),4)),YEAR(TODAY())),MATCH(LEFT(TRIM('Dev Tracker'!J40),3),$U$2:$U$12,0),1),""))</f>
        <v/>
      </c>
      <c r="R193" s="147"/>
      <c r="S193" s="147" t="str">
        <f>""</f>
        <v/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</row>
    <row r="194" spans="1:46" x14ac:dyDescent="0.2">
      <c r="A194" s="147">
        <v>45</v>
      </c>
      <c r="B194" s="147" t="str">
        <f>IF(TRIM('Dev Tracker'!D41)="","",IF(COUNTIF($K$2:$K$150,41)&gt;0,"",TRIM('Dev Tracker'!D41)))</f>
        <v/>
      </c>
      <c r="C194" s="147" t="str">
        <f>IF($B194="","",'Dev Tracker'!#REF!)</f>
        <v/>
      </c>
      <c r="D194" s="147" t="str">
        <f t="shared" si="20"/>
        <v/>
      </c>
      <c r="E194" s="147" t="str">
        <f>IF($B194="","",TRIM('Dev Tracker'!E41))</f>
        <v/>
      </c>
      <c r="F194" s="147" t="str">
        <f>IF($B194="","",'Dev Tracker'!F41)</f>
        <v/>
      </c>
      <c r="G194" s="148" t="str">
        <f>""</f>
        <v/>
      </c>
      <c r="H194" s="148" t="str">
        <f>""</f>
        <v/>
      </c>
      <c r="I194" s="149" t="str">
        <f t="shared" ca="1" si="21"/>
        <v/>
      </c>
      <c r="J194" s="149" t="str">
        <f t="shared" ca="1" si="22"/>
        <v/>
      </c>
      <c r="K194" s="147" t="str">
        <f>IF($B194="","",41)</f>
        <v/>
      </c>
      <c r="L194" s="147" t="str">
        <f t="shared" si="23"/>
        <v/>
      </c>
      <c r="M194" s="147" t="str">
        <f>IF($B194="","",IFERROR(MATCH($F194,'Control (Don’t Touch)'!$B$4:$B$30,0),99))</f>
        <v/>
      </c>
      <c r="N194" s="147" t="str">
        <f t="shared" si="24"/>
        <v/>
      </c>
      <c r="O194" s="147" t="str">
        <f>IF($B194="","",COUNTIF($N$2:$N$204,"&lt;"&amp;$N194)+1)</f>
        <v/>
      </c>
      <c r="P194" s="149" t="str">
        <f ca="1">IF($B194="","",IFERROR(DATE(IFERROR(VALUE(RIGHT(TRIM('Dev Tracker'!I41),4)),YEAR(TODAY())),MATCH(LEFT(TRIM('Dev Tracker'!I41),3),$U$2:$U$12,0),1),""))</f>
        <v/>
      </c>
      <c r="Q194" s="149" t="str">
        <f ca="1">IF($B194="","",IFERROR(DATE(IFERROR(VALUE(RIGHT(TRIM('Dev Tracker'!J41),4)),YEAR(TODAY())),MATCH(LEFT(TRIM('Dev Tracker'!J41),3),$U$2:$U$12,0),1),""))</f>
        <v/>
      </c>
      <c r="R194" s="147"/>
      <c r="S194" s="147" t="str">
        <f>""</f>
        <v/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</row>
    <row r="195" spans="1:46" x14ac:dyDescent="0.2">
      <c r="A195" s="147">
        <v>46</v>
      </c>
      <c r="B195" s="147" t="str">
        <f>IF(TRIM('Dev Tracker'!D42)="","",IF(COUNTIF($K$2:$K$150,42)&gt;0,"",TRIM('Dev Tracker'!D42)))</f>
        <v/>
      </c>
      <c r="C195" s="147" t="str">
        <f>IF($B195="","",'Dev Tracker'!#REF!)</f>
        <v/>
      </c>
      <c r="D195" s="147" t="str">
        <f t="shared" si="20"/>
        <v/>
      </c>
      <c r="E195" s="147" t="str">
        <f>IF($B195="","",TRIM('Dev Tracker'!E42))</f>
        <v/>
      </c>
      <c r="F195" s="147" t="str">
        <f>IF($B195="","",'Dev Tracker'!F42)</f>
        <v/>
      </c>
      <c r="G195" s="148" t="str">
        <f>""</f>
        <v/>
      </c>
      <c r="H195" s="148" t="str">
        <f>""</f>
        <v/>
      </c>
      <c r="I195" s="149" t="str">
        <f t="shared" ca="1" si="21"/>
        <v/>
      </c>
      <c r="J195" s="149" t="str">
        <f t="shared" ca="1" si="22"/>
        <v/>
      </c>
      <c r="K195" s="147" t="str">
        <f>IF($B195="","",42)</f>
        <v/>
      </c>
      <c r="L195" s="147" t="str">
        <f t="shared" si="23"/>
        <v/>
      </c>
      <c r="M195" s="147" t="str">
        <f>IF($B195="","",IFERROR(MATCH($F195,'Control (Don’t Touch)'!$B$4:$B$30,0),99))</f>
        <v/>
      </c>
      <c r="N195" s="147" t="str">
        <f t="shared" si="24"/>
        <v/>
      </c>
      <c r="O195" s="147" t="str">
        <f>IF($B195="","",COUNTIF($N$2:$N$204,"&lt;"&amp;$N195)+1)</f>
        <v/>
      </c>
      <c r="P195" s="149" t="str">
        <f ca="1">IF($B195="","",IFERROR(DATE(IFERROR(VALUE(RIGHT(TRIM('Dev Tracker'!I42),4)),YEAR(TODAY())),MATCH(LEFT(TRIM('Dev Tracker'!I42),3),$U$2:$U$12,0),1),""))</f>
        <v/>
      </c>
      <c r="Q195" s="149" t="str">
        <f ca="1">IF($B195="","",IFERROR(DATE(IFERROR(VALUE(RIGHT(TRIM('Dev Tracker'!J42),4)),YEAR(TODAY())),MATCH(LEFT(TRIM('Dev Tracker'!J42),3),$U$2:$U$12,0),1),""))</f>
        <v/>
      </c>
      <c r="R195" s="147"/>
      <c r="S195" s="147" t="str">
        <f>""</f>
        <v/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</row>
    <row r="196" spans="1:46" x14ac:dyDescent="0.2">
      <c r="A196" s="147">
        <v>47</v>
      </c>
      <c r="B196" s="147" t="str">
        <f>IF(TRIM('Dev Tracker'!D43)="","",IF(COUNTIF($K$2:$K$150,43)&gt;0,"",TRIM('Dev Tracker'!D43)))</f>
        <v/>
      </c>
      <c r="C196" s="147" t="str">
        <f>IF($B196="","",'Dev Tracker'!#REF!)</f>
        <v/>
      </c>
      <c r="D196" s="147" t="str">
        <f t="shared" si="20"/>
        <v/>
      </c>
      <c r="E196" s="147" t="str">
        <f>IF($B196="","",TRIM('Dev Tracker'!E43))</f>
        <v/>
      </c>
      <c r="F196" s="147" t="str">
        <f>IF($B196="","",'Dev Tracker'!F43)</f>
        <v/>
      </c>
      <c r="G196" s="148" t="str">
        <f>""</f>
        <v/>
      </c>
      <c r="H196" s="148" t="str">
        <f>""</f>
        <v/>
      </c>
      <c r="I196" s="149" t="str">
        <f t="shared" ca="1" si="21"/>
        <v/>
      </c>
      <c r="J196" s="149" t="str">
        <f t="shared" ca="1" si="22"/>
        <v/>
      </c>
      <c r="K196" s="147" t="str">
        <f>IF($B196="","",43)</f>
        <v/>
      </c>
      <c r="L196" s="147" t="str">
        <f t="shared" si="23"/>
        <v/>
      </c>
      <c r="M196" s="147" t="str">
        <f>IF($B196="","",IFERROR(MATCH($F196,'Control (Don’t Touch)'!$B$4:$B$30,0),99))</f>
        <v/>
      </c>
      <c r="N196" s="147" t="str">
        <f t="shared" si="24"/>
        <v/>
      </c>
      <c r="O196" s="147" t="str">
        <f>IF($B196="","",COUNTIF($N$2:$N$204,"&lt;"&amp;$N196)+1)</f>
        <v/>
      </c>
      <c r="P196" s="149" t="str">
        <f ca="1">IF($B196="","",IFERROR(DATE(IFERROR(VALUE(RIGHT(TRIM('Dev Tracker'!I43),4)),YEAR(TODAY())),MATCH(LEFT(TRIM('Dev Tracker'!I43),3),$U$2:$U$12,0),1),""))</f>
        <v/>
      </c>
      <c r="Q196" s="149" t="str">
        <f ca="1">IF($B196="","",IFERROR(DATE(IFERROR(VALUE(RIGHT(TRIM('Dev Tracker'!J43),4)),YEAR(TODAY())),MATCH(LEFT(TRIM('Dev Tracker'!J43),3),$U$2:$U$12,0),1),""))</f>
        <v/>
      </c>
      <c r="R196" s="147"/>
      <c r="S196" s="147" t="str">
        <f>""</f>
        <v/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</row>
    <row r="197" spans="1:46" x14ac:dyDescent="0.2">
      <c r="A197" s="147">
        <v>48</v>
      </c>
      <c r="B197" s="147" t="str">
        <f>IF(TRIM('Dev Tracker'!D44)="","",IF(COUNTIF($K$2:$K$150,44)&gt;0,"",TRIM('Dev Tracker'!D44)))</f>
        <v/>
      </c>
      <c r="C197" s="147" t="str">
        <f>IF($B197="","",'Dev Tracker'!#REF!)</f>
        <v/>
      </c>
      <c r="D197" s="147" t="str">
        <f t="shared" si="20"/>
        <v/>
      </c>
      <c r="E197" s="147" t="str">
        <f>IF($B197="","",TRIM('Dev Tracker'!E44))</f>
        <v/>
      </c>
      <c r="F197" s="147" t="str">
        <f>IF($B197="","",'Dev Tracker'!F44)</f>
        <v/>
      </c>
      <c r="G197" s="148" t="str">
        <f>""</f>
        <v/>
      </c>
      <c r="H197" s="148" t="str">
        <f>""</f>
        <v/>
      </c>
      <c r="I197" s="149" t="str">
        <f t="shared" ca="1" si="21"/>
        <v/>
      </c>
      <c r="J197" s="149" t="str">
        <f t="shared" ca="1" si="22"/>
        <v/>
      </c>
      <c r="K197" s="147" t="str">
        <f>IF($B197="","",44)</f>
        <v/>
      </c>
      <c r="L197" s="147" t="str">
        <f t="shared" si="23"/>
        <v/>
      </c>
      <c r="M197" s="147" t="str">
        <f>IF($B197="","",IFERROR(MATCH($F197,'Control (Don’t Touch)'!$B$4:$B$30,0),99))</f>
        <v/>
      </c>
      <c r="N197" s="147" t="str">
        <f t="shared" si="24"/>
        <v/>
      </c>
      <c r="O197" s="147" t="str">
        <f>IF($B197="","",COUNTIF($N$2:$N$204,"&lt;"&amp;$N197)+1)</f>
        <v/>
      </c>
      <c r="P197" s="149" t="str">
        <f ca="1">IF($B197="","",IFERROR(DATE(IFERROR(VALUE(RIGHT(TRIM('Dev Tracker'!I44),4)),YEAR(TODAY())),MATCH(LEFT(TRIM('Dev Tracker'!I44),3),$U$2:$U$12,0),1),""))</f>
        <v/>
      </c>
      <c r="Q197" s="149" t="str">
        <f ca="1">IF($B197="","",IFERROR(DATE(IFERROR(VALUE(RIGHT(TRIM('Dev Tracker'!J44),4)),YEAR(TODAY())),MATCH(LEFT(TRIM('Dev Tracker'!J44),3),$U$2:$U$12,0),1),""))</f>
        <v/>
      </c>
      <c r="R197" s="147"/>
      <c r="S197" s="147" t="str">
        <f>""</f>
        <v/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</row>
    <row r="198" spans="1:46" x14ac:dyDescent="0.2">
      <c r="A198" s="147">
        <v>49</v>
      </c>
      <c r="B198" s="147" t="str">
        <f>IF(TRIM('Dev Tracker'!D45)="","",IF(COUNTIF($K$2:$K$150,45)&gt;0,"",TRIM('Dev Tracker'!D45)))</f>
        <v/>
      </c>
      <c r="C198" s="147" t="str">
        <f>IF($B198="","",'Dev Tracker'!#REF!)</f>
        <v/>
      </c>
      <c r="D198" s="147" t="str">
        <f t="shared" si="20"/>
        <v/>
      </c>
      <c r="E198" s="147" t="str">
        <f>IF($B198="","",TRIM('Dev Tracker'!E45))</f>
        <v/>
      </c>
      <c r="F198" s="147" t="str">
        <f>IF($B198="","",'Dev Tracker'!F45)</f>
        <v/>
      </c>
      <c r="G198" s="148" t="str">
        <f>""</f>
        <v/>
      </c>
      <c r="H198" s="148" t="str">
        <f>""</f>
        <v/>
      </c>
      <c r="I198" s="149" t="str">
        <f t="shared" ca="1" si="21"/>
        <v/>
      </c>
      <c r="J198" s="149" t="str">
        <f t="shared" ca="1" si="22"/>
        <v/>
      </c>
      <c r="K198" s="147" t="str">
        <f>IF($B198="","",45)</f>
        <v/>
      </c>
      <c r="L198" s="147" t="str">
        <f t="shared" si="23"/>
        <v/>
      </c>
      <c r="M198" s="147" t="str">
        <f>IF($B198="","",IFERROR(MATCH($F198,'Control (Don’t Touch)'!$B$4:$B$30,0),99))</f>
        <v/>
      </c>
      <c r="N198" s="147" t="str">
        <f t="shared" si="24"/>
        <v/>
      </c>
      <c r="O198" s="147" t="str">
        <f>IF($B198="","",COUNTIF($N$2:$N$204,"&lt;"&amp;$N198)+1)</f>
        <v/>
      </c>
      <c r="P198" s="149" t="str">
        <f ca="1">IF($B198="","",IFERROR(DATE(IFERROR(VALUE(RIGHT(TRIM('Dev Tracker'!I45),4)),YEAR(TODAY())),MATCH(LEFT(TRIM('Dev Tracker'!I45),3),$U$2:$U$12,0),1),""))</f>
        <v/>
      </c>
      <c r="Q198" s="149" t="str">
        <f ca="1">IF($B198="","",IFERROR(DATE(IFERROR(VALUE(RIGHT(TRIM('Dev Tracker'!J45),4)),YEAR(TODAY())),MATCH(LEFT(TRIM('Dev Tracker'!J45),3),$U$2:$U$12,0),1),""))</f>
        <v/>
      </c>
      <c r="R198" s="147"/>
      <c r="S198" s="147" t="str">
        <f>""</f>
        <v/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</row>
    <row r="199" spans="1:46" x14ac:dyDescent="0.2">
      <c r="A199" s="147">
        <v>50</v>
      </c>
      <c r="B199" s="147" t="str">
        <f>IF(TRIM('Dev Tracker'!D46)="","",IF(COUNTIF($K$2:$K$150,46)&gt;0,"",TRIM('Dev Tracker'!D46)))</f>
        <v>Used Hub Enhancements</v>
      </c>
      <c r="C199" s="147" t="e">
        <f>IF($B199="","",'Dev Tracker'!#REF!)</f>
        <v>#REF!</v>
      </c>
      <c r="D199" s="147" t="str">
        <f t="shared" si="20"/>
        <v>(Tracker only — no Weekly row)</v>
      </c>
      <c r="E199" s="147" t="str">
        <f>IF($B199="","",TRIM('Dev Tracker'!E46))</f>
        <v>BHUX-31354 </v>
      </c>
      <c r="F199" s="147" t="str">
        <f>IF($B199="","",'Dev Tracker'!F46)</f>
        <v>13. Live</v>
      </c>
      <c r="G199" s="148" t="str">
        <f>""</f>
        <v/>
      </c>
      <c r="H199" s="148" t="str">
        <f>""</f>
        <v/>
      </c>
      <c r="I199" s="149" t="str">
        <f t="shared" ca="1" si="21"/>
        <v/>
      </c>
      <c r="J199" s="149" t="str">
        <f t="shared" ca="1" si="22"/>
        <v/>
      </c>
      <c r="K199" s="147">
        <f>IF($B199="","",46)</f>
        <v>46</v>
      </c>
      <c r="L199" s="147">
        <f t="shared" si="23"/>
        <v>100</v>
      </c>
      <c r="M199" s="147">
        <f>IF($B199="","",IFERROR(MATCH($F199,'Control (Don’t Touch)'!$B$4:$B$30,0),99))</f>
        <v>16</v>
      </c>
      <c r="N199" s="147">
        <f t="shared" si="24"/>
        <v>100160199</v>
      </c>
      <c r="O199" s="147">
        <f>IF($B199="","",COUNTIF($N$2:$N$204,"&lt;"&amp;$N199)+1)</f>
        <v>46</v>
      </c>
      <c r="P199" s="149" t="str">
        <f ca="1">IF($B199="","",IFERROR(DATE(IFERROR(VALUE(RIGHT(TRIM('Dev Tracker'!I46),4)),YEAR(TODAY())),MATCH(LEFT(TRIM('Dev Tracker'!I46),3),$U$2:$U$12,0),1),""))</f>
        <v/>
      </c>
      <c r="Q199" s="149" t="str">
        <f ca="1">IF($B199="","",IFERROR(DATE(IFERROR(VALUE(RIGHT(TRIM('Dev Tracker'!J46),4)),YEAR(TODAY())),MATCH(LEFT(TRIM('Dev Tracker'!J46),3),$U$2:$U$12,0),1),""))</f>
        <v/>
      </c>
      <c r="R199" s="147"/>
      <c r="S199" s="147" t="str">
        <f>""</f>
        <v/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</row>
    <row r="200" spans="1:46" x14ac:dyDescent="0.2">
      <c r="A200" s="147">
        <v>51</v>
      </c>
      <c r="B200" s="147" t="str">
        <f>IF(TRIM('Dev Tracker'!D47)="","",IF(COUNTIF($K$2:$K$150,47)&gt;0,"",TRIM('Dev Tracker'!D47)))</f>
        <v>0</v>
      </c>
      <c r="C200" s="147" t="e">
        <f>IF($B200="","",'Dev Tracker'!#REF!)</f>
        <v>#REF!</v>
      </c>
      <c r="D200" s="147" t="str">
        <f t="shared" si="20"/>
        <v>(Tracker only — no Weekly row)</v>
      </c>
      <c r="E200" s="147" t="str">
        <f>IF($B200="","",TRIM('Dev Tracker'!E47))</f>
        <v>0</v>
      </c>
      <c r="F200" s="147">
        <f>IF($B200="","",'Dev Tracker'!F47)</f>
        <v>0</v>
      </c>
      <c r="G200" s="148" t="str">
        <f>""</f>
        <v/>
      </c>
      <c r="H200" s="148" t="str">
        <f>""</f>
        <v/>
      </c>
      <c r="I200" s="149" t="str">
        <f t="shared" ca="1" si="21"/>
        <v/>
      </c>
      <c r="J200" s="149" t="str">
        <f t="shared" ca="1" si="22"/>
        <v/>
      </c>
      <c r="K200" s="147">
        <f>IF($B200="","",47)</f>
        <v>47</v>
      </c>
      <c r="L200" s="147">
        <f t="shared" si="23"/>
        <v>100</v>
      </c>
      <c r="M200" s="147">
        <f>IF($B200="","",IFERROR(MATCH($F200,'Control (Don’t Touch)'!$B$4:$B$30,0),99))</f>
        <v>99</v>
      </c>
      <c r="N200" s="147">
        <f t="shared" si="24"/>
        <v>100990200</v>
      </c>
      <c r="O200" s="147">
        <f>IF($B200="","",COUNTIF($N$2:$N$204,"&lt;"&amp;$N200)+1)</f>
        <v>47</v>
      </c>
      <c r="P200" s="149" t="str">
        <f ca="1">IF($B200="","",IFERROR(DATE(IFERROR(VALUE(RIGHT(TRIM('Dev Tracker'!I47),4)),YEAR(TODAY())),MATCH(LEFT(TRIM('Dev Tracker'!I47),3),$U$2:$U$12,0),1),""))</f>
        <v/>
      </c>
      <c r="Q200" s="149" t="str">
        <f ca="1">IF($B200="","",IFERROR(DATE(IFERROR(VALUE(RIGHT(TRIM('Dev Tracker'!J47),4)),YEAR(TODAY())),MATCH(LEFT(TRIM('Dev Tracker'!J47),3),$U$2:$U$12,0),1),""))</f>
        <v/>
      </c>
      <c r="R200" s="147"/>
      <c r="S200" s="147" t="str">
        <f>""</f>
        <v/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</row>
    <row r="201" spans="1:46" x14ac:dyDescent="0.2">
      <c r="A201" s="147">
        <v>52</v>
      </c>
      <c r="B201" s="147" t="str">
        <f>IF(TRIM('Dev Tracker'!D48)="","",IF(COUNTIF($K$2:$K$150,48)&gt;0,"",TRIM('Dev Tracker'!D48)))</f>
        <v>0</v>
      </c>
      <c r="C201" s="147" t="e">
        <f>IF($B201="","",'Dev Tracker'!#REF!)</f>
        <v>#REF!</v>
      </c>
      <c r="D201" s="147" t="str">
        <f t="shared" si="20"/>
        <v>(Tracker only — no Weekly row)</v>
      </c>
      <c r="E201" s="147" t="str">
        <f>IF($B201="","",TRIM('Dev Tracker'!E48))</f>
        <v>0</v>
      </c>
      <c r="F201" s="147">
        <f>IF($B201="","",'Dev Tracker'!F48)</f>
        <v>0</v>
      </c>
      <c r="G201" s="148" t="str">
        <f>""</f>
        <v/>
      </c>
      <c r="H201" s="148" t="str">
        <f>""</f>
        <v/>
      </c>
      <c r="I201" s="149" t="str">
        <f t="shared" ca="1" si="21"/>
        <v/>
      </c>
      <c r="J201" s="149" t="str">
        <f t="shared" ca="1" si="22"/>
        <v/>
      </c>
      <c r="K201" s="147">
        <f>IF($B201="","",48)</f>
        <v>48</v>
      </c>
      <c r="L201" s="147">
        <f t="shared" si="23"/>
        <v>100</v>
      </c>
      <c r="M201" s="147">
        <f>IF($B201="","",IFERROR(MATCH($F201,'Control (Don’t Touch)'!$B$4:$B$30,0),99))</f>
        <v>99</v>
      </c>
      <c r="N201" s="147">
        <f t="shared" si="24"/>
        <v>100990201</v>
      </c>
      <c r="O201" s="147">
        <f>IF($B201="","",COUNTIF($N$2:$N$204,"&lt;"&amp;$N201)+1)</f>
        <v>48</v>
      </c>
      <c r="P201" s="149" t="str">
        <f ca="1">IF($B201="","",IFERROR(DATE(IFERROR(VALUE(RIGHT(TRIM('Dev Tracker'!I48),4)),YEAR(TODAY())),MATCH(LEFT(TRIM('Dev Tracker'!I48),3),$U$2:$U$12,0),1),""))</f>
        <v/>
      </c>
      <c r="Q201" s="149" t="str">
        <f ca="1">IF($B201="","",IFERROR(DATE(IFERROR(VALUE(RIGHT(TRIM('Dev Tracker'!J48),4)),YEAR(TODAY())),MATCH(LEFT(TRIM('Dev Tracker'!J48),3),$U$2:$U$12,0),1),""))</f>
        <v/>
      </c>
      <c r="R201" s="147"/>
      <c r="S201" s="147" t="str">
        <f>""</f>
        <v/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</row>
    <row r="202" spans="1:46" x14ac:dyDescent="0.2">
      <c r="A202" s="147">
        <v>53</v>
      </c>
      <c r="B202" s="147" t="str">
        <f>IF(TRIM('Dev Tracker'!D49)="","",IF(COUNTIF($K$2:$K$150,49)&gt;0,"",TRIM('Dev Tracker'!D49)))</f>
        <v>0</v>
      </c>
      <c r="C202" s="147" t="e">
        <f>IF($B202="","",'Dev Tracker'!#REF!)</f>
        <v>#REF!</v>
      </c>
      <c r="D202" s="147" t="str">
        <f t="shared" si="20"/>
        <v>(Tracker only — no Weekly row)</v>
      </c>
      <c r="E202" s="147" t="str">
        <f>IF($B202="","",TRIM('Dev Tracker'!E49))</f>
        <v>0</v>
      </c>
      <c r="F202" s="147">
        <f>IF($B202="","",'Dev Tracker'!F49)</f>
        <v>0</v>
      </c>
      <c r="G202" s="148" t="str">
        <f>""</f>
        <v/>
      </c>
      <c r="H202" s="148" t="str">
        <f>""</f>
        <v/>
      </c>
      <c r="I202" s="149" t="str">
        <f t="shared" ca="1" si="21"/>
        <v/>
      </c>
      <c r="J202" s="149" t="str">
        <f t="shared" ca="1" si="22"/>
        <v/>
      </c>
      <c r="K202" s="147">
        <f>IF($B202="","",49)</f>
        <v>49</v>
      </c>
      <c r="L202" s="147">
        <f t="shared" si="23"/>
        <v>100</v>
      </c>
      <c r="M202" s="147">
        <f>IF($B202="","",IFERROR(MATCH($F202,'Control (Don’t Touch)'!$B$4:$B$30,0),99))</f>
        <v>99</v>
      </c>
      <c r="N202" s="147">
        <f t="shared" si="24"/>
        <v>100990202</v>
      </c>
      <c r="O202" s="147">
        <f>IF($B202="","",COUNTIF($N$2:$N$204,"&lt;"&amp;$N202)+1)</f>
        <v>49</v>
      </c>
      <c r="P202" s="149" t="str">
        <f ca="1">IF($B202="","",IFERROR(DATE(IFERROR(VALUE(RIGHT(TRIM('Dev Tracker'!I49),4)),YEAR(TODAY())),MATCH(LEFT(TRIM('Dev Tracker'!I49),3),$U$2:$U$12,0),1),""))</f>
        <v/>
      </c>
      <c r="Q202" s="149" t="str">
        <f ca="1">IF($B202="","",IFERROR(DATE(IFERROR(VALUE(RIGHT(TRIM('Dev Tracker'!J49),4)),YEAR(TODAY())),MATCH(LEFT(TRIM('Dev Tracker'!J49),3),$U$2:$U$12,0),1),""))</f>
        <v/>
      </c>
      <c r="R202" s="147"/>
      <c r="S202" s="147" t="str">
        <f>""</f>
        <v/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</row>
    <row r="203" spans="1:46" x14ac:dyDescent="0.2">
      <c r="A203" s="147">
        <v>54</v>
      </c>
      <c r="B203" s="147" t="str">
        <f>IF(TRIM('Dev Tracker'!D50)="","",IF(COUNTIF($K$2:$K$150,50)&gt;0,"",TRIM('Dev Tracker'!D50)))</f>
        <v/>
      </c>
      <c r="C203" s="147" t="str">
        <f>IF($B203="","",'Dev Tracker'!#REF!)</f>
        <v/>
      </c>
      <c r="D203" s="147" t="str">
        <f t="shared" si="20"/>
        <v/>
      </c>
      <c r="E203" s="147" t="str">
        <f>IF($B203="","",TRIM('Dev Tracker'!E50))</f>
        <v/>
      </c>
      <c r="F203" s="147" t="str">
        <f>IF($B203="","",'Dev Tracker'!F50)</f>
        <v/>
      </c>
      <c r="G203" s="148" t="str">
        <f>""</f>
        <v/>
      </c>
      <c r="H203" s="148" t="str">
        <f>""</f>
        <v/>
      </c>
      <c r="I203" s="149" t="str">
        <f t="shared" ca="1" si="21"/>
        <v/>
      </c>
      <c r="J203" s="149" t="str">
        <f t="shared" ca="1" si="22"/>
        <v/>
      </c>
      <c r="K203" s="147" t="str">
        <f>IF($B203="","",50)</f>
        <v/>
      </c>
      <c r="L203" s="147" t="str">
        <f t="shared" si="23"/>
        <v/>
      </c>
      <c r="M203" s="147" t="str">
        <f>IF($B203="","",IFERROR(MATCH($F203,'Control (Don’t Touch)'!$B$4:$B$30,0),99))</f>
        <v/>
      </c>
      <c r="N203" s="147" t="str">
        <f t="shared" si="24"/>
        <v/>
      </c>
      <c r="O203" s="147" t="str">
        <f>IF($B203="","",COUNTIF($N$2:$N$204,"&lt;"&amp;$N203)+1)</f>
        <v/>
      </c>
      <c r="P203" s="149" t="str">
        <f ca="1">IF($B203="","",IFERROR(DATE(IFERROR(VALUE(RIGHT(TRIM('Dev Tracker'!I50),4)),YEAR(TODAY())),MATCH(LEFT(TRIM('Dev Tracker'!I50),3),$U$2:$U$12,0),1),""))</f>
        <v/>
      </c>
      <c r="Q203" s="149" t="str">
        <f ca="1">IF($B203="","",IFERROR(DATE(IFERROR(VALUE(RIGHT(TRIM('Dev Tracker'!J50),4)),YEAR(TODAY())),MATCH(LEFT(TRIM('Dev Tracker'!J50),3),$U$2:$U$12,0),1),""))</f>
        <v/>
      </c>
      <c r="R203" s="147"/>
      <c r="S203" s="147" t="str">
        <f>""</f>
        <v/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</row>
    <row r="204" spans="1:46" x14ac:dyDescent="0.2">
      <c r="A204" s="147">
        <v>55</v>
      </c>
      <c r="B204" s="147" t="str">
        <f>IF(TRIM('Dev Tracker'!D51)="","",IF(COUNTIF($K$2:$K$150,51)&gt;0,"",TRIM('Dev Tracker'!D51)))</f>
        <v/>
      </c>
      <c r="C204" s="147" t="str">
        <f>IF($B204="","",'Dev Tracker'!#REF!)</f>
        <v/>
      </c>
      <c r="D204" s="147" t="str">
        <f t="shared" si="20"/>
        <v/>
      </c>
      <c r="E204" s="147" t="str">
        <f>IF($B204="","",TRIM('Dev Tracker'!E51))</f>
        <v/>
      </c>
      <c r="F204" s="147" t="str">
        <f>IF($B204="","",'Dev Tracker'!F51)</f>
        <v/>
      </c>
      <c r="G204" s="148" t="str">
        <f>""</f>
        <v/>
      </c>
      <c r="H204" s="148" t="str">
        <f>""</f>
        <v/>
      </c>
      <c r="I204" s="149" t="str">
        <f t="shared" ca="1" si="21"/>
        <v/>
      </c>
      <c r="J204" s="149" t="str">
        <f t="shared" ca="1" si="22"/>
        <v/>
      </c>
      <c r="K204" s="147" t="str">
        <f>IF($B204="","",51)</f>
        <v/>
      </c>
      <c r="L204" s="147" t="str">
        <f t="shared" si="23"/>
        <v/>
      </c>
      <c r="M204" s="147" t="str">
        <f>IF($B204="","",IFERROR(MATCH($F204,'Control (Don’t Touch)'!$B$4:$B$30,0),99))</f>
        <v/>
      </c>
      <c r="N204" s="147" t="str">
        <f t="shared" si="24"/>
        <v/>
      </c>
      <c r="O204" s="147" t="str">
        <f>IF($B204="","",COUNTIF($N$2:$N$204,"&lt;"&amp;$N204)+1)</f>
        <v/>
      </c>
      <c r="P204" s="149" t="str">
        <f ca="1">IF($B204="","",IFERROR(DATE(IFERROR(VALUE(RIGHT(TRIM('Dev Tracker'!I51),4)),YEAR(TODAY())),MATCH(LEFT(TRIM('Dev Tracker'!I51),3),$U$2:$U$12,0),1),""))</f>
        <v/>
      </c>
      <c r="Q204" s="149" t="str">
        <f ca="1">IF($B204="","",IFERROR(DATE(IFERROR(VALUE(RIGHT(TRIM('Dev Tracker'!J51),4)),YEAR(TODAY())),MATCH(LEFT(TRIM('Dev Tracker'!J51),3),$U$2:$U$12,0),1),""))</f>
        <v/>
      </c>
      <c r="R204" s="147"/>
      <c r="S204" s="147" t="str">
        <f>""</f>
        <v/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b05f3be6-62da-4a58-8444-aeed42041336}" enabled="0" method="" siteId="{b05f3be6-62da-4a58-8444-aeed4204133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Roadmap (Auto)</vt:lpstr>
      <vt:lpstr>Quaterly</vt:lpstr>
      <vt:lpstr>Monthly</vt:lpstr>
      <vt:lpstr>UX Weekly</vt:lpstr>
      <vt:lpstr>Dev Tracker</vt:lpstr>
      <vt:lpstr>Model (Don't Touch)</vt:lpstr>
      <vt:lpstr>Obsolete</vt:lpstr>
      <vt:lpstr>Control (Don’t Touch)</vt:lpstr>
      <vt:lpstr>Metrics (Don't Touch)</vt:lpstr>
      <vt:lpstr>GA4 (Don't Touch)</vt:lpstr>
      <vt:lpstr>Roadmap Calc (Don’t Touch)</vt:lpstr>
      <vt:lpstr>'UX Weekly'!Print_Area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Jerel Smith</dc:creator>
  <cp:keywords/>
  <dc:description/>
  <cp:lastModifiedBy>Jerel Smith</cp:lastModifiedBy>
  <cp:revision/>
  <cp:lastPrinted>2026-08-04T14:14:26Z</cp:lastPrinted>
  <dcterms:created xsi:type="dcterms:W3CDTF">2026-03-13T16:05:32Z</dcterms:created>
  <dcterms:modified xsi:type="dcterms:W3CDTF">2026-08-25T17:58:15Z</dcterms:modified>
  <cp:category/>
  <cp:contentStatus/>
</cp:coreProperties>
</file>