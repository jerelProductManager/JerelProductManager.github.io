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ersons/person.xml" ContentType="application/vnd.ms-excel.perso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0/11/main" xmlns:ns9="http://schemas.microsoft.com/office/spreadsheetml/2018/calcfeatures" xmlns:r="http://schemas.openxmlformats.org/officeDocument/2006/relationships" ns1:Ignorable="x15 xr xr6 xr10 xr2">
  <fileVersion appName="xl" lastEdited="7" lowestEdited="7" rupBuild="10802"/>
  <workbookPr defaultThemeVersion="202300"/>
  <ns1:AlternateContent>
    <ns1:Choice Requires="x15">
      <ns2:absPath url="https://bhphoto-my.sharepoint.com/personal/jerelscs_bhphoto_com/Documents/"/>
    </ns1:Choice>
  </ns1:AlternateContent>
  <ns3:revisionPtr revIDLastSave="3306" documentId="8_{4EA0C5C9-16B6-DF4F-ABD4-AAB2FD3EB27E}" ns4:coauthVersionLast="47" ns4:coauthVersionMax="47" ns5:uidLastSave="{ADDA14AF-E055-3F41-A32D-745653C0C105}"/>
  <bookViews>
    <workbookView xWindow="21600" yWindow="7560" windowWidth="38400" windowHeight="21000" activeTab="2" ns6:uid="{A076985F-6CFB-DB49-A7AE-C6E23E578DA1}"/>
  </bookViews>
  <sheets>
    <sheet name="Quaterly" sheetId="2" r:id="rId1"/>
    <sheet name="Monthly" sheetId="3" r:id="rId2"/>
    <sheet name="Weekly" sheetId="4" r:id="rId3"/>
    <sheet name="Model (Don't Touch)" sheetId="11" r:id="rId4"/>
    <sheet name="Initiative Tracker" sheetId="5" state="hidden" r:id="rId5"/>
    <sheet name="Obsolete" sheetId="7" state="hidden" r:id="rId6"/>
    <sheet name="Control (Don’t Touch)" sheetId="6" r:id="rId7"/>
    <sheet name="Metrics (Don't Touch)" sheetId="9" r:id="rId8"/>
    <sheet name="GA4 (Don't Touch)" sheetId="10" r:id="rId9"/>
    <sheet name="Roadmap 26-27 (Don't Touch)" sheetId="12" r:id="rId10"/>
    <sheet name="Roadmap (Auto)" sheetId="13" r:id="rId15" state="visible"/>
    <sheet name="Roadmap Calc (Don’t Touch)" sheetId="14" r:id="rId16" state="hidden"/>
  </sheets>
  <definedNames>
    <definedName name="_xlnm._FilterDatabase" localSheetId="4" hidden="1">'Initiative Tracker'!$A$4:$I$4</definedName>
    <definedName name="_xlnm._FilterDatabase" localSheetId="2" hidden="1">Weekly!$A$1:$AS$47</definedName>
    <definedName name="_xlnm.Print_Area" localSheetId="2">Weekly!$A$1:$AC$33</definedName>
  </definedNames>
  <calcPr calcId="191028" refMode="R1C1" iterateCount="0" calcOnSave="0" concurrentCalc="0" fullCalcOnLoad="1"/>
  <extLst>
    <ext uri="{140A7094-0E35-4892-8432-C4D2E57EDEB5}">
      <ns8:workbookPr chartTrackingRefBase="1"/>
    </ext>
    <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  <ns9:feature name="microsoft.com:LAMBDA_WF"/>
        <ns9:feature name="microsoft.com:ARRAYTEXT_WF"/>
      </ns9:calcFeatures>
    </ext>
  </extLst>
</workbook>
</file>

<file path=xl/sharedStrings.xml><?xml version="1.0" encoding="utf-8"?>
<sst xmlns="http://schemas.openxmlformats.org/spreadsheetml/2006/main" count="2081" uniqueCount="851">
  <si>
    <t>2026 Roadmap - Jerel Smith</t>
  </si>
  <si>
    <t>Q1</t>
  </si>
  <si>
    <t>Q2</t>
  </si>
  <si>
    <t>Q3</t>
  </si>
  <si>
    <t>Q4</t>
  </si>
  <si>
    <t>1. B2B</t>
  </si>
  <si>
    <t>Freeze</t>
  </si>
  <si>
    <t>PMO-5000</t>
  </si>
  <si>
    <t>Discovery</t>
  </si>
  <si>
    <t>Research</t>
  </si>
  <si>
    <t>Design</t>
  </si>
  <si>
    <t>Dev</t>
  </si>
  <si>
    <t>Live</t>
  </si>
  <si>
    <t>&gt;CMS Lite</t>
  </si>
  <si>
    <t>Design + Dev</t>
  </si>
  <si>
    <t>Dev + Live</t>
  </si>
  <si>
    <t>Operationalize</t>
  </si>
  <si>
    <t>&gt;Sign Up</t>
  </si>
  <si>
    <t>Jaye</t>
  </si>
  <si>
    <t>&gt;Internal Pages</t>
  </si>
  <si>
    <t>Discovery + Research</t>
  </si>
  <si>
    <t>B2B Hub Health Dashboard</t>
  </si>
  <si>
    <t>All</t>
  </si>
  <si>
    <t>The Studio</t>
  </si>
  <si>
    <t>Categories</t>
  </si>
  <si>
    <t>Stakeholder Input</t>
  </si>
  <si>
    <t>Hilli</t>
  </si>
  <si>
    <t>&gt;Landing Page</t>
  </si>
  <si>
    <t>&gt;Multi-Page</t>
  </si>
  <si>
    <t>2. Used</t>
  </si>
  <si>
    <t>Sell Used/Trade In</t>
  </si>
  <si>
    <t>&gt;Sell Used Experience</t>
  </si>
  <si>
    <t>John</t>
  </si>
  <si>
    <t>&gt;Trade In Experience</t>
  </si>
  <si>
    <t>Trade In Emails</t>
  </si>
  <si>
    <t>…Live</t>
  </si>
  <si>
    <t>Used Hub Health Dashboard</t>
  </si>
  <si>
    <t>Condition Rating Scale</t>
  </si>
  <si>
    <t>&gt;New Condition Rating Scale</t>
  </si>
  <si>
    <t>Leo</t>
  </si>
  <si>
    <t>PDP - Group By Condition</t>
  </si>
  <si>
    <t>PLP - Roll Up By Condition</t>
  </si>
  <si>
    <t>Actual Used Images (Tim)</t>
  </si>
  <si>
    <t>3. Legacy Find (Submitting to Dev - Not Owning Afterwards)</t>
  </si>
  <si>
    <t>Mega Menu</t>
  </si>
  <si>
    <t>Laura</t>
  </si>
  <si>
    <t>Roll Up SKUs</t>
  </si>
  <si>
    <t>Design + Grooming</t>
  </si>
  <si>
    <t>Nested Refinements</t>
  </si>
  <si>
    <t>Discovery + Design</t>
  </si>
  <si>
    <t xml:space="preserve">Journey/Initiative </t>
  </si>
  <si>
    <t>Enterprise Platforms &amp; Used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</si>
  <si>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</si>
  <si>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</si>
  <si>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</si>
  <si>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</si>
  <si>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</si>
  <si>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</si>
  <si>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</si>
  <si>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</si>
  <si>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</si>
  <si>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</si>
  <si>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</si>
  <si>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</si>
  <si>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&gt;Weblogic-&gt; Apeture/JSON Led</t>
  </si>
  <si>
    <t>EDU</t>
  </si>
  <si>
    <t>Socialize</t>
  </si>
  <si>
    <t>Product</t>
  </si>
  <si>
    <t>Title</t>
  </si>
  <si>
    <t>Status</t>
  </si>
  <si>
    <t>Jira</t>
  </si>
  <si>
    <t>Jerel Smith</t>
  </si>
  <si>
    <t>B2B Hub Landing Page - redesign</t>
  </si>
  <si>
    <t>BHUX-26541 </t>
  </si>
  <si>
    <t>B2B Hub - Revisit Signup Flow</t>
  </si>
  <si>
    <t>BHUX-31874</t>
  </si>
  <si>
    <t>B2B Hub Redesign - Internal Pages</t>
  </si>
  <si>
    <t>BHUX-32257</t>
  </si>
  <si>
    <t>Brendan Bagley</t>
  </si>
  <si>
    <t>B2B Updated Expired Tax Exemption</t>
  </si>
  <si>
    <t>BHUX-33186</t>
  </si>
  <si>
    <t>Tax &amp; Net 30 Terms On CompanyID</t>
  </si>
  <si>
    <t>BHUX-33524</t>
  </si>
  <si>
    <t>Gradus equivalents in B2B Quotes</t>
  </si>
  <si>
    <t>Closed as later</t>
  </si>
  <si>
    <t>BHUX-33797</t>
  </si>
  <si>
    <t>B2B Hub - Logged In B2B Experience</t>
  </si>
  <si>
    <t>BHP-6901</t>
  </si>
  <si>
    <t>BHUX-34079</t>
  </si>
  <si>
    <t>Identify Users via the PunchoutSetupRequest and Give them Limited User-Based Features</t>
  </si>
  <si>
    <t>BHUX-33409</t>
  </si>
  <si>
    <t>Update Punch out Cart to match B2B/B2B cart/checkout</t>
  </si>
  <si>
    <t>BHUX-33526</t>
  </si>
  <si>
    <t>B2B - The Studio Categories</t>
  </si>
  <si>
    <t>BHUX-33434</t>
  </si>
  <si>
    <t>EDU Homepage</t>
  </si>
  <si>
    <t>BHUX-25601</t>
  </si>
  <si>
    <t>Used - Sell Used Experience</t>
  </si>
  <si>
    <t>BHUX-33009</t>
  </si>
  <si>
    <t>Condition Grouping</t>
  </si>
  <si>
    <t>BHUX-33519</t>
  </si>
  <si>
    <t>New Condition Rating Scale</t>
  </si>
  <si>
    <t>BHUX-33510</t>
  </si>
  <si>
    <t>BHUX-29580</t>
  </si>
  <si>
    <t>Sumit</t>
  </si>
  <si>
    <t>B2B &amp; Used Visibility in the Nav</t>
  </si>
  <si>
    <t>BHUX-34378</t>
  </si>
  <si>
    <t>School Safety Landing Page</t>
  </si>
  <si>
    <t>Sell Used User Flow Design Validation</t>
  </si>
  <si>
    <t>BHUR-133</t>
  </si>
  <si>
    <t>Hanna</t>
  </si>
  <si>
    <t>Used Status Email Update</t>
  </si>
  <si>
    <t>BHUX-34723</t>
  </si>
  <si>
    <t>Trade In Discrepancy Email Refresh (Copy Only)</t>
  </si>
  <si>
    <t>Add 'shop by popular brands' section to Used Homepage</t>
  </si>
  <si>
    <t>BHUX-34844</t>
  </si>
  <si>
    <t>Trade In Email - Comprehensive Refresh Discovery</t>
  </si>
  <si>
    <t>BHUX-34772</t>
  </si>
  <si>
    <t>BHUX-34845</t>
  </si>
  <si>
    <t>Used Just Added Page</t>
  </si>
  <si>
    <t>BHP-7230</t>
  </si>
  <si>
    <t>Nachman</t>
  </si>
  <si>
    <t>Out of stock Alerts for used products</t>
  </si>
  <si>
    <t>Mehek</t>
  </si>
  <si>
    <t>Used Hub - Just Added Component</t>
  </si>
  <si>
    <t>BHP-7229</t>
  </si>
  <si>
    <t>BHP-6444</t>
  </si>
  <si>
    <t>BHP-7239</t>
  </si>
  <si>
    <t>Sell Used Purchase Look Up</t>
  </si>
  <si>
    <t>BHP-7236</t>
  </si>
  <si>
    <t>PDP Purchased in 20XX, Trade In Value is $YYY.YY</t>
  </si>
  <si>
    <t>BHP-7228</t>
  </si>
  <si>
    <t>Used Activity Notification</t>
  </si>
  <si>
    <t>BHP-7237</t>
  </si>
  <si>
    <t>Ticket</t>
  </si>
  <si>
    <t>Portfolio</t>
  </si>
  <si>
    <t>Component</t>
  </si>
  <si>
    <t>Tech</t>
  </si>
  <si>
    <t>Start Sprint</t>
  </si>
  <si>
    <t>End Sprint</t>
  </si>
  <si>
    <t>Notes</t>
  </si>
  <si>
    <t>Post Hub</t>
  </si>
  <si>
    <t>B2B</t>
  </si>
  <si>
    <t>B2B Hub</t>
  </si>
  <si>
    <t>BHJ</t>
  </si>
  <si>
    <t>Deprioritized by Ariel until visibility in the Nav is addressed</t>
  </si>
  <si>
    <t>BHP-5830</t>
  </si>
  <si>
    <t>2. Design</t>
  </si>
  <si>
    <t>B2B Hub Plus</t>
  </si>
  <si>
    <t>BHP-3583</t>
  </si>
  <si>
    <t>4. Dev</t>
  </si>
  <si>
    <t>B2B The Studio Categories</t>
  </si>
  <si>
    <t>BHP-6446</t>
  </si>
  <si>
    <t>99. Parking Lot</t>
  </si>
  <si>
    <t>Impeded by stakehodler availability</t>
  </si>
  <si>
    <t>BHP-6955</t>
  </si>
  <si>
    <t>3. Architecture</t>
  </si>
  <si>
    <t>Merchandising</t>
  </si>
  <si>
    <t>Navigation</t>
  </si>
  <si>
    <t>BHJ, BHIA, BIDW</t>
  </si>
  <si>
    <t>Four technical ideation meetings booked, two complete, Progress being made with tech reqs</t>
  </si>
  <si>
    <t>Highlighted Refinements</t>
  </si>
  <si>
    <t>7. Live</t>
  </si>
  <si>
    <t>PLP/Search</t>
  </si>
  <si>
    <t>BHJ, Search, BHIA</t>
  </si>
  <si>
    <t>Operationalizing with Shalom Oster &amp; Daniel Ballas, should be live late June, currently in Pull Request</t>
  </si>
  <si>
    <t>Sell Used</t>
  </si>
  <si>
    <t>BHP-6434</t>
  </si>
  <si>
    <t>2B. Research</t>
  </si>
  <si>
    <t>Used Operations</t>
  </si>
  <si>
    <t>UNIX, BHJ, SEARCH</t>
  </si>
  <si>
    <t>Research transitioned from Birdie to Hanna, pausing for ramp up</t>
  </si>
  <si>
    <t>BHP-4771</t>
  </si>
  <si>
    <t>PLP/PDP</t>
  </si>
  <si>
    <t>UNIX, BHJ</t>
  </si>
  <si>
    <t>Due to trepidation by the stakeholder, let's freeze this initiative and pivot to a slow release: remove +9, Demo and add short and long term descriptions via DBA requests (no BHJ)</t>
  </si>
  <si>
    <t>Group by Conditon</t>
  </si>
  <si>
    <t>BHP-4518</t>
  </si>
  <si>
    <t>Met with architecture, requirements confirmed, moving forward with dev</t>
  </si>
  <si>
    <t>Actual Used Images</t>
  </si>
  <si>
    <t>5. Implementation</t>
  </si>
  <si>
    <t>PDP/ Images</t>
  </si>
  <si>
    <t>BHJ, BHIA</t>
  </si>
  <si>
    <t>Reached out to Isaac to make the Ortery Purchase</t>
  </si>
  <si>
    <t>Trade In Emails - Comprehensive Revamp</t>
  </si>
  <si>
    <t>BHP-6391</t>
  </si>
  <si>
    <t>1. UX Discovery</t>
  </si>
  <si>
    <t>Trade In Email</t>
  </si>
  <si>
    <t>UNIX</t>
  </si>
  <si>
    <t>Used Search Terms</t>
  </si>
  <si>
    <t>BIDW-98341</t>
  </si>
  <si>
    <t>BIDW</t>
  </si>
  <si>
    <t>Research the search terms used over the last 6 months https://jira.bnh.com/browse/BIDW-98341</t>
  </si>
  <si>
    <t>BHP-2802</t>
  </si>
  <si>
    <t>Web Experience</t>
  </si>
  <si>
    <t>BHJ, BHIA, SEARCH</t>
  </si>
  <si>
    <t>Nov</t>
  </si>
  <si>
    <t>Multiple Prerequisites and dependencies: BHIA, BHJs</t>
  </si>
  <si>
    <t>My Gear Release 2</t>
  </si>
  <si>
    <t>BHP-3683</t>
  </si>
  <si>
    <t>My Gear</t>
  </si>
  <si>
    <t>Sunset Deal Zone</t>
  </si>
  <si>
    <t>Almost complete, need Permalink and nav jiras live</t>
  </si>
  <si>
    <t>View All Category Landing Page</t>
  </si>
  <si>
    <t>Category Landing Page</t>
  </si>
  <si>
    <t>Approved UAT; operationalizing with nav arcs</t>
  </si>
  <si>
    <t>BHP-11</t>
  </si>
  <si>
    <t>Highlighted Refinements Enhancement</t>
  </si>
  <si>
    <t>BHP-7226</t>
  </si>
  <si>
    <t>Enable Editable Email Addresses in the ShipTo</t>
  </si>
  <si>
    <t>https://www.bhphotovideo.com/c/browse/school-safety/ci/64314 has been created to point the categories on the landing page towards</t>
  </si>
  <si>
    <t>BHP-7274</t>
  </si>
  <si>
    <t>Homepage Header: B2B</t>
  </si>
  <si>
    <t>Used</t>
  </si>
  <si>
    <t>B2B/Used</t>
  </si>
  <si>
    <t>Find</t>
  </si>
  <si>
    <t>B2B Portals</t>
  </si>
  <si>
    <t>Site Support</t>
  </si>
  <si>
    <t>BHUX-35010</t>
  </si>
  <si>
    <t>BHP-7301</t>
  </si>
  <si>
    <t>BHP-6827</t>
  </si>
  <si>
    <t>Increase Awareness of Trade In Offers - Best Buy Inspiration/Competitive Effort</t>
  </si>
  <si>
    <t>BHUX-35020</t>
  </si>
  <si>
    <t>The Studio - Enhanced Landing Page</t>
  </si>
  <si>
    <t>The Studio - Stand Alone Website</t>
  </si>
  <si>
    <t>The Studio - Category Hybrid Page</t>
  </si>
  <si>
    <t>The Studio - B&amp;H Awareness on High Ticket Items</t>
  </si>
  <si>
    <t>The Studio - B2B</t>
  </si>
  <si>
    <t>Oct 2026</t>
  </si>
  <si>
    <t>Sep 2026</t>
  </si>
  <si>
    <t>Aug 2026</t>
  </si>
  <si>
    <t>Mar 2026</t>
  </si>
  <si>
    <t>Jun 2026</t>
  </si>
  <si>
    <t>Mar 2027</t>
  </si>
  <si>
    <t>Jan 2027</t>
  </si>
  <si>
    <t>Jul 2026</t>
  </si>
  <si>
    <t>0. Discovery</t>
  </si>
  <si>
    <t>Used Hub</t>
  </si>
  <si>
    <t>PDP</t>
  </si>
  <si>
    <t>BHJ, UNIX</t>
  </si>
  <si>
    <t>BHUX-34377</t>
  </si>
  <si>
    <t>BHUX-35303</t>
  </si>
  <si>
    <t>Add New | Used tab to all listing pages and search results pages</t>
  </si>
  <si>
    <t>BHUX-35304</t>
  </si>
  <si>
    <t>01. Prod Discovery</t>
  </si>
  <si>
    <t>04. UX Design</t>
  </si>
  <si>
    <t>02. UX Req</t>
  </si>
  <si>
    <t>03. UX Discovery</t>
  </si>
  <si>
    <t>04A. Research - Design Validation</t>
  </si>
  <si>
    <t>06. Architecutre</t>
  </si>
  <si>
    <t>07. Grooming</t>
  </si>
  <si>
    <t>00. Parking Lot</t>
  </si>
  <si>
    <t>BHUX-35302 </t>
  </si>
  <si>
    <t>Improve Trade In User Flow</t>
  </si>
  <si>
    <t>Improve The Studio B&amp;H Customer Experience</t>
  </si>
  <si>
    <t>Improve Buy Used Customer Experience</t>
  </si>
  <si>
    <t>Improve Discovery</t>
  </si>
  <si>
    <t>Increase Trade In Awareness</t>
  </si>
  <si>
    <t>Increase Buy Used Awareness</t>
  </si>
  <si>
    <t>Increase The Studio B&amp;H Awareness</t>
  </si>
  <si>
    <t>Increase B2B Acquisition</t>
  </si>
  <si>
    <t>Increase Trade In Reactivation</t>
  </si>
  <si>
    <t>05. Business Review</t>
  </si>
  <si>
    <t>09. In Dev</t>
  </si>
  <si>
    <t>BHUX-35309</t>
  </si>
  <si>
    <t>Theme</t>
  </si>
  <si>
    <t>New Condition Rating Scale (Intermediate Step)</t>
  </si>
  <si>
    <t>BHJ-121278</t>
  </si>
  <si>
    <t>BHUX-32621</t>
  </si>
  <si>
    <t>08. Ready for Dev</t>
  </si>
  <si>
    <t>Sunset Modals for Drawers</t>
  </si>
  <si>
    <t>BHUX-32543 </t>
  </si>
  <si>
    <t>01A. Research - Foundational</t>
  </si>
  <si>
    <t>06. Architecture</t>
  </si>
  <si>
    <t>Alice</t>
  </si>
  <si>
    <t>FDOT Hero Image</t>
  </si>
  <si>
    <t>Sliders</t>
  </si>
  <si>
    <t>Refinement - Select All/Deselect All</t>
  </si>
  <si>
    <t>Used Hub Enhancements</t>
  </si>
  <si>
    <t>My Gear 2 - Tray</t>
  </si>
  <si>
    <t>BHUX-17615</t>
  </si>
  <si>
    <t>BHUX-23755</t>
  </si>
  <si>
    <t>BHUX-31354 </t>
  </si>
  <si>
    <t>BHUX-28124</t>
  </si>
  <si>
    <t>BHP-4563</t>
  </si>
  <si>
    <t>H2 on listing pages</t>
  </si>
  <si>
    <t>Sunset Dealzone</t>
  </si>
  <si>
    <t>BHUX-31245</t>
  </si>
  <si>
    <t>BHUX-32071</t>
  </si>
  <si>
    <t>BHUX-29921</t>
  </si>
  <si>
    <t>BHP-7394</t>
  </si>
  <si>
    <t>Description</t>
  </si>
  <si>
    <t>Measure Impact</t>
  </si>
  <si>
    <t>Shop By Popular Brand' Listing Pages Discovery</t>
  </si>
  <si>
    <t>My Account &gt; Trade In Awareness</t>
  </si>
  <si>
    <t>Grow discovery of the Used Hub and used inventory through SEO, brand listing pages, and internal linking so more shoppers know B&amp;H sells used gear.</t>
  </si>
  <si>
    <t>Re-engage past customers with unused eligible gear via triggered emails tied to purchase timing and inventory demand signals.</t>
  </si>
  <si>
    <t>Increase Buy Used Reactivation</t>
  </si>
  <si>
    <t>Measure Adoption</t>
  </si>
  <si>
    <t>Trade-in CTA Impressions (Order History/PDP), CTA Click through rate, % of eligible sessions exposed to CTA</t>
  </si>
  <si>
    <t>Organic sessions to Used Hub/brand pages, Search impressions &amp; CTR (used pages), Internal link CTR (New&gt;used cross links), Cross-sell CTA impressions (used alt. on New PDP)</t>
  </si>
  <si>
    <t>New-to-used buyer sessions, Used PDP views per session, Used share to total category traffic, cross sell attributed used PDP views/purchases</t>
  </si>
  <si>
    <t>% started quotes completed, Time to quote (median), Post-acceptance ststus engagement rate</t>
  </si>
  <si>
    <t>Quote-to-accepted-offer rate, Drop-off rate by flow step, sell-flow CSAT (isolated), Support contact rate per quote, Payout cycle time (accepted&gt;paid)</t>
  </si>
  <si>
    <t>Reactivation email open rate, reactivation email CTR, quote starts attributed to email</t>
  </si>
  <si>
    <t>Reactivated quote to completion rate, revenue from reactivated sellers, days since last purchase &gt; trade in (trend)</t>
  </si>
  <si>
    <t>PLP filter usage rate, used pdp engagement rate (photo/spec expansion), order status page engagement rate</t>
  </si>
  <si>
    <t>Used PDP-to-cart rate, Used cart-to-purchase rate, Post-Purchase CSAT (isolated)</t>
  </si>
  <si>
    <t>Win Back email open rate, win-back email CTR, Browse to used PDP rate from email</t>
  </si>
  <si>
    <t>Repeat used-purchase rate, Revenue from reactivated buyers, Time-since-last-purchase &gt; repurchase (trend)</t>
  </si>
  <si>
    <t>New to trade in quote starts, Quote start rate among CTA exposed users, Assisted trade-in revenue (CTA attributed)</t>
  </si>
  <si>
    <t>Theme #2</t>
  </si>
  <si>
    <t>Theme #1</t>
  </si>
  <si>
    <t>Increase Trust &amp; Condition Transparency</t>
  </si>
  <si>
    <t>13. Live</t>
  </si>
  <si>
    <t>12. Release</t>
  </si>
  <si>
    <t>11. UAT</t>
  </si>
  <si>
    <t>10. QA</t>
  </si>
  <si>
    <t>Cross-cutting theme spanning sell-side item search (finding what you own to quote it) and buy-side discovery (finding used inventory to purchase). Flagged as the single highest-priority friction point across VoC research on both sides.</t>
  </si>
  <si>
    <t>Cross-cutting theme covering whether customers believe the grading/condition information is accurate and complete, ties directly to condition rating scale and PDP condition grouping work, and carries COO-level visibility</t>
  </si>
  <si>
    <t>OG Find initaitives that Jerel still owns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</si>
  <si>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</si>
  <si>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</si>
  <si>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</si>
  <si>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</si>
  <si>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</si>
  <si>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</si>
  <si>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</si>
  <si>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</si>
  <si>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</si>
  <si>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</si>
  <si>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</si>
  <si>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</si>
  <si>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Metric</t>
  </si>
  <si>
    <t>Trade-in CTA Impressions (Order History/PDP)</t>
  </si>
  <si>
    <t>CTA Click through rate</t>
  </si>
  <si>
    <t>% of eligible sessions exposed to CTA</t>
  </si>
  <si>
    <t>Type</t>
  </si>
  <si>
    <t>Adoption</t>
  </si>
  <si>
    <t>Source</t>
  </si>
  <si>
    <t>Available</t>
  </si>
  <si>
    <t>Assisted trade-in revenue (CTA attributed)</t>
  </si>
  <si>
    <t>New to trade in quote starts</t>
  </si>
  <si>
    <t>Quote start rate among CTA exposed users</t>
  </si>
  <si>
    <t>Impact</t>
  </si>
  <si>
    <t>Time to quote (median)</t>
  </si>
  <si>
    <t>% started quotes completed</t>
  </si>
  <si>
    <t>Post-acceptance status engagement rate</t>
  </si>
  <si>
    <t>Quote starts attributed to email</t>
  </si>
  <si>
    <t>Reactivation email open rate</t>
  </si>
  <si>
    <t>Payout cycle time (accepted&gt;paid)</t>
  </si>
  <si>
    <t>Support contact rate per quote</t>
  </si>
  <si>
    <t>Quote-to-accepted-offer rate</t>
  </si>
  <si>
    <t>Drop-off rate by flow step</t>
  </si>
  <si>
    <t>Sell-flow CSAT (isolated)</t>
  </si>
  <si>
    <t>GA4</t>
  </si>
  <si>
    <t>Days since last purchase &gt; trade in (trend)</t>
  </si>
  <si>
    <t>Reactivated quote to completion rate</t>
  </si>
  <si>
    <t>Revenue from reactivated sellers</t>
  </si>
  <si>
    <t>Cross-sell CTA impressions (used alt. on New PDP)</t>
  </si>
  <si>
    <t>Internal link CTR (New&gt;used cross links)</t>
  </si>
  <si>
    <t>Search impressions &amp; CTR (used pages)</t>
  </si>
  <si>
    <t>Organic sessions to Used Hub/brand pages</t>
  </si>
  <si>
    <t>Cross sell attributed used PDP views/purchases</t>
  </si>
  <si>
    <t>Used share to total category traffic</t>
  </si>
  <si>
    <t>New-to-used buyer sessions</t>
  </si>
  <si>
    <t>Used PDP views per session</t>
  </si>
  <si>
    <t>Order status page engagement rate</t>
  </si>
  <si>
    <t>PLP filter usage rate</t>
  </si>
  <si>
    <t>Used PDP engagement rate (photo/spec expansion)</t>
  </si>
  <si>
    <t>Post-Purchase CSAT (isolated)</t>
  </si>
  <si>
    <t>Used PDP-to-cart rate</t>
  </si>
  <si>
    <t>Used cart-to-purchase rate</t>
  </si>
  <si>
    <t>Reactivation email CTR</t>
  </si>
  <si>
    <t>Calculation</t>
  </si>
  <si>
    <t>Why it Matters</t>
  </si>
  <si>
    <t>Browse to used PDP rate from email</t>
  </si>
  <si>
    <t>Win-back email CTR</t>
  </si>
  <si>
    <t>Win-Back email open rate</t>
  </si>
  <si>
    <t>Time-since-last-purchase &gt; repurchase (trend)</t>
  </si>
  <si>
    <t>Repeat used-purchase rate</t>
  </si>
  <si>
    <t>Revenue from reactivated buyers</t>
  </si>
  <si>
    <t>DES eval + QA audit</t>
  </si>
  <si>
    <t>Traces trust problems back to their root cause, inaccurate grading upstream, rather than just a PDP/description-clarity issue.</t>
  </si>
  <si>
    <t>Re-grades matching original grade ÷ total items re-graded in the audit sample.</t>
  </si>
  <si>
    <t>How often an independent re-grade of a sampled item matches the original evaluator's condition grade.</t>
  </si>
  <si>
    <t>Grading accuracy / consistency (QA re-grade audit)</t>
  </si>
  <si>
    <t>Trust &amp; Condition Transparency</t>
  </si>
  <si>
    <t>Medallia</t>
  </si>
  <si>
    <t>A softer, earlier-warning companion to the return-rate metric, capturing dissatisfaction even among customers who keep the item.</t>
  </si>
  <si>
    <t>Medallia average/top-box % on the condition-trust survey question(s).</t>
  </si>
  <si>
    <t>Survey-based score measuring how satisfied/confident customers felt about the accuracy of condition information before and after receiving their item.</t>
  </si>
  <si>
    <t>Medallia condition-satisfaction / trust score</t>
  </si>
  <si>
    <t>Returns / CRM</t>
  </si>
  <si>
    <t>The clearest hard evidence of a trust failure. A rising rate means the condition info shown isn't matching what customers receive.</t>
  </si>
  <si>
    <t>Returns coded "not as described" ÷ total used orders.</t>
  </si>
  <si>
    <t>Share of used-order returns where the customer's stated reason is that the item didn't match its condition description.</t>
  </si>
  <si>
    <t>"Not as described" return rate</t>
  </si>
  <si>
    <t>Research / usability testing</t>
  </si>
  <si>
    <t>Adoption metrics from analytics can't tell you if customers actually understand the rating scale. This is the qualitative check that they do, tied directly to the new five-tier scale rollout.</t>
  </si>
  <si>
    <t>Correct interpretations ÷ total test participants, per study.</t>
  </si>
  <si>
    <t>In moderated or unmoderated usability testing, the share of participants who correctly interpret what a given condition rating (e.g. "Good," "Excellent") means for the product they're evaluating.</t>
  </si>
  <si>
    <t>Condition rating comprehension (usability test pass rate)</t>
  </si>
  <si>
    <t>Shows how much shoppers are actively seeking out condition information, the core evaluation input for a used purchase.</t>
  </si>
  <si>
    <t>Sessions with condition-tab-expand event ÷ used PDP sessions.</t>
  </si>
  <si>
    <t>Share of used PDP sessions where the customer opens/expands the condition detail tab or section.</t>
  </si>
  <si>
    <t>Condition-tab view rate</t>
  </si>
  <si>
    <t>GA4 + Solr logs</t>
  </si>
  <si>
    <t>The most direct "we lost them" signal. A search that doesn't even get a follow-up click or scroll is a clear failure.</t>
  </si>
  <si>
    <t>Sessions ending within N actions of a search event ÷ total search sessions.</t>
  </si>
  <si>
    <t>Share of search sessions (sell or buy) where the customer leaves the site shortly after searching, without further engagement.</t>
  </si>
  <si>
    <t>Search abandonment rate</t>
  </si>
  <si>
    <t>Search &amp; Findability</t>
  </si>
  <si>
    <t>Shows how much revenue depends on search working well, making the business case for search investment concrete.</t>
  </si>
  <si>
    <t>Purchases preceded by a used search-with-click event in the same session.</t>
  </si>
  <si>
    <t>Used purchases that began with a used-inventory search (as opposed to browsing/category navigation).</t>
  </si>
  <si>
    <t>Search-originated used purchases (buy side)</t>
  </si>
  <si>
    <t>Solr logs + Quote system</t>
  </si>
  <si>
    <t>Connects search quality directly to the acquisition funnel, not just to search-specific metrics.</t>
  </si>
  <si>
    <t>Quote starts preceded by a search-with-selection event.</t>
  </si>
  <si>
    <t>Quote starts that began with a successful sell-flow search.</t>
  </si>
  <si>
    <t>Search-originated quote starts (sell side)</t>
  </si>
  <si>
    <t>Distinguishes "no results" failures from "results shown but not relevant/appealing" failures.</t>
  </si>
  <si>
    <t>Searches with a result click ÷ total used-inventory searches.</t>
  </si>
  <si>
    <t>Share of used-inventory searches where the customer clicked a result.</t>
  </si>
  <si>
    <t>Used search-to-click rate</t>
  </si>
  <si>
    <t>Solr logs</t>
  </si>
  <si>
    <t>A hard failure signal. Every zero-result search is a shopper who couldn't find anything, regardless of whether inventory actually existed.</t>
  </si>
  <si>
    <t>Zero-result searches ÷ total used-inventory searches.</t>
  </si>
  <si>
    <t>Share of used-inventory searches that return no results.</t>
  </si>
  <si>
    <t>Used PLP/search zero-result rate</t>
  </si>
  <si>
    <t>Search friction is the #1 flagged issue in VoC research for the sell side specifically. This is the direct health check on it.</t>
  </si>
  <si>
    <t>Searches ending in item selection ÷ total sell-flow searches.</t>
  </si>
  <si>
    <t>Share of sell-flow item searches where the customer found and selected their item (vs. abandoning or falling back to manual entry).</t>
  </si>
  <si>
    <t>Sell-item search success rate (Solr)</t>
  </si>
  <si>
    <t>CRM</t>
  </si>
  <si>
    <t>A shortening trend suggests campaign timing/targeting is getting more effective at catching buyers when they're ready.</t>
  </si>
  <si>
    <t>Repurchase date − most recent prior purchase date, averaged/median, tracked quarter over quarter.</t>
  </si>
  <si>
    <t>How long, on average, it takes a past buyer to make another used purchase after being targeted, tracked as a trend over time.</t>
  </si>
  <si>
    <t>Finance + Order system</t>
  </si>
  <si>
    <t>The bottom-line business case, mirroring "Revenue from reactivated sellers" on the sell side.</t>
  </si>
  <si>
    <t>Sum of order value for email-attributed repeat purchases.</t>
  </si>
  <si>
    <t>Total $ revenue from purchases made by win-back-campaign-attributed customers.</t>
  </si>
  <si>
    <t>Order system</t>
  </si>
  <si>
    <t>The core outcome metric for this theme: did the campaign actually bring buyers back.</t>
  </si>
  <si>
    <t>Repeat used purchases (email-attributed) ÷ past used buyers targeted.</t>
  </si>
  <si>
    <t>Of past used buyers targeted by win-back campaigns, the share who complete another used purchase.</t>
  </si>
  <si>
    <t>GA4 + ESP</t>
  </si>
  <si>
    <t>Confirms the email is routing people to relevant used inventory, not just generic site traffic.</t>
  </si>
  <si>
    <t>Sessions with used PDP view ÷ sessions originating from win-back email click.</t>
  </si>
  <si>
    <t>Of customers who clicked into the site from a win-back email, the share who viewed a used PDP during that session.</t>
  </si>
  <si>
    <t>ESP</t>
  </si>
  <si>
    <t>Tests whether the specific inventory/offer surfaced in the email is relevant enough to act on.</t>
  </si>
  <si>
    <t>Unique clicks ÷ emails delivered (or ÷ opens for click-to-open).</t>
  </si>
  <si>
    <t>Share of sent win-back emails that resulted in a click.</t>
  </si>
  <si>
    <t>Same logic as trade-in reactivation, the entry checkpoint for the whole campaign.</t>
  </si>
  <si>
    <t>Unique opens ÷ emails delivered.</t>
  </si>
  <si>
    <t>Share of sent win-back emails that were opened.</t>
  </si>
  <si>
    <t>Captures whether the product matched expectations set on the PDP, the buy-side counterpart to sell-flow CSAT.</t>
  </si>
  <si>
    <t>Medallia CSAT average/top-box %, filtered to used post-purchase survey instance.</t>
  </si>
  <si>
    <t>Customer satisfaction score from a survey scoped specifically to the used buying experience after delivery.</t>
  </si>
  <si>
    <t>Isolates checkout-stage friction from PDP-stage persuasion, since the two have different fixes.</t>
  </si>
  <si>
    <t>Used purchases ÷ used add-to-cart events.</t>
  </si>
  <si>
    <t>Share of used add-to-cart events that result in a completed purchase.</t>
  </si>
  <si>
    <t>The core "does the PDP convince the shopper" metric, most sensitive to condition clarity and photography quality.</t>
  </si>
  <si>
    <t>Add-to-cart events on used PDPs ÷ used PDP sessions.</t>
  </si>
  <si>
    <t>Share of used PDP sessions that result in an add-to-cart.</t>
  </si>
  <si>
    <t>Post-purchase visibility affects trust and support load, mirroring the post-acceptance metric on the sell side.</t>
  </si>
  <si>
    <t>Unique order-status-page views ÷ used orders placed.</t>
  </si>
  <si>
    <t>Share of used-order customers who view their order status page after purchase.</t>
  </si>
  <si>
    <t>A proxy for how much evaluation effort shoppers are putting in, tied directly to the photography and condition-clarity investments underway.</t>
  </si>
  <si>
    <t>Sessions with photo-interaction or spec-expansion events ÷ used PDP sessions.</t>
  </si>
  <si>
    <t>Share of used PDP sessions where a customer interacts with photos (zoom/gallery) or expands spec/condition detail sections.</t>
  </si>
  <si>
    <t>Low usage can mean filters aren't helpful/discoverable; high usage with low downstream conversion can flag a filter/inventory mismatch.</t>
  </si>
  <si>
    <t>Sessions with a filter-applied event ÷ used PLP sessions.</t>
  </si>
  <si>
    <t>Share of used listing-page sessions where a customer applies at least one filter (price, brand, condition, etc.).</t>
  </si>
  <si>
    <t>Validates whether the New→Used cross-sell mechanism is actually converting, not just generating impressions.</t>
  </si>
  <si>
    <t>Used PDP views/purchases with a cross-sell CTA touchpoint in the preceding session(s).</t>
  </si>
  <si>
    <t>Used PDP views or purchases that followed a cross-sell CTA click on a New PDP.</t>
  </si>
  <si>
    <t>Shows whether used is growing its footprint relative to new, not just growing alongside site-wide traffic.</t>
  </si>
  <si>
    <t>Used-category sessions ÷ (used + new-category sessions), by category.</t>
  </si>
  <si>
    <t>Used PDP/category traffic as a percentage of all traffic (new + used) to the same product categories.</t>
  </si>
  <si>
    <t>A rough proxy for browsing depth/engagement once a shopper lands in the used ecosystem.</t>
  </si>
  <si>
    <t>Total used PDP views ÷ total sessions with at least one used PDP view.</t>
  </si>
  <si>
    <t>Average number of used product pages viewed within a single session.</t>
  </si>
  <si>
    <t>Awareness should be judged on growing the used buyer base, not just increasing traffic from existing used shoppers.</t>
  </si>
  <si>
    <t>Sessions with a used PDP view, matched against customer history for first-time-used flag.</t>
  </si>
  <si>
    <t>Sessions from customers who have never viewed or purchased a used product before.</t>
  </si>
  <si>
    <t>Catches price-sensitive shoppers already in a New PDP session, a distinct discovery channel from search/SEO.</t>
  </si>
  <si>
    <t>Count of CTA view events on New PDPs, deduped per session.</t>
  </si>
  <si>
    <t>Impressions of a "used alternative available" prompt shown on a new-gear product page.</t>
  </si>
  <si>
    <t>Internal linking is both an SEO signal and a direct discovery channel. This checks it's actually being used.</t>
  </si>
  <si>
    <t>Clicks on internal used-links ÷ impressions of those links.</t>
  </si>
  <si>
    <t>Click-through rate on links that point from new-gear pages (e.g. brand pages owned by Sammy) into used inventory.</t>
  </si>
  <si>
    <t>Google Search Console</t>
  </si>
  <si>
    <t>A leading indicator ahead of organic sessions, showing whether pages are being surfaced/ranked before traffic shows up.</t>
  </si>
  <si>
    <t>Pulled directly from Google Search Console, filtered to used-page URLs.</t>
  </si>
  <si>
    <t>How often used pages show up in Google search results, and what share of those impressions turn into a click.</t>
  </si>
  <si>
    <t>The core SEO health signal for the whole awareness theme, a direct read on whether the hybrid listing-page architecture is working.</t>
  </si>
  <si>
    <t>GA4 sessions filtered to organic-search channel + landing page = Used Hub/brand pages.</t>
  </si>
  <si>
    <t>Sessions landing on Used Hub or used brand listing pages via unpaid search.</t>
  </si>
  <si>
    <t>If this trend is shortening, it suggests the timing/targeting logic behind the campaign triggers is improving.</t>
  </si>
  <si>
    <t>Trade-in date − most recent prior purchase date, averaged/median across reactivated sellers, tracked quarter over quarter.</t>
  </si>
  <si>
    <t>How long, on average, it takes a past purchaser to trade in gear after their last purchase, tracked as a trend over time.</t>
  </si>
  <si>
    <t>Finance + Quote system</t>
  </si>
  <si>
    <t>The bottom-line business case for continuing to invest in reactivation campaigns.</t>
  </si>
  <si>
    <t>Sum of accepted-quote $ value for email-attributed reactivated sellers.</t>
  </si>
  <si>
    <t>Total $ value of inventory acquired from customers reactivated via this campaign.</t>
  </si>
  <si>
    <t>Quote system</t>
  </si>
  <si>
    <t>Checks whether reactivated sellers behave differently than new/organic sellers once in the flow.</t>
  </si>
  <si>
    <t>Completed quotes (email-attributed) ÷ quote starts (email-attributed).</t>
  </si>
  <si>
    <t>Of quotes started via reactivation email, the share that reach a completed/accepted quote.</t>
  </si>
  <si>
    <t>ESP + Quote system</t>
  </si>
  <si>
    <t>Bridges "they clicked" to "they actually engaged with the trade-in flow."</t>
  </si>
  <si>
    <t>Quote-start events with a reactivation-email click in the prior N days (window TBD).</t>
  </si>
  <si>
    <t>Quote flows started by a customer within a defined attribution window after clicking a reactivation email.</t>
  </si>
  <si>
    <t>Tests whether the email content/offer itself is compelling once someone opens it.</t>
  </si>
  <si>
    <t>Unique clicks ÷ emails delivered (or ÷ opens, for click-to-open rate).</t>
  </si>
  <si>
    <t>Share of sent reactivation emails that resulted in a click.</t>
  </si>
  <si>
    <t>The first checkpoint. If subject lines/targeting aren't landing, nothing downstream can work.</t>
  </si>
  <si>
    <t>Share of sent trade-in reactivation emails that were opened.</t>
  </si>
  <si>
    <t>Finance + WMS</t>
  </si>
  <si>
    <t>Payout speed is a top driver of seller trust and repeat behavior.</t>
  </si>
  <si>
    <t>Payout-issued timestamp − quote-accepted timestamp, median across accepted quotes.</t>
  </si>
  <si>
    <t>Time elapsed from a customer accepting a quote to the payout actually being issued.</t>
  </si>
  <si>
    <t>Support / CRM</t>
  </si>
  <si>
    <t>A proxy for hidden friction. High contact rates mean customers can't self-serve through confusion or problems in the flow.</t>
  </si>
  <si>
    <t>Support tickets tagged to a quote ID ÷ total quotes.</t>
  </si>
  <si>
    <t>How often a customer contacts support (chat, phone, email) in connection with a given quote.</t>
  </si>
  <si>
    <t>Site-wide CSAT would dilute sell-flow-specific pain; isolating it makes the score actionable for this theme.</t>
  </si>
  <si>
    <t>Medallia CSAT question average/top-box %, filtered to sell-flow survey instance.</t>
  </si>
  <si>
    <t>Customer satisfaction score from a survey specifically scoped to the sell/trade-in flow, kept separate from site-wide CSAT.</t>
  </si>
  <si>
    <t>Pinpoints exactly where in the flow friction is worst, so fixes can be targeted rather than guessed at.</t>
  </si>
  <si>
    <t>(Users entering step − users entering next step) ÷ users entering step, per step.</t>
  </si>
  <si>
    <t>The percentage of customers who exit at each individual step of the sell flow (e.g. item search, condition selection, shipping info).</t>
  </si>
  <si>
    <t>Distinguishes "the flow works but the price is wrong" (low acceptance) from "the flow itself is broken" (low completion, above).</t>
  </si>
  <si>
    <t>Accepted quotes ÷ quotes issued.</t>
  </si>
  <si>
    <t>Of quotes issued to customers, the share the customer actually accepted.</t>
  </si>
  <si>
    <t>ESP + GA4</t>
  </si>
  <si>
    <t>Checks whether status communications meant to reduce post-acceptance uncertainty are actually being read.</t>
  </si>
  <si>
    <t>Unique opens/views of post-acceptance status content ÷ accepted quotes.</t>
  </si>
  <si>
    <t>Of customers who accepted a quote, the share who opened a status update (email or status page) about shipping/payout progress.</t>
  </si>
  <si>
    <t>Slow quoting is a known drop-off driver; median avoids a few slow outliers skewing the picture.</t>
  </si>
  <si>
    <t>Median of (quote-received timestamp − flow-start timestamp) across completed quotes.</t>
  </si>
  <si>
    <t>How long it takes a customer to go from starting the flow to receiving a quote value, at the midpoint of the distribution.</t>
  </si>
  <si>
    <t>The single clearest signal of overall flow friction, the headline number for this theme.</t>
  </si>
  <si>
    <t>Completed quote submissions ÷ quote flows started.</t>
  </si>
  <si>
    <t>Of all quote flows a customer started (searched/selected at least one item), the share that reached a final submitted quote.</t>
  </si>
  <si>
    <t>GA4 + Quote system</t>
  </si>
  <si>
    <t>Tests whether pulling people out of the New funnel into trade-in actually works as an acquisition channel, distinct from Order History awareness.</t>
  </si>
  <si>
    <t>Quote-start events with a cross-sell CTA touchpoint in the preceding session(s).</t>
  </si>
  <si>
    <t>Quote starts that can be traced back to the cross-sell CTA shown on New PDP/brand pages.</t>
  </si>
  <si>
    <t>Cross-sell-attributed quote starts</t>
  </si>
  <si>
    <t>This is a different acquisition channel than Order History awareness. It reaches people who haven't bought from B&amp;H recently.</t>
  </si>
  <si>
    <t>Count of CTA view events on New PDP / brand pages, deduped per session.</t>
  </si>
  <si>
    <t>Impressions of a trade-in prompt shown while a customer is browsing new (not used) gear, e.g. "have an old one? trade it in."</t>
  </si>
  <si>
    <t>Cross-sell CTA impressions (New PDP / brand pages)</t>
  </si>
  <si>
    <t>GA4 + Finance</t>
  </si>
  <si>
    <t>Awareness surfaces often assist rather than directly convert. Last-touch attribution alone would undercount their value.</t>
  </si>
  <si>
    <t>Sum of accepted-quote $ value for quotes with a CTA touchpoint anywhere in the session/journey.</t>
  </si>
  <si>
    <t>Dollar value of inventory acquired through trade-ins where the CTA played a role in the customer's path, even if not the last touch before quoting.</t>
  </si>
  <si>
    <t>The real end-to-end conversion signal for the awareness surface, closer to business outcome than CTR alone.</t>
  </si>
  <si>
    <t>Quote starts among CTA-exposed users ÷ CTA-exposed users.</t>
  </si>
  <si>
    <t>Of customers exposed to the trade-in CTA, the share who went on to start a quote (not necessarily via the CTA itself, any path).</t>
  </si>
  <si>
    <t>Isolates net-new acquisition from repeat sellers, so the awareness theme is measured on bringing in new sellers, not just repeat activity.</t>
  </si>
  <si>
    <t>Count of first-ever quote-start events, matched against customer history in the Quote system.</t>
  </si>
  <si>
    <t>Quote submissions started by customers who have never started a trade-in quote before.</t>
  </si>
  <si>
    <t>Separates "the CTA doesn't work well" from "the CTA isn't reaching who it should," a targeting/eligibility-logic health check.</t>
  </si>
  <si>
    <t>Sessions with CTA impression ÷ sessions meeting eligibility criteria.</t>
  </si>
  <si>
    <t>Of all sessions where a customer has an eligible order/product (i.e. the CTA logic should have fired), the share that actually saw it.</t>
  </si>
  <si>
    <t>Tells you whether the CTA itself (copy, placement, design) is compelling, independent of how often it's shown.</t>
  </si>
  <si>
    <t>CTA clicks ÷ CTA impressions.</t>
  </si>
  <si>
    <t>Of the sessions where the CTA was shown, the share that clicked it.</t>
  </si>
  <si>
    <t>Impressions are the ceiling on everything downstream. If the CTA isn't being shown, nothing else in this theme can move.</t>
  </si>
  <si>
    <t>Count of CTA element view events, deduped per session.</t>
  </si>
  <si>
    <t>Improve Search &amp; Findability</t>
  </si>
  <si>
    <t>Components</t>
  </si>
  <si>
    <t>The number of times a trade-in call-to-action (button, banner, or module) was actually rendered and seen through out the site.</t>
  </si>
  <si>
    <t>Homepage Banner, PDP, PLP, My Account</t>
  </si>
  <si>
    <t>PLP</t>
  </si>
  <si>
    <t>Homepage Banner</t>
  </si>
  <si>
    <t>My Account</t>
  </si>
  <si>
    <t>Trade In Page</t>
  </si>
  <si>
    <t>Sell Used Landing Page</t>
  </si>
  <si>
    <t>Sell Used Detail Page</t>
  </si>
  <si>
    <t>Sell Used Review Page</t>
  </si>
  <si>
    <t>Used Category Landing Page</t>
  </si>
  <si>
    <t>Used Category Listing Page</t>
  </si>
  <si>
    <t>Used PDP</t>
  </si>
  <si>
    <t>Sell Used Search Box</t>
  </si>
  <si>
    <t>My Account Trade In Module</t>
  </si>
  <si>
    <t>Sell Used Search, My Account Trade In Module, Trade In Page</t>
  </si>
  <si>
    <t>New PDP Trade In Your Gear</t>
  </si>
  <si>
    <t>Site Search, Used Site Search, Sell Used Search</t>
  </si>
  <si>
    <t>Site Search, Used Site Search</t>
  </si>
  <si>
    <t>Site Search, Used Site Search, Used Product Card</t>
  </si>
  <si>
    <t>Sell Used Serach</t>
  </si>
  <si>
    <t>PDP Condition Rating Link, PDP Condition Rating Tray</t>
  </si>
  <si>
    <t>Sell Used Search Box, Sell Used Type Ahead, Sell Used Listing Page</t>
  </si>
  <si>
    <t>Email CTA, Used PDP</t>
  </si>
  <si>
    <t>Email CTA</t>
  </si>
  <si>
    <t>Sell Used Search Box, Sell Used Type Ahead, Sell Used Listing Page, Sell Used Detail Page, Sell Used Review Page</t>
  </si>
  <si>
    <t>Email Shipping Email, Trade in Quote Notification</t>
  </si>
  <si>
    <t>Used PDP, Used Category Landing Page, Used Category Listing Page, New PDP, New Category Landing Page, New Category Listing Page</t>
  </si>
  <si>
    <t>Used PDP, Used Check Out?, New Product Card Used From</t>
  </si>
  <si>
    <t>Used PLP, Used SRP, Used Filter</t>
  </si>
  <si>
    <t>Used Email, Used Email CTA</t>
  </si>
  <si>
    <t>Trade in email</t>
  </si>
  <si>
    <t>site_type</t>
  </si>
  <si>
    <t>page_type</t>
  </si>
  <si>
    <t>label_value</t>
  </si>
  <si>
    <t>label</t>
  </si>
  <si>
    <t>eventName</t>
  </si>
  <si>
    <t>category_page_clicks</t>
  </si>
  <si>
    <t>component_GA4</t>
  </si>
  <si>
    <t>Sell Used Listing Page</t>
  </si>
  <si>
    <t>select_promotion</t>
  </si>
  <si>
    <t>Product_Type</t>
  </si>
  <si>
    <t>New</t>
  </si>
  <si>
    <t>N/A</t>
  </si>
  <si>
    <t>New Item Category Landing Page</t>
  </si>
  <si>
    <t>New Item Category Listing Page</t>
  </si>
  <si>
    <t>New Item Category Listing Page Product Card</t>
  </si>
  <si>
    <t>New Site Search Box</t>
  </si>
  <si>
    <t>New Site Search Type Ahead</t>
  </si>
  <si>
    <t>Top Nav</t>
  </si>
  <si>
    <t>New Mega Menu</t>
  </si>
  <si>
    <t>New Item Category Listing Page Product Card Used From CTA</t>
  </si>
  <si>
    <t>New Item PDP Trade In Your Gear CTA</t>
  </si>
  <si>
    <t>Cart</t>
  </si>
  <si>
    <t>Check Out</t>
  </si>
  <si>
    <t xml:space="preserve">Used Hub </t>
  </si>
  <si>
    <t>Used Hub Switcher</t>
  </si>
  <si>
    <t>Used Hub Category Navigation</t>
  </si>
  <si>
    <t>Used Hub See Our Rating System</t>
  </si>
  <si>
    <t>Used Hub Sell Your Gear in 3 Easy Steps Video</t>
  </si>
  <si>
    <t>Used Hub Get Started Online CTA</t>
  </si>
  <si>
    <t>Link</t>
  </si>
  <si>
    <t>Video</t>
  </si>
  <si>
    <t>CTA</t>
  </si>
  <si>
    <t>Used Hub Visit Our Used Dept FAQ For Further Details</t>
  </si>
  <si>
    <t>Used Hub 90 Days Parts And Labor Warranty See Details</t>
  </si>
  <si>
    <t>Used Hub Free Shipping See Details</t>
  </si>
  <si>
    <t>Banner</t>
  </si>
  <si>
    <t>Product Card</t>
  </si>
  <si>
    <t>Search Field</t>
  </si>
  <si>
    <t>Landing Page</t>
  </si>
  <si>
    <t>Used Hub NYC SuperStore</t>
  </si>
  <si>
    <t>Carousel</t>
  </si>
  <si>
    <t>Used Hub Customer Reviews</t>
  </si>
  <si>
    <t>Used Hub FAQ Search</t>
  </si>
  <si>
    <t>Used Hub FAQ Title</t>
  </si>
  <si>
    <t>Used Hub FAQ Description</t>
  </si>
  <si>
    <t>Used Hub FAQ See All</t>
  </si>
  <si>
    <t>Used Hub Phone Number</t>
  </si>
  <si>
    <t>Used Hub Address</t>
  </si>
  <si>
    <t>Footer Trade In Your Gear</t>
  </si>
  <si>
    <t>Used Top Nav</t>
  </si>
  <si>
    <t>Used Mega Menu</t>
  </si>
  <si>
    <t>Used Mega Menu Category</t>
  </si>
  <si>
    <t>Used Mega Menu Sell Your Gear</t>
  </si>
  <si>
    <t>Used Site Search Box</t>
  </si>
  <si>
    <t>Used Site Search Type Ahead</t>
  </si>
  <si>
    <t>Used Category Listing Page Product Card</t>
  </si>
  <si>
    <t>Used Category Listing Page Product Card Used From CTA</t>
  </si>
  <si>
    <t>Surface trade-in as a clear, relevant option at high-intent moments, Order History, PDPs, post-purchase, so customers who own eligible gear know they can trade it in.</t>
  </si>
  <si>
    <t>Reduce friction in the sell/trade-in submission flow: search, quote, shipping/drop-off, to raise completion and quote-to-conversion rates.</t>
  </si>
  <si>
    <t>Make used PDPs and listing pages easier to evaluate, increase condition clarity, provide product photos, and filtering, so shoppers can confidently purchase used gear</t>
  </si>
  <si>
    <t>Win back past buyers with relevant used-inventory alerts and win-back offers matched to their purchase history</t>
  </si>
  <si>
    <t>Used Hub, Used Brand Listing Page</t>
  </si>
  <si>
    <t>Used Brand Listing Page</t>
  </si>
  <si>
    <t>Search Field Type Ahead</t>
  </si>
  <si>
    <t>Mega Menu Category</t>
  </si>
  <si>
    <t>BHP-7431</t>
  </si>
  <si>
    <t>Decouple Sell Used from Used Hub</t>
  </si>
  <si>
    <t>What are the ongoing high level efforts that create a positive impact on customer experience and revenue?</t>
  </si>
  <si>
    <t>Is the Component tagged? If so, is it tagged in a meaningful way?</t>
  </si>
  <si>
    <t>What elements are involved in this theme/request?</t>
  </si>
  <si>
    <t>Metrics</t>
  </si>
  <si>
    <t>Through which lens do we judge performance/success?</t>
  </si>
  <si>
    <t>Used PDP, Used PDP CTA</t>
  </si>
  <si>
    <t>Used PDP, Used PDP CTA, Used PLP, Used PLP CTA</t>
  </si>
  <si>
    <t>Medallia Survey</t>
  </si>
  <si>
    <t>My Orders</t>
  </si>
  <si>
    <t>New PDP, Used PDP</t>
  </si>
  <si>
    <t>Flag</t>
  </si>
  <si>
    <t>page_view</t>
  </si>
  <si>
    <t>—</t>
  </si>
  <si>
    <t>Desktop</t>
  </si>
  <si>
    <t>productList</t>
  </si>
  <si>
    <t>observed</t>
  </si>
  <si>
    <t>view_item_list</t>
  </si>
  <si>
    <t>absent</t>
  </si>
  <si>
    <t>by design</t>
  </si>
  <si>
    <t>view_promotion</t>
  </si>
  <si>
    <t>Refinements</t>
  </si>
  <si>
    <t>listing_page_clicks</t>
  </si>
  <si>
    <t>Filters</t>
  </si>
  <si>
    <t>F1</t>
  </si>
  <si>
    <t>Filter Labels</t>
  </si>
  <si>
    <t>Still Image Resolution</t>
  </si>
  <si>
    <t>Facet accordion expand/collapse — label carries the section name</t>
  </si>
  <si>
    <t>Listing See All Info</t>
  </si>
  <si>
    <t>left refinements</t>
  </si>
  <si>
    <t>"See all + 10" opens the full-facet modal — label carries placement, not which facet</t>
  </si>
  <si>
    <t>F3</t>
  </si>
  <si>
    <t>Listing See All Modal</t>
  </si>
  <si>
    <t>Clear All</t>
  </si>
  <si>
    <t>Clear All inside the modal — the only modal control that emits anything</t>
  </si>
  <si>
    <t>F2</t>
  </si>
  <si>
    <t>Sort By</t>
  </si>
  <si>
    <t>"" (empty)</t>
  </si>
  <si>
    <t>Opening the sort dropdown — fires with an empty label before any choice is made</t>
  </si>
  <si>
    <t>F4</t>
  </si>
  <si>
    <t>PRICE_LOW_TO_HIGH</t>
  </si>
  <si>
    <t>Sort selected — label is the enum, not the visible "Price: Low to High"</t>
  </si>
  <si>
    <t>View</t>
  </si>
  <si>
    <t>Grid View · List View</t>
  </si>
  <si>
    <t>Grid/list density toggle</t>
  </si>
  <si>
    <t>Paging</t>
  </si>
  <si>
    <t>page 2</t>
  </si>
  <si>
    <t>select_item</t>
  </si>
  <si>
    <t>Item List</t>
  </si>
  <si>
    <t>Other Buying Options</t>
  </si>
  <si>
    <t>1910936-REG</t>
  </si>
  <si>
    <t>Show More</t>
  </si>
  <si>
    <t>F5</t>
  </si>
  <si>
    <t>Add to Compare</t>
  </si>
  <si>
    <t>Compare checkbox on a tile — no label, no item identifier</t>
  </si>
  <si>
    <t>breadcrumbs</t>
  </si>
  <si>
    <t>Breadcrumb</t>
  </si>
  <si>
    <t>Used Category Listing Page Filter</t>
  </si>
  <si>
    <t>Left-rail facet checkboxfilter_value: Full Frame (35mm) · filter_section: Sensor Size · filter_n_value: fct_sensor-size_3087 · from: left refinements</t>
  </si>
  <si>
    <t>Left-rail Categories link (Mirrorless Cameras)filter_value: "undefined" · filter_section: Category · filter_n_value: Mirrorless Cameras · from: "undefined"</t>
  </si>
  <si>
    <t>Trigger &amp; Other Parameters</t>
  </si>
  <si>
    <t>component type</t>
  </si>
  <si>
    <t>Pagination control — label is the literal "page " prefix plus the number</t>
  </si>
  <si>
    <t>Listing Controls</t>
  </si>
  <si>
    <t>Product title click — GA4 ecommerce event, not a listing_page_clicksitems: [{ item_id }] · section_path: Category</t>
  </si>
  <si>
    <t>"Used for $39.95" link on a tile — the only component on this page that populates label_valuesection_path: Category · label = buying-option type · label_value = SKU</t>
  </si>
  <si>
    <t>Expanding a tile's Key Featuressection_path: Category — no item_id, so it cannot be tied to a product</t>
  </si>
  <si>
    <t>Element</t>
  </si>
  <si>
    <t>Promo &amp; Navigation</t>
  </si>
  <si>
    <t>Hero banner click — mirrors the view_promotion paramscreative_name: IO Image Banner · creative_slot: HERO · promotion_url: /a/trade-in/64435</t>
  </si>
  <si>
    <t>Breadcrumb link clickbreadcrumbs: Photography — destination in its own param rather than label</t>
  </si>
  <si>
    <t>Event Taxonomy</t>
  </si>
  <si>
    <t>detail_page_clicks</t>
  </si>
  <si>
    <t>header_clicks</t>
  </si>
  <si>
    <t>mega_menu_clicks</t>
  </si>
  <si>
    <t>typeahead_suggestion_clicks</t>
  </si>
  <si>
    <t>footer_clicks</t>
  </si>
  <si>
    <t>home_page_clicks</t>
  </si>
  <si>
    <t>nav_drawer_clicks</t>
  </si>
  <si>
    <t>cart_page_clicks</t>
  </si>
  <si>
    <t>checkout_page_clicks</t>
  </si>
  <si>
    <t>checkout_impression</t>
  </si>
  <si>
    <t>login_layer_clicks</t>
  </si>
  <si>
    <t>profile_menu_clicks</t>
  </si>
  <si>
    <t>my_account_clicks</t>
  </si>
  <si>
    <t>order_history_detail_clicks</t>
  </si>
  <si>
    <t>modify_order_page_clicks</t>
  </si>
  <si>
    <t>static_pages_clicks</t>
  </si>
  <si>
    <t>gift_ideas_clicks</t>
  </si>
  <si>
    <t>leasing_page_clicks</t>
  </si>
  <si>
    <t>payboo_page_clicks</t>
  </si>
  <si>
    <t>payboo_sdk_clicks</t>
  </si>
  <si>
    <t>Product Title</t>
  </si>
  <si>
    <t>Initial render and every filter/sort/paging change (pushState)content_group: productList · site_langauge: E · bi: NoValue · pwa_source: NoValue · bh_user_id · category_page_id: 9811</t>
  </si>
  <si>
    <t>Results grid rendered — 28 items in one senditems[]: item_id, item_code, item_list_name, index, sales_comment · position_index: 1</t>
  </si>
  <si>
    <t>Google Ads remarketing duplicate — separate send, not the GA4 propertysend_to: google_ads · ecomm_pagetype: productList · ecomm_prodid[] · tag: AW-1056059933</t>
  </si>
  <si>
    <t>Hero banner impression — the Nikon trade-in unitcreative_name: IO Image Banner · creative_slot: HERO · promotion_name: 3385025 - BHUX 35089 Nikon Z6III Listing Page · promotion_url: /a/trade-in/64435</t>
  </si>
  <si>
    <t>Sponsored carousel — one event per slotcreative_name: spotfront list item · creative_slot: TOP · promotion_position: 1, 2, 3 · promotion_id (uuid) · promotion_url</t>
  </si>
  <si>
    <t>Email slide-out and mega-menu banner impressionscreative_name: Email Slideout Signup / IO Banner · creative_slot: SLIDER / Top Nav · promotion_id: ESS</t>
  </si>
  <si>
    <t>Page Load</t>
  </si>
  <si>
    <t>Typeahead Suggestions</t>
  </si>
  <si>
    <t>Search</t>
  </si>
  <si>
    <t>Enter Search</t>
  </si>
  <si>
    <t>home</t>
  </si>
  <si>
    <t>Computers</t>
  </si>
  <si>
    <t>Navigation - Mega Menu</t>
  </si>
  <si>
    <t>Pro Audio menu</t>
  </si>
  <si>
    <t>Live sound</t>
  </si>
  <si>
    <t>category</t>
  </si>
  <si>
    <t>Why are we doing this?</t>
  </si>
  <si>
    <t>What's the bigger picture?</t>
  </si>
  <si>
    <t>How do we know if it worked?</t>
  </si>
  <si>
    <t>Where will the customer encounter this experience?</t>
  </si>
  <si>
    <t>Category Groups</t>
  </si>
  <si>
    <t>Cameras &amp; Lenses</t>
  </si>
  <si>
    <t>Digital Cameras</t>
  </si>
  <si>
    <t>model</t>
  </si>
  <si>
    <t>Accessories</t>
  </si>
  <si>
    <t>Lens Accessories</t>
  </si>
  <si>
    <t>Same component, second section — the convention holds across the page</t>
  </si>
  <si>
    <t>Applications</t>
  </si>
  <si>
    <t>Portrait Photography</t>
  </si>
  <si>
    <t>C3</t>
  </si>
  <si>
    <t>Category tile — label is the section, label_value the destinationcategory_page_id: 989</t>
  </si>
  <si>
    <t>The "What would you like to shoot?" rail — reports under its internal key, Applicationsthe only section whose label doesn't match its visible heading</t>
  </si>
  <si>
    <t>Explora banner</t>
  </si>
  <si>
    <t>Venus Optics Delivers Two New Ultra-Macro Laowa Lenses</t>
  </si>
  <si>
    <t>Editorial rail — label carries the full article title, so content performance is readable</t>
  </si>
  <si>
    <t>Category Banner</t>
  </si>
  <si>
    <t>The Hasselblad "Learn More" unit — no label, so which brand banner was clicked is unknowable</t>
  </si>
  <si>
    <t>C2</t>
  </si>
  <si>
    <t>chatBanner</t>
  </si>
  <si>
    <t>"Video Chat with a Photography Expert" strip — opens the chat widget, sends nothing about which expert path</t>
  </si>
  <si>
    <t>SEO Text</t>
  </si>
  <si>
    <t>Expanding the bottom copy block — same component and label as on the listing page</t>
  </si>
  <si>
    <t>Content &amp; Banners</t>
  </si>
  <si>
    <t>Navigation into the Catalog</t>
  </si>
  <si>
    <t>Promo &amp; Exits</t>
  </si>
  <si>
    <t>Trade in Your Gear</t>
  </si>
  <si>
    <t>Footer trade-in link — a different event family from the banner above it, same destination</t>
  </si>
  <si>
    <t>C5</t>
  </si>
  <si>
    <t>Trade-in banner clicked — mirrors its impression event exactly, same promotion_idcreative_slot: TOP · promotion_url: /a/trade-in/64435</t>
  </si>
  <si>
    <t>Spotfront product rail item clicked — impression and click share promotion_id and promotion_position, so slot-level CTR is directly computable</t>
  </si>
  <si>
    <t>view_item</t>
  </si>
  <si>
    <t>productDetail</t>
  </si>
  <si>
    <t>U1 U5</t>
  </si>
  <si>
    <t>U1</t>
  </si>
  <si>
    <t>Product rendered — the richest payload on the page, and still condition-blindcurrency: USD · value: 2136.95 · items: [{ item_id: 803528607-USE, item_code: 3528607, price: 2136.95, stock_status: IN_STOCK, shipping_message: FREE_ONE_DAY_DELIVERY, store_pickup_message: AVAILABLE_IN_PICKUP_TIME }]</t>
  </si>
  <si>
    <t>Google Ads remarketing — this one knows it's usedecomm_pcat: ["BH Photo", "Used Department", "Photography", "Point &amp; Shoot Cameras", "Sony RX10 V"] · ecomm_prodid: 803528607-USE · ecomm_totalvalue: 2136.95</t>
  </si>
  <si>
    <t>Page load — content_group also productDetail, so neither dimension separates used from newsite_langauge: E · bi: NoValue · pwa_source: NoValue · bh_user_id: id_NoValue</t>
  </si>
  <si>
    <t>Overview banner (an Explora article on this camera) and the email slide-outcreative_slot: Overview Banner / SLIDER · promotion_name · detail_page_sku</t>
  </si>
  <si>
    <t>Used Item Condition</t>
  </si>
  <si>
    <t>U2</t>
  </si>
  <si>
    <t>U4</t>
  </si>
  <si>
    <t>Trade In - Learn More</t>
  </si>
  <si>
    <t>U6</t>
  </si>
  <si>
    <t>"Condition: 9 Minor surface marks" → opens the B&amp;H Used Equipment Rating System drawerdetail_page_sku only — the grade the shopper just clicked on is not sent</t>
  </si>
  <si>
    <t>"New for $2,298.00" — the used → new switchno label_value, though the same component on the listing page sends the SKU there</t>
  </si>
  <si>
    <t>"Trade in your gear for cash — Get Started" — present and tagged on used PDPs exactly as on new onesdetail_page_sku</t>
  </si>
  <si>
    <t>Breadcrumb click — the one place "Used Department" reaches GA4 as a valuebreadcrumbs: "Used Department" · only fires if someone actually clicks it</t>
  </si>
  <si>
    <t>Used Specific Interaction</t>
  </si>
  <si>
    <t>searchDropdown</t>
  </si>
  <si>
    <t>The header search scope selector, which is pre-set to "Used" on this page — but the event doesn't say which scope was chosen</t>
  </si>
  <si>
    <t>Compare checkbox — carries the SKU here, unlike its listing-page counterpart, which carries nothing</t>
  </si>
  <si>
    <t>Tab Navigation</t>
  </si>
  <si>
    <t>Specs · Reviews · Q&amp;A</t>
  </si>
  <si>
    <t>new PDP</t>
  </si>
  <si>
    <t>U7</t>
  </si>
  <si>
    <t>Content tabs — not exercised on this page; carried over from the new-PDP audit, where label carried the tab namedetail_page_sku</t>
  </si>
  <si>
    <t>No event: Share · Print · the "Used Savings $161.05" figure · the "Warranty: B&amp;H 90 Days" line · the 90-Second Intro video badge</t>
  </si>
  <si>
    <t>Generic PDP Furniture</t>
  </si>
  <si>
    <t>Who wants this?</t>
  </si>
  <si>
    <t>Portfolios</t>
  </si>
  <si>
    <t>Who are the primary stakeholders?</t>
  </si>
  <si>
    <t>Reduce impediments and increase transparency/trust across internal teams by answering the following questions:</t>
  </si>
  <si>
    <t>What is the sequence of deliverables and why?</t>
  </si>
  <si>
    <t>Roadmap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</si>
</sst>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umFmts count="3">
    <numFmt numFmtId="164" formatCode="mmm yyyy"/>
    <numFmt numFmtId="165" formatCode="yyyy-mm-dd"/>
    <numFmt numFmtId="166" formatCode="mmm yy"/>
  </numFmts>
  <fonts count="38" ns2:knownFonts="1">
    <font>
      <sz val="12"/>
      <color theme="1"/>
      <name val="Aptos Narrow"/>
      <family val="2"/>
      <scheme val="minor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4"/>
      <color rgb="FF000000"/>
      <name val="Calibri"/>
      <family val="2"/>
    </font>
    <font>
      <b/>
      <sz val="14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trike/>
      <sz val="16"/>
      <color theme="1"/>
      <name val="Aptos Narrow"/>
      <scheme val="minor"/>
    </font>
    <font>
      <u/>
      <sz val="16"/>
      <color theme="10"/>
      <name val="Aptos Narrow"/>
      <family val="2"/>
      <scheme val="minor"/>
    </font>
    <font>
      <u/>
      <sz val="16"/>
      <color theme="10"/>
      <name val="Aptos Narrow"/>
      <scheme val="minor"/>
    </font>
    <font>
      <sz val="12"/>
      <color theme="9" tint="-0.249977111117893"/>
      <name val="Aptos Narrow"/>
      <family val="2"/>
      <scheme val="minor"/>
    </font>
    <font>
      <b/>
      <i/>
      <u/>
      <sz val="12"/>
      <color theme="10"/>
      <name val="Aptos Narrow"/>
      <scheme val="minor"/>
    </font>
    <font>
      <sz val="8"/>
      <name val="Aptos Narrow"/>
      <family val="2"/>
      <scheme val="minor"/>
    </font>
    <font>
      <sz val="16"/>
      <color rgb="FF000000"/>
      <name val="Aptos Narrow"/>
      <scheme val="minor"/>
    </font>
    <font>
      <sz val="16"/>
      <name val="Aptos Narrow"/>
      <scheme val="minor"/>
    </font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B03A2E"/>
      <sz val="9"/>
    </font>
    <font>
      <name val="Arial"/>
      <b val="1"/>
      <color rgb="006B7785"/>
      <sz val="8"/>
    </font>
    <font>
      <name val="Arial"/>
      <color rgb="006B7785"/>
      <sz val="8"/>
    </font>
    <font>
      <name val="Arial"/>
      <color rgb="001F2933"/>
      <sz val="9"/>
    </font>
    <font>
      <name val="Arial"/>
      <b val="1"/>
      <color rgb="001F3B57"/>
      <sz val="16"/>
    </font>
    <font>
      <name val="Arial"/>
      <b val="1"/>
      <color rgb="006B7785"/>
      <sz val="9"/>
    </font>
    <font>
      <name val="Arial"/>
      <b val="1"/>
      <color rgb="00FFFFFF"/>
      <sz val="8"/>
    </font>
    <font>
      <name val="Arial"/>
      <b val="1"/>
      <color rgb="00FFFFFF"/>
      <sz val="11"/>
    </font>
    <font>
      <name val="Arial"/>
      <color rgb="001F3B57"/>
      <sz val="8"/>
    </font>
    <font>
      <name val="Arial"/>
      <b val="1"/>
      <color rgb="001F3B57"/>
      <sz val="9"/>
    </font>
    <font>
      <name val="Arial"/>
      <color rgb="001F2933"/>
      <sz val="8"/>
    </font>
  </fonts>
  <fills count="3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2BA5D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82BA5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22536"/>
        <bgColor indexed="64"/>
      </patternFill>
    </fill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2F6FB5"/>
      </patternFill>
    </fill>
    <fill>
      <patternFill patternType="solid">
        <fgColor rgb="002E8B57"/>
      </patternFill>
    </fill>
    <fill>
      <patternFill patternType="solid">
        <fgColor rgb="006A4C93"/>
      </patternFill>
    </fill>
    <fill>
      <patternFill patternType="solid">
        <fgColor rgb="002F5675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FFFF00"/>
      </top>
      <bottom style="thin">
        <color indexed="64"/>
      </bottom>
      <diagonal/>
    </border>
    <border>
      <left/>
      <right style="double">
        <color rgb="FFFFFF00"/>
      </right>
      <top style="double">
        <color rgb="FFFFFF00"/>
      </top>
      <bottom style="double">
        <color rgb="FFFFFF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thin">
        <color rgb="00FFFFFF"/>
      </left>
    </border>
    <border>
      <bottom style="medium">
        <color rgb="000F2233"/>
      </bottom>
    </border>
    <border>
      <left style="thin">
        <color rgb="003D5A75"/>
      </left>
      <bottom style="medium">
        <color rgb="000F2233"/>
      </bottom>
    </border>
    <border>
      <right style="thin">
        <color rgb="00EDF0F2"/>
      </right>
    </border>
    <border>
      <left style="thin">
        <color rgb="00EDF0F2"/>
      </left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22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10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3" fillId="0" borderId="3" xfId="0" applyFont="1" applyBorder="1"/>
    <xf numFmtId="0" fontId="2" fillId="0" borderId="3" xfId="0" applyFont="1" applyBorder="1" applyAlignment="1">
      <alignment horizontal="left" indent="1"/>
    </xf>
    <xf numFmtId="0" fontId="2" fillId="2" borderId="3" xfId="0" applyFont="1" applyFill="1" applyBorder="1"/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indent="2"/>
    </xf>
    <xf numFmtId="0" fontId="2" fillId="0" borderId="5" xfId="0" applyFont="1" applyBorder="1" applyAlignment="1">
      <alignment horizontal="left" indent="1"/>
    </xf>
    <xf numFmtId="0" fontId="0" fillId="13" borderId="6" xfId="0" applyFill="1" applyBorder="1"/>
    <xf numFmtId="0" fontId="2" fillId="8" borderId="6" xfId="0" applyFont="1" applyFill="1" applyBorder="1"/>
    <xf numFmtId="0" fontId="3" fillId="0" borderId="3" xfId="0" applyFont="1" applyBorder="1" applyAlignment="1">
      <alignment horizontal="left" indent="1"/>
    </xf>
    <xf numFmtId="0" fontId="2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indent="1"/>
    </xf>
    <xf numFmtId="0" fontId="6" fillId="0" borderId="0" xfId="0" applyFont="1"/>
    <xf numFmtId="0" fontId="2" fillId="2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horizontal="left" wrapText="1" indent="1"/>
    </xf>
    <xf numFmtId="0" fontId="2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 indent="2"/>
    </xf>
    <xf numFmtId="0" fontId="3" fillId="0" borderId="3" xfId="0" applyFont="1" applyBorder="1" applyAlignment="1">
      <alignment horizontal="left" wrapText="1" indent="1"/>
    </xf>
    <xf numFmtId="0" fontId="2" fillId="0" borderId="5" xfId="0" applyFont="1" applyBorder="1" applyAlignment="1">
      <alignment horizontal="left" wrapText="1" indent="1"/>
    </xf>
    <xf numFmtId="0" fontId="11" fillId="20" borderId="9" xfId="0" applyFont="1" applyFill="1" applyBorder="1" applyAlignment="1">
      <alignment wrapText="1"/>
    </xf>
    <xf numFmtId="0" fontId="0" fillId="22" borderId="0" xfId="0" applyFill="1"/>
    <xf numFmtId="0" fontId="0" fillId="23" borderId="12" xfId="0" applyFill="1" applyBorder="1"/>
    <xf numFmtId="0" fontId="0" fillId="2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2" borderId="12" xfId="0" applyFill="1" applyBorder="1" applyAlignment="1">
      <alignment horizontal="center"/>
    </xf>
    <xf numFmtId="0" fontId="0" fillId="25" borderId="12" xfId="0" applyFill="1" applyBorder="1" applyAlignment="1">
      <alignment horizontal="center"/>
    </xf>
    <xf numFmtId="0" fontId="0" fillId="0" borderId="12" xfId="0" applyBorder="1"/>
    <xf numFmtId="0" fontId="0" fillId="25" borderId="12" xfId="0" applyFill="1" applyBorder="1"/>
    <xf numFmtId="0" fontId="12" fillId="0" borderId="12" xfId="1" applyBorder="1"/>
    <xf numFmtId="0" fontId="10" fillId="0" borderId="0" xfId="0" applyFont="1"/>
    <xf numFmtId="0" fontId="2" fillId="18" borderId="0" xfId="0" applyFont="1" applyFill="1"/>
    <xf numFmtId="0" fontId="10" fillId="19" borderId="0" xfId="0" applyFont="1" applyFill="1"/>
    <xf numFmtId="0" fontId="2" fillId="6" borderId="6" xfId="0" applyFont="1" applyFill="1" applyBorder="1"/>
    <xf numFmtId="0" fontId="2" fillId="4" borderId="6" xfId="0" applyFont="1" applyFill="1" applyBorder="1"/>
    <xf numFmtId="0" fontId="2" fillId="18" borderId="6" xfId="0" applyFont="1" applyFill="1" applyBorder="1"/>
    <xf numFmtId="0" fontId="10" fillId="0" borderId="6" xfId="0" applyFont="1" applyBorder="1"/>
    <xf numFmtId="0" fontId="15" fillId="0" borderId="12" xfId="0" applyFont="1" applyBorder="1"/>
    <xf numFmtId="0" fontId="14" fillId="0" borderId="12" xfId="0" applyFont="1" applyBorder="1"/>
    <xf numFmtId="0" fontId="16" fillId="0" borderId="12" xfId="0" applyFont="1" applyBorder="1"/>
    <xf numFmtId="0" fontId="2" fillId="9" borderId="0" xfId="0" applyFont="1" applyFill="1"/>
    <xf numFmtId="0" fontId="2" fillId="8" borderId="0" xfId="0" applyFont="1" applyFill="1"/>
    <xf numFmtId="0" fontId="2" fillId="7" borderId="0" xfId="0" applyFont="1" applyFill="1"/>
    <xf numFmtId="0" fontId="2" fillId="11" borderId="0" xfId="0" applyFont="1" applyFill="1"/>
    <xf numFmtId="0" fontId="0" fillId="12" borderId="0" xfId="0" applyFill="1"/>
    <xf numFmtId="0" fontId="2" fillId="3" borderId="6" xfId="0" applyFont="1" applyFill="1" applyBorder="1"/>
    <xf numFmtId="0" fontId="3" fillId="2" borderId="2" xfId="0" applyFont="1" applyFill="1" applyBorder="1" applyAlignment="1">
      <alignment vertical="center"/>
    </xf>
    <xf numFmtId="0" fontId="0" fillId="22" borderId="12" xfId="0" applyFill="1" applyBorder="1"/>
    <xf numFmtId="0" fontId="17" fillId="0" borderId="12" xfId="0" applyFont="1" applyBorder="1"/>
    <xf numFmtId="0" fontId="0" fillId="26" borderId="12" xfId="0" applyFill="1" applyBorder="1" applyAlignment="1">
      <alignment horizontal="center"/>
    </xf>
    <xf numFmtId="0" fontId="0" fillId="27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25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18" fillId="0" borderId="12" xfId="1" applyFont="1" applyBorder="1"/>
    <xf numFmtId="0" fontId="19" fillId="0" borderId="12" xfId="1" applyFont="1" applyBorder="1"/>
    <xf numFmtId="0" fontId="12" fillId="22" borderId="12" xfId="1" applyFill="1" applyBorder="1" applyAlignment="1">
      <alignment wrapText="1"/>
    </xf>
    <xf numFmtId="0" fontId="14" fillId="0" borderId="12" xfId="0" applyFont="1" applyBorder="1" applyAlignment="1">
      <alignment wrapText="1"/>
    </xf>
    <xf numFmtId="0" fontId="13" fillId="23" borderId="12" xfId="0" applyFon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27" borderId="12" xfId="0" applyFill="1" applyBorder="1" applyAlignment="1">
      <alignment horizontal="center"/>
    </xf>
    <xf numFmtId="0" fontId="0" fillId="0" borderId="21" xfId="0" applyBorder="1"/>
    <xf numFmtId="0" fontId="0" fillId="0" borderId="8" xfId="0" applyBorder="1"/>
    <xf numFmtId="49" fontId="14" fillId="0" borderId="12" xfId="0" applyNumberFormat="1" applyFont="1" applyBorder="1"/>
    <xf numFmtId="49" fontId="17" fillId="0" borderId="12" xfId="0" applyNumberFormat="1" applyFont="1" applyBorder="1"/>
    <xf numFmtId="0" fontId="14" fillId="0" borderId="19" xfId="0" applyFont="1" applyBorder="1"/>
    <xf numFmtId="0" fontId="18" fillId="0" borderId="19" xfId="1" applyFont="1" applyBorder="1"/>
    <xf numFmtId="49" fontId="14" fillId="0" borderId="19" xfId="0" applyNumberFormat="1" applyFont="1" applyBorder="1"/>
    <xf numFmtId="0" fontId="19" fillId="0" borderId="12" xfId="1" applyFont="1" applyFill="1" applyBorder="1"/>
    <xf numFmtId="0" fontId="14" fillId="21" borderId="12" xfId="0" applyFont="1" applyFill="1" applyBorder="1"/>
    <xf numFmtId="0" fontId="0" fillId="0" borderId="22" xfId="0" applyBorder="1"/>
    <xf numFmtId="0" fontId="0" fillId="0" borderId="23" xfId="0" applyBorder="1"/>
    <xf numFmtId="0" fontId="12" fillId="0" borderId="0" xfId="1" applyBorder="1"/>
    <xf numFmtId="0" fontId="0" fillId="22" borderId="21" xfId="0" applyFill="1" applyBorder="1"/>
    <xf numFmtId="0" fontId="0" fillId="23" borderId="0" xfId="0" applyFill="1" applyAlignment="1">
      <alignment horizontal="center" vertical="center"/>
    </xf>
    <xf numFmtId="0" fontId="0" fillId="0" borderId="24" xfId="0" applyBorder="1"/>
    <xf numFmtId="0" fontId="6" fillId="0" borderId="12" xfId="0" applyFont="1" applyBorder="1"/>
    <xf numFmtId="0" fontId="6" fillId="0" borderId="19" xfId="0" applyFont="1" applyBorder="1"/>
    <xf numFmtId="0" fontId="0" fillId="29" borderId="12" xfId="0" applyFill="1" applyBorder="1" applyAlignment="1">
      <alignment horizontal="center"/>
    </xf>
    <xf numFmtId="0" fontId="6" fillId="0" borderId="21" xfId="0" applyFont="1" applyBorder="1"/>
    <xf numFmtId="0" fontId="0" fillId="23" borderId="0" xfId="0" applyFill="1"/>
    <xf numFmtId="0" fontId="0" fillId="2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5" borderId="0" xfId="0" applyFill="1" applyAlignment="1">
      <alignment horizontal="center" vertical="center"/>
    </xf>
    <xf numFmtId="0" fontId="0" fillId="23" borderId="0" xfId="0" applyFill="1" applyAlignment="1">
      <alignment horizontal="center"/>
    </xf>
    <xf numFmtId="0" fontId="13" fillId="23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0" fillId="21" borderId="0" xfId="0" applyFont="1" applyFill="1" applyAlignment="1">
      <alignment horizontal="center"/>
    </xf>
    <xf numFmtId="0" fontId="10" fillId="17" borderId="0" xfId="0" applyFont="1" applyFill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10" fillId="17" borderId="6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18" borderId="19" xfId="0" applyFont="1" applyFill="1" applyBorder="1" applyAlignment="1">
      <alignment horizontal="center" vertical="center"/>
    </xf>
    <xf numFmtId="0" fontId="2" fillId="18" borderId="20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6" fillId="0" borderId="12" xfId="0" applyFont="1" applyBorder="1" applyAlignment="1">
      <alignment vertical="center" wrapText="1"/>
    </xf>
    <xf numFmtId="0" fontId="16" fillId="0" borderId="12" xfId="0" applyFont="1" applyBorder="1" applyAlignment="1">
      <alignment wrapText="1"/>
    </xf>
    <xf numFmtId="0" fontId="0" fillId="0" borderId="0" xfId="0" applyBorder="1"/>
    <xf numFmtId="0" fontId="12" fillId="22" borderId="12" xfId="1" applyFill="1" applyBorder="1"/>
    <xf numFmtId="0" fontId="12" fillId="0" borderId="12" xfId="1" applyBorder="1" applyAlignment="1">
      <alignment vertical="top"/>
    </xf>
    <xf numFmtId="0" fontId="12" fillId="0" borderId="12" xfId="1" applyFill="1" applyBorder="1"/>
    <xf numFmtId="0" fontId="12" fillId="0" borderId="12" xfId="1" quotePrefix="1" applyBorder="1"/>
    <xf numFmtId="0" fontId="20" fillId="28" borderId="12" xfId="0" applyFont="1" applyFill="1" applyBorder="1"/>
    <xf numFmtId="0" fontId="21" fillId="0" borderId="12" xfId="1" applyFont="1" applyBorder="1"/>
    <xf numFmtId="0" fontId="16" fillId="0" borderId="0" xfId="0" applyFont="1" applyFill="1" applyBorder="1"/>
    <xf numFmtId="0" fontId="2" fillId="0" borderId="0" xfId="0" applyFont="1" applyFill="1"/>
    <xf numFmtId="0" fontId="7" fillId="14" borderId="2" xfId="0" applyFont="1" applyFill="1" applyBorder="1" applyAlignment="1">
      <alignment horizontal="center" vertical="center"/>
    </xf>
    <xf numFmtId="0" fontId="7" fillId="14" borderId="0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0" xfId="0" applyFont="1" applyFill="1" applyBorder="1"/>
    <xf numFmtId="0" fontId="4" fillId="0" borderId="0" xfId="0" applyFont="1" applyFill="1" applyBorder="1" applyAlignment="1"/>
    <xf numFmtId="0" fontId="6" fillId="0" borderId="0" xfId="0" applyFont="1" applyFill="1" applyBorder="1"/>
    <xf numFmtId="0" fontId="0" fillId="0" borderId="0" xfId="0" applyFill="1" applyBorder="1" applyAlignment="1">
      <alignment horizontal="left" indent="1"/>
    </xf>
    <xf numFmtId="0" fontId="7" fillId="0" borderId="3" xfId="0" applyFont="1" applyFill="1" applyBorder="1" applyAlignment="1">
      <alignment horizontal="center" vertical="center"/>
    </xf>
    <xf numFmtId="0" fontId="0" fillId="0" borderId="4" xfId="0" applyFill="1" applyBorder="1"/>
    <xf numFmtId="0" fontId="2" fillId="0" borderId="4" xfId="0" applyFont="1" applyFill="1" applyBorder="1"/>
    <xf numFmtId="0" fontId="4" fillId="0" borderId="4" xfId="0" applyFont="1" applyFill="1" applyBorder="1" applyAlignment="1"/>
    <xf numFmtId="0" fontId="0" fillId="0" borderId="4" xfId="0" applyBorder="1"/>
    <xf numFmtId="0" fontId="7" fillId="0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3" xfId="0" applyFill="1" applyBorder="1"/>
    <xf numFmtId="0" fontId="2" fillId="0" borderId="3" xfId="0" applyFont="1" applyFill="1" applyBorder="1"/>
    <xf numFmtId="0" fontId="4" fillId="0" borderId="3" xfId="0" applyFont="1" applyFill="1" applyBorder="1" applyAlignment="1"/>
    <xf numFmtId="0" fontId="0" fillId="0" borderId="3" xfId="0" applyBorder="1"/>
    <xf numFmtId="0" fontId="0" fillId="0" borderId="5" xfId="0" applyBorder="1"/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14" fillId="0" borderId="0" xfId="0" applyFont="1"/>
    <xf numFmtId="0" fontId="23" fillId="0" borderId="12" xfId="0" applyFont="1" applyBorder="1"/>
    <xf numFmtId="0" fontId="23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12" xfId="0" applyFont="1" applyFill="1" applyBorder="1"/>
    <xf numFmtId="0" fontId="11" fillId="20" borderId="10" xfId="0" applyFont="1" applyFill="1" applyBorder="1" applyAlignment="1">
      <alignment horizontal="center"/>
    </xf>
    <xf numFmtId="0" fontId="11" fillId="20" borderId="11" xfId="0" applyFont="1" applyFill="1" applyBorder="1" applyAlignment="1">
      <alignment horizontal="center"/>
    </xf>
    <xf numFmtId="0" fontId="11" fillId="20" borderId="9" xfId="0" applyFont="1" applyFill="1" applyBorder="1" applyAlignment="1">
      <alignment horizontal="center"/>
    </xf>
    <xf numFmtId="0" fontId="8" fillId="15" borderId="25" xfId="0" applyFont="1" applyFill="1" applyBorder="1" applyAlignment="1">
      <alignment horizontal="center" wrapText="1"/>
    </xf>
    <xf numFmtId="0" fontId="9" fillId="16" borderId="9" xfId="0" applyFont="1" applyFill="1" applyBorder="1" applyAlignment="1">
      <alignment horizontal="center"/>
    </xf>
    <xf numFmtId="0" fontId="9" fillId="16" borderId="10" xfId="0" applyFont="1" applyFill="1" applyBorder="1" applyAlignment="1">
      <alignment horizontal="center"/>
    </xf>
    <xf numFmtId="0" fontId="9" fillId="16" borderId="11" xfId="0" applyFont="1" applyFill="1" applyBorder="1" applyAlignment="1">
      <alignment horizontal="center"/>
    </xf>
    <xf numFmtId="0" fontId="12" fillId="0" borderId="8" xfId="1" applyBorder="1"/>
    <xf numFmtId="0" fontId="0" fillId="23" borderId="8" xfId="0" applyFill="1" applyBorder="1" applyAlignment="1">
      <alignment horizontal="center" vertical="center"/>
    </xf>
    <xf numFmtId="0" fontId="0" fillId="23" borderId="8" xfId="0" applyFill="1" applyBorder="1"/>
    <xf numFmtId="0" fontId="0" fillId="25" borderId="8" xfId="0" applyFill="1" applyBorder="1" applyAlignment="1">
      <alignment horizontal="center"/>
    </xf>
    <xf numFmtId="0" fontId="0" fillId="22" borderId="8" xfId="0" applyFill="1" applyBorder="1" applyAlignment="1">
      <alignment horizontal="center"/>
    </xf>
    <xf numFmtId="0" fontId="0" fillId="22" borderId="8" xfId="0" applyFill="1" applyBorder="1"/>
    <xf numFmtId="0" fontId="6" fillId="0" borderId="26" xfId="0" applyFont="1" applyBorder="1"/>
    <xf numFmtId="0" fontId="6" fillId="0" borderId="27" xfId="0" applyFont="1" applyBorder="1"/>
    <xf numFmtId="16" fontId="6" fillId="23" borderId="27" xfId="0" applyNumberFormat="1" applyFont="1" applyFill="1" applyBorder="1"/>
    <xf numFmtId="16" fontId="6" fillId="25" borderId="27" xfId="0" applyNumberFormat="1" applyFont="1" applyFill="1" applyBorder="1" applyAlignment="1">
      <alignment horizontal="center"/>
    </xf>
    <xf numFmtId="16" fontId="6" fillId="0" borderId="27" xfId="0" applyNumberFormat="1" applyFont="1" applyBorder="1" applyAlignment="1">
      <alignment horizontal="center"/>
    </xf>
    <xf numFmtId="16" fontId="6" fillId="0" borderId="28" xfId="0" applyNumberFormat="1" applyFont="1" applyBorder="1" applyAlignment="1">
      <alignment horizontal="center"/>
    </xf>
    <xf numFmtId="0" fontId="16" fillId="0" borderId="0" xfId="0" applyFont="1" applyFill="1" applyBorder="1" applyAlignment="1">
      <alignment vertical="center" wrapText="1"/>
    </xf>
    <xf numFmtId="0" fontId="23" fillId="0" borderId="0" xfId="0" applyFont="1" applyBorder="1"/>
    <xf numFmtId="0" fontId="15" fillId="0" borderId="0" xfId="0" applyFont="1" applyFill="1" applyBorder="1"/>
    <xf numFmtId="0" fontId="15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4" fillId="0" borderId="0" xfId="0" applyFont="1" applyFill="1" applyBorder="1" applyAlignment="1">
      <alignment vertical="center" wrapText="1"/>
    </xf>
    <xf numFmtId="0" fontId="14" fillId="0" borderId="0" xfId="0" applyFont="1" applyBorder="1"/>
    <xf numFmtId="0" fontId="24" fillId="0" borderId="0" xfId="0" applyFont="1"/>
    <xf numFmtId="0" fontId="16" fillId="0" borderId="0" xfId="0" applyFont="1" applyAlignment="1"/>
    <xf numFmtId="0" fontId="16" fillId="0" borderId="0" xfId="0" applyFont="1" applyAlignment="1">
      <alignment horizontal="left" indent="1"/>
    </xf>
    <xf numFmtId="0" fontId="24" fillId="0" borderId="0" xfId="0" applyFont="1" applyFill="1"/>
    <xf numFmtId="0" fontId="16" fillId="0" borderId="0" xfId="0" applyFont="1" applyAlignment="1">
      <alignment horizontal="left" vertical="center" wrapText="1"/>
    </xf>
    <xf numFmtId="0" fontId="25" fillId="30" borderId="29" pivotButton="0" quotePrefix="0" xfId="0"/>
    <xf numFmtId="0" fontId="31" fillId="30" borderId="29" pivotButton="0" quotePrefix="0" xfId="0"/>
    <xf numFmtId="0" fontId="32" fillId="30" borderId="29" pivotButton="0" quotePrefix="0" xfId="0"/>
    <xf numFmtId="0" fontId="29" fillId="30" borderId="29" pivotButton="0" quotePrefix="0" xfId="0"/>
    <xf numFmtId="0" fontId="33" fillId="33" borderId="29" applyAlignment="1" pivotButton="0" quotePrefix="0" xfId="0">
      <alignment horizontal="center" vertical="center"/>
    </xf>
    <xf numFmtId="0" fontId="29" fillId="30" borderId="29" applyAlignment="1" pivotButton="0" quotePrefix="0" xfId="0">
      <alignment horizontal="left" vertical="center"/>
    </xf>
    <xf numFmtId="0" fontId="33" fillId="34" borderId="29" applyAlignment="1" pivotButton="0" quotePrefix="0" xfId="0">
      <alignment horizontal="center" vertical="center"/>
    </xf>
    <xf numFmtId="0" fontId="33" fillId="35" borderId="29" applyAlignment="1" pivotButton="0" quotePrefix="0" xfId="0">
      <alignment horizontal="center" vertical="center"/>
    </xf>
    <xf numFmtId="165" fontId="29" fillId="30" borderId="29" pivotButton="0" quotePrefix="0" xfId="0"/>
    <xf numFmtId="0" fontId="34" fillId="32" borderId="30" applyAlignment="1" pivotButton="0" quotePrefix="0" xfId="0">
      <alignment horizontal="center" vertical="center"/>
    </xf>
    <xf numFmtId="0" fontId="25" fillId="32" borderId="30" pivotButton="0" quotePrefix="0" xfId="0"/>
    <xf numFmtId="0" fontId="26" fillId="36" borderId="30" applyAlignment="1" pivotButton="0" quotePrefix="0" xfId="0">
      <alignment horizontal="center" vertical="center"/>
    </xf>
    <xf numFmtId="0" fontId="25" fillId="36" borderId="29" pivotButton="0" quotePrefix="0" xfId="0"/>
    <xf numFmtId="0" fontId="26" fillId="32" borderId="31" applyAlignment="1" pivotButton="0" quotePrefix="0" xfId="0">
      <alignment horizontal="left" vertical="center" wrapText="1"/>
    </xf>
    <xf numFmtId="0" fontId="26" fillId="32" borderId="31" applyAlignment="1" pivotButton="0" quotePrefix="0" xfId="0">
      <alignment horizontal="center" vertical="center" wrapText="1"/>
    </xf>
    <xf numFmtId="0" fontId="33" fillId="32" borderId="32" applyAlignment="1" pivotButton="0" quotePrefix="0" xfId="0">
      <alignment horizontal="center" vertical="center"/>
    </xf>
    <xf numFmtId="0" fontId="35" fillId="32" borderId="29" pivotButton="0" quotePrefix="0" xfId="0"/>
    <xf numFmtId="0" fontId="36" fillId="30" borderId="33" applyAlignment="1" pivotButton="0" quotePrefix="0" xfId="0">
      <alignment vertical="center" wrapText="1"/>
    </xf>
    <xf numFmtId="0" fontId="30" fillId="30" borderId="33" applyAlignment="1" pivotButton="0" quotePrefix="0" xfId="0">
      <alignment vertical="center"/>
    </xf>
    <xf numFmtId="0" fontId="29" fillId="30" borderId="33" applyAlignment="1" pivotButton="0" quotePrefix="0" xfId="0">
      <alignment vertical="center"/>
    </xf>
    <xf numFmtId="0" fontId="37" fillId="30" borderId="33" applyAlignment="1" pivotButton="0" quotePrefix="0" xfId="0">
      <alignment horizontal="center" vertical="center"/>
    </xf>
    <xf numFmtId="166" fontId="29" fillId="30" borderId="33" applyAlignment="1" pivotButton="0" quotePrefix="0" xfId="0">
      <alignment horizontal="center" vertical="center"/>
    </xf>
    <xf numFmtId="0" fontId="33" fillId="30" borderId="34" applyAlignment="1" pivotButton="0" quotePrefix="0" xfId="0">
      <alignment horizontal="center" vertical="center"/>
    </xf>
    <xf numFmtId="0" fontId="36" fillId="30" borderId="29" applyAlignment="1" pivotButton="0" quotePrefix="0" xfId="0">
      <alignment vertical="top"/>
    </xf>
    <xf numFmtId="0" fontId="29" fillId="30" borderId="29" applyAlignment="1" pivotButton="0" quotePrefix="0" xfId="0">
      <alignment vertical="top"/>
    </xf>
    <xf numFmtId="0" fontId="26" fillId="32" borderId="29" applyAlignment="1" pivotButton="0" quotePrefix="0" xfId="0">
      <alignment horizontal="center" vertical="center" wrapText="1"/>
    </xf>
    <xf numFmtId="0" fontId="28" fillId="30" borderId="29" pivotButton="0" quotePrefix="0" xfId="0"/>
    <xf numFmtId="0" fontId="27" fillId="30" borderId="29" pivotButton="0" quotePrefix="0" xfId="0"/>
    <xf numFmtId="0" fontId="30" fillId="30" borderId="29" pivotButton="0" quotePrefix="0" xfId="0"/>
    <xf numFmtId="164" fontId="30" fillId="30" borderId="29" pivotButton="0" quotePrefix="0" xfId="0"/>
  </cellXfs>
  <cellStyles count="2">
    <cellStyle name="Hyperlink" xfId="1" builtinId="8"/>
    <cellStyle name="Normal" xfId="0" builtinId="0"/>
  </cellStyles>
  <dxfs count="6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00FFFFFF"/>
      </font>
      <fill>
        <patternFill>
          <bgColor rgb="002F6FB5"/>
        </patternFill>
      </fill>
      <border>
        <bottom style="thin">
          <color rgb="00D5DBE1"/>
        </bottom>
      </border>
    </dxf>
    <dxf>
      <font>
        <b val="1"/>
        <color rgb="00FFFFFF"/>
      </font>
      <fill>
        <patternFill>
          <bgColor rgb="002E8B57"/>
        </patternFill>
      </fill>
      <border>
        <bottom style="thin">
          <color rgb="00D5DBE1"/>
        </bottom>
      </border>
    </dxf>
    <dxf>
      <font>
        <b val="1"/>
        <color rgb="00FFFFFF"/>
      </font>
      <fill>
        <patternFill>
          <bgColor rgb="006A4C93"/>
        </patternFill>
      </fill>
      <border>
        <bottom style="thin">
          <color rgb="00D5DBE1"/>
        </bottom>
      </border>
    </dxf>
    <dxf>
      <fill>
        <patternFill>
          <bgColor rgb="00FFF3CD"/>
        </patternFill>
      </fill>
      <border>
        <bottom style="thin">
          <color rgb="00D5DBE1"/>
        </bottom>
      </border>
    </dxf>
    <dxf>
      <border>
        <top style="medium">
          <color rgb="001F3B57"/>
        </top>
        <bottom style="thin">
          <color rgb="00D5DBE1"/>
        </bottom>
      </border>
    </dxf>
    <dxf>
      <border>
        <bottom style="thin">
          <color rgb="00D5DBE1"/>
        </bottom>
      </border>
    </dxf>
    <dxf>
      <font>
        <b val="1"/>
        <color rgb="001E6B3D"/>
      </font>
      <fill>
        <patternFill>
          <bgColor rgb="00D6EEDC"/>
        </patternFill>
      </fill>
      <border>
        <bottom style="thin">
          <color rgb="00D5DBE1"/>
        </bottom>
      </border>
    </dxf>
    <dxf>
      <font>
        <b val="1"/>
        <color rgb="008A5300"/>
      </font>
      <fill>
        <patternFill>
          <bgColor rgb="00FCE8CD"/>
        </patternFill>
      </fill>
      <border>
        <bottom style="thin">
          <color rgb="00D5DBE1"/>
        </bottom>
      </border>
    </dxf>
    <dxf>
      <font>
        <b val="1"/>
        <color rgb="006B7785"/>
      </font>
      <fill>
        <patternFill>
          <bgColor rgb="00E7EAEC"/>
        </patternFill>
      </fill>
      <border>
        <bottom style="thin">
          <color rgb="00D5DBE1"/>
        </bottom>
      </border>
    </dxf>
    <dxf>
      <font>
        <b val="1"/>
        <color rgb="001F4E79"/>
      </font>
      <fill>
        <patternFill>
          <bgColor rgb="00DDE9F5"/>
        </patternFill>
      </fill>
      <border>
        <bottom style="thin">
          <color rgb="00D5DBE1"/>
        </bottom>
      </border>
    </dxf>
    <dxf>
      <font>
        <b val="1"/>
        <color rgb="007A4F01"/>
      </font>
      <fill>
        <patternFill>
          <bgColor rgb="00FFF3CD"/>
        </patternFill>
      </fill>
    </dxf>
  </dxfs>
  <tableStyles count="0" defaultTableStyle="TableStyleMedium2" defaultPivotStyle="PivotStyleLight16"/>
  <colors>
    <mruColors>
      <color rgb="FFFFEB9C"/>
      <color rgb="FFC22536"/>
      <color rgb="FFC0452B"/>
      <color rgb="FF82BA5D"/>
      <color rgb="FFA9D08E"/>
      <color rgb="FFFFD6EC"/>
      <color rgb="FFF2F2F2"/>
      <color rgb="FFE2EFDA"/>
    </mru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microsoft.com/office/2017/10/relationships/person" Target="persons/person.xml" /><Relationship Id="rId15" Type="http://schemas.openxmlformats.org/officeDocument/2006/relationships/worksheet" Target="worksheets/sheet900.xml" /><Relationship Id="rId16" Type="http://schemas.openxmlformats.org/officeDocument/2006/relationships/worksheet" Target="worksheets/sheet901.xml" 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5">
  <dgm:title val=""/>
  <dgm:desc val=""/>
  <dgm:catLst>
    <dgm:cat type="accent1" pri="11500"/>
  </dgm:catLst>
  <dgm:styleLbl name="node0">
    <dgm:fillClrLst meth="cycle"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1">
        <a:alpha val="90000"/>
      </a:schemeClr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1">
        <a:alpha val="90000"/>
      </a:schemeClr>
      <a:schemeClr val="accent1">
        <a:alpha val="5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/>
    <dgm:txEffectClrLst/>
  </dgm:styleLbl>
  <dgm:styleLbl name="lnNode1">
    <dgm:fillClrLst>
      <a:schemeClr val="accent1">
        <a:shade val="90000"/>
      </a:schemeClr>
      <a:schemeClr val="accent1">
        <a:alpha val="50000"/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1">
        <a:shade val="80000"/>
        <a:alpha val="50000"/>
      </a:schemeClr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>
        <a:alpha val="3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1">
        <a:tint val="50000"/>
        <a:alpha val="90000"/>
      </a:schemeClr>
      <a:schemeClr val="accent1">
        <a:tint val="20000"/>
        <a:alpha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f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b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sibTrans1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1">
        <a:alpha val="90000"/>
        <a:tint val="40000"/>
      </a:schemeClr>
      <a:schemeClr val="accent1">
        <a:alpha val="5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1612F52-234C-2141-8C7B-7D54F4D59076}" type="doc">
      <dgm:prSet loTypeId="urn:microsoft.com/office/officeart/2024/layout/HorizontalActionList" loCatId="" qsTypeId="urn:microsoft.com/office/officeart/2005/8/quickstyle/simple5" qsCatId="simple" csTypeId="urn:microsoft.com/office/officeart/2005/8/colors/accent1_5" csCatId="accent1" phldr="1"/>
      <dgm:spPr/>
      <dgm:t>
        <a:bodyPr/>
        <a:lstStyle/>
        <a:p>
          <a:endParaRPr lang="en-US"/>
        </a:p>
      </dgm:t>
    </dgm:pt>
    <dgm:pt modelId="{E73A88CA-1EB8-294F-8ECF-07473D6D17A5}">
      <dgm:prSet phldrT="[Text]" custT="1"/>
      <dgm:spPr/>
      <dgm:t>
        <a:bodyPr/>
        <a:lstStyle/>
        <a:p>
          <a:r>
            <a:rPr lang="en-US" sz="2400"/>
            <a:t>Portfolios</a:t>
          </a:r>
        </a:p>
      </dgm:t>
    </dgm:pt>
    <dgm:pt modelId="{45CBB9AD-B352-AD4A-9CF0-14D2076A430F}" type="parTrans" cxnId="{B6AF1A96-C7B0-2944-A1B4-E05547466A42}">
      <dgm:prSet/>
      <dgm:spPr/>
      <dgm:t>
        <a:bodyPr/>
        <a:lstStyle/>
        <a:p>
          <a:endParaRPr lang="en-US"/>
        </a:p>
      </dgm:t>
    </dgm:pt>
    <dgm:pt modelId="{5BA1A021-156D-9343-9D4D-2571E42F1D30}" type="sibTrans" cxnId="{B6AF1A96-C7B0-2944-A1B4-E05547466A42}">
      <dgm:prSet phldrT="1" phldr="0"/>
      <dgm:spPr/>
    </dgm:pt>
    <dgm:pt modelId="{CCDE4DFD-2E1B-5D41-B803-10B2C6B794D5}">
      <dgm:prSet phldrT="[Text]" custT="1"/>
      <dgm:spPr/>
      <dgm:t>
        <a:bodyPr/>
        <a:lstStyle/>
        <a:p>
          <a:r>
            <a:rPr lang="en-US" sz="2000" b="1"/>
            <a:t>Used</a:t>
          </a:r>
          <a:r>
            <a:rPr lang="en-US" sz="2000"/>
            <a:t> - Isaac Mittelman</a:t>
          </a:r>
        </a:p>
      </dgm:t>
    </dgm:pt>
    <dgm:pt modelId="{F4D0F1C9-8D28-4E40-AB0F-ED2AA0185726}" type="parTrans" cxnId="{E8540AD2-F076-5943-B4B3-390275EE29A3}">
      <dgm:prSet/>
      <dgm:spPr/>
      <dgm:t>
        <a:bodyPr/>
        <a:lstStyle/>
        <a:p>
          <a:endParaRPr lang="en-US"/>
        </a:p>
      </dgm:t>
    </dgm:pt>
    <dgm:pt modelId="{441C1B48-C508-3042-9694-6E5D8E69490B}" type="sibTrans" cxnId="{E8540AD2-F076-5943-B4B3-390275EE29A3}">
      <dgm:prSet/>
      <dgm:spPr/>
      <dgm:t>
        <a:bodyPr/>
        <a:lstStyle/>
        <a:p>
          <a:endParaRPr lang="en-US"/>
        </a:p>
      </dgm:t>
    </dgm:pt>
    <dgm:pt modelId="{4E174DEB-3FE1-C847-B335-69EEA40C1AFF}">
      <dgm:prSet phldrT="[Text]" custT="1"/>
      <dgm:spPr/>
      <dgm:t>
        <a:bodyPr/>
        <a:lstStyle/>
        <a:p>
          <a:r>
            <a:rPr lang="en-US" sz="2000" b="1"/>
            <a:t>Find</a:t>
          </a:r>
          <a:r>
            <a:rPr lang="en-US" sz="2000"/>
            <a:t> - Eli Goldstein</a:t>
          </a:r>
        </a:p>
      </dgm:t>
    </dgm:pt>
    <dgm:pt modelId="{EB42EF59-8CFC-9744-85C1-A94BE6FD5AD4}" type="parTrans" cxnId="{1BD51867-641A-F747-AAF8-960E30C2F478}">
      <dgm:prSet/>
      <dgm:spPr/>
      <dgm:t>
        <a:bodyPr/>
        <a:lstStyle/>
        <a:p>
          <a:endParaRPr lang="en-US"/>
        </a:p>
      </dgm:t>
    </dgm:pt>
    <dgm:pt modelId="{87B305F3-CA94-A748-881D-F93F291E111F}" type="sibTrans" cxnId="{1BD51867-641A-F747-AAF8-960E30C2F478}">
      <dgm:prSet/>
      <dgm:spPr/>
      <dgm:t>
        <a:bodyPr/>
        <a:lstStyle/>
        <a:p>
          <a:endParaRPr lang="en-US"/>
        </a:p>
      </dgm:t>
    </dgm:pt>
    <dgm:pt modelId="{BEB8CCBC-00DD-D445-AD9A-A5611DF3A8F0}">
      <dgm:prSet phldrT="[Text]" custT="1"/>
      <dgm:spPr/>
      <dgm:t>
        <a:bodyPr/>
        <a:lstStyle/>
        <a:p>
          <a:r>
            <a:rPr lang="en-US" sz="2400"/>
            <a:t>Themes</a:t>
          </a:r>
        </a:p>
      </dgm:t>
    </dgm:pt>
    <dgm:pt modelId="{A184216D-A49D-AF4E-B7DC-60BF70A91683}" type="parTrans" cxnId="{36788808-543A-C148-9F6C-B6EB58DD6CBB}">
      <dgm:prSet/>
      <dgm:spPr/>
      <dgm:t>
        <a:bodyPr/>
        <a:lstStyle/>
        <a:p>
          <a:endParaRPr lang="en-US"/>
        </a:p>
      </dgm:t>
    </dgm:pt>
    <dgm:pt modelId="{696FEF52-F6CE-B742-8ABE-D54CCAB327C4}" type="sibTrans" cxnId="{36788808-543A-C148-9F6C-B6EB58DD6CBB}">
      <dgm:prSet phldrT="2" phldr="0"/>
      <dgm:spPr/>
    </dgm:pt>
    <dgm:pt modelId="{EE405F44-65F1-074A-B2CF-AC9E1093FF81}">
      <dgm:prSet phldrT="[Text]" custT="1"/>
      <dgm:spPr/>
      <dgm:t>
        <a:bodyPr/>
        <a:lstStyle/>
        <a:p>
          <a:r>
            <a:rPr lang="en-US" sz="2000"/>
            <a:t>Increase Awareness</a:t>
          </a:r>
        </a:p>
      </dgm:t>
    </dgm:pt>
    <dgm:pt modelId="{D5A786D1-B84C-AE44-B0C1-ACE319630D0A}" type="parTrans" cxnId="{03B2057B-7019-7840-9CE9-A72F763BB50C}">
      <dgm:prSet/>
      <dgm:spPr/>
      <dgm:t>
        <a:bodyPr/>
        <a:lstStyle/>
        <a:p>
          <a:endParaRPr lang="en-US"/>
        </a:p>
      </dgm:t>
    </dgm:pt>
    <dgm:pt modelId="{E70133D5-01DB-4C4A-BE1D-1ADB93D0DC72}" type="sibTrans" cxnId="{03B2057B-7019-7840-9CE9-A72F763BB50C}">
      <dgm:prSet/>
      <dgm:spPr/>
      <dgm:t>
        <a:bodyPr/>
        <a:lstStyle/>
        <a:p>
          <a:endParaRPr lang="en-US"/>
        </a:p>
      </dgm:t>
    </dgm:pt>
    <dgm:pt modelId="{91087808-874D-1744-998A-127D7DC581F1}">
      <dgm:prSet phldrT="[Text]" custT="1"/>
      <dgm:spPr/>
      <dgm:t>
        <a:bodyPr/>
        <a:lstStyle/>
        <a:p>
          <a:r>
            <a:rPr lang="en-US" sz="2000"/>
            <a:t>Improve User Flow</a:t>
          </a:r>
        </a:p>
      </dgm:t>
    </dgm:pt>
    <dgm:pt modelId="{484822E6-8465-884C-89FD-55421D13C88F}" type="parTrans" cxnId="{73CB1207-6E02-D44F-931E-ED177573F2F1}">
      <dgm:prSet/>
      <dgm:spPr/>
      <dgm:t>
        <a:bodyPr/>
        <a:lstStyle/>
        <a:p>
          <a:endParaRPr lang="en-US"/>
        </a:p>
      </dgm:t>
    </dgm:pt>
    <dgm:pt modelId="{301FB0F9-FD1D-5743-BD7B-079CDE08FDA6}" type="sibTrans" cxnId="{73CB1207-6E02-D44F-931E-ED177573F2F1}">
      <dgm:prSet/>
      <dgm:spPr/>
      <dgm:t>
        <a:bodyPr/>
        <a:lstStyle/>
        <a:p>
          <a:endParaRPr lang="en-US"/>
        </a:p>
      </dgm:t>
    </dgm:pt>
    <dgm:pt modelId="{75867D3A-F27F-3548-8145-82326C585F90}">
      <dgm:prSet phldrT="[Text]" custT="1"/>
      <dgm:spPr/>
      <dgm:t>
        <a:bodyPr/>
        <a:lstStyle/>
        <a:p>
          <a:r>
            <a:rPr lang="en-US" sz="2400"/>
            <a:t>Metrics</a:t>
          </a:r>
        </a:p>
      </dgm:t>
    </dgm:pt>
    <dgm:pt modelId="{DD06C621-6647-494B-8B09-F0F2FEC9D38B}" type="parTrans" cxnId="{91572D97-96B2-E24C-8A65-B5DEC6D12B29}">
      <dgm:prSet/>
      <dgm:spPr/>
      <dgm:t>
        <a:bodyPr/>
        <a:lstStyle/>
        <a:p>
          <a:endParaRPr lang="en-US"/>
        </a:p>
      </dgm:t>
    </dgm:pt>
    <dgm:pt modelId="{13310445-3BF4-2148-A306-5C45908AE28C}" type="sibTrans" cxnId="{91572D97-96B2-E24C-8A65-B5DEC6D12B29}">
      <dgm:prSet phldrT="3" phldr="0"/>
      <dgm:spPr/>
    </dgm:pt>
    <dgm:pt modelId="{E55D85D8-253E-E241-A687-B093866560DD}">
      <dgm:prSet phldrT="[Text]" custT="1"/>
      <dgm:spPr/>
      <dgm:t>
        <a:bodyPr/>
        <a:lstStyle/>
        <a:p>
          <a:r>
            <a:rPr lang="en-US" sz="2000"/>
            <a:t>Adoption</a:t>
          </a:r>
        </a:p>
      </dgm:t>
    </dgm:pt>
    <dgm:pt modelId="{9AA48CB5-DD1D-9643-A782-923B5CFAF02B}" type="parTrans" cxnId="{A96085D0-7E98-F247-A17A-B0127EB5B8C4}">
      <dgm:prSet/>
      <dgm:spPr/>
      <dgm:t>
        <a:bodyPr/>
        <a:lstStyle/>
        <a:p>
          <a:endParaRPr lang="en-US"/>
        </a:p>
      </dgm:t>
    </dgm:pt>
    <dgm:pt modelId="{7A12488D-ABE4-7045-8D87-2F2292B75A27}" type="sibTrans" cxnId="{A96085D0-7E98-F247-A17A-B0127EB5B8C4}">
      <dgm:prSet/>
      <dgm:spPr/>
      <dgm:t>
        <a:bodyPr/>
        <a:lstStyle/>
        <a:p>
          <a:endParaRPr lang="en-US"/>
        </a:p>
      </dgm:t>
    </dgm:pt>
    <dgm:pt modelId="{2E458F7C-9C1A-AA4A-BD82-BDBDCAEEF0FE}">
      <dgm:prSet phldrT="[Text]" custT="1"/>
      <dgm:spPr/>
      <dgm:t>
        <a:bodyPr/>
        <a:lstStyle/>
        <a:p>
          <a:r>
            <a:rPr lang="en-US" sz="2000"/>
            <a:t>Impact</a:t>
          </a:r>
        </a:p>
      </dgm:t>
    </dgm:pt>
    <dgm:pt modelId="{CE78A2F4-457B-C048-BFA2-7BB42F6A7640}" type="parTrans" cxnId="{E58CD0A4-BE0E-1244-99B1-553ACC3577DC}">
      <dgm:prSet/>
      <dgm:spPr/>
      <dgm:t>
        <a:bodyPr/>
        <a:lstStyle/>
        <a:p>
          <a:endParaRPr lang="en-US"/>
        </a:p>
      </dgm:t>
    </dgm:pt>
    <dgm:pt modelId="{961A2021-A909-644E-82A5-0836DB8C20DF}" type="sibTrans" cxnId="{E58CD0A4-BE0E-1244-99B1-553ACC3577DC}">
      <dgm:prSet/>
      <dgm:spPr/>
      <dgm:t>
        <a:bodyPr/>
        <a:lstStyle/>
        <a:p>
          <a:endParaRPr lang="en-US"/>
        </a:p>
      </dgm:t>
    </dgm:pt>
    <dgm:pt modelId="{07A36E04-CF7B-4440-B096-220F8869BE9C}">
      <dgm:prSet phldrT="[Text]" custT="1"/>
      <dgm:spPr/>
      <dgm:t>
        <a:bodyPr/>
        <a:lstStyle/>
        <a:p>
          <a:r>
            <a:rPr lang="en-US" sz="2400"/>
            <a:t>GA4</a:t>
          </a:r>
        </a:p>
      </dgm:t>
    </dgm:pt>
    <dgm:pt modelId="{34B86729-4D35-A349-9982-68AE221F82AB}" type="parTrans" cxnId="{BAF75D65-7227-BB4D-9F0C-2103E7CB8C60}">
      <dgm:prSet/>
      <dgm:spPr/>
      <dgm:t>
        <a:bodyPr/>
        <a:lstStyle/>
        <a:p>
          <a:endParaRPr lang="en-US"/>
        </a:p>
      </dgm:t>
    </dgm:pt>
    <dgm:pt modelId="{F6CC92EA-ADFF-1B44-8CBC-39904476D671}" type="sibTrans" cxnId="{BAF75D65-7227-BB4D-9F0C-2103E7CB8C60}">
      <dgm:prSet phldrT="5" phldr="0"/>
      <dgm:spPr/>
    </dgm:pt>
    <dgm:pt modelId="{FE952394-0880-0549-9C6C-416B14DC48CD}">
      <dgm:prSet phldrT="[Text]" custT="1"/>
      <dgm:spPr/>
      <dgm:t>
        <a:bodyPr/>
        <a:lstStyle/>
        <a:p>
          <a:r>
            <a:rPr lang="en-US" sz="2000" b="1"/>
            <a:t>B2B</a:t>
          </a:r>
          <a:r>
            <a:rPr lang="en-US" sz="2000"/>
            <a:t> - Danielo Garcia - The Studio B&amp;H, Kailee Richey - EDU, Rachel DiCastro - School Safety, Ariel Goldman - B2B Hub</a:t>
          </a:r>
        </a:p>
      </dgm:t>
    </dgm:pt>
    <dgm:pt modelId="{33DCBC9A-62C9-094C-A92D-BD388BF998A3}" type="parTrans" cxnId="{F4E0C42C-19F0-6D42-A8BA-B12F9A90E3F9}">
      <dgm:prSet/>
      <dgm:spPr/>
      <dgm:t>
        <a:bodyPr/>
        <a:lstStyle/>
        <a:p>
          <a:endParaRPr lang="en-US"/>
        </a:p>
      </dgm:t>
    </dgm:pt>
    <dgm:pt modelId="{C8DAF2C2-AF7B-2449-B2E3-E08EDD2226A9}" type="sibTrans" cxnId="{F4E0C42C-19F0-6D42-A8BA-B12F9A90E3F9}">
      <dgm:prSet/>
      <dgm:spPr/>
      <dgm:t>
        <a:bodyPr/>
        <a:lstStyle/>
        <a:p>
          <a:endParaRPr lang="en-US"/>
        </a:p>
      </dgm:t>
    </dgm:pt>
    <dgm:pt modelId="{5B05B22C-733C-5348-8BE5-94704A367077}">
      <dgm:prSet phldrT="[Text]" custT="1"/>
      <dgm:spPr/>
      <dgm:t>
        <a:bodyPr/>
        <a:lstStyle/>
        <a:p>
          <a:r>
            <a:rPr lang="en-US" sz="2000"/>
            <a:t>Increase Reactivation</a:t>
          </a:r>
        </a:p>
        <a:p>
          <a:r>
            <a:rPr lang="en-US" sz="2000"/>
            <a:t>Increase Acquisition</a:t>
          </a:r>
        </a:p>
      </dgm:t>
    </dgm:pt>
    <dgm:pt modelId="{515FBE73-2C7F-1F45-8691-8FE1A2D51AFD}" type="parTrans" cxnId="{90EE56DE-C3FA-B544-AB47-782349A04393}">
      <dgm:prSet/>
      <dgm:spPr/>
      <dgm:t>
        <a:bodyPr/>
        <a:lstStyle/>
        <a:p>
          <a:endParaRPr lang="en-US"/>
        </a:p>
      </dgm:t>
    </dgm:pt>
    <dgm:pt modelId="{C8AC27C6-5C08-9045-8AED-33E1A79E4015}" type="sibTrans" cxnId="{90EE56DE-C3FA-B544-AB47-782349A04393}">
      <dgm:prSet/>
      <dgm:spPr/>
      <dgm:t>
        <a:bodyPr/>
        <a:lstStyle/>
        <a:p>
          <a:endParaRPr lang="en-US"/>
        </a:p>
      </dgm:t>
    </dgm:pt>
    <dgm:pt modelId="{D7E1FB30-4EC7-F142-83B6-1846662D3DE0}">
      <dgm:prSet phldrT="[Text]" custT="1"/>
      <dgm:spPr/>
      <dgm:t>
        <a:bodyPr/>
        <a:lstStyle/>
        <a:p>
          <a:r>
            <a:rPr lang="en-US" sz="2000"/>
            <a:t>Improve Search &amp; Findability</a:t>
          </a:r>
        </a:p>
      </dgm:t>
    </dgm:pt>
    <dgm:pt modelId="{9898F444-5325-6E43-BF9C-51085F39471E}" type="parTrans" cxnId="{AE33C6EA-26ED-9041-A0A0-66CB23C298DC}">
      <dgm:prSet/>
      <dgm:spPr/>
      <dgm:t>
        <a:bodyPr/>
        <a:lstStyle/>
        <a:p>
          <a:endParaRPr lang="en-US"/>
        </a:p>
      </dgm:t>
    </dgm:pt>
    <dgm:pt modelId="{E8EC6E11-E1AD-3341-8552-AC80B7916ED5}" type="sibTrans" cxnId="{AE33C6EA-26ED-9041-A0A0-66CB23C298DC}">
      <dgm:prSet/>
      <dgm:spPr/>
      <dgm:t>
        <a:bodyPr/>
        <a:lstStyle/>
        <a:p>
          <a:endParaRPr lang="en-US"/>
        </a:p>
      </dgm:t>
    </dgm:pt>
    <dgm:pt modelId="{AD87869B-3A0D-0E4F-A03C-1032C0B93A0C}">
      <dgm:prSet phldrT="[Text]" custT="1"/>
      <dgm:spPr/>
      <dgm:t>
        <a:bodyPr/>
        <a:lstStyle/>
        <a:p>
          <a:r>
            <a:rPr lang="en-US" sz="2400"/>
            <a:t>Components</a:t>
          </a:r>
        </a:p>
      </dgm:t>
    </dgm:pt>
    <dgm:pt modelId="{A470B52C-2749-1341-82BE-26C5880A6F15}" type="parTrans" cxnId="{5AB946CA-266D-B84B-B48D-B1827EDC2FA0}">
      <dgm:prSet/>
      <dgm:spPr/>
      <dgm:t>
        <a:bodyPr/>
        <a:lstStyle/>
        <a:p>
          <a:endParaRPr lang="en-US"/>
        </a:p>
      </dgm:t>
    </dgm:pt>
    <dgm:pt modelId="{18D4B0C3-5BE2-8D46-AD72-504050400BBD}" type="sibTrans" cxnId="{5AB946CA-266D-B84B-B48D-B1827EDC2FA0}">
      <dgm:prSet phldrT="4" phldr="0"/>
      <dgm:spPr/>
    </dgm:pt>
    <dgm:pt modelId="{3EAB79CB-EB45-9649-A2F3-0A2209C06874}">
      <dgm:prSet phldrT="[Text]" custT="1"/>
      <dgm:spPr/>
      <dgm:t>
        <a:bodyPr/>
        <a:lstStyle/>
        <a:p>
          <a:r>
            <a:rPr lang="en-US" sz="2000"/>
            <a:t>PLP</a:t>
          </a:r>
        </a:p>
      </dgm:t>
    </dgm:pt>
    <dgm:pt modelId="{1FA7D950-1903-3040-A3C0-4A08485F104D}" type="parTrans" cxnId="{9F62EE6A-D3BF-1148-8E01-F1AD96A0E9D6}">
      <dgm:prSet/>
      <dgm:spPr/>
      <dgm:t>
        <a:bodyPr/>
        <a:lstStyle/>
        <a:p>
          <a:endParaRPr lang="en-US"/>
        </a:p>
      </dgm:t>
    </dgm:pt>
    <dgm:pt modelId="{23B7371F-0F85-CE4D-A120-1AA6784283D7}" type="sibTrans" cxnId="{9F62EE6A-D3BF-1148-8E01-F1AD96A0E9D6}">
      <dgm:prSet/>
      <dgm:spPr/>
      <dgm:t>
        <a:bodyPr/>
        <a:lstStyle/>
        <a:p>
          <a:endParaRPr lang="en-US"/>
        </a:p>
      </dgm:t>
    </dgm:pt>
    <dgm:pt modelId="{D08992F8-BDBB-004F-AECC-50B975A4ED3B}">
      <dgm:prSet phldrT="[Text]" custT="1"/>
      <dgm:spPr/>
      <dgm:t>
        <a:bodyPr/>
        <a:lstStyle/>
        <a:p>
          <a:r>
            <a:rPr lang="en-US" sz="2000"/>
            <a:t>PDP</a:t>
          </a:r>
        </a:p>
      </dgm:t>
    </dgm:pt>
    <dgm:pt modelId="{A0F8F0AF-4CE2-404A-88D3-269E11487AD2}" type="parTrans" cxnId="{B446557E-1B10-2A45-BA45-E5DB36C7E1C4}">
      <dgm:prSet/>
      <dgm:spPr/>
      <dgm:t>
        <a:bodyPr/>
        <a:lstStyle/>
        <a:p>
          <a:endParaRPr lang="en-US"/>
        </a:p>
      </dgm:t>
    </dgm:pt>
    <dgm:pt modelId="{3EB103D6-7719-5B4C-8C65-95270BFFAA33}" type="sibTrans" cxnId="{B446557E-1B10-2A45-BA45-E5DB36C7E1C4}">
      <dgm:prSet/>
      <dgm:spPr/>
      <dgm:t>
        <a:bodyPr/>
        <a:lstStyle/>
        <a:p>
          <a:endParaRPr lang="en-US"/>
        </a:p>
      </dgm:t>
    </dgm:pt>
    <dgm:pt modelId="{1A2E09FE-5BAD-0043-8906-FAACA506B185}">
      <dgm:prSet phldrT="[Text]" custT="1"/>
      <dgm:spPr/>
      <dgm:t>
        <a:bodyPr/>
        <a:lstStyle/>
        <a:p>
          <a:r>
            <a:rPr lang="en-US" sz="2000"/>
            <a:t>CTA</a:t>
          </a:r>
        </a:p>
      </dgm:t>
    </dgm:pt>
    <dgm:pt modelId="{19E63FC8-E0B6-4748-88C1-BF10C0F9EE56}" type="parTrans" cxnId="{D6ED251E-D4C4-1649-B0E1-0BC2D348FB2B}">
      <dgm:prSet/>
      <dgm:spPr/>
      <dgm:t>
        <a:bodyPr/>
        <a:lstStyle/>
        <a:p>
          <a:endParaRPr lang="en-US"/>
        </a:p>
      </dgm:t>
    </dgm:pt>
    <dgm:pt modelId="{3E6378C4-CF5F-D142-9A86-55C1850B8672}" type="sibTrans" cxnId="{D6ED251E-D4C4-1649-B0E1-0BC2D348FB2B}">
      <dgm:prSet/>
      <dgm:spPr/>
      <dgm:t>
        <a:bodyPr/>
        <a:lstStyle/>
        <a:p>
          <a:endParaRPr lang="en-US"/>
        </a:p>
      </dgm:t>
    </dgm:pt>
    <dgm:pt modelId="{345DA019-8CD4-4940-9558-C53C95994DC5}">
      <dgm:prSet phldrT="[Text]" custT="1"/>
      <dgm:spPr/>
      <dgm:t>
        <a:bodyPr/>
        <a:lstStyle/>
        <a:p>
          <a:r>
            <a:rPr lang="en-US" sz="2000"/>
            <a:t>Banner</a:t>
          </a:r>
        </a:p>
      </dgm:t>
    </dgm:pt>
    <dgm:pt modelId="{98C89D6D-25C2-5D43-BD59-03CAD0D78E9D}" type="parTrans" cxnId="{65D20BE9-F014-C347-B877-5A1339179F2D}">
      <dgm:prSet/>
      <dgm:spPr/>
      <dgm:t>
        <a:bodyPr/>
        <a:lstStyle/>
        <a:p>
          <a:endParaRPr lang="en-US"/>
        </a:p>
      </dgm:t>
    </dgm:pt>
    <dgm:pt modelId="{889A38C9-ED19-6949-9AD2-F8B1E4CC8C4B}" type="sibTrans" cxnId="{65D20BE9-F014-C347-B877-5A1339179F2D}">
      <dgm:prSet/>
      <dgm:spPr/>
      <dgm:t>
        <a:bodyPr/>
        <a:lstStyle/>
        <a:p>
          <a:endParaRPr lang="en-US"/>
        </a:p>
      </dgm:t>
    </dgm:pt>
    <dgm:pt modelId="{31E89515-660A-CE40-BB52-7F8A1FB0FD4D}">
      <dgm:prSet phldrT="[Text]" custT="1"/>
      <dgm:spPr/>
      <dgm:t>
        <a:bodyPr/>
        <a:lstStyle/>
        <a:p>
          <a:r>
            <a:rPr lang="en-US" sz="2000"/>
            <a:t>Event Name</a:t>
          </a:r>
        </a:p>
      </dgm:t>
    </dgm:pt>
    <dgm:pt modelId="{860FC772-53AD-A445-8420-E5CFCF3C76F9}" type="parTrans" cxnId="{28E5340D-6B7A-1D43-BC9E-325CD297BCF0}">
      <dgm:prSet/>
      <dgm:spPr/>
      <dgm:t>
        <a:bodyPr/>
        <a:lstStyle/>
        <a:p>
          <a:endParaRPr lang="en-US"/>
        </a:p>
      </dgm:t>
    </dgm:pt>
    <dgm:pt modelId="{466CAD51-328E-3F49-B4D5-F0A95B629272}" type="sibTrans" cxnId="{28E5340D-6B7A-1D43-BC9E-325CD297BCF0}">
      <dgm:prSet/>
      <dgm:spPr/>
      <dgm:t>
        <a:bodyPr/>
        <a:lstStyle/>
        <a:p>
          <a:endParaRPr lang="en-US"/>
        </a:p>
      </dgm:t>
    </dgm:pt>
    <dgm:pt modelId="{E1F05352-CE41-8740-918E-12446EB6A27B}">
      <dgm:prSet phldrT="[Text]" custT="1"/>
      <dgm:spPr/>
      <dgm:t>
        <a:bodyPr/>
        <a:lstStyle/>
        <a:p>
          <a:r>
            <a:rPr lang="en-US" sz="2000"/>
            <a:t>Component</a:t>
          </a:r>
        </a:p>
      </dgm:t>
    </dgm:pt>
    <dgm:pt modelId="{3827E87F-4F1B-D442-88F4-AFAC62A4CCA0}" type="parTrans" cxnId="{6E55E2D5-FB42-9D46-94F3-CF72C50EF4EA}">
      <dgm:prSet/>
      <dgm:spPr/>
      <dgm:t>
        <a:bodyPr/>
        <a:lstStyle/>
        <a:p>
          <a:endParaRPr lang="en-US"/>
        </a:p>
      </dgm:t>
    </dgm:pt>
    <dgm:pt modelId="{5ED47843-BE80-F745-8082-40A6889AC4CE}" type="sibTrans" cxnId="{6E55E2D5-FB42-9D46-94F3-CF72C50EF4EA}">
      <dgm:prSet/>
      <dgm:spPr/>
      <dgm:t>
        <a:bodyPr/>
        <a:lstStyle/>
        <a:p>
          <a:endParaRPr lang="en-US"/>
        </a:p>
      </dgm:t>
    </dgm:pt>
    <dgm:pt modelId="{B632ACC1-E52B-8F43-8D77-1900AD2B68B3}">
      <dgm:prSet phldrT="[Text]" custT="1"/>
      <dgm:spPr/>
      <dgm:t>
        <a:bodyPr/>
        <a:lstStyle/>
        <a:p>
          <a:r>
            <a:rPr lang="en-US" sz="2000"/>
            <a:t>Page Type</a:t>
          </a:r>
        </a:p>
      </dgm:t>
    </dgm:pt>
    <dgm:pt modelId="{4F521BE2-E43D-B44A-BE9C-2C4BAB0A084B}" type="parTrans" cxnId="{66CED186-16CB-9A48-9110-2EC589BFF850}">
      <dgm:prSet/>
      <dgm:spPr/>
      <dgm:t>
        <a:bodyPr/>
        <a:lstStyle/>
        <a:p>
          <a:endParaRPr lang="en-US"/>
        </a:p>
      </dgm:t>
    </dgm:pt>
    <dgm:pt modelId="{EBBE2E8A-89C2-154B-B269-BBBC85DDB0F8}" type="sibTrans" cxnId="{66CED186-16CB-9A48-9110-2EC589BFF850}">
      <dgm:prSet/>
      <dgm:spPr/>
      <dgm:t>
        <a:bodyPr/>
        <a:lstStyle/>
        <a:p>
          <a:endParaRPr lang="en-US"/>
        </a:p>
      </dgm:t>
    </dgm:pt>
    <dgm:pt modelId="{8EEC38C7-6412-C541-BC32-51C0201A0599}">
      <dgm:prSet phldrT="[Text]" custT="1"/>
      <dgm:spPr/>
      <dgm:t>
        <a:bodyPr/>
        <a:lstStyle/>
        <a:p>
          <a:r>
            <a:rPr lang="en-US" sz="2400"/>
            <a:t>Roadmap </a:t>
          </a:r>
        </a:p>
      </dgm:t>
    </dgm:pt>
    <dgm:pt modelId="{77DE5599-143B-1B46-B450-CDDBB84B4E5C}" type="parTrans" cxnId="{AA29C513-7A12-2B44-A8F1-7067B0F1BD1F}">
      <dgm:prSet/>
      <dgm:spPr/>
      <dgm:t>
        <a:bodyPr/>
        <a:lstStyle/>
        <a:p>
          <a:endParaRPr lang="en-US"/>
        </a:p>
      </dgm:t>
    </dgm:pt>
    <dgm:pt modelId="{42B584B2-1583-9C4D-B654-1D9DC098FEAC}" type="sibTrans" cxnId="{AA29C513-7A12-2B44-A8F1-7067B0F1BD1F}">
      <dgm:prSet/>
      <dgm:spPr/>
      <dgm:t>
        <a:bodyPr/>
        <a:lstStyle/>
        <a:p>
          <a:endParaRPr lang="en-US"/>
        </a:p>
      </dgm:t>
    </dgm:pt>
    <dgm:pt modelId="{838F359B-E822-CA44-8C8F-C0663DD10C49}">
      <dgm:prSet/>
      <dgm:spPr/>
      <dgm:t>
        <a:bodyPr/>
        <a:lstStyle/>
        <a:p>
          <a:endParaRPr lang="en-US"/>
        </a:p>
      </dgm:t>
    </dgm:pt>
    <dgm:pt modelId="{5E36BF8E-99DF-D74B-875E-B8B52195D98F}" type="parTrans" cxnId="{A6A6CF71-7B6B-4E4C-9C2E-C713A3EDDA06}">
      <dgm:prSet/>
      <dgm:spPr/>
      <dgm:t>
        <a:bodyPr/>
        <a:lstStyle/>
        <a:p>
          <a:endParaRPr lang="en-US"/>
        </a:p>
      </dgm:t>
    </dgm:pt>
    <dgm:pt modelId="{38B20DA5-B9BF-FD41-9D01-98BA219291ED}" type="sibTrans" cxnId="{A6A6CF71-7B6B-4E4C-9C2E-C713A3EDDA06}">
      <dgm:prSet/>
      <dgm:spPr/>
      <dgm:t>
        <a:bodyPr/>
        <a:lstStyle/>
        <a:p>
          <a:endParaRPr lang="en-US"/>
        </a:p>
      </dgm:t>
    </dgm:pt>
    <dgm:pt modelId="{5F9EC1CF-A5DB-234B-B634-A3D94C54CBF6}" type="pres">
      <dgm:prSet presAssocID="{F1612F52-234C-2141-8C7B-7D54F4D59076}" presName="Name0" presStyleCnt="0">
        <dgm:presLayoutVars>
          <dgm:dir/>
          <dgm:animLvl val="lvl"/>
          <dgm:resizeHandles val="exact"/>
        </dgm:presLayoutVars>
      </dgm:prSet>
      <dgm:spPr/>
    </dgm:pt>
    <dgm:pt modelId="{4D2723EA-C21F-5D4E-8004-31926F4D1343}" type="pres">
      <dgm:prSet presAssocID="{E73A88CA-1EB8-294F-8ECF-07473D6D17A5}" presName="composite" presStyleCnt="0"/>
      <dgm:spPr/>
    </dgm:pt>
    <dgm:pt modelId="{A43AEC31-881E-464B-8139-BAED7279CB01}" type="pres">
      <dgm:prSet presAssocID="{E73A88CA-1EB8-294F-8ECF-07473D6D17A5}" presName="parTx" presStyleLbl="alignNode1" presStyleIdx="0" presStyleCnt="6">
        <dgm:presLayoutVars>
          <dgm:chMax val="0"/>
          <dgm:chPref val="0"/>
        </dgm:presLayoutVars>
      </dgm:prSet>
      <dgm:spPr/>
    </dgm:pt>
    <dgm:pt modelId="{ABCEB2D3-D845-5246-9E2C-4E01AB5341F0}" type="pres">
      <dgm:prSet presAssocID="{E73A88CA-1EB8-294F-8ECF-07473D6D17A5}" presName="bgOutline" presStyleLbl="fgAcc1" presStyleIdx="0" presStyleCnt="6">
        <dgm:presLayoutVars>
          <dgm:bulletEnabled/>
        </dgm:presLayoutVars>
      </dgm:prSet>
      <dgm:spPr/>
    </dgm:pt>
    <dgm:pt modelId="{643C81B4-41F8-3848-A745-B552BEB90497}" type="pres">
      <dgm:prSet presAssocID="{5BA1A021-156D-9343-9D4D-2571E42F1D30}" presName="space" presStyleCnt="0"/>
      <dgm:spPr/>
    </dgm:pt>
    <dgm:pt modelId="{D26ABEA2-C65B-D244-B802-5E27C9F13AD8}" type="pres">
      <dgm:prSet presAssocID="{BEB8CCBC-00DD-D445-AD9A-A5611DF3A8F0}" presName="composite" presStyleCnt="0"/>
      <dgm:spPr/>
    </dgm:pt>
    <dgm:pt modelId="{6B12D967-7C08-0E46-A9A8-85EA6BDA5BC8}" type="pres">
      <dgm:prSet presAssocID="{BEB8CCBC-00DD-D445-AD9A-A5611DF3A8F0}" presName="parTx" presStyleLbl="alignNode1" presStyleIdx="1" presStyleCnt="6">
        <dgm:presLayoutVars>
          <dgm:chMax val="0"/>
          <dgm:chPref val="0"/>
        </dgm:presLayoutVars>
      </dgm:prSet>
      <dgm:spPr/>
    </dgm:pt>
    <dgm:pt modelId="{E8DCCF41-854F-2F4F-ACB7-35F95962CD9C}" type="pres">
      <dgm:prSet presAssocID="{BEB8CCBC-00DD-D445-AD9A-A5611DF3A8F0}" presName="bgOutline" presStyleLbl="fgAcc1" presStyleIdx="1" presStyleCnt="6">
        <dgm:presLayoutVars>
          <dgm:bulletEnabled/>
        </dgm:presLayoutVars>
      </dgm:prSet>
      <dgm:spPr/>
    </dgm:pt>
    <dgm:pt modelId="{CB6E908F-D245-244E-972C-6114C51F1079}" type="pres">
      <dgm:prSet presAssocID="{696FEF52-F6CE-B742-8ABE-D54CCAB327C4}" presName="space" presStyleCnt="0"/>
      <dgm:spPr/>
    </dgm:pt>
    <dgm:pt modelId="{7D4C02D7-4B10-ED4B-B3EE-1CA6A081BF82}" type="pres">
      <dgm:prSet presAssocID="{8EEC38C7-6412-C541-BC32-51C0201A0599}" presName="composite" presStyleCnt="0"/>
      <dgm:spPr/>
    </dgm:pt>
    <dgm:pt modelId="{516746DD-69D0-E74E-B2D3-3C2783191F3B}" type="pres">
      <dgm:prSet presAssocID="{8EEC38C7-6412-C541-BC32-51C0201A0599}" presName="parTx" presStyleLbl="alignNode1" presStyleIdx="2" presStyleCnt="6">
        <dgm:presLayoutVars>
          <dgm:chMax val="0"/>
          <dgm:chPref val="0"/>
        </dgm:presLayoutVars>
      </dgm:prSet>
      <dgm:spPr/>
    </dgm:pt>
    <dgm:pt modelId="{D46AE679-08A1-E94C-87A0-6593CFDBFB5C}" type="pres">
      <dgm:prSet presAssocID="{8EEC38C7-6412-C541-BC32-51C0201A0599}" presName="bgOutline" presStyleLbl="fgAcc1" presStyleIdx="2" presStyleCnt="6">
        <dgm:presLayoutVars>
          <dgm:bulletEnabled/>
        </dgm:presLayoutVars>
      </dgm:prSet>
      <dgm:spPr/>
    </dgm:pt>
    <dgm:pt modelId="{AC08F8DD-2362-DA4D-B1FB-6C8E1C5FE993}" type="pres">
      <dgm:prSet presAssocID="{42B584B2-1583-9C4D-B654-1D9DC098FEAC}" presName="space" presStyleCnt="0"/>
      <dgm:spPr/>
    </dgm:pt>
    <dgm:pt modelId="{650D170A-E5B8-0645-9741-DC65EFAB4FDA}" type="pres">
      <dgm:prSet presAssocID="{75867D3A-F27F-3548-8145-82326C585F90}" presName="composite" presStyleCnt="0"/>
      <dgm:spPr/>
    </dgm:pt>
    <dgm:pt modelId="{CBA54FD0-8649-8B46-8731-481C940FB1B5}" type="pres">
      <dgm:prSet presAssocID="{75867D3A-F27F-3548-8145-82326C585F90}" presName="parTx" presStyleLbl="alignNode1" presStyleIdx="3" presStyleCnt="6">
        <dgm:presLayoutVars>
          <dgm:chMax val="0"/>
          <dgm:chPref val="0"/>
        </dgm:presLayoutVars>
      </dgm:prSet>
      <dgm:spPr/>
    </dgm:pt>
    <dgm:pt modelId="{7C72AFED-13FD-FE41-98E6-4CA8FE290E66}" type="pres">
      <dgm:prSet presAssocID="{75867D3A-F27F-3548-8145-82326C585F90}" presName="bgOutline" presStyleLbl="fgAcc1" presStyleIdx="3" presStyleCnt="6" custLinFactNeighborY="-1299">
        <dgm:presLayoutVars>
          <dgm:bulletEnabled/>
        </dgm:presLayoutVars>
      </dgm:prSet>
      <dgm:spPr/>
    </dgm:pt>
    <dgm:pt modelId="{9BC575F5-CC84-DD43-9EED-CD21321BA647}" type="pres">
      <dgm:prSet presAssocID="{13310445-3BF4-2148-A306-5C45908AE28C}" presName="space" presStyleCnt="0"/>
      <dgm:spPr/>
    </dgm:pt>
    <dgm:pt modelId="{E8EE9121-D896-6346-9816-7D22F0E6C8D7}" type="pres">
      <dgm:prSet presAssocID="{AD87869B-3A0D-0E4F-A03C-1032C0B93A0C}" presName="composite" presStyleCnt="0"/>
      <dgm:spPr/>
    </dgm:pt>
    <dgm:pt modelId="{82EFCBE4-F483-F249-A7D0-CFFF85B0EFAC}" type="pres">
      <dgm:prSet presAssocID="{AD87869B-3A0D-0E4F-A03C-1032C0B93A0C}" presName="parTx" presStyleLbl="alignNode1" presStyleIdx="4" presStyleCnt="6">
        <dgm:presLayoutVars>
          <dgm:chMax val="0"/>
          <dgm:chPref val="0"/>
        </dgm:presLayoutVars>
      </dgm:prSet>
      <dgm:spPr/>
    </dgm:pt>
    <dgm:pt modelId="{201D1C0A-4E9D-0945-917F-83CC8E219E95}" type="pres">
      <dgm:prSet presAssocID="{AD87869B-3A0D-0E4F-A03C-1032C0B93A0C}" presName="bgOutline" presStyleLbl="fgAcc1" presStyleIdx="4" presStyleCnt="6">
        <dgm:presLayoutVars>
          <dgm:bulletEnabled/>
        </dgm:presLayoutVars>
      </dgm:prSet>
      <dgm:spPr/>
    </dgm:pt>
    <dgm:pt modelId="{5441F07C-69F1-674C-8D10-38B77184C3A8}" type="pres">
      <dgm:prSet presAssocID="{18D4B0C3-5BE2-8D46-AD72-504050400BBD}" presName="space" presStyleCnt="0"/>
      <dgm:spPr/>
    </dgm:pt>
    <dgm:pt modelId="{F63B712E-1E2C-2A48-9340-5DA4226F474B}" type="pres">
      <dgm:prSet presAssocID="{07A36E04-CF7B-4440-B096-220F8869BE9C}" presName="composite" presStyleCnt="0"/>
      <dgm:spPr/>
    </dgm:pt>
    <dgm:pt modelId="{E05A329D-2B7C-CA4D-B7B2-F8298E500F2A}" type="pres">
      <dgm:prSet presAssocID="{07A36E04-CF7B-4440-B096-220F8869BE9C}" presName="parTx" presStyleLbl="alignNode1" presStyleIdx="5" presStyleCnt="6">
        <dgm:presLayoutVars>
          <dgm:chMax val="0"/>
          <dgm:chPref val="0"/>
        </dgm:presLayoutVars>
      </dgm:prSet>
      <dgm:spPr/>
    </dgm:pt>
    <dgm:pt modelId="{46A67BDC-C2E4-7642-8FA3-AFD58E487B49}" type="pres">
      <dgm:prSet presAssocID="{07A36E04-CF7B-4440-B096-220F8869BE9C}" presName="bgOutline" presStyleLbl="fgAcc1" presStyleIdx="5" presStyleCnt="6">
        <dgm:presLayoutVars>
          <dgm:bulletEnabled/>
        </dgm:presLayoutVars>
      </dgm:prSet>
      <dgm:spPr/>
    </dgm:pt>
  </dgm:ptLst>
  <dgm:cxnLst>
    <dgm:cxn modelId="{800C0902-B52D-9240-A36E-F7A42CA0F06E}" type="presOf" srcId="{91087808-874D-1744-998A-127D7DC581F1}" destId="{E8DCCF41-854F-2F4F-ACB7-35F95962CD9C}" srcOrd="0" destOrd="1" presId="urn:microsoft.com/office/officeart/2024/layout/HorizontalActionList"/>
    <dgm:cxn modelId="{73CB1207-6E02-D44F-931E-ED177573F2F1}" srcId="{BEB8CCBC-00DD-D445-AD9A-A5611DF3A8F0}" destId="{91087808-874D-1744-998A-127D7DC581F1}" srcOrd="1" destOrd="0" parTransId="{484822E6-8465-884C-89FD-55421D13C88F}" sibTransId="{301FB0F9-FD1D-5743-BD7B-079CDE08FDA6}"/>
    <dgm:cxn modelId="{36788808-543A-C148-9F6C-B6EB58DD6CBB}" srcId="{F1612F52-234C-2141-8C7B-7D54F4D59076}" destId="{BEB8CCBC-00DD-D445-AD9A-A5611DF3A8F0}" srcOrd="1" destOrd="0" parTransId="{A184216D-A49D-AF4E-B7DC-60BF70A91683}" sibTransId="{696FEF52-F6CE-B742-8ABE-D54CCAB327C4}"/>
    <dgm:cxn modelId="{28E5340D-6B7A-1D43-BC9E-325CD297BCF0}" srcId="{07A36E04-CF7B-4440-B096-220F8869BE9C}" destId="{31E89515-660A-CE40-BB52-7F8A1FB0FD4D}" srcOrd="0" destOrd="0" parTransId="{860FC772-53AD-A445-8420-E5CFCF3C76F9}" sibTransId="{466CAD51-328E-3F49-B4D5-F0A95B629272}"/>
    <dgm:cxn modelId="{A5D4F30E-C1F7-A542-B0CA-99C7FDA09E9A}" type="presOf" srcId="{D7E1FB30-4EC7-F142-83B6-1846662D3DE0}" destId="{E8DCCF41-854F-2F4F-ACB7-35F95962CD9C}" srcOrd="0" destOrd="3" presId="urn:microsoft.com/office/officeart/2024/layout/HorizontalActionList"/>
    <dgm:cxn modelId="{AA29C513-7A12-2B44-A8F1-7067B0F1BD1F}" srcId="{F1612F52-234C-2141-8C7B-7D54F4D59076}" destId="{8EEC38C7-6412-C541-BC32-51C0201A0599}" srcOrd="2" destOrd="0" parTransId="{77DE5599-143B-1B46-B450-CDDBB84B4E5C}" sibTransId="{42B584B2-1583-9C4D-B654-1D9DC098FEAC}"/>
    <dgm:cxn modelId="{C162211C-8BD6-4D4D-B4CB-B1C5793A630B}" type="presOf" srcId="{3EAB79CB-EB45-9649-A2F3-0A2209C06874}" destId="{201D1C0A-4E9D-0945-917F-83CC8E219E95}" srcOrd="0" destOrd="0" presId="urn:microsoft.com/office/officeart/2024/layout/HorizontalActionList"/>
    <dgm:cxn modelId="{D6ED251E-D4C4-1649-B0E1-0BC2D348FB2B}" srcId="{AD87869B-3A0D-0E4F-A03C-1032C0B93A0C}" destId="{1A2E09FE-5BAD-0043-8906-FAACA506B185}" srcOrd="2" destOrd="0" parTransId="{19E63FC8-E0B6-4748-88C1-BF10C0F9EE56}" sibTransId="{3E6378C4-CF5F-D142-9A86-55C1850B8672}"/>
    <dgm:cxn modelId="{F4E0C42C-19F0-6D42-A8BA-B12F9A90E3F9}" srcId="{E73A88CA-1EB8-294F-8ECF-07473D6D17A5}" destId="{FE952394-0880-0549-9C6C-416B14DC48CD}" srcOrd="1" destOrd="0" parTransId="{33DCBC9A-62C9-094C-A92D-BD388BF998A3}" sibTransId="{C8DAF2C2-AF7B-2449-B2E3-E08EDD2226A9}"/>
    <dgm:cxn modelId="{EA97DE2F-DDA0-7541-9E8F-7D044246F42F}" type="presOf" srcId="{07A36E04-CF7B-4440-B096-220F8869BE9C}" destId="{E05A329D-2B7C-CA4D-B7B2-F8298E500F2A}" srcOrd="0" destOrd="0" presId="urn:microsoft.com/office/officeart/2024/layout/HorizontalActionList"/>
    <dgm:cxn modelId="{54974C38-1989-3241-9057-CA79D878C4C1}" type="presOf" srcId="{CCDE4DFD-2E1B-5D41-B803-10B2C6B794D5}" destId="{ABCEB2D3-D845-5246-9E2C-4E01AB5341F0}" srcOrd="0" destOrd="0" presId="urn:microsoft.com/office/officeart/2024/layout/HorizontalActionList"/>
    <dgm:cxn modelId="{DF959141-E3D1-A84C-BD91-414748C52B29}" type="presOf" srcId="{345DA019-8CD4-4940-9558-C53C95994DC5}" destId="{201D1C0A-4E9D-0945-917F-83CC8E219E95}" srcOrd="0" destOrd="3" presId="urn:microsoft.com/office/officeart/2024/layout/HorizontalActionList"/>
    <dgm:cxn modelId="{94CC284E-94EE-A24D-9E25-15E2C0CB2A73}" type="presOf" srcId="{E55D85D8-253E-E241-A687-B093866560DD}" destId="{7C72AFED-13FD-FE41-98E6-4CA8FE290E66}" srcOrd="0" destOrd="0" presId="urn:microsoft.com/office/officeart/2024/layout/HorizontalActionList"/>
    <dgm:cxn modelId="{BAF75D65-7227-BB4D-9F0C-2103E7CB8C60}" srcId="{F1612F52-234C-2141-8C7B-7D54F4D59076}" destId="{07A36E04-CF7B-4440-B096-220F8869BE9C}" srcOrd="5" destOrd="0" parTransId="{34B86729-4D35-A349-9982-68AE221F82AB}" sibTransId="{F6CC92EA-ADFF-1B44-8CBC-39904476D671}"/>
    <dgm:cxn modelId="{C69E2866-2D4B-F343-B19B-BF58E2B83B49}" type="presOf" srcId="{E1F05352-CE41-8740-918E-12446EB6A27B}" destId="{46A67BDC-C2E4-7642-8FA3-AFD58E487B49}" srcOrd="0" destOrd="1" presId="urn:microsoft.com/office/officeart/2024/layout/HorizontalActionList"/>
    <dgm:cxn modelId="{1BD51867-641A-F747-AAF8-960E30C2F478}" srcId="{E73A88CA-1EB8-294F-8ECF-07473D6D17A5}" destId="{4E174DEB-3FE1-C847-B335-69EEA40C1AFF}" srcOrd="2" destOrd="0" parTransId="{EB42EF59-8CFC-9744-85C1-A94BE6FD5AD4}" sibTransId="{87B305F3-CA94-A748-881D-F93F291E111F}"/>
    <dgm:cxn modelId="{9F62EE6A-D3BF-1148-8E01-F1AD96A0E9D6}" srcId="{AD87869B-3A0D-0E4F-A03C-1032C0B93A0C}" destId="{3EAB79CB-EB45-9649-A2F3-0A2209C06874}" srcOrd="0" destOrd="0" parTransId="{1FA7D950-1903-3040-A3C0-4A08485F104D}" sibTransId="{23B7371F-0F85-CE4D-A120-1AA6784283D7}"/>
    <dgm:cxn modelId="{ECE3156C-FD20-E941-9CC3-2C0A22C597E4}" type="presOf" srcId="{2E458F7C-9C1A-AA4A-BD82-BDBDCAEEF0FE}" destId="{7C72AFED-13FD-FE41-98E6-4CA8FE290E66}" srcOrd="0" destOrd="1" presId="urn:microsoft.com/office/officeart/2024/layout/HorizontalActionList"/>
    <dgm:cxn modelId="{A6A6CF71-7B6B-4E4C-9C2E-C713A3EDDA06}" srcId="{8EEC38C7-6412-C541-BC32-51C0201A0599}" destId="{838F359B-E822-CA44-8C8F-C0663DD10C49}" srcOrd="0" destOrd="0" parTransId="{5E36BF8E-99DF-D74B-875E-B8B52195D98F}" sibTransId="{38B20DA5-B9BF-FD41-9D01-98BA219291ED}"/>
    <dgm:cxn modelId="{03B2057B-7019-7840-9CE9-A72F763BB50C}" srcId="{BEB8CCBC-00DD-D445-AD9A-A5611DF3A8F0}" destId="{EE405F44-65F1-074A-B2CF-AC9E1093FF81}" srcOrd="0" destOrd="0" parTransId="{D5A786D1-B84C-AE44-B0C1-ACE319630D0A}" sibTransId="{E70133D5-01DB-4C4A-BE1D-1ADB93D0DC72}"/>
    <dgm:cxn modelId="{B446557E-1B10-2A45-BA45-E5DB36C7E1C4}" srcId="{AD87869B-3A0D-0E4F-A03C-1032C0B93A0C}" destId="{D08992F8-BDBB-004F-AECC-50B975A4ED3B}" srcOrd="1" destOrd="0" parTransId="{A0F8F0AF-4CE2-404A-88D3-269E11487AD2}" sibTransId="{3EB103D6-7719-5B4C-8C65-95270BFFAA33}"/>
    <dgm:cxn modelId="{865E5083-91BE-B54E-988C-3BE857D53010}" type="presOf" srcId="{AD87869B-3A0D-0E4F-A03C-1032C0B93A0C}" destId="{82EFCBE4-F483-F249-A7D0-CFFF85B0EFAC}" srcOrd="0" destOrd="0" presId="urn:microsoft.com/office/officeart/2024/layout/HorizontalActionList"/>
    <dgm:cxn modelId="{845C7185-E4CF-594A-9A28-A833AFD74674}" type="presOf" srcId="{75867D3A-F27F-3548-8145-82326C585F90}" destId="{CBA54FD0-8649-8B46-8731-481C940FB1B5}" srcOrd="0" destOrd="0" presId="urn:microsoft.com/office/officeart/2024/layout/HorizontalActionList"/>
    <dgm:cxn modelId="{66CED186-16CB-9A48-9110-2EC589BFF850}" srcId="{07A36E04-CF7B-4440-B096-220F8869BE9C}" destId="{B632ACC1-E52B-8F43-8D77-1900AD2B68B3}" srcOrd="2" destOrd="0" parTransId="{4F521BE2-E43D-B44A-BE9C-2C4BAB0A084B}" sibTransId="{EBBE2E8A-89C2-154B-B269-BBBC85DDB0F8}"/>
    <dgm:cxn modelId="{66807294-9215-EA47-A850-1A707D9696EF}" type="presOf" srcId="{D08992F8-BDBB-004F-AECC-50B975A4ED3B}" destId="{201D1C0A-4E9D-0945-917F-83CC8E219E95}" srcOrd="0" destOrd="1" presId="urn:microsoft.com/office/officeart/2024/layout/HorizontalActionList"/>
    <dgm:cxn modelId="{B6AF1A96-C7B0-2944-A1B4-E05547466A42}" srcId="{F1612F52-234C-2141-8C7B-7D54F4D59076}" destId="{E73A88CA-1EB8-294F-8ECF-07473D6D17A5}" srcOrd="0" destOrd="0" parTransId="{45CBB9AD-B352-AD4A-9CF0-14D2076A430F}" sibTransId="{5BA1A021-156D-9343-9D4D-2571E42F1D30}"/>
    <dgm:cxn modelId="{91572D97-96B2-E24C-8A65-B5DEC6D12B29}" srcId="{F1612F52-234C-2141-8C7B-7D54F4D59076}" destId="{75867D3A-F27F-3548-8145-82326C585F90}" srcOrd="3" destOrd="0" parTransId="{DD06C621-6647-494B-8B09-F0F2FEC9D38B}" sibTransId="{13310445-3BF4-2148-A306-5C45908AE28C}"/>
    <dgm:cxn modelId="{0186EA98-6212-334E-BB68-A67A874C6F52}" type="presOf" srcId="{E73A88CA-1EB8-294F-8ECF-07473D6D17A5}" destId="{A43AEC31-881E-464B-8139-BAED7279CB01}" srcOrd="0" destOrd="0" presId="urn:microsoft.com/office/officeart/2024/layout/HorizontalActionList"/>
    <dgm:cxn modelId="{D188119D-70FD-4440-BC13-61322720E7B1}" type="presOf" srcId="{BEB8CCBC-00DD-D445-AD9A-A5611DF3A8F0}" destId="{6B12D967-7C08-0E46-A9A8-85EA6BDA5BC8}" srcOrd="0" destOrd="0" presId="urn:microsoft.com/office/officeart/2024/layout/HorizontalActionList"/>
    <dgm:cxn modelId="{E58CD0A4-BE0E-1244-99B1-553ACC3577DC}" srcId="{75867D3A-F27F-3548-8145-82326C585F90}" destId="{2E458F7C-9C1A-AA4A-BD82-BDBDCAEEF0FE}" srcOrd="1" destOrd="0" parTransId="{CE78A2F4-457B-C048-BFA2-7BB42F6A7640}" sibTransId="{961A2021-A909-644E-82A5-0836DB8C20DF}"/>
    <dgm:cxn modelId="{C64970B1-9B7B-B041-A236-C4566A77C3E9}" type="presOf" srcId="{1A2E09FE-5BAD-0043-8906-FAACA506B185}" destId="{201D1C0A-4E9D-0945-917F-83CC8E219E95}" srcOrd="0" destOrd="2" presId="urn:microsoft.com/office/officeart/2024/layout/HorizontalActionList"/>
    <dgm:cxn modelId="{387C6CC7-57C2-EA47-ABA0-643C3CFB972C}" type="presOf" srcId="{F1612F52-234C-2141-8C7B-7D54F4D59076}" destId="{5F9EC1CF-A5DB-234B-B634-A3D94C54CBF6}" srcOrd="0" destOrd="0" presId="urn:microsoft.com/office/officeart/2024/layout/HorizontalActionList"/>
    <dgm:cxn modelId="{5BE0CDC8-8D9D-714E-A764-EF58872F8659}" type="presOf" srcId="{FE952394-0880-0549-9C6C-416B14DC48CD}" destId="{ABCEB2D3-D845-5246-9E2C-4E01AB5341F0}" srcOrd="0" destOrd="1" presId="urn:microsoft.com/office/officeart/2024/layout/HorizontalActionList"/>
    <dgm:cxn modelId="{5AB946CA-266D-B84B-B48D-B1827EDC2FA0}" srcId="{F1612F52-234C-2141-8C7B-7D54F4D59076}" destId="{AD87869B-3A0D-0E4F-A03C-1032C0B93A0C}" srcOrd="4" destOrd="0" parTransId="{A470B52C-2749-1341-82BE-26C5880A6F15}" sibTransId="{18D4B0C3-5BE2-8D46-AD72-504050400BBD}"/>
    <dgm:cxn modelId="{414E42CC-B7D5-2F4C-9F60-81F02317F6CF}" type="presOf" srcId="{31E89515-660A-CE40-BB52-7F8A1FB0FD4D}" destId="{46A67BDC-C2E4-7642-8FA3-AFD58E487B49}" srcOrd="0" destOrd="0" presId="urn:microsoft.com/office/officeart/2024/layout/HorizontalActionList"/>
    <dgm:cxn modelId="{C81B7BCD-8F93-F242-B41A-2A98FDA925A1}" type="presOf" srcId="{8EEC38C7-6412-C541-BC32-51C0201A0599}" destId="{516746DD-69D0-E74E-B2D3-3C2783191F3B}" srcOrd="0" destOrd="0" presId="urn:microsoft.com/office/officeart/2024/layout/HorizontalActionList"/>
    <dgm:cxn modelId="{14B31BD0-882D-034B-8177-B8FB30098F2A}" type="presOf" srcId="{5B05B22C-733C-5348-8BE5-94704A367077}" destId="{E8DCCF41-854F-2F4F-ACB7-35F95962CD9C}" srcOrd="0" destOrd="2" presId="urn:microsoft.com/office/officeart/2024/layout/HorizontalActionList"/>
    <dgm:cxn modelId="{A96085D0-7E98-F247-A17A-B0127EB5B8C4}" srcId="{75867D3A-F27F-3548-8145-82326C585F90}" destId="{E55D85D8-253E-E241-A687-B093866560DD}" srcOrd="0" destOrd="0" parTransId="{9AA48CB5-DD1D-9643-A782-923B5CFAF02B}" sibTransId="{7A12488D-ABE4-7045-8D87-2F2292B75A27}"/>
    <dgm:cxn modelId="{E8540AD2-F076-5943-B4B3-390275EE29A3}" srcId="{E73A88CA-1EB8-294F-8ECF-07473D6D17A5}" destId="{CCDE4DFD-2E1B-5D41-B803-10B2C6B794D5}" srcOrd="0" destOrd="0" parTransId="{F4D0F1C9-8D28-4E40-AB0F-ED2AA0185726}" sibTransId="{441C1B48-C508-3042-9694-6E5D8E69490B}"/>
    <dgm:cxn modelId="{6E55E2D5-FB42-9D46-94F3-CF72C50EF4EA}" srcId="{07A36E04-CF7B-4440-B096-220F8869BE9C}" destId="{E1F05352-CE41-8740-918E-12446EB6A27B}" srcOrd="1" destOrd="0" parTransId="{3827E87F-4F1B-D442-88F4-AFAC62A4CCA0}" sibTransId="{5ED47843-BE80-F745-8082-40A6889AC4CE}"/>
    <dgm:cxn modelId="{9E013DD6-E63B-6C41-BF0C-322EE390E609}" type="presOf" srcId="{B632ACC1-E52B-8F43-8D77-1900AD2B68B3}" destId="{46A67BDC-C2E4-7642-8FA3-AFD58E487B49}" srcOrd="0" destOrd="2" presId="urn:microsoft.com/office/officeart/2024/layout/HorizontalActionList"/>
    <dgm:cxn modelId="{A9A137DD-4111-8B47-8381-D6E91AFB573F}" type="presOf" srcId="{4E174DEB-3FE1-C847-B335-69EEA40C1AFF}" destId="{ABCEB2D3-D845-5246-9E2C-4E01AB5341F0}" srcOrd="0" destOrd="2" presId="urn:microsoft.com/office/officeart/2024/layout/HorizontalActionList"/>
    <dgm:cxn modelId="{90EE56DE-C3FA-B544-AB47-782349A04393}" srcId="{BEB8CCBC-00DD-D445-AD9A-A5611DF3A8F0}" destId="{5B05B22C-733C-5348-8BE5-94704A367077}" srcOrd="2" destOrd="0" parTransId="{515FBE73-2C7F-1F45-8691-8FE1A2D51AFD}" sibTransId="{C8AC27C6-5C08-9045-8AED-33E1A79E4015}"/>
    <dgm:cxn modelId="{65D20BE9-F014-C347-B877-5A1339179F2D}" srcId="{AD87869B-3A0D-0E4F-A03C-1032C0B93A0C}" destId="{345DA019-8CD4-4940-9558-C53C95994DC5}" srcOrd="3" destOrd="0" parTransId="{98C89D6D-25C2-5D43-BD59-03CAD0D78E9D}" sibTransId="{889A38C9-ED19-6949-9AD2-F8B1E4CC8C4B}"/>
    <dgm:cxn modelId="{AE33C6EA-26ED-9041-A0A0-66CB23C298DC}" srcId="{BEB8CCBC-00DD-D445-AD9A-A5611DF3A8F0}" destId="{D7E1FB30-4EC7-F142-83B6-1846662D3DE0}" srcOrd="3" destOrd="0" parTransId="{9898F444-5325-6E43-BF9C-51085F39471E}" sibTransId="{E8EC6E11-E1AD-3341-8552-AC80B7916ED5}"/>
    <dgm:cxn modelId="{F42CE6EA-2D31-364E-8044-7372ED5DC1EE}" type="presOf" srcId="{EE405F44-65F1-074A-B2CF-AC9E1093FF81}" destId="{E8DCCF41-854F-2F4F-ACB7-35F95962CD9C}" srcOrd="0" destOrd="0" presId="urn:microsoft.com/office/officeart/2024/layout/HorizontalActionList"/>
    <dgm:cxn modelId="{0892ABF8-0EF5-544F-9C81-968F985B2413}" type="presOf" srcId="{838F359B-E822-CA44-8C8F-C0663DD10C49}" destId="{D46AE679-08A1-E94C-87A0-6593CFDBFB5C}" srcOrd="0" destOrd="0" presId="urn:microsoft.com/office/officeart/2024/layout/HorizontalActionList"/>
    <dgm:cxn modelId="{93180B53-5FC7-864A-892B-17CECC35DFEE}" type="presParOf" srcId="{5F9EC1CF-A5DB-234B-B634-A3D94C54CBF6}" destId="{4D2723EA-C21F-5D4E-8004-31926F4D1343}" srcOrd="0" destOrd="0" presId="urn:microsoft.com/office/officeart/2024/layout/HorizontalActionList"/>
    <dgm:cxn modelId="{2759C40E-528B-A34C-A0EA-30DF92AEE0E2}" type="presParOf" srcId="{4D2723EA-C21F-5D4E-8004-31926F4D1343}" destId="{A43AEC31-881E-464B-8139-BAED7279CB01}" srcOrd="0" destOrd="0" presId="urn:microsoft.com/office/officeart/2024/layout/HorizontalActionList"/>
    <dgm:cxn modelId="{F2F8BB25-2BA9-0546-AFED-5A940C26403F}" type="presParOf" srcId="{4D2723EA-C21F-5D4E-8004-31926F4D1343}" destId="{ABCEB2D3-D845-5246-9E2C-4E01AB5341F0}" srcOrd="1" destOrd="0" presId="urn:microsoft.com/office/officeart/2024/layout/HorizontalActionList"/>
    <dgm:cxn modelId="{9BFE0696-95EE-2D49-A0CB-5DB9DA5FCEFC}" type="presParOf" srcId="{5F9EC1CF-A5DB-234B-B634-A3D94C54CBF6}" destId="{643C81B4-41F8-3848-A745-B552BEB90497}" srcOrd="1" destOrd="0" presId="urn:microsoft.com/office/officeart/2024/layout/HorizontalActionList"/>
    <dgm:cxn modelId="{ACAA9910-7AE2-B64D-B735-FAC079CFF89B}" type="presParOf" srcId="{5F9EC1CF-A5DB-234B-B634-A3D94C54CBF6}" destId="{D26ABEA2-C65B-D244-B802-5E27C9F13AD8}" srcOrd="2" destOrd="0" presId="urn:microsoft.com/office/officeart/2024/layout/HorizontalActionList"/>
    <dgm:cxn modelId="{44B32451-2C48-314A-A109-C0B1B976B36A}" type="presParOf" srcId="{D26ABEA2-C65B-D244-B802-5E27C9F13AD8}" destId="{6B12D967-7C08-0E46-A9A8-85EA6BDA5BC8}" srcOrd="0" destOrd="0" presId="urn:microsoft.com/office/officeart/2024/layout/HorizontalActionList"/>
    <dgm:cxn modelId="{42A36C2F-3C41-D64A-AEC7-040E5B1AE525}" type="presParOf" srcId="{D26ABEA2-C65B-D244-B802-5E27C9F13AD8}" destId="{E8DCCF41-854F-2F4F-ACB7-35F95962CD9C}" srcOrd="1" destOrd="0" presId="urn:microsoft.com/office/officeart/2024/layout/HorizontalActionList"/>
    <dgm:cxn modelId="{D381DD37-6731-364E-9982-F8F5A95A12F8}" type="presParOf" srcId="{5F9EC1CF-A5DB-234B-B634-A3D94C54CBF6}" destId="{CB6E908F-D245-244E-972C-6114C51F1079}" srcOrd="3" destOrd="0" presId="urn:microsoft.com/office/officeart/2024/layout/HorizontalActionList"/>
    <dgm:cxn modelId="{C6EB7373-6F87-A043-8DC0-9DAB0605837D}" type="presParOf" srcId="{5F9EC1CF-A5DB-234B-B634-A3D94C54CBF6}" destId="{7D4C02D7-4B10-ED4B-B3EE-1CA6A081BF82}" srcOrd="4" destOrd="0" presId="urn:microsoft.com/office/officeart/2024/layout/HorizontalActionList"/>
    <dgm:cxn modelId="{1204D28F-705C-F749-A0E3-522B88B71BBE}" type="presParOf" srcId="{7D4C02D7-4B10-ED4B-B3EE-1CA6A081BF82}" destId="{516746DD-69D0-E74E-B2D3-3C2783191F3B}" srcOrd="0" destOrd="0" presId="urn:microsoft.com/office/officeart/2024/layout/HorizontalActionList"/>
    <dgm:cxn modelId="{F23CEC6D-A1BE-EF4F-B62F-F0E20E4C2E07}" type="presParOf" srcId="{7D4C02D7-4B10-ED4B-B3EE-1CA6A081BF82}" destId="{D46AE679-08A1-E94C-87A0-6593CFDBFB5C}" srcOrd="1" destOrd="0" presId="urn:microsoft.com/office/officeart/2024/layout/HorizontalActionList"/>
    <dgm:cxn modelId="{B74BCC1D-C5FC-044A-8851-FB878A5DDA52}" type="presParOf" srcId="{5F9EC1CF-A5DB-234B-B634-A3D94C54CBF6}" destId="{AC08F8DD-2362-DA4D-B1FB-6C8E1C5FE993}" srcOrd="5" destOrd="0" presId="urn:microsoft.com/office/officeart/2024/layout/HorizontalActionList"/>
    <dgm:cxn modelId="{4B84AE1C-9E95-024D-8F1A-07708927776A}" type="presParOf" srcId="{5F9EC1CF-A5DB-234B-B634-A3D94C54CBF6}" destId="{650D170A-E5B8-0645-9741-DC65EFAB4FDA}" srcOrd="6" destOrd="0" presId="urn:microsoft.com/office/officeart/2024/layout/HorizontalActionList"/>
    <dgm:cxn modelId="{694196D1-F3CE-3C4F-9015-D01C6F47023A}" type="presParOf" srcId="{650D170A-E5B8-0645-9741-DC65EFAB4FDA}" destId="{CBA54FD0-8649-8B46-8731-481C940FB1B5}" srcOrd="0" destOrd="0" presId="urn:microsoft.com/office/officeart/2024/layout/HorizontalActionList"/>
    <dgm:cxn modelId="{EDEDEE64-F496-DA4C-9B97-93AEAF94463B}" type="presParOf" srcId="{650D170A-E5B8-0645-9741-DC65EFAB4FDA}" destId="{7C72AFED-13FD-FE41-98E6-4CA8FE290E66}" srcOrd="1" destOrd="0" presId="urn:microsoft.com/office/officeart/2024/layout/HorizontalActionList"/>
    <dgm:cxn modelId="{A580BB2E-989D-EF45-BE5B-7D65740F9971}" type="presParOf" srcId="{5F9EC1CF-A5DB-234B-B634-A3D94C54CBF6}" destId="{9BC575F5-CC84-DD43-9EED-CD21321BA647}" srcOrd="7" destOrd="0" presId="urn:microsoft.com/office/officeart/2024/layout/HorizontalActionList"/>
    <dgm:cxn modelId="{EDDF111D-7D3F-7E47-A6E2-C88E0EE6830C}" type="presParOf" srcId="{5F9EC1CF-A5DB-234B-B634-A3D94C54CBF6}" destId="{E8EE9121-D896-6346-9816-7D22F0E6C8D7}" srcOrd="8" destOrd="0" presId="urn:microsoft.com/office/officeart/2024/layout/HorizontalActionList"/>
    <dgm:cxn modelId="{18100E60-5E13-4943-A9DA-DBAD0D8F299D}" type="presParOf" srcId="{E8EE9121-D896-6346-9816-7D22F0E6C8D7}" destId="{82EFCBE4-F483-F249-A7D0-CFFF85B0EFAC}" srcOrd="0" destOrd="0" presId="urn:microsoft.com/office/officeart/2024/layout/HorizontalActionList"/>
    <dgm:cxn modelId="{50991429-7C47-9C47-8798-C85567764422}" type="presParOf" srcId="{E8EE9121-D896-6346-9816-7D22F0E6C8D7}" destId="{201D1C0A-4E9D-0945-917F-83CC8E219E95}" srcOrd="1" destOrd="0" presId="urn:microsoft.com/office/officeart/2024/layout/HorizontalActionList"/>
    <dgm:cxn modelId="{3EB0F6DA-447D-7143-BBDA-E659987E087C}" type="presParOf" srcId="{5F9EC1CF-A5DB-234B-B634-A3D94C54CBF6}" destId="{5441F07C-69F1-674C-8D10-38B77184C3A8}" srcOrd="9" destOrd="0" presId="urn:microsoft.com/office/officeart/2024/layout/HorizontalActionList"/>
    <dgm:cxn modelId="{BD2C5D3C-519A-7046-A1D5-0C3806A9A0B1}" type="presParOf" srcId="{5F9EC1CF-A5DB-234B-B634-A3D94C54CBF6}" destId="{F63B712E-1E2C-2A48-9340-5DA4226F474B}" srcOrd="10" destOrd="0" presId="urn:microsoft.com/office/officeart/2024/layout/HorizontalActionList"/>
    <dgm:cxn modelId="{0A6403DD-B219-DB43-9ACA-6E3D257F222C}" type="presParOf" srcId="{F63B712E-1E2C-2A48-9340-5DA4226F474B}" destId="{E05A329D-2B7C-CA4D-B7B2-F8298E500F2A}" srcOrd="0" destOrd="0" presId="urn:microsoft.com/office/officeart/2024/layout/HorizontalActionList"/>
    <dgm:cxn modelId="{CD87CA34-A206-4F4E-A396-684DD553A51E}" type="presParOf" srcId="{F63B712E-1E2C-2A48-9340-5DA4226F474B}" destId="{46A67BDC-C2E4-7642-8FA3-AFD58E487B49}" srcOrd="1" destOrd="0" presId="urn:microsoft.com/office/officeart/2024/layout/HorizontalActionLis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BCEB2D3-D845-5246-9E2C-4E01AB5341F0}">
      <dsp:nvSpPr>
        <dsp:cNvPr id="0" name=""/>
        <dsp:cNvSpPr/>
      </dsp:nvSpPr>
      <dsp:spPr>
        <a:xfrm rot="10800000">
          <a:off x="7610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Used</a:t>
          </a:r>
          <a:r>
            <a:rPr lang="en-US" sz="2000" kern="1200"/>
            <a:t> - Isaac Mittelman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B2B</a:t>
          </a:r>
          <a:r>
            <a:rPr lang="en-US" sz="2000" kern="1200"/>
            <a:t> - Danielo Garcia - The Studio B&amp;H, Kailee Richey - EDU, Rachel DiCastro - School Safety, Ariel Goldman - B2B Hub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Find</a:t>
          </a:r>
          <a:r>
            <a:rPr lang="en-US" sz="2000" kern="1200"/>
            <a:t> - Eli Goldstein</a:t>
          </a:r>
        </a:p>
      </dsp:txBody>
      <dsp:txXfrm rot="10800000">
        <a:off x="138943" y="1980496"/>
        <a:ext cx="3677047" cy="2858030"/>
      </dsp:txXfrm>
    </dsp:sp>
    <dsp:sp modelId="{A43AEC31-881E-464B-8139-BAED7279CB01}">
      <dsp:nvSpPr>
        <dsp:cNvPr id="0" name=""/>
        <dsp:cNvSpPr/>
      </dsp:nvSpPr>
      <dsp:spPr>
        <a:xfrm>
          <a:off x="7610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Portfolios</a:t>
          </a:r>
        </a:p>
      </dsp:txBody>
      <dsp:txXfrm>
        <a:off x="163387" y="989817"/>
        <a:ext cx="3628159" cy="1026136"/>
      </dsp:txXfrm>
    </dsp:sp>
    <dsp:sp modelId="{E8DCCF41-854F-2F4F-ACB7-35F95962CD9C}">
      <dsp:nvSpPr>
        <dsp:cNvPr id="0" name=""/>
        <dsp:cNvSpPr/>
      </dsp:nvSpPr>
      <dsp:spPr>
        <a:xfrm rot="10800000">
          <a:off x="4055323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8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Awareness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Improve User Flow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Reactivation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Acquisition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Improve Search &amp; Findability</a:t>
          </a:r>
        </a:p>
      </dsp:txBody>
      <dsp:txXfrm rot="10800000">
        <a:off x="4186656" y="1980496"/>
        <a:ext cx="3677047" cy="2858030"/>
      </dsp:txXfrm>
    </dsp:sp>
    <dsp:sp modelId="{6B12D967-7C08-0E46-A9A8-85EA6BDA5BC8}">
      <dsp:nvSpPr>
        <dsp:cNvPr id="0" name=""/>
        <dsp:cNvSpPr/>
      </dsp:nvSpPr>
      <dsp:spPr>
        <a:xfrm>
          <a:off x="4055323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8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8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8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8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Themes</a:t>
          </a:r>
        </a:p>
      </dsp:txBody>
      <dsp:txXfrm>
        <a:off x="4211100" y="989817"/>
        <a:ext cx="3628159" cy="1026136"/>
      </dsp:txXfrm>
    </dsp:sp>
    <dsp:sp modelId="{D46AE679-08A1-E94C-87A0-6593CFDBFB5C}">
      <dsp:nvSpPr>
        <dsp:cNvPr id="0" name=""/>
        <dsp:cNvSpPr/>
      </dsp:nvSpPr>
      <dsp:spPr>
        <a:xfrm rot="10800000">
          <a:off x="8103036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16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800" kern="1200"/>
        </a:p>
      </dsp:txBody>
      <dsp:txXfrm rot="10800000">
        <a:off x="8234369" y="1980496"/>
        <a:ext cx="3677047" cy="2858030"/>
      </dsp:txXfrm>
    </dsp:sp>
    <dsp:sp modelId="{516746DD-69D0-E74E-B2D3-3C2783191F3B}">
      <dsp:nvSpPr>
        <dsp:cNvPr id="0" name=""/>
        <dsp:cNvSpPr/>
      </dsp:nvSpPr>
      <dsp:spPr>
        <a:xfrm>
          <a:off x="8103036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16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16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16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16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Roadmap </a:t>
          </a:r>
        </a:p>
      </dsp:txBody>
      <dsp:txXfrm>
        <a:off x="8258813" y="989817"/>
        <a:ext cx="3628159" cy="1026136"/>
      </dsp:txXfrm>
    </dsp:sp>
    <dsp:sp modelId="{7C72AFED-13FD-FE41-98E6-4CA8FE290E66}">
      <dsp:nvSpPr>
        <dsp:cNvPr id="0" name=""/>
        <dsp:cNvSpPr/>
      </dsp:nvSpPr>
      <dsp:spPr>
        <a:xfrm rot="10800000">
          <a:off x="12150750" y="1941664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24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Adoption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Impact</a:t>
          </a:r>
        </a:p>
      </dsp:txBody>
      <dsp:txXfrm rot="10800000">
        <a:off x="12282083" y="1941664"/>
        <a:ext cx="3677047" cy="2858030"/>
      </dsp:txXfrm>
    </dsp:sp>
    <dsp:sp modelId="{CBA54FD0-8649-8B46-8731-481C940FB1B5}">
      <dsp:nvSpPr>
        <dsp:cNvPr id="0" name=""/>
        <dsp:cNvSpPr/>
      </dsp:nvSpPr>
      <dsp:spPr>
        <a:xfrm>
          <a:off x="12150750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24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24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24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24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Metrics</a:t>
          </a:r>
        </a:p>
      </dsp:txBody>
      <dsp:txXfrm>
        <a:off x="12306527" y="989817"/>
        <a:ext cx="3628159" cy="1026136"/>
      </dsp:txXfrm>
    </dsp:sp>
    <dsp:sp modelId="{201D1C0A-4E9D-0945-917F-83CC8E219E95}">
      <dsp:nvSpPr>
        <dsp:cNvPr id="0" name=""/>
        <dsp:cNvSpPr/>
      </dsp:nvSpPr>
      <dsp:spPr>
        <a:xfrm rot="10800000">
          <a:off x="16198463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32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PLP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PDP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CTA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Banner</a:t>
          </a:r>
        </a:p>
      </dsp:txBody>
      <dsp:txXfrm rot="10800000">
        <a:off x="16329796" y="1980496"/>
        <a:ext cx="3677047" cy="2858030"/>
      </dsp:txXfrm>
    </dsp:sp>
    <dsp:sp modelId="{82EFCBE4-F483-F249-A7D0-CFFF85B0EFAC}">
      <dsp:nvSpPr>
        <dsp:cNvPr id="0" name=""/>
        <dsp:cNvSpPr/>
      </dsp:nvSpPr>
      <dsp:spPr>
        <a:xfrm>
          <a:off x="16198463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32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32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32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32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Components</a:t>
          </a:r>
        </a:p>
      </dsp:txBody>
      <dsp:txXfrm>
        <a:off x="16354240" y="989817"/>
        <a:ext cx="3628159" cy="1026136"/>
      </dsp:txXfrm>
    </dsp:sp>
    <dsp:sp modelId="{46A67BDC-C2E4-7642-8FA3-AFD58E487B49}">
      <dsp:nvSpPr>
        <dsp:cNvPr id="0" name=""/>
        <dsp:cNvSpPr/>
      </dsp:nvSpPr>
      <dsp:spPr>
        <a:xfrm rot="10800000">
          <a:off x="20246176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40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Event Name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Component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Page Type</a:t>
          </a:r>
        </a:p>
      </dsp:txBody>
      <dsp:txXfrm rot="10800000">
        <a:off x="20377509" y="1980496"/>
        <a:ext cx="3677047" cy="2858030"/>
      </dsp:txXfrm>
    </dsp:sp>
    <dsp:sp modelId="{E05A329D-2B7C-CA4D-B7B2-F8298E500F2A}">
      <dsp:nvSpPr>
        <dsp:cNvPr id="0" name=""/>
        <dsp:cNvSpPr/>
      </dsp:nvSpPr>
      <dsp:spPr>
        <a:xfrm>
          <a:off x="20246176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40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40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40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40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GA4</a:t>
          </a:r>
        </a:p>
      </dsp:txBody>
      <dsp:txXfrm>
        <a:off x="20401953" y="989817"/>
        <a:ext cx="3628159" cy="102613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24/layout/HorizontalActionList">
  <dgm:title val=""/>
  <dgm:desc val=""/>
  <dgm:catLst>
    <dgm:cat type="textcard" pri="2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23" srcId="2" destId="21" srcOrd="0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 fact="0.95"/>
      <dgm:constr type="h" for="des" forName="composite" op="equ"/>
      <dgm:constr type="w" for="ch" forName="composite" refType="w"/>
      <dgm:constr type="w" for="des" forName="parTx"/>
      <dgm:constr type="h" for="des" forName="parTx" op="equ"/>
      <dgm:constr type="w" for="des" forName="bgOutline"/>
      <dgm:constr type="primFontSz" for="des" forName="parTx" val="54"/>
      <dgm:constr type="primFontSz" for="des" forName="bgOutline" refType="primFontSz" refFor="des" refForName="parTx" op="lte" fact="0.75"/>
      <dgm:constr type="h" for="des" forName="bgOutline" op="equ"/>
      <dgm:constr type="w" for="ch" forName="space" op="equ" val="3"/>
    </dgm:constrLst>
    <dgm:ruleLst>
      <dgm:rule type="w" for="ch" forName="composite" val="0" fact="NaN" max="NaN"/>
    </dgm:ruleLst>
    <dgm:forEach name="Name6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bgOutline"/>
          <dgm:constr type="t" for="ch" forName="bgOutline" refType="h" refFor="ch" refForName="parTx" fact="0.97"/>
          <dgm:constr type="w" for="ch" forName="bgOutline" refType="w"/>
          <dgm:constr type="h" for="ch" forName="bgOutline" refType="h" fact="0.75"/>
        </dgm:constrLst>
        <dgm:ruleLst/>
        <dgm:layoutNode name="parTx" styleLbl="alignNode1">
          <dgm:varLst>
            <dgm:chMax val="0"/>
            <dgm:chPref val="0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ound2SameRect" r:blip="" zOrderOff="3">
            <dgm:adjLst>
              <dgm:adj idx="1" val="0.45"/>
            </dgm:adjLst>
          </dgm:shape>
          <dgm:presOf axis="self" ptType="node"/>
          <dgm:constrLst>
            <dgm:constr type="h" refType="w" op="lte" fact="0.3"/>
            <dgm:constr type="h"/>
            <dgm:constr type="tMarg" refType="w" fact="0.224"/>
            <dgm:constr type="bMarg" refType="w" fact="0.224"/>
            <dgm:constr type="lMarg" refType="w" fact="0.224"/>
            <dgm:constr type="rMarg" refType="w" fact="0.224"/>
          </dgm:constrLst>
          <dgm:ruleLst>
            <dgm:rule type="primFontSz" val="14" fact="NaN" max="NaN"/>
          </dgm:ruleLst>
        </dgm:layoutNode>
        <dgm:layoutNode name="bgOutline" styleLbl="fgAcc1">
          <dgm:varLst>
            <dgm:bulletEnabled/>
          </dgm:varLst>
          <dgm:alg type="tx">
            <dgm:param type="stBulletLvl" val="0"/>
            <dgm:param type="txAnchorVert" val="t"/>
            <dgm:param type="parTxLTRAlign" val="l"/>
            <dgm:param type="shpTxLTRAlignCh" val="l"/>
            <dgm:param type="parTxRTLAlign" val="r"/>
            <dgm:param type="shpTxRTLAlignCh" val="r"/>
          </dgm:alg>
          <dgm:shape xmlns:r="http://schemas.openxmlformats.org/officeDocument/2006/relationships" rot="180" type="round2SameRect" r:blip="">
            <dgm:adjLst>
              <dgm:adj idx="1" val="0.15"/>
              <dgm:adj idx="2" val="0"/>
            </dgm:adjLst>
          </dgm:shape>
          <dgm:presOf axis="des" ptType="node"/>
          <dgm:constrLst>
            <dgm:constr type="primFontSz" val="28"/>
            <dgm:constr type="tMarg" refType="w" fact="0.12"/>
            <dgm:constr type="bMarg" refType="w" fact="0.12"/>
            <dgm:constr type="lMarg" refType="w" fact="0.12"/>
            <dgm:constr type="rMarg" refType="w" fact="0.12"/>
          </dgm:constrLst>
          <dgm:ruleLst>
            <dgm:rule type="primFontSz" val="11" fact="NaN" max="NaN"/>
          </dgm:ruleLst>
        </dgm:layoutNode>
      </dgm:layoutNode>
      <dgm:forEach name="Name19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7</xdr:row>
      <xdr:rowOff>114300</xdr:rowOff>
    </xdr:from>
    <xdr:to>
      <xdr:col>17</xdr:col>
      <xdr:colOff>114300</xdr:colOff>
      <xdr:row>35</xdr:row>
      <xdr:rowOff>152400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B69714D-7683-6CB9-BE7F-3BFFB7902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573123-AB61-5643-A9CD-A0BA58D2F77B}">
  <we:reference id="c9b8c9e5-6362-5d03-822f-a6cfc7511e4f" version="11.6.100.12" store="EXCatalog" storeType="EXCatalog"/>
  <we:alternateReferences/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jira.bnh.com/browse/BHUX-34377" TargetMode="External"/><Relationship Id="rId21" Type="http://schemas.openxmlformats.org/officeDocument/2006/relationships/hyperlink" Target="https://jira.bnh.com/browse/BHP-7274" TargetMode="External"/><Relationship Id="rId42" Type="http://schemas.openxmlformats.org/officeDocument/2006/relationships/hyperlink" Target="https://jira.bnh.com/browse/BHP-4563" TargetMode="External"/><Relationship Id="rId47" Type="http://schemas.openxmlformats.org/officeDocument/2006/relationships/hyperlink" Target="https://jira.bnh.com/browse/BHP-5132" TargetMode="External"/><Relationship Id="rId63" Type="http://schemas.openxmlformats.org/officeDocument/2006/relationships/hyperlink" Target="https://jira.bnh.com/browse/BHP-6901" TargetMode="External"/><Relationship Id="rId68" Type="http://schemas.openxmlformats.org/officeDocument/2006/relationships/hyperlink" Target="https://jira.bnh.com/browse/BHP-6434" TargetMode="External"/><Relationship Id="rId84" Type="http://schemas.openxmlformats.org/officeDocument/2006/relationships/hyperlink" Target="https://jira.bnh.com/browse/BHP-7431" TargetMode="External"/><Relationship Id="rId16" Type="http://schemas.openxmlformats.org/officeDocument/2006/relationships/hyperlink" Target="https://jira.bnh.com/browse/BHP-7237" TargetMode="External"/><Relationship Id="rId11" Type="http://schemas.openxmlformats.org/officeDocument/2006/relationships/hyperlink" Target="https://jira.bnh.com/browse/BHUX-34378" TargetMode="External"/><Relationship Id="rId32" Type="http://schemas.openxmlformats.org/officeDocument/2006/relationships/hyperlink" Target="https://jira.bnh.com/browse/BHUX-32621" TargetMode="External"/><Relationship Id="rId37" Type="http://schemas.openxmlformats.org/officeDocument/2006/relationships/hyperlink" Target="https://jira.bnh.com/browse/BHP-5060" TargetMode="External"/><Relationship Id="rId53" Type="http://schemas.openxmlformats.org/officeDocument/2006/relationships/hyperlink" Target="https://jira.bnh.com/browse/BHP-6444" TargetMode="External"/><Relationship Id="rId58" Type="http://schemas.openxmlformats.org/officeDocument/2006/relationships/hyperlink" Target="https://jira.bnh.com/browse/BHP-7301" TargetMode="External"/><Relationship Id="rId74" Type="http://schemas.openxmlformats.org/officeDocument/2006/relationships/hyperlink" Target="https://jira.bnh.com/browse/BHP-6900" TargetMode="External"/><Relationship Id="rId79" Type="http://schemas.openxmlformats.org/officeDocument/2006/relationships/hyperlink" Target="https://jira.bnh.com/browse/BHP-5830" TargetMode="External"/><Relationship Id="rId5" Type="http://schemas.openxmlformats.org/officeDocument/2006/relationships/hyperlink" Target="https://jira.bnh.com/browse/BHUX-33009" TargetMode="External"/><Relationship Id="rId19" Type="http://schemas.openxmlformats.org/officeDocument/2006/relationships/hyperlink" Target="https://jira.bnh.com/browse/BHUR-133" TargetMode="External"/><Relationship Id="rId14" Type="http://schemas.openxmlformats.org/officeDocument/2006/relationships/hyperlink" Target="https://jira.bnh.com/browse/BHUX-34845" TargetMode="External"/><Relationship Id="rId22" Type="http://schemas.openxmlformats.org/officeDocument/2006/relationships/hyperlink" Target="https://jira.bnh.com/browse/BHUX-35010" TargetMode="External"/><Relationship Id="rId27" Type="http://schemas.openxmlformats.org/officeDocument/2006/relationships/hyperlink" Target="https://jira.bnh.com/browse/BHUX-35303" TargetMode="External"/><Relationship Id="rId30" Type="http://schemas.openxmlformats.org/officeDocument/2006/relationships/hyperlink" Target="https://jira.bnh.com/browse/BHUX-35309" TargetMode="External"/><Relationship Id="rId35" Type="http://schemas.openxmlformats.org/officeDocument/2006/relationships/hyperlink" Target="https://jira.bnh.com/browse/BHP-2638" TargetMode="External"/><Relationship Id="rId43" Type="http://schemas.openxmlformats.org/officeDocument/2006/relationships/hyperlink" Target="https://jira.bnh.com/browse/MRCH-2202" TargetMode="External"/><Relationship Id="rId48" Type="http://schemas.openxmlformats.org/officeDocument/2006/relationships/hyperlink" Target="https://jira.bnh.com/browse/BHUX-29921" TargetMode="External"/><Relationship Id="rId56" Type="http://schemas.openxmlformats.org/officeDocument/2006/relationships/hyperlink" Target="https://jira.bnh.com/browse/BHP-7230" TargetMode="External"/><Relationship Id="rId64" Type="http://schemas.openxmlformats.org/officeDocument/2006/relationships/hyperlink" Target="https://jira.bnh.com/browse/BHP-6446" TargetMode="External"/><Relationship Id="rId69" Type="http://schemas.openxmlformats.org/officeDocument/2006/relationships/hyperlink" Target="https://jira.bnh.com/browse/BHP-7266" TargetMode="External"/><Relationship Id="rId77" Type="http://schemas.openxmlformats.org/officeDocument/2006/relationships/hyperlink" Target="https://jira.bnh.com/browse/BHP-7238" TargetMode="External"/><Relationship Id="rId8" Type="http://schemas.openxmlformats.org/officeDocument/2006/relationships/hyperlink" Target="https://jira.bnh.com/browse/BHUX-33510" TargetMode="External"/><Relationship Id="rId51" Type="http://schemas.openxmlformats.org/officeDocument/2006/relationships/hyperlink" Target="https://jira.bnh.com/browse/BHP-7236" TargetMode="External"/><Relationship Id="rId72" Type="http://schemas.openxmlformats.org/officeDocument/2006/relationships/hyperlink" Target="https://jira.bnh.com/browse/BHP-6735" TargetMode="External"/><Relationship Id="rId80" Type="http://schemas.openxmlformats.org/officeDocument/2006/relationships/hyperlink" Target="https://jira.bnh.com/browse/BHP-2802" TargetMode="External"/><Relationship Id="rId85" Type="http://schemas.openxmlformats.org/officeDocument/2006/relationships/hyperlink" Target="https://jira.bnh.com/browse/BHP-7431" TargetMode="External"/><Relationship Id="rId3" Type="http://schemas.openxmlformats.org/officeDocument/2006/relationships/hyperlink" Target="https://jira.bnh.com/browse/BHUX-26541" TargetMode="External"/><Relationship Id="rId12" Type="http://schemas.openxmlformats.org/officeDocument/2006/relationships/hyperlink" Target="https://jira.bnh.com/browse/BHUX-34723" TargetMode="External"/><Relationship Id="rId17" Type="http://schemas.openxmlformats.org/officeDocument/2006/relationships/hyperlink" Target="https://jira.bnh.com/browse/BHP-6444" TargetMode="External"/><Relationship Id="rId25" Type="http://schemas.openxmlformats.org/officeDocument/2006/relationships/hyperlink" Target="https://jira.bnh.com/browse/BHP-6827" TargetMode="External"/><Relationship Id="rId33" Type="http://schemas.openxmlformats.org/officeDocument/2006/relationships/hyperlink" Target="https://jira.bnh.com/browse/BHUX-32543" TargetMode="External"/><Relationship Id="rId38" Type="http://schemas.openxmlformats.org/officeDocument/2006/relationships/hyperlink" Target="https://jira.bnh.com/browse/BHUX-23755" TargetMode="External"/><Relationship Id="rId46" Type="http://schemas.openxmlformats.org/officeDocument/2006/relationships/hyperlink" Target="https://jira.bnh.com/browse/BHUX-32071" TargetMode="External"/><Relationship Id="rId59" Type="http://schemas.openxmlformats.org/officeDocument/2006/relationships/hyperlink" Target="https://jira.bnh.com/browse/BHP-3583" TargetMode="External"/><Relationship Id="rId67" Type="http://schemas.openxmlformats.org/officeDocument/2006/relationships/hyperlink" Target="https://jira.bnh.com/browse/BHP-6391" TargetMode="External"/><Relationship Id="rId20" Type="http://schemas.openxmlformats.org/officeDocument/2006/relationships/hyperlink" Target="https://jira.bnh.com/browse/BHUX-35020" TargetMode="External"/><Relationship Id="rId41" Type="http://schemas.openxmlformats.org/officeDocument/2006/relationships/hyperlink" Target="https://jira.bnh.com/browse/BHUX-28124" TargetMode="External"/><Relationship Id="rId54" Type="http://schemas.openxmlformats.org/officeDocument/2006/relationships/hyperlink" Target="https://jira.bnh.com/browse/BHP-7394" TargetMode="External"/><Relationship Id="rId62" Type="http://schemas.openxmlformats.org/officeDocument/2006/relationships/hyperlink" Target="https://jira.bnh.com/browse/BHP-4771" TargetMode="External"/><Relationship Id="rId70" Type="http://schemas.openxmlformats.org/officeDocument/2006/relationships/hyperlink" Target="https://jira.bnh.com/browse/BHUX-34844" TargetMode="External"/><Relationship Id="rId75" Type="http://schemas.openxmlformats.org/officeDocument/2006/relationships/hyperlink" Target="https://jira.bnh.com/browse/BHP-6434" TargetMode="External"/><Relationship Id="rId83" Type="http://schemas.openxmlformats.org/officeDocument/2006/relationships/hyperlink" Target="https://jira.bnh.com/browse/BHP-4563" TargetMode="External"/><Relationship Id="rId1" Type="http://schemas.openxmlformats.org/officeDocument/2006/relationships/hyperlink" Target="https://jira.bnh.com/browse/BHUX-32257" TargetMode="External"/><Relationship Id="rId6" Type="http://schemas.openxmlformats.org/officeDocument/2006/relationships/hyperlink" Target="https://jira.bnh.com/browse/BHUX-33519" TargetMode="External"/><Relationship Id="rId15" Type="http://schemas.openxmlformats.org/officeDocument/2006/relationships/hyperlink" Target="https://jira.bnh.com/browse/BHP-7236" TargetMode="External"/><Relationship Id="rId23" Type="http://schemas.openxmlformats.org/officeDocument/2006/relationships/hyperlink" Target="https://jira.bnh.com/browse/BHP-7230" TargetMode="External"/><Relationship Id="rId28" Type="http://schemas.openxmlformats.org/officeDocument/2006/relationships/hyperlink" Target="https://jira.bnh.com/browse/BHUX-35304" TargetMode="External"/><Relationship Id="rId36" Type="http://schemas.openxmlformats.org/officeDocument/2006/relationships/hyperlink" Target="https://jira.bnh.com/browse/BHP-3757" TargetMode="External"/><Relationship Id="rId49" Type="http://schemas.openxmlformats.org/officeDocument/2006/relationships/hyperlink" Target="https://jira.bnh.com/browse/BHP-7394" TargetMode="External"/><Relationship Id="rId57" Type="http://schemas.openxmlformats.org/officeDocument/2006/relationships/hyperlink" Target="https://jira.bnh.com/browse/BHP-7229" TargetMode="External"/><Relationship Id="rId10" Type="http://schemas.openxmlformats.org/officeDocument/2006/relationships/hyperlink" Target="https://jira.bnh.com/browse/BHP-6901" TargetMode="External"/><Relationship Id="rId31" Type="http://schemas.openxmlformats.org/officeDocument/2006/relationships/hyperlink" Target="https://jira.bnh.com/browse/BHJ-121278" TargetMode="External"/><Relationship Id="rId44" Type="http://schemas.openxmlformats.org/officeDocument/2006/relationships/hyperlink" Target="https://jira.bnh.com/browse/BHJ-119850" TargetMode="External"/><Relationship Id="rId52" Type="http://schemas.openxmlformats.org/officeDocument/2006/relationships/hyperlink" Target="https://jira.bnh.com/browse/BHP-7237" TargetMode="External"/><Relationship Id="rId60" Type="http://schemas.openxmlformats.org/officeDocument/2006/relationships/hyperlink" Target="https://jira.bnh.com/browse/BHP-4518" TargetMode="External"/><Relationship Id="rId65" Type="http://schemas.openxmlformats.org/officeDocument/2006/relationships/hyperlink" Target="https://jira.bnh.com/browse/BHP-4792" TargetMode="External"/><Relationship Id="rId73" Type="http://schemas.openxmlformats.org/officeDocument/2006/relationships/hyperlink" Target="https://jira.bnh.com/browse/BHP-7196" TargetMode="External"/><Relationship Id="rId78" Type="http://schemas.openxmlformats.org/officeDocument/2006/relationships/hyperlink" Target="https://jira.bnh.com/browse/BHUX-29580" TargetMode="External"/><Relationship Id="rId81" Type="http://schemas.openxmlformats.org/officeDocument/2006/relationships/hyperlink" Target="https://jira.bnh.com/browse/BHP-6228" TargetMode="External"/><Relationship Id="rId4" Type="http://schemas.openxmlformats.org/officeDocument/2006/relationships/hyperlink" Target="https://jira.bnh.com/browse/BHUX-33434" TargetMode="External"/><Relationship Id="rId9" Type="http://schemas.openxmlformats.org/officeDocument/2006/relationships/hyperlink" Target="https://jira.bnh.com/browse/BHUX-25601" TargetMode="External"/><Relationship Id="rId13" Type="http://schemas.openxmlformats.org/officeDocument/2006/relationships/hyperlink" Target="https://jira.bnh.com/browse/BHUX-34772" TargetMode="External"/><Relationship Id="rId18" Type="http://schemas.openxmlformats.org/officeDocument/2006/relationships/hyperlink" Target="https://jira.bnh.com/browse/BHP-7229" TargetMode="External"/><Relationship Id="rId39" Type="http://schemas.openxmlformats.org/officeDocument/2006/relationships/hyperlink" Target="https://jira.bnh.com/browse/BHUX-17615" TargetMode="External"/><Relationship Id="rId34" Type="http://schemas.openxmlformats.org/officeDocument/2006/relationships/hyperlink" Target="https://jira.bnh.com/browse/BHP-5817" TargetMode="External"/><Relationship Id="rId50" Type="http://schemas.openxmlformats.org/officeDocument/2006/relationships/hyperlink" Target="https://jira.bnh.com/browse/BHP-7274" TargetMode="External"/><Relationship Id="rId55" Type="http://schemas.openxmlformats.org/officeDocument/2006/relationships/hyperlink" Target="https://jira.bnh.com/browse/BHP-6827" TargetMode="External"/><Relationship Id="rId76" Type="http://schemas.openxmlformats.org/officeDocument/2006/relationships/hyperlink" Target="https://jira.bnh.com/browse/BHP-7228" TargetMode="External"/><Relationship Id="rId7" Type="http://schemas.openxmlformats.org/officeDocument/2006/relationships/hyperlink" Target="https://jira.bnh.com/browse/BHUX-29580" TargetMode="External"/><Relationship Id="rId71" Type="http://schemas.openxmlformats.org/officeDocument/2006/relationships/hyperlink" Target="https://jira.bnh.com/browse/BHP-6735" TargetMode="External"/><Relationship Id="rId2" Type="http://schemas.openxmlformats.org/officeDocument/2006/relationships/hyperlink" Target="https://jira.bnh.com/browse/BHUX-31874" TargetMode="External"/><Relationship Id="rId29" Type="http://schemas.openxmlformats.org/officeDocument/2006/relationships/hyperlink" Target="https://jira.bnh.com/browse/BHUX-35302" TargetMode="External"/><Relationship Id="rId24" Type="http://schemas.openxmlformats.org/officeDocument/2006/relationships/hyperlink" Target="https://jira.bnh.com/browse/BHP-7301" TargetMode="External"/><Relationship Id="rId40" Type="http://schemas.openxmlformats.org/officeDocument/2006/relationships/hyperlink" Target="https://jira.bnh.com/browse/BHUX-31354" TargetMode="External"/><Relationship Id="rId45" Type="http://schemas.openxmlformats.org/officeDocument/2006/relationships/hyperlink" Target="https://jira.bnh.com/browse/BHUX-31245" TargetMode="External"/><Relationship Id="rId66" Type="http://schemas.openxmlformats.org/officeDocument/2006/relationships/hyperlink" Target="https://jira.bnh.com/browse/BHP-5726" TargetMode="External"/><Relationship Id="rId61" Type="http://schemas.openxmlformats.org/officeDocument/2006/relationships/hyperlink" Target="https://jira.bnh.com/browse/BHP-7239" TargetMode="External"/><Relationship Id="rId82" Type="http://schemas.openxmlformats.org/officeDocument/2006/relationships/hyperlink" Target="https://jira.bnh.com/browse/BHP-714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bnh.com/browse/BHP-6901" TargetMode="External"/><Relationship Id="rId13" Type="http://schemas.openxmlformats.org/officeDocument/2006/relationships/hyperlink" Target="https://jira.bnh.com/browse/BHP-11" TargetMode="External"/><Relationship Id="rId18" Type="http://schemas.openxmlformats.org/officeDocument/2006/relationships/hyperlink" Target="https://jira.bnh.com/browse/BHP-7301" TargetMode="External"/><Relationship Id="rId3" Type="http://schemas.openxmlformats.org/officeDocument/2006/relationships/hyperlink" Target="https://jira.bnh.com/browse/BHP-6434" TargetMode="External"/><Relationship Id="rId21" Type="http://schemas.openxmlformats.org/officeDocument/2006/relationships/hyperlink" Target="https://jira.bnh.com/browse/BHP-7237" TargetMode="External"/><Relationship Id="rId7" Type="http://schemas.openxmlformats.org/officeDocument/2006/relationships/hyperlink" Target="https://jira.bnh.com/browse/BHP-4518" TargetMode="External"/><Relationship Id="rId12" Type="http://schemas.openxmlformats.org/officeDocument/2006/relationships/hyperlink" Target="https://jira.bnh.com/browse/BHP-3683" TargetMode="External"/><Relationship Id="rId17" Type="http://schemas.openxmlformats.org/officeDocument/2006/relationships/hyperlink" Target="https://jira.bnh.com/browse/BHP-7239" TargetMode="External"/><Relationship Id="rId25" Type="http://schemas.openxmlformats.org/officeDocument/2006/relationships/hyperlink" Target="https://jira.bnh.com/browse/BHP-6827" TargetMode="External"/><Relationship Id="rId2" Type="http://schemas.openxmlformats.org/officeDocument/2006/relationships/hyperlink" Target="https://jira.bnh.com/browse/BIDW-98341" TargetMode="External"/><Relationship Id="rId16" Type="http://schemas.openxmlformats.org/officeDocument/2006/relationships/hyperlink" Target="https://jira.bnh.com/browse/BHP-6444" TargetMode="External"/><Relationship Id="rId20" Type="http://schemas.openxmlformats.org/officeDocument/2006/relationships/hyperlink" Target="https://jira.bnh.com/browse/BHP-7236" TargetMode="External"/><Relationship Id="rId1" Type="http://schemas.openxmlformats.org/officeDocument/2006/relationships/hyperlink" Target="https://jira.bnh.com/browse/BHP-6391" TargetMode="External"/><Relationship Id="rId6" Type="http://schemas.openxmlformats.org/officeDocument/2006/relationships/hyperlink" Target="https://jira.bnh.com/browse/BHP-4771" TargetMode="External"/><Relationship Id="rId11" Type="http://schemas.openxmlformats.org/officeDocument/2006/relationships/hyperlink" Target="https://jira.bnh.com/browse/BHP-2802" TargetMode="External"/><Relationship Id="rId24" Type="http://schemas.openxmlformats.org/officeDocument/2006/relationships/hyperlink" Target="https://jira.bnh.com/browse/BHP-7230" TargetMode="External"/><Relationship Id="rId5" Type="http://schemas.openxmlformats.org/officeDocument/2006/relationships/hyperlink" Target="https://jira.bnh.com/browse/BHP-3583" TargetMode="External"/><Relationship Id="rId15" Type="http://schemas.openxmlformats.org/officeDocument/2006/relationships/hyperlink" Target="https://www.bhphotovideo.com/c/browse/school-safety/ci/64314%20has%20been%20created%20to%20point%20the%20categories%20on%20the%20landing%20page%20towards" TargetMode="External"/><Relationship Id="rId23" Type="http://schemas.openxmlformats.org/officeDocument/2006/relationships/hyperlink" Target="https://jira.bnh.com/browse/BHP-7274" TargetMode="External"/><Relationship Id="rId10" Type="http://schemas.openxmlformats.org/officeDocument/2006/relationships/hyperlink" Target="https://jira.bnh.com/browse/PMO-5000" TargetMode="External"/><Relationship Id="rId19" Type="http://schemas.openxmlformats.org/officeDocument/2006/relationships/hyperlink" Target="https://jira.bnh.com/browse/BHP-7228" TargetMode="External"/><Relationship Id="rId4" Type="http://schemas.openxmlformats.org/officeDocument/2006/relationships/hyperlink" Target="https://jira.bnh.com/browse/BHP-6955" TargetMode="External"/><Relationship Id="rId9" Type="http://schemas.openxmlformats.org/officeDocument/2006/relationships/hyperlink" Target="https://jira.bnh.com/browse/BHP-5830" TargetMode="External"/><Relationship Id="rId14" Type="http://schemas.openxmlformats.org/officeDocument/2006/relationships/hyperlink" Target="https://jira.bnh.com/browse/BHP-6446" TargetMode="External"/><Relationship Id="rId22" Type="http://schemas.openxmlformats.org/officeDocument/2006/relationships/hyperlink" Target="https://jira.bnh.com/browse/BHP-7266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bnh.com/browse/BHUX-33524" TargetMode="External"/><Relationship Id="rId2" Type="http://schemas.openxmlformats.org/officeDocument/2006/relationships/hyperlink" Target="https://jira.bnh.com/browse/BHUX-33409" TargetMode="External"/><Relationship Id="rId1" Type="http://schemas.openxmlformats.org/officeDocument/2006/relationships/hyperlink" Target="https://jira.bnh.com/browse/BHUX-33186" TargetMode="External"/><Relationship Id="rId6" Type="http://schemas.openxmlformats.org/officeDocument/2006/relationships/hyperlink" Target="https://jira.bnh.com/browse/BHUX-34079" TargetMode="External"/><Relationship Id="rId5" Type="http://schemas.openxmlformats.org/officeDocument/2006/relationships/hyperlink" Target="https://jira.bnh.com/browse/BHUX-33526" TargetMode="External"/><Relationship Id="rId4" Type="http://schemas.openxmlformats.org/officeDocument/2006/relationships/hyperlink" Target="https://jira.bnh.com/browse/BHUX-33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04D6-800B-284A-B57B-AB06E3920E32}">
  <dimension ref="A1:M27"/>
  <sheetViews>
    <sheetView zoomScale="129" zoomScaleNormal="129" workbookViewId="0">
      <selection activeCell="P16" sqref="P16"/>
    </sheetView>
  </sheetViews>
  <sheetFormatPr baseColWidth="10" defaultColWidth="11" defaultRowHeight="16" x14ac:dyDescent="0.2"/>
  <cols>
    <col min="1" max="1" width="57" bestFit="1" customWidth="1"/>
    <col min="2" max="2" width="21.1640625" bestFit="1" customWidth="1"/>
    <col min="3" max="3" width="16.83203125" bestFit="1" customWidth="1"/>
  </cols>
  <sheetData>
    <row r="1" spans="1:13" ht="27" thickBot="1" x14ac:dyDescent="0.35">
      <c r="A1" s="1" t="s">
        <v>0</v>
      </c>
      <c r="B1" s="2"/>
      <c r="C1" s="2"/>
      <c r="D1" s="2"/>
      <c r="E1" s="2"/>
      <c r="F1" s="131"/>
    </row>
    <row r="2" spans="1:13" ht="17" thickBot="1" x14ac:dyDescent="0.25">
      <c r="A2" s="8"/>
      <c r="B2" s="56" t="s">
        <v>321</v>
      </c>
      <c r="C2" s="56" t="s">
        <v>322</v>
      </c>
      <c r="D2" s="56" t="s">
        <v>323</v>
      </c>
      <c r="E2" s="56" t="s">
        <v>324</v>
      </c>
      <c r="F2" s="153" t="s">
        <v>325</v>
      </c>
      <c r="G2" s="154" t="s">
        <v>326</v>
      </c>
      <c r="H2" s="154" t="s">
        <v>327</v>
      </c>
      <c r="I2" s="155" t="s">
        <v>328</v>
      </c>
      <c r="J2" s="153" t="s">
        <v>329</v>
      </c>
      <c r="K2" s="154" t="s">
        <v>330</v>
      </c>
      <c r="L2" s="154" t="s">
        <v>331</v>
      </c>
      <c r="M2" s="155" t="s">
        <v>332</v>
      </c>
    </row>
    <row r="3" spans="1:13" ht="19" x14ac:dyDescent="0.2">
      <c r="A3" s="8" t="s">
        <v>5</v>
      </c>
      <c r="B3" s="9"/>
      <c r="C3" s="9"/>
      <c r="D3" s="9"/>
      <c r="E3" s="132" t="s">
        <v>6</v>
      </c>
      <c r="F3" s="140"/>
      <c r="G3" s="123"/>
      <c r="H3" s="135"/>
      <c r="I3" s="141"/>
      <c r="J3" s="148"/>
      <c r="K3" s="135"/>
      <c r="L3" s="135"/>
      <c r="M3" s="141"/>
    </row>
    <row r="4" spans="1:13" ht="19" x14ac:dyDescent="0.2">
      <c r="A4" s="10" t="s">
        <v>7</v>
      </c>
      <c r="B4" s="2"/>
      <c r="C4" s="2"/>
      <c r="D4" s="2"/>
      <c r="E4" s="133"/>
      <c r="F4" s="140"/>
      <c r="G4" s="123"/>
      <c r="H4" s="136"/>
      <c r="I4" s="142"/>
      <c r="J4" s="149"/>
      <c r="K4" s="136"/>
      <c r="L4" s="136"/>
      <c r="M4" s="141"/>
    </row>
    <row r="5" spans="1:13" ht="19" x14ac:dyDescent="0.2">
      <c r="A5" s="11" t="s">
        <v>13</v>
      </c>
      <c r="B5" s="6" t="s">
        <v>8</v>
      </c>
      <c r="C5" s="50" t="s">
        <v>14</v>
      </c>
      <c r="D5" s="51" t="s">
        <v>15</v>
      </c>
      <c r="E5" s="133"/>
      <c r="F5" s="140"/>
      <c r="G5" s="123"/>
      <c r="H5" s="136"/>
      <c r="I5" s="141"/>
      <c r="J5" s="148"/>
      <c r="K5" s="135"/>
      <c r="L5" s="135"/>
      <c r="M5" s="141"/>
    </row>
    <row r="6" spans="1:13" ht="19" x14ac:dyDescent="0.2">
      <c r="A6" s="11" t="s">
        <v>17</v>
      </c>
      <c r="B6" s="6" t="s">
        <v>8</v>
      </c>
      <c r="C6" s="50" t="s">
        <v>14</v>
      </c>
      <c r="D6" s="51" t="s">
        <v>15</v>
      </c>
      <c r="E6" s="133"/>
      <c r="F6" s="140"/>
      <c r="G6" s="123"/>
      <c r="H6" s="135"/>
      <c r="I6" s="141"/>
      <c r="J6" s="148"/>
      <c r="K6" s="135"/>
      <c r="L6" s="135"/>
      <c r="M6" s="141"/>
    </row>
    <row r="7" spans="1:13" ht="19" x14ac:dyDescent="0.2">
      <c r="A7" s="11" t="s">
        <v>19</v>
      </c>
      <c r="B7" s="6" t="s">
        <v>20</v>
      </c>
      <c r="C7" s="50" t="s">
        <v>14</v>
      </c>
      <c r="D7" s="51" t="s">
        <v>15</v>
      </c>
      <c r="E7" s="133"/>
      <c r="F7" s="140"/>
      <c r="G7" s="123"/>
      <c r="H7" s="137"/>
      <c r="I7" s="143"/>
      <c r="J7" s="150"/>
      <c r="K7" s="135"/>
      <c r="L7" s="135"/>
      <c r="M7" s="141"/>
    </row>
    <row r="8" spans="1:13" ht="19" x14ac:dyDescent="0.2">
      <c r="A8" s="19" t="s">
        <v>21</v>
      </c>
      <c r="B8" s="2"/>
      <c r="D8" s="52" t="s">
        <v>22</v>
      </c>
      <c r="E8" s="133"/>
      <c r="F8" s="140"/>
      <c r="G8" s="123"/>
      <c r="H8" s="135"/>
      <c r="I8" s="141"/>
      <c r="J8" s="148"/>
      <c r="K8" s="135"/>
      <c r="L8" s="135"/>
      <c r="M8" s="141"/>
    </row>
    <row r="9" spans="1:13" ht="19" x14ac:dyDescent="0.2">
      <c r="A9" s="10" t="s">
        <v>23</v>
      </c>
      <c r="B9" s="2"/>
      <c r="C9" s="2"/>
      <c r="D9" s="2"/>
      <c r="E9" s="133"/>
      <c r="F9" s="140"/>
      <c r="G9" s="123"/>
      <c r="H9" s="138"/>
      <c r="I9" s="141"/>
      <c r="J9" s="148"/>
      <c r="K9" s="135"/>
      <c r="L9" s="135"/>
      <c r="M9" s="141"/>
    </row>
    <row r="10" spans="1:13" ht="19" x14ac:dyDescent="0.2">
      <c r="A10" s="11" t="s">
        <v>24</v>
      </c>
      <c r="B10" s="6" t="s">
        <v>20</v>
      </c>
      <c r="C10" s="51" t="s">
        <v>25</v>
      </c>
      <c r="D10" s="51" t="s">
        <v>15</v>
      </c>
      <c r="E10" s="133"/>
      <c r="F10" s="140"/>
      <c r="G10" s="123"/>
      <c r="H10" s="139"/>
      <c r="I10" s="141"/>
      <c r="J10" s="148"/>
      <c r="K10" s="135"/>
      <c r="L10" s="135"/>
      <c r="M10" s="141"/>
    </row>
    <row r="11" spans="1:13" ht="19" x14ac:dyDescent="0.2">
      <c r="A11" s="11" t="s">
        <v>27</v>
      </c>
      <c r="B11" s="6" t="s">
        <v>20</v>
      </c>
      <c r="C11" s="50" t="s">
        <v>14</v>
      </c>
      <c r="D11" s="51" t="s">
        <v>15</v>
      </c>
      <c r="E11" s="133"/>
      <c r="F11" s="140"/>
      <c r="G11" s="123"/>
      <c r="H11" s="135"/>
      <c r="I11" s="141"/>
      <c r="J11" s="148"/>
      <c r="K11" s="135"/>
      <c r="L11" s="135"/>
      <c r="M11" s="141"/>
    </row>
    <row r="12" spans="1:13" ht="19" x14ac:dyDescent="0.2">
      <c r="A12" s="11" t="s">
        <v>28</v>
      </c>
      <c r="B12" s="6" t="s">
        <v>20</v>
      </c>
      <c r="C12" s="2"/>
      <c r="D12" s="2"/>
      <c r="E12" s="133"/>
      <c r="F12" s="140"/>
      <c r="G12" s="123"/>
      <c r="H12" s="135"/>
      <c r="I12" s="141"/>
      <c r="J12" s="148"/>
      <c r="K12" s="135"/>
      <c r="L12" s="135"/>
      <c r="M12" s="141"/>
    </row>
    <row r="13" spans="1:13" ht="19" x14ac:dyDescent="0.2">
      <c r="A13" s="12" t="s">
        <v>29</v>
      </c>
      <c r="B13" s="53"/>
      <c r="C13" s="53"/>
      <c r="D13" s="53"/>
      <c r="E13" s="133"/>
      <c r="F13" s="140"/>
      <c r="G13" s="123"/>
      <c r="H13" s="135"/>
      <c r="I13" s="141"/>
      <c r="J13" s="148"/>
      <c r="K13" s="135"/>
      <c r="L13" s="135"/>
      <c r="M13" s="141"/>
    </row>
    <row r="14" spans="1:13" ht="19" x14ac:dyDescent="0.2">
      <c r="A14" s="13" t="s">
        <v>30</v>
      </c>
      <c r="B14" s="2"/>
      <c r="C14" s="2"/>
      <c r="D14" s="2"/>
      <c r="E14" s="133"/>
      <c r="F14" s="140"/>
      <c r="G14" s="123"/>
      <c r="H14" s="123"/>
      <c r="I14" s="144"/>
      <c r="J14" s="151"/>
      <c r="K14" s="123"/>
      <c r="L14" s="123"/>
      <c r="M14" s="144"/>
    </row>
    <row r="15" spans="1:13" ht="19" x14ac:dyDescent="0.2">
      <c r="A15" s="11" t="s">
        <v>31</v>
      </c>
      <c r="B15" s="6" t="s">
        <v>20</v>
      </c>
      <c r="C15" s="50" t="s">
        <v>14</v>
      </c>
      <c r="D15" s="51" t="s">
        <v>12</v>
      </c>
      <c r="E15" s="133"/>
      <c r="F15" s="140"/>
      <c r="G15" s="123"/>
      <c r="H15" s="123"/>
      <c r="I15" s="144"/>
      <c r="J15" s="151"/>
      <c r="K15" s="123"/>
      <c r="L15" s="123"/>
      <c r="M15" s="144"/>
    </row>
    <row r="16" spans="1:13" ht="19" x14ac:dyDescent="0.2">
      <c r="A16" s="11" t="s">
        <v>33</v>
      </c>
      <c r="B16" s="6" t="s">
        <v>20</v>
      </c>
      <c r="C16" s="50" t="s">
        <v>14</v>
      </c>
      <c r="D16" s="51" t="s">
        <v>12</v>
      </c>
      <c r="E16" s="133"/>
      <c r="F16" s="140"/>
      <c r="G16" s="123"/>
      <c r="H16" s="123"/>
      <c r="I16" s="144"/>
      <c r="J16" s="151"/>
      <c r="K16" s="123"/>
      <c r="L16" s="123"/>
      <c r="M16" s="144"/>
    </row>
    <row r="17" spans="1:13" ht="19" x14ac:dyDescent="0.2">
      <c r="A17" s="14" t="s">
        <v>34</v>
      </c>
      <c r="B17" s="6" t="s">
        <v>8</v>
      </c>
      <c r="D17" s="51" t="s">
        <v>35</v>
      </c>
      <c r="E17" s="133"/>
      <c r="F17" s="140"/>
      <c r="G17" s="123"/>
      <c r="H17" s="123"/>
      <c r="I17" s="144"/>
      <c r="J17" s="151"/>
      <c r="K17" s="123"/>
      <c r="L17" s="123"/>
      <c r="M17" s="144"/>
    </row>
    <row r="18" spans="1:13" ht="19" x14ac:dyDescent="0.2">
      <c r="A18" s="11" t="s">
        <v>36</v>
      </c>
      <c r="B18" s="2"/>
      <c r="C18" s="6" t="s">
        <v>20</v>
      </c>
      <c r="D18" s="51" t="s">
        <v>35</v>
      </c>
      <c r="E18" s="133"/>
      <c r="F18" s="140"/>
      <c r="G18" s="123"/>
      <c r="H18" s="123"/>
      <c r="I18" s="144"/>
      <c r="J18" s="151"/>
      <c r="K18" s="123"/>
      <c r="L18" s="123"/>
      <c r="M18" s="144"/>
    </row>
    <row r="19" spans="1:13" ht="19" x14ac:dyDescent="0.2">
      <c r="A19" s="13" t="s">
        <v>37</v>
      </c>
      <c r="B19" s="2"/>
      <c r="C19" s="2"/>
      <c r="D19" s="2"/>
      <c r="E19" s="133"/>
      <c r="F19" s="140"/>
      <c r="G19" s="123"/>
      <c r="H19" s="123"/>
      <c r="I19" s="144"/>
      <c r="J19" s="151"/>
      <c r="K19" s="123"/>
      <c r="L19" s="123"/>
      <c r="M19" s="144"/>
    </row>
    <row r="20" spans="1:13" ht="19" x14ac:dyDescent="0.2">
      <c r="A20" s="11" t="s">
        <v>38</v>
      </c>
      <c r="B20" s="6" t="s">
        <v>8</v>
      </c>
      <c r="C20" s="3" t="s">
        <v>10</v>
      </c>
      <c r="D20" s="51" t="s">
        <v>15</v>
      </c>
      <c r="E20" s="133"/>
      <c r="F20" s="140"/>
      <c r="G20" s="123"/>
      <c r="H20" s="123"/>
      <c r="I20" s="144"/>
      <c r="J20" s="151"/>
      <c r="K20" s="123"/>
      <c r="L20" s="123"/>
      <c r="M20" s="144"/>
    </row>
    <row r="21" spans="1:13" ht="19" x14ac:dyDescent="0.2">
      <c r="A21" s="11" t="s">
        <v>40</v>
      </c>
      <c r="B21" s="6" t="s">
        <v>8</v>
      </c>
      <c r="C21" s="3" t="s">
        <v>10</v>
      </c>
      <c r="D21" s="51" t="s">
        <v>15</v>
      </c>
      <c r="E21" s="133"/>
      <c r="F21" s="140"/>
      <c r="G21" s="123"/>
      <c r="H21" s="123"/>
      <c r="I21" s="144"/>
      <c r="J21" s="151"/>
      <c r="K21" s="123"/>
      <c r="L21" s="123"/>
      <c r="M21" s="144"/>
    </row>
    <row r="22" spans="1:13" ht="19" x14ac:dyDescent="0.2">
      <c r="A22" s="11" t="s">
        <v>41</v>
      </c>
      <c r="B22" s="2"/>
      <c r="C22" s="2"/>
      <c r="D22" s="2"/>
      <c r="E22" s="133"/>
      <c r="F22" s="140"/>
      <c r="G22" s="123"/>
      <c r="H22" s="123"/>
      <c r="I22" s="144"/>
      <c r="J22" s="151"/>
      <c r="K22" s="123"/>
      <c r="L22" s="123"/>
      <c r="M22" s="144"/>
    </row>
    <row r="23" spans="1:13" ht="19" x14ac:dyDescent="0.2">
      <c r="A23" s="13" t="s">
        <v>42</v>
      </c>
      <c r="B23" s="4" t="s">
        <v>11</v>
      </c>
      <c r="C23" s="7" t="s">
        <v>16</v>
      </c>
      <c r="D23" s="51" t="s">
        <v>12</v>
      </c>
      <c r="E23" s="133"/>
      <c r="F23" s="140"/>
      <c r="G23" s="123"/>
      <c r="H23" s="123"/>
      <c r="I23" s="144"/>
      <c r="J23" s="151"/>
      <c r="K23" s="123"/>
      <c r="L23" s="123"/>
      <c r="M23" s="144"/>
    </row>
    <row r="24" spans="1:13" ht="19" x14ac:dyDescent="0.2">
      <c r="A24" s="12" t="s">
        <v>43</v>
      </c>
      <c r="B24" s="53"/>
      <c r="C24" s="53"/>
      <c r="D24" s="53"/>
      <c r="E24" s="133"/>
      <c r="F24" s="140"/>
      <c r="G24" s="123"/>
      <c r="H24" s="123"/>
      <c r="I24" s="144"/>
      <c r="J24" s="151"/>
      <c r="K24" s="123"/>
      <c r="L24" s="123"/>
      <c r="M24" s="144"/>
    </row>
    <row r="25" spans="1:13" ht="19" x14ac:dyDescent="0.2">
      <c r="A25" s="20" t="s">
        <v>44</v>
      </c>
      <c r="B25" s="6" t="s">
        <v>20</v>
      </c>
      <c r="C25" s="50" t="s">
        <v>14</v>
      </c>
      <c r="D25" s="51" t="s">
        <v>12</v>
      </c>
      <c r="E25" s="133"/>
      <c r="F25" s="140"/>
      <c r="G25" s="123"/>
      <c r="H25" s="123"/>
      <c r="I25" s="144"/>
      <c r="J25" s="151"/>
      <c r="K25" s="123"/>
      <c r="L25" s="123"/>
      <c r="M25" s="144"/>
    </row>
    <row r="26" spans="1:13" ht="19" x14ac:dyDescent="0.2">
      <c r="A26" s="18" t="s">
        <v>46</v>
      </c>
      <c r="B26" s="54" t="s">
        <v>47</v>
      </c>
      <c r="C26" s="2"/>
      <c r="D26" s="2"/>
      <c r="E26" s="133"/>
      <c r="F26" s="140"/>
      <c r="G26" s="123"/>
      <c r="H26" s="123"/>
      <c r="I26" s="144"/>
      <c r="J26" s="151"/>
      <c r="K26" s="123"/>
      <c r="L26" s="123"/>
      <c r="M26" s="144"/>
    </row>
    <row r="27" spans="1:13" ht="20" thickBot="1" x14ac:dyDescent="0.25">
      <c r="A27" s="15" t="s">
        <v>48</v>
      </c>
      <c r="B27" s="16" t="s">
        <v>49</v>
      </c>
      <c r="C27" s="55" t="s">
        <v>10</v>
      </c>
      <c r="D27" s="17" t="s">
        <v>15</v>
      </c>
      <c r="E27" s="134"/>
      <c r="F27" s="145"/>
      <c r="G27" s="146"/>
      <c r="H27" s="146"/>
      <c r="I27" s="147"/>
      <c r="J27" s="152"/>
      <c r="K27" s="146"/>
      <c r="L27" s="146"/>
      <c r="M27" s="147"/>
    </row>
  </sheetData>
  <mergeCells count="1">
    <mergeCell ref="E3:E27"/>
  </mergeCells>
  <phoneticPr fontId="2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3EE0-91B6-2C48-AE8D-76E6CB4B934E}">
  <dimension ref="A1:Y28"/>
  <sheetViews>
    <sheetView zoomScale="123" zoomScaleNormal="123" workbookViewId="0">
      <selection activeCell="Q14" sqref="Q14"/>
    </sheetView>
  </sheetViews>
  <sheetFormatPr baseColWidth="10" defaultColWidth="11" defaultRowHeight="16" x14ac:dyDescent="0.2"/>
  <cols>
    <col min="1" max="1" width="28.83203125" customWidth="1"/>
    <col min="4" max="4" width="17.1640625" bestFit="1" customWidth="1"/>
    <col min="5" max="5" width="14.33203125" bestFit="1" customWidth="1"/>
  </cols>
  <sheetData>
    <row r="1" spans="1:25" ht="17" thickBot="1" x14ac:dyDescent="0.25"/>
    <row r="2" spans="1:25" ht="17" thickBot="1" x14ac:dyDescent="0.25">
      <c r="A2" s="30" t="s">
        <v>50</v>
      </c>
      <c r="B2" s="163" t="s">
        <v>1</v>
      </c>
      <c r="C2" s="161"/>
      <c r="D2" s="162"/>
      <c r="E2" s="163" t="s">
        <v>2</v>
      </c>
      <c r="F2" s="161"/>
      <c r="G2" s="162"/>
      <c r="H2" s="163" t="s">
        <v>3</v>
      </c>
      <c r="I2" s="161"/>
      <c r="J2" s="162"/>
      <c r="K2" s="163" t="s">
        <v>4</v>
      </c>
      <c r="L2" s="161"/>
      <c r="M2" s="162"/>
      <c r="N2" s="163" t="s">
        <v>1</v>
      </c>
      <c r="O2" s="161"/>
      <c r="P2" s="162"/>
      <c r="Q2" s="163" t="s">
        <v>2</v>
      </c>
      <c r="R2" s="161"/>
      <c r="S2" s="162"/>
      <c r="T2" s="163" t="s">
        <v>3</v>
      </c>
      <c r="U2" s="161"/>
      <c r="V2" s="162"/>
      <c r="W2" s="163" t="s">
        <v>4</v>
      </c>
      <c r="X2" s="161"/>
      <c r="Y2" s="162"/>
    </row>
    <row r="3" spans="1:25" ht="21" thickBot="1" x14ac:dyDescent="0.3">
      <c r="A3" s="164" t="s">
        <v>51</v>
      </c>
      <c r="B3" s="165" t="s">
        <v>52</v>
      </c>
      <c r="C3" s="166" t="s">
        <v>53</v>
      </c>
      <c r="D3" s="167" t="s">
        <v>54</v>
      </c>
      <c r="E3" s="165" t="s">
        <v>55</v>
      </c>
      <c r="F3" s="166" t="s">
        <v>56</v>
      </c>
      <c r="G3" s="167" t="s">
        <v>57</v>
      </c>
      <c r="H3" s="165" t="s">
        <v>58</v>
      </c>
      <c r="I3" s="166" t="s">
        <v>59</v>
      </c>
      <c r="J3" s="167" t="s">
        <v>60</v>
      </c>
      <c r="K3" s="165" t="s">
        <v>61</v>
      </c>
      <c r="L3" s="166" t="s">
        <v>62</v>
      </c>
      <c r="M3" s="167" t="s">
        <v>63</v>
      </c>
      <c r="N3" s="165" t="s">
        <v>52</v>
      </c>
      <c r="O3" s="166" t="s">
        <v>53</v>
      </c>
      <c r="P3" s="167" t="s">
        <v>54</v>
      </c>
      <c r="Q3" s="165" t="s">
        <v>55</v>
      </c>
      <c r="R3" s="166" t="s">
        <v>56</v>
      </c>
      <c r="S3" s="167" t="s">
        <v>57</v>
      </c>
      <c r="T3" s="165" t="s">
        <v>58</v>
      </c>
      <c r="U3" s="166" t="s">
        <v>59</v>
      </c>
      <c r="V3" s="167" t="s">
        <v>60</v>
      </c>
      <c r="W3" s="165" t="s">
        <v>61</v>
      </c>
      <c r="X3" s="166" t="s">
        <v>62</v>
      </c>
      <c r="Y3" s="167" t="s">
        <v>63</v>
      </c>
    </row>
    <row r="4" spans="1:25" x14ac:dyDescent="0.2">
      <c r="A4" s="22" t="s">
        <v>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100" t="s">
        <v>6</v>
      </c>
      <c r="M4" s="101"/>
      <c r="N4" s="151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44"/>
    </row>
    <row r="5" spans="1:25" x14ac:dyDescent="0.2">
      <c r="A5" s="23" t="s">
        <v>7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100"/>
      <c r="M5" s="101"/>
      <c r="N5" s="151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44"/>
    </row>
    <row r="6" spans="1:25" x14ac:dyDescent="0.2">
      <c r="A6" s="24" t="s">
        <v>64</v>
      </c>
      <c r="B6" s="40"/>
      <c r="C6" s="40"/>
      <c r="D6" s="6" t="s">
        <v>20</v>
      </c>
      <c r="E6" s="104" t="s">
        <v>10</v>
      </c>
      <c r="F6" s="105"/>
      <c r="G6" s="110" t="s">
        <v>11</v>
      </c>
      <c r="H6" s="111"/>
      <c r="I6" s="116" t="s">
        <v>12</v>
      </c>
      <c r="J6" s="40"/>
      <c r="K6" s="40"/>
      <c r="L6" s="100"/>
      <c r="M6" s="101"/>
      <c r="N6" s="151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44"/>
    </row>
    <row r="7" spans="1:25" x14ac:dyDescent="0.2">
      <c r="A7" s="24" t="s">
        <v>17</v>
      </c>
      <c r="B7" s="40"/>
      <c r="C7" s="40"/>
      <c r="D7" s="6" t="s">
        <v>20</v>
      </c>
      <c r="E7" s="106"/>
      <c r="F7" s="107"/>
      <c r="G7" s="112"/>
      <c r="H7" s="113"/>
      <c r="I7" s="117"/>
      <c r="J7" s="40"/>
      <c r="K7" s="40"/>
      <c r="L7" s="100"/>
      <c r="M7" s="101"/>
      <c r="N7" s="151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44"/>
    </row>
    <row r="8" spans="1:25" x14ac:dyDescent="0.2">
      <c r="A8" s="24" t="s">
        <v>19</v>
      </c>
      <c r="B8" s="40"/>
      <c r="C8" s="40"/>
      <c r="D8" s="6" t="s">
        <v>20</v>
      </c>
      <c r="E8" s="108"/>
      <c r="F8" s="109"/>
      <c r="G8" s="114"/>
      <c r="H8" s="115"/>
      <c r="I8" s="118"/>
      <c r="J8" s="40"/>
      <c r="K8" s="40"/>
      <c r="L8" s="100"/>
      <c r="M8" s="101"/>
      <c r="N8" s="151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44"/>
    </row>
    <row r="9" spans="1:25" x14ac:dyDescent="0.2">
      <c r="A9" s="25" t="s">
        <v>21</v>
      </c>
      <c r="B9" s="40"/>
      <c r="C9" s="40"/>
      <c r="D9" s="40"/>
      <c r="E9" s="6" t="s">
        <v>8</v>
      </c>
      <c r="F9" s="5" t="s">
        <v>9</v>
      </c>
      <c r="G9" s="4" t="s">
        <v>11</v>
      </c>
      <c r="H9" s="41" t="s">
        <v>12</v>
      </c>
      <c r="I9" s="40"/>
      <c r="J9" s="40"/>
      <c r="K9" s="40"/>
      <c r="L9" s="100"/>
      <c r="M9" s="101"/>
      <c r="N9" s="151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44"/>
    </row>
    <row r="10" spans="1:25" x14ac:dyDescent="0.2">
      <c r="A10" s="23" t="s">
        <v>23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100"/>
      <c r="M10" s="101"/>
      <c r="N10" s="151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44"/>
    </row>
    <row r="11" spans="1:25" x14ac:dyDescent="0.2">
      <c r="A11" s="24" t="s">
        <v>24</v>
      </c>
      <c r="B11" s="40"/>
      <c r="C11" s="40"/>
      <c r="D11" s="6" t="s">
        <v>20</v>
      </c>
      <c r="E11" s="3" t="s">
        <v>10</v>
      </c>
      <c r="F11" s="4" t="s">
        <v>11</v>
      </c>
      <c r="G11" s="40"/>
      <c r="H11" s="40"/>
      <c r="I11" s="40"/>
      <c r="J11" s="40"/>
      <c r="K11" s="40"/>
      <c r="L11" s="100"/>
      <c r="M11" s="101"/>
      <c r="N11" s="151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44"/>
    </row>
    <row r="12" spans="1:25" x14ac:dyDescent="0.2">
      <c r="A12" s="24" t="s">
        <v>27</v>
      </c>
      <c r="B12" s="40"/>
      <c r="C12" s="40"/>
      <c r="D12" s="6" t="s">
        <v>8</v>
      </c>
      <c r="E12" s="6" t="s">
        <v>9</v>
      </c>
      <c r="F12" s="3" t="s">
        <v>10</v>
      </c>
      <c r="G12" s="4" t="s">
        <v>11</v>
      </c>
      <c r="H12" s="40"/>
      <c r="I12" s="40"/>
      <c r="J12" s="40"/>
      <c r="K12" s="40"/>
      <c r="L12" s="100"/>
      <c r="M12" s="101"/>
      <c r="N12" s="151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44"/>
    </row>
    <row r="13" spans="1:25" x14ac:dyDescent="0.2">
      <c r="A13" s="24" t="s">
        <v>28</v>
      </c>
      <c r="B13" s="40"/>
      <c r="C13" s="40"/>
      <c r="D13" s="40"/>
      <c r="E13" s="40"/>
      <c r="F13" s="40"/>
      <c r="G13" s="3" t="s">
        <v>10</v>
      </c>
      <c r="H13" s="4" t="s">
        <v>11</v>
      </c>
      <c r="I13" s="4" t="s">
        <v>11</v>
      </c>
      <c r="J13" s="41" t="s">
        <v>12</v>
      </c>
      <c r="K13" s="40"/>
      <c r="L13" s="100"/>
      <c r="M13" s="101"/>
      <c r="N13" s="151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44"/>
    </row>
    <row r="14" spans="1:25" x14ac:dyDescent="0.2">
      <c r="A14" s="28" t="s">
        <v>65</v>
      </c>
      <c r="B14" s="99" t="s">
        <v>10</v>
      </c>
      <c r="C14" s="99"/>
      <c r="D14" s="40"/>
      <c r="E14" s="40"/>
      <c r="F14" s="4" t="s">
        <v>11</v>
      </c>
      <c r="G14" s="41" t="s">
        <v>12</v>
      </c>
      <c r="H14" s="2"/>
      <c r="I14" s="2"/>
      <c r="J14" s="2"/>
      <c r="K14" s="40"/>
      <c r="L14" s="100"/>
      <c r="M14" s="101"/>
      <c r="N14" s="151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44"/>
    </row>
    <row r="15" spans="1:25" x14ac:dyDescent="0.2">
      <c r="A15" s="22" t="s">
        <v>29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100"/>
      <c r="M15" s="101"/>
      <c r="N15" s="151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44"/>
    </row>
    <row r="16" spans="1:25" x14ac:dyDescent="0.2">
      <c r="A16" s="26" t="s">
        <v>30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100"/>
      <c r="M16" s="101"/>
      <c r="N16" s="151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44"/>
    </row>
    <row r="17" spans="1:25" x14ac:dyDescent="0.2">
      <c r="A17" s="24" t="s">
        <v>31</v>
      </c>
      <c r="B17" s="40"/>
      <c r="C17" s="40"/>
      <c r="D17" s="6" t="s">
        <v>20</v>
      </c>
      <c r="E17" s="3" t="s">
        <v>10</v>
      </c>
      <c r="F17" s="3" t="s">
        <v>10</v>
      </c>
      <c r="G17" s="4" t="s">
        <v>11</v>
      </c>
      <c r="H17" s="4" t="s">
        <v>11</v>
      </c>
      <c r="I17" s="41" t="s">
        <v>12</v>
      </c>
      <c r="J17" s="40"/>
      <c r="K17" s="40"/>
      <c r="L17" s="100"/>
      <c r="M17" s="101"/>
      <c r="N17" s="151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44"/>
    </row>
    <row r="18" spans="1:25" x14ac:dyDescent="0.2">
      <c r="A18" s="24" t="s">
        <v>33</v>
      </c>
      <c r="B18" s="40"/>
      <c r="C18" s="40"/>
      <c r="D18" s="6" t="s">
        <v>20</v>
      </c>
      <c r="E18" s="40"/>
      <c r="F18" s="3" t="s">
        <v>10</v>
      </c>
      <c r="G18" s="4" t="s">
        <v>11</v>
      </c>
      <c r="H18" s="41" t="s">
        <v>35</v>
      </c>
      <c r="I18" s="40"/>
      <c r="J18" s="40"/>
      <c r="K18" s="40"/>
      <c r="L18" s="100"/>
      <c r="M18" s="101"/>
      <c r="N18" s="151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44"/>
    </row>
    <row r="19" spans="1:25" x14ac:dyDescent="0.2">
      <c r="A19" s="27" t="s">
        <v>34</v>
      </c>
      <c r="B19" s="40"/>
      <c r="C19" s="40"/>
      <c r="D19" s="6" t="s">
        <v>8</v>
      </c>
      <c r="E19" s="3" t="s">
        <v>10</v>
      </c>
      <c r="F19" s="4" t="s">
        <v>11</v>
      </c>
      <c r="G19" s="41" t="s">
        <v>12</v>
      </c>
      <c r="H19" s="40"/>
      <c r="I19" s="40"/>
      <c r="J19" s="40"/>
      <c r="K19" s="40"/>
      <c r="L19" s="100"/>
      <c r="M19" s="101"/>
      <c r="N19" s="151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44"/>
    </row>
    <row r="20" spans="1:25" x14ac:dyDescent="0.2">
      <c r="A20" s="24" t="s">
        <v>36</v>
      </c>
      <c r="B20" s="40"/>
      <c r="C20" s="40"/>
      <c r="D20" s="40"/>
      <c r="E20" s="40"/>
      <c r="F20" s="6" t="s">
        <v>20</v>
      </c>
      <c r="G20" s="4" t="s">
        <v>11</v>
      </c>
      <c r="H20" s="41" t="s">
        <v>12</v>
      </c>
      <c r="I20" s="40"/>
      <c r="J20" s="40"/>
      <c r="K20" s="40"/>
      <c r="L20" s="100"/>
      <c r="M20" s="101"/>
      <c r="N20" s="151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44"/>
    </row>
    <row r="21" spans="1:25" x14ac:dyDescent="0.2">
      <c r="A21" s="26" t="s">
        <v>37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100"/>
      <c r="M21" s="101"/>
      <c r="N21" s="151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44"/>
    </row>
    <row r="22" spans="1:25" x14ac:dyDescent="0.2">
      <c r="A22" s="24" t="s">
        <v>38</v>
      </c>
      <c r="B22" s="6" t="s">
        <v>8</v>
      </c>
      <c r="C22" s="6" t="s">
        <v>9</v>
      </c>
      <c r="D22" s="6" t="s">
        <v>66</v>
      </c>
      <c r="E22" s="6" t="s">
        <v>66</v>
      </c>
      <c r="F22" s="4" t="s">
        <v>11</v>
      </c>
      <c r="G22" s="41" t="s">
        <v>12</v>
      </c>
      <c r="H22" s="40"/>
      <c r="I22" s="40"/>
      <c r="J22" s="40"/>
      <c r="K22" s="40"/>
      <c r="L22" s="100"/>
      <c r="M22" s="101"/>
      <c r="N22" s="151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44"/>
    </row>
    <row r="23" spans="1:25" x14ac:dyDescent="0.2">
      <c r="A23" s="24" t="s">
        <v>40</v>
      </c>
      <c r="B23" s="40"/>
      <c r="C23" s="40"/>
      <c r="D23" s="40"/>
      <c r="E23" s="3" t="s">
        <v>10</v>
      </c>
      <c r="F23" s="41" t="s">
        <v>35</v>
      </c>
      <c r="G23" s="40"/>
      <c r="H23" s="40"/>
      <c r="I23" s="40"/>
      <c r="J23" s="40"/>
      <c r="K23" s="40"/>
      <c r="L23" s="100"/>
      <c r="M23" s="101"/>
      <c r="N23" s="151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44"/>
    </row>
    <row r="24" spans="1:25" x14ac:dyDescent="0.2">
      <c r="A24" s="24" t="s">
        <v>41</v>
      </c>
      <c r="B24" s="40"/>
      <c r="C24" s="40"/>
      <c r="D24" s="40"/>
      <c r="E24" s="40"/>
      <c r="F24" s="40"/>
      <c r="G24" s="40"/>
      <c r="H24" s="6" t="s">
        <v>8</v>
      </c>
      <c r="I24" s="6" t="s">
        <v>9</v>
      </c>
      <c r="J24" s="41" t="s">
        <v>12</v>
      </c>
      <c r="K24" s="40"/>
      <c r="L24" s="100"/>
      <c r="M24" s="101"/>
      <c r="N24" s="151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44"/>
    </row>
    <row r="25" spans="1:25" x14ac:dyDescent="0.2">
      <c r="A25" s="26" t="s">
        <v>42</v>
      </c>
      <c r="B25" s="40"/>
      <c r="C25" s="40"/>
      <c r="D25" s="40"/>
      <c r="E25" s="3" t="s">
        <v>10</v>
      </c>
      <c r="F25" s="4" t="s">
        <v>11</v>
      </c>
      <c r="G25" s="42" t="s">
        <v>16</v>
      </c>
      <c r="H25" s="42" t="s">
        <v>16</v>
      </c>
      <c r="I25" s="41" t="s">
        <v>12</v>
      </c>
      <c r="J25" s="40"/>
      <c r="K25" s="40"/>
      <c r="L25" s="100"/>
      <c r="M25" s="101"/>
      <c r="N25" s="151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44"/>
    </row>
    <row r="26" spans="1:25" ht="32" x14ac:dyDescent="0.2">
      <c r="A26" s="22" t="s">
        <v>43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100"/>
      <c r="M26" s="101"/>
      <c r="N26" s="151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44"/>
    </row>
    <row r="27" spans="1:25" x14ac:dyDescent="0.2">
      <c r="A27" s="28" t="s">
        <v>44</v>
      </c>
      <c r="B27" s="6" t="s">
        <v>8</v>
      </c>
      <c r="C27" s="6" t="s">
        <v>9</v>
      </c>
      <c r="D27" s="119" t="s">
        <v>10</v>
      </c>
      <c r="E27" s="119"/>
      <c r="F27" s="41" t="s">
        <v>35</v>
      </c>
      <c r="G27" s="40"/>
      <c r="H27" s="40"/>
      <c r="I27" s="40"/>
      <c r="J27" s="40"/>
      <c r="K27" s="40"/>
      <c r="L27" s="100"/>
      <c r="M27" s="101"/>
      <c r="N27" s="151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44"/>
    </row>
    <row r="28" spans="1:25" ht="17" thickBot="1" x14ac:dyDescent="0.25">
      <c r="A28" s="29" t="s">
        <v>48</v>
      </c>
      <c r="B28" s="43" t="s">
        <v>8</v>
      </c>
      <c r="C28" s="43" t="s">
        <v>9</v>
      </c>
      <c r="D28" s="120" t="s">
        <v>10</v>
      </c>
      <c r="E28" s="120"/>
      <c r="F28" s="44" t="s">
        <v>11</v>
      </c>
      <c r="G28" s="45" t="s">
        <v>12</v>
      </c>
      <c r="H28" s="46"/>
      <c r="I28" s="46"/>
      <c r="J28" s="46"/>
      <c r="K28" s="46"/>
      <c r="L28" s="102"/>
      <c r="M28" s="103"/>
      <c r="N28" s="152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7"/>
    </row>
  </sheetData>
  <mergeCells count="15">
    <mergeCell ref="Q2:S2"/>
    <mergeCell ref="T2:V2"/>
    <mergeCell ref="W2:Y2"/>
    <mergeCell ref="B2:D2"/>
    <mergeCell ref="E2:G2"/>
    <mergeCell ref="H2:J2"/>
    <mergeCell ref="K2:M2"/>
    <mergeCell ref="N2:P2"/>
    <mergeCell ref="B14:C14"/>
    <mergeCell ref="L4:M28"/>
    <mergeCell ref="E6:F8"/>
    <mergeCell ref="G6:H8"/>
    <mergeCell ref="I6:I8"/>
    <mergeCell ref="D27:E27"/>
    <mergeCell ref="D28:E28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A74A-974A-014C-83CF-66AB738EFD73}">
  <sheetPr>
    <pageSetUpPr fitToPage="1"/>
  </sheetPr>
  <dimension ref="A1:CT133"/>
  <sheetViews>
    <sheetView tabSelected="1" topLeftCell="B1" zoomScale="152" zoomScaleNormal="152" workbookViewId="0">
      <pane xSplit="24" ySplit="1" topLeftCell="AA2" activePane="bottomRight" state="frozen"/>
      <selection activeCell="B1" sqref="B1"/>
      <selection pane="topRight" activeCell="Y1" sqref="Y1"/>
      <selection pane="bottomLeft" activeCell="B2" sqref="B2"/>
      <selection pane="bottomRight" activeCell="AB30" sqref="AB30"/>
    </sheetView>
  </sheetViews>
  <sheetFormatPr baseColWidth="10" defaultColWidth="11" defaultRowHeight="16" x14ac:dyDescent="0.2"/>
  <cols>
    <col min="1" max="1" width="10.5" hidden="1" customWidth="1"/>
    <col min="2" max="2" width="10.83203125" bestFit="1" customWidth="1"/>
    <col min="3" max="3" width="33.5" customWidth="1"/>
    <col min="4" max="4" width="10.33203125" hidden="1" customWidth="1"/>
    <col min="5" max="5" width="40.5" customWidth="1"/>
    <col min="6" max="6" width="11.83203125" bestFit="1" customWidth="1"/>
    <col min="7" max="7" width="18.83203125" customWidth="1"/>
    <col min="8" max="22" width="0" hidden="1" customWidth="1"/>
    <col min="23" max="23" width="11" hidden="1" customWidth="1"/>
    <col min="24" max="26" width="0" hidden="1" customWidth="1"/>
  </cols>
  <sheetData>
    <row r="1" spans="1:98" s="21" customFormat="1" ht="17" thickBot="1" x14ac:dyDescent="0.25">
      <c r="A1" s="89" t="s">
        <v>67</v>
      </c>
      <c r="B1" s="174" t="s">
        <v>135</v>
      </c>
      <c r="C1" s="175" t="s">
        <v>312</v>
      </c>
      <c r="D1" s="175" t="s">
        <v>311</v>
      </c>
      <c r="E1" s="175" t="s">
        <v>68</v>
      </c>
      <c r="F1" s="175" t="s">
        <v>70</v>
      </c>
      <c r="G1" s="175" t="s">
        <v>69</v>
      </c>
      <c r="H1" s="176">
        <v>46125</v>
      </c>
      <c r="I1" s="176">
        <v>46132</v>
      </c>
      <c r="J1" s="176">
        <v>46139</v>
      </c>
      <c r="K1" s="176">
        <v>46146</v>
      </c>
      <c r="L1" s="176">
        <v>46153</v>
      </c>
      <c r="M1" s="176">
        <v>46160</v>
      </c>
      <c r="N1" s="176">
        <v>46167</v>
      </c>
      <c r="O1" s="177">
        <v>46174</v>
      </c>
      <c r="P1" s="177">
        <v>46181</v>
      </c>
      <c r="Q1" s="177">
        <v>46188</v>
      </c>
      <c r="R1" s="177">
        <v>46195</v>
      </c>
      <c r="S1" s="177">
        <v>46202</v>
      </c>
      <c r="T1" s="177">
        <v>46209</v>
      </c>
      <c r="U1" s="177">
        <v>46216</v>
      </c>
      <c r="V1" s="178">
        <v>46223</v>
      </c>
      <c r="W1" s="178">
        <v>46230</v>
      </c>
      <c r="X1" s="178">
        <v>46237</v>
      </c>
      <c r="Y1" s="178">
        <v>46244</v>
      </c>
      <c r="Z1" s="178">
        <v>46251</v>
      </c>
      <c r="AA1" s="178">
        <v>46258</v>
      </c>
      <c r="AB1" s="178">
        <v>46265</v>
      </c>
      <c r="AC1" s="178">
        <v>46272</v>
      </c>
      <c r="AD1" s="178">
        <v>46279</v>
      </c>
      <c r="AE1" s="178">
        <v>46286</v>
      </c>
      <c r="AF1" s="178">
        <v>46293</v>
      </c>
      <c r="AG1" s="178">
        <v>46300</v>
      </c>
      <c r="AH1" s="178">
        <v>46307</v>
      </c>
      <c r="AI1" s="178">
        <v>46314</v>
      </c>
      <c r="AJ1" s="178">
        <v>46321</v>
      </c>
      <c r="AK1" s="178">
        <v>46328</v>
      </c>
      <c r="AL1" s="178">
        <v>46335</v>
      </c>
      <c r="AM1" s="178">
        <v>46342</v>
      </c>
      <c r="AN1" s="178">
        <v>46349</v>
      </c>
      <c r="AO1" s="178">
        <v>46356</v>
      </c>
      <c r="AP1" s="178">
        <v>46363</v>
      </c>
      <c r="AQ1" s="178">
        <v>46370</v>
      </c>
      <c r="AR1" s="178">
        <v>46377</v>
      </c>
      <c r="AS1" s="178">
        <v>46384</v>
      </c>
      <c r="AT1" s="178">
        <v>46391</v>
      </c>
      <c r="AU1" s="178">
        <v>46398</v>
      </c>
      <c r="AV1" s="178">
        <v>46405</v>
      </c>
      <c r="AW1" s="178">
        <v>46412</v>
      </c>
      <c r="AX1" s="178">
        <v>46419</v>
      </c>
      <c r="AY1" s="178">
        <v>46426</v>
      </c>
      <c r="AZ1" s="178">
        <v>46433</v>
      </c>
      <c r="BA1" s="178">
        <v>46440</v>
      </c>
      <c r="BB1" s="178">
        <v>46447</v>
      </c>
      <c r="BC1" s="178">
        <v>46454</v>
      </c>
      <c r="BD1" s="178">
        <v>46461</v>
      </c>
      <c r="BE1" s="178">
        <v>46468</v>
      </c>
      <c r="BF1" s="178">
        <v>46475</v>
      </c>
      <c r="BG1" s="178">
        <v>46482</v>
      </c>
      <c r="BH1" s="178">
        <v>46489</v>
      </c>
      <c r="BI1" s="178">
        <v>46496</v>
      </c>
      <c r="BJ1" s="178">
        <v>46503</v>
      </c>
      <c r="BK1" s="178">
        <v>46510</v>
      </c>
      <c r="BL1" s="178">
        <v>46517</v>
      </c>
      <c r="BM1" s="178">
        <v>46524</v>
      </c>
      <c r="BN1" s="178">
        <v>46531</v>
      </c>
      <c r="BO1" s="178">
        <v>46538</v>
      </c>
      <c r="BP1" s="178">
        <v>46545</v>
      </c>
      <c r="BQ1" s="178">
        <v>46552</v>
      </c>
      <c r="BR1" s="178">
        <v>46559</v>
      </c>
      <c r="BS1" s="178">
        <v>46566</v>
      </c>
      <c r="BT1" s="178">
        <v>46573</v>
      </c>
      <c r="BU1" s="178">
        <v>46580</v>
      </c>
      <c r="BV1" s="178">
        <v>46587</v>
      </c>
      <c r="BW1" s="178">
        <v>46594</v>
      </c>
      <c r="BX1" s="178">
        <v>46601</v>
      </c>
      <c r="BY1" s="178">
        <v>46608</v>
      </c>
      <c r="BZ1" s="178">
        <v>46615</v>
      </c>
      <c r="CA1" s="178">
        <v>46622</v>
      </c>
      <c r="CB1" s="178">
        <v>46629</v>
      </c>
      <c r="CC1" s="178">
        <v>46636</v>
      </c>
      <c r="CD1" s="178">
        <v>46643</v>
      </c>
      <c r="CE1" s="178">
        <v>46650</v>
      </c>
      <c r="CF1" s="178">
        <v>46657</v>
      </c>
      <c r="CG1" s="178">
        <v>46664</v>
      </c>
      <c r="CH1" s="178">
        <v>46671</v>
      </c>
      <c r="CI1" s="178">
        <v>46678</v>
      </c>
      <c r="CJ1" s="178">
        <v>46685</v>
      </c>
      <c r="CK1" s="178">
        <v>46692</v>
      </c>
      <c r="CL1" s="178">
        <v>46699</v>
      </c>
      <c r="CM1" s="178">
        <v>46706</v>
      </c>
      <c r="CN1" s="178">
        <v>46713</v>
      </c>
      <c r="CO1" s="178">
        <v>46720</v>
      </c>
      <c r="CP1" s="178">
        <v>46727</v>
      </c>
      <c r="CQ1" s="178">
        <v>46734</v>
      </c>
      <c r="CR1" s="178">
        <v>46741</v>
      </c>
      <c r="CS1" s="178">
        <v>46748</v>
      </c>
      <c r="CT1" s="179">
        <v>46755</v>
      </c>
    </row>
    <row r="2" spans="1:98" x14ac:dyDescent="0.2">
      <c r="A2" s="71" t="s">
        <v>71</v>
      </c>
      <c r="B2" s="72" t="s">
        <v>213</v>
      </c>
      <c r="C2" s="168" t="s">
        <v>255</v>
      </c>
      <c r="D2" s="168" t="s">
        <v>253</v>
      </c>
      <c r="E2" s="168" t="s">
        <v>101</v>
      </c>
      <c r="F2" s="168" t="s">
        <v>102</v>
      </c>
      <c r="G2" s="72" t="s">
        <v>251</v>
      </c>
      <c r="H2" s="169"/>
      <c r="I2" s="169"/>
      <c r="J2" s="169"/>
      <c r="K2" s="170"/>
      <c r="L2" s="170"/>
      <c r="M2" s="170"/>
      <c r="N2" s="170"/>
      <c r="O2" s="171" t="s">
        <v>39</v>
      </c>
      <c r="P2" s="171" t="s">
        <v>39</v>
      </c>
      <c r="Q2" s="171" t="s">
        <v>39</v>
      </c>
      <c r="R2" s="171"/>
      <c r="S2" s="171"/>
      <c r="T2" s="171"/>
      <c r="U2" s="171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</row>
    <row r="3" spans="1:98" x14ac:dyDescent="0.2">
      <c r="A3" s="71" t="s">
        <v>71</v>
      </c>
      <c r="B3" s="37" t="s">
        <v>142</v>
      </c>
      <c r="C3" s="39" t="s">
        <v>260</v>
      </c>
      <c r="D3" s="37"/>
      <c r="E3" s="39" t="s">
        <v>86</v>
      </c>
      <c r="F3" s="39" t="s">
        <v>87</v>
      </c>
      <c r="G3" s="37" t="s">
        <v>251</v>
      </c>
      <c r="H3" s="33"/>
      <c r="I3" s="33"/>
      <c r="J3" s="33"/>
      <c r="K3" s="33"/>
      <c r="L3" s="32"/>
      <c r="M3" s="33"/>
      <c r="N3" s="33"/>
      <c r="O3" s="36"/>
      <c r="P3" s="62" t="s">
        <v>18</v>
      </c>
      <c r="Q3" s="62"/>
      <c r="R3" s="36"/>
      <c r="S3" s="36"/>
      <c r="T3" s="36"/>
      <c r="U3" s="36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70" t="s">
        <v>18</v>
      </c>
      <c r="AH3" s="70" t="s">
        <v>18</v>
      </c>
      <c r="AI3" s="70" t="s">
        <v>18</v>
      </c>
      <c r="AJ3" s="70" t="s">
        <v>18</v>
      </c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</row>
    <row r="4" spans="1:98" x14ac:dyDescent="0.2">
      <c r="A4" s="71" t="s">
        <v>71</v>
      </c>
      <c r="B4" s="37" t="s">
        <v>142</v>
      </c>
      <c r="C4" s="39" t="s">
        <v>254</v>
      </c>
      <c r="D4" s="37"/>
      <c r="E4" s="39" t="s">
        <v>93</v>
      </c>
      <c r="F4" s="126" t="s">
        <v>94</v>
      </c>
      <c r="G4" s="37" t="s">
        <v>244</v>
      </c>
      <c r="H4" s="33"/>
      <c r="I4" s="33" t="s">
        <v>26</v>
      </c>
      <c r="J4" s="33"/>
      <c r="K4" s="33" t="s">
        <v>26</v>
      </c>
      <c r="L4" s="32"/>
      <c r="M4" s="33"/>
      <c r="N4" s="32"/>
      <c r="O4" s="36"/>
      <c r="P4" s="62" t="s">
        <v>26</v>
      </c>
      <c r="Q4" s="36"/>
      <c r="R4" s="36"/>
      <c r="S4" s="36"/>
      <c r="T4" s="36"/>
      <c r="U4" s="36"/>
      <c r="V4" s="34"/>
      <c r="W4" s="34"/>
      <c r="X4" s="34"/>
      <c r="Y4" s="34"/>
      <c r="Z4" s="34"/>
      <c r="AA4" s="34"/>
      <c r="AB4" s="70" t="s">
        <v>26</v>
      </c>
      <c r="AC4" s="70" t="s">
        <v>26</v>
      </c>
      <c r="AD4" s="70" t="s">
        <v>26</v>
      </c>
      <c r="AE4" s="34"/>
      <c r="AF4" s="34"/>
      <c r="AG4" s="34"/>
      <c r="AH4" s="34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</row>
    <row r="5" spans="1:98" x14ac:dyDescent="0.2">
      <c r="A5" s="71" t="s">
        <v>71</v>
      </c>
      <c r="B5" s="37" t="s">
        <v>142</v>
      </c>
      <c r="C5" s="39" t="s">
        <v>259</v>
      </c>
      <c r="D5" s="37"/>
      <c r="E5" s="37" t="s">
        <v>224</v>
      </c>
      <c r="F5" s="39"/>
      <c r="G5" s="37" t="s">
        <v>244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4"/>
      <c r="X5" s="34"/>
      <c r="Y5" s="34"/>
      <c r="Z5" s="37"/>
      <c r="AA5" s="37"/>
      <c r="AB5" s="37"/>
      <c r="AC5" s="70" t="s">
        <v>104</v>
      </c>
      <c r="AD5" s="70" t="s">
        <v>104</v>
      </c>
      <c r="AE5" s="70" t="s">
        <v>104</v>
      </c>
      <c r="AF5" s="34"/>
      <c r="AG5" s="34"/>
      <c r="AH5" s="34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</row>
    <row r="6" spans="1:98" x14ac:dyDescent="0.2">
      <c r="A6" s="71" t="s">
        <v>71</v>
      </c>
      <c r="B6" s="37" t="s">
        <v>142</v>
      </c>
      <c r="C6" s="37"/>
      <c r="D6" s="37"/>
      <c r="E6" s="39" t="s">
        <v>212</v>
      </c>
      <c r="F6" s="39" t="s">
        <v>211</v>
      </c>
      <c r="G6" s="37" t="s">
        <v>244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</row>
    <row r="7" spans="1:98" x14ac:dyDescent="0.2">
      <c r="A7" s="71"/>
      <c r="B7" s="37" t="s">
        <v>213</v>
      </c>
      <c r="C7" s="39" t="s">
        <v>257</v>
      </c>
      <c r="D7" s="37"/>
      <c r="E7" s="39" t="s">
        <v>674</v>
      </c>
      <c r="F7" s="39" t="s">
        <v>673</v>
      </c>
      <c r="G7" s="37" t="s">
        <v>244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</row>
    <row r="8" spans="1:98" x14ac:dyDescent="0.2">
      <c r="A8" s="71" t="s">
        <v>71</v>
      </c>
      <c r="B8" s="37" t="s">
        <v>213</v>
      </c>
      <c r="C8" s="39" t="s">
        <v>253</v>
      </c>
      <c r="D8" s="39"/>
      <c r="E8" s="39" t="s">
        <v>128</v>
      </c>
      <c r="F8" s="39" t="s">
        <v>129</v>
      </c>
      <c r="G8" s="86" t="s">
        <v>246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4"/>
      <c r="X8" s="34"/>
      <c r="Y8" s="34"/>
      <c r="Z8" s="34"/>
      <c r="AA8" s="61" t="s">
        <v>32</v>
      </c>
      <c r="AB8" s="61" t="s">
        <v>32</v>
      </c>
      <c r="AC8" s="61" t="s">
        <v>32</v>
      </c>
      <c r="AD8" s="34"/>
      <c r="AE8" s="34"/>
      <c r="AF8" s="34"/>
      <c r="AG8" s="34"/>
      <c r="AH8" s="34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</row>
    <row r="9" spans="1:98" x14ac:dyDescent="0.2">
      <c r="A9" s="71" t="s">
        <v>71</v>
      </c>
      <c r="B9" s="37" t="s">
        <v>213</v>
      </c>
      <c r="C9" s="39" t="s">
        <v>257</v>
      </c>
      <c r="D9" s="39"/>
      <c r="E9" s="39" t="s">
        <v>132</v>
      </c>
      <c r="F9" s="39" t="s">
        <v>133</v>
      </c>
      <c r="G9" s="86" t="s">
        <v>246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4"/>
      <c r="X9" s="34"/>
      <c r="Y9" s="34"/>
      <c r="Z9" s="34"/>
      <c r="AA9" s="34"/>
      <c r="AB9" s="34"/>
      <c r="AC9" s="34"/>
      <c r="AD9" s="61" t="s">
        <v>32</v>
      </c>
      <c r="AE9" s="61" t="s">
        <v>32</v>
      </c>
      <c r="AF9" s="61" t="s">
        <v>32</v>
      </c>
      <c r="AG9" s="34"/>
      <c r="AH9" s="34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</row>
    <row r="10" spans="1:98" x14ac:dyDescent="0.2">
      <c r="A10" s="71" t="s">
        <v>71</v>
      </c>
      <c r="B10" s="37" t="s">
        <v>142</v>
      </c>
      <c r="C10" s="39" t="s">
        <v>254</v>
      </c>
      <c r="D10" s="37"/>
      <c r="E10" s="39" t="s">
        <v>223</v>
      </c>
      <c r="F10" s="39" t="s">
        <v>126</v>
      </c>
      <c r="G10" s="86" t="s">
        <v>246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4"/>
      <c r="X10" s="34"/>
      <c r="Y10" s="34"/>
      <c r="Z10" s="37"/>
      <c r="AA10" s="37"/>
      <c r="AB10" s="37"/>
      <c r="AC10" s="70" t="s">
        <v>104</v>
      </c>
      <c r="AD10" s="70" t="s">
        <v>104</v>
      </c>
      <c r="AE10" s="70" t="s">
        <v>104</v>
      </c>
      <c r="AF10" s="34"/>
      <c r="AG10" s="34"/>
      <c r="AH10" s="34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</row>
    <row r="11" spans="1:98" x14ac:dyDescent="0.2">
      <c r="A11" s="71"/>
      <c r="B11" s="37" t="s">
        <v>142</v>
      </c>
      <c r="C11" s="39" t="s">
        <v>260</v>
      </c>
      <c r="D11" s="37"/>
      <c r="E11" s="39" t="s">
        <v>275</v>
      </c>
      <c r="F11" s="39" t="s">
        <v>290</v>
      </c>
      <c r="G11" s="86" t="s">
        <v>246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70" t="s">
        <v>121</v>
      </c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</row>
    <row r="12" spans="1:98" x14ac:dyDescent="0.2">
      <c r="A12" s="71" t="s">
        <v>71</v>
      </c>
      <c r="B12" s="37" t="s">
        <v>213</v>
      </c>
      <c r="C12" s="39" t="s">
        <v>258</v>
      </c>
      <c r="D12" s="39"/>
      <c r="E12" s="39" t="s">
        <v>124</v>
      </c>
      <c r="F12" s="39" t="s">
        <v>125</v>
      </c>
      <c r="G12" s="86" t="s">
        <v>246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4"/>
      <c r="X12" s="34"/>
      <c r="Y12" s="61" t="s">
        <v>32</v>
      </c>
      <c r="Z12" s="37"/>
      <c r="AA12" s="37"/>
      <c r="AB12" s="34"/>
      <c r="AC12" s="61" t="s">
        <v>32</v>
      </c>
      <c r="AD12" s="61" t="s">
        <v>32</v>
      </c>
      <c r="AE12" s="34"/>
      <c r="AF12" s="34"/>
      <c r="AG12" s="34"/>
      <c r="AH12" s="34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</row>
    <row r="13" spans="1:98" x14ac:dyDescent="0.2">
      <c r="A13" s="71" t="s">
        <v>71</v>
      </c>
      <c r="B13" s="37" t="s">
        <v>142</v>
      </c>
      <c r="C13" s="39" t="s">
        <v>259</v>
      </c>
      <c r="D13" s="37"/>
      <c r="E13" s="39" t="s">
        <v>225</v>
      </c>
      <c r="F13" s="39" t="s">
        <v>219</v>
      </c>
      <c r="G13" s="86" t="s">
        <v>246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70" t="s">
        <v>104</v>
      </c>
      <c r="Z13" s="34"/>
      <c r="AA13" s="70" t="s">
        <v>104</v>
      </c>
      <c r="AB13" s="70" t="s">
        <v>104</v>
      </c>
      <c r="AC13" s="34"/>
      <c r="AD13" s="34"/>
      <c r="AE13" s="34"/>
      <c r="AF13" s="34"/>
      <c r="AG13" s="34"/>
      <c r="AH13" s="34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</row>
    <row r="14" spans="1:98" x14ac:dyDescent="0.2">
      <c r="A14" s="71" t="s">
        <v>71</v>
      </c>
      <c r="B14" s="37" t="s">
        <v>213</v>
      </c>
      <c r="C14" s="39" t="s">
        <v>258</v>
      </c>
      <c r="D14" s="39"/>
      <c r="E14" s="39" t="s">
        <v>119</v>
      </c>
      <c r="F14" s="39" t="s">
        <v>120</v>
      </c>
      <c r="G14" s="86" t="s">
        <v>246</v>
      </c>
      <c r="H14" s="34"/>
      <c r="I14" s="37"/>
      <c r="J14" s="37"/>
      <c r="K14" s="34"/>
      <c r="L14" s="34"/>
      <c r="M14" s="61" t="s">
        <v>121</v>
      </c>
      <c r="N14" s="61" t="s">
        <v>121</v>
      </c>
      <c r="O14" s="37"/>
      <c r="P14" s="37"/>
      <c r="Q14" s="37"/>
      <c r="R14" s="37"/>
      <c r="S14" s="37"/>
      <c r="T14" s="37"/>
      <c r="U14" s="37"/>
      <c r="V14" s="37"/>
      <c r="W14" s="34"/>
      <c r="X14" s="34"/>
      <c r="Y14" s="34"/>
      <c r="Z14" s="34"/>
      <c r="AA14" s="34"/>
      <c r="AB14" s="37"/>
      <c r="AC14" s="37"/>
      <c r="AD14" s="34"/>
      <c r="AE14" s="34"/>
      <c r="AF14" s="34"/>
      <c r="AG14" s="61" t="s">
        <v>121</v>
      </c>
      <c r="AH14" s="61" t="s">
        <v>121</v>
      </c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</row>
    <row r="15" spans="1:98" x14ac:dyDescent="0.2">
      <c r="A15" s="71" t="s">
        <v>71</v>
      </c>
      <c r="B15" s="37" t="s">
        <v>213</v>
      </c>
      <c r="C15" s="39" t="s">
        <v>257</v>
      </c>
      <c r="D15" s="39"/>
      <c r="E15" s="39" t="s">
        <v>221</v>
      </c>
      <c r="F15" s="39" t="s">
        <v>220</v>
      </c>
      <c r="G15" s="86" t="s">
        <v>246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</row>
    <row r="16" spans="1:98" s="31" customFormat="1" x14ac:dyDescent="0.2">
      <c r="A16" s="71" t="s">
        <v>71</v>
      </c>
      <c r="B16" s="37" t="s">
        <v>213</v>
      </c>
      <c r="C16" s="39" t="s">
        <v>258</v>
      </c>
      <c r="D16" s="39"/>
      <c r="E16" s="39" t="s">
        <v>122</v>
      </c>
      <c r="F16" s="39" t="s">
        <v>222</v>
      </c>
      <c r="G16" s="37" t="s">
        <v>247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4"/>
      <c r="X16" s="61" t="s">
        <v>39</v>
      </c>
      <c r="Y16" s="61" t="s">
        <v>39</v>
      </c>
      <c r="Z16" s="61" t="s">
        <v>39</v>
      </c>
      <c r="AA16" s="61" t="s">
        <v>39</v>
      </c>
      <c r="AB16" s="34"/>
      <c r="AC16" s="34"/>
      <c r="AD16" s="34"/>
      <c r="AE16" s="34"/>
      <c r="AF16" s="34"/>
      <c r="AG16" s="34"/>
      <c r="AH16" s="34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</row>
    <row r="17" spans="1:98" s="31" customFormat="1" x14ac:dyDescent="0.2">
      <c r="A17" s="71" t="s">
        <v>71</v>
      </c>
      <c r="B17" s="37" t="s">
        <v>142</v>
      </c>
      <c r="C17" s="39" t="s">
        <v>259</v>
      </c>
      <c r="D17" s="37"/>
      <c r="E17" s="39" t="s">
        <v>226</v>
      </c>
      <c r="F17" s="39" t="s">
        <v>243</v>
      </c>
      <c r="G17" s="37" t="s">
        <v>247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4"/>
      <c r="X17" s="34"/>
      <c r="Y17" s="34"/>
      <c r="Z17" s="70" t="s">
        <v>39</v>
      </c>
      <c r="AA17" s="70" t="s">
        <v>39</v>
      </c>
      <c r="AB17" s="70" t="s">
        <v>39</v>
      </c>
      <c r="AC17" s="70" t="s">
        <v>39</v>
      </c>
      <c r="AD17" s="34"/>
      <c r="AE17" s="34"/>
      <c r="AF17" s="34"/>
      <c r="AG17" s="34"/>
      <c r="AH17" s="34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</row>
    <row r="18" spans="1:98" x14ac:dyDescent="0.2">
      <c r="A18" s="71" t="s">
        <v>71</v>
      </c>
      <c r="B18" s="37" t="s">
        <v>213</v>
      </c>
      <c r="C18" s="39" t="s">
        <v>258</v>
      </c>
      <c r="D18" s="37" t="s">
        <v>256</v>
      </c>
      <c r="E18" s="39" t="s">
        <v>242</v>
      </c>
      <c r="F18" s="39" t="s">
        <v>241</v>
      </c>
      <c r="G18" s="37" t="s">
        <v>247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61" t="s">
        <v>104</v>
      </c>
      <c r="AB18" s="61" t="s">
        <v>104</v>
      </c>
      <c r="AC18" s="61" t="s">
        <v>104</v>
      </c>
      <c r="AD18" s="61" t="s">
        <v>104</v>
      </c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</row>
    <row r="19" spans="1:98" x14ac:dyDescent="0.2">
      <c r="A19" s="71" t="s">
        <v>71</v>
      </c>
      <c r="B19" s="37" t="s">
        <v>215</v>
      </c>
      <c r="C19" s="39" t="s">
        <v>256</v>
      </c>
      <c r="D19" s="37"/>
      <c r="E19" s="39" t="s">
        <v>207</v>
      </c>
      <c r="F19" s="39" t="s">
        <v>252</v>
      </c>
      <c r="G19" s="37" t="s">
        <v>245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4"/>
      <c r="X19" s="34"/>
      <c r="Y19" s="34"/>
      <c r="Z19" s="34"/>
      <c r="AA19" s="88" t="s">
        <v>104</v>
      </c>
      <c r="AB19" s="88" t="s">
        <v>104</v>
      </c>
      <c r="AC19" s="88" t="s">
        <v>104</v>
      </c>
      <c r="AD19" s="88" t="s">
        <v>104</v>
      </c>
      <c r="AE19" s="34"/>
      <c r="AF19" s="34"/>
      <c r="AG19" s="34"/>
      <c r="AH19" s="34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</row>
    <row r="20" spans="1:98" x14ac:dyDescent="0.2">
      <c r="A20" s="71" t="s">
        <v>71</v>
      </c>
      <c r="B20" s="37" t="s">
        <v>213</v>
      </c>
      <c r="C20" s="39" t="s">
        <v>253</v>
      </c>
      <c r="D20" s="39"/>
      <c r="E20" s="39" t="s">
        <v>116</v>
      </c>
      <c r="F20" s="39" t="s">
        <v>117</v>
      </c>
      <c r="G20" s="37" t="s">
        <v>245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6" t="s">
        <v>32</v>
      </c>
      <c r="V20" s="61" t="s">
        <v>32</v>
      </c>
      <c r="W20" s="61" t="s">
        <v>32</v>
      </c>
      <c r="X20" s="61" t="s">
        <v>32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</row>
    <row r="21" spans="1:98" x14ac:dyDescent="0.2">
      <c r="A21" s="71" t="s">
        <v>71</v>
      </c>
      <c r="B21" s="37" t="s">
        <v>213</v>
      </c>
      <c r="C21" s="39" t="s">
        <v>253</v>
      </c>
      <c r="D21" s="39"/>
      <c r="E21" s="39" t="s">
        <v>97</v>
      </c>
      <c r="F21" s="39" t="s">
        <v>98</v>
      </c>
      <c r="G21" s="37" t="s">
        <v>245</v>
      </c>
      <c r="H21" s="33"/>
      <c r="I21" s="33" t="s">
        <v>32</v>
      </c>
      <c r="J21" s="33" t="s">
        <v>32</v>
      </c>
      <c r="K21" s="33" t="s">
        <v>32</v>
      </c>
      <c r="L21" s="33" t="s">
        <v>32</v>
      </c>
      <c r="M21" s="33" t="s">
        <v>32</v>
      </c>
      <c r="N21" s="33" t="s">
        <v>32</v>
      </c>
      <c r="O21" s="36" t="s">
        <v>32</v>
      </c>
      <c r="P21" s="36" t="s">
        <v>32</v>
      </c>
      <c r="Q21" s="36" t="s">
        <v>32</v>
      </c>
      <c r="R21" s="36" t="s">
        <v>32</v>
      </c>
      <c r="S21" s="36" t="s">
        <v>32</v>
      </c>
      <c r="T21" s="36" t="s">
        <v>32</v>
      </c>
      <c r="U21" s="36" t="s">
        <v>32</v>
      </c>
      <c r="V21" s="61" t="s">
        <v>32</v>
      </c>
      <c r="W21" s="61" t="s">
        <v>32</v>
      </c>
      <c r="X21" s="61" t="s">
        <v>32</v>
      </c>
      <c r="Y21" s="61" t="s">
        <v>32</v>
      </c>
      <c r="Z21" s="61" t="s">
        <v>32</v>
      </c>
      <c r="AA21" s="61" t="s">
        <v>32</v>
      </c>
      <c r="AB21" s="61" t="s">
        <v>32</v>
      </c>
      <c r="AC21" s="61" t="s">
        <v>32</v>
      </c>
      <c r="AD21" s="61" t="s">
        <v>32</v>
      </c>
      <c r="AE21" s="61" t="s">
        <v>32</v>
      </c>
      <c r="AF21" s="61" t="s">
        <v>32</v>
      </c>
      <c r="AG21" s="34"/>
      <c r="AH21" s="34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</row>
    <row r="22" spans="1:98" x14ac:dyDescent="0.2">
      <c r="A22" s="71" t="s">
        <v>71</v>
      </c>
      <c r="B22" s="37" t="s">
        <v>213</v>
      </c>
      <c r="C22" s="39" t="s">
        <v>258</v>
      </c>
      <c r="D22" s="39"/>
      <c r="E22" s="39" t="s">
        <v>114</v>
      </c>
      <c r="F22" s="39" t="s">
        <v>115</v>
      </c>
      <c r="G22" s="37" t="s">
        <v>245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8"/>
      <c r="V22" s="61" t="s">
        <v>32</v>
      </c>
      <c r="W22" s="61" t="s">
        <v>32</v>
      </c>
      <c r="X22" s="61" t="s">
        <v>32</v>
      </c>
      <c r="Y22" s="61" t="s">
        <v>32</v>
      </c>
      <c r="Z22" s="61" t="s">
        <v>32</v>
      </c>
      <c r="AA22" s="61" t="s">
        <v>32</v>
      </c>
      <c r="AB22" s="34"/>
      <c r="AC22" s="34"/>
      <c r="AD22" s="34"/>
      <c r="AE22" s="34"/>
      <c r="AF22" s="34"/>
      <c r="AG22" s="34"/>
      <c r="AH22" s="34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</row>
    <row r="23" spans="1:98" x14ac:dyDescent="0.2">
      <c r="A23" s="71" t="s">
        <v>71</v>
      </c>
      <c r="B23" s="37" t="s">
        <v>213</v>
      </c>
      <c r="C23" s="39" t="s">
        <v>258</v>
      </c>
      <c r="D23" s="39"/>
      <c r="E23" s="127" t="s">
        <v>293</v>
      </c>
      <c r="F23" s="124" t="s">
        <v>118</v>
      </c>
      <c r="G23" s="37" t="s">
        <v>245</v>
      </c>
      <c r="H23" s="66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61" t="s">
        <v>104</v>
      </c>
      <c r="X23" s="61" t="s">
        <v>104</v>
      </c>
      <c r="Y23" s="61" t="s">
        <v>104</v>
      </c>
      <c r="Z23" s="61" t="s">
        <v>104</v>
      </c>
      <c r="AA23" s="61" t="s">
        <v>104</v>
      </c>
      <c r="AB23" s="34"/>
      <c r="AC23" s="34"/>
      <c r="AD23" s="34"/>
      <c r="AE23" s="34"/>
      <c r="AF23" s="34"/>
      <c r="AG23" s="34"/>
      <c r="AH23" s="34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</row>
    <row r="24" spans="1:98" x14ac:dyDescent="0.2">
      <c r="A24" s="71" t="s">
        <v>71</v>
      </c>
      <c r="B24" s="37" t="s">
        <v>213</v>
      </c>
      <c r="C24" s="39" t="s">
        <v>258</v>
      </c>
      <c r="D24" s="39"/>
      <c r="E24" s="39" t="s">
        <v>294</v>
      </c>
      <c r="F24" s="39" t="s">
        <v>218</v>
      </c>
      <c r="G24" s="37" t="s">
        <v>245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4"/>
      <c r="X24" s="34"/>
      <c r="Y24" s="61" t="s">
        <v>123</v>
      </c>
      <c r="Z24" s="61" t="s">
        <v>123</v>
      </c>
      <c r="AA24" s="61" t="s">
        <v>123</v>
      </c>
      <c r="AB24" s="34"/>
      <c r="AC24" s="34"/>
      <c r="AD24" s="34"/>
      <c r="AE24" s="34"/>
      <c r="AF24" s="34"/>
      <c r="AG24" s="34"/>
      <c r="AH24" s="34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</row>
    <row r="25" spans="1:98" x14ac:dyDescent="0.2">
      <c r="A25" s="71" t="s">
        <v>71</v>
      </c>
      <c r="B25" s="128" t="s">
        <v>214</v>
      </c>
      <c r="C25" s="39" t="s">
        <v>257</v>
      </c>
      <c r="D25" s="37" t="s">
        <v>260</v>
      </c>
      <c r="E25" s="129" t="s">
        <v>105</v>
      </c>
      <c r="F25" s="39" t="s">
        <v>106</v>
      </c>
      <c r="G25" s="37" t="s">
        <v>245</v>
      </c>
      <c r="H25" s="32"/>
      <c r="I25" s="32"/>
      <c r="J25" s="32"/>
      <c r="K25" s="32"/>
      <c r="L25" s="32"/>
      <c r="M25" s="32"/>
      <c r="N25" s="32"/>
      <c r="O25" s="36" t="s">
        <v>104</v>
      </c>
      <c r="P25" s="36" t="s">
        <v>104</v>
      </c>
      <c r="Q25" s="36" t="s">
        <v>104</v>
      </c>
      <c r="R25" s="36" t="s">
        <v>104</v>
      </c>
      <c r="S25" s="36" t="s">
        <v>104</v>
      </c>
      <c r="T25" s="36" t="s">
        <v>104</v>
      </c>
      <c r="U25" s="36" t="s">
        <v>104</v>
      </c>
      <c r="V25" s="59" t="s">
        <v>104</v>
      </c>
      <c r="W25" s="59" t="s">
        <v>104</v>
      </c>
      <c r="X25" s="59" t="s">
        <v>104</v>
      </c>
      <c r="Y25" s="59" t="s">
        <v>104</v>
      </c>
      <c r="Z25" s="88" t="s">
        <v>104</v>
      </c>
      <c r="AA25" s="88" t="s">
        <v>104</v>
      </c>
      <c r="AB25" s="88" t="s">
        <v>104</v>
      </c>
      <c r="AC25" s="88" t="s">
        <v>104</v>
      </c>
      <c r="AD25" s="88" t="s">
        <v>104</v>
      </c>
      <c r="AE25" s="88" t="s">
        <v>104</v>
      </c>
      <c r="AF25" s="88" t="s">
        <v>104</v>
      </c>
      <c r="AG25" s="34"/>
      <c r="AH25" s="34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</row>
    <row r="26" spans="1:98" x14ac:dyDescent="0.2">
      <c r="A26" s="71" t="s">
        <v>71</v>
      </c>
      <c r="B26" s="37" t="s">
        <v>213</v>
      </c>
      <c r="C26" s="39" t="s">
        <v>253</v>
      </c>
      <c r="D26" s="39"/>
      <c r="E26" s="39" t="s">
        <v>108</v>
      </c>
      <c r="F26" s="39" t="s">
        <v>109</v>
      </c>
      <c r="G26" s="37" t="s">
        <v>248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6" t="s">
        <v>110</v>
      </c>
      <c r="U26" s="62" t="s">
        <v>110</v>
      </c>
      <c r="V26" s="63" t="s">
        <v>110</v>
      </c>
      <c r="W26" s="63" t="s">
        <v>110</v>
      </c>
      <c r="X26" s="63" t="s">
        <v>110</v>
      </c>
      <c r="Y26" s="63" t="s">
        <v>110</v>
      </c>
      <c r="Z26" s="63" t="s">
        <v>110</v>
      </c>
      <c r="AA26" s="63" t="s">
        <v>110</v>
      </c>
      <c r="AB26" s="34"/>
      <c r="AC26" s="34"/>
      <c r="AD26" s="34"/>
      <c r="AE26" s="34"/>
      <c r="AF26" s="34"/>
      <c r="AG26" s="34"/>
      <c r="AH26" s="34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</row>
    <row r="27" spans="1:98" x14ac:dyDescent="0.2">
      <c r="A27" s="71" t="s">
        <v>71</v>
      </c>
      <c r="B27" s="37" t="s">
        <v>213</v>
      </c>
      <c r="C27" s="39" t="s">
        <v>253</v>
      </c>
      <c r="D27" s="39"/>
      <c r="E27" s="39" t="s">
        <v>111</v>
      </c>
      <c r="F27" s="39" t="s">
        <v>112</v>
      </c>
      <c r="G27" s="37" t="s">
        <v>273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8"/>
      <c r="U27" s="36" t="s">
        <v>32</v>
      </c>
      <c r="V27" s="37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</row>
    <row r="28" spans="1:98" x14ac:dyDescent="0.2">
      <c r="A28" s="71" t="s">
        <v>71</v>
      </c>
      <c r="B28" s="37" t="s">
        <v>213</v>
      </c>
      <c r="C28" s="39" t="s">
        <v>257</v>
      </c>
      <c r="D28" s="39"/>
      <c r="E28" s="39" t="s">
        <v>130</v>
      </c>
      <c r="F28" s="39" t="s">
        <v>264</v>
      </c>
      <c r="G28" s="37" t="s">
        <v>273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4"/>
      <c r="X28" s="34"/>
      <c r="Y28" s="34"/>
      <c r="Z28" s="61" t="s">
        <v>274</v>
      </c>
      <c r="AA28" s="34"/>
      <c r="AB28" s="37"/>
      <c r="AC28" s="37"/>
      <c r="AD28" s="34"/>
      <c r="AE28" s="34"/>
      <c r="AF28" s="34"/>
      <c r="AG28" s="34"/>
      <c r="AH28" s="34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</row>
    <row r="29" spans="1:98" x14ac:dyDescent="0.2">
      <c r="A29" s="83" t="s">
        <v>71</v>
      </c>
      <c r="B29" s="57" t="s">
        <v>215</v>
      </c>
      <c r="C29" s="39" t="s">
        <v>256</v>
      </c>
      <c r="D29" s="37"/>
      <c r="E29" s="124" t="s">
        <v>44</v>
      </c>
      <c r="F29" s="39" t="s">
        <v>103</v>
      </c>
      <c r="G29" s="37" t="s">
        <v>250</v>
      </c>
      <c r="H29" s="32"/>
      <c r="I29" s="32"/>
      <c r="J29" s="33" t="s">
        <v>45</v>
      </c>
      <c r="K29" s="69" t="s">
        <v>45</v>
      </c>
      <c r="L29" s="32"/>
      <c r="M29" s="32"/>
      <c r="N29" s="32"/>
      <c r="O29" s="36" t="s">
        <v>104</v>
      </c>
      <c r="P29" s="36"/>
      <c r="Q29" s="36"/>
      <c r="R29" s="36"/>
      <c r="S29" s="36"/>
      <c r="T29" s="36"/>
      <c r="U29" s="36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</row>
    <row r="30" spans="1:98" x14ac:dyDescent="0.2">
      <c r="A30" s="71" t="s">
        <v>71</v>
      </c>
      <c r="B30" s="37" t="s">
        <v>142</v>
      </c>
      <c r="C30" s="39" t="s">
        <v>260</v>
      </c>
      <c r="D30" s="37"/>
      <c r="E30" s="39" t="s">
        <v>107</v>
      </c>
      <c r="F30" s="39" t="s">
        <v>240</v>
      </c>
      <c r="G30" s="37" t="s">
        <v>250</v>
      </c>
      <c r="H30" s="38"/>
      <c r="I30" s="38"/>
      <c r="J30" s="38"/>
      <c r="K30" s="38"/>
      <c r="L30" s="38"/>
      <c r="M30" s="38"/>
      <c r="N30" s="38"/>
      <c r="O30" s="38"/>
      <c r="P30" s="38"/>
      <c r="Q30" s="36" t="s">
        <v>26</v>
      </c>
      <c r="R30" s="36" t="s">
        <v>26</v>
      </c>
      <c r="S30" s="36" t="s">
        <v>26</v>
      </c>
      <c r="T30" s="62" t="s">
        <v>26</v>
      </c>
      <c r="U30" s="62" t="s">
        <v>26</v>
      </c>
      <c r="V30" s="60" t="s">
        <v>26</v>
      </c>
      <c r="W30" s="60" t="s">
        <v>26</v>
      </c>
      <c r="X30" s="60" t="s">
        <v>26</v>
      </c>
      <c r="Y30" s="70" t="s">
        <v>26</v>
      </c>
      <c r="Z30" s="34"/>
      <c r="AA30" s="34"/>
      <c r="AB30" s="34"/>
      <c r="AC30" s="34"/>
      <c r="AD30" s="34"/>
      <c r="AE30" s="34"/>
      <c r="AF30" s="34"/>
      <c r="AG30" s="34"/>
      <c r="AH30" s="34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</row>
    <row r="31" spans="1:98" x14ac:dyDescent="0.2">
      <c r="A31" s="71" t="s">
        <v>71</v>
      </c>
      <c r="B31" s="37" t="s">
        <v>142</v>
      </c>
      <c r="C31" s="39" t="s">
        <v>260</v>
      </c>
      <c r="D31" s="37"/>
      <c r="E31" s="37" t="s">
        <v>72</v>
      </c>
      <c r="F31" s="39" t="s">
        <v>73</v>
      </c>
      <c r="G31" s="37" t="s">
        <v>250</v>
      </c>
      <c r="H31" s="33" t="s">
        <v>18</v>
      </c>
      <c r="I31" s="33" t="s">
        <v>18</v>
      </c>
      <c r="J31" s="33" t="s">
        <v>18</v>
      </c>
      <c r="K31" s="33" t="s">
        <v>18</v>
      </c>
      <c r="L31" s="33" t="s">
        <v>18</v>
      </c>
      <c r="M31" s="33"/>
      <c r="N31" s="32"/>
      <c r="O31" s="36"/>
      <c r="P31" s="36"/>
      <c r="Q31" s="36"/>
      <c r="R31" s="36"/>
      <c r="S31" s="36"/>
      <c r="T31" s="36"/>
      <c r="U31" s="36"/>
      <c r="V31" s="34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</row>
    <row r="32" spans="1:98" x14ac:dyDescent="0.2">
      <c r="A32" s="71" t="s">
        <v>71</v>
      </c>
      <c r="B32" s="37" t="s">
        <v>142</v>
      </c>
      <c r="C32" s="39" t="s">
        <v>260</v>
      </c>
      <c r="D32" s="37"/>
      <c r="E32" s="37" t="s">
        <v>74</v>
      </c>
      <c r="F32" s="39" t="s">
        <v>75</v>
      </c>
      <c r="G32" s="37" t="s">
        <v>250</v>
      </c>
      <c r="H32" s="33" t="s">
        <v>18</v>
      </c>
      <c r="I32" s="33" t="s">
        <v>18</v>
      </c>
      <c r="J32" s="33" t="s">
        <v>18</v>
      </c>
      <c r="K32" s="33" t="s">
        <v>18</v>
      </c>
      <c r="L32" s="33" t="s">
        <v>18</v>
      </c>
      <c r="M32" s="68" t="s">
        <v>18</v>
      </c>
      <c r="N32" s="33" t="s">
        <v>18</v>
      </c>
      <c r="O32" s="36"/>
      <c r="P32" s="36"/>
      <c r="Q32" s="36"/>
      <c r="R32" s="36"/>
      <c r="S32" s="36"/>
      <c r="T32" s="36"/>
      <c r="U32" s="36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</row>
    <row r="33" spans="1:98" x14ac:dyDescent="0.2">
      <c r="A33" s="71" t="s">
        <v>71</v>
      </c>
      <c r="B33" s="37" t="s">
        <v>142</v>
      </c>
      <c r="C33" s="39" t="s">
        <v>260</v>
      </c>
      <c r="D33" s="37"/>
      <c r="E33" s="37" t="s">
        <v>76</v>
      </c>
      <c r="F33" s="39" t="s">
        <v>77</v>
      </c>
      <c r="G33" s="37" t="s">
        <v>250</v>
      </c>
      <c r="H33" s="33"/>
      <c r="I33" s="33" t="s">
        <v>18</v>
      </c>
      <c r="J33" s="33" t="s">
        <v>18</v>
      </c>
      <c r="K33" s="33" t="s">
        <v>18</v>
      </c>
      <c r="L33" s="33" t="s">
        <v>18</v>
      </c>
      <c r="M33" s="33"/>
      <c r="N33" s="32"/>
      <c r="O33" s="36"/>
      <c r="P33" s="36"/>
      <c r="Q33" s="36"/>
      <c r="R33" s="36"/>
      <c r="S33" s="36"/>
      <c r="T33" s="36"/>
      <c r="U33" s="36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</row>
    <row r="34" spans="1:98" x14ac:dyDescent="0.2">
      <c r="A34" s="71" t="s">
        <v>71</v>
      </c>
      <c r="B34" s="37" t="s">
        <v>213</v>
      </c>
      <c r="C34" s="168" t="s">
        <v>255</v>
      </c>
      <c r="D34" s="39" t="s">
        <v>253</v>
      </c>
      <c r="E34" s="39" t="s">
        <v>266</v>
      </c>
      <c r="F34" s="39" t="s">
        <v>267</v>
      </c>
      <c r="G34" s="37" t="s">
        <v>250</v>
      </c>
      <c r="H34" s="33"/>
      <c r="I34" s="33"/>
      <c r="J34" s="33"/>
      <c r="K34" s="32"/>
      <c r="L34" s="32"/>
      <c r="M34" s="32"/>
      <c r="N34" s="32"/>
      <c r="O34" s="36"/>
      <c r="P34" s="36"/>
      <c r="Q34" s="36"/>
      <c r="R34" s="36"/>
      <c r="S34" s="36"/>
      <c r="T34" s="36"/>
      <c r="U34" s="36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</row>
    <row r="35" spans="1:98" x14ac:dyDescent="0.2">
      <c r="A35" s="71" t="s">
        <v>71</v>
      </c>
      <c r="B35" s="37" t="s">
        <v>215</v>
      </c>
      <c r="C35" s="39" t="s">
        <v>256</v>
      </c>
      <c r="D35" s="37"/>
      <c r="E35" s="39" t="s">
        <v>48</v>
      </c>
      <c r="F35" s="39" t="s">
        <v>268</v>
      </c>
      <c r="G35" s="37" t="s">
        <v>269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</row>
    <row r="36" spans="1:98" x14ac:dyDescent="0.2">
      <c r="A36" s="71" t="s">
        <v>71</v>
      </c>
      <c r="B36" s="37" t="s">
        <v>215</v>
      </c>
      <c r="C36" s="39" t="s">
        <v>256</v>
      </c>
      <c r="D36" s="37"/>
      <c r="E36" s="39" t="s">
        <v>270</v>
      </c>
      <c r="F36" s="39" t="s">
        <v>271</v>
      </c>
      <c r="G36" s="37" t="s">
        <v>263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</row>
    <row r="37" spans="1:98" x14ac:dyDescent="0.2">
      <c r="A37" s="71" t="s">
        <v>71</v>
      </c>
      <c r="B37" s="37" t="s">
        <v>213</v>
      </c>
      <c r="C37" s="39" t="s">
        <v>253</v>
      </c>
      <c r="D37" s="39"/>
      <c r="E37" s="37" t="s">
        <v>113</v>
      </c>
      <c r="F37" s="39"/>
      <c r="G37" s="37" t="s">
        <v>263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6" t="s">
        <v>32</v>
      </c>
      <c r="V37" s="61" t="s">
        <v>32</v>
      </c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</row>
    <row r="38" spans="1:98" x14ac:dyDescent="0.2">
      <c r="A38" s="83" t="s">
        <v>71</v>
      </c>
      <c r="B38" s="57" t="s">
        <v>213</v>
      </c>
      <c r="C38" s="39" t="s">
        <v>258</v>
      </c>
      <c r="D38" s="39"/>
      <c r="E38" s="124" t="s">
        <v>99</v>
      </c>
      <c r="F38" s="39" t="s">
        <v>100</v>
      </c>
      <c r="G38" s="37" t="s">
        <v>317</v>
      </c>
      <c r="H38" s="33"/>
      <c r="I38" s="33"/>
      <c r="J38" s="33" t="s">
        <v>39</v>
      </c>
      <c r="K38" s="33" t="s">
        <v>39</v>
      </c>
      <c r="L38" s="33"/>
      <c r="M38" s="33"/>
      <c r="N38" s="33"/>
      <c r="O38" s="36"/>
      <c r="P38" s="36"/>
      <c r="Q38" s="36"/>
      <c r="R38" s="36"/>
      <c r="S38" s="36"/>
      <c r="T38" s="36"/>
      <c r="U38" s="36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</row>
    <row r="39" spans="1:98" x14ac:dyDescent="0.2">
      <c r="A39" s="71"/>
      <c r="B39" s="37" t="s">
        <v>215</v>
      </c>
      <c r="C39" s="39" t="s">
        <v>256</v>
      </c>
      <c r="D39" s="37"/>
      <c r="E39" s="39" t="s">
        <v>276</v>
      </c>
      <c r="F39" s="39" t="s">
        <v>280</v>
      </c>
      <c r="G39" s="37" t="s">
        <v>314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</row>
    <row r="40" spans="1:98" x14ac:dyDescent="0.2">
      <c r="A40" s="123"/>
      <c r="B40" s="37" t="s">
        <v>215</v>
      </c>
      <c r="C40" s="39" t="s">
        <v>256</v>
      </c>
      <c r="D40" s="37"/>
      <c r="E40" s="125" t="s">
        <v>277</v>
      </c>
      <c r="F40" s="39" t="s">
        <v>281</v>
      </c>
      <c r="G40" s="37" t="s">
        <v>314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</row>
    <row r="41" spans="1:98" x14ac:dyDescent="0.2">
      <c r="A41" s="123"/>
      <c r="B41" s="37" t="s">
        <v>215</v>
      </c>
      <c r="C41" s="39" t="s">
        <v>256</v>
      </c>
      <c r="D41" s="37"/>
      <c r="E41" s="125" t="s">
        <v>279</v>
      </c>
      <c r="F41" s="39" t="s">
        <v>283</v>
      </c>
      <c r="G41" s="37" t="s">
        <v>314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</row>
    <row r="42" spans="1:98" x14ac:dyDescent="0.2">
      <c r="A42" s="123"/>
      <c r="B42" s="37" t="s">
        <v>215</v>
      </c>
      <c r="C42" s="39" t="s">
        <v>256</v>
      </c>
      <c r="D42" s="37"/>
      <c r="E42" s="125" t="s">
        <v>285</v>
      </c>
      <c r="F42" s="39" t="s">
        <v>287</v>
      </c>
      <c r="G42" s="37" t="s">
        <v>314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</row>
    <row r="43" spans="1:98" x14ac:dyDescent="0.2">
      <c r="A43" s="123"/>
      <c r="B43" s="37" t="s">
        <v>215</v>
      </c>
      <c r="C43" s="39" t="s">
        <v>256</v>
      </c>
      <c r="D43" s="37"/>
      <c r="E43" s="125" t="s">
        <v>286</v>
      </c>
      <c r="F43" s="39" t="s">
        <v>288</v>
      </c>
      <c r="G43" s="37" t="s">
        <v>314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</row>
    <row r="44" spans="1:98" x14ac:dyDescent="0.2">
      <c r="A44" s="123"/>
      <c r="B44" s="37" t="s">
        <v>215</v>
      </c>
      <c r="C44" s="39" t="s">
        <v>256</v>
      </c>
      <c r="D44" s="37"/>
      <c r="E44" s="39" t="s">
        <v>161</v>
      </c>
      <c r="F44" s="39" t="s">
        <v>289</v>
      </c>
      <c r="G44" s="37" t="s">
        <v>314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</row>
    <row r="45" spans="1:98" x14ac:dyDescent="0.2">
      <c r="A45" s="123" t="s">
        <v>71</v>
      </c>
      <c r="B45" s="37" t="s">
        <v>142</v>
      </c>
      <c r="C45" s="39" t="s">
        <v>260</v>
      </c>
      <c r="D45" s="37"/>
      <c r="E45" s="126" t="s">
        <v>95</v>
      </c>
      <c r="F45" s="126" t="s">
        <v>96</v>
      </c>
      <c r="G45" s="37" t="s">
        <v>314</v>
      </c>
      <c r="H45" s="33"/>
      <c r="I45" s="33"/>
      <c r="J45" s="33"/>
      <c r="K45" s="33" t="s">
        <v>26</v>
      </c>
      <c r="L45" s="33"/>
      <c r="M45" s="33"/>
      <c r="N45" s="32"/>
      <c r="O45" s="36"/>
      <c r="P45" s="36"/>
      <c r="Q45" s="36" t="s">
        <v>26</v>
      </c>
      <c r="R45" s="36"/>
      <c r="S45" s="36"/>
      <c r="T45" s="36"/>
      <c r="U45" s="36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</row>
    <row r="46" spans="1:98" x14ac:dyDescent="0.2">
      <c r="A46" s="123"/>
      <c r="B46" s="37" t="s">
        <v>213</v>
      </c>
      <c r="C46" s="168" t="s">
        <v>255</v>
      </c>
      <c r="D46" s="37"/>
      <c r="E46" s="39" t="s">
        <v>179</v>
      </c>
      <c r="F46" s="39" t="s">
        <v>284</v>
      </c>
      <c r="G46" s="37" t="s">
        <v>314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</row>
    <row r="47" spans="1:98" x14ac:dyDescent="0.2">
      <c r="A47" s="123"/>
      <c r="B47" s="37" t="s">
        <v>213</v>
      </c>
      <c r="C47" s="39" t="s">
        <v>258</v>
      </c>
      <c r="D47" s="39"/>
      <c r="E47" s="125" t="s">
        <v>278</v>
      </c>
      <c r="F47" s="39" t="s">
        <v>282</v>
      </c>
      <c r="G47" s="37" t="s">
        <v>314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</row>
    <row r="48" spans="1:98" x14ac:dyDescent="0.2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</row>
    <row r="49" spans="2:98" x14ac:dyDescent="0.2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</row>
    <row r="50" spans="2:98" x14ac:dyDescent="0.2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</row>
    <row r="51" spans="2:98" x14ac:dyDescent="0.2"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</row>
    <row r="52" spans="2:98" x14ac:dyDescent="0.2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</row>
    <row r="53" spans="2:98" x14ac:dyDescent="0.2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</row>
    <row r="54" spans="2:98" x14ac:dyDescent="0.2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</row>
    <row r="55" spans="2:98" x14ac:dyDescent="0.2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</row>
    <row r="56" spans="2:98" x14ac:dyDescent="0.2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</row>
    <row r="57" spans="2:98" x14ac:dyDescent="0.2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</row>
    <row r="58" spans="2:98" x14ac:dyDescent="0.2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</row>
    <row r="59" spans="2:98" x14ac:dyDescent="0.2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</row>
    <row r="60" spans="2:98" x14ac:dyDescent="0.2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</row>
    <row r="61" spans="2:98" x14ac:dyDescent="0.2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</row>
    <row r="62" spans="2:98" x14ac:dyDescent="0.2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</row>
    <row r="63" spans="2:98" x14ac:dyDescent="0.2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</row>
    <row r="64" spans="2:98" x14ac:dyDescent="0.2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</row>
    <row r="65" spans="2:98" x14ac:dyDescent="0.2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</row>
    <row r="66" spans="2:98" x14ac:dyDescent="0.2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</row>
    <row r="67" spans="2:98" x14ac:dyDescent="0.2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</row>
    <row r="68" spans="2:98" x14ac:dyDescent="0.2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</row>
    <row r="69" spans="2:98" x14ac:dyDescent="0.2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</row>
    <row r="70" spans="2:98" x14ac:dyDescent="0.2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</row>
    <row r="71" spans="2:98" x14ac:dyDescent="0.2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</row>
    <row r="72" spans="2:98" x14ac:dyDescent="0.2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</row>
    <row r="73" spans="2:98" x14ac:dyDescent="0.2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</row>
    <row r="74" spans="2:98" x14ac:dyDescent="0.2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</row>
    <row r="75" spans="2:98" x14ac:dyDescent="0.2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</row>
    <row r="76" spans="2:98" x14ac:dyDescent="0.2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</row>
    <row r="77" spans="2:98" x14ac:dyDescent="0.2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</row>
    <row r="78" spans="2:98" x14ac:dyDescent="0.2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</row>
    <row r="79" spans="2:98" x14ac:dyDescent="0.2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</row>
    <row r="80" spans="2:98" x14ac:dyDescent="0.2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</row>
    <row r="81" spans="2:98" x14ac:dyDescent="0.2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</row>
    <row r="82" spans="2:98" x14ac:dyDescent="0.2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</row>
    <row r="83" spans="2:98" x14ac:dyDescent="0.2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</row>
    <row r="84" spans="2:98" x14ac:dyDescent="0.2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</row>
    <row r="85" spans="2:98" x14ac:dyDescent="0.2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</row>
    <row r="86" spans="2:98" x14ac:dyDescent="0.2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</row>
    <row r="87" spans="2:98" x14ac:dyDescent="0.2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</row>
    <row r="88" spans="2:98" x14ac:dyDescent="0.2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</row>
    <row r="89" spans="2:98" x14ac:dyDescent="0.2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</row>
    <row r="90" spans="2:98" x14ac:dyDescent="0.2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</row>
    <row r="91" spans="2:98" x14ac:dyDescent="0.2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</row>
    <row r="92" spans="2:98" x14ac:dyDescent="0.2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</row>
    <row r="93" spans="2:98" x14ac:dyDescent="0.2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</row>
    <row r="94" spans="2:98" x14ac:dyDescent="0.2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</row>
    <row r="95" spans="2:98" x14ac:dyDescent="0.2"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</row>
    <row r="96" spans="2:98" x14ac:dyDescent="0.2"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</row>
    <row r="97" spans="2:98" x14ac:dyDescent="0.2"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</row>
    <row r="98" spans="2:98" x14ac:dyDescent="0.2"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</row>
    <row r="99" spans="2:98" x14ac:dyDescent="0.2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</row>
    <row r="100" spans="2:98" x14ac:dyDescent="0.2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</row>
    <row r="101" spans="2:98" x14ac:dyDescent="0.2"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</row>
    <row r="102" spans="2:98" x14ac:dyDescent="0.2"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</row>
    <row r="103" spans="2:98" x14ac:dyDescent="0.2"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</row>
    <row r="104" spans="2:98" x14ac:dyDescent="0.2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</row>
    <row r="105" spans="2:98" x14ac:dyDescent="0.2"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</row>
    <row r="106" spans="2:98" x14ac:dyDescent="0.2"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</row>
    <row r="107" spans="2:98" x14ac:dyDescent="0.2"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</row>
    <row r="108" spans="2:98" x14ac:dyDescent="0.2"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</row>
    <row r="109" spans="2:98" x14ac:dyDescent="0.2"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</row>
    <row r="110" spans="2:98" x14ac:dyDescent="0.2"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</row>
    <row r="111" spans="2:98" x14ac:dyDescent="0.2"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</row>
    <row r="112" spans="2:98" x14ac:dyDescent="0.2"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</row>
    <row r="113" spans="2:98" x14ac:dyDescent="0.2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</row>
    <row r="114" spans="2:98" x14ac:dyDescent="0.2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</row>
    <row r="115" spans="2:98" x14ac:dyDescent="0.2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</row>
    <row r="116" spans="2:98" x14ac:dyDescent="0.2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</row>
    <row r="117" spans="2:98" x14ac:dyDescent="0.2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</row>
    <row r="118" spans="2:98" x14ac:dyDescent="0.2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</row>
    <row r="119" spans="2:98" x14ac:dyDescent="0.2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</row>
    <row r="120" spans="2:98" x14ac:dyDescent="0.2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</row>
    <row r="121" spans="2:98" x14ac:dyDescent="0.2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</row>
    <row r="122" spans="2:98" x14ac:dyDescent="0.2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</row>
    <row r="123" spans="2:98" x14ac:dyDescent="0.2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</row>
    <row r="124" spans="2:98" x14ac:dyDescent="0.2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</row>
    <row r="125" spans="2:98" x14ac:dyDescent="0.2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</row>
    <row r="126" spans="2:98" x14ac:dyDescent="0.2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</row>
    <row r="127" spans="2:98" x14ac:dyDescent="0.2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</row>
    <row r="128" spans="2:98" x14ac:dyDescent="0.2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</row>
    <row r="129" spans="2:98" x14ac:dyDescent="0.2"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</row>
    <row r="130" spans="2:98" x14ac:dyDescent="0.2"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</row>
    <row r="131" spans="2:98" x14ac:dyDescent="0.2"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</row>
    <row r="132" spans="2:98" x14ac:dyDescent="0.2"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</row>
    <row r="133" spans="2:98" x14ac:dyDescent="0.2"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</row>
  </sheetData>
  <autoFilter ref="A1:AS47" xr:uid="{D617A74A-974A-014C-83CF-66AB738EFD73}">
    <sortState xmlns:xlrd2="http://schemas.microsoft.com/office/spreadsheetml/2017/richdata2" ref="A19:AS44">
      <sortCondition ref="C1:C47"/>
    </sortState>
  </autoFilter>
  <conditionalFormatting sqref="B1:B408">
    <cfRule type="cellIs" dxfId="48" priority="5" stopIfTrue="1" operator="equal">
      <formula>"Find"</formula>
    </cfRule>
  </conditionalFormatting>
  <conditionalFormatting sqref="B1:B4098">
    <cfRule type="cellIs" dxfId="47" priority="6" operator="equal">
      <formula>"Used"</formula>
    </cfRule>
    <cfRule type="cellIs" dxfId="46" priority="7" stopIfTrue="1" operator="equal">
      <formula>"B2B"</formula>
    </cfRule>
  </conditionalFormatting>
  <conditionalFormatting sqref="F38">
    <cfRule type="cellIs" dxfId="45" priority="1" stopIfTrue="1" operator="equal">
      <formula>"Find"</formula>
    </cfRule>
    <cfRule type="cellIs" dxfId="44" priority="2" operator="equal">
      <formula>"Used"</formula>
    </cfRule>
    <cfRule type="cellIs" dxfId="43" priority="3" stopIfTrue="1" operator="equal">
      <formula>"B2B"</formula>
    </cfRule>
  </conditionalFormatting>
  <hyperlinks>
    <hyperlink ref="F33" r:id="rId1" display="https://jira.bnh.com/browse/BHUX-32257" xr:uid="{1C354678-9971-9D4A-A8AC-E5BBDDCCE013}"/>
    <hyperlink ref="F32" r:id="rId2" display="https://jira.bnh.com/browse/BHUX-31874" xr:uid="{7A61BEF3-985C-DE49-9810-3B7AA96C37F4}"/>
    <hyperlink ref="F31" r:id="rId3" tooltip="https://jira.bnh.com/browse/bhux-26541" display="https://jira.bnh.com/browse/BHUX-26541" xr:uid="{4F4FA8AC-5B96-824E-96FF-6F0487BD9D79}"/>
    <hyperlink ref="F4" r:id="rId4" display="https://jira.bnh.com/browse/BHUX-33434" xr:uid="{48B8F246-87C7-974B-92DE-04DD88DE8E39}"/>
    <hyperlink ref="F21" r:id="rId5" display="https://jira.bnh.com/browse/BHUX-33009" xr:uid="{1550CF72-27B8-9A4D-B1B3-6ACE965DBE3F}"/>
    <hyperlink ref="F38" r:id="rId6" display="https://jira.bnh.com/browse/BHUX-33519" xr:uid="{274503DF-5655-534C-83F1-397A28F8A4F3}"/>
    <hyperlink ref="F29" r:id="rId7" display="https://jira.bnh.com/browse/BHUX-29580" xr:uid="{AC3EF1E9-C7B5-6441-8A4A-FD0B5401DF03}"/>
    <hyperlink ref="F2" r:id="rId8" display="https://jira.bnh.com/browse/BHUX-33510" xr:uid="{0093F7F4-29CF-EF42-B621-529D5614C679}"/>
    <hyperlink ref="F45" r:id="rId9" display="https://jira.bnh.com/browse/BHUX-25601" xr:uid="{9C0A745D-1AD2-428F-80A5-45D22A760249}"/>
    <hyperlink ref="F3" r:id="rId10" xr:uid="{52EBE770-197D-C64C-9023-D4AECB64343B}"/>
    <hyperlink ref="F25" r:id="rId11" xr:uid="{D47F3920-6283-EC4E-BDF9-396F18F5CFD0}"/>
    <hyperlink ref="F27" r:id="rId12" xr:uid="{F4B206DE-30A4-8848-9A71-872B9DF716DF}"/>
    <hyperlink ref="F20" r:id="rId13" xr:uid="{F67A537A-1441-4463-A878-15E37D9F7A9E}"/>
    <hyperlink ref="F23" r:id="rId14" xr:uid="{29318F78-DC1C-B545-AE41-743063DF9A87}"/>
    <hyperlink ref="F8" r:id="rId15" xr:uid="{1B63E88D-B34C-3342-B97C-6B8679CB5133}"/>
    <hyperlink ref="F9" r:id="rId16" xr:uid="{12EBEDEE-C94C-6D47-B1BB-087369F4D7A0}"/>
    <hyperlink ref="F10" r:id="rId17" xr:uid="{9A954CFA-8612-1042-B812-977E61E32E0D}"/>
    <hyperlink ref="F12" r:id="rId18" xr:uid="{888A79F7-D085-FE4A-9FF7-071CEAD0388B}"/>
    <hyperlink ref="F26" r:id="rId19" xr:uid="{AF84EE80-342A-4446-8F72-9906F7FDC91D}"/>
    <hyperlink ref="F16" r:id="rId20" xr:uid="{A1DCF875-1CF1-9B4C-B7A5-3169E5B54A57}"/>
    <hyperlink ref="F6" r:id="rId21" xr:uid="{3CA236C1-3268-5143-AC97-795D87FAD8A3}"/>
    <hyperlink ref="F24" r:id="rId22" xr:uid="{E7FF6711-78F6-7F4B-8338-D76928FBC43D}"/>
    <hyperlink ref="F14" r:id="rId23" xr:uid="{0C216D9E-C519-AA49-97F8-151B855E066C}"/>
    <hyperlink ref="F13" r:id="rId24" xr:uid="{18CD5813-B83E-4549-92EC-6C3D116ED54E}"/>
    <hyperlink ref="F15" r:id="rId25" xr:uid="{FBB2D68B-E12D-434D-B9C8-A3EEDC568A78}"/>
    <hyperlink ref="F30" r:id="rId26" xr:uid="{FCDA5FFA-8DC3-2547-9D25-5BEC9BD64DE2}"/>
    <hyperlink ref="F18" r:id="rId27" display="https://jira.bnh.com/browse/BHUX-35303" xr:uid="{25815AAD-0620-024D-8599-004E501A4D5A}"/>
    <hyperlink ref="F17" r:id="rId28" display="https://jira.bnh.com/browse/BHUX-35304" xr:uid="{CD2CDBC0-4BF2-C447-BAA3-47C078088A53}"/>
    <hyperlink ref="F19" r:id="rId29" display="https://jira.bnh.com/browse/BHUX-35302" xr:uid="{6937F591-2287-B143-8E47-4AE79AF27F1D}"/>
    <hyperlink ref="F28" r:id="rId30" display="https://jira.bnh.com/browse/BHUX-35309" xr:uid="{81521203-423D-7749-8201-0A37D43F2EBB}"/>
    <hyperlink ref="F34" r:id="rId31" display="https://jira.bnh.com/browse/BHJ-121278" xr:uid="{DB9410EC-0A9A-EB48-B601-8376A62CF053}"/>
    <hyperlink ref="F35" r:id="rId32" display="https://jira.bnh.com/browse/BHUX-32621" xr:uid="{C1BA8E57-AA11-6349-BE5E-3DEBA0D407E0}"/>
    <hyperlink ref="F36" r:id="rId33" display="https://jira.bnh.com/browse/BHUX-32543" xr:uid="{A13D8EC9-CB84-0B49-A7C6-7D32C923FD94}"/>
    <hyperlink ref="E47" r:id="rId34" xr:uid="{90AD36D7-1C9F-AC40-BCED-6F7300E7C21A}"/>
    <hyperlink ref="E40" r:id="rId35" xr:uid="{C94E2A4F-AB50-F043-B86A-1C5C7056BAA9}"/>
    <hyperlink ref="E39" r:id="rId36" xr:uid="{87F19C9A-BFD1-744D-B8FF-4868F93DA700}"/>
    <hyperlink ref="E41" r:id="rId37" xr:uid="{A1A9AFCD-1B41-AA4F-A69D-D4B64098F15B}"/>
    <hyperlink ref="F40" r:id="rId38" display="https://jira.bnh.com/browse/BHUX-23755" xr:uid="{492578A2-7A0C-924D-AF89-3449ECDC29B6}"/>
    <hyperlink ref="F39" r:id="rId39" display="https://jira.bnh.com/browse/BHUX-17615" xr:uid="{CE0EFA80-D40D-0041-AA2C-BBD984F07D1C}"/>
    <hyperlink ref="F47" r:id="rId40" display="https://jira.bnh.com/browse/BHUX-31354" xr:uid="{80265E8C-186C-8542-AAE3-9344D641CFDC}"/>
    <hyperlink ref="F41" r:id="rId41" display="https://jira.bnh.com/browse/BHUX-28124" xr:uid="{04792098-93D2-204C-B987-C74B907FF69B}"/>
    <hyperlink ref="F46" r:id="rId42" display="https://jira.bnh.com/browse/BHP-4563" xr:uid="{0E855850-35CF-7D46-A477-1115A384E455}"/>
    <hyperlink ref="E42" r:id="rId43" display="https://jira.bnh.com/browse/MRCH-2202" xr:uid="{A791D908-EE5C-1149-8D9D-A0BB860BE8DE}"/>
    <hyperlink ref="E43" r:id="rId44" display="https://jira.bnh.com/browse/BHJ-119850" xr:uid="{06F0F574-6B5B-2643-A54F-593DE5927D93}"/>
    <hyperlink ref="F42" r:id="rId45" display="https://jira.bnh.com/browse/BHUX-31245" xr:uid="{37A7D823-39F7-6947-86FC-3AE82E93C053}"/>
    <hyperlink ref="F43" r:id="rId46" display="https://jira.bnh.com/browse/BHUX-32071" xr:uid="{1EF920D6-BBA7-3146-9D78-880CEBF15369}"/>
    <hyperlink ref="E44" r:id="rId47" xr:uid="{24B93257-9A2A-9343-8E2E-E1498C4A3268}"/>
    <hyperlink ref="F44" r:id="rId48" display="https://jira.bnh.com/browse/BHUX-29921" xr:uid="{BB7FDE87-8A8F-A649-B181-0A7979D05778}"/>
    <hyperlink ref="F11" r:id="rId49" xr:uid="{C0EF007A-0344-B14E-BA9B-28E89D847D0A}"/>
    <hyperlink ref="E6" r:id="rId50" xr:uid="{209D0604-8A94-FF46-A5BD-1CC94908AA6F}"/>
    <hyperlink ref="E8" r:id="rId51" xr:uid="{506C25D1-AAD7-8146-87AE-A51FC6D5512F}"/>
    <hyperlink ref="E9" r:id="rId52" xr:uid="{657D79B4-3A8D-464C-ABBB-98667367518C}"/>
    <hyperlink ref="E10" r:id="rId53" xr:uid="{58C4BDA6-70C1-B345-96CC-103BCAE180B6}"/>
    <hyperlink ref="E11" r:id="rId54" xr:uid="{E044A5A3-263B-0443-9757-B182FCFC06A9}"/>
    <hyperlink ref="E15" r:id="rId55" xr:uid="{0A720F02-3335-1045-98FF-795D51946938}"/>
    <hyperlink ref="E14" r:id="rId56" xr:uid="{ABC90719-B4F6-6842-8A3C-7D0565C4D6AB}"/>
    <hyperlink ref="E12" r:id="rId57" xr:uid="{3A86AF73-CEF6-C846-8DBC-13017CB83659}"/>
    <hyperlink ref="E13" r:id="rId58" xr:uid="{0D5FEBB6-1DF5-7142-A1C0-4E12324F7489}"/>
    <hyperlink ref="E45" r:id="rId59" xr:uid="{8D1C4B0E-072D-0E4A-9975-DA9803ACCA6B}"/>
    <hyperlink ref="E38" r:id="rId60" xr:uid="{174820D0-E08C-CF4C-A6A1-C3E639F12BAB}"/>
    <hyperlink ref="E17" r:id="rId61" xr:uid="{A349F528-1F4D-C743-8A20-8DAF3DF4352F}"/>
    <hyperlink ref="E2" r:id="rId62" xr:uid="{700E7516-749B-D246-8368-19E784A4BC0C}"/>
    <hyperlink ref="E3" r:id="rId63" xr:uid="{14ED9DE8-816F-5248-B414-215F8C1D719C}"/>
    <hyperlink ref="E4" r:id="rId64" xr:uid="{C0EAA880-A62F-EF43-A384-EBD5DC7860B2}"/>
    <hyperlink ref="E16" r:id="rId65" xr:uid="{72AA99BA-29BC-6B46-92EF-F4068B769490}"/>
    <hyperlink ref="E18" r:id="rId66" xr:uid="{60AFF4C1-5EE5-F045-ADFF-45B8DA777C0E}"/>
    <hyperlink ref="E20" r:id="rId67" xr:uid="{C066D304-E04A-3441-9682-C773A0070737}"/>
    <hyperlink ref="E21" r:id="rId68" xr:uid="{70FB7C7B-5DAF-4543-AE04-E30195EA8DF5}"/>
    <hyperlink ref="E19" r:id="rId69" xr:uid="{073BE6F8-C73B-D94A-89BF-2AFEB0AB100E}"/>
    <hyperlink ref="F22" r:id="rId70" xr:uid="{FB860B6B-E5C4-1E4D-B5AB-E297C457ACDC}"/>
    <hyperlink ref="E22" r:id="rId71" xr:uid="{968919CD-4B50-CD4A-A0A6-19A0BDD27BAB}"/>
    <hyperlink ref="E23" r:id="rId72" xr:uid="{0E5177AB-108F-F441-B68F-D44E1A38E76C}"/>
    <hyperlink ref="E24" r:id="rId73" xr:uid="{64D8C5E2-060F-254D-B389-EFAD78F578A1}"/>
    <hyperlink ref="E25" r:id="rId74" xr:uid="{CAE9F427-AC26-C147-A561-4F905D1FEA4F}"/>
    <hyperlink ref="E26" r:id="rId75" xr:uid="{9DA2335C-398C-EB44-ADD2-9B763DE36B7B}"/>
    <hyperlink ref="E28" r:id="rId76" xr:uid="{3A7FF314-20A4-7E4C-9B0A-D9975AF66A70}"/>
    <hyperlink ref="E34" r:id="rId77" xr:uid="{3D0908E3-39EF-AA41-9BA9-04B477AA2072}"/>
    <hyperlink ref="E29" r:id="rId78" xr:uid="{E2F12535-4BAD-4B4E-9FC2-83FDBAE3AD8E}"/>
    <hyperlink ref="E30" r:id="rId79" xr:uid="{B612000D-0FE8-B344-A4A9-AB55BA868E5B}"/>
    <hyperlink ref="E35" r:id="rId80" xr:uid="{9D64C9B6-AB57-E447-B48B-543C63D74AE6}"/>
    <hyperlink ref="E36" r:id="rId81" xr:uid="{EA200AC6-AEC0-E44C-8347-89B96EAC4887}"/>
    <hyperlink ref="D2" location="Control!R6C5" display="Improve Trade In User Flow" xr:uid="{11C4031B-DBF0-374C-B775-42E42BD644C7}"/>
    <hyperlink ref="D34" location="Control!R6C5" display="Improve Trade In User Flow" xr:uid="{49AE2EB7-BE63-C542-8957-25267F4C7EC5}"/>
    <hyperlink ref="C19" location="'Control (Don’t Touch)'!R4C5" display="Improve Discovery" xr:uid="{16ECDCB1-E106-3D4D-8127-442010B04E01}"/>
    <hyperlink ref="C8" location="Control!R6C5" display="Improve Trade In User Flow" xr:uid="{567E155A-5595-3C47-B137-898AD1547378}"/>
    <hyperlink ref="C3" location="Control!R11C5" display="Increase B2B Acquisition" xr:uid="{A1CE1BC1-2BE7-304E-8E5D-15E0BE805C45}"/>
    <hyperlink ref="C12" location="'Control (Don’t Touch)'!R8C5" display="Increase Buy Used Awareness" xr:uid="{0FA3F8A8-D1BF-CE43-BB9D-BF3DFF5E4C4F}"/>
    <hyperlink ref="C5" location="Control!R12C5" display="Increase The Studio B&amp;H Awareness" xr:uid="{2159CDCF-6B42-694F-B67D-1B6F5DFB5768}"/>
    <hyperlink ref="C9" location="Control!R5C5" display="Increase Trade In Awareness" xr:uid="{68C5DC55-D6F0-534A-9C01-82FC3EFF7A8A}"/>
    <hyperlink ref="C2" location="'Control (Don’t Touch)'!R9C5" display="Improve Buy Used Customer Experience" xr:uid="{A2A6FF3E-1996-BC45-AA95-559B7B4BCCA0}"/>
    <hyperlink ref="C3:C4" location="Control!R9C5" display="Improve Buy Used Customer Experience" xr:uid="{F18C1B0D-493E-2845-8568-B3D6B51110E3}"/>
    <hyperlink ref="C10" location="Control!R13C5" display="Improve The Studio B&amp;H Customer Experience" xr:uid="{A2398013-94EB-754D-9DFF-479A9E76DB53}"/>
    <hyperlink ref="C4" location="Control!R13C5" display="Improve The Studio B&amp;H Customer Experience" xr:uid="{F374E649-6A1E-DF48-8429-ADBDB257F46C}"/>
    <hyperlink ref="E27" r:id="rId82" xr:uid="{3555A129-45FC-5A4D-84C5-4BACE137BDBD}"/>
    <hyperlink ref="E46" r:id="rId83" xr:uid="{9EA2491D-F77D-3548-A4EC-AA15642FC001}"/>
    <hyperlink ref="C11" location="Control!R11C5" display="Increase B2B Acquisition" xr:uid="{2E644405-B9FC-C245-AA1C-686FCB1FFDD8}"/>
    <hyperlink ref="C15" location="'Control (Don’t Touch)'!R5C5" display="Increase Trade In Awareness" xr:uid="{07C1B625-417D-5245-AD81-99DB0D4088EE}"/>
    <hyperlink ref="C13" location="Control!R12C5" display="Increase The Studio B&amp;H Awareness" xr:uid="{233E8C82-7DE9-A24D-AB09-FB5EA034481B}"/>
    <hyperlink ref="C17" location="Control!R12C5" display="Increase The Studio B&amp;H Awareness" xr:uid="{BD1282E3-8FE5-E941-B3A6-1AE7F0E23B7C}"/>
    <hyperlink ref="C20" location="'Control (Don’t Touch)'!R6C5" display="Improve Trade In User Flow" xr:uid="{00A5341F-1727-624D-88AC-2DBC304D4DFF}"/>
    <hyperlink ref="F7" r:id="rId84" xr:uid="{7FE9E0CB-F8F6-9443-927E-05F5251EF69E}"/>
    <hyperlink ref="E7" r:id="rId85" xr:uid="{334BBC84-91C1-F748-91DB-DA8ABF919820}"/>
    <hyperlink ref="C7" location="Control!R5C5" display="Increase Trade In Awareness" xr:uid="{86CEEC0C-2EB5-164A-977B-BDDB0F527291}"/>
    <hyperlink ref="C34" location="'Control (Don’t Touch)'!R9C5" display="Improve Buy Used Customer Experience" xr:uid="{220751A9-70C2-AF4B-96BF-6A740F925E2E}"/>
    <hyperlink ref="C46" location="'Control (Don’t Touch)'!R9C5" display="Improve Buy Used Customer Experience" xr:uid="{1EC99352-3BA3-674B-A888-F2D6B39D7926}"/>
    <hyperlink ref="C14" location="'Control (Don’t Touch)'!R8C5" display="Increase Buy Used Awareness" xr:uid="{CB890338-7F88-1A41-A04A-151AF4F7E451}"/>
    <hyperlink ref="C16" location="'Control (Don’t Touch)'!R8C5" display="Increase Buy Used Awareness" xr:uid="{2D13AD1C-3E0D-024C-A8DB-C91CC4368339}"/>
    <hyperlink ref="C18" location="'Control (Don’t Touch)'!R8C5" display="Increase Buy Used Awareness" xr:uid="{541FCB83-011C-2145-8B0B-87980F756D0A}"/>
    <hyperlink ref="C22:C24" location="'Control (Don’t Touch)'!R8C5" display="Increase Buy Used Awareness" xr:uid="{4AF20B2B-0CEB-E24C-8F54-5173DE1E1606}"/>
    <hyperlink ref="C38" location="'Control (Don’t Touch)'!R8C5" display="Increase Buy Used Awareness" xr:uid="{F83C8AB9-BF77-3D42-8C55-19F82EC7BD83}"/>
    <hyperlink ref="C47" location="'Control (Don’t Touch)'!R8C5" display="Increase Buy Used Awareness" xr:uid="{8F072F67-9906-9C4E-AAFA-C838E218296E}"/>
    <hyperlink ref="C25" location="'Control (Don’t Touch)'!R5C5" display="Increase Trade In Awareness" xr:uid="{EFEEC31B-78C3-0B42-9EA1-68A8115242BB}"/>
    <hyperlink ref="C28" location="'Control (Don’t Touch)'!R5C5" display="Increase Trade In Awareness" xr:uid="{E5705B32-F98C-A044-9E4B-37B9F3007D8B}"/>
    <hyperlink ref="C21" location="'Control (Don’t Touch)'!R6C5" display="Improve Trade In User Flow" xr:uid="{C37E3413-99CF-6B49-830E-24D203EEE626}"/>
    <hyperlink ref="C26:C27" location="'Control (Don’t Touch)'!R6C5" display="Improve Trade In User Flow" xr:uid="{3BAA5D70-3CBA-6742-9533-0C122DB53874}"/>
    <hyperlink ref="C37" location="'Control (Don’t Touch)'!R6C5" display="Improve Trade In User Flow" xr:uid="{62B96A87-AD5B-5445-8697-DC55C835A01C}"/>
    <hyperlink ref="C29" location="'Control (Don’t Touch)'!R4C5" display="Improve Discovery" xr:uid="{9D296C0E-FE73-7F4E-9961-FA83927045DE}"/>
    <hyperlink ref="C35:C36" location="'Control (Don’t Touch)'!R4C5" display="Improve Discovery" xr:uid="{7974219A-68A2-8941-B260-15FD93368756}"/>
    <hyperlink ref="C39:C44" location="'Control (Don’t Touch)'!R4C5" display="Improve Discovery" xr:uid="{596553D3-6E6B-474F-ABDC-3C4A70F1F0E1}"/>
    <hyperlink ref="C30" location="'Control (Don’t Touch)'!R11C5" display="Increase B2B Acquisition" xr:uid="{B147E840-3D5F-254C-A02E-1709572554DD}"/>
    <hyperlink ref="C31:C33" location="'Control (Don’t Touch)'!R11C5" display="Increase B2B Acquisition" xr:uid="{2F4CB414-5F92-A245-891F-A8C5B08B10AA}"/>
    <hyperlink ref="C45" location="'Control (Don’t Touch)'!R11C5" display="Increase B2B Acquisition" xr:uid="{64CCF75F-DCA0-7B43-B585-5AD4E5FA3E60}"/>
  </hyperlinks>
  <pageMargins left="0.7" right="0.7" top="0.75" bottom="0.75" header="0.3" footer="0.3"/>
  <pageSetup scale="68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3EA9B0-69B6-A541-AA0D-DA9373690895}">
          <x14:formula1>
            <xm:f>'Control (Don’t Touch)'!$B$4:$B$19</xm:f>
          </x14:formula1>
          <xm:sqref>G2:G46</xm:sqref>
        </x14:dataValidation>
        <x14:dataValidation type="list" allowBlank="1" showInputMessage="1" showErrorMessage="1" xr:uid="{647E7BC1-7E87-6E44-9304-E439ED7F69E8}">
          <x14:formula1>
            <xm:f>'Control (Don’t Touch)'!$E$4:$E$34</xm:f>
          </x14:formula1>
          <xm:sqref>C2:C133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C237-3161-8B48-8A76-B4B9CD85A021}">
  <dimension ref="B3:R42"/>
  <sheetViews>
    <sheetView workbookViewId="0">
      <selection activeCell="B39" sqref="B39"/>
    </sheetView>
  </sheetViews>
  <sheetFormatPr baseColWidth="10" defaultRowHeight="16" x14ac:dyDescent="0.2"/>
  <cols>
    <col min="2" max="2" width="95.1640625" customWidth="1"/>
    <col min="3" max="3" width="69.33203125" customWidth="1"/>
  </cols>
  <sheetData>
    <row r="3" spans="2:18" ht="46" customHeight="1" x14ac:dyDescent="0.3">
      <c r="B3" s="191" t="s">
        <v>848</v>
      </c>
      <c r="C3" s="19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</row>
    <row r="4" spans="2:18" ht="22" x14ac:dyDescent="0.3">
      <c r="B4" s="189" t="s">
        <v>845</v>
      </c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</row>
    <row r="5" spans="2:18" ht="22" x14ac:dyDescent="0.3">
      <c r="B5" s="189" t="s">
        <v>783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</row>
    <row r="6" spans="2:18" ht="22" x14ac:dyDescent="0.3">
      <c r="B6" s="189" t="s">
        <v>784</v>
      </c>
    </row>
    <row r="7" spans="2:18" ht="22" x14ac:dyDescent="0.3">
      <c r="B7" s="189" t="s">
        <v>785</v>
      </c>
    </row>
    <row r="8" spans="2:18" ht="22" x14ac:dyDescent="0.3">
      <c r="B8" s="189" t="s">
        <v>786</v>
      </c>
    </row>
    <row r="37" spans="2:3" ht="22" x14ac:dyDescent="0.3">
      <c r="B37" s="96" t="s">
        <v>846</v>
      </c>
      <c r="C37" s="97" t="s">
        <v>847</v>
      </c>
    </row>
    <row r="38" spans="2:3" ht="46" x14ac:dyDescent="0.3">
      <c r="B38" s="96" t="s">
        <v>265</v>
      </c>
      <c r="C38" s="98" t="s">
        <v>675</v>
      </c>
    </row>
    <row r="39" spans="2:3" ht="23" x14ac:dyDescent="0.3">
      <c r="B39" s="96" t="s">
        <v>850</v>
      </c>
      <c r="C39" s="98" t="s">
        <v>849</v>
      </c>
    </row>
    <row r="40" spans="2:3" ht="22" x14ac:dyDescent="0.3">
      <c r="B40" s="96" t="s">
        <v>678</v>
      </c>
      <c r="C40" s="97" t="s">
        <v>679</v>
      </c>
    </row>
    <row r="41" spans="2:3" ht="22" x14ac:dyDescent="0.3">
      <c r="B41" s="96" t="s">
        <v>576</v>
      </c>
      <c r="C41" s="97" t="s">
        <v>677</v>
      </c>
    </row>
    <row r="42" spans="2:3" ht="22" x14ac:dyDescent="0.3">
      <c r="B42" s="96" t="s">
        <v>355</v>
      </c>
      <c r="C42" s="97" t="s">
        <v>676</v>
      </c>
    </row>
  </sheetData>
  <mergeCells count="1">
    <mergeCell ref="B3:C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9113-BFF1-B540-AE75-735869F650C3}">
  <dimension ref="A4:I33"/>
  <sheetViews>
    <sheetView zoomScaleNormal="100" workbookViewId="0">
      <selection activeCell="C27" sqref="C27"/>
    </sheetView>
  </sheetViews>
  <sheetFormatPr baseColWidth="10" defaultColWidth="11" defaultRowHeight="16" x14ac:dyDescent="0.2"/>
  <cols>
    <col min="1" max="1" width="64.1640625" customWidth="1"/>
    <col min="2" max="2" width="35" customWidth="1"/>
    <col min="3" max="3" width="21.33203125" bestFit="1" customWidth="1"/>
    <col min="4" max="4" width="19.33203125" bestFit="1" customWidth="1"/>
    <col min="5" max="6" width="30.33203125" customWidth="1"/>
    <col min="7" max="7" width="16" bestFit="1" customWidth="1"/>
    <col min="8" max="8" width="14.6640625" bestFit="1" customWidth="1"/>
    <col min="9" max="9" width="112" bestFit="1" customWidth="1"/>
  </cols>
  <sheetData>
    <row r="4" spans="1:9" ht="22" x14ac:dyDescent="0.3">
      <c r="A4" s="47" t="s">
        <v>68</v>
      </c>
      <c r="B4" s="47" t="s">
        <v>134</v>
      </c>
      <c r="C4" s="47" t="s">
        <v>69</v>
      </c>
      <c r="D4" s="47" t="s">
        <v>135</v>
      </c>
      <c r="E4" s="47" t="s">
        <v>136</v>
      </c>
      <c r="F4" s="47" t="s">
        <v>137</v>
      </c>
      <c r="G4" s="47" t="s">
        <v>138</v>
      </c>
      <c r="H4" s="47" t="s">
        <v>139</v>
      </c>
      <c r="I4" s="47" t="s">
        <v>140</v>
      </c>
    </row>
    <row r="5" spans="1:9" ht="22" x14ac:dyDescent="0.3">
      <c r="A5" s="48" t="s">
        <v>141</v>
      </c>
      <c r="B5" s="64" t="s">
        <v>87</v>
      </c>
      <c r="C5" s="48" t="s">
        <v>153</v>
      </c>
      <c r="D5" s="48" t="s">
        <v>142</v>
      </c>
      <c r="E5" s="48" t="s">
        <v>143</v>
      </c>
      <c r="F5" s="48" t="s">
        <v>144</v>
      </c>
      <c r="G5" s="73" t="s">
        <v>228</v>
      </c>
      <c r="H5" s="73" t="s">
        <v>234</v>
      </c>
      <c r="I5" s="48" t="s">
        <v>145</v>
      </c>
    </row>
    <row r="6" spans="1:9" ht="22" x14ac:dyDescent="0.3">
      <c r="A6" s="48" t="s">
        <v>107</v>
      </c>
      <c r="B6" s="64" t="s">
        <v>146</v>
      </c>
      <c r="C6" s="48" t="s">
        <v>147</v>
      </c>
      <c r="D6" s="48" t="s">
        <v>142</v>
      </c>
      <c r="E6" s="48" t="s">
        <v>148</v>
      </c>
      <c r="F6" s="48" t="s">
        <v>144</v>
      </c>
      <c r="G6" s="73" t="s">
        <v>229</v>
      </c>
      <c r="H6" s="73" t="s">
        <v>229</v>
      </c>
      <c r="I6" s="39" t="s">
        <v>210</v>
      </c>
    </row>
    <row r="7" spans="1:9" ht="22" x14ac:dyDescent="0.3">
      <c r="A7" s="48" t="s">
        <v>95</v>
      </c>
      <c r="B7" s="64" t="s">
        <v>149</v>
      </c>
      <c r="C7" s="48" t="s">
        <v>150</v>
      </c>
      <c r="D7" s="48" t="s">
        <v>142</v>
      </c>
      <c r="E7" s="48" t="s">
        <v>65</v>
      </c>
      <c r="F7" s="48" t="s">
        <v>144</v>
      </c>
      <c r="G7" s="73" t="s">
        <v>230</v>
      </c>
      <c r="H7" s="73" t="s">
        <v>230</v>
      </c>
      <c r="I7" s="48"/>
    </row>
    <row r="8" spans="1:9" ht="22" x14ac:dyDescent="0.3">
      <c r="A8" s="48" t="s">
        <v>143</v>
      </c>
      <c r="B8" s="64" t="s">
        <v>7</v>
      </c>
      <c r="C8" s="48" t="s">
        <v>162</v>
      </c>
      <c r="D8" s="48" t="s">
        <v>142</v>
      </c>
      <c r="E8" s="48" t="s">
        <v>143</v>
      </c>
      <c r="F8" s="48" t="s">
        <v>144</v>
      </c>
      <c r="G8" s="73"/>
      <c r="H8" s="73"/>
      <c r="I8" s="48"/>
    </row>
    <row r="9" spans="1:9" ht="22" x14ac:dyDescent="0.3">
      <c r="A9" s="48" t="s">
        <v>151</v>
      </c>
      <c r="B9" s="64" t="s">
        <v>152</v>
      </c>
      <c r="C9" s="48" t="s">
        <v>153</v>
      </c>
      <c r="D9" s="48" t="s">
        <v>142</v>
      </c>
      <c r="E9" s="48" t="s">
        <v>143</v>
      </c>
      <c r="F9" s="48" t="s">
        <v>144</v>
      </c>
      <c r="G9" s="73"/>
      <c r="H9" s="73"/>
      <c r="I9" s="49" t="s">
        <v>154</v>
      </c>
    </row>
    <row r="10" spans="1:9" ht="22" x14ac:dyDescent="0.3">
      <c r="A10" s="48" t="s">
        <v>44</v>
      </c>
      <c r="B10" s="64" t="s">
        <v>155</v>
      </c>
      <c r="C10" s="48" t="s">
        <v>156</v>
      </c>
      <c r="D10" s="48" t="s">
        <v>157</v>
      </c>
      <c r="E10" s="48" t="s">
        <v>158</v>
      </c>
      <c r="F10" s="48" t="s">
        <v>159</v>
      </c>
      <c r="G10" s="73" t="s">
        <v>230</v>
      </c>
      <c r="H10" s="73" t="s">
        <v>228</v>
      </c>
      <c r="I10" s="48" t="s">
        <v>160</v>
      </c>
    </row>
    <row r="11" spans="1:9" ht="22" x14ac:dyDescent="0.3">
      <c r="A11" s="58" t="s">
        <v>161</v>
      </c>
      <c r="B11" s="58"/>
      <c r="C11" s="58" t="s">
        <v>162</v>
      </c>
      <c r="D11" s="58" t="s">
        <v>157</v>
      </c>
      <c r="E11" s="58" t="s">
        <v>163</v>
      </c>
      <c r="F11" s="58" t="s">
        <v>164</v>
      </c>
      <c r="G11" s="74" t="s">
        <v>56</v>
      </c>
      <c r="H11" s="74" t="s">
        <v>235</v>
      </c>
      <c r="I11" s="48" t="s">
        <v>165</v>
      </c>
    </row>
    <row r="12" spans="1:9" ht="22" x14ac:dyDescent="0.3">
      <c r="A12" s="48" t="s">
        <v>166</v>
      </c>
      <c r="B12" s="64" t="s">
        <v>167</v>
      </c>
      <c r="C12" s="48" t="s">
        <v>168</v>
      </c>
      <c r="D12" s="48" t="s">
        <v>169</v>
      </c>
      <c r="E12" s="48" t="s">
        <v>166</v>
      </c>
      <c r="F12" s="48" t="s">
        <v>170</v>
      </c>
      <c r="G12" s="73" t="s">
        <v>229</v>
      </c>
      <c r="H12" s="73" t="s">
        <v>234</v>
      </c>
      <c r="I12" s="48" t="s">
        <v>171</v>
      </c>
    </row>
    <row r="13" spans="1:9" ht="46" x14ac:dyDescent="0.3">
      <c r="A13" s="48" t="s">
        <v>101</v>
      </c>
      <c r="B13" s="64" t="s">
        <v>172</v>
      </c>
      <c r="C13" s="48" t="s">
        <v>153</v>
      </c>
      <c r="D13" s="48" t="s">
        <v>169</v>
      </c>
      <c r="E13" s="48" t="s">
        <v>173</v>
      </c>
      <c r="F13" s="48" t="s">
        <v>174</v>
      </c>
      <c r="G13" s="73" t="s">
        <v>230</v>
      </c>
      <c r="H13" s="73" t="s">
        <v>230</v>
      </c>
      <c r="I13" s="67" t="s">
        <v>175</v>
      </c>
    </row>
    <row r="14" spans="1:9" ht="22" x14ac:dyDescent="0.3">
      <c r="A14" s="48" t="s">
        <v>176</v>
      </c>
      <c r="B14" s="64" t="s">
        <v>177</v>
      </c>
      <c r="C14" s="48" t="s">
        <v>150</v>
      </c>
      <c r="D14" s="48" t="s">
        <v>169</v>
      </c>
      <c r="E14" s="48" t="s">
        <v>173</v>
      </c>
      <c r="F14" s="48" t="s">
        <v>144</v>
      </c>
      <c r="G14" s="73" t="s">
        <v>230</v>
      </c>
      <c r="H14" s="73" t="s">
        <v>230</v>
      </c>
      <c r="I14" s="48" t="s">
        <v>178</v>
      </c>
    </row>
    <row r="15" spans="1:9" ht="22" x14ac:dyDescent="0.3">
      <c r="A15" s="48" t="s">
        <v>179</v>
      </c>
      <c r="B15" s="48"/>
      <c r="C15" s="48" t="s">
        <v>180</v>
      </c>
      <c r="D15" s="48" t="s">
        <v>169</v>
      </c>
      <c r="E15" s="48" t="s">
        <v>181</v>
      </c>
      <c r="F15" s="48" t="s">
        <v>182</v>
      </c>
      <c r="G15" s="73" t="s">
        <v>231</v>
      </c>
      <c r="H15" s="73" t="s">
        <v>232</v>
      </c>
      <c r="I15" s="49" t="s">
        <v>183</v>
      </c>
    </row>
    <row r="16" spans="1:9" ht="22" x14ac:dyDescent="0.3">
      <c r="A16" s="48" t="s">
        <v>184</v>
      </c>
      <c r="B16" s="65" t="s">
        <v>185</v>
      </c>
      <c r="C16" s="49" t="s">
        <v>186</v>
      </c>
      <c r="D16" s="49" t="s">
        <v>169</v>
      </c>
      <c r="E16" s="49" t="s">
        <v>187</v>
      </c>
      <c r="F16" s="49" t="s">
        <v>188</v>
      </c>
      <c r="G16" s="73" t="s">
        <v>230</v>
      </c>
      <c r="H16" s="73" t="s">
        <v>230</v>
      </c>
      <c r="I16" s="49"/>
    </row>
    <row r="17" spans="1:9" ht="22" x14ac:dyDescent="0.3">
      <c r="A17" s="48" t="s">
        <v>189</v>
      </c>
      <c r="B17" s="65" t="s">
        <v>190</v>
      </c>
      <c r="C17" s="49" t="s">
        <v>150</v>
      </c>
      <c r="D17" s="49" t="s">
        <v>169</v>
      </c>
      <c r="E17" s="49" t="s">
        <v>166</v>
      </c>
      <c r="F17" s="49" t="s">
        <v>191</v>
      </c>
      <c r="G17" s="73" t="s">
        <v>230</v>
      </c>
      <c r="H17" s="73" t="s">
        <v>230</v>
      </c>
      <c r="I17" s="49" t="s">
        <v>192</v>
      </c>
    </row>
    <row r="18" spans="1:9" ht="22" x14ac:dyDescent="0.3">
      <c r="A18" s="48" t="s">
        <v>48</v>
      </c>
      <c r="B18" s="64" t="s">
        <v>193</v>
      </c>
      <c r="C18" s="48" t="s">
        <v>150</v>
      </c>
      <c r="D18" s="48" t="s">
        <v>194</v>
      </c>
      <c r="E18" s="48" t="s">
        <v>163</v>
      </c>
      <c r="F18" s="48" t="s">
        <v>195</v>
      </c>
      <c r="G18" s="73" t="s">
        <v>229</v>
      </c>
      <c r="H18" s="73" t="s">
        <v>196</v>
      </c>
      <c r="I18" s="48" t="s">
        <v>197</v>
      </c>
    </row>
    <row r="19" spans="1:9" ht="22" x14ac:dyDescent="0.3">
      <c r="A19" s="48" t="s">
        <v>198</v>
      </c>
      <c r="B19" s="64" t="s">
        <v>199</v>
      </c>
      <c r="C19" s="48" t="s">
        <v>150</v>
      </c>
      <c r="D19" s="48" t="s">
        <v>194</v>
      </c>
      <c r="E19" s="48" t="s">
        <v>200</v>
      </c>
      <c r="F19" s="48" t="s">
        <v>195</v>
      </c>
      <c r="G19" s="73"/>
      <c r="H19" s="73"/>
      <c r="I19" s="48"/>
    </row>
    <row r="20" spans="1:9" ht="22" x14ac:dyDescent="0.3">
      <c r="A20" s="58" t="s">
        <v>201</v>
      </c>
      <c r="B20" s="58"/>
      <c r="C20" s="58" t="s">
        <v>162</v>
      </c>
      <c r="D20" s="58" t="s">
        <v>194</v>
      </c>
      <c r="E20" s="58" t="s">
        <v>158</v>
      </c>
      <c r="F20" s="58" t="s">
        <v>144</v>
      </c>
      <c r="G20" s="74" t="s">
        <v>232</v>
      </c>
      <c r="H20" s="73" t="s">
        <v>230</v>
      </c>
      <c r="I20" s="58" t="s">
        <v>202</v>
      </c>
    </row>
    <row r="21" spans="1:9" ht="22" x14ac:dyDescent="0.3">
      <c r="A21" s="58" t="s">
        <v>203</v>
      </c>
      <c r="B21" s="58"/>
      <c r="C21" s="58" t="s">
        <v>162</v>
      </c>
      <c r="D21" s="58" t="s">
        <v>194</v>
      </c>
      <c r="E21" s="58" t="s">
        <v>204</v>
      </c>
      <c r="F21" s="58" t="s">
        <v>182</v>
      </c>
      <c r="G21" s="74"/>
      <c r="H21" s="74" t="s">
        <v>235</v>
      </c>
      <c r="I21" s="58" t="s">
        <v>205</v>
      </c>
    </row>
    <row r="22" spans="1:9" ht="22" x14ac:dyDescent="0.3">
      <c r="A22" s="75" t="s">
        <v>46</v>
      </c>
      <c r="B22" s="76" t="s">
        <v>206</v>
      </c>
      <c r="C22" s="75" t="s">
        <v>153</v>
      </c>
      <c r="D22" s="75" t="s">
        <v>194</v>
      </c>
      <c r="E22" s="75" t="s">
        <v>163</v>
      </c>
      <c r="F22" s="75" t="s">
        <v>195</v>
      </c>
      <c r="G22" s="77"/>
      <c r="H22" s="77"/>
      <c r="I22" s="75"/>
    </row>
    <row r="23" spans="1:9" ht="22" x14ac:dyDescent="0.3">
      <c r="A23" s="48" t="s">
        <v>224</v>
      </c>
      <c r="B23" s="65"/>
      <c r="C23" s="48"/>
      <c r="D23" s="79" t="s">
        <v>227</v>
      </c>
      <c r="E23" s="48" t="s">
        <v>23</v>
      </c>
      <c r="F23" s="48" t="s">
        <v>144</v>
      </c>
      <c r="G23" s="73" t="s">
        <v>229</v>
      </c>
      <c r="H23" s="73" t="s">
        <v>233</v>
      </c>
      <c r="I23" s="48"/>
    </row>
    <row r="24" spans="1:9" ht="22" x14ac:dyDescent="0.3">
      <c r="A24" s="48" t="s">
        <v>223</v>
      </c>
      <c r="B24" s="65" t="s">
        <v>126</v>
      </c>
      <c r="C24" s="48" t="s">
        <v>236</v>
      </c>
      <c r="D24" s="79" t="s">
        <v>227</v>
      </c>
      <c r="E24" s="48" t="s">
        <v>143</v>
      </c>
      <c r="F24" s="48" t="s">
        <v>144</v>
      </c>
      <c r="G24" s="73" t="s">
        <v>228</v>
      </c>
      <c r="H24" s="73" t="s">
        <v>234</v>
      </c>
      <c r="I24" s="48"/>
    </row>
    <row r="25" spans="1:9" ht="22" x14ac:dyDescent="0.3">
      <c r="A25" s="48" t="s">
        <v>225</v>
      </c>
      <c r="B25" s="65" t="s">
        <v>219</v>
      </c>
      <c r="C25" s="48" t="s">
        <v>186</v>
      </c>
      <c r="D25" s="79" t="s">
        <v>227</v>
      </c>
      <c r="E25" s="48" t="s">
        <v>163</v>
      </c>
      <c r="F25" s="48" t="s">
        <v>144</v>
      </c>
      <c r="G25" s="73" t="s">
        <v>230</v>
      </c>
      <c r="H25" s="73" t="s">
        <v>228</v>
      </c>
      <c r="I25" s="48"/>
    </row>
    <row r="26" spans="1:9" ht="22" x14ac:dyDescent="0.3">
      <c r="A26" s="48" t="s">
        <v>226</v>
      </c>
      <c r="B26" s="65" t="s">
        <v>127</v>
      </c>
      <c r="C26" s="48" t="s">
        <v>147</v>
      </c>
      <c r="D26" s="79" t="s">
        <v>227</v>
      </c>
      <c r="E26" s="48" t="s">
        <v>238</v>
      </c>
      <c r="F26" s="48" t="s">
        <v>144</v>
      </c>
      <c r="G26" s="73"/>
      <c r="H26" s="73"/>
      <c r="I26" s="48"/>
    </row>
    <row r="27" spans="1:9" ht="22" x14ac:dyDescent="0.3">
      <c r="A27" s="48" t="s">
        <v>128</v>
      </c>
      <c r="B27" s="65" t="s">
        <v>129</v>
      </c>
      <c r="C27" s="48" t="s">
        <v>186</v>
      </c>
      <c r="D27" s="48" t="s">
        <v>169</v>
      </c>
      <c r="E27" s="48" t="s">
        <v>166</v>
      </c>
      <c r="F27" s="48" t="s">
        <v>239</v>
      </c>
      <c r="G27" s="73"/>
      <c r="H27" s="73"/>
      <c r="I27" s="48"/>
    </row>
    <row r="28" spans="1:9" ht="22" x14ac:dyDescent="0.3">
      <c r="A28" s="48" t="s">
        <v>130</v>
      </c>
      <c r="B28" s="65" t="s">
        <v>131</v>
      </c>
      <c r="C28" s="48"/>
      <c r="D28" s="48" t="s">
        <v>169</v>
      </c>
      <c r="E28" s="48" t="s">
        <v>238</v>
      </c>
      <c r="F28" s="48" t="s">
        <v>182</v>
      </c>
      <c r="G28" s="73"/>
      <c r="H28" s="73"/>
      <c r="I28" s="48"/>
    </row>
    <row r="29" spans="1:9" ht="22" x14ac:dyDescent="0.3">
      <c r="A29" s="48" t="s">
        <v>119</v>
      </c>
      <c r="B29" s="65" t="s">
        <v>120</v>
      </c>
      <c r="C29" s="48"/>
      <c r="D29" s="48" t="s">
        <v>169</v>
      </c>
      <c r="E29" s="48"/>
      <c r="F29" s="48" t="s">
        <v>144</v>
      </c>
      <c r="G29" s="73"/>
      <c r="H29" s="73"/>
      <c r="I29" s="48"/>
    </row>
    <row r="30" spans="1:9" ht="22" x14ac:dyDescent="0.3">
      <c r="A30" s="48" t="s">
        <v>132</v>
      </c>
      <c r="B30" s="65" t="s">
        <v>133</v>
      </c>
      <c r="C30" s="48" t="s">
        <v>236</v>
      </c>
      <c r="D30" s="48" t="s">
        <v>169</v>
      </c>
      <c r="E30" s="48" t="s">
        <v>237</v>
      </c>
      <c r="F30" s="48" t="s">
        <v>239</v>
      </c>
      <c r="G30" s="73"/>
      <c r="H30" s="73"/>
      <c r="I30" s="48"/>
    </row>
    <row r="31" spans="1:9" ht="22" x14ac:dyDescent="0.3">
      <c r="A31" s="48" t="s">
        <v>207</v>
      </c>
      <c r="B31" s="78" t="s">
        <v>208</v>
      </c>
      <c r="C31" s="48"/>
      <c r="D31" s="48" t="s">
        <v>194</v>
      </c>
      <c r="E31" s="48" t="s">
        <v>163</v>
      </c>
      <c r="F31" s="48" t="s">
        <v>144</v>
      </c>
      <c r="G31" s="73"/>
      <c r="H31" s="73"/>
      <c r="I31" s="48"/>
    </row>
    <row r="32" spans="1:9" ht="22" x14ac:dyDescent="0.3">
      <c r="A32" s="48" t="s">
        <v>212</v>
      </c>
      <c r="B32" s="65" t="s">
        <v>211</v>
      </c>
      <c r="C32" s="48"/>
      <c r="D32" s="48" t="s">
        <v>142</v>
      </c>
      <c r="E32" s="48"/>
      <c r="F32" s="48" t="s">
        <v>144</v>
      </c>
      <c r="G32" s="73"/>
      <c r="H32" s="73"/>
      <c r="I32" s="48"/>
    </row>
    <row r="33" spans="1:9" ht="22" x14ac:dyDescent="0.3">
      <c r="A33" s="48" t="s">
        <v>221</v>
      </c>
      <c r="B33" s="65" t="s">
        <v>220</v>
      </c>
      <c r="C33" s="48"/>
      <c r="D33" s="48" t="s">
        <v>169</v>
      </c>
      <c r="E33" s="48" t="s">
        <v>163</v>
      </c>
      <c r="F33" s="48" t="s">
        <v>144</v>
      </c>
      <c r="G33" s="73"/>
      <c r="H33" s="73"/>
      <c r="I33" s="48"/>
    </row>
  </sheetData>
  <autoFilter ref="A4:I4" xr:uid="{A58D9113-BFF1-B540-AE75-735869F650C3}">
    <sortState xmlns:xlrd2="http://schemas.microsoft.com/office/spreadsheetml/2017/richdata2" ref="A5:I22">
      <sortCondition ref="D4:D22"/>
    </sortState>
  </autoFilter>
  <conditionalFormatting sqref="A17:F19">
    <cfRule type="cellIs" dxfId="42" priority="42" operator="equal">
      <formula>"Merchandising"</formula>
    </cfRule>
    <cfRule type="cellIs" dxfId="41" priority="43" operator="equal">
      <formula>"B2B"</formula>
    </cfRule>
    <cfRule type="cellIs" dxfId="40" priority="44" operator="equal">
      <formula>"Used Operations"</formula>
    </cfRule>
    <cfRule type="cellIs" dxfId="39" priority="45" operator="equal">
      <formula>"Web Experience"</formula>
    </cfRule>
  </conditionalFormatting>
  <conditionalFormatting sqref="A5:H10 A11:G11 A12:H16">
    <cfRule type="cellIs" dxfId="38" priority="5" operator="equal">
      <formula>"The Studio - B2B"</formula>
    </cfRule>
    <cfRule type="cellIs" dxfId="37" priority="26" operator="equal">
      <formula>"Merchandising"</formula>
    </cfRule>
    <cfRule type="cellIs" dxfId="36" priority="27" operator="equal">
      <formula>"B2B"</formula>
    </cfRule>
    <cfRule type="cellIs" dxfId="35" priority="28" operator="equal">
      <formula>"Used Operations"</formula>
    </cfRule>
    <cfRule type="cellIs" dxfId="34" priority="29" operator="equal">
      <formula>"Web Experience"</formula>
    </cfRule>
  </conditionalFormatting>
  <conditionalFormatting sqref="C20:F20">
    <cfRule type="cellIs" dxfId="33" priority="34" operator="equal">
      <formula>"Merchandising"</formula>
    </cfRule>
    <cfRule type="cellIs" dxfId="32" priority="35" operator="equal">
      <formula>"B2B"</formula>
    </cfRule>
    <cfRule type="cellIs" dxfId="31" priority="36" operator="equal">
      <formula>"Used Operations"</formula>
    </cfRule>
    <cfRule type="cellIs" dxfId="30" priority="37" operator="equal">
      <formula>"Web Experience"</formula>
    </cfRule>
  </conditionalFormatting>
  <conditionalFormatting sqref="D21:D22">
    <cfRule type="cellIs" dxfId="29" priority="30" operator="equal">
      <formula>"Merchandising"</formula>
    </cfRule>
    <cfRule type="cellIs" dxfId="28" priority="31" operator="equal">
      <formula>"B2B"</formula>
    </cfRule>
    <cfRule type="cellIs" dxfId="27" priority="32" operator="equal">
      <formula>"Used Operations"</formula>
    </cfRule>
    <cfRule type="cellIs" dxfId="26" priority="33" operator="equal">
      <formula>"Web Experience"</formula>
    </cfRule>
  </conditionalFormatting>
  <conditionalFormatting sqref="D27:D31">
    <cfRule type="cellIs" dxfId="25" priority="3" operator="equal">
      <formula>"Used Operations"</formula>
    </cfRule>
    <cfRule type="cellIs" dxfId="24" priority="4" operator="equal">
      <formula>"Web Experience"</formula>
    </cfRule>
  </conditionalFormatting>
  <conditionalFormatting sqref="D27:D32">
    <cfRule type="cellIs" dxfId="23" priority="2" operator="equal">
      <formula>"B2B"</formula>
    </cfRule>
  </conditionalFormatting>
  <conditionalFormatting sqref="D27:D33">
    <cfRule type="cellIs" dxfId="22" priority="1" operator="equal">
      <formula>"Merchandising"</formula>
    </cfRule>
  </conditionalFormatting>
  <conditionalFormatting sqref="D32:D33">
    <cfRule type="cellIs" dxfId="21" priority="20" operator="equal">
      <formula>"Used Operations"</formula>
    </cfRule>
    <cfRule type="cellIs" dxfId="20" priority="21" operator="equal">
      <formula>"Web Experience"</formula>
    </cfRule>
  </conditionalFormatting>
  <conditionalFormatting sqref="D33">
    <cfRule type="cellIs" dxfId="19" priority="19" operator="equal">
      <formula>OR("B2B","The Studio - B2B")</formula>
    </cfRule>
  </conditionalFormatting>
  <conditionalFormatting sqref="G18">
    <cfRule type="cellIs" dxfId="18" priority="10" operator="equal">
      <formula>"Merchandising"</formula>
    </cfRule>
    <cfRule type="cellIs" dxfId="17" priority="11" operator="equal">
      <formula>"B2B"</formula>
    </cfRule>
    <cfRule type="cellIs" dxfId="16" priority="12" operator="equal">
      <formula>"Used Operations"</formula>
    </cfRule>
    <cfRule type="cellIs" dxfId="15" priority="13" operator="equal">
      <formula>"Web Experience"</formula>
    </cfRule>
  </conditionalFormatting>
  <conditionalFormatting sqref="G23:G25 H25">
    <cfRule type="cellIs" dxfId="14" priority="6" operator="equal">
      <formula>"Merchandising"</formula>
    </cfRule>
    <cfRule type="cellIs" dxfId="13" priority="7" operator="equal">
      <formula>"B2B"</formula>
    </cfRule>
    <cfRule type="cellIs" dxfId="12" priority="8" operator="equal">
      <formula>"Used Operations"</formula>
    </cfRule>
    <cfRule type="cellIs" dxfId="11" priority="9" operator="equal">
      <formula>"Web Experience"</formula>
    </cfRule>
  </conditionalFormatting>
  <conditionalFormatting sqref="G17:H17 H19:H20">
    <cfRule type="cellIs" dxfId="10" priority="14" operator="equal">
      <formula>"Merchandising"</formula>
    </cfRule>
    <cfRule type="cellIs" dxfId="9" priority="15" operator="equal">
      <formula>"B2B"</formula>
    </cfRule>
    <cfRule type="cellIs" dxfId="8" priority="16" operator="equal">
      <formula>"Used Operations"</formula>
    </cfRule>
    <cfRule type="cellIs" dxfId="7" priority="17" operator="equal">
      <formula>"Web Experience"</formula>
    </cfRule>
  </conditionalFormatting>
  <conditionalFormatting sqref="I5">
    <cfRule type="cellIs" dxfId="6" priority="46" operator="equal">
      <formula>"Merchandising"</formula>
    </cfRule>
    <cfRule type="cellIs" dxfId="5" priority="47" operator="equal">
      <formula>"B2B"</formula>
    </cfRule>
    <cfRule type="cellIs" dxfId="4" priority="48" operator="equal">
      <formula>"Used Operations"</formula>
    </cfRule>
    <cfRule type="cellIs" dxfId="3" priority="49" operator="equal">
      <formula>"Web Experience"</formula>
    </cfRule>
  </conditionalFormatting>
  <hyperlinks>
    <hyperlink ref="B16" r:id="rId1" xr:uid="{43CA04DB-AC0F-8F4B-B8E9-7F556835B18E}"/>
    <hyperlink ref="B17" r:id="rId2" xr:uid="{04697F9A-9F5B-D64B-A0AD-6F97E12070E9}"/>
    <hyperlink ref="B12" r:id="rId3" xr:uid="{68DF2A11-D7AA-7B4A-A3C1-42D11AB93640}"/>
    <hyperlink ref="B10" r:id="rId4" xr:uid="{1BE89D9E-4590-3344-B6EB-183D652548D5}"/>
    <hyperlink ref="B7" r:id="rId5" xr:uid="{53D7D6B5-4447-FF4B-844A-46AE2D481BEA}"/>
    <hyperlink ref="B13" r:id="rId6" xr:uid="{5418630E-78EE-F741-ACD5-BC10E65D396F}"/>
    <hyperlink ref="B14" r:id="rId7" xr:uid="{0B598C1B-7100-9546-B6E4-2ACCBF9814CE}"/>
    <hyperlink ref="B5" r:id="rId8" display="BHP-690" xr:uid="{1F0A8107-7781-C245-AD3E-3A4FA1059285}"/>
    <hyperlink ref="B6" r:id="rId9" xr:uid="{E0FBF507-65D1-F74F-80FE-915B5BE841B4}"/>
    <hyperlink ref="B8" r:id="rId10" xr:uid="{6AA45767-358F-D644-A2A3-B7077659A647}"/>
    <hyperlink ref="B18" r:id="rId11" xr:uid="{C5F9E828-9A68-B247-8EDB-CBC5CC3534F9}"/>
    <hyperlink ref="B19" r:id="rId12" xr:uid="{46BB1992-9233-3442-87C0-1DB99C368FD7}"/>
    <hyperlink ref="B22" r:id="rId13" xr:uid="{1355C1D8-F17E-C045-8956-6D4D8C2B6C13}"/>
    <hyperlink ref="B9" r:id="rId14" xr:uid="{6EB6C070-92ED-444A-8A08-A747B2CB7E75}"/>
    <hyperlink ref="I6" r:id="rId15" xr:uid="{1E25FA25-3CE5-5645-B1CE-71A560CE9FBE}"/>
    <hyperlink ref="B24" r:id="rId16" xr:uid="{0D9C37B8-C952-6141-9B7D-9FD75AE7C66E}"/>
    <hyperlink ref="B26" r:id="rId17" xr:uid="{CB1B6BEB-D555-1540-96FB-2C1B897919B4}"/>
    <hyperlink ref="B25" r:id="rId18" xr:uid="{81608972-2CBD-C04A-B7FD-78B85F4F0727}"/>
    <hyperlink ref="B28" r:id="rId19" xr:uid="{16163B62-FFFC-7442-A91F-210F9262F85A}"/>
    <hyperlink ref="B27" r:id="rId20" xr:uid="{869FA496-FCE8-444E-882A-EBCA470BB6B1}"/>
    <hyperlink ref="B30" r:id="rId21" xr:uid="{F8EC2F25-9F4D-1B47-8045-38E79644321D}"/>
    <hyperlink ref="B31" r:id="rId22" xr:uid="{3E885D94-D179-6E48-ABD8-D6C8BE5B3922}"/>
    <hyperlink ref="B32" r:id="rId23" xr:uid="{9EF2E20B-C819-EA4A-ACBD-1CF204043F9D}"/>
    <hyperlink ref="B29" r:id="rId24" xr:uid="{0C81ED76-2DF4-7447-9248-6D5CF74197C7}"/>
    <hyperlink ref="B33" r:id="rId25" xr:uid="{6D1A5BA7-B675-8349-9688-8EEEF783E331}"/>
  </hyperlink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F1C9-7E05-4346-A958-24362E06B0FE}">
  <dimension ref="A3:AG9"/>
  <sheetViews>
    <sheetView workbookViewId="0">
      <selection activeCell="D11" sqref="D11"/>
    </sheetView>
  </sheetViews>
  <sheetFormatPr baseColWidth="10" defaultRowHeight="16" x14ac:dyDescent="0.2"/>
  <cols>
    <col min="1" max="1" width="13.6640625" bestFit="1" customWidth="1"/>
  </cols>
  <sheetData>
    <row r="3" spans="1:33" ht="17" thickBot="1" x14ac:dyDescent="0.25">
      <c r="A3" s="86" t="s">
        <v>67</v>
      </c>
      <c r="B3" s="86" t="s">
        <v>135</v>
      </c>
      <c r="C3" s="87" t="s">
        <v>265</v>
      </c>
      <c r="D3" s="86" t="s">
        <v>68</v>
      </c>
      <c r="E3" s="86" t="s">
        <v>70</v>
      </c>
      <c r="F3" s="89" t="s">
        <v>69</v>
      </c>
    </row>
    <row r="4" spans="1:33" ht="18" thickTop="1" thickBot="1" x14ac:dyDescent="0.25">
      <c r="A4" s="71" t="s">
        <v>78</v>
      </c>
      <c r="B4" s="85"/>
      <c r="C4" s="85"/>
      <c r="D4" s="81" t="s">
        <v>81</v>
      </c>
      <c r="E4" s="39" t="s">
        <v>82</v>
      </c>
      <c r="F4" t="s">
        <v>249</v>
      </c>
      <c r="G4" s="90"/>
      <c r="H4" s="90"/>
      <c r="I4" s="84"/>
      <c r="J4" s="90"/>
      <c r="K4" s="90"/>
      <c r="L4" s="90"/>
      <c r="M4" s="90"/>
      <c r="N4" s="91"/>
      <c r="O4" s="91"/>
      <c r="P4" s="91"/>
      <c r="Q4" s="91"/>
      <c r="R4" s="91"/>
      <c r="S4" s="92"/>
      <c r="T4" s="91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</row>
    <row r="5" spans="1:33" ht="17" thickTop="1" x14ac:dyDescent="0.2">
      <c r="A5" s="37" t="s">
        <v>78</v>
      </c>
      <c r="B5" s="72" t="s">
        <v>142</v>
      </c>
      <c r="C5" s="72"/>
      <c r="D5" s="80" t="s">
        <v>79</v>
      </c>
      <c r="E5" s="82" t="s">
        <v>80</v>
      </c>
      <c r="F5" t="s">
        <v>262</v>
      </c>
      <c r="G5" s="84"/>
      <c r="H5" s="84"/>
      <c r="I5" s="84"/>
      <c r="J5" s="84"/>
      <c r="K5" s="84"/>
      <c r="L5" s="84"/>
      <c r="M5" s="90"/>
      <c r="N5" s="91"/>
      <c r="O5" s="91"/>
      <c r="P5" s="91"/>
      <c r="Q5" s="91"/>
      <c r="R5" s="91"/>
      <c r="S5" s="92"/>
      <c r="T5" s="91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</row>
    <row r="6" spans="1:33" ht="34" x14ac:dyDescent="0.2">
      <c r="A6" s="37" t="s">
        <v>78</v>
      </c>
      <c r="B6" s="37" t="s">
        <v>217</v>
      </c>
      <c r="C6" s="37"/>
      <c r="D6" s="37" t="s">
        <v>209</v>
      </c>
      <c r="E6" s="66" t="s">
        <v>88</v>
      </c>
      <c r="F6" t="s">
        <v>262</v>
      </c>
      <c r="G6" s="84"/>
      <c r="H6" s="84"/>
      <c r="I6" s="84"/>
      <c r="J6" s="84"/>
      <c r="K6" s="90"/>
      <c r="L6" s="84"/>
      <c r="M6" s="84"/>
      <c r="N6" s="93"/>
      <c r="O6" s="93"/>
      <c r="P6" s="91"/>
      <c r="Q6" s="91"/>
      <c r="R6" s="91"/>
      <c r="S6" s="92"/>
      <c r="T6" s="91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</row>
    <row r="7" spans="1:33" x14ac:dyDescent="0.2">
      <c r="A7" s="37" t="s">
        <v>78</v>
      </c>
      <c r="B7" s="37" t="s">
        <v>216</v>
      </c>
      <c r="C7" s="37"/>
      <c r="D7" s="37" t="s">
        <v>89</v>
      </c>
      <c r="E7" s="39" t="s">
        <v>90</v>
      </c>
      <c r="F7" t="s">
        <v>262</v>
      </c>
      <c r="G7" s="84"/>
      <c r="H7" s="84"/>
      <c r="I7" s="84"/>
      <c r="J7" s="84"/>
      <c r="K7" s="90"/>
      <c r="L7" s="84"/>
      <c r="M7" s="90"/>
      <c r="N7" s="93"/>
      <c r="O7" s="91"/>
      <c r="P7" s="93"/>
      <c r="Q7" s="91"/>
      <c r="R7" s="91"/>
      <c r="S7" s="92"/>
      <c r="T7" s="91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</row>
    <row r="8" spans="1:33" ht="34" x14ac:dyDescent="0.2">
      <c r="A8" s="37" t="s">
        <v>78</v>
      </c>
      <c r="B8" s="37" t="s">
        <v>142</v>
      </c>
      <c r="C8" s="37"/>
      <c r="D8" s="37" t="s">
        <v>91</v>
      </c>
      <c r="E8" s="66" t="s">
        <v>92</v>
      </c>
      <c r="F8" t="s">
        <v>262</v>
      </c>
      <c r="G8" s="84"/>
      <c r="H8" s="84"/>
      <c r="I8" s="84"/>
      <c r="J8" s="84"/>
      <c r="K8" s="84"/>
      <c r="L8" s="84"/>
      <c r="M8" s="84"/>
      <c r="N8" s="93"/>
      <c r="O8" s="91"/>
      <c r="P8" s="91"/>
      <c r="Q8" s="91"/>
      <c r="R8" s="91"/>
      <c r="S8" s="92"/>
      <c r="T8" s="91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</row>
    <row r="9" spans="1:33" x14ac:dyDescent="0.2">
      <c r="A9" s="37" t="s">
        <v>78</v>
      </c>
      <c r="B9" s="37" t="s">
        <v>142</v>
      </c>
      <c r="C9" s="37"/>
      <c r="D9" s="37" t="s">
        <v>83</v>
      </c>
      <c r="E9" s="39" t="s">
        <v>85</v>
      </c>
      <c r="F9" t="s">
        <v>84</v>
      </c>
      <c r="G9" s="90"/>
      <c r="H9" s="90"/>
      <c r="I9" s="90"/>
      <c r="J9" s="90"/>
      <c r="K9" s="94"/>
      <c r="L9" s="95"/>
      <c r="M9" s="84"/>
      <c r="N9" s="91"/>
      <c r="O9" s="91"/>
      <c r="P9" s="91"/>
      <c r="Q9" s="91"/>
      <c r="R9" s="91"/>
      <c r="S9" s="92"/>
      <c r="T9" s="91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</row>
  </sheetData>
  <conditionalFormatting sqref="B3:B9">
    <cfRule type="cellIs" dxfId="2" priority="1" stopIfTrue="1" operator="equal">
      <formula>"Find"</formula>
    </cfRule>
    <cfRule type="cellIs" dxfId="1" priority="2" operator="equal">
      <formula>"Used"</formula>
    </cfRule>
    <cfRule type="cellIs" dxfId="0" priority="3" stopIfTrue="1" operator="equal">
      <formula>"B2B"</formula>
    </cfRule>
  </conditionalFormatting>
  <hyperlinks>
    <hyperlink ref="E5" r:id="rId1" display="https://jira.bnh.com/browse/BHUX-33186" xr:uid="{074C5F84-8EF1-E045-B283-08C54B5C01CF}"/>
    <hyperlink ref="E7" r:id="rId2" tooltip="https://jira.bnh.com/browse/bhux-33409" display="https://jira.bnh.com/browse/BHUX-33409" xr:uid="{00DF9B98-BF11-AE41-AFE0-88BF4AF6C360}"/>
    <hyperlink ref="E4" r:id="rId3" display="https://jira.bnh.com/browse/BHUX-33524" xr:uid="{55D4151B-8B54-4054-8569-1F33DAA4EE99}"/>
    <hyperlink ref="E9" r:id="rId4" xr:uid="{2A7F7C1C-FA9B-4845-BC7B-DFAA0430B083}"/>
    <hyperlink ref="E8" r:id="rId5" xr:uid="{702B82B1-994C-4B69-9082-A4B41DCCB7EE}"/>
    <hyperlink ref="E6" r:id="rId6" xr:uid="{0F8E3B74-CDDF-4F84-B5FB-B1871B98445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2EB7-3761-CD40-9A90-764016143F0F}">
  <dimension ref="A3:K27"/>
  <sheetViews>
    <sheetView topLeftCell="A4" workbookViewId="0">
      <selection activeCell="E9" sqref="E9"/>
    </sheetView>
  </sheetViews>
  <sheetFormatPr baseColWidth="10" defaultRowHeight="16" x14ac:dyDescent="0.2"/>
  <cols>
    <col min="2" max="2" width="38" bestFit="1" customWidth="1"/>
    <col min="5" max="5" width="51.5" bestFit="1" customWidth="1"/>
    <col min="6" max="6" width="48.33203125" customWidth="1"/>
    <col min="7" max="7" width="38.1640625" customWidth="1"/>
    <col min="8" max="8" width="37.5" customWidth="1"/>
    <col min="10" max="10" width="33.6640625" customWidth="1"/>
    <col min="11" max="11" width="33.33203125" bestFit="1" customWidth="1"/>
  </cols>
  <sheetData>
    <row r="3" spans="1:11" ht="22" x14ac:dyDescent="0.3">
      <c r="A3" s="96" t="s">
        <v>135</v>
      </c>
      <c r="B3" s="96" t="s">
        <v>69</v>
      </c>
      <c r="C3" s="96"/>
      <c r="D3" s="96"/>
      <c r="E3" s="47" t="s">
        <v>265</v>
      </c>
      <c r="F3" s="47" t="s">
        <v>291</v>
      </c>
      <c r="G3" s="47" t="s">
        <v>298</v>
      </c>
      <c r="H3" s="47" t="s">
        <v>292</v>
      </c>
      <c r="J3" s="182"/>
      <c r="K3" s="182" t="s">
        <v>745</v>
      </c>
    </row>
    <row r="4" spans="1:11" ht="22" x14ac:dyDescent="0.3">
      <c r="A4" s="97" t="s">
        <v>142</v>
      </c>
      <c r="B4" s="97" t="s">
        <v>251</v>
      </c>
      <c r="E4" s="49" t="s">
        <v>256</v>
      </c>
      <c r="F4" s="130" t="s">
        <v>320</v>
      </c>
      <c r="G4" s="121"/>
      <c r="H4" s="121"/>
      <c r="K4" s="181"/>
    </row>
    <row r="5" spans="1:11" ht="92" x14ac:dyDescent="0.3">
      <c r="A5" s="97" t="s">
        <v>213</v>
      </c>
      <c r="B5" s="97" t="s">
        <v>272</v>
      </c>
      <c r="E5" s="49" t="s">
        <v>257</v>
      </c>
      <c r="F5" s="121" t="s">
        <v>665</v>
      </c>
      <c r="G5" s="121" t="s">
        <v>299</v>
      </c>
      <c r="H5" s="121" t="s">
        <v>310</v>
      </c>
      <c r="K5" s="180" t="s">
        <v>696</v>
      </c>
    </row>
    <row r="6" spans="1:11" ht="115" x14ac:dyDescent="0.3">
      <c r="A6" s="97" t="s">
        <v>215</v>
      </c>
      <c r="B6" s="97" t="s">
        <v>244</v>
      </c>
      <c r="E6" s="49" t="s">
        <v>253</v>
      </c>
      <c r="F6" s="121" t="s">
        <v>666</v>
      </c>
      <c r="G6" s="121" t="s">
        <v>302</v>
      </c>
      <c r="H6" s="122" t="s">
        <v>303</v>
      </c>
      <c r="K6" s="187" t="s">
        <v>613</v>
      </c>
    </row>
    <row r="7" spans="1:11" ht="92" x14ac:dyDescent="0.3">
      <c r="A7" s="97"/>
      <c r="B7" s="97" t="s">
        <v>246</v>
      </c>
      <c r="E7" s="49" t="s">
        <v>261</v>
      </c>
      <c r="F7" s="121" t="s">
        <v>296</v>
      </c>
      <c r="G7" s="121" t="s">
        <v>304</v>
      </c>
      <c r="H7" s="121" t="s">
        <v>305</v>
      </c>
      <c r="K7" s="187" t="s">
        <v>746</v>
      </c>
    </row>
    <row r="8" spans="1:11" ht="161" x14ac:dyDescent="0.3">
      <c r="A8" s="97"/>
      <c r="B8" s="97" t="s">
        <v>247</v>
      </c>
      <c r="E8" s="49" t="s">
        <v>258</v>
      </c>
      <c r="F8" s="121" t="s">
        <v>295</v>
      </c>
      <c r="G8" s="121" t="s">
        <v>300</v>
      </c>
      <c r="H8" s="121" t="s">
        <v>301</v>
      </c>
      <c r="K8" s="187" t="s">
        <v>747</v>
      </c>
    </row>
    <row r="9" spans="1:11" ht="115" x14ac:dyDescent="0.3">
      <c r="A9" s="97"/>
      <c r="B9" s="97" t="s">
        <v>245</v>
      </c>
      <c r="E9" s="49" t="s">
        <v>255</v>
      </c>
      <c r="F9" s="121" t="s">
        <v>667</v>
      </c>
      <c r="G9" s="121" t="s">
        <v>306</v>
      </c>
      <c r="H9" s="121" t="s">
        <v>307</v>
      </c>
      <c r="K9" s="187" t="s">
        <v>748</v>
      </c>
    </row>
    <row r="10" spans="1:11" ht="92" x14ac:dyDescent="0.3">
      <c r="A10" s="97"/>
      <c r="B10" s="97" t="s">
        <v>248</v>
      </c>
      <c r="E10" s="49" t="s">
        <v>297</v>
      </c>
      <c r="F10" s="121" t="s">
        <v>668</v>
      </c>
      <c r="G10" s="121" t="s">
        <v>308</v>
      </c>
      <c r="H10" s="121" t="s">
        <v>309</v>
      </c>
      <c r="K10" s="190" t="s">
        <v>749</v>
      </c>
    </row>
    <row r="11" spans="1:11" ht="22" x14ac:dyDescent="0.3">
      <c r="A11" s="97"/>
      <c r="B11" s="97" t="s">
        <v>262</v>
      </c>
      <c r="E11" s="49" t="s">
        <v>260</v>
      </c>
      <c r="F11" s="121"/>
      <c r="G11" s="121"/>
      <c r="H11" s="121"/>
      <c r="K11" s="190" t="s">
        <v>750</v>
      </c>
    </row>
    <row r="12" spans="1:11" ht="22" x14ac:dyDescent="0.3">
      <c r="A12" s="97"/>
      <c r="B12" s="97" t="s">
        <v>273</v>
      </c>
      <c r="E12" s="49" t="s">
        <v>259</v>
      </c>
      <c r="F12" s="121"/>
      <c r="G12" s="121"/>
      <c r="H12" s="121"/>
      <c r="K12" s="190" t="s">
        <v>751</v>
      </c>
    </row>
    <row r="13" spans="1:11" ht="22" x14ac:dyDescent="0.3">
      <c r="A13" s="97"/>
      <c r="B13" s="97" t="s">
        <v>250</v>
      </c>
      <c r="E13" s="49" t="s">
        <v>254</v>
      </c>
      <c r="F13" s="121"/>
      <c r="G13" s="121"/>
      <c r="H13" s="121"/>
      <c r="K13" s="190" t="s">
        <v>752</v>
      </c>
    </row>
    <row r="14" spans="1:11" ht="138" x14ac:dyDescent="0.3">
      <c r="A14" s="97"/>
      <c r="B14" s="97" t="s">
        <v>269</v>
      </c>
      <c r="E14" s="160" t="s">
        <v>313</v>
      </c>
      <c r="F14" s="121" t="s">
        <v>319</v>
      </c>
      <c r="G14" s="121"/>
      <c r="H14" s="121"/>
      <c r="K14" s="190" t="s">
        <v>753</v>
      </c>
    </row>
    <row r="15" spans="1:11" ht="138" x14ac:dyDescent="0.3">
      <c r="A15" s="97"/>
      <c r="B15" s="97" t="s">
        <v>263</v>
      </c>
      <c r="E15" s="48" t="s">
        <v>575</v>
      </c>
      <c r="F15" s="121" t="s">
        <v>318</v>
      </c>
      <c r="G15" s="37"/>
      <c r="H15" s="37"/>
      <c r="K15" s="190" t="s">
        <v>754</v>
      </c>
    </row>
    <row r="16" spans="1:11" ht="22" x14ac:dyDescent="0.3">
      <c r="A16" s="97"/>
      <c r="B16" s="97" t="s">
        <v>317</v>
      </c>
      <c r="E16" s="48"/>
      <c r="F16" s="37"/>
      <c r="G16" s="37"/>
      <c r="H16" s="37"/>
      <c r="K16" s="190" t="s">
        <v>755</v>
      </c>
    </row>
    <row r="17" spans="1:11" ht="22" x14ac:dyDescent="0.3">
      <c r="A17" s="97"/>
      <c r="B17" s="97" t="s">
        <v>316</v>
      </c>
      <c r="K17" s="190" t="s">
        <v>756</v>
      </c>
    </row>
    <row r="18" spans="1:11" ht="22" x14ac:dyDescent="0.3">
      <c r="A18" s="97"/>
      <c r="B18" s="97" t="s">
        <v>315</v>
      </c>
      <c r="K18" s="190" t="s">
        <v>757</v>
      </c>
    </row>
    <row r="19" spans="1:11" ht="22" x14ac:dyDescent="0.3">
      <c r="A19" s="97"/>
      <c r="B19" s="97" t="s">
        <v>314</v>
      </c>
      <c r="K19" s="190" t="s">
        <v>758</v>
      </c>
    </row>
    <row r="20" spans="1:11" ht="22" x14ac:dyDescent="0.3">
      <c r="K20" s="190" t="s">
        <v>759</v>
      </c>
    </row>
    <row r="21" spans="1:11" ht="22" x14ac:dyDescent="0.3">
      <c r="K21" s="190" t="s">
        <v>760</v>
      </c>
    </row>
    <row r="22" spans="1:11" ht="22" x14ac:dyDescent="0.3">
      <c r="K22" s="190" t="s">
        <v>761</v>
      </c>
    </row>
    <row r="23" spans="1:11" ht="22" x14ac:dyDescent="0.3">
      <c r="K23" s="190" t="s">
        <v>762</v>
      </c>
    </row>
    <row r="24" spans="1:11" ht="22" x14ac:dyDescent="0.3">
      <c r="K24" s="190" t="s">
        <v>763</v>
      </c>
    </row>
    <row r="25" spans="1:11" ht="22" x14ac:dyDescent="0.3">
      <c r="K25" s="190" t="s">
        <v>764</v>
      </c>
    </row>
    <row r="26" spans="1:11" ht="22" x14ac:dyDescent="0.3">
      <c r="K26" s="190" t="s">
        <v>765</v>
      </c>
    </row>
    <row r="27" spans="1:11" ht="22" x14ac:dyDescent="0.3">
      <c r="K27" s="15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1510-08D4-994D-AE3B-74BB50A6D518}">
  <dimension ref="A2:K55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RowHeight="16" x14ac:dyDescent="0.2"/>
  <cols>
    <col min="2" max="2" width="45" bestFit="1" customWidth="1"/>
    <col min="3" max="3" width="56.5" bestFit="1" customWidth="1"/>
    <col min="4" max="5" width="56.5" customWidth="1"/>
    <col min="6" max="6" width="56.6640625" bestFit="1" customWidth="1"/>
    <col min="8" max="8" width="30.6640625" bestFit="1" customWidth="1"/>
    <col min="9" max="10" width="26.83203125" style="184" customWidth="1"/>
  </cols>
  <sheetData>
    <row r="2" spans="1:11" ht="22" customHeight="1" x14ac:dyDescent="0.3">
      <c r="A2" s="47" t="s">
        <v>135</v>
      </c>
      <c r="B2" s="47" t="s">
        <v>265</v>
      </c>
      <c r="C2" s="47" t="s">
        <v>333</v>
      </c>
      <c r="D2" s="47" t="s">
        <v>291</v>
      </c>
      <c r="E2" s="47" t="s">
        <v>374</v>
      </c>
      <c r="F2" s="47" t="s">
        <v>375</v>
      </c>
      <c r="G2" s="47" t="s">
        <v>337</v>
      </c>
      <c r="H2" s="47" t="s">
        <v>339</v>
      </c>
      <c r="I2" s="183" t="s">
        <v>576</v>
      </c>
      <c r="J2" s="183"/>
      <c r="K2" s="47" t="s">
        <v>340</v>
      </c>
    </row>
    <row r="3" spans="1:11" ht="69" x14ac:dyDescent="0.3">
      <c r="A3" s="48" t="s">
        <v>213</v>
      </c>
      <c r="B3" s="157" t="s">
        <v>257</v>
      </c>
      <c r="C3" s="158" t="s">
        <v>334</v>
      </c>
      <c r="D3" s="158" t="s">
        <v>577</v>
      </c>
      <c r="E3" s="158" t="s">
        <v>574</v>
      </c>
      <c r="F3" s="158" t="s">
        <v>573</v>
      </c>
      <c r="G3" s="48" t="s">
        <v>338</v>
      </c>
      <c r="H3" s="48" t="s">
        <v>355</v>
      </c>
      <c r="I3" s="67" t="s">
        <v>578</v>
      </c>
      <c r="J3" s="67"/>
      <c r="K3" s="48"/>
    </row>
    <row r="4" spans="1:11" ht="69" x14ac:dyDescent="0.3">
      <c r="A4" s="48" t="s">
        <v>213</v>
      </c>
      <c r="B4" s="157" t="s">
        <v>257</v>
      </c>
      <c r="C4" s="48" t="s">
        <v>335</v>
      </c>
      <c r="D4" s="67" t="s">
        <v>572</v>
      </c>
      <c r="E4" s="67" t="s">
        <v>571</v>
      </c>
      <c r="F4" s="67" t="s">
        <v>570</v>
      </c>
      <c r="G4" s="48" t="s">
        <v>338</v>
      </c>
      <c r="H4" s="48" t="s">
        <v>355</v>
      </c>
      <c r="I4" s="67" t="s">
        <v>578</v>
      </c>
      <c r="J4" s="67"/>
      <c r="K4" s="48"/>
    </row>
    <row r="5" spans="1:11" ht="69" x14ac:dyDescent="0.3">
      <c r="A5" s="48" t="s">
        <v>213</v>
      </c>
      <c r="B5" s="157" t="s">
        <v>257</v>
      </c>
      <c r="C5" s="48" t="s">
        <v>336</v>
      </c>
      <c r="D5" s="67" t="s">
        <v>569</v>
      </c>
      <c r="E5" s="67" t="s">
        <v>568</v>
      </c>
      <c r="F5" s="67" t="s">
        <v>567</v>
      </c>
      <c r="G5" s="48" t="s">
        <v>338</v>
      </c>
      <c r="H5" s="48" t="s">
        <v>355</v>
      </c>
      <c r="I5" s="67" t="s">
        <v>578</v>
      </c>
      <c r="J5" s="67"/>
      <c r="K5" s="48"/>
    </row>
    <row r="6" spans="1:11" ht="69" x14ac:dyDescent="0.3">
      <c r="A6" s="48" t="s">
        <v>213</v>
      </c>
      <c r="B6" s="157" t="s">
        <v>257</v>
      </c>
      <c r="C6" s="159" t="s">
        <v>342</v>
      </c>
      <c r="D6" s="159" t="s">
        <v>566</v>
      </c>
      <c r="E6" s="159" t="s">
        <v>565</v>
      </c>
      <c r="F6" s="159" t="s">
        <v>564</v>
      </c>
      <c r="G6" s="48" t="s">
        <v>344</v>
      </c>
      <c r="H6" s="48" t="s">
        <v>508</v>
      </c>
      <c r="I6" s="67" t="s">
        <v>591</v>
      </c>
      <c r="J6" s="67"/>
      <c r="K6" s="48"/>
    </row>
    <row r="7" spans="1:11" ht="69" x14ac:dyDescent="0.3">
      <c r="A7" s="48" t="s">
        <v>213</v>
      </c>
      <c r="B7" s="157" t="s">
        <v>257</v>
      </c>
      <c r="C7" s="48" t="s">
        <v>343</v>
      </c>
      <c r="D7" s="67" t="s">
        <v>563</v>
      </c>
      <c r="E7" s="67" t="s">
        <v>562</v>
      </c>
      <c r="F7" s="67" t="s">
        <v>561</v>
      </c>
      <c r="G7" s="48" t="s">
        <v>344</v>
      </c>
      <c r="H7" s="48" t="s">
        <v>548</v>
      </c>
      <c r="I7" s="67"/>
      <c r="J7" s="67"/>
      <c r="K7" s="48"/>
    </row>
    <row r="8" spans="1:11" ht="69" x14ac:dyDescent="0.3">
      <c r="A8" s="48" t="s">
        <v>213</v>
      </c>
      <c r="B8" s="157" t="s">
        <v>257</v>
      </c>
      <c r="C8" s="48" t="s">
        <v>341</v>
      </c>
      <c r="D8" s="67" t="s">
        <v>560</v>
      </c>
      <c r="E8" s="67" t="s">
        <v>559</v>
      </c>
      <c r="F8" s="67" t="s">
        <v>558</v>
      </c>
      <c r="G8" s="48" t="s">
        <v>344</v>
      </c>
      <c r="H8" s="48" t="s">
        <v>557</v>
      </c>
      <c r="I8" s="67" t="s">
        <v>578</v>
      </c>
      <c r="J8" s="67"/>
      <c r="K8" s="48"/>
    </row>
    <row r="9" spans="1:11" ht="69" x14ac:dyDescent="0.3">
      <c r="A9" s="48" t="s">
        <v>213</v>
      </c>
      <c r="B9" s="48" t="s">
        <v>257</v>
      </c>
      <c r="C9" s="48" t="s">
        <v>556</v>
      </c>
      <c r="D9" s="67" t="s">
        <v>555</v>
      </c>
      <c r="E9" s="67" t="s">
        <v>554</v>
      </c>
      <c r="F9" s="67" t="s">
        <v>553</v>
      </c>
      <c r="G9" s="48" t="s">
        <v>338</v>
      </c>
      <c r="H9" s="48" t="s">
        <v>355</v>
      </c>
      <c r="I9" s="67" t="s">
        <v>592</v>
      </c>
      <c r="J9" s="67"/>
      <c r="K9" s="48"/>
    </row>
    <row r="10" spans="1:11" ht="69" x14ac:dyDescent="0.3">
      <c r="A10" s="48" t="s">
        <v>213</v>
      </c>
      <c r="B10" s="48" t="s">
        <v>257</v>
      </c>
      <c r="C10" s="48" t="s">
        <v>552</v>
      </c>
      <c r="D10" s="67" t="s">
        <v>551</v>
      </c>
      <c r="E10" s="67" t="s">
        <v>550</v>
      </c>
      <c r="F10" s="67" t="s">
        <v>549</v>
      </c>
      <c r="G10" s="48" t="s">
        <v>344</v>
      </c>
      <c r="H10" s="48" t="s">
        <v>548</v>
      </c>
      <c r="I10" s="67" t="s">
        <v>592</v>
      </c>
      <c r="J10" s="67"/>
      <c r="K10" s="48"/>
    </row>
    <row r="11" spans="1:11" ht="69" x14ac:dyDescent="0.3">
      <c r="A11" s="48" t="s">
        <v>213</v>
      </c>
      <c r="B11" s="48" t="s">
        <v>253</v>
      </c>
      <c r="C11" s="159" t="s">
        <v>346</v>
      </c>
      <c r="D11" s="159" t="s">
        <v>547</v>
      </c>
      <c r="E11" s="159" t="s">
        <v>546</v>
      </c>
      <c r="F11" s="159" t="s">
        <v>545</v>
      </c>
      <c r="G11" s="48" t="s">
        <v>338</v>
      </c>
      <c r="H11" s="48" t="s">
        <v>508</v>
      </c>
      <c r="I11" s="67"/>
      <c r="J11" s="67"/>
      <c r="K11" s="48"/>
    </row>
    <row r="12" spans="1:11" ht="69" x14ac:dyDescent="0.3">
      <c r="A12" s="48" t="s">
        <v>213</v>
      </c>
      <c r="B12" s="48" t="s">
        <v>253</v>
      </c>
      <c r="C12" s="48" t="s">
        <v>345</v>
      </c>
      <c r="D12" s="67" t="s">
        <v>544</v>
      </c>
      <c r="E12" s="67" t="s">
        <v>543</v>
      </c>
      <c r="F12" s="67" t="s">
        <v>542</v>
      </c>
      <c r="G12" s="48" t="s">
        <v>338</v>
      </c>
      <c r="H12" s="48" t="s">
        <v>508</v>
      </c>
      <c r="I12" s="67"/>
      <c r="J12" s="67"/>
      <c r="K12" s="48"/>
    </row>
    <row r="13" spans="1:11" ht="69" x14ac:dyDescent="0.3">
      <c r="A13" s="48" t="s">
        <v>213</v>
      </c>
      <c r="B13" s="48" t="s">
        <v>253</v>
      </c>
      <c r="C13" s="48" t="s">
        <v>347</v>
      </c>
      <c r="D13" s="67" t="s">
        <v>541</v>
      </c>
      <c r="E13" s="67" t="s">
        <v>540</v>
      </c>
      <c r="F13" s="67" t="s">
        <v>539</v>
      </c>
      <c r="G13" s="48" t="s">
        <v>338</v>
      </c>
      <c r="H13" s="48" t="s">
        <v>538</v>
      </c>
      <c r="I13" s="67" t="s">
        <v>602</v>
      </c>
      <c r="J13" s="67"/>
      <c r="K13" s="48"/>
    </row>
    <row r="14" spans="1:11" ht="69" x14ac:dyDescent="0.3">
      <c r="A14" s="48" t="s">
        <v>213</v>
      </c>
      <c r="B14" s="48" t="s">
        <v>253</v>
      </c>
      <c r="C14" s="67" t="s">
        <v>352</v>
      </c>
      <c r="D14" s="67" t="s">
        <v>537</v>
      </c>
      <c r="E14" s="67" t="s">
        <v>536</v>
      </c>
      <c r="F14" s="67" t="s">
        <v>535</v>
      </c>
      <c r="G14" s="48" t="s">
        <v>344</v>
      </c>
      <c r="H14" s="48" t="s">
        <v>508</v>
      </c>
      <c r="I14" s="67" t="s">
        <v>600</v>
      </c>
      <c r="J14" s="67"/>
      <c r="K14" s="48"/>
    </row>
    <row r="15" spans="1:11" ht="115" x14ac:dyDescent="0.3">
      <c r="A15" s="48" t="s">
        <v>213</v>
      </c>
      <c r="B15" s="48" t="s">
        <v>253</v>
      </c>
      <c r="C15" s="67" t="s">
        <v>353</v>
      </c>
      <c r="D15" s="67" t="s">
        <v>534</v>
      </c>
      <c r="E15" s="67" t="s">
        <v>533</v>
      </c>
      <c r="F15" s="67" t="s">
        <v>532</v>
      </c>
      <c r="G15" s="48" t="s">
        <v>344</v>
      </c>
      <c r="H15" s="48" t="s">
        <v>355</v>
      </c>
      <c r="I15" s="67" t="s">
        <v>601</v>
      </c>
      <c r="J15" s="67"/>
      <c r="K15" s="48"/>
    </row>
    <row r="16" spans="1:11" ht="69" x14ac:dyDescent="0.3">
      <c r="A16" s="48" t="s">
        <v>213</v>
      </c>
      <c r="B16" s="48" t="s">
        <v>253</v>
      </c>
      <c r="C16" s="48" t="s">
        <v>354</v>
      </c>
      <c r="D16" s="67" t="s">
        <v>531</v>
      </c>
      <c r="E16" s="67" t="s">
        <v>530</v>
      </c>
      <c r="F16" s="67" t="s">
        <v>529</v>
      </c>
      <c r="G16" s="48" t="s">
        <v>344</v>
      </c>
      <c r="H16" s="48" t="s">
        <v>388</v>
      </c>
      <c r="I16" s="67"/>
      <c r="J16" s="67"/>
      <c r="K16" s="48"/>
    </row>
    <row r="17" spans="1:11" ht="69" x14ac:dyDescent="0.3">
      <c r="A17" s="48" t="s">
        <v>213</v>
      </c>
      <c r="B17" s="48" t="s">
        <v>253</v>
      </c>
      <c r="C17" s="48" t="s">
        <v>351</v>
      </c>
      <c r="D17" s="67" t="s">
        <v>528</v>
      </c>
      <c r="E17" s="67" t="s">
        <v>527</v>
      </c>
      <c r="F17" s="67" t="s">
        <v>526</v>
      </c>
      <c r="G17" s="48" t="s">
        <v>344</v>
      </c>
      <c r="H17" s="48" t="s">
        <v>525</v>
      </c>
      <c r="I17" s="67"/>
      <c r="J17" s="67"/>
      <c r="K17" s="48"/>
    </row>
    <row r="18" spans="1:11" ht="46" x14ac:dyDescent="0.3">
      <c r="A18" s="48" t="s">
        <v>213</v>
      </c>
      <c r="B18" s="48" t="s">
        <v>253</v>
      </c>
      <c r="C18" s="48" t="s">
        <v>350</v>
      </c>
      <c r="D18" s="67" t="s">
        <v>524</v>
      </c>
      <c r="E18" s="67" t="s">
        <v>523</v>
      </c>
      <c r="F18" s="67" t="s">
        <v>522</v>
      </c>
      <c r="G18" s="48" t="s">
        <v>344</v>
      </c>
      <c r="H18" s="48" t="s">
        <v>521</v>
      </c>
      <c r="I18" s="67"/>
      <c r="J18" s="67"/>
      <c r="K18" s="48"/>
    </row>
    <row r="19" spans="1:11" ht="46" x14ac:dyDescent="0.3">
      <c r="A19" s="48" t="s">
        <v>213</v>
      </c>
      <c r="B19" s="48" t="s">
        <v>261</v>
      </c>
      <c r="C19" s="159" t="s">
        <v>349</v>
      </c>
      <c r="D19" s="159" t="s">
        <v>520</v>
      </c>
      <c r="E19" s="159" t="s">
        <v>456</v>
      </c>
      <c r="F19" s="159" t="s">
        <v>519</v>
      </c>
      <c r="G19" s="48" t="s">
        <v>338</v>
      </c>
      <c r="H19" s="48" t="s">
        <v>451</v>
      </c>
      <c r="I19" s="67" t="s">
        <v>607</v>
      </c>
      <c r="J19" s="67"/>
      <c r="K19" s="48"/>
    </row>
    <row r="20" spans="1:11" ht="46" x14ac:dyDescent="0.3">
      <c r="A20" s="48" t="s">
        <v>213</v>
      </c>
      <c r="B20" s="48" t="s">
        <v>261</v>
      </c>
      <c r="C20" s="48" t="s">
        <v>373</v>
      </c>
      <c r="D20" s="67" t="s">
        <v>518</v>
      </c>
      <c r="E20" s="67" t="s">
        <v>517</v>
      </c>
      <c r="F20" s="67" t="s">
        <v>516</v>
      </c>
      <c r="G20" s="48" t="s">
        <v>338</v>
      </c>
      <c r="H20" s="48" t="s">
        <v>451</v>
      </c>
      <c r="I20" s="67" t="s">
        <v>606</v>
      </c>
      <c r="J20" s="67"/>
      <c r="K20" s="48"/>
    </row>
    <row r="21" spans="1:11" ht="69" x14ac:dyDescent="0.3">
      <c r="A21" s="48" t="s">
        <v>213</v>
      </c>
      <c r="B21" s="48" t="s">
        <v>261</v>
      </c>
      <c r="C21" s="48" t="s">
        <v>348</v>
      </c>
      <c r="D21" s="67" t="s">
        <v>515</v>
      </c>
      <c r="E21" s="67" t="s">
        <v>514</v>
      </c>
      <c r="F21" s="67" t="s">
        <v>513</v>
      </c>
      <c r="G21" s="48" t="s">
        <v>338</v>
      </c>
      <c r="H21" s="48" t="s">
        <v>512</v>
      </c>
      <c r="I21" s="67"/>
      <c r="J21" s="67"/>
      <c r="K21" s="48"/>
    </row>
    <row r="22" spans="1:11" ht="69" x14ac:dyDescent="0.3">
      <c r="A22" s="48" t="s">
        <v>213</v>
      </c>
      <c r="B22" s="48" t="s">
        <v>261</v>
      </c>
      <c r="C22" s="159" t="s">
        <v>357</v>
      </c>
      <c r="D22" s="159" t="s">
        <v>511</v>
      </c>
      <c r="E22" s="159" t="s">
        <v>510</v>
      </c>
      <c r="F22" s="159" t="s">
        <v>509</v>
      </c>
      <c r="G22" s="48" t="s">
        <v>344</v>
      </c>
      <c r="H22" s="48" t="s">
        <v>508</v>
      </c>
      <c r="I22" s="67"/>
      <c r="J22" s="67"/>
      <c r="K22" s="48"/>
    </row>
    <row r="23" spans="1:11" ht="46" x14ac:dyDescent="0.3">
      <c r="A23" s="48" t="s">
        <v>213</v>
      </c>
      <c r="B23" s="48" t="s">
        <v>261</v>
      </c>
      <c r="C23" s="48" t="s">
        <v>358</v>
      </c>
      <c r="D23" s="67" t="s">
        <v>507</v>
      </c>
      <c r="E23" s="67" t="s">
        <v>506</v>
      </c>
      <c r="F23" s="67" t="s">
        <v>505</v>
      </c>
      <c r="G23" s="48" t="s">
        <v>344</v>
      </c>
      <c r="H23" s="48" t="s">
        <v>504</v>
      </c>
      <c r="I23" s="67"/>
      <c r="J23" s="67"/>
      <c r="K23" s="48"/>
    </row>
    <row r="24" spans="1:11" ht="69" x14ac:dyDescent="0.3">
      <c r="A24" s="48" t="s">
        <v>213</v>
      </c>
      <c r="B24" s="48" t="s">
        <v>261</v>
      </c>
      <c r="C24" s="48" t="s">
        <v>356</v>
      </c>
      <c r="D24" s="67" t="s">
        <v>503</v>
      </c>
      <c r="E24" s="67" t="s">
        <v>502</v>
      </c>
      <c r="F24" s="67" t="s">
        <v>501</v>
      </c>
      <c r="G24" s="48" t="s">
        <v>344</v>
      </c>
      <c r="H24" s="48" t="s">
        <v>435</v>
      </c>
      <c r="I24" s="67"/>
      <c r="J24" s="67"/>
      <c r="K24" s="48"/>
    </row>
    <row r="25" spans="1:11" ht="69" x14ac:dyDescent="0.3">
      <c r="A25" s="48" t="s">
        <v>213</v>
      </c>
      <c r="B25" s="48" t="s">
        <v>258</v>
      </c>
      <c r="C25" s="159" t="s">
        <v>362</v>
      </c>
      <c r="D25" s="159" t="s">
        <v>500</v>
      </c>
      <c r="E25" s="159" t="s">
        <v>499</v>
      </c>
      <c r="F25" s="159" t="s">
        <v>498</v>
      </c>
      <c r="G25" s="48" t="s">
        <v>338</v>
      </c>
      <c r="H25" s="48" t="s">
        <v>355</v>
      </c>
      <c r="I25" s="67" t="s">
        <v>669</v>
      </c>
      <c r="J25" s="67"/>
      <c r="K25" s="48"/>
    </row>
    <row r="26" spans="1:11" ht="69" x14ac:dyDescent="0.3">
      <c r="A26" s="48" t="s">
        <v>213</v>
      </c>
      <c r="B26" s="48" t="s">
        <v>258</v>
      </c>
      <c r="C26" s="48" t="s">
        <v>361</v>
      </c>
      <c r="D26" s="67" t="s">
        <v>497</v>
      </c>
      <c r="E26" s="67" t="s">
        <v>496</v>
      </c>
      <c r="F26" s="67" t="s">
        <v>495</v>
      </c>
      <c r="G26" s="48" t="s">
        <v>338</v>
      </c>
      <c r="H26" s="48" t="s">
        <v>494</v>
      </c>
      <c r="I26" s="67"/>
      <c r="J26" s="67"/>
      <c r="K26" s="48"/>
    </row>
    <row r="27" spans="1:11" ht="69" x14ac:dyDescent="0.3">
      <c r="A27" s="48" t="s">
        <v>213</v>
      </c>
      <c r="B27" s="48" t="s">
        <v>258</v>
      </c>
      <c r="C27" s="48" t="s">
        <v>360</v>
      </c>
      <c r="D27" s="67" t="s">
        <v>493</v>
      </c>
      <c r="E27" s="67" t="s">
        <v>492</v>
      </c>
      <c r="F27" s="67" t="s">
        <v>491</v>
      </c>
      <c r="G27" s="48" t="s">
        <v>338</v>
      </c>
      <c r="H27" s="48" t="s">
        <v>355</v>
      </c>
      <c r="I27" s="67" t="s">
        <v>684</v>
      </c>
      <c r="J27" s="67"/>
      <c r="K27" s="48"/>
    </row>
    <row r="28" spans="1:11" ht="69" x14ac:dyDescent="0.3">
      <c r="A28" s="48" t="s">
        <v>213</v>
      </c>
      <c r="B28" s="48" t="s">
        <v>258</v>
      </c>
      <c r="C28" s="48" t="s">
        <v>359</v>
      </c>
      <c r="D28" s="67" t="s">
        <v>490</v>
      </c>
      <c r="E28" s="67" t="s">
        <v>489</v>
      </c>
      <c r="F28" s="67" t="s">
        <v>488</v>
      </c>
      <c r="G28" s="48" t="s">
        <v>338</v>
      </c>
      <c r="H28" s="48" t="s">
        <v>355</v>
      </c>
      <c r="I28" s="67"/>
      <c r="J28" s="67"/>
      <c r="K28" s="48"/>
    </row>
    <row r="29" spans="1:11" ht="69" x14ac:dyDescent="0.3">
      <c r="A29" s="48" t="s">
        <v>213</v>
      </c>
      <c r="B29" s="48" t="s">
        <v>258</v>
      </c>
      <c r="C29" s="159" t="s">
        <v>365</v>
      </c>
      <c r="D29" s="159" t="s">
        <v>487</v>
      </c>
      <c r="E29" s="159" t="s">
        <v>486</v>
      </c>
      <c r="F29" s="159" t="s">
        <v>485</v>
      </c>
      <c r="G29" s="48" t="s">
        <v>344</v>
      </c>
      <c r="H29" s="48" t="s">
        <v>355</v>
      </c>
      <c r="I29" s="67"/>
      <c r="J29" s="67"/>
      <c r="K29" s="48"/>
    </row>
    <row r="30" spans="1:11" ht="46" x14ac:dyDescent="0.3">
      <c r="A30" s="48" t="s">
        <v>213</v>
      </c>
      <c r="B30" s="48" t="s">
        <v>258</v>
      </c>
      <c r="C30" s="48" t="s">
        <v>366</v>
      </c>
      <c r="D30" s="67" t="s">
        <v>484</v>
      </c>
      <c r="E30" s="67" t="s">
        <v>483</v>
      </c>
      <c r="F30" s="67" t="s">
        <v>482</v>
      </c>
      <c r="G30" s="48" t="s">
        <v>344</v>
      </c>
      <c r="H30" s="48" t="s">
        <v>355</v>
      </c>
      <c r="I30" s="67"/>
      <c r="J30" s="67"/>
      <c r="K30" s="48"/>
    </row>
    <row r="31" spans="1:11" ht="161" x14ac:dyDescent="0.3">
      <c r="A31" s="48" t="s">
        <v>213</v>
      </c>
      <c r="B31" s="48" t="s">
        <v>258</v>
      </c>
      <c r="C31" s="48" t="s">
        <v>364</v>
      </c>
      <c r="D31" s="67" t="s">
        <v>481</v>
      </c>
      <c r="E31" s="67" t="s">
        <v>480</v>
      </c>
      <c r="F31" s="67" t="s">
        <v>479</v>
      </c>
      <c r="G31" s="48" t="s">
        <v>344</v>
      </c>
      <c r="H31" s="48" t="s">
        <v>355</v>
      </c>
      <c r="I31" s="67" t="s">
        <v>603</v>
      </c>
      <c r="J31" s="67"/>
      <c r="K31" s="48"/>
    </row>
    <row r="32" spans="1:11" ht="69" x14ac:dyDescent="0.3">
      <c r="A32" s="48" t="s">
        <v>213</v>
      </c>
      <c r="B32" s="48" t="s">
        <v>258</v>
      </c>
      <c r="C32" s="48" t="s">
        <v>363</v>
      </c>
      <c r="D32" s="67" t="s">
        <v>478</v>
      </c>
      <c r="E32" s="67" t="s">
        <v>477</v>
      </c>
      <c r="F32" s="67" t="s">
        <v>476</v>
      </c>
      <c r="G32" s="48" t="s">
        <v>344</v>
      </c>
      <c r="H32" s="48" t="s">
        <v>355</v>
      </c>
      <c r="I32" s="67" t="s">
        <v>604</v>
      </c>
      <c r="J32" s="67"/>
      <c r="K32" s="48"/>
    </row>
    <row r="33" spans="1:11" ht="92" x14ac:dyDescent="0.3">
      <c r="A33" s="48" t="s">
        <v>213</v>
      </c>
      <c r="B33" s="48" t="s">
        <v>255</v>
      </c>
      <c r="C33" s="48" t="s">
        <v>368</v>
      </c>
      <c r="D33" s="67" t="s">
        <v>475</v>
      </c>
      <c r="E33" s="67" t="s">
        <v>474</v>
      </c>
      <c r="F33" s="67" t="s">
        <v>473</v>
      </c>
      <c r="G33" s="48" t="s">
        <v>338</v>
      </c>
      <c r="H33" s="48" t="s">
        <v>355</v>
      </c>
      <c r="I33" s="67" t="s">
        <v>605</v>
      </c>
      <c r="J33" s="67"/>
      <c r="K33" s="48"/>
    </row>
    <row r="34" spans="1:11" ht="69" x14ac:dyDescent="0.3">
      <c r="A34" s="48" t="s">
        <v>213</v>
      </c>
      <c r="B34" s="48" t="s">
        <v>255</v>
      </c>
      <c r="C34" s="48" t="s">
        <v>369</v>
      </c>
      <c r="D34" s="67" t="s">
        <v>472</v>
      </c>
      <c r="E34" s="67" t="s">
        <v>471</v>
      </c>
      <c r="F34" s="67" t="s">
        <v>470</v>
      </c>
      <c r="G34" s="48" t="s">
        <v>338</v>
      </c>
      <c r="H34" s="48" t="s">
        <v>355</v>
      </c>
      <c r="I34" s="67"/>
      <c r="J34" s="67"/>
      <c r="K34" s="48"/>
    </row>
    <row r="35" spans="1:11" ht="69" x14ac:dyDescent="0.3">
      <c r="A35" s="48" t="s">
        <v>213</v>
      </c>
      <c r="B35" s="48" t="s">
        <v>255</v>
      </c>
      <c r="C35" s="48" t="s">
        <v>367</v>
      </c>
      <c r="D35" s="67" t="s">
        <v>469</v>
      </c>
      <c r="E35" s="67" t="s">
        <v>468</v>
      </c>
      <c r="F35" s="67" t="s">
        <v>467</v>
      </c>
      <c r="G35" s="48" t="s">
        <v>338</v>
      </c>
      <c r="H35" s="48" t="s">
        <v>355</v>
      </c>
      <c r="I35" s="67" t="s">
        <v>683</v>
      </c>
      <c r="J35" s="67"/>
      <c r="K35" s="48"/>
    </row>
    <row r="36" spans="1:11" ht="69" x14ac:dyDescent="0.3">
      <c r="A36" s="48" t="s">
        <v>213</v>
      </c>
      <c r="B36" s="48" t="s">
        <v>255</v>
      </c>
      <c r="C36" s="159" t="s">
        <v>371</v>
      </c>
      <c r="D36" s="159" t="s">
        <v>466</v>
      </c>
      <c r="E36" s="159" t="s">
        <v>465</v>
      </c>
      <c r="F36" s="159" t="s">
        <v>464</v>
      </c>
      <c r="G36" s="48" t="s">
        <v>344</v>
      </c>
      <c r="H36" s="48" t="s">
        <v>355</v>
      </c>
      <c r="I36" s="67" t="s">
        <v>680</v>
      </c>
      <c r="J36" s="67"/>
      <c r="K36" s="48"/>
    </row>
    <row r="37" spans="1:11" ht="69" x14ac:dyDescent="0.3">
      <c r="A37" s="48" t="s">
        <v>213</v>
      </c>
      <c r="B37" s="48" t="s">
        <v>255</v>
      </c>
      <c r="C37" s="48" t="s">
        <v>372</v>
      </c>
      <c r="D37" s="67" t="s">
        <v>463</v>
      </c>
      <c r="E37" s="67" t="s">
        <v>462</v>
      </c>
      <c r="F37" s="67" t="s">
        <v>461</v>
      </c>
      <c r="G37" s="48" t="s">
        <v>344</v>
      </c>
      <c r="H37" s="48" t="s">
        <v>355</v>
      </c>
      <c r="I37" s="67" t="s">
        <v>681</v>
      </c>
      <c r="J37" s="67"/>
      <c r="K37" s="48"/>
    </row>
    <row r="38" spans="1:11" ht="69" x14ac:dyDescent="0.3">
      <c r="A38" s="48" t="s">
        <v>213</v>
      </c>
      <c r="B38" s="48" t="s">
        <v>255</v>
      </c>
      <c r="C38" s="48" t="s">
        <v>370</v>
      </c>
      <c r="D38" s="67" t="s">
        <v>460</v>
      </c>
      <c r="E38" s="67" t="s">
        <v>459</v>
      </c>
      <c r="F38" s="67" t="s">
        <v>458</v>
      </c>
      <c r="G38" s="48" t="s">
        <v>344</v>
      </c>
      <c r="H38" s="48" t="s">
        <v>388</v>
      </c>
      <c r="I38" s="67" t="s">
        <v>682</v>
      </c>
      <c r="J38" s="67"/>
      <c r="K38" s="48"/>
    </row>
    <row r="39" spans="1:11" ht="46" x14ac:dyDescent="0.3">
      <c r="A39" s="48" t="s">
        <v>213</v>
      </c>
      <c r="B39" s="48" t="s">
        <v>297</v>
      </c>
      <c r="C39" s="159" t="s">
        <v>378</v>
      </c>
      <c r="D39" s="159" t="s">
        <v>457</v>
      </c>
      <c r="E39" s="159" t="s">
        <v>456</v>
      </c>
      <c r="F39" s="159" t="s">
        <v>455</v>
      </c>
      <c r="G39" s="48" t="s">
        <v>338</v>
      </c>
      <c r="H39" s="48" t="s">
        <v>451</v>
      </c>
      <c r="I39" s="67"/>
      <c r="J39" s="67"/>
      <c r="K39" s="48"/>
    </row>
    <row r="40" spans="1:11" ht="46" x14ac:dyDescent="0.3">
      <c r="A40" s="48" t="s">
        <v>213</v>
      </c>
      <c r="B40" s="48" t="s">
        <v>297</v>
      </c>
      <c r="C40" s="48" t="s">
        <v>377</v>
      </c>
      <c r="D40" s="67" t="s">
        <v>454</v>
      </c>
      <c r="E40" s="67" t="s">
        <v>453</v>
      </c>
      <c r="F40" s="67" t="s">
        <v>452</v>
      </c>
      <c r="G40" s="48" t="s">
        <v>338</v>
      </c>
      <c r="H40" s="48" t="s">
        <v>451</v>
      </c>
      <c r="I40" s="67" t="s">
        <v>600</v>
      </c>
      <c r="J40" s="67"/>
      <c r="K40" s="48"/>
    </row>
    <row r="41" spans="1:11" ht="69" x14ac:dyDescent="0.3">
      <c r="A41" s="48" t="s">
        <v>213</v>
      </c>
      <c r="B41" s="48" t="s">
        <v>297</v>
      </c>
      <c r="C41" s="48" t="s">
        <v>376</v>
      </c>
      <c r="D41" s="67" t="s">
        <v>450</v>
      </c>
      <c r="E41" s="67" t="s">
        <v>449</v>
      </c>
      <c r="F41" s="67" t="s">
        <v>448</v>
      </c>
      <c r="G41" s="48" t="s">
        <v>338</v>
      </c>
      <c r="H41" s="48" t="s">
        <v>447</v>
      </c>
      <c r="I41" s="67" t="s">
        <v>599</v>
      </c>
      <c r="J41" s="67"/>
      <c r="K41" s="48"/>
    </row>
    <row r="42" spans="1:11" ht="69" x14ac:dyDescent="0.3">
      <c r="A42" s="48" t="s">
        <v>213</v>
      </c>
      <c r="B42" s="48" t="s">
        <v>297</v>
      </c>
      <c r="C42" s="159" t="s">
        <v>380</v>
      </c>
      <c r="D42" s="67" t="s">
        <v>446</v>
      </c>
      <c r="E42" s="67" t="s">
        <v>445</v>
      </c>
      <c r="F42" s="67" t="s">
        <v>444</v>
      </c>
      <c r="G42" s="48" t="s">
        <v>344</v>
      </c>
      <c r="H42" s="48" t="s">
        <v>443</v>
      </c>
      <c r="I42" s="67"/>
      <c r="J42" s="67"/>
      <c r="K42" s="48"/>
    </row>
    <row r="43" spans="1:11" ht="46" x14ac:dyDescent="0.3">
      <c r="A43" s="48" t="s">
        <v>213</v>
      </c>
      <c r="B43" s="48" t="s">
        <v>297</v>
      </c>
      <c r="C43" s="48" t="s">
        <v>381</v>
      </c>
      <c r="D43" s="67" t="s">
        <v>442</v>
      </c>
      <c r="E43" s="67" t="s">
        <v>441</v>
      </c>
      <c r="F43" s="67" t="s">
        <v>440</v>
      </c>
      <c r="G43" s="48" t="s">
        <v>344</v>
      </c>
      <c r="H43" s="48" t="s">
        <v>439</v>
      </c>
      <c r="I43" s="67"/>
      <c r="J43" s="67"/>
      <c r="K43" s="48"/>
    </row>
    <row r="44" spans="1:11" ht="69" x14ac:dyDescent="0.3">
      <c r="A44" s="48" t="s">
        <v>213</v>
      </c>
      <c r="B44" s="48" t="s">
        <v>297</v>
      </c>
      <c r="C44" s="48" t="s">
        <v>379</v>
      </c>
      <c r="D44" s="67" t="s">
        <v>438</v>
      </c>
      <c r="E44" s="67" t="s">
        <v>437</v>
      </c>
      <c r="F44" s="67" t="s">
        <v>436</v>
      </c>
      <c r="G44" s="48" t="s">
        <v>344</v>
      </c>
      <c r="H44" s="48" t="s">
        <v>435</v>
      </c>
      <c r="I44" s="67"/>
      <c r="J44" s="67"/>
      <c r="K44" s="48"/>
    </row>
    <row r="45" spans="1:11" ht="69" x14ac:dyDescent="0.3">
      <c r="A45" s="48" t="s">
        <v>213</v>
      </c>
      <c r="B45" s="48" t="s">
        <v>412</v>
      </c>
      <c r="C45" s="48" t="s">
        <v>434</v>
      </c>
      <c r="D45" s="67" t="s">
        <v>433</v>
      </c>
      <c r="E45" s="67" t="s">
        <v>432</v>
      </c>
      <c r="F45" s="67" t="s">
        <v>431</v>
      </c>
      <c r="G45" s="48" t="s">
        <v>338</v>
      </c>
      <c r="H45" s="48" t="s">
        <v>426</v>
      </c>
      <c r="I45" s="67" t="s">
        <v>598</v>
      </c>
      <c r="J45" s="67"/>
      <c r="K45" s="48"/>
    </row>
    <row r="46" spans="1:11" ht="69" x14ac:dyDescent="0.3">
      <c r="A46" s="48" t="s">
        <v>213</v>
      </c>
      <c r="B46" s="48" t="s">
        <v>412</v>
      </c>
      <c r="C46" s="48" t="s">
        <v>430</v>
      </c>
      <c r="D46" s="67" t="s">
        <v>429</v>
      </c>
      <c r="E46" s="67" t="s">
        <v>428</v>
      </c>
      <c r="F46" s="67" t="s">
        <v>427</v>
      </c>
      <c r="G46" s="48" t="s">
        <v>338</v>
      </c>
      <c r="H46" s="48" t="s">
        <v>426</v>
      </c>
      <c r="I46" s="67" t="s">
        <v>594</v>
      </c>
      <c r="J46" s="67"/>
      <c r="K46" s="48"/>
    </row>
    <row r="47" spans="1:11" ht="69" x14ac:dyDescent="0.3">
      <c r="A47" s="48" t="s">
        <v>213</v>
      </c>
      <c r="B47" s="48" t="s">
        <v>412</v>
      </c>
      <c r="C47" s="48" t="s">
        <v>425</v>
      </c>
      <c r="D47" s="67" t="s">
        <v>424</v>
      </c>
      <c r="E47" s="67" t="s">
        <v>423</v>
      </c>
      <c r="F47" s="67" t="s">
        <v>422</v>
      </c>
      <c r="G47" s="48" t="s">
        <v>338</v>
      </c>
      <c r="H47" s="48" t="s">
        <v>355</v>
      </c>
      <c r="I47" s="67" t="s">
        <v>595</v>
      </c>
      <c r="J47" s="67"/>
      <c r="K47" s="48"/>
    </row>
    <row r="48" spans="1:11" ht="46" x14ac:dyDescent="0.3">
      <c r="A48" s="48" t="s">
        <v>213</v>
      </c>
      <c r="B48" s="48" t="s">
        <v>412</v>
      </c>
      <c r="C48" s="48" t="s">
        <v>421</v>
      </c>
      <c r="D48" s="67" t="s">
        <v>420</v>
      </c>
      <c r="E48" s="67" t="s">
        <v>419</v>
      </c>
      <c r="F48" s="67" t="s">
        <v>418</v>
      </c>
      <c r="G48" s="48" t="s">
        <v>344</v>
      </c>
      <c r="H48" s="48" t="s">
        <v>417</v>
      </c>
      <c r="I48" s="67" t="s">
        <v>596</v>
      </c>
      <c r="J48" s="67"/>
      <c r="K48" s="48"/>
    </row>
    <row r="49" spans="1:11" ht="69" x14ac:dyDescent="0.3">
      <c r="A49" s="48" t="s">
        <v>213</v>
      </c>
      <c r="B49" s="48" t="s">
        <v>412</v>
      </c>
      <c r="C49" s="48" t="s">
        <v>416</v>
      </c>
      <c r="D49" s="67" t="s">
        <v>415</v>
      </c>
      <c r="E49" s="67" t="s">
        <v>414</v>
      </c>
      <c r="F49" s="67" t="s">
        <v>413</v>
      </c>
      <c r="G49" s="48" t="s">
        <v>344</v>
      </c>
      <c r="H49" s="48" t="s">
        <v>355</v>
      </c>
      <c r="I49" s="67" t="s">
        <v>594</v>
      </c>
      <c r="J49" s="67"/>
      <c r="K49" s="48"/>
    </row>
    <row r="50" spans="1:11" ht="69" x14ac:dyDescent="0.3">
      <c r="A50" s="48" t="s">
        <v>213</v>
      </c>
      <c r="B50" s="48" t="s">
        <v>412</v>
      </c>
      <c r="C50" s="48" t="s">
        <v>411</v>
      </c>
      <c r="D50" s="67" t="s">
        <v>410</v>
      </c>
      <c r="E50" s="67" t="s">
        <v>409</v>
      </c>
      <c r="F50" s="67" t="s">
        <v>408</v>
      </c>
      <c r="G50" s="48" t="s">
        <v>344</v>
      </c>
      <c r="H50" s="48" t="s">
        <v>407</v>
      </c>
      <c r="I50" s="67" t="s">
        <v>593</v>
      </c>
      <c r="J50" s="67"/>
      <c r="K50" s="48"/>
    </row>
    <row r="51" spans="1:11" ht="69" x14ac:dyDescent="0.3">
      <c r="A51" s="48" t="s">
        <v>213</v>
      </c>
      <c r="B51" s="48" t="s">
        <v>387</v>
      </c>
      <c r="C51" s="48" t="s">
        <v>406</v>
      </c>
      <c r="D51" s="67" t="s">
        <v>405</v>
      </c>
      <c r="E51" s="67" t="s">
        <v>404</v>
      </c>
      <c r="F51" s="67" t="s">
        <v>403</v>
      </c>
      <c r="G51" s="48" t="s">
        <v>338</v>
      </c>
      <c r="H51" s="48" t="s">
        <v>355</v>
      </c>
      <c r="I51" s="67" t="s">
        <v>597</v>
      </c>
      <c r="J51" s="67"/>
      <c r="K51" s="48"/>
    </row>
    <row r="52" spans="1:11" ht="92" x14ac:dyDescent="0.3">
      <c r="A52" s="48" t="s">
        <v>213</v>
      </c>
      <c r="B52" s="48" t="s">
        <v>387</v>
      </c>
      <c r="C52" s="48" t="s">
        <v>402</v>
      </c>
      <c r="D52" s="67" t="s">
        <v>401</v>
      </c>
      <c r="E52" s="67" t="s">
        <v>400</v>
      </c>
      <c r="F52" s="67" t="s">
        <v>399</v>
      </c>
      <c r="G52" s="48" t="s">
        <v>338</v>
      </c>
      <c r="H52" s="48" t="s">
        <v>398</v>
      </c>
      <c r="I52" s="67"/>
      <c r="J52" s="67"/>
      <c r="K52" s="48"/>
    </row>
    <row r="53" spans="1:11" ht="69" x14ac:dyDescent="0.3">
      <c r="A53" s="48" t="s">
        <v>213</v>
      </c>
      <c r="B53" s="48" t="s">
        <v>387</v>
      </c>
      <c r="C53" s="48" t="s">
        <v>397</v>
      </c>
      <c r="D53" s="67" t="s">
        <v>396</v>
      </c>
      <c r="E53" s="67" t="s">
        <v>395</v>
      </c>
      <c r="F53" s="67" t="s">
        <v>394</v>
      </c>
      <c r="G53" s="48" t="s">
        <v>344</v>
      </c>
      <c r="H53" s="48" t="s">
        <v>393</v>
      </c>
      <c r="I53" s="67"/>
      <c r="J53" s="67"/>
      <c r="K53" s="48"/>
    </row>
    <row r="54" spans="1:11" ht="92" x14ac:dyDescent="0.3">
      <c r="A54" s="48" t="s">
        <v>213</v>
      </c>
      <c r="B54" s="48" t="s">
        <v>387</v>
      </c>
      <c r="C54" s="48" t="s">
        <v>392</v>
      </c>
      <c r="D54" s="67" t="s">
        <v>391</v>
      </c>
      <c r="E54" s="67" t="s">
        <v>390</v>
      </c>
      <c r="F54" s="67" t="s">
        <v>389</v>
      </c>
      <c r="G54" s="48" t="s">
        <v>344</v>
      </c>
      <c r="H54" s="48" t="s">
        <v>388</v>
      </c>
      <c r="I54" s="67"/>
      <c r="J54" s="67"/>
      <c r="K54" s="48"/>
    </row>
    <row r="55" spans="1:11" ht="69" x14ac:dyDescent="0.3">
      <c r="A55" s="48" t="s">
        <v>213</v>
      </c>
      <c r="B55" s="48" t="s">
        <v>387</v>
      </c>
      <c r="C55" s="48" t="s">
        <v>386</v>
      </c>
      <c r="D55" s="67" t="s">
        <v>385</v>
      </c>
      <c r="E55" s="67" t="s">
        <v>384</v>
      </c>
      <c r="F55" s="67" t="s">
        <v>383</v>
      </c>
      <c r="G55" s="48" t="s">
        <v>344</v>
      </c>
      <c r="H55" s="48" t="s">
        <v>382</v>
      </c>
      <c r="I55" s="67"/>
      <c r="J55" s="67"/>
      <c r="K55" s="4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A999-5ED7-4747-93B4-C24326F0A523}">
  <dimension ref="B2:U97"/>
  <sheetViews>
    <sheetView zoomScale="97" zoomScaleNormal="97" workbookViewId="0">
      <selection activeCell="C63" sqref="C63"/>
    </sheetView>
  </sheetViews>
  <sheetFormatPr baseColWidth="10" defaultRowHeight="22" x14ac:dyDescent="0.3"/>
  <cols>
    <col min="2" max="2" width="12" style="156" bestFit="1" customWidth="1"/>
    <col min="3" max="3" width="68.1640625" style="156" bestFit="1" customWidth="1"/>
    <col min="4" max="4" width="50.5" style="156" customWidth="1"/>
    <col min="5" max="5" width="24.6640625" style="156" bestFit="1" customWidth="1"/>
    <col min="6" max="6" width="27.33203125" style="156" customWidth="1"/>
    <col min="7" max="7" width="31.1640625" style="156" customWidth="1"/>
    <col min="8" max="8" width="13.33203125" style="156" bestFit="1" customWidth="1"/>
    <col min="9" max="9" width="10.83203125" style="156"/>
    <col min="10" max="10" width="16.33203125" style="156" bestFit="1" customWidth="1"/>
    <col min="11" max="11" width="38.6640625" style="156" customWidth="1"/>
    <col min="12" max="14" width="10.83203125" style="156"/>
    <col min="15" max="15" width="26.33203125" style="156" bestFit="1" customWidth="1"/>
  </cols>
  <sheetData>
    <row r="2" spans="2:15" x14ac:dyDescent="0.3">
      <c r="B2" s="96" t="s">
        <v>617</v>
      </c>
      <c r="C2" s="96" t="s">
        <v>741</v>
      </c>
      <c r="D2" s="96" t="s">
        <v>735</v>
      </c>
      <c r="E2" s="96" t="s">
        <v>612</v>
      </c>
      <c r="F2" s="96" t="s">
        <v>614</v>
      </c>
      <c r="G2" s="96" t="s">
        <v>611</v>
      </c>
      <c r="H2" s="96" t="s">
        <v>610</v>
      </c>
      <c r="I2" s="96" t="s">
        <v>608</v>
      </c>
      <c r="J2" s="96" t="s">
        <v>609</v>
      </c>
      <c r="K2" s="96" t="s">
        <v>734</v>
      </c>
      <c r="L2" s="96" t="s">
        <v>685</v>
      </c>
    </row>
    <row r="3" spans="2:15" x14ac:dyDescent="0.3">
      <c r="B3" s="156" t="s">
        <v>619</v>
      </c>
      <c r="D3" s="156" t="s">
        <v>773</v>
      </c>
      <c r="E3" s="156" t="s">
        <v>686</v>
      </c>
      <c r="F3" s="156" t="s">
        <v>687</v>
      </c>
      <c r="G3" s="156" t="s">
        <v>687</v>
      </c>
      <c r="H3" s="156" t="s">
        <v>687</v>
      </c>
      <c r="I3" s="156" t="s">
        <v>688</v>
      </c>
      <c r="J3" s="156" t="s">
        <v>689</v>
      </c>
      <c r="K3" s="156" t="s">
        <v>767</v>
      </c>
      <c r="L3" s="156" t="s">
        <v>690</v>
      </c>
    </row>
    <row r="4" spans="2:15" x14ac:dyDescent="0.3">
      <c r="B4" s="156" t="s">
        <v>619</v>
      </c>
      <c r="D4" s="156" t="s">
        <v>773</v>
      </c>
      <c r="E4" s="156" t="s">
        <v>691</v>
      </c>
      <c r="F4" s="156" t="s">
        <v>687</v>
      </c>
      <c r="G4" s="156" t="s">
        <v>687</v>
      </c>
      <c r="H4" s="156" t="s">
        <v>687</v>
      </c>
      <c r="I4" s="156" t="s">
        <v>688</v>
      </c>
      <c r="J4" s="156" t="s">
        <v>689</v>
      </c>
      <c r="K4" s="156" t="s">
        <v>768</v>
      </c>
      <c r="L4" s="156" t="s">
        <v>690</v>
      </c>
      <c r="O4" s="181"/>
    </row>
    <row r="5" spans="2:15" x14ac:dyDescent="0.3">
      <c r="B5" s="156" t="s">
        <v>619</v>
      </c>
      <c r="D5" s="156" t="s">
        <v>773</v>
      </c>
      <c r="E5" s="156" t="s">
        <v>691</v>
      </c>
      <c r="F5" s="156" t="s">
        <v>687</v>
      </c>
      <c r="G5" s="156" t="s">
        <v>687</v>
      </c>
      <c r="H5" s="156" t="s">
        <v>687</v>
      </c>
      <c r="I5" s="156" t="s">
        <v>692</v>
      </c>
      <c r="J5" s="156" t="s">
        <v>692</v>
      </c>
      <c r="K5" s="156" t="s">
        <v>769</v>
      </c>
      <c r="L5" s="156" t="s">
        <v>693</v>
      </c>
      <c r="O5" s="185"/>
    </row>
    <row r="6" spans="2:15" x14ac:dyDescent="0.3">
      <c r="B6" s="156" t="s">
        <v>619</v>
      </c>
      <c r="D6" s="156" t="s">
        <v>773</v>
      </c>
      <c r="E6" s="156" t="s">
        <v>694</v>
      </c>
      <c r="F6" s="156" t="s">
        <v>687</v>
      </c>
      <c r="G6" s="156" t="s">
        <v>687</v>
      </c>
      <c r="H6" s="156" t="s">
        <v>687</v>
      </c>
      <c r="I6" s="156" t="s">
        <v>688</v>
      </c>
      <c r="J6" s="156" t="s">
        <v>689</v>
      </c>
      <c r="K6" s="156" t="s">
        <v>770</v>
      </c>
      <c r="L6" s="156" t="s">
        <v>690</v>
      </c>
    </row>
    <row r="7" spans="2:15" x14ac:dyDescent="0.3">
      <c r="B7" s="156" t="s">
        <v>619</v>
      </c>
      <c r="D7" s="156" t="s">
        <v>773</v>
      </c>
      <c r="E7" s="156" t="s">
        <v>694</v>
      </c>
      <c r="F7" s="156" t="s">
        <v>687</v>
      </c>
      <c r="G7" s="156" t="s">
        <v>687</v>
      </c>
      <c r="H7" s="156" t="s">
        <v>687</v>
      </c>
      <c r="I7" s="156" t="s">
        <v>688</v>
      </c>
      <c r="J7" s="156" t="s">
        <v>689</v>
      </c>
      <c r="K7" s="156" t="s">
        <v>771</v>
      </c>
      <c r="L7" s="156" t="s">
        <v>690</v>
      </c>
    </row>
    <row r="8" spans="2:15" x14ac:dyDescent="0.3">
      <c r="B8" s="156" t="s">
        <v>619</v>
      </c>
      <c r="D8" s="156" t="s">
        <v>773</v>
      </c>
      <c r="E8" s="156" t="s">
        <v>694</v>
      </c>
      <c r="F8" s="156" t="s">
        <v>687</v>
      </c>
      <c r="G8" s="156" t="s">
        <v>687</v>
      </c>
      <c r="H8" s="156" t="s">
        <v>687</v>
      </c>
      <c r="I8" s="156" t="s">
        <v>688</v>
      </c>
      <c r="J8" s="156" t="s">
        <v>689</v>
      </c>
      <c r="K8" s="156" t="s">
        <v>772</v>
      </c>
      <c r="L8" s="156" t="s">
        <v>690</v>
      </c>
      <c r="O8" s="185"/>
    </row>
    <row r="9" spans="2:15" x14ac:dyDescent="0.3">
      <c r="B9" s="156" t="s">
        <v>618</v>
      </c>
      <c r="C9" s="181" t="s">
        <v>580</v>
      </c>
      <c r="D9" s="181" t="s">
        <v>643</v>
      </c>
      <c r="E9" s="156" t="s">
        <v>616</v>
      </c>
      <c r="O9" s="185"/>
    </row>
    <row r="10" spans="2:15" x14ac:dyDescent="0.3">
      <c r="B10" s="156" t="s">
        <v>618</v>
      </c>
      <c r="C10" s="156" t="s">
        <v>625</v>
      </c>
      <c r="D10" s="156" t="s">
        <v>158</v>
      </c>
      <c r="E10" s="156" t="s">
        <v>748</v>
      </c>
      <c r="F10" s="156" t="s">
        <v>625</v>
      </c>
      <c r="G10" s="156" t="s">
        <v>778</v>
      </c>
      <c r="H10" s="156" t="s">
        <v>687</v>
      </c>
      <c r="I10" s="156" t="s">
        <v>688</v>
      </c>
      <c r="J10" s="156" t="s">
        <v>782</v>
      </c>
    </row>
    <row r="11" spans="2:15" x14ac:dyDescent="0.3">
      <c r="B11" s="156" t="s">
        <v>618</v>
      </c>
      <c r="C11" s="156" t="s">
        <v>626</v>
      </c>
      <c r="D11" s="156" t="s">
        <v>779</v>
      </c>
      <c r="E11" s="156" t="s">
        <v>748</v>
      </c>
      <c r="F11" s="156" t="s">
        <v>780</v>
      </c>
      <c r="G11" s="156" t="s">
        <v>781</v>
      </c>
      <c r="H11" s="156" t="s">
        <v>687</v>
      </c>
    </row>
    <row r="12" spans="2:15" x14ac:dyDescent="0.3">
      <c r="B12" s="156" t="s">
        <v>618</v>
      </c>
      <c r="C12" s="156" t="s">
        <v>623</v>
      </c>
      <c r="D12" s="156" t="s">
        <v>775</v>
      </c>
      <c r="E12" s="156" t="s">
        <v>747</v>
      </c>
      <c r="F12" s="156" t="s">
        <v>775</v>
      </c>
      <c r="G12" s="156" t="s">
        <v>776</v>
      </c>
      <c r="I12" s="156" t="s">
        <v>688</v>
      </c>
      <c r="J12" s="156" t="s">
        <v>777</v>
      </c>
    </row>
    <row r="13" spans="2:15" x14ac:dyDescent="0.3">
      <c r="B13" s="156" t="s">
        <v>618</v>
      </c>
      <c r="C13" s="156" t="s">
        <v>624</v>
      </c>
      <c r="D13" s="156" t="s">
        <v>775</v>
      </c>
      <c r="E13" s="156" t="s">
        <v>749</v>
      </c>
      <c r="F13" s="156" t="s">
        <v>774</v>
      </c>
      <c r="G13" s="156" t="s">
        <v>687</v>
      </c>
      <c r="H13" s="156" t="s">
        <v>687</v>
      </c>
      <c r="I13" s="156" t="s">
        <v>687</v>
      </c>
      <c r="J13" s="156" t="s">
        <v>687</v>
      </c>
    </row>
    <row r="14" spans="2:15" x14ac:dyDescent="0.3">
      <c r="B14" s="156" t="s">
        <v>618</v>
      </c>
      <c r="C14" s="186" t="s">
        <v>621</v>
      </c>
      <c r="D14" s="186" t="s">
        <v>579</v>
      </c>
      <c r="I14" s="156" t="s">
        <v>688</v>
      </c>
      <c r="J14" s="156" t="s">
        <v>689</v>
      </c>
    </row>
    <row r="15" spans="2:15" x14ac:dyDescent="0.3">
      <c r="B15" s="156" t="s">
        <v>618</v>
      </c>
      <c r="C15" s="156" t="s">
        <v>627</v>
      </c>
      <c r="D15" s="156" t="s">
        <v>639</v>
      </c>
      <c r="I15" s="156" t="s">
        <v>688</v>
      </c>
      <c r="J15" s="156" t="s">
        <v>689</v>
      </c>
    </row>
    <row r="16" spans="2:15" x14ac:dyDescent="0.3">
      <c r="B16" s="156" t="s">
        <v>619</v>
      </c>
      <c r="C16" s="186" t="s">
        <v>621</v>
      </c>
      <c r="D16" s="156" t="s">
        <v>695</v>
      </c>
      <c r="E16" s="156" t="s">
        <v>696</v>
      </c>
      <c r="F16" s="156" t="s">
        <v>697</v>
      </c>
      <c r="G16" s="156" t="s">
        <v>687</v>
      </c>
      <c r="H16" s="156" t="s">
        <v>687</v>
      </c>
      <c r="I16" s="156" t="s">
        <v>688</v>
      </c>
      <c r="J16" s="156" t="s">
        <v>689</v>
      </c>
      <c r="K16" s="156" t="s">
        <v>732</v>
      </c>
      <c r="L16" s="156" t="s">
        <v>690</v>
      </c>
    </row>
    <row r="17" spans="2:21" x14ac:dyDescent="0.3">
      <c r="B17" s="156" t="s">
        <v>619</v>
      </c>
      <c r="C17" s="186" t="s">
        <v>621</v>
      </c>
      <c r="D17" s="156" t="s">
        <v>695</v>
      </c>
      <c r="E17" s="156" t="s">
        <v>696</v>
      </c>
      <c r="F17" s="156" t="s">
        <v>697</v>
      </c>
      <c r="G17" s="156" t="s">
        <v>687</v>
      </c>
      <c r="H17" s="156" t="s">
        <v>687</v>
      </c>
      <c r="I17" s="156" t="s">
        <v>688</v>
      </c>
      <c r="J17" s="156" t="s">
        <v>689</v>
      </c>
      <c r="K17" s="156" t="s">
        <v>733</v>
      </c>
      <c r="L17" s="156" t="s">
        <v>698</v>
      </c>
    </row>
    <row r="18" spans="2:21" x14ac:dyDescent="0.3">
      <c r="B18" s="156" t="s">
        <v>619</v>
      </c>
      <c r="C18" s="186" t="s">
        <v>621</v>
      </c>
      <c r="D18" s="156" t="s">
        <v>695</v>
      </c>
      <c r="E18" s="156" t="s">
        <v>696</v>
      </c>
      <c r="F18" s="156" t="s">
        <v>699</v>
      </c>
      <c r="G18" s="156" t="s">
        <v>700</v>
      </c>
      <c r="H18" s="156" t="s">
        <v>687</v>
      </c>
      <c r="I18" s="156" t="s">
        <v>688</v>
      </c>
      <c r="J18" s="156" t="s">
        <v>689</v>
      </c>
      <c r="K18" s="156" t="s">
        <v>701</v>
      </c>
      <c r="L18" s="156" t="s">
        <v>690</v>
      </c>
    </row>
    <row r="19" spans="2:21" x14ac:dyDescent="0.3">
      <c r="B19" s="156" t="s">
        <v>619</v>
      </c>
      <c r="C19" s="186" t="s">
        <v>621</v>
      </c>
      <c r="D19" s="156" t="s">
        <v>695</v>
      </c>
      <c r="E19" s="156" t="s">
        <v>696</v>
      </c>
      <c r="F19" s="156" t="s">
        <v>702</v>
      </c>
      <c r="G19" s="156" t="s">
        <v>703</v>
      </c>
      <c r="H19" s="156" t="s">
        <v>687</v>
      </c>
      <c r="I19" s="156" t="s">
        <v>688</v>
      </c>
      <c r="J19" s="156" t="s">
        <v>689</v>
      </c>
      <c r="K19" s="156" t="s">
        <v>704</v>
      </c>
      <c r="L19" s="156" t="s">
        <v>705</v>
      </c>
    </row>
    <row r="20" spans="2:21" x14ac:dyDescent="0.3">
      <c r="B20" s="156" t="s">
        <v>619</v>
      </c>
      <c r="C20" s="186" t="s">
        <v>621</v>
      </c>
      <c r="D20" s="156" t="s">
        <v>695</v>
      </c>
      <c r="E20" s="156" t="s">
        <v>696</v>
      </c>
      <c r="F20" s="156" t="s">
        <v>706</v>
      </c>
      <c r="G20" s="156" t="s">
        <v>707</v>
      </c>
      <c r="H20" s="156" t="s">
        <v>687</v>
      </c>
      <c r="I20" s="156" t="s">
        <v>688</v>
      </c>
      <c r="J20" s="156" t="s">
        <v>689</v>
      </c>
      <c r="K20" s="156" t="s">
        <v>708</v>
      </c>
      <c r="L20" s="156" t="s">
        <v>709</v>
      </c>
      <c r="R20" s="156"/>
      <c r="S20" s="156"/>
      <c r="T20" s="156"/>
      <c r="U20" s="156"/>
    </row>
    <row r="21" spans="2:21" x14ac:dyDescent="0.3">
      <c r="B21" s="156" t="s">
        <v>619</v>
      </c>
      <c r="C21" s="186" t="s">
        <v>621</v>
      </c>
      <c r="D21" s="156" t="s">
        <v>737</v>
      </c>
      <c r="E21" s="156" t="s">
        <v>696</v>
      </c>
      <c r="F21" s="156" t="s">
        <v>710</v>
      </c>
      <c r="G21" s="156" t="s">
        <v>711</v>
      </c>
      <c r="H21" s="156" t="s">
        <v>687</v>
      </c>
      <c r="I21" s="156" t="s">
        <v>688</v>
      </c>
      <c r="J21" s="156" t="s">
        <v>689</v>
      </c>
      <c r="K21" s="156" t="s">
        <v>712</v>
      </c>
      <c r="L21" s="156" t="s">
        <v>713</v>
      </c>
      <c r="R21" s="156"/>
      <c r="S21" s="156"/>
      <c r="T21" s="156"/>
      <c r="U21" s="156"/>
    </row>
    <row r="22" spans="2:21" x14ac:dyDescent="0.3">
      <c r="B22" s="156" t="s">
        <v>619</v>
      </c>
      <c r="C22" s="186" t="s">
        <v>621</v>
      </c>
      <c r="D22" s="156" t="s">
        <v>737</v>
      </c>
      <c r="E22" s="156" t="s">
        <v>696</v>
      </c>
      <c r="F22" s="156" t="s">
        <v>710</v>
      </c>
      <c r="G22" s="156" t="s">
        <v>714</v>
      </c>
      <c r="H22" s="156" t="s">
        <v>687</v>
      </c>
      <c r="I22" s="156" t="s">
        <v>688</v>
      </c>
      <c r="J22" s="156" t="s">
        <v>689</v>
      </c>
      <c r="K22" s="156" t="s">
        <v>715</v>
      </c>
      <c r="L22" s="156" t="s">
        <v>690</v>
      </c>
      <c r="R22" s="156"/>
      <c r="S22" s="156"/>
      <c r="T22" s="156"/>
      <c r="U22" s="156"/>
    </row>
    <row r="23" spans="2:21" x14ac:dyDescent="0.3">
      <c r="B23" s="156" t="s">
        <v>619</v>
      </c>
      <c r="C23" s="186" t="s">
        <v>621</v>
      </c>
      <c r="D23" s="156" t="s">
        <v>737</v>
      </c>
      <c r="E23" s="156" t="s">
        <v>696</v>
      </c>
      <c r="F23" s="156" t="s">
        <v>716</v>
      </c>
      <c r="G23" s="156" t="s">
        <v>717</v>
      </c>
      <c r="H23" s="156" t="s">
        <v>687</v>
      </c>
      <c r="I23" s="156" t="s">
        <v>688</v>
      </c>
      <c r="J23" s="156" t="s">
        <v>689</v>
      </c>
      <c r="K23" s="156" t="s">
        <v>718</v>
      </c>
      <c r="L23" s="156" t="s">
        <v>690</v>
      </c>
      <c r="R23" s="156"/>
      <c r="S23" s="156"/>
      <c r="T23" s="156"/>
      <c r="U23" s="156"/>
    </row>
    <row r="24" spans="2:21" x14ac:dyDescent="0.3">
      <c r="B24" s="156" t="s">
        <v>619</v>
      </c>
      <c r="C24" s="186" t="s">
        <v>621</v>
      </c>
      <c r="D24" s="156" t="s">
        <v>737</v>
      </c>
      <c r="E24" s="156" t="s">
        <v>696</v>
      </c>
      <c r="F24" s="156" t="s">
        <v>719</v>
      </c>
      <c r="G24" s="156" t="s">
        <v>720</v>
      </c>
      <c r="H24" s="156" t="s">
        <v>687</v>
      </c>
      <c r="I24" s="156" t="s">
        <v>688</v>
      </c>
      <c r="J24" s="156" t="s">
        <v>689</v>
      </c>
      <c r="K24" s="156" t="s">
        <v>736</v>
      </c>
      <c r="L24" s="156" t="s">
        <v>690</v>
      </c>
      <c r="R24" s="156"/>
      <c r="S24" s="156"/>
      <c r="T24" s="156"/>
      <c r="U24" s="156"/>
    </row>
    <row r="25" spans="2:21" x14ac:dyDescent="0.3">
      <c r="B25" s="156" t="s">
        <v>618</v>
      </c>
      <c r="D25" s="156" t="s">
        <v>766</v>
      </c>
      <c r="E25" s="156" t="s">
        <v>721</v>
      </c>
      <c r="F25" s="156" t="s">
        <v>722</v>
      </c>
      <c r="G25" s="156" t="s">
        <v>687</v>
      </c>
      <c r="H25" s="156" t="s">
        <v>687</v>
      </c>
      <c r="I25" s="156" t="s">
        <v>688</v>
      </c>
      <c r="J25" s="156" t="s">
        <v>689</v>
      </c>
      <c r="K25" s="156" t="s">
        <v>738</v>
      </c>
      <c r="L25" s="156" t="s">
        <v>690</v>
      </c>
      <c r="R25" s="156"/>
      <c r="S25" s="156"/>
      <c r="T25" s="156"/>
      <c r="U25" s="156"/>
    </row>
    <row r="26" spans="2:21" x14ac:dyDescent="0.3">
      <c r="B26" s="156" t="s">
        <v>618</v>
      </c>
      <c r="C26" s="186" t="s">
        <v>622</v>
      </c>
      <c r="D26" s="156" t="s">
        <v>766</v>
      </c>
      <c r="E26" s="156" t="s">
        <v>696</v>
      </c>
      <c r="F26" s="156" t="s">
        <v>723</v>
      </c>
      <c r="G26" s="156" t="s">
        <v>213</v>
      </c>
      <c r="H26" s="156" t="s">
        <v>724</v>
      </c>
      <c r="I26" s="156" t="s">
        <v>688</v>
      </c>
      <c r="J26" s="156" t="s">
        <v>689</v>
      </c>
      <c r="K26" s="156" t="s">
        <v>739</v>
      </c>
      <c r="L26" s="156" t="s">
        <v>690</v>
      </c>
      <c r="R26" s="156"/>
      <c r="S26" s="156"/>
      <c r="T26" s="156"/>
      <c r="U26" s="156"/>
    </row>
    <row r="27" spans="2:21" x14ac:dyDescent="0.3">
      <c r="B27" s="156" t="s">
        <v>618</v>
      </c>
      <c r="C27" s="186" t="s">
        <v>622</v>
      </c>
      <c r="D27" s="156" t="s">
        <v>766</v>
      </c>
      <c r="E27" s="156" t="s">
        <v>696</v>
      </c>
      <c r="F27" s="156" t="s">
        <v>725</v>
      </c>
      <c r="G27" s="156" t="s">
        <v>687</v>
      </c>
      <c r="H27" s="156" t="s">
        <v>687</v>
      </c>
      <c r="I27" s="156" t="s">
        <v>688</v>
      </c>
      <c r="J27" s="156" t="s">
        <v>689</v>
      </c>
      <c r="K27" s="156" t="s">
        <v>740</v>
      </c>
      <c r="L27" s="156" t="s">
        <v>726</v>
      </c>
      <c r="R27" s="156"/>
      <c r="S27" s="156"/>
      <c r="T27" s="156"/>
      <c r="U27" s="156"/>
    </row>
    <row r="28" spans="2:21" x14ac:dyDescent="0.3">
      <c r="B28" s="156" t="s">
        <v>618</v>
      </c>
      <c r="C28" s="186" t="s">
        <v>622</v>
      </c>
      <c r="D28" s="156" t="s">
        <v>766</v>
      </c>
      <c r="E28" s="156" t="s">
        <v>696</v>
      </c>
      <c r="F28" s="156" t="s">
        <v>727</v>
      </c>
      <c r="G28" s="156" t="s">
        <v>687</v>
      </c>
      <c r="H28" s="156" t="s">
        <v>687</v>
      </c>
      <c r="I28" s="156" t="s">
        <v>688</v>
      </c>
      <c r="J28" s="156" t="s">
        <v>689</v>
      </c>
      <c r="K28" s="156" t="s">
        <v>728</v>
      </c>
      <c r="L28" s="156" t="s">
        <v>726</v>
      </c>
      <c r="R28" s="156"/>
      <c r="S28" s="156"/>
      <c r="T28" s="156"/>
      <c r="U28" s="156"/>
    </row>
    <row r="29" spans="2:21" x14ac:dyDescent="0.3">
      <c r="B29" s="156" t="s">
        <v>618</v>
      </c>
      <c r="C29" s="186"/>
      <c r="D29" s="156" t="s">
        <v>742</v>
      </c>
      <c r="E29" s="156" t="s">
        <v>616</v>
      </c>
      <c r="F29" s="156" t="s">
        <v>687</v>
      </c>
      <c r="G29" s="156" t="s">
        <v>687</v>
      </c>
      <c r="H29" s="156" t="s">
        <v>687</v>
      </c>
      <c r="I29" s="156" t="s">
        <v>688</v>
      </c>
      <c r="J29" s="156" t="s">
        <v>689</v>
      </c>
      <c r="K29" s="156" t="s">
        <v>743</v>
      </c>
      <c r="L29" s="156" t="s">
        <v>690</v>
      </c>
      <c r="R29" s="156"/>
      <c r="S29" s="156"/>
      <c r="T29" s="156"/>
      <c r="U29" s="156"/>
    </row>
    <row r="30" spans="2:21" x14ac:dyDescent="0.3">
      <c r="B30" s="156" t="s">
        <v>618</v>
      </c>
      <c r="C30" s="186"/>
      <c r="D30" s="156" t="s">
        <v>742</v>
      </c>
      <c r="E30" s="156" t="s">
        <v>729</v>
      </c>
      <c r="F30" s="156" t="s">
        <v>730</v>
      </c>
      <c r="G30" s="156" t="s">
        <v>687</v>
      </c>
      <c r="H30" s="156" t="s">
        <v>687</v>
      </c>
      <c r="I30" s="156" t="s">
        <v>688</v>
      </c>
      <c r="J30" s="156" t="s">
        <v>689</v>
      </c>
      <c r="K30" s="156" t="s">
        <v>744</v>
      </c>
      <c r="L30" s="156" t="s">
        <v>690</v>
      </c>
      <c r="R30" s="156"/>
      <c r="S30" s="156"/>
      <c r="T30" s="156"/>
      <c r="U30" s="156"/>
    </row>
    <row r="31" spans="2:21" ht="23" x14ac:dyDescent="0.3">
      <c r="B31" s="156" t="s">
        <v>618</v>
      </c>
      <c r="C31" s="185" t="s">
        <v>620</v>
      </c>
      <c r="D31" s="156" t="s">
        <v>810</v>
      </c>
      <c r="E31" s="156" t="s">
        <v>613</v>
      </c>
      <c r="F31" s="156" t="s">
        <v>787</v>
      </c>
      <c r="G31" s="156" t="s">
        <v>788</v>
      </c>
      <c r="H31" s="156" t="s">
        <v>789</v>
      </c>
      <c r="I31" s="156" t="s">
        <v>688</v>
      </c>
      <c r="J31" s="156" t="s">
        <v>782</v>
      </c>
      <c r="K31" s="156" t="s">
        <v>797</v>
      </c>
      <c r="L31" s="156" t="s">
        <v>790</v>
      </c>
      <c r="R31" s="156"/>
      <c r="S31" s="156"/>
      <c r="T31" s="156"/>
      <c r="U31" s="156"/>
    </row>
    <row r="32" spans="2:21" ht="23" x14ac:dyDescent="0.3">
      <c r="B32" s="156" t="s">
        <v>618</v>
      </c>
      <c r="C32" s="185" t="s">
        <v>620</v>
      </c>
      <c r="D32" s="156" t="s">
        <v>810</v>
      </c>
      <c r="E32" s="156" t="s">
        <v>613</v>
      </c>
      <c r="F32" s="156" t="s">
        <v>787</v>
      </c>
      <c r="G32" s="156" t="s">
        <v>791</v>
      </c>
      <c r="H32" s="156" t="s">
        <v>792</v>
      </c>
      <c r="I32" s="156" t="s">
        <v>688</v>
      </c>
      <c r="J32" s="156" t="s">
        <v>782</v>
      </c>
      <c r="K32" s="156" t="s">
        <v>793</v>
      </c>
      <c r="L32" s="156" t="s">
        <v>790</v>
      </c>
      <c r="R32" s="156"/>
      <c r="S32" s="156"/>
      <c r="T32" s="156"/>
      <c r="U32" s="156"/>
    </row>
    <row r="33" spans="2:21" ht="23" x14ac:dyDescent="0.3">
      <c r="B33" s="156" t="s">
        <v>618</v>
      </c>
      <c r="C33" s="185" t="s">
        <v>620</v>
      </c>
      <c r="D33" s="156" t="s">
        <v>810</v>
      </c>
      <c r="E33" s="156" t="s">
        <v>613</v>
      </c>
      <c r="F33" s="156" t="s">
        <v>787</v>
      </c>
      <c r="G33" s="156" t="s">
        <v>794</v>
      </c>
      <c r="H33" s="156" t="s">
        <v>795</v>
      </c>
      <c r="I33" s="156" t="s">
        <v>688</v>
      </c>
      <c r="J33" s="156" t="s">
        <v>782</v>
      </c>
      <c r="K33" s="156" t="s">
        <v>798</v>
      </c>
      <c r="L33" s="156" t="s">
        <v>796</v>
      </c>
      <c r="R33" s="156"/>
      <c r="S33" s="156"/>
      <c r="T33" s="156"/>
      <c r="U33" s="156"/>
    </row>
    <row r="34" spans="2:21" ht="23" x14ac:dyDescent="0.3">
      <c r="B34" s="156" t="s">
        <v>618</v>
      </c>
      <c r="C34" s="185" t="s">
        <v>620</v>
      </c>
      <c r="D34" s="156" t="s">
        <v>809</v>
      </c>
      <c r="E34" s="156" t="s">
        <v>613</v>
      </c>
      <c r="F34" s="156" t="s">
        <v>799</v>
      </c>
      <c r="G34" s="156" t="s">
        <v>800</v>
      </c>
      <c r="H34" s="156" t="s">
        <v>687</v>
      </c>
      <c r="I34" s="156" t="s">
        <v>688</v>
      </c>
      <c r="J34" s="156" t="s">
        <v>782</v>
      </c>
      <c r="K34" s="156" t="s">
        <v>801</v>
      </c>
      <c r="L34" s="156" t="s">
        <v>690</v>
      </c>
      <c r="R34" s="156"/>
      <c r="S34" s="156"/>
      <c r="T34" s="156"/>
      <c r="U34" s="156"/>
    </row>
    <row r="35" spans="2:21" ht="23" x14ac:dyDescent="0.3">
      <c r="B35" s="156" t="s">
        <v>618</v>
      </c>
      <c r="C35" s="185" t="s">
        <v>620</v>
      </c>
      <c r="D35" s="156" t="s">
        <v>809</v>
      </c>
      <c r="E35" s="156" t="s">
        <v>613</v>
      </c>
      <c r="F35" s="156" t="s">
        <v>802</v>
      </c>
      <c r="G35" s="156" t="s">
        <v>687</v>
      </c>
      <c r="H35" s="156" t="s">
        <v>687</v>
      </c>
      <c r="I35" s="156" t="s">
        <v>688</v>
      </c>
      <c r="J35" s="156" t="s">
        <v>782</v>
      </c>
      <c r="K35" s="156" t="s">
        <v>803</v>
      </c>
      <c r="L35" s="156" t="s">
        <v>804</v>
      </c>
      <c r="R35" s="156"/>
      <c r="S35" s="156"/>
      <c r="T35" s="156"/>
      <c r="U35" s="156"/>
    </row>
    <row r="36" spans="2:21" ht="23" x14ac:dyDescent="0.3">
      <c r="B36" s="156" t="s">
        <v>618</v>
      </c>
      <c r="C36" s="185" t="s">
        <v>620</v>
      </c>
      <c r="D36" s="156" t="s">
        <v>809</v>
      </c>
      <c r="E36" s="156" t="s">
        <v>613</v>
      </c>
      <c r="F36" s="156" t="s">
        <v>805</v>
      </c>
      <c r="G36" s="156" t="s">
        <v>687</v>
      </c>
      <c r="H36" s="156" t="s">
        <v>687</v>
      </c>
      <c r="I36" s="156" t="s">
        <v>688</v>
      </c>
      <c r="J36" s="156" t="s">
        <v>782</v>
      </c>
      <c r="K36" s="156" t="s">
        <v>806</v>
      </c>
      <c r="L36" s="156" t="s">
        <v>804</v>
      </c>
      <c r="R36" s="156"/>
      <c r="S36" s="156"/>
      <c r="T36" s="156"/>
      <c r="U36" s="156"/>
    </row>
    <row r="37" spans="2:21" ht="23" x14ac:dyDescent="0.3">
      <c r="B37" s="156" t="s">
        <v>618</v>
      </c>
      <c r="C37" s="185" t="s">
        <v>620</v>
      </c>
      <c r="D37" s="156" t="s">
        <v>809</v>
      </c>
      <c r="E37" s="156" t="s">
        <v>613</v>
      </c>
      <c r="F37" s="156" t="s">
        <v>807</v>
      </c>
      <c r="G37" s="156" t="s">
        <v>725</v>
      </c>
      <c r="H37" s="156" t="s">
        <v>687</v>
      </c>
      <c r="I37" s="156" t="s">
        <v>688</v>
      </c>
      <c r="J37" s="156" t="s">
        <v>782</v>
      </c>
      <c r="K37" s="156" t="s">
        <v>808</v>
      </c>
      <c r="L37" s="156" t="s">
        <v>690</v>
      </c>
      <c r="R37" s="156"/>
      <c r="S37" s="156"/>
      <c r="T37" s="156"/>
      <c r="U37" s="156"/>
    </row>
    <row r="38" spans="2:21" ht="23" x14ac:dyDescent="0.3">
      <c r="B38" s="156" t="s">
        <v>618</v>
      </c>
      <c r="C38" s="185" t="s">
        <v>620</v>
      </c>
      <c r="D38" s="156" t="s">
        <v>811</v>
      </c>
      <c r="E38" s="156" t="s">
        <v>616</v>
      </c>
      <c r="F38" s="156" t="s">
        <v>687</v>
      </c>
      <c r="G38" s="156" t="s">
        <v>687</v>
      </c>
      <c r="H38" s="156" t="s">
        <v>687</v>
      </c>
      <c r="I38" s="156" t="s">
        <v>688</v>
      </c>
      <c r="J38" s="156" t="s">
        <v>782</v>
      </c>
      <c r="K38" s="156" t="s">
        <v>815</v>
      </c>
      <c r="L38" s="156" t="s">
        <v>690</v>
      </c>
      <c r="R38" s="156"/>
      <c r="S38" s="156"/>
      <c r="T38" s="156"/>
      <c r="U38" s="156"/>
    </row>
    <row r="39" spans="2:21" ht="23" x14ac:dyDescent="0.3">
      <c r="B39" s="156" t="s">
        <v>618</v>
      </c>
      <c r="C39" s="185" t="s">
        <v>620</v>
      </c>
      <c r="D39" s="156" t="s">
        <v>811</v>
      </c>
      <c r="E39" s="156" t="s">
        <v>616</v>
      </c>
      <c r="F39" s="156" t="s">
        <v>687</v>
      </c>
      <c r="G39" s="156" t="s">
        <v>687</v>
      </c>
      <c r="H39" s="156" t="s">
        <v>687</v>
      </c>
      <c r="I39" s="156" t="s">
        <v>688</v>
      </c>
      <c r="J39" s="156" t="s">
        <v>782</v>
      </c>
      <c r="K39" s="156" t="s">
        <v>816</v>
      </c>
      <c r="L39" s="156" t="s">
        <v>690</v>
      </c>
      <c r="R39" s="156"/>
      <c r="S39" s="156"/>
      <c r="T39" s="156"/>
      <c r="U39" s="156"/>
    </row>
    <row r="40" spans="2:21" ht="23" x14ac:dyDescent="0.3">
      <c r="B40" s="156" t="s">
        <v>618</v>
      </c>
      <c r="C40" s="185" t="s">
        <v>620</v>
      </c>
      <c r="D40" s="156" t="s">
        <v>811</v>
      </c>
      <c r="E40" s="156" t="s">
        <v>750</v>
      </c>
      <c r="F40" s="156" t="s">
        <v>812</v>
      </c>
      <c r="G40" s="156" t="s">
        <v>687</v>
      </c>
      <c r="H40" s="156" t="s">
        <v>687</v>
      </c>
      <c r="I40" s="156" t="s">
        <v>688</v>
      </c>
      <c r="J40" s="156" t="s">
        <v>782</v>
      </c>
      <c r="K40" s="156" t="s">
        <v>813</v>
      </c>
      <c r="L40" s="156" t="s">
        <v>814</v>
      </c>
      <c r="R40" s="156"/>
      <c r="S40" s="156"/>
      <c r="T40" s="156"/>
      <c r="U40" s="156"/>
    </row>
    <row r="41" spans="2:21" x14ac:dyDescent="0.3">
      <c r="B41" s="156" t="s">
        <v>619</v>
      </c>
      <c r="C41" s="156" t="s">
        <v>238</v>
      </c>
      <c r="E41" s="156" t="s">
        <v>817</v>
      </c>
      <c r="F41" s="156" t="s">
        <v>687</v>
      </c>
      <c r="G41" s="156" t="s">
        <v>687</v>
      </c>
      <c r="H41" s="156" t="s">
        <v>687</v>
      </c>
      <c r="I41" s="156" t="s">
        <v>688</v>
      </c>
      <c r="J41" s="156" t="s">
        <v>818</v>
      </c>
      <c r="K41" s="156" t="s">
        <v>821</v>
      </c>
      <c r="L41" s="156" t="s">
        <v>819</v>
      </c>
      <c r="R41" s="156"/>
      <c r="S41" s="156"/>
      <c r="T41" s="156"/>
      <c r="U41" s="156"/>
    </row>
    <row r="42" spans="2:21" x14ac:dyDescent="0.3">
      <c r="B42" s="156" t="s">
        <v>619</v>
      </c>
      <c r="C42" s="156" t="s">
        <v>238</v>
      </c>
      <c r="E42" s="156" t="s">
        <v>817</v>
      </c>
      <c r="F42" s="156" t="s">
        <v>687</v>
      </c>
      <c r="G42" s="156" t="s">
        <v>687</v>
      </c>
      <c r="H42" s="156" t="s">
        <v>687</v>
      </c>
      <c r="I42" s="156" t="s">
        <v>692</v>
      </c>
      <c r="J42" s="156" t="s">
        <v>692</v>
      </c>
      <c r="K42" s="156" t="s">
        <v>822</v>
      </c>
      <c r="L42" s="156" t="s">
        <v>820</v>
      </c>
      <c r="R42" s="156"/>
      <c r="S42" s="156"/>
      <c r="T42" s="156"/>
      <c r="U42" s="156"/>
    </row>
    <row r="43" spans="2:21" x14ac:dyDescent="0.3">
      <c r="B43" s="156" t="s">
        <v>619</v>
      </c>
      <c r="C43" s="156" t="s">
        <v>238</v>
      </c>
      <c r="E43" s="156" t="s">
        <v>686</v>
      </c>
      <c r="F43" s="156" t="s">
        <v>687</v>
      </c>
      <c r="G43" s="156" t="s">
        <v>687</v>
      </c>
      <c r="H43" s="156" t="s">
        <v>687</v>
      </c>
      <c r="I43" s="156" t="s">
        <v>688</v>
      </c>
      <c r="J43" s="156" t="s">
        <v>818</v>
      </c>
      <c r="K43" s="156" t="s">
        <v>823</v>
      </c>
      <c r="L43" s="156" t="s">
        <v>820</v>
      </c>
      <c r="R43" s="156"/>
      <c r="S43" s="156"/>
      <c r="T43" s="156"/>
      <c r="U43" s="156"/>
    </row>
    <row r="44" spans="2:21" x14ac:dyDescent="0.3">
      <c r="B44" s="156" t="s">
        <v>619</v>
      </c>
      <c r="C44" s="156" t="s">
        <v>238</v>
      </c>
      <c r="E44" s="156" t="s">
        <v>694</v>
      </c>
      <c r="F44" s="156" t="s">
        <v>687</v>
      </c>
      <c r="G44" s="156" t="s">
        <v>687</v>
      </c>
      <c r="H44" s="156" t="s">
        <v>687</v>
      </c>
      <c r="I44" s="156" t="s">
        <v>688</v>
      </c>
      <c r="J44" s="156" t="s">
        <v>818</v>
      </c>
      <c r="K44" s="156" t="s">
        <v>824</v>
      </c>
      <c r="L44" s="156" t="s">
        <v>690</v>
      </c>
      <c r="R44" s="156"/>
      <c r="S44" s="156"/>
      <c r="T44" s="156"/>
      <c r="U44" s="156"/>
    </row>
    <row r="45" spans="2:21" x14ac:dyDescent="0.3">
      <c r="B45" s="156" t="s">
        <v>213</v>
      </c>
      <c r="C45" s="156" t="s">
        <v>588</v>
      </c>
      <c r="D45" s="156" t="s">
        <v>834</v>
      </c>
      <c r="E45" s="156" t="s">
        <v>746</v>
      </c>
      <c r="F45" s="156" t="s">
        <v>825</v>
      </c>
      <c r="G45" s="156" t="s">
        <v>687</v>
      </c>
      <c r="H45" s="156" t="s">
        <v>687</v>
      </c>
      <c r="I45" s="156" t="s">
        <v>688</v>
      </c>
      <c r="J45" s="156" t="s">
        <v>818</v>
      </c>
      <c r="K45" s="156" t="s">
        <v>830</v>
      </c>
      <c r="L45" s="156" t="s">
        <v>826</v>
      </c>
      <c r="R45" s="156"/>
      <c r="S45" s="156"/>
      <c r="T45" s="156"/>
      <c r="U45" s="156"/>
    </row>
    <row r="46" spans="2:21" x14ac:dyDescent="0.3">
      <c r="B46" s="156" t="s">
        <v>213</v>
      </c>
      <c r="C46" s="156" t="s">
        <v>588</v>
      </c>
      <c r="D46" s="156" t="s">
        <v>834</v>
      </c>
      <c r="E46" s="156" t="s">
        <v>746</v>
      </c>
      <c r="F46" s="156" t="s">
        <v>723</v>
      </c>
      <c r="G46" s="156" t="s">
        <v>618</v>
      </c>
      <c r="H46" s="156" t="s">
        <v>687</v>
      </c>
      <c r="I46" s="156" t="s">
        <v>688</v>
      </c>
      <c r="J46" s="156" t="s">
        <v>818</v>
      </c>
      <c r="K46" s="156" t="s">
        <v>831</v>
      </c>
      <c r="L46" s="156" t="s">
        <v>827</v>
      </c>
      <c r="R46" s="156"/>
      <c r="S46" s="156"/>
      <c r="T46" s="156"/>
      <c r="U46" s="156"/>
    </row>
    <row r="47" spans="2:21" x14ac:dyDescent="0.3">
      <c r="B47" s="156" t="s">
        <v>213</v>
      </c>
      <c r="C47" s="156" t="s">
        <v>588</v>
      </c>
      <c r="D47" s="156" t="s">
        <v>834</v>
      </c>
      <c r="E47" s="156" t="s">
        <v>746</v>
      </c>
      <c r="F47" s="156" t="s">
        <v>828</v>
      </c>
      <c r="G47" s="156" t="s">
        <v>687</v>
      </c>
      <c r="H47" s="156" t="s">
        <v>687</v>
      </c>
      <c r="I47" s="156" t="s">
        <v>688</v>
      </c>
      <c r="J47" s="156" t="s">
        <v>818</v>
      </c>
      <c r="K47" s="156" t="s">
        <v>832</v>
      </c>
      <c r="L47" s="156" t="s">
        <v>690</v>
      </c>
      <c r="R47" s="156"/>
      <c r="S47" s="156"/>
      <c r="T47" s="156"/>
      <c r="U47" s="156"/>
    </row>
    <row r="48" spans="2:21" x14ac:dyDescent="0.3">
      <c r="B48" s="156" t="s">
        <v>213</v>
      </c>
      <c r="C48" s="156" t="s">
        <v>588</v>
      </c>
      <c r="D48" s="156" t="s">
        <v>834</v>
      </c>
      <c r="E48" s="156" t="s">
        <v>729</v>
      </c>
      <c r="F48" s="156" t="s">
        <v>730</v>
      </c>
      <c r="G48" s="156" t="s">
        <v>687</v>
      </c>
      <c r="H48" s="156" t="s">
        <v>687</v>
      </c>
      <c r="I48" s="156" t="s">
        <v>688</v>
      </c>
      <c r="J48" s="156" t="s">
        <v>818</v>
      </c>
      <c r="K48" s="156" t="s">
        <v>833</v>
      </c>
      <c r="L48" s="156" t="s">
        <v>829</v>
      </c>
      <c r="R48" s="156"/>
      <c r="S48" s="156"/>
      <c r="T48" s="156"/>
      <c r="U48" s="156"/>
    </row>
    <row r="49" spans="2:21" x14ac:dyDescent="0.3">
      <c r="B49" s="156" t="s">
        <v>619</v>
      </c>
      <c r="C49" s="156" t="s">
        <v>238</v>
      </c>
      <c r="D49" s="156" t="s">
        <v>844</v>
      </c>
      <c r="E49" s="156" t="s">
        <v>746</v>
      </c>
      <c r="F49" s="156" t="s">
        <v>835</v>
      </c>
      <c r="G49" s="156" t="s">
        <v>687</v>
      </c>
      <c r="H49" s="156" t="s">
        <v>687</v>
      </c>
      <c r="I49" s="156" t="s">
        <v>688</v>
      </c>
      <c r="J49" s="156" t="s">
        <v>818</v>
      </c>
      <c r="K49" s="156" t="s">
        <v>836</v>
      </c>
      <c r="L49" s="156" t="s">
        <v>826</v>
      </c>
      <c r="R49" s="156"/>
      <c r="S49" s="156"/>
      <c r="T49" s="156"/>
      <c r="U49" s="156"/>
    </row>
    <row r="50" spans="2:21" x14ac:dyDescent="0.3">
      <c r="B50" s="156" t="s">
        <v>619</v>
      </c>
      <c r="C50" s="156" t="s">
        <v>238</v>
      </c>
      <c r="D50" s="156" t="s">
        <v>844</v>
      </c>
      <c r="E50" s="156" t="s">
        <v>746</v>
      </c>
      <c r="F50" s="156" t="s">
        <v>727</v>
      </c>
      <c r="G50" s="156" t="s">
        <v>687</v>
      </c>
      <c r="H50" s="156" t="s">
        <v>687</v>
      </c>
      <c r="I50" s="156" t="s">
        <v>688</v>
      </c>
      <c r="J50" s="156" t="s">
        <v>818</v>
      </c>
      <c r="K50" s="156" t="s">
        <v>837</v>
      </c>
      <c r="L50" s="156" t="s">
        <v>690</v>
      </c>
      <c r="R50" s="156"/>
      <c r="S50" s="156"/>
      <c r="T50" s="156"/>
      <c r="U50" s="156"/>
    </row>
    <row r="51" spans="2:21" x14ac:dyDescent="0.3">
      <c r="B51" s="156" t="s">
        <v>619</v>
      </c>
      <c r="C51" s="156" t="s">
        <v>238</v>
      </c>
      <c r="D51" s="156" t="s">
        <v>844</v>
      </c>
      <c r="E51" s="156" t="s">
        <v>746</v>
      </c>
      <c r="F51" s="156" t="s">
        <v>838</v>
      </c>
      <c r="G51" s="156" t="s">
        <v>839</v>
      </c>
      <c r="H51" s="156" t="s">
        <v>687</v>
      </c>
      <c r="I51" s="156" t="s">
        <v>688</v>
      </c>
      <c r="J51" s="156" t="s">
        <v>818</v>
      </c>
      <c r="K51" s="156" t="s">
        <v>842</v>
      </c>
      <c r="L51" s="156" t="s">
        <v>840</v>
      </c>
      <c r="R51" s="156"/>
      <c r="S51" s="156"/>
      <c r="T51" s="156"/>
      <c r="U51" s="156"/>
    </row>
    <row r="52" spans="2:21" x14ac:dyDescent="0.3">
      <c r="B52" s="156" t="s">
        <v>619</v>
      </c>
      <c r="C52" s="156" t="s">
        <v>238</v>
      </c>
      <c r="D52" s="156" t="s">
        <v>844</v>
      </c>
      <c r="E52" s="156" t="s">
        <v>687</v>
      </c>
      <c r="F52" s="156" t="s">
        <v>687</v>
      </c>
      <c r="G52" s="156" t="s">
        <v>687</v>
      </c>
      <c r="H52" s="156" t="s">
        <v>687</v>
      </c>
      <c r="I52" s="156" t="s">
        <v>687</v>
      </c>
      <c r="J52" s="156" t="s">
        <v>687</v>
      </c>
      <c r="K52" s="156" t="s">
        <v>843</v>
      </c>
      <c r="L52" s="156" t="s">
        <v>841</v>
      </c>
      <c r="R52" s="156"/>
      <c r="S52" s="156"/>
      <c r="T52" s="156"/>
      <c r="U52" s="156"/>
    </row>
    <row r="53" spans="2:21" x14ac:dyDescent="0.3">
      <c r="B53" s="156" t="s">
        <v>618</v>
      </c>
      <c r="C53" s="156" t="s">
        <v>628</v>
      </c>
    </row>
    <row r="54" spans="2:21" x14ac:dyDescent="0.3">
      <c r="B54" s="156" t="s">
        <v>619</v>
      </c>
      <c r="C54" s="156" t="s">
        <v>629</v>
      </c>
    </row>
    <row r="55" spans="2:21" x14ac:dyDescent="0.3">
      <c r="B55" s="156" t="s">
        <v>619</v>
      </c>
      <c r="C55" s="156" t="s">
        <v>630</v>
      </c>
    </row>
    <row r="56" spans="2:21" x14ac:dyDescent="0.3">
      <c r="B56" s="156" t="s">
        <v>619</v>
      </c>
      <c r="C56" s="156" t="s">
        <v>581</v>
      </c>
      <c r="E56" s="156" t="s">
        <v>613</v>
      </c>
    </row>
    <row r="57" spans="2:21" x14ac:dyDescent="0.3">
      <c r="B57" s="156" t="s">
        <v>213</v>
      </c>
      <c r="C57" s="156" t="s">
        <v>631</v>
      </c>
      <c r="D57" s="156" t="s">
        <v>646</v>
      </c>
    </row>
    <row r="58" spans="2:21" x14ac:dyDescent="0.3">
      <c r="B58" s="156" t="s">
        <v>213</v>
      </c>
      <c r="C58" s="156" t="s">
        <v>632</v>
      </c>
    </row>
    <row r="59" spans="2:21" x14ac:dyDescent="0.3">
      <c r="B59" s="156" t="s">
        <v>213</v>
      </c>
      <c r="C59" s="156" t="s">
        <v>633</v>
      </c>
    </row>
    <row r="60" spans="2:21" x14ac:dyDescent="0.3">
      <c r="B60" s="156" t="s">
        <v>213</v>
      </c>
      <c r="C60" s="156" t="s">
        <v>634</v>
      </c>
      <c r="D60" s="156" t="s">
        <v>637</v>
      </c>
    </row>
    <row r="61" spans="2:21" x14ac:dyDescent="0.3">
      <c r="B61" s="156" t="s">
        <v>213</v>
      </c>
      <c r="C61" s="156" t="s">
        <v>640</v>
      </c>
      <c r="D61" s="156" t="s">
        <v>637</v>
      </c>
    </row>
    <row r="62" spans="2:21" x14ac:dyDescent="0.3">
      <c r="B62" s="156" t="s">
        <v>213</v>
      </c>
      <c r="C62" s="156" t="s">
        <v>641</v>
      </c>
      <c r="D62" s="156" t="s">
        <v>637</v>
      </c>
    </row>
    <row r="63" spans="2:21" x14ac:dyDescent="0.3">
      <c r="B63" s="156" t="s">
        <v>213</v>
      </c>
      <c r="C63" s="156" t="s">
        <v>642</v>
      </c>
      <c r="D63" s="156" t="s">
        <v>637</v>
      </c>
    </row>
    <row r="64" spans="2:21" x14ac:dyDescent="0.3">
      <c r="B64" s="156" t="s">
        <v>213</v>
      </c>
      <c r="C64" s="156" t="s">
        <v>635</v>
      </c>
      <c r="D64" s="156" t="s">
        <v>638</v>
      </c>
    </row>
    <row r="65" spans="2:4" x14ac:dyDescent="0.3">
      <c r="B65" s="156" t="s">
        <v>213</v>
      </c>
      <c r="C65" s="156" t="s">
        <v>647</v>
      </c>
      <c r="D65" s="156" t="s">
        <v>637</v>
      </c>
    </row>
    <row r="66" spans="2:4" x14ac:dyDescent="0.3">
      <c r="B66" s="156" t="s">
        <v>213</v>
      </c>
      <c r="C66" s="156" t="s">
        <v>636</v>
      </c>
      <c r="D66" s="156" t="s">
        <v>639</v>
      </c>
    </row>
    <row r="67" spans="2:4" x14ac:dyDescent="0.3">
      <c r="B67" s="156" t="s">
        <v>213</v>
      </c>
      <c r="C67" s="156" t="s">
        <v>649</v>
      </c>
      <c r="D67" s="156" t="s">
        <v>648</v>
      </c>
    </row>
    <row r="68" spans="2:4" x14ac:dyDescent="0.3">
      <c r="B68" s="156" t="s">
        <v>213</v>
      </c>
      <c r="C68" s="156" t="s">
        <v>650</v>
      </c>
    </row>
    <row r="69" spans="2:4" x14ac:dyDescent="0.3">
      <c r="B69" s="156" t="s">
        <v>213</v>
      </c>
      <c r="C69" s="156" t="s">
        <v>651</v>
      </c>
    </row>
    <row r="70" spans="2:4" x14ac:dyDescent="0.3">
      <c r="B70" s="156" t="s">
        <v>213</v>
      </c>
      <c r="C70" s="156" t="s">
        <v>652</v>
      </c>
    </row>
    <row r="71" spans="2:4" x14ac:dyDescent="0.3">
      <c r="B71" s="156" t="s">
        <v>213</v>
      </c>
      <c r="C71" s="156" t="s">
        <v>653</v>
      </c>
    </row>
    <row r="72" spans="2:4" x14ac:dyDescent="0.3">
      <c r="B72" s="156" t="s">
        <v>213</v>
      </c>
      <c r="C72" s="156" t="s">
        <v>655</v>
      </c>
    </row>
    <row r="73" spans="2:4" x14ac:dyDescent="0.3">
      <c r="B73" s="156" t="s">
        <v>213</v>
      </c>
      <c r="C73" s="156" t="s">
        <v>654</v>
      </c>
    </row>
    <row r="74" spans="2:4" x14ac:dyDescent="0.3">
      <c r="B74" s="156" t="s">
        <v>213</v>
      </c>
      <c r="C74" s="156" t="s">
        <v>656</v>
      </c>
      <c r="D74" s="156" t="s">
        <v>637</v>
      </c>
    </row>
    <row r="75" spans="2:4" x14ac:dyDescent="0.3">
      <c r="B75" s="156" t="s">
        <v>213</v>
      </c>
      <c r="C75" s="156" t="s">
        <v>657</v>
      </c>
    </row>
    <row r="76" spans="2:4" x14ac:dyDescent="0.3">
      <c r="B76" s="156" t="s">
        <v>213</v>
      </c>
      <c r="C76" s="156" t="s">
        <v>658</v>
      </c>
    </row>
    <row r="77" spans="2:4" x14ac:dyDescent="0.3">
      <c r="B77" s="156" t="s">
        <v>213</v>
      </c>
      <c r="C77" s="156" t="s">
        <v>659</v>
      </c>
      <c r="D77" s="156" t="s">
        <v>672</v>
      </c>
    </row>
    <row r="78" spans="2:4" x14ac:dyDescent="0.3">
      <c r="B78" s="156" t="s">
        <v>213</v>
      </c>
      <c r="C78" s="156" t="s">
        <v>660</v>
      </c>
      <c r="D78" s="156" t="s">
        <v>637</v>
      </c>
    </row>
    <row r="79" spans="2:4" x14ac:dyDescent="0.3">
      <c r="B79" s="156" t="s">
        <v>213</v>
      </c>
      <c r="C79" s="156" t="s">
        <v>661</v>
      </c>
      <c r="D79" s="156" t="s">
        <v>645</v>
      </c>
    </row>
    <row r="80" spans="2:4" x14ac:dyDescent="0.3">
      <c r="B80" s="156" t="s">
        <v>213</v>
      </c>
      <c r="C80" s="156" t="s">
        <v>662</v>
      </c>
      <c r="D80" s="156" t="s">
        <v>671</v>
      </c>
    </row>
    <row r="81" spans="2:4" ht="23" x14ac:dyDescent="0.3">
      <c r="B81" s="156" t="s">
        <v>213</v>
      </c>
      <c r="C81" s="185" t="s">
        <v>586</v>
      </c>
      <c r="D81" s="185" t="s">
        <v>579</v>
      </c>
    </row>
    <row r="82" spans="2:4" x14ac:dyDescent="0.3">
      <c r="B82" s="156" t="s">
        <v>213</v>
      </c>
      <c r="C82" s="186" t="s">
        <v>587</v>
      </c>
      <c r="D82" s="186" t="s">
        <v>579</v>
      </c>
    </row>
    <row r="83" spans="2:4" x14ac:dyDescent="0.3">
      <c r="B83" s="156" t="s">
        <v>213</v>
      </c>
      <c r="C83" s="186" t="s">
        <v>731</v>
      </c>
      <c r="D83" s="186"/>
    </row>
    <row r="84" spans="2:4" x14ac:dyDescent="0.3">
      <c r="B84" s="156" t="s">
        <v>213</v>
      </c>
      <c r="C84" s="186"/>
      <c r="D84" s="186"/>
    </row>
    <row r="85" spans="2:4" x14ac:dyDescent="0.3">
      <c r="B85" s="156" t="s">
        <v>213</v>
      </c>
      <c r="C85" s="186" t="s">
        <v>663</v>
      </c>
      <c r="D85" s="186" t="s">
        <v>644</v>
      </c>
    </row>
    <row r="86" spans="2:4" x14ac:dyDescent="0.3">
      <c r="B86" s="156" t="s">
        <v>213</v>
      </c>
      <c r="C86" s="156" t="s">
        <v>664</v>
      </c>
      <c r="D86" s="156" t="s">
        <v>639</v>
      </c>
    </row>
    <row r="87" spans="2:4" x14ac:dyDescent="0.3">
      <c r="B87" s="156" t="s">
        <v>213</v>
      </c>
      <c r="C87" s="156" t="s">
        <v>588</v>
      </c>
      <c r="D87" s="156" t="s">
        <v>238</v>
      </c>
    </row>
    <row r="88" spans="2:4" x14ac:dyDescent="0.3">
      <c r="B88" s="156" t="s">
        <v>213</v>
      </c>
      <c r="C88" s="156" t="s">
        <v>670</v>
      </c>
      <c r="D88" s="156" t="s">
        <v>579</v>
      </c>
    </row>
    <row r="89" spans="2:4" ht="23" x14ac:dyDescent="0.3">
      <c r="B89" s="156" t="s">
        <v>213</v>
      </c>
      <c r="C89" s="185" t="s">
        <v>582</v>
      </c>
    </row>
    <row r="90" spans="2:4" ht="23" x14ac:dyDescent="0.3">
      <c r="B90" s="156" t="s">
        <v>213</v>
      </c>
      <c r="C90" s="185" t="s">
        <v>583</v>
      </c>
    </row>
    <row r="91" spans="2:4" ht="23" x14ac:dyDescent="0.3">
      <c r="B91" s="156" t="s">
        <v>213</v>
      </c>
      <c r="C91" s="185" t="s">
        <v>589</v>
      </c>
    </row>
    <row r="92" spans="2:4" ht="23" x14ac:dyDescent="0.3">
      <c r="B92" s="156" t="s">
        <v>213</v>
      </c>
      <c r="C92" s="185" t="s">
        <v>584</v>
      </c>
    </row>
    <row r="93" spans="2:4" ht="23" x14ac:dyDescent="0.3">
      <c r="B93" s="156" t="s">
        <v>213</v>
      </c>
      <c r="C93" s="185" t="s">
        <v>585</v>
      </c>
    </row>
    <row r="94" spans="2:4" ht="23" x14ac:dyDescent="0.3">
      <c r="B94" s="156" t="s">
        <v>213</v>
      </c>
      <c r="C94" s="185" t="s">
        <v>615</v>
      </c>
    </row>
    <row r="95" spans="2:4" ht="23" x14ac:dyDescent="0.3">
      <c r="B95" s="156" t="s">
        <v>213</v>
      </c>
      <c r="C95" s="185" t="s">
        <v>586</v>
      </c>
    </row>
    <row r="96" spans="2:4" ht="23" x14ac:dyDescent="0.3">
      <c r="B96" s="156" t="s">
        <v>213</v>
      </c>
      <c r="C96" s="185" t="s">
        <v>587</v>
      </c>
    </row>
    <row r="97" spans="2:3" ht="23" x14ac:dyDescent="0.3">
      <c r="B97" s="156" t="s">
        <v>619</v>
      </c>
      <c r="C97" s="185" t="s">
        <v>590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B9A9-C598-8546-8266-CAADA3A7FEF2}">
  <dimension ref="A1"/>
  <sheetViews>
    <sheetView workbookViewId="0">
      <selection activeCell="I32" sqref="I32"/>
    </sheetView>
  </sheetViews>
  <sheetFormatPr baseColWidth="10" defaultRowHeight="16" x14ac:dyDescent="0.2"/>
  <sheetData/>
  <pageMargins left="0.7" right="0.7" top="0.75" bottom="0.75" header="0.3" footer="0.3"/>
</worksheet>
</file>

<file path=xl/worksheets/sheet900.xml><?xml version="1.0" encoding="utf-8"?>
<worksheet xmlns="http://schemas.openxmlformats.org/spreadsheetml/2006/main">
  <sheetPr>
    <tabColor rgb="001F3B57"/>
    <outlinePr summaryBelow="1" summaryRight="1"/>
    <pageSetUpPr fitToPage="1"/>
  </sheetPr>
  <dimension ref="A1:AH88"/>
  <sheetViews>
    <sheetView showGridLines="0" workbookViewId="0">
      <pane xSplit="8" ySplit="6" topLeftCell="I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4" customWidth="1" min="2" max="2"/>
    <col width="14" customWidth="1" min="3" max="3"/>
    <col width="24" customWidth="1" min="4" max="4"/>
    <col width="10.5" customWidth="1" min="5" max="5"/>
    <col width="10.5" customWidth="1" min="6" max="6"/>
    <col width="10.5" customWidth="1" min="7" max="7"/>
    <col width="10.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hidden="1" width="34" customWidth="1" min="33" max="33"/>
    <col hidden="1" width="8" customWidth="1" min="34" max="34"/>
  </cols>
  <sheetData>
    <row r="1" ht="26" customHeight="1">
      <c r="A1" s="193" t="inlineStr">
        <is>
          <t>2026–2027 Product Roadmap — Swim Lanes by Theme</t>
        </is>
      </c>
    </row>
    <row r="2" ht="16" customHeight="1">
      <c r="A2" s="194" t="inlineStr">
        <is>
          <t>Legend:</t>
        </is>
      </c>
      <c r="B2" s="195" t="inlineStr">
        <is>
          <t>Deliverables, themes and UX dates come from the Weekly tab · dev sprints from the Initiative Tracker</t>
        </is>
      </c>
      <c r="I2" s="196" t="inlineStr">
        <is>
          <t>U</t>
        </is>
      </c>
      <c r="J2" s="197" t="inlineStr">
        <is>
          <t>UX / design (Weekly)</t>
        </is>
      </c>
      <c r="O2" s="198" t="inlineStr">
        <is>
          <t>D</t>
        </is>
      </c>
      <c r="P2" s="197" t="inlineStr">
        <is>
          <t>Dev sprint (Tracker)</t>
        </is>
      </c>
      <c r="U2" s="199" t="inlineStr">
        <is>
          <t>B</t>
        </is>
      </c>
      <c r="V2" s="197" t="inlineStr">
        <is>
          <t>Both, same month</t>
        </is>
      </c>
      <c r="AA2" s="197" t="inlineStr">
        <is>
          <t>Amber column = current month</t>
        </is>
      </c>
    </row>
    <row r="3" hidden="1">
      <c r="I3" s="200" t="n">
        <v>46023</v>
      </c>
      <c r="J3" s="200" t="n">
        <v>46054</v>
      </c>
      <c r="K3" s="200" t="n">
        <v>46082</v>
      </c>
      <c r="L3" s="200" t="n">
        <v>46113</v>
      </c>
      <c r="M3" s="200" t="n">
        <v>46143</v>
      </c>
      <c r="N3" s="200" t="n">
        <v>46174</v>
      </c>
      <c r="O3" s="200" t="n">
        <v>46204</v>
      </c>
      <c r="P3" s="200" t="n">
        <v>46235</v>
      </c>
      <c r="Q3" s="200" t="n">
        <v>46266</v>
      </c>
      <c r="R3" s="200" t="n">
        <v>46296</v>
      </c>
      <c r="S3" s="200" t="n">
        <v>46327</v>
      </c>
      <c r="T3" s="200" t="n">
        <v>46357</v>
      </c>
      <c r="U3" s="200" t="n">
        <v>46388</v>
      </c>
      <c r="V3" s="200" t="n">
        <v>46419</v>
      </c>
      <c r="W3" s="200" t="n">
        <v>46447</v>
      </c>
      <c r="X3" s="200" t="n">
        <v>46478</v>
      </c>
      <c r="Y3" s="200" t="n">
        <v>46508</v>
      </c>
      <c r="Z3" s="200" t="n">
        <v>46539</v>
      </c>
      <c r="AA3" s="200" t="n">
        <v>46569</v>
      </c>
      <c r="AB3" s="200" t="n">
        <v>46600</v>
      </c>
      <c r="AC3" s="200" t="n">
        <v>46631</v>
      </c>
      <c r="AD3" s="200" t="n">
        <v>46661</v>
      </c>
      <c r="AE3" s="200" t="n">
        <v>46692</v>
      </c>
      <c r="AF3" s="200" t="n">
        <v>46722</v>
      </c>
    </row>
    <row r="4" ht="18" customHeight="1">
      <c r="I4" s="201" t="n">
        <v>2026</v>
      </c>
      <c r="J4" s="202" t="n"/>
      <c r="K4" s="202" t="n"/>
      <c r="L4" s="202" t="n"/>
      <c r="M4" s="202" t="n"/>
      <c r="N4" s="202" t="n"/>
      <c r="O4" s="202" t="n"/>
      <c r="P4" s="202" t="n"/>
      <c r="Q4" s="202" t="n"/>
      <c r="R4" s="202" t="n"/>
      <c r="S4" s="202" t="n"/>
      <c r="T4" s="202" t="n"/>
      <c r="U4" s="201" t="n">
        <v>2027</v>
      </c>
      <c r="V4" s="202" t="n"/>
      <c r="W4" s="202" t="n"/>
      <c r="X4" s="202" t="n"/>
      <c r="Y4" s="202" t="n"/>
      <c r="Z4" s="202" t="n"/>
      <c r="AA4" s="202" t="n"/>
      <c r="AB4" s="202" t="n"/>
      <c r="AC4" s="202" t="n"/>
      <c r="AD4" s="202" t="n"/>
      <c r="AE4" s="202" t="n"/>
      <c r="AF4" s="202" t="n"/>
    </row>
    <row r="5" ht="16" customHeight="1">
      <c r="I5" s="203" t="inlineStr">
        <is>
          <t>Q1</t>
        </is>
      </c>
      <c r="J5" s="204" t="n"/>
      <c r="K5" s="204" t="n"/>
      <c r="L5" s="203" t="inlineStr">
        <is>
          <t>Q2</t>
        </is>
      </c>
      <c r="M5" s="204" t="n"/>
      <c r="N5" s="204" t="n"/>
      <c r="O5" s="203" t="inlineStr">
        <is>
          <t>Q3</t>
        </is>
      </c>
      <c r="P5" s="204" t="n"/>
      <c r="Q5" s="204" t="n"/>
      <c r="R5" s="203" t="inlineStr">
        <is>
          <t>Q4</t>
        </is>
      </c>
      <c r="S5" s="204" t="n"/>
      <c r="T5" s="204" t="n"/>
      <c r="U5" s="203" t="inlineStr">
        <is>
          <t>Q1</t>
        </is>
      </c>
      <c r="V5" s="204" t="n"/>
      <c r="W5" s="204" t="n"/>
      <c r="X5" s="203" t="inlineStr">
        <is>
          <t>Q2</t>
        </is>
      </c>
      <c r="Y5" s="204" t="n"/>
      <c r="Z5" s="204" t="n"/>
      <c r="AA5" s="203" t="inlineStr">
        <is>
          <t>Q3</t>
        </is>
      </c>
      <c r="AB5" s="204" t="n"/>
      <c r="AC5" s="204" t="n"/>
      <c r="AD5" s="203" t="inlineStr">
        <is>
          <t>Q4</t>
        </is>
      </c>
      <c r="AE5" s="204" t="n"/>
      <c r="AF5" s="204" t="n"/>
    </row>
    <row r="6" ht="30" customHeight="1">
      <c r="A6" s="205" t="inlineStr">
        <is>
          <t>Theme (swim lane)</t>
        </is>
      </c>
      <c r="B6" s="205" t="inlineStr">
        <is>
          <t>Deliverable</t>
        </is>
      </c>
      <c r="C6" s="205" t="inlineStr">
        <is>
          <t>Jira</t>
        </is>
      </c>
      <c r="D6" s="205" t="inlineStr">
        <is>
          <t>Status</t>
        </is>
      </c>
      <c r="E6" s="206" t="inlineStr">
        <is>
          <t>UX Start</t>
        </is>
      </c>
      <c r="F6" s="206" t="inlineStr">
        <is>
          <t>UX End</t>
        </is>
      </c>
      <c r="G6" s="206" t="inlineStr">
        <is>
          <t>Dev Start</t>
        </is>
      </c>
      <c r="H6" s="206" t="inlineStr">
        <is>
          <t>Dev End</t>
        </is>
      </c>
      <c r="I6" s="207" t="inlineStr">
        <is>
          <t>Jan</t>
        </is>
      </c>
      <c r="J6" s="207" t="inlineStr">
        <is>
          <t>Feb</t>
        </is>
      </c>
      <c r="K6" s="207" t="inlineStr">
        <is>
          <t>Mar</t>
        </is>
      </c>
      <c r="L6" s="207" t="inlineStr">
        <is>
          <t>Apr</t>
        </is>
      </c>
      <c r="M6" s="207" t="inlineStr">
        <is>
          <t>May</t>
        </is>
      </c>
      <c r="N6" s="207" t="inlineStr">
        <is>
          <t>Jun</t>
        </is>
      </c>
      <c r="O6" s="207" t="inlineStr">
        <is>
          <t>Jul</t>
        </is>
      </c>
      <c r="P6" s="207" t="inlineStr">
        <is>
          <t>Aug</t>
        </is>
      </c>
      <c r="Q6" s="207" t="inlineStr">
        <is>
          <t>Sep</t>
        </is>
      </c>
      <c r="R6" s="207" t="inlineStr">
        <is>
          <t>Oct</t>
        </is>
      </c>
      <c r="S6" s="207" t="inlineStr">
        <is>
          <t>Nov</t>
        </is>
      </c>
      <c r="T6" s="207" t="inlineStr">
        <is>
          <t>Dec</t>
        </is>
      </c>
      <c r="U6" s="207" t="inlineStr">
        <is>
          <t>Jan</t>
        </is>
      </c>
      <c r="V6" s="207" t="inlineStr">
        <is>
          <t>Feb</t>
        </is>
      </c>
      <c r="W6" s="207" t="inlineStr">
        <is>
          <t>Mar</t>
        </is>
      </c>
      <c r="X6" s="207" t="inlineStr">
        <is>
          <t>Apr</t>
        </is>
      </c>
      <c r="Y6" s="207" t="inlineStr">
        <is>
          <t>May</t>
        </is>
      </c>
      <c r="Z6" s="207" t="inlineStr">
        <is>
          <t>Jun</t>
        </is>
      </c>
      <c r="AA6" s="207" t="inlineStr">
        <is>
          <t>Jul</t>
        </is>
      </c>
      <c r="AB6" s="207" t="inlineStr">
        <is>
          <t>Aug</t>
        </is>
      </c>
      <c r="AC6" s="207" t="inlineStr">
        <is>
          <t>Sep</t>
        </is>
      </c>
      <c r="AD6" s="207" t="inlineStr">
        <is>
          <t>Oct</t>
        </is>
      </c>
      <c r="AE6" s="207" t="inlineStr">
        <is>
          <t>Nov</t>
        </is>
      </c>
      <c r="AF6" s="207" t="inlineStr">
        <is>
          <t>Dec</t>
        </is>
      </c>
      <c r="AG6" s="208" t="inlineStr">
        <is>
          <t>_theme</t>
        </is>
      </c>
      <c r="AH6" s="208" t="inlineStr">
        <is>
          <t>_row</t>
        </is>
      </c>
    </row>
    <row r="7" ht="17" customHeight="1">
      <c r="A7" s="209">
        <f>IF($AH7="","",IF($AG7=$AG6,"",$AG7))</f>
        <v/>
      </c>
      <c r="B7" s="210">
        <f>IF($AH7="","",INDEX('Roadmap Calc (Don’t Touch)'!$B$2:$B$205,$AH7))</f>
        <v/>
      </c>
      <c r="C7" s="211">
        <f>IF($AH7="","",INDEX('Roadmap Calc (Don’t Touch)'!$E$2:$E$205,$AH7))</f>
        <v/>
      </c>
      <c r="D7" s="212">
        <f>IF($AH7="","",INDEX('Roadmap Calc (Don’t Touch)'!$F$2:$F$205,$AH7))</f>
        <v/>
      </c>
      <c r="E7" s="213">
        <f>IF($AH7="","",INDEX('Roadmap Calc (Don’t Touch)'!$G$2:$G$205,$AH7))</f>
        <v/>
      </c>
      <c r="F7" s="213">
        <f>IF($AH7="","",INDEX('Roadmap Calc (Don’t Touch)'!$H$2:$H$205,$AH7))</f>
        <v/>
      </c>
      <c r="G7" s="213">
        <f>IF($AH7="","",INDEX('Roadmap Calc (Don’t Touch)'!$I$2:$I$205,$AH7))</f>
        <v/>
      </c>
      <c r="H7" s="213">
        <f>IF($AH7="","",INDEX('Roadmap Calc (Don’t Touch)'!$J$2:$J$205,$AH7))</f>
        <v/>
      </c>
      <c r="I7" s="214">
        <f>IF($AH7="","",IF(AND($E7&lt;&gt;"",$E7&lt;=EOMONTH(I$3,0),$F7&gt;=I$3),IF(AND($G7&lt;&gt;"",$G7&lt;=EOMONTH(I$3,0),$H7&gt;=I$3),"B","U"),IF(AND($G7&lt;&gt;"",$G7&lt;=EOMONTH(I$3,0),$H7&gt;=I$3),"D","")))</f>
        <v/>
      </c>
      <c r="J7" s="214">
        <f>IF($AH7="","",IF(AND($E7&lt;&gt;"",$E7&lt;=EOMONTH(J$3,0),$F7&gt;=J$3),IF(AND($G7&lt;&gt;"",$G7&lt;=EOMONTH(J$3,0),$H7&gt;=J$3),"B","U"),IF(AND($G7&lt;&gt;"",$G7&lt;=EOMONTH(J$3,0),$H7&gt;=J$3),"D","")))</f>
        <v/>
      </c>
      <c r="K7" s="214">
        <f>IF($AH7="","",IF(AND($E7&lt;&gt;"",$E7&lt;=EOMONTH(K$3,0),$F7&gt;=K$3),IF(AND($G7&lt;&gt;"",$G7&lt;=EOMONTH(K$3,0),$H7&gt;=K$3),"B","U"),IF(AND($G7&lt;&gt;"",$G7&lt;=EOMONTH(K$3,0),$H7&gt;=K$3),"D","")))</f>
        <v/>
      </c>
      <c r="L7" s="214">
        <f>IF($AH7="","",IF(AND($E7&lt;&gt;"",$E7&lt;=EOMONTH(L$3,0),$F7&gt;=L$3),IF(AND($G7&lt;&gt;"",$G7&lt;=EOMONTH(L$3,0),$H7&gt;=L$3),"B","U"),IF(AND($G7&lt;&gt;"",$G7&lt;=EOMONTH(L$3,0),$H7&gt;=L$3),"D","")))</f>
        <v/>
      </c>
      <c r="M7" s="214">
        <f>IF($AH7="","",IF(AND($E7&lt;&gt;"",$E7&lt;=EOMONTH(M$3,0),$F7&gt;=M$3),IF(AND($G7&lt;&gt;"",$G7&lt;=EOMONTH(M$3,0),$H7&gt;=M$3),"B","U"),IF(AND($G7&lt;&gt;"",$G7&lt;=EOMONTH(M$3,0),$H7&gt;=M$3),"D","")))</f>
        <v/>
      </c>
      <c r="N7" s="214">
        <f>IF($AH7="","",IF(AND($E7&lt;&gt;"",$E7&lt;=EOMONTH(N$3,0),$F7&gt;=N$3),IF(AND($G7&lt;&gt;"",$G7&lt;=EOMONTH(N$3,0),$H7&gt;=N$3),"B","U"),IF(AND($G7&lt;&gt;"",$G7&lt;=EOMONTH(N$3,0),$H7&gt;=N$3),"D","")))</f>
        <v/>
      </c>
      <c r="O7" s="214">
        <f>IF($AH7="","",IF(AND($E7&lt;&gt;"",$E7&lt;=EOMONTH(O$3,0),$F7&gt;=O$3),IF(AND($G7&lt;&gt;"",$G7&lt;=EOMONTH(O$3,0),$H7&gt;=O$3),"B","U"),IF(AND($G7&lt;&gt;"",$G7&lt;=EOMONTH(O$3,0),$H7&gt;=O$3),"D","")))</f>
        <v/>
      </c>
      <c r="P7" s="214">
        <f>IF($AH7="","",IF(AND($E7&lt;&gt;"",$E7&lt;=EOMONTH(P$3,0),$F7&gt;=P$3),IF(AND($G7&lt;&gt;"",$G7&lt;=EOMONTH(P$3,0),$H7&gt;=P$3),"B","U"),IF(AND($G7&lt;&gt;"",$G7&lt;=EOMONTH(P$3,0),$H7&gt;=P$3),"D","")))</f>
        <v/>
      </c>
      <c r="Q7" s="214">
        <f>IF($AH7="","",IF(AND($E7&lt;&gt;"",$E7&lt;=EOMONTH(Q$3,0),$F7&gt;=Q$3),IF(AND($G7&lt;&gt;"",$G7&lt;=EOMONTH(Q$3,0),$H7&gt;=Q$3),"B","U"),IF(AND($G7&lt;&gt;"",$G7&lt;=EOMONTH(Q$3,0),$H7&gt;=Q$3),"D","")))</f>
        <v/>
      </c>
      <c r="R7" s="214">
        <f>IF($AH7="","",IF(AND($E7&lt;&gt;"",$E7&lt;=EOMONTH(R$3,0),$F7&gt;=R$3),IF(AND($G7&lt;&gt;"",$G7&lt;=EOMONTH(R$3,0),$H7&gt;=R$3),"B","U"),IF(AND($G7&lt;&gt;"",$G7&lt;=EOMONTH(R$3,0),$H7&gt;=R$3),"D","")))</f>
        <v/>
      </c>
      <c r="S7" s="214">
        <f>IF($AH7="","",IF(AND($E7&lt;&gt;"",$E7&lt;=EOMONTH(S$3,0),$F7&gt;=S$3),IF(AND($G7&lt;&gt;"",$G7&lt;=EOMONTH(S$3,0),$H7&gt;=S$3),"B","U"),IF(AND($G7&lt;&gt;"",$G7&lt;=EOMONTH(S$3,0),$H7&gt;=S$3),"D","")))</f>
        <v/>
      </c>
      <c r="T7" s="214">
        <f>IF($AH7="","",IF(AND($E7&lt;&gt;"",$E7&lt;=EOMONTH(T$3,0),$F7&gt;=T$3),IF(AND($G7&lt;&gt;"",$G7&lt;=EOMONTH(T$3,0),$H7&gt;=T$3),"B","U"),IF(AND($G7&lt;&gt;"",$G7&lt;=EOMONTH(T$3,0),$H7&gt;=T$3),"D","")))</f>
        <v/>
      </c>
      <c r="U7" s="214">
        <f>IF($AH7="","",IF(AND($E7&lt;&gt;"",$E7&lt;=EOMONTH(U$3,0),$F7&gt;=U$3),IF(AND($G7&lt;&gt;"",$G7&lt;=EOMONTH(U$3,0),$H7&gt;=U$3),"B","U"),IF(AND($G7&lt;&gt;"",$G7&lt;=EOMONTH(U$3,0),$H7&gt;=U$3),"D","")))</f>
        <v/>
      </c>
      <c r="V7" s="214">
        <f>IF($AH7="","",IF(AND($E7&lt;&gt;"",$E7&lt;=EOMONTH(V$3,0),$F7&gt;=V$3),IF(AND($G7&lt;&gt;"",$G7&lt;=EOMONTH(V$3,0),$H7&gt;=V$3),"B","U"),IF(AND($G7&lt;&gt;"",$G7&lt;=EOMONTH(V$3,0),$H7&gt;=V$3),"D","")))</f>
        <v/>
      </c>
      <c r="W7" s="214">
        <f>IF($AH7="","",IF(AND($E7&lt;&gt;"",$E7&lt;=EOMONTH(W$3,0),$F7&gt;=W$3),IF(AND($G7&lt;&gt;"",$G7&lt;=EOMONTH(W$3,0),$H7&gt;=W$3),"B","U"),IF(AND($G7&lt;&gt;"",$G7&lt;=EOMONTH(W$3,0),$H7&gt;=W$3),"D","")))</f>
        <v/>
      </c>
      <c r="X7" s="214">
        <f>IF($AH7="","",IF(AND($E7&lt;&gt;"",$E7&lt;=EOMONTH(X$3,0),$F7&gt;=X$3),IF(AND($G7&lt;&gt;"",$G7&lt;=EOMONTH(X$3,0),$H7&gt;=X$3),"B","U"),IF(AND($G7&lt;&gt;"",$G7&lt;=EOMONTH(X$3,0),$H7&gt;=X$3),"D","")))</f>
        <v/>
      </c>
      <c r="Y7" s="214">
        <f>IF($AH7="","",IF(AND($E7&lt;&gt;"",$E7&lt;=EOMONTH(Y$3,0),$F7&gt;=Y$3),IF(AND($G7&lt;&gt;"",$G7&lt;=EOMONTH(Y$3,0),$H7&gt;=Y$3),"B","U"),IF(AND($G7&lt;&gt;"",$G7&lt;=EOMONTH(Y$3,0),$H7&gt;=Y$3),"D","")))</f>
        <v/>
      </c>
      <c r="Z7" s="214">
        <f>IF($AH7="","",IF(AND($E7&lt;&gt;"",$E7&lt;=EOMONTH(Z$3,0),$F7&gt;=Z$3),IF(AND($G7&lt;&gt;"",$G7&lt;=EOMONTH(Z$3,0),$H7&gt;=Z$3),"B","U"),IF(AND($G7&lt;&gt;"",$G7&lt;=EOMONTH(Z$3,0),$H7&gt;=Z$3),"D","")))</f>
        <v/>
      </c>
      <c r="AA7" s="214">
        <f>IF($AH7="","",IF(AND($E7&lt;&gt;"",$E7&lt;=EOMONTH(AA$3,0),$F7&gt;=AA$3),IF(AND($G7&lt;&gt;"",$G7&lt;=EOMONTH(AA$3,0),$H7&gt;=AA$3),"B","U"),IF(AND($G7&lt;&gt;"",$G7&lt;=EOMONTH(AA$3,0),$H7&gt;=AA$3),"D","")))</f>
        <v/>
      </c>
      <c r="AB7" s="214">
        <f>IF($AH7="","",IF(AND($E7&lt;&gt;"",$E7&lt;=EOMONTH(AB$3,0),$F7&gt;=AB$3),IF(AND($G7&lt;&gt;"",$G7&lt;=EOMONTH(AB$3,0),$H7&gt;=AB$3),"B","U"),IF(AND($G7&lt;&gt;"",$G7&lt;=EOMONTH(AB$3,0),$H7&gt;=AB$3),"D","")))</f>
        <v/>
      </c>
      <c r="AC7" s="214">
        <f>IF($AH7="","",IF(AND($E7&lt;&gt;"",$E7&lt;=EOMONTH(AC$3,0),$F7&gt;=AC$3),IF(AND($G7&lt;&gt;"",$G7&lt;=EOMONTH(AC$3,0),$H7&gt;=AC$3),"B","U"),IF(AND($G7&lt;&gt;"",$G7&lt;=EOMONTH(AC$3,0),$H7&gt;=AC$3),"D","")))</f>
        <v/>
      </c>
      <c r="AD7" s="214">
        <f>IF($AH7="","",IF(AND($E7&lt;&gt;"",$E7&lt;=EOMONTH(AD$3,0),$F7&gt;=AD$3),IF(AND($G7&lt;&gt;"",$G7&lt;=EOMONTH(AD$3,0),$H7&gt;=AD$3),"B","U"),IF(AND($G7&lt;&gt;"",$G7&lt;=EOMONTH(AD$3,0),$H7&gt;=AD$3),"D","")))</f>
        <v/>
      </c>
      <c r="AE7" s="214">
        <f>IF($AH7="","",IF(AND($E7&lt;&gt;"",$E7&lt;=EOMONTH(AE$3,0),$F7&gt;=AE$3),IF(AND($G7&lt;&gt;"",$G7&lt;=EOMONTH(AE$3,0),$H7&gt;=AE$3),"B","U"),IF(AND($G7&lt;&gt;"",$G7&lt;=EOMONTH(AE$3,0),$H7&gt;=AE$3),"D","")))</f>
        <v/>
      </c>
      <c r="AF7" s="214">
        <f>IF($AH7="","",IF(AND($E7&lt;&gt;"",$E7&lt;=EOMONTH(AF$3,0),$F7&gt;=AF$3),IF(AND($G7&lt;&gt;"",$G7&lt;=EOMONTH(AF$3,0),$H7&gt;=AF$3),"B","U"),IF(AND($G7&lt;&gt;"",$G7&lt;=EOMONTH(AF$3,0),$H7&gt;=AF$3),"D","")))</f>
        <v/>
      </c>
      <c r="AG7">
        <f>IF($AH7="","",INDEX('Roadmap Calc (Don’t Touch)'!$D$2:$D$205,$AH7))</f>
        <v/>
      </c>
      <c r="AH7">
        <f>IFERROR(MATCH(1,'Roadmap Calc (Don’t Touch)'!$O$2:$O$205,0),"")</f>
        <v/>
      </c>
    </row>
    <row r="8" ht="17" customHeight="1">
      <c r="A8" s="209">
        <f>IF($AH8="","",IF($AG8=$AG7,"",$AG8))</f>
        <v/>
      </c>
      <c r="B8" s="210">
        <f>IF($AH8="","",INDEX('Roadmap Calc (Don’t Touch)'!$B$2:$B$205,$AH8))</f>
        <v/>
      </c>
      <c r="C8" s="211">
        <f>IF($AH8="","",INDEX('Roadmap Calc (Don’t Touch)'!$E$2:$E$205,$AH8))</f>
        <v/>
      </c>
      <c r="D8" s="212">
        <f>IF($AH8="","",INDEX('Roadmap Calc (Don’t Touch)'!$F$2:$F$205,$AH8))</f>
        <v/>
      </c>
      <c r="E8" s="213">
        <f>IF($AH8="","",INDEX('Roadmap Calc (Don’t Touch)'!$G$2:$G$205,$AH8))</f>
        <v/>
      </c>
      <c r="F8" s="213">
        <f>IF($AH8="","",INDEX('Roadmap Calc (Don’t Touch)'!$H$2:$H$205,$AH8))</f>
        <v/>
      </c>
      <c r="G8" s="213">
        <f>IF($AH8="","",INDEX('Roadmap Calc (Don’t Touch)'!$I$2:$I$205,$AH8))</f>
        <v/>
      </c>
      <c r="H8" s="213">
        <f>IF($AH8="","",INDEX('Roadmap Calc (Don’t Touch)'!$J$2:$J$205,$AH8))</f>
        <v/>
      </c>
      <c r="I8" s="214">
        <f>IF($AH8="","",IF(AND($E8&lt;&gt;"",$E8&lt;=EOMONTH(I$3,0),$F8&gt;=I$3),IF(AND($G8&lt;&gt;"",$G8&lt;=EOMONTH(I$3,0),$H8&gt;=I$3),"B","U"),IF(AND($G8&lt;&gt;"",$G8&lt;=EOMONTH(I$3,0),$H8&gt;=I$3),"D","")))</f>
        <v/>
      </c>
      <c r="J8" s="214">
        <f>IF($AH8="","",IF(AND($E8&lt;&gt;"",$E8&lt;=EOMONTH(J$3,0),$F8&gt;=J$3),IF(AND($G8&lt;&gt;"",$G8&lt;=EOMONTH(J$3,0),$H8&gt;=J$3),"B","U"),IF(AND($G8&lt;&gt;"",$G8&lt;=EOMONTH(J$3,0),$H8&gt;=J$3),"D","")))</f>
        <v/>
      </c>
      <c r="K8" s="214">
        <f>IF($AH8="","",IF(AND($E8&lt;&gt;"",$E8&lt;=EOMONTH(K$3,0),$F8&gt;=K$3),IF(AND($G8&lt;&gt;"",$G8&lt;=EOMONTH(K$3,0),$H8&gt;=K$3),"B","U"),IF(AND($G8&lt;&gt;"",$G8&lt;=EOMONTH(K$3,0),$H8&gt;=K$3),"D","")))</f>
        <v/>
      </c>
      <c r="L8" s="214">
        <f>IF($AH8="","",IF(AND($E8&lt;&gt;"",$E8&lt;=EOMONTH(L$3,0),$F8&gt;=L$3),IF(AND($G8&lt;&gt;"",$G8&lt;=EOMONTH(L$3,0),$H8&gt;=L$3),"B","U"),IF(AND($G8&lt;&gt;"",$G8&lt;=EOMONTH(L$3,0),$H8&gt;=L$3),"D","")))</f>
        <v/>
      </c>
      <c r="M8" s="214">
        <f>IF($AH8="","",IF(AND($E8&lt;&gt;"",$E8&lt;=EOMONTH(M$3,0),$F8&gt;=M$3),IF(AND($G8&lt;&gt;"",$G8&lt;=EOMONTH(M$3,0),$H8&gt;=M$3),"B","U"),IF(AND($G8&lt;&gt;"",$G8&lt;=EOMONTH(M$3,0),$H8&gt;=M$3),"D","")))</f>
        <v/>
      </c>
      <c r="N8" s="214">
        <f>IF($AH8="","",IF(AND($E8&lt;&gt;"",$E8&lt;=EOMONTH(N$3,0),$F8&gt;=N$3),IF(AND($G8&lt;&gt;"",$G8&lt;=EOMONTH(N$3,0),$H8&gt;=N$3),"B","U"),IF(AND($G8&lt;&gt;"",$G8&lt;=EOMONTH(N$3,0),$H8&gt;=N$3),"D","")))</f>
        <v/>
      </c>
      <c r="O8" s="214">
        <f>IF($AH8="","",IF(AND($E8&lt;&gt;"",$E8&lt;=EOMONTH(O$3,0),$F8&gt;=O$3),IF(AND($G8&lt;&gt;"",$G8&lt;=EOMONTH(O$3,0),$H8&gt;=O$3),"B","U"),IF(AND($G8&lt;&gt;"",$G8&lt;=EOMONTH(O$3,0),$H8&gt;=O$3),"D","")))</f>
        <v/>
      </c>
      <c r="P8" s="214">
        <f>IF($AH8="","",IF(AND($E8&lt;&gt;"",$E8&lt;=EOMONTH(P$3,0),$F8&gt;=P$3),IF(AND($G8&lt;&gt;"",$G8&lt;=EOMONTH(P$3,0),$H8&gt;=P$3),"B","U"),IF(AND($G8&lt;&gt;"",$G8&lt;=EOMONTH(P$3,0),$H8&gt;=P$3),"D","")))</f>
        <v/>
      </c>
      <c r="Q8" s="214">
        <f>IF($AH8="","",IF(AND($E8&lt;&gt;"",$E8&lt;=EOMONTH(Q$3,0),$F8&gt;=Q$3),IF(AND($G8&lt;&gt;"",$G8&lt;=EOMONTH(Q$3,0),$H8&gt;=Q$3),"B","U"),IF(AND($G8&lt;&gt;"",$G8&lt;=EOMONTH(Q$3,0),$H8&gt;=Q$3),"D","")))</f>
        <v/>
      </c>
      <c r="R8" s="214">
        <f>IF($AH8="","",IF(AND($E8&lt;&gt;"",$E8&lt;=EOMONTH(R$3,0),$F8&gt;=R$3),IF(AND($G8&lt;&gt;"",$G8&lt;=EOMONTH(R$3,0),$H8&gt;=R$3),"B","U"),IF(AND($G8&lt;&gt;"",$G8&lt;=EOMONTH(R$3,0),$H8&gt;=R$3),"D","")))</f>
        <v/>
      </c>
      <c r="S8" s="214">
        <f>IF($AH8="","",IF(AND($E8&lt;&gt;"",$E8&lt;=EOMONTH(S$3,0),$F8&gt;=S$3),IF(AND($G8&lt;&gt;"",$G8&lt;=EOMONTH(S$3,0),$H8&gt;=S$3),"B","U"),IF(AND($G8&lt;&gt;"",$G8&lt;=EOMONTH(S$3,0),$H8&gt;=S$3),"D","")))</f>
        <v/>
      </c>
      <c r="T8" s="214">
        <f>IF($AH8="","",IF(AND($E8&lt;&gt;"",$E8&lt;=EOMONTH(T$3,0),$F8&gt;=T$3),IF(AND($G8&lt;&gt;"",$G8&lt;=EOMONTH(T$3,0),$H8&gt;=T$3),"B","U"),IF(AND($G8&lt;&gt;"",$G8&lt;=EOMONTH(T$3,0),$H8&gt;=T$3),"D","")))</f>
        <v/>
      </c>
      <c r="U8" s="214">
        <f>IF($AH8="","",IF(AND($E8&lt;&gt;"",$E8&lt;=EOMONTH(U$3,0),$F8&gt;=U$3),IF(AND($G8&lt;&gt;"",$G8&lt;=EOMONTH(U$3,0),$H8&gt;=U$3),"B","U"),IF(AND($G8&lt;&gt;"",$G8&lt;=EOMONTH(U$3,0),$H8&gt;=U$3),"D","")))</f>
        <v/>
      </c>
      <c r="V8" s="214">
        <f>IF($AH8="","",IF(AND($E8&lt;&gt;"",$E8&lt;=EOMONTH(V$3,0),$F8&gt;=V$3),IF(AND($G8&lt;&gt;"",$G8&lt;=EOMONTH(V$3,0),$H8&gt;=V$3),"B","U"),IF(AND($G8&lt;&gt;"",$G8&lt;=EOMONTH(V$3,0),$H8&gt;=V$3),"D","")))</f>
        <v/>
      </c>
      <c r="W8" s="214">
        <f>IF($AH8="","",IF(AND($E8&lt;&gt;"",$E8&lt;=EOMONTH(W$3,0),$F8&gt;=W$3),IF(AND($G8&lt;&gt;"",$G8&lt;=EOMONTH(W$3,0),$H8&gt;=W$3),"B","U"),IF(AND($G8&lt;&gt;"",$G8&lt;=EOMONTH(W$3,0),$H8&gt;=W$3),"D","")))</f>
        <v/>
      </c>
      <c r="X8" s="214">
        <f>IF($AH8="","",IF(AND($E8&lt;&gt;"",$E8&lt;=EOMONTH(X$3,0),$F8&gt;=X$3),IF(AND($G8&lt;&gt;"",$G8&lt;=EOMONTH(X$3,0),$H8&gt;=X$3),"B","U"),IF(AND($G8&lt;&gt;"",$G8&lt;=EOMONTH(X$3,0),$H8&gt;=X$3),"D","")))</f>
        <v/>
      </c>
      <c r="Y8" s="214">
        <f>IF($AH8="","",IF(AND($E8&lt;&gt;"",$E8&lt;=EOMONTH(Y$3,0),$F8&gt;=Y$3),IF(AND($G8&lt;&gt;"",$G8&lt;=EOMONTH(Y$3,0),$H8&gt;=Y$3),"B","U"),IF(AND($G8&lt;&gt;"",$G8&lt;=EOMONTH(Y$3,0),$H8&gt;=Y$3),"D","")))</f>
        <v/>
      </c>
      <c r="Z8" s="214">
        <f>IF($AH8="","",IF(AND($E8&lt;&gt;"",$E8&lt;=EOMONTH(Z$3,0),$F8&gt;=Z$3),IF(AND($G8&lt;&gt;"",$G8&lt;=EOMONTH(Z$3,0),$H8&gt;=Z$3),"B","U"),IF(AND($G8&lt;&gt;"",$G8&lt;=EOMONTH(Z$3,0),$H8&gt;=Z$3),"D","")))</f>
        <v/>
      </c>
      <c r="AA8" s="214">
        <f>IF($AH8="","",IF(AND($E8&lt;&gt;"",$E8&lt;=EOMONTH(AA$3,0),$F8&gt;=AA$3),IF(AND($G8&lt;&gt;"",$G8&lt;=EOMONTH(AA$3,0),$H8&gt;=AA$3),"B","U"),IF(AND($G8&lt;&gt;"",$G8&lt;=EOMONTH(AA$3,0),$H8&gt;=AA$3),"D","")))</f>
        <v/>
      </c>
      <c r="AB8" s="214">
        <f>IF($AH8="","",IF(AND($E8&lt;&gt;"",$E8&lt;=EOMONTH(AB$3,0),$F8&gt;=AB$3),IF(AND($G8&lt;&gt;"",$G8&lt;=EOMONTH(AB$3,0),$H8&gt;=AB$3),"B","U"),IF(AND($G8&lt;&gt;"",$G8&lt;=EOMONTH(AB$3,0),$H8&gt;=AB$3),"D","")))</f>
        <v/>
      </c>
      <c r="AC8" s="214">
        <f>IF($AH8="","",IF(AND($E8&lt;&gt;"",$E8&lt;=EOMONTH(AC$3,0),$F8&gt;=AC$3),IF(AND($G8&lt;&gt;"",$G8&lt;=EOMONTH(AC$3,0),$H8&gt;=AC$3),"B","U"),IF(AND($G8&lt;&gt;"",$G8&lt;=EOMONTH(AC$3,0),$H8&gt;=AC$3),"D","")))</f>
        <v/>
      </c>
      <c r="AD8" s="214">
        <f>IF($AH8="","",IF(AND($E8&lt;&gt;"",$E8&lt;=EOMONTH(AD$3,0),$F8&gt;=AD$3),IF(AND($G8&lt;&gt;"",$G8&lt;=EOMONTH(AD$3,0),$H8&gt;=AD$3),"B","U"),IF(AND($G8&lt;&gt;"",$G8&lt;=EOMONTH(AD$3,0),$H8&gt;=AD$3),"D","")))</f>
        <v/>
      </c>
      <c r="AE8" s="214">
        <f>IF($AH8="","",IF(AND($E8&lt;&gt;"",$E8&lt;=EOMONTH(AE$3,0),$F8&gt;=AE$3),IF(AND($G8&lt;&gt;"",$G8&lt;=EOMONTH(AE$3,0),$H8&gt;=AE$3),"B","U"),IF(AND($G8&lt;&gt;"",$G8&lt;=EOMONTH(AE$3,0),$H8&gt;=AE$3),"D","")))</f>
        <v/>
      </c>
      <c r="AF8" s="214">
        <f>IF($AH8="","",IF(AND($E8&lt;&gt;"",$E8&lt;=EOMONTH(AF$3,0),$F8&gt;=AF$3),IF(AND($G8&lt;&gt;"",$G8&lt;=EOMONTH(AF$3,0),$H8&gt;=AF$3),"B","U"),IF(AND($G8&lt;&gt;"",$G8&lt;=EOMONTH(AF$3,0),$H8&gt;=AF$3),"D","")))</f>
        <v/>
      </c>
      <c r="AG8">
        <f>IF($AH8="","",INDEX('Roadmap Calc (Don’t Touch)'!$D$2:$D$205,$AH8))</f>
        <v/>
      </c>
      <c r="AH8">
        <f>IFERROR(MATCH(2,'Roadmap Calc (Don’t Touch)'!$O$2:$O$205,0),"")</f>
        <v/>
      </c>
    </row>
    <row r="9" ht="17" customHeight="1">
      <c r="A9" s="209">
        <f>IF($AH9="","",IF($AG9=$AG8,"",$AG9))</f>
        <v/>
      </c>
      <c r="B9" s="210">
        <f>IF($AH9="","",INDEX('Roadmap Calc (Don’t Touch)'!$B$2:$B$205,$AH9))</f>
        <v/>
      </c>
      <c r="C9" s="211">
        <f>IF($AH9="","",INDEX('Roadmap Calc (Don’t Touch)'!$E$2:$E$205,$AH9))</f>
        <v/>
      </c>
      <c r="D9" s="212">
        <f>IF($AH9="","",INDEX('Roadmap Calc (Don’t Touch)'!$F$2:$F$205,$AH9))</f>
        <v/>
      </c>
      <c r="E9" s="213">
        <f>IF($AH9="","",INDEX('Roadmap Calc (Don’t Touch)'!$G$2:$G$205,$AH9))</f>
        <v/>
      </c>
      <c r="F9" s="213">
        <f>IF($AH9="","",INDEX('Roadmap Calc (Don’t Touch)'!$H$2:$H$205,$AH9))</f>
        <v/>
      </c>
      <c r="G9" s="213">
        <f>IF($AH9="","",INDEX('Roadmap Calc (Don’t Touch)'!$I$2:$I$205,$AH9))</f>
        <v/>
      </c>
      <c r="H9" s="213">
        <f>IF($AH9="","",INDEX('Roadmap Calc (Don’t Touch)'!$J$2:$J$205,$AH9))</f>
        <v/>
      </c>
      <c r="I9" s="214">
        <f>IF($AH9="","",IF(AND($E9&lt;&gt;"",$E9&lt;=EOMONTH(I$3,0),$F9&gt;=I$3),IF(AND($G9&lt;&gt;"",$G9&lt;=EOMONTH(I$3,0),$H9&gt;=I$3),"B","U"),IF(AND($G9&lt;&gt;"",$G9&lt;=EOMONTH(I$3,0),$H9&gt;=I$3),"D","")))</f>
        <v/>
      </c>
      <c r="J9" s="214">
        <f>IF($AH9="","",IF(AND($E9&lt;&gt;"",$E9&lt;=EOMONTH(J$3,0),$F9&gt;=J$3),IF(AND($G9&lt;&gt;"",$G9&lt;=EOMONTH(J$3,0),$H9&gt;=J$3),"B","U"),IF(AND($G9&lt;&gt;"",$G9&lt;=EOMONTH(J$3,0),$H9&gt;=J$3),"D","")))</f>
        <v/>
      </c>
      <c r="K9" s="214">
        <f>IF($AH9="","",IF(AND($E9&lt;&gt;"",$E9&lt;=EOMONTH(K$3,0),$F9&gt;=K$3),IF(AND($G9&lt;&gt;"",$G9&lt;=EOMONTH(K$3,0),$H9&gt;=K$3),"B","U"),IF(AND($G9&lt;&gt;"",$G9&lt;=EOMONTH(K$3,0),$H9&gt;=K$3),"D","")))</f>
        <v/>
      </c>
      <c r="L9" s="214">
        <f>IF($AH9="","",IF(AND($E9&lt;&gt;"",$E9&lt;=EOMONTH(L$3,0),$F9&gt;=L$3),IF(AND($G9&lt;&gt;"",$G9&lt;=EOMONTH(L$3,0),$H9&gt;=L$3),"B","U"),IF(AND($G9&lt;&gt;"",$G9&lt;=EOMONTH(L$3,0),$H9&gt;=L$3),"D","")))</f>
        <v/>
      </c>
      <c r="M9" s="214">
        <f>IF($AH9="","",IF(AND($E9&lt;&gt;"",$E9&lt;=EOMONTH(M$3,0),$F9&gt;=M$3),IF(AND($G9&lt;&gt;"",$G9&lt;=EOMONTH(M$3,0),$H9&gt;=M$3),"B","U"),IF(AND($G9&lt;&gt;"",$G9&lt;=EOMONTH(M$3,0),$H9&gt;=M$3),"D","")))</f>
        <v/>
      </c>
      <c r="N9" s="214">
        <f>IF($AH9="","",IF(AND($E9&lt;&gt;"",$E9&lt;=EOMONTH(N$3,0),$F9&gt;=N$3),IF(AND($G9&lt;&gt;"",$G9&lt;=EOMONTH(N$3,0),$H9&gt;=N$3),"B","U"),IF(AND($G9&lt;&gt;"",$G9&lt;=EOMONTH(N$3,0),$H9&gt;=N$3),"D","")))</f>
        <v/>
      </c>
      <c r="O9" s="214">
        <f>IF($AH9="","",IF(AND($E9&lt;&gt;"",$E9&lt;=EOMONTH(O$3,0),$F9&gt;=O$3),IF(AND($G9&lt;&gt;"",$G9&lt;=EOMONTH(O$3,0),$H9&gt;=O$3),"B","U"),IF(AND($G9&lt;&gt;"",$G9&lt;=EOMONTH(O$3,0),$H9&gt;=O$3),"D","")))</f>
        <v/>
      </c>
      <c r="P9" s="214">
        <f>IF($AH9="","",IF(AND($E9&lt;&gt;"",$E9&lt;=EOMONTH(P$3,0),$F9&gt;=P$3),IF(AND($G9&lt;&gt;"",$G9&lt;=EOMONTH(P$3,0),$H9&gt;=P$3),"B","U"),IF(AND($G9&lt;&gt;"",$G9&lt;=EOMONTH(P$3,0),$H9&gt;=P$3),"D","")))</f>
        <v/>
      </c>
      <c r="Q9" s="214">
        <f>IF($AH9="","",IF(AND($E9&lt;&gt;"",$E9&lt;=EOMONTH(Q$3,0),$F9&gt;=Q$3),IF(AND($G9&lt;&gt;"",$G9&lt;=EOMONTH(Q$3,0),$H9&gt;=Q$3),"B","U"),IF(AND($G9&lt;&gt;"",$G9&lt;=EOMONTH(Q$3,0),$H9&gt;=Q$3),"D","")))</f>
        <v/>
      </c>
      <c r="R9" s="214">
        <f>IF($AH9="","",IF(AND($E9&lt;&gt;"",$E9&lt;=EOMONTH(R$3,0),$F9&gt;=R$3),IF(AND($G9&lt;&gt;"",$G9&lt;=EOMONTH(R$3,0),$H9&gt;=R$3),"B","U"),IF(AND($G9&lt;&gt;"",$G9&lt;=EOMONTH(R$3,0),$H9&gt;=R$3),"D","")))</f>
        <v/>
      </c>
      <c r="S9" s="214">
        <f>IF($AH9="","",IF(AND($E9&lt;&gt;"",$E9&lt;=EOMONTH(S$3,0),$F9&gt;=S$3),IF(AND($G9&lt;&gt;"",$G9&lt;=EOMONTH(S$3,0),$H9&gt;=S$3),"B","U"),IF(AND($G9&lt;&gt;"",$G9&lt;=EOMONTH(S$3,0),$H9&gt;=S$3),"D","")))</f>
        <v/>
      </c>
      <c r="T9" s="214">
        <f>IF($AH9="","",IF(AND($E9&lt;&gt;"",$E9&lt;=EOMONTH(T$3,0),$F9&gt;=T$3),IF(AND($G9&lt;&gt;"",$G9&lt;=EOMONTH(T$3,0),$H9&gt;=T$3),"B","U"),IF(AND($G9&lt;&gt;"",$G9&lt;=EOMONTH(T$3,0),$H9&gt;=T$3),"D","")))</f>
        <v/>
      </c>
      <c r="U9" s="214">
        <f>IF($AH9="","",IF(AND($E9&lt;&gt;"",$E9&lt;=EOMONTH(U$3,0),$F9&gt;=U$3),IF(AND($G9&lt;&gt;"",$G9&lt;=EOMONTH(U$3,0),$H9&gt;=U$3),"B","U"),IF(AND($G9&lt;&gt;"",$G9&lt;=EOMONTH(U$3,0),$H9&gt;=U$3),"D","")))</f>
        <v/>
      </c>
      <c r="V9" s="214">
        <f>IF($AH9="","",IF(AND($E9&lt;&gt;"",$E9&lt;=EOMONTH(V$3,0),$F9&gt;=V$3),IF(AND($G9&lt;&gt;"",$G9&lt;=EOMONTH(V$3,0),$H9&gt;=V$3),"B","U"),IF(AND($G9&lt;&gt;"",$G9&lt;=EOMONTH(V$3,0),$H9&gt;=V$3),"D","")))</f>
        <v/>
      </c>
      <c r="W9" s="214">
        <f>IF($AH9="","",IF(AND($E9&lt;&gt;"",$E9&lt;=EOMONTH(W$3,0),$F9&gt;=W$3),IF(AND($G9&lt;&gt;"",$G9&lt;=EOMONTH(W$3,0),$H9&gt;=W$3),"B","U"),IF(AND($G9&lt;&gt;"",$G9&lt;=EOMONTH(W$3,0),$H9&gt;=W$3),"D","")))</f>
        <v/>
      </c>
      <c r="X9" s="214">
        <f>IF($AH9="","",IF(AND($E9&lt;&gt;"",$E9&lt;=EOMONTH(X$3,0),$F9&gt;=X$3),IF(AND($G9&lt;&gt;"",$G9&lt;=EOMONTH(X$3,0),$H9&gt;=X$3),"B","U"),IF(AND($G9&lt;&gt;"",$G9&lt;=EOMONTH(X$3,0),$H9&gt;=X$3),"D","")))</f>
        <v/>
      </c>
      <c r="Y9" s="214">
        <f>IF($AH9="","",IF(AND($E9&lt;&gt;"",$E9&lt;=EOMONTH(Y$3,0),$F9&gt;=Y$3),IF(AND($G9&lt;&gt;"",$G9&lt;=EOMONTH(Y$3,0),$H9&gt;=Y$3),"B","U"),IF(AND($G9&lt;&gt;"",$G9&lt;=EOMONTH(Y$3,0),$H9&gt;=Y$3),"D","")))</f>
        <v/>
      </c>
      <c r="Z9" s="214">
        <f>IF($AH9="","",IF(AND($E9&lt;&gt;"",$E9&lt;=EOMONTH(Z$3,0),$F9&gt;=Z$3),IF(AND($G9&lt;&gt;"",$G9&lt;=EOMONTH(Z$3,0),$H9&gt;=Z$3),"B","U"),IF(AND($G9&lt;&gt;"",$G9&lt;=EOMONTH(Z$3,0),$H9&gt;=Z$3),"D","")))</f>
        <v/>
      </c>
      <c r="AA9" s="214">
        <f>IF($AH9="","",IF(AND($E9&lt;&gt;"",$E9&lt;=EOMONTH(AA$3,0),$F9&gt;=AA$3),IF(AND($G9&lt;&gt;"",$G9&lt;=EOMONTH(AA$3,0),$H9&gt;=AA$3),"B","U"),IF(AND($G9&lt;&gt;"",$G9&lt;=EOMONTH(AA$3,0),$H9&gt;=AA$3),"D","")))</f>
        <v/>
      </c>
      <c r="AB9" s="214">
        <f>IF($AH9="","",IF(AND($E9&lt;&gt;"",$E9&lt;=EOMONTH(AB$3,0),$F9&gt;=AB$3),IF(AND($G9&lt;&gt;"",$G9&lt;=EOMONTH(AB$3,0),$H9&gt;=AB$3),"B","U"),IF(AND($G9&lt;&gt;"",$G9&lt;=EOMONTH(AB$3,0),$H9&gt;=AB$3),"D","")))</f>
        <v/>
      </c>
      <c r="AC9" s="214">
        <f>IF($AH9="","",IF(AND($E9&lt;&gt;"",$E9&lt;=EOMONTH(AC$3,0),$F9&gt;=AC$3),IF(AND($G9&lt;&gt;"",$G9&lt;=EOMONTH(AC$3,0),$H9&gt;=AC$3),"B","U"),IF(AND($G9&lt;&gt;"",$G9&lt;=EOMONTH(AC$3,0),$H9&gt;=AC$3),"D","")))</f>
        <v/>
      </c>
      <c r="AD9" s="214">
        <f>IF($AH9="","",IF(AND($E9&lt;&gt;"",$E9&lt;=EOMONTH(AD$3,0),$F9&gt;=AD$3),IF(AND($G9&lt;&gt;"",$G9&lt;=EOMONTH(AD$3,0),$H9&gt;=AD$3),"B","U"),IF(AND($G9&lt;&gt;"",$G9&lt;=EOMONTH(AD$3,0),$H9&gt;=AD$3),"D","")))</f>
        <v/>
      </c>
      <c r="AE9" s="214">
        <f>IF($AH9="","",IF(AND($E9&lt;&gt;"",$E9&lt;=EOMONTH(AE$3,0),$F9&gt;=AE$3),IF(AND($G9&lt;&gt;"",$G9&lt;=EOMONTH(AE$3,0),$H9&gt;=AE$3),"B","U"),IF(AND($G9&lt;&gt;"",$G9&lt;=EOMONTH(AE$3,0),$H9&gt;=AE$3),"D","")))</f>
        <v/>
      </c>
      <c r="AF9" s="214">
        <f>IF($AH9="","",IF(AND($E9&lt;&gt;"",$E9&lt;=EOMONTH(AF$3,0),$F9&gt;=AF$3),IF(AND($G9&lt;&gt;"",$G9&lt;=EOMONTH(AF$3,0),$H9&gt;=AF$3),"B","U"),IF(AND($G9&lt;&gt;"",$G9&lt;=EOMONTH(AF$3,0),$H9&gt;=AF$3),"D","")))</f>
        <v/>
      </c>
      <c r="AG9">
        <f>IF($AH9="","",INDEX('Roadmap Calc (Don’t Touch)'!$D$2:$D$205,$AH9))</f>
        <v/>
      </c>
      <c r="AH9">
        <f>IFERROR(MATCH(3,'Roadmap Calc (Don’t Touch)'!$O$2:$O$205,0),"")</f>
        <v/>
      </c>
    </row>
    <row r="10" ht="17" customHeight="1">
      <c r="A10" s="209">
        <f>IF($AH10="","",IF($AG10=$AG9,"",$AG10))</f>
        <v/>
      </c>
      <c r="B10" s="210">
        <f>IF($AH10="","",INDEX('Roadmap Calc (Don’t Touch)'!$B$2:$B$205,$AH10))</f>
        <v/>
      </c>
      <c r="C10" s="211">
        <f>IF($AH10="","",INDEX('Roadmap Calc (Don’t Touch)'!$E$2:$E$205,$AH10))</f>
        <v/>
      </c>
      <c r="D10" s="212">
        <f>IF($AH10="","",INDEX('Roadmap Calc (Don’t Touch)'!$F$2:$F$205,$AH10))</f>
        <v/>
      </c>
      <c r="E10" s="213">
        <f>IF($AH10="","",INDEX('Roadmap Calc (Don’t Touch)'!$G$2:$G$205,$AH10))</f>
        <v/>
      </c>
      <c r="F10" s="213">
        <f>IF($AH10="","",INDEX('Roadmap Calc (Don’t Touch)'!$H$2:$H$205,$AH10))</f>
        <v/>
      </c>
      <c r="G10" s="213">
        <f>IF($AH10="","",INDEX('Roadmap Calc (Don’t Touch)'!$I$2:$I$205,$AH10))</f>
        <v/>
      </c>
      <c r="H10" s="213">
        <f>IF($AH10="","",INDEX('Roadmap Calc (Don’t Touch)'!$J$2:$J$205,$AH10))</f>
        <v/>
      </c>
      <c r="I10" s="214">
        <f>IF($AH10="","",IF(AND($E10&lt;&gt;"",$E10&lt;=EOMONTH(I$3,0),$F10&gt;=I$3),IF(AND($G10&lt;&gt;"",$G10&lt;=EOMONTH(I$3,0),$H10&gt;=I$3),"B","U"),IF(AND($G10&lt;&gt;"",$G10&lt;=EOMONTH(I$3,0),$H10&gt;=I$3),"D","")))</f>
        <v/>
      </c>
      <c r="J10" s="214">
        <f>IF($AH10="","",IF(AND($E10&lt;&gt;"",$E10&lt;=EOMONTH(J$3,0),$F10&gt;=J$3),IF(AND($G10&lt;&gt;"",$G10&lt;=EOMONTH(J$3,0),$H10&gt;=J$3),"B","U"),IF(AND($G10&lt;&gt;"",$G10&lt;=EOMONTH(J$3,0),$H10&gt;=J$3),"D","")))</f>
        <v/>
      </c>
      <c r="K10" s="214">
        <f>IF($AH10="","",IF(AND($E10&lt;&gt;"",$E10&lt;=EOMONTH(K$3,0),$F10&gt;=K$3),IF(AND($G10&lt;&gt;"",$G10&lt;=EOMONTH(K$3,0),$H10&gt;=K$3),"B","U"),IF(AND($G10&lt;&gt;"",$G10&lt;=EOMONTH(K$3,0),$H10&gt;=K$3),"D","")))</f>
        <v/>
      </c>
      <c r="L10" s="214">
        <f>IF($AH10="","",IF(AND($E10&lt;&gt;"",$E10&lt;=EOMONTH(L$3,0),$F10&gt;=L$3),IF(AND($G10&lt;&gt;"",$G10&lt;=EOMONTH(L$3,0),$H10&gt;=L$3),"B","U"),IF(AND($G10&lt;&gt;"",$G10&lt;=EOMONTH(L$3,0),$H10&gt;=L$3),"D","")))</f>
        <v/>
      </c>
      <c r="M10" s="214">
        <f>IF($AH10="","",IF(AND($E10&lt;&gt;"",$E10&lt;=EOMONTH(M$3,0),$F10&gt;=M$3),IF(AND($G10&lt;&gt;"",$G10&lt;=EOMONTH(M$3,0),$H10&gt;=M$3),"B","U"),IF(AND($G10&lt;&gt;"",$G10&lt;=EOMONTH(M$3,0),$H10&gt;=M$3),"D","")))</f>
        <v/>
      </c>
      <c r="N10" s="214">
        <f>IF($AH10="","",IF(AND($E10&lt;&gt;"",$E10&lt;=EOMONTH(N$3,0),$F10&gt;=N$3),IF(AND($G10&lt;&gt;"",$G10&lt;=EOMONTH(N$3,0),$H10&gt;=N$3),"B","U"),IF(AND($G10&lt;&gt;"",$G10&lt;=EOMONTH(N$3,0),$H10&gt;=N$3),"D","")))</f>
        <v/>
      </c>
      <c r="O10" s="214">
        <f>IF($AH10="","",IF(AND($E10&lt;&gt;"",$E10&lt;=EOMONTH(O$3,0),$F10&gt;=O$3),IF(AND($G10&lt;&gt;"",$G10&lt;=EOMONTH(O$3,0),$H10&gt;=O$3),"B","U"),IF(AND($G10&lt;&gt;"",$G10&lt;=EOMONTH(O$3,0),$H10&gt;=O$3),"D","")))</f>
        <v/>
      </c>
      <c r="P10" s="214">
        <f>IF($AH10="","",IF(AND($E10&lt;&gt;"",$E10&lt;=EOMONTH(P$3,0),$F10&gt;=P$3),IF(AND($G10&lt;&gt;"",$G10&lt;=EOMONTH(P$3,0),$H10&gt;=P$3),"B","U"),IF(AND($G10&lt;&gt;"",$G10&lt;=EOMONTH(P$3,0),$H10&gt;=P$3),"D","")))</f>
        <v/>
      </c>
      <c r="Q10" s="214">
        <f>IF($AH10="","",IF(AND($E10&lt;&gt;"",$E10&lt;=EOMONTH(Q$3,0),$F10&gt;=Q$3),IF(AND($G10&lt;&gt;"",$G10&lt;=EOMONTH(Q$3,0),$H10&gt;=Q$3),"B","U"),IF(AND($G10&lt;&gt;"",$G10&lt;=EOMONTH(Q$3,0),$H10&gt;=Q$3),"D","")))</f>
        <v/>
      </c>
      <c r="R10" s="214">
        <f>IF($AH10="","",IF(AND($E10&lt;&gt;"",$E10&lt;=EOMONTH(R$3,0),$F10&gt;=R$3),IF(AND($G10&lt;&gt;"",$G10&lt;=EOMONTH(R$3,0),$H10&gt;=R$3),"B","U"),IF(AND($G10&lt;&gt;"",$G10&lt;=EOMONTH(R$3,0),$H10&gt;=R$3),"D","")))</f>
        <v/>
      </c>
      <c r="S10" s="214">
        <f>IF($AH10="","",IF(AND($E10&lt;&gt;"",$E10&lt;=EOMONTH(S$3,0),$F10&gt;=S$3),IF(AND($G10&lt;&gt;"",$G10&lt;=EOMONTH(S$3,0),$H10&gt;=S$3),"B","U"),IF(AND($G10&lt;&gt;"",$G10&lt;=EOMONTH(S$3,0),$H10&gt;=S$3),"D","")))</f>
        <v/>
      </c>
      <c r="T10" s="214">
        <f>IF($AH10="","",IF(AND($E10&lt;&gt;"",$E10&lt;=EOMONTH(T$3,0),$F10&gt;=T$3),IF(AND($G10&lt;&gt;"",$G10&lt;=EOMONTH(T$3,0),$H10&gt;=T$3),"B","U"),IF(AND($G10&lt;&gt;"",$G10&lt;=EOMONTH(T$3,0),$H10&gt;=T$3),"D","")))</f>
        <v/>
      </c>
      <c r="U10" s="214">
        <f>IF($AH10="","",IF(AND($E10&lt;&gt;"",$E10&lt;=EOMONTH(U$3,0),$F10&gt;=U$3),IF(AND($G10&lt;&gt;"",$G10&lt;=EOMONTH(U$3,0),$H10&gt;=U$3),"B","U"),IF(AND($G10&lt;&gt;"",$G10&lt;=EOMONTH(U$3,0),$H10&gt;=U$3),"D","")))</f>
        <v/>
      </c>
      <c r="V10" s="214">
        <f>IF($AH10="","",IF(AND($E10&lt;&gt;"",$E10&lt;=EOMONTH(V$3,0),$F10&gt;=V$3),IF(AND($G10&lt;&gt;"",$G10&lt;=EOMONTH(V$3,0),$H10&gt;=V$3),"B","U"),IF(AND($G10&lt;&gt;"",$G10&lt;=EOMONTH(V$3,0),$H10&gt;=V$3),"D","")))</f>
        <v/>
      </c>
      <c r="W10" s="214">
        <f>IF($AH10="","",IF(AND($E10&lt;&gt;"",$E10&lt;=EOMONTH(W$3,0),$F10&gt;=W$3),IF(AND($G10&lt;&gt;"",$G10&lt;=EOMONTH(W$3,0),$H10&gt;=W$3),"B","U"),IF(AND($G10&lt;&gt;"",$G10&lt;=EOMONTH(W$3,0),$H10&gt;=W$3),"D","")))</f>
        <v/>
      </c>
      <c r="X10" s="214">
        <f>IF($AH10="","",IF(AND($E10&lt;&gt;"",$E10&lt;=EOMONTH(X$3,0),$F10&gt;=X$3),IF(AND($G10&lt;&gt;"",$G10&lt;=EOMONTH(X$3,0),$H10&gt;=X$3),"B","U"),IF(AND($G10&lt;&gt;"",$G10&lt;=EOMONTH(X$3,0),$H10&gt;=X$3),"D","")))</f>
        <v/>
      </c>
      <c r="Y10" s="214">
        <f>IF($AH10="","",IF(AND($E10&lt;&gt;"",$E10&lt;=EOMONTH(Y$3,0),$F10&gt;=Y$3),IF(AND($G10&lt;&gt;"",$G10&lt;=EOMONTH(Y$3,0),$H10&gt;=Y$3),"B","U"),IF(AND($G10&lt;&gt;"",$G10&lt;=EOMONTH(Y$3,0),$H10&gt;=Y$3),"D","")))</f>
        <v/>
      </c>
      <c r="Z10" s="214">
        <f>IF($AH10="","",IF(AND($E10&lt;&gt;"",$E10&lt;=EOMONTH(Z$3,0),$F10&gt;=Z$3),IF(AND($G10&lt;&gt;"",$G10&lt;=EOMONTH(Z$3,0),$H10&gt;=Z$3),"B","U"),IF(AND($G10&lt;&gt;"",$G10&lt;=EOMONTH(Z$3,0),$H10&gt;=Z$3),"D","")))</f>
        <v/>
      </c>
      <c r="AA10" s="214">
        <f>IF($AH10="","",IF(AND($E10&lt;&gt;"",$E10&lt;=EOMONTH(AA$3,0),$F10&gt;=AA$3),IF(AND($G10&lt;&gt;"",$G10&lt;=EOMONTH(AA$3,0),$H10&gt;=AA$3),"B","U"),IF(AND($G10&lt;&gt;"",$G10&lt;=EOMONTH(AA$3,0),$H10&gt;=AA$3),"D","")))</f>
        <v/>
      </c>
      <c r="AB10" s="214">
        <f>IF($AH10="","",IF(AND($E10&lt;&gt;"",$E10&lt;=EOMONTH(AB$3,0),$F10&gt;=AB$3),IF(AND($G10&lt;&gt;"",$G10&lt;=EOMONTH(AB$3,0),$H10&gt;=AB$3),"B","U"),IF(AND($G10&lt;&gt;"",$G10&lt;=EOMONTH(AB$3,0),$H10&gt;=AB$3),"D","")))</f>
        <v/>
      </c>
      <c r="AC10" s="214">
        <f>IF($AH10="","",IF(AND($E10&lt;&gt;"",$E10&lt;=EOMONTH(AC$3,0),$F10&gt;=AC$3),IF(AND($G10&lt;&gt;"",$G10&lt;=EOMONTH(AC$3,0),$H10&gt;=AC$3),"B","U"),IF(AND($G10&lt;&gt;"",$G10&lt;=EOMONTH(AC$3,0),$H10&gt;=AC$3),"D","")))</f>
        <v/>
      </c>
      <c r="AD10" s="214">
        <f>IF($AH10="","",IF(AND($E10&lt;&gt;"",$E10&lt;=EOMONTH(AD$3,0),$F10&gt;=AD$3),IF(AND($G10&lt;&gt;"",$G10&lt;=EOMONTH(AD$3,0),$H10&gt;=AD$3),"B","U"),IF(AND($G10&lt;&gt;"",$G10&lt;=EOMONTH(AD$3,0),$H10&gt;=AD$3),"D","")))</f>
        <v/>
      </c>
      <c r="AE10" s="214">
        <f>IF($AH10="","",IF(AND($E10&lt;&gt;"",$E10&lt;=EOMONTH(AE$3,0),$F10&gt;=AE$3),IF(AND($G10&lt;&gt;"",$G10&lt;=EOMONTH(AE$3,0),$H10&gt;=AE$3),"B","U"),IF(AND($G10&lt;&gt;"",$G10&lt;=EOMONTH(AE$3,0),$H10&gt;=AE$3),"D","")))</f>
        <v/>
      </c>
      <c r="AF10" s="214">
        <f>IF($AH10="","",IF(AND($E10&lt;&gt;"",$E10&lt;=EOMONTH(AF$3,0),$F10&gt;=AF$3),IF(AND($G10&lt;&gt;"",$G10&lt;=EOMONTH(AF$3,0),$H10&gt;=AF$3),"B","U"),IF(AND($G10&lt;&gt;"",$G10&lt;=EOMONTH(AF$3,0),$H10&gt;=AF$3),"D","")))</f>
        <v/>
      </c>
      <c r="AG10">
        <f>IF($AH10="","",INDEX('Roadmap Calc (Don’t Touch)'!$D$2:$D$205,$AH10))</f>
        <v/>
      </c>
      <c r="AH10">
        <f>IFERROR(MATCH(4,'Roadmap Calc (Don’t Touch)'!$O$2:$O$205,0),"")</f>
        <v/>
      </c>
    </row>
    <row r="11" ht="17" customHeight="1">
      <c r="A11" s="209">
        <f>IF($AH11="","",IF($AG11=$AG10,"",$AG11))</f>
        <v/>
      </c>
      <c r="B11" s="210">
        <f>IF($AH11="","",INDEX('Roadmap Calc (Don’t Touch)'!$B$2:$B$205,$AH11))</f>
        <v/>
      </c>
      <c r="C11" s="211">
        <f>IF($AH11="","",INDEX('Roadmap Calc (Don’t Touch)'!$E$2:$E$205,$AH11))</f>
        <v/>
      </c>
      <c r="D11" s="212">
        <f>IF($AH11="","",INDEX('Roadmap Calc (Don’t Touch)'!$F$2:$F$205,$AH11))</f>
        <v/>
      </c>
      <c r="E11" s="213">
        <f>IF($AH11="","",INDEX('Roadmap Calc (Don’t Touch)'!$G$2:$G$205,$AH11))</f>
        <v/>
      </c>
      <c r="F11" s="213">
        <f>IF($AH11="","",INDEX('Roadmap Calc (Don’t Touch)'!$H$2:$H$205,$AH11))</f>
        <v/>
      </c>
      <c r="G11" s="213">
        <f>IF($AH11="","",INDEX('Roadmap Calc (Don’t Touch)'!$I$2:$I$205,$AH11))</f>
        <v/>
      </c>
      <c r="H11" s="213">
        <f>IF($AH11="","",INDEX('Roadmap Calc (Don’t Touch)'!$J$2:$J$205,$AH11))</f>
        <v/>
      </c>
      <c r="I11" s="214">
        <f>IF($AH11="","",IF(AND($E11&lt;&gt;"",$E11&lt;=EOMONTH(I$3,0),$F11&gt;=I$3),IF(AND($G11&lt;&gt;"",$G11&lt;=EOMONTH(I$3,0),$H11&gt;=I$3),"B","U"),IF(AND($G11&lt;&gt;"",$G11&lt;=EOMONTH(I$3,0),$H11&gt;=I$3),"D","")))</f>
        <v/>
      </c>
      <c r="J11" s="214">
        <f>IF($AH11="","",IF(AND($E11&lt;&gt;"",$E11&lt;=EOMONTH(J$3,0),$F11&gt;=J$3),IF(AND($G11&lt;&gt;"",$G11&lt;=EOMONTH(J$3,0),$H11&gt;=J$3),"B","U"),IF(AND($G11&lt;&gt;"",$G11&lt;=EOMONTH(J$3,0),$H11&gt;=J$3),"D","")))</f>
        <v/>
      </c>
      <c r="K11" s="214">
        <f>IF($AH11="","",IF(AND($E11&lt;&gt;"",$E11&lt;=EOMONTH(K$3,0),$F11&gt;=K$3),IF(AND($G11&lt;&gt;"",$G11&lt;=EOMONTH(K$3,0),$H11&gt;=K$3),"B","U"),IF(AND($G11&lt;&gt;"",$G11&lt;=EOMONTH(K$3,0),$H11&gt;=K$3),"D","")))</f>
        <v/>
      </c>
      <c r="L11" s="214">
        <f>IF($AH11="","",IF(AND($E11&lt;&gt;"",$E11&lt;=EOMONTH(L$3,0),$F11&gt;=L$3),IF(AND($G11&lt;&gt;"",$G11&lt;=EOMONTH(L$3,0),$H11&gt;=L$3),"B","U"),IF(AND($G11&lt;&gt;"",$G11&lt;=EOMONTH(L$3,0),$H11&gt;=L$3),"D","")))</f>
        <v/>
      </c>
      <c r="M11" s="214">
        <f>IF($AH11="","",IF(AND($E11&lt;&gt;"",$E11&lt;=EOMONTH(M$3,0),$F11&gt;=M$3),IF(AND($G11&lt;&gt;"",$G11&lt;=EOMONTH(M$3,0),$H11&gt;=M$3),"B","U"),IF(AND($G11&lt;&gt;"",$G11&lt;=EOMONTH(M$3,0),$H11&gt;=M$3),"D","")))</f>
        <v/>
      </c>
      <c r="N11" s="214">
        <f>IF($AH11="","",IF(AND($E11&lt;&gt;"",$E11&lt;=EOMONTH(N$3,0),$F11&gt;=N$3),IF(AND($G11&lt;&gt;"",$G11&lt;=EOMONTH(N$3,0),$H11&gt;=N$3),"B","U"),IF(AND($G11&lt;&gt;"",$G11&lt;=EOMONTH(N$3,0),$H11&gt;=N$3),"D","")))</f>
        <v/>
      </c>
      <c r="O11" s="214">
        <f>IF($AH11="","",IF(AND($E11&lt;&gt;"",$E11&lt;=EOMONTH(O$3,0),$F11&gt;=O$3),IF(AND($G11&lt;&gt;"",$G11&lt;=EOMONTH(O$3,0),$H11&gt;=O$3),"B","U"),IF(AND($G11&lt;&gt;"",$G11&lt;=EOMONTH(O$3,0),$H11&gt;=O$3),"D","")))</f>
        <v/>
      </c>
      <c r="P11" s="214">
        <f>IF($AH11="","",IF(AND($E11&lt;&gt;"",$E11&lt;=EOMONTH(P$3,0),$F11&gt;=P$3),IF(AND($G11&lt;&gt;"",$G11&lt;=EOMONTH(P$3,0),$H11&gt;=P$3),"B","U"),IF(AND($G11&lt;&gt;"",$G11&lt;=EOMONTH(P$3,0),$H11&gt;=P$3),"D","")))</f>
        <v/>
      </c>
      <c r="Q11" s="214">
        <f>IF($AH11="","",IF(AND($E11&lt;&gt;"",$E11&lt;=EOMONTH(Q$3,0),$F11&gt;=Q$3),IF(AND($G11&lt;&gt;"",$G11&lt;=EOMONTH(Q$3,0),$H11&gt;=Q$3),"B","U"),IF(AND($G11&lt;&gt;"",$G11&lt;=EOMONTH(Q$3,0),$H11&gt;=Q$3),"D","")))</f>
        <v/>
      </c>
      <c r="R11" s="214">
        <f>IF($AH11="","",IF(AND($E11&lt;&gt;"",$E11&lt;=EOMONTH(R$3,0),$F11&gt;=R$3),IF(AND($G11&lt;&gt;"",$G11&lt;=EOMONTH(R$3,0),$H11&gt;=R$3),"B","U"),IF(AND($G11&lt;&gt;"",$G11&lt;=EOMONTH(R$3,0),$H11&gt;=R$3),"D","")))</f>
        <v/>
      </c>
      <c r="S11" s="214">
        <f>IF($AH11="","",IF(AND($E11&lt;&gt;"",$E11&lt;=EOMONTH(S$3,0),$F11&gt;=S$3),IF(AND($G11&lt;&gt;"",$G11&lt;=EOMONTH(S$3,0),$H11&gt;=S$3),"B","U"),IF(AND($G11&lt;&gt;"",$G11&lt;=EOMONTH(S$3,0),$H11&gt;=S$3),"D","")))</f>
        <v/>
      </c>
      <c r="T11" s="214">
        <f>IF($AH11="","",IF(AND($E11&lt;&gt;"",$E11&lt;=EOMONTH(T$3,0),$F11&gt;=T$3),IF(AND($G11&lt;&gt;"",$G11&lt;=EOMONTH(T$3,0),$H11&gt;=T$3),"B","U"),IF(AND($G11&lt;&gt;"",$G11&lt;=EOMONTH(T$3,0),$H11&gt;=T$3),"D","")))</f>
        <v/>
      </c>
      <c r="U11" s="214">
        <f>IF($AH11="","",IF(AND($E11&lt;&gt;"",$E11&lt;=EOMONTH(U$3,0),$F11&gt;=U$3),IF(AND($G11&lt;&gt;"",$G11&lt;=EOMONTH(U$3,0),$H11&gt;=U$3),"B","U"),IF(AND($G11&lt;&gt;"",$G11&lt;=EOMONTH(U$3,0),$H11&gt;=U$3),"D","")))</f>
        <v/>
      </c>
      <c r="V11" s="214">
        <f>IF($AH11="","",IF(AND($E11&lt;&gt;"",$E11&lt;=EOMONTH(V$3,0),$F11&gt;=V$3),IF(AND($G11&lt;&gt;"",$G11&lt;=EOMONTH(V$3,0),$H11&gt;=V$3),"B","U"),IF(AND($G11&lt;&gt;"",$G11&lt;=EOMONTH(V$3,0),$H11&gt;=V$3),"D","")))</f>
        <v/>
      </c>
      <c r="W11" s="214">
        <f>IF($AH11="","",IF(AND($E11&lt;&gt;"",$E11&lt;=EOMONTH(W$3,0),$F11&gt;=W$3),IF(AND($G11&lt;&gt;"",$G11&lt;=EOMONTH(W$3,0),$H11&gt;=W$3),"B","U"),IF(AND($G11&lt;&gt;"",$G11&lt;=EOMONTH(W$3,0),$H11&gt;=W$3),"D","")))</f>
        <v/>
      </c>
      <c r="X11" s="214">
        <f>IF($AH11="","",IF(AND($E11&lt;&gt;"",$E11&lt;=EOMONTH(X$3,0),$F11&gt;=X$3),IF(AND($G11&lt;&gt;"",$G11&lt;=EOMONTH(X$3,0),$H11&gt;=X$3),"B","U"),IF(AND($G11&lt;&gt;"",$G11&lt;=EOMONTH(X$3,0),$H11&gt;=X$3),"D","")))</f>
        <v/>
      </c>
      <c r="Y11" s="214">
        <f>IF($AH11="","",IF(AND($E11&lt;&gt;"",$E11&lt;=EOMONTH(Y$3,0),$F11&gt;=Y$3),IF(AND($G11&lt;&gt;"",$G11&lt;=EOMONTH(Y$3,0),$H11&gt;=Y$3),"B","U"),IF(AND($G11&lt;&gt;"",$G11&lt;=EOMONTH(Y$3,0),$H11&gt;=Y$3),"D","")))</f>
        <v/>
      </c>
      <c r="Z11" s="214">
        <f>IF($AH11="","",IF(AND($E11&lt;&gt;"",$E11&lt;=EOMONTH(Z$3,0),$F11&gt;=Z$3),IF(AND($G11&lt;&gt;"",$G11&lt;=EOMONTH(Z$3,0),$H11&gt;=Z$3),"B","U"),IF(AND($G11&lt;&gt;"",$G11&lt;=EOMONTH(Z$3,0),$H11&gt;=Z$3),"D","")))</f>
        <v/>
      </c>
      <c r="AA11" s="214">
        <f>IF($AH11="","",IF(AND($E11&lt;&gt;"",$E11&lt;=EOMONTH(AA$3,0),$F11&gt;=AA$3),IF(AND($G11&lt;&gt;"",$G11&lt;=EOMONTH(AA$3,0),$H11&gt;=AA$3),"B","U"),IF(AND($G11&lt;&gt;"",$G11&lt;=EOMONTH(AA$3,0),$H11&gt;=AA$3),"D","")))</f>
        <v/>
      </c>
      <c r="AB11" s="214">
        <f>IF($AH11="","",IF(AND($E11&lt;&gt;"",$E11&lt;=EOMONTH(AB$3,0),$F11&gt;=AB$3),IF(AND($G11&lt;&gt;"",$G11&lt;=EOMONTH(AB$3,0),$H11&gt;=AB$3),"B","U"),IF(AND($G11&lt;&gt;"",$G11&lt;=EOMONTH(AB$3,0),$H11&gt;=AB$3),"D","")))</f>
        <v/>
      </c>
      <c r="AC11" s="214">
        <f>IF($AH11="","",IF(AND($E11&lt;&gt;"",$E11&lt;=EOMONTH(AC$3,0),$F11&gt;=AC$3),IF(AND($G11&lt;&gt;"",$G11&lt;=EOMONTH(AC$3,0),$H11&gt;=AC$3),"B","U"),IF(AND($G11&lt;&gt;"",$G11&lt;=EOMONTH(AC$3,0),$H11&gt;=AC$3),"D","")))</f>
        <v/>
      </c>
      <c r="AD11" s="214">
        <f>IF($AH11="","",IF(AND($E11&lt;&gt;"",$E11&lt;=EOMONTH(AD$3,0),$F11&gt;=AD$3),IF(AND($G11&lt;&gt;"",$G11&lt;=EOMONTH(AD$3,0),$H11&gt;=AD$3),"B","U"),IF(AND($G11&lt;&gt;"",$G11&lt;=EOMONTH(AD$3,0),$H11&gt;=AD$3),"D","")))</f>
        <v/>
      </c>
      <c r="AE11" s="214">
        <f>IF($AH11="","",IF(AND($E11&lt;&gt;"",$E11&lt;=EOMONTH(AE$3,0),$F11&gt;=AE$3),IF(AND($G11&lt;&gt;"",$G11&lt;=EOMONTH(AE$3,0),$H11&gt;=AE$3),"B","U"),IF(AND($G11&lt;&gt;"",$G11&lt;=EOMONTH(AE$3,0),$H11&gt;=AE$3),"D","")))</f>
        <v/>
      </c>
      <c r="AF11" s="214">
        <f>IF($AH11="","",IF(AND($E11&lt;&gt;"",$E11&lt;=EOMONTH(AF$3,0),$F11&gt;=AF$3),IF(AND($G11&lt;&gt;"",$G11&lt;=EOMONTH(AF$3,0),$H11&gt;=AF$3),"B","U"),IF(AND($G11&lt;&gt;"",$G11&lt;=EOMONTH(AF$3,0),$H11&gt;=AF$3),"D","")))</f>
        <v/>
      </c>
      <c r="AG11">
        <f>IF($AH11="","",INDEX('Roadmap Calc (Don’t Touch)'!$D$2:$D$205,$AH11))</f>
        <v/>
      </c>
      <c r="AH11">
        <f>IFERROR(MATCH(5,'Roadmap Calc (Don’t Touch)'!$O$2:$O$205,0),"")</f>
        <v/>
      </c>
    </row>
    <row r="12" ht="17" customHeight="1">
      <c r="A12" s="209">
        <f>IF($AH12="","",IF($AG12=$AG11,"",$AG12))</f>
        <v/>
      </c>
      <c r="B12" s="210">
        <f>IF($AH12="","",INDEX('Roadmap Calc (Don’t Touch)'!$B$2:$B$205,$AH12))</f>
        <v/>
      </c>
      <c r="C12" s="211">
        <f>IF($AH12="","",INDEX('Roadmap Calc (Don’t Touch)'!$E$2:$E$205,$AH12))</f>
        <v/>
      </c>
      <c r="D12" s="212">
        <f>IF($AH12="","",INDEX('Roadmap Calc (Don’t Touch)'!$F$2:$F$205,$AH12))</f>
        <v/>
      </c>
      <c r="E12" s="213">
        <f>IF($AH12="","",INDEX('Roadmap Calc (Don’t Touch)'!$G$2:$G$205,$AH12))</f>
        <v/>
      </c>
      <c r="F12" s="213">
        <f>IF($AH12="","",INDEX('Roadmap Calc (Don’t Touch)'!$H$2:$H$205,$AH12))</f>
        <v/>
      </c>
      <c r="G12" s="213">
        <f>IF($AH12="","",INDEX('Roadmap Calc (Don’t Touch)'!$I$2:$I$205,$AH12))</f>
        <v/>
      </c>
      <c r="H12" s="213">
        <f>IF($AH12="","",INDEX('Roadmap Calc (Don’t Touch)'!$J$2:$J$205,$AH12))</f>
        <v/>
      </c>
      <c r="I12" s="214">
        <f>IF($AH12="","",IF(AND($E12&lt;&gt;"",$E12&lt;=EOMONTH(I$3,0),$F12&gt;=I$3),IF(AND($G12&lt;&gt;"",$G12&lt;=EOMONTH(I$3,0),$H12&gt;=I$3),"B","U"),IF(AND($G12&lt;&gt;"",$G12&lt;=EOMONTH(I$3,0),$H12&gt;=I$3),"D","")))</f>
        <v/>
      </c>
      <c r="J12" s="214">
        <f>IF($AH12="","",IF(AND($E12&lt;&gt;"",$E12&lt;=EOMONTH(J$3,0),$F12&gt;=J$3),IF(AND($G12&lt;&gt;"",$G12&lt;=EOMONTH(J$3,0),$H12&gt;=J$3),"B","U"),IF(AND($G12&lt;&gt;"",$G12&lt;=EOMONTH(J$3,0),$H12&gt;=J$3),"D","")))</f>
        <v/>
      </c>
      <c r="K12" s="214">
        <f>IF($AH12="","",IF(AND($E12&lt;&gt;"",$E12&lt;=EOMONTH(K$3,0),$F12&gt;=K$3),IF(AND($G12&lt;&gt;"",$G12&lt;=EOMONTH(K$3,0),$H12&gt;=K$3),"B","U"),IF(AND($G12&lt;&gt;"",$G12&lt;=EOMONTH(K$3,0),$H12&gt;=K$3),"D","")))</f>
        <v/>
      </c>
      <c r="L12" s="214">
        <f>IF($AH12="","",IF(AND($E12&lt;&gt;"",$E12&lt;=EOMONTH(L$3,0),$F12&gt;=L$3),IF(AND($G12&lt;&gt;"",$G12&lt;=EOMONTH(L$3,0),$H12&gt;=L$3),"B","U"),IF(AND($G12&lt;&gt;"",$G12&lt;=EOMONTH(L$3,0),$H12&gt;=L$3),"D","")))</f>
        <v/>
      </c>
      <c r="M12" s="214">
        <f>IF($AH12="","",IF(AND($E12&lt;&gt;"",$E12&lt;=EOMONTH(M$3,0),$F12&gt;=M$3),IF(AND($G12&lt;&gt;"",$G12&lt;=EOMONTH(M$3,0),$H12&gt;=M$3),"B","U"),IF(AND($G12&lt;&gt;"",$G12&lt;=EOMONTH(M$3,0),$H12&gt;=M$3),"D","")))</f>
        <v/>
      </c>
      <c r="N12" s="214">
        <f>IF($AH12="","",IF(AND($E12&lt;&gt;"",$E12&lt;=EOMONTH(N$3,0),$F12&gt;=N$3),IF(AND($G12&lt;&gt;"",$G12&lt;=EOMONTH(N$3,0),$H12&gt;=N$3),"B","U"),IF(AND($G12&lt;&gt;"",$G12&lt;=EOMONTH(N$3,0),$H12&gt;=N$3),"D","")))</f>
        <v/>
      </c>
      <c r="O12" s="214">
        <f>IF($AH12="","",IF(AND($E12&lt;&gt;"",$E12&lt;=EOMONTH(O$3,0),$F12&gt;=O$3),IF(AND($G12&lt;&gt;"",$G12&lt;=EOMONTH(O$3,0),$H12&gt;=O$3),"B","U"),IF(AND($G12&lt;&gt;"",$G12&lt;=EOMONTH(O$3,0),$H12&gt;=O$3),"D","")))</f>
        <v/>
      </c>
      <c r="P12" s="214">
        <f>IF($AH12="","",IF(AND($E12&lt;&gt;"",$E12&lt;=EOMONTH(P$3,0),$F12&gt;=P$3),IF(AND($G12&lt;&gt;"",$G12&lt;=EOMONTH(P$3,0),$H12&gt;=P$3),"B","U"),IF(AND($G12&lt;&gt;"",$G12&lt;=EOMONTH(P$3,0),$H12&gt;=P$3),"D","")))</f>
        <v/>
      </c>
      <c r="Q12" s="214">
        <f>IF($AH12="","",IF(AND($E12&lt;&gt;"",$E12&lt;=EOMONTH(Q$3,0),$F12&gt;=Q$3),IF(AND($G12&lt;&gt;"",$G12&lt;=EOMONTH(Q$3,0),$H12&gt;=Q$3),"B","U"),IF(AND($G12&lt;&gt;"",$G12&lt;=EOMONTH(Q$3,0),$H12&gt;=Q$3),"D","")))</f>
        <v/>
      </c>
      <c r="R12" s="214">
        <f>IF($AH12="","",IF(AND($E12&lt;&gt;"",$E12&lt;=EOMONTH(R$3,0),$F12&gt;=R$3),IF(AND($G12&lt;&gt;"",$G12&lt;=EOMONTH(R$3,0),$H12&gt;=R$3),"B","U"),IF(AND($G12&lt;&gt;"",$G12&lt;=EOMONTH(R$3,0),$H12&gt;=R$3),"D","")))</f>
        <v/>
      </c>
      <c r="S12" s="214">
        <f>IF($AH12="","",IF(AND($E12&lt;&gt;"",$E12&lt;=EOMONTH(S$3,0),$F12&gt;=S$3),IF(AND($G12&lt;&gt;"",$G12&lt;=EOMONTH(S$3,0),$H12&gt;=S$3),"B","U"),IF(AND($G12&lt;&gt;"",$G12&lt;=EOMONTH(S$3,0),$H12&gt;=S$3),"D","")))</f>
        <v/>
      </c>
      <c r="T12" s="214">
        <f>IF($AH12="","",IF(AND($E12&lt;&gt;"",$E12&lt;=EOMONTH(T$3,0),$F12&gt;=T$3),IF(AND($G12&lt;&gt;"",$G12&lt;=EOMONTH(T$3,0),$H12&gt;=T$3),"B","U"),IF(AND($G12&lt;&gt;"",$G12&lt;=EOMONTH(T$3,0),$H12&gt;=T$3),"D","")))</f>
        <v/>
      </c>
      <c r="U12" s="214">
        <f>IF($AH12="","",IF(AND($E12&lt;&gt;"",$E12&lt;=EOMONTH(U$3,0),$F12&gt;=U$3),IF(AND($G12&lt;&gt;"",$G12&lt;=EOMONTH(U$3,0),$H12&gt;=U$3),"B","U"),IF(AND($G12&lt;&gt;"",$G12&lt;=EOMONTH(U$3,0),$H12&gt;=U$3),"D","")))</f>
        <v/>
      </c>
      <c r="V12" s="214">
        <f>IF($AH12="","",IF(AND($E12&lt;&gt;"",$E12&lt;=EOMONTH(V$3,0),$F12&gt;=V$3),IF(AND($G12&lt;&gt;"",$G12&lt;=EOMONTH(V$3,0),$H12&gt;=V$3),"B","U"),IF(AND($G12&lt;&gt;"",$G12&lt;=EOMONTH(V$3,0),$H12&gt;=V$3),"D","")))</f>
        <v/>
      </c>
      <c r="W12" s="214">
        <f>IF($AH12="","",IF(AND($E12&lt;&gt;"",$E12&lt;=EOMONTH(W$3,0),$F12&gt;=W$3),IF(AND($G12&lt;&gt;"",$G12&lt;=EOMONTH(W$3,0),$H12&gt;=W$3),"B","U"),IF(AND($G12&lt;&gt;"",$G12&lt;=EOMONTH(W$3,0),$H12&gt;=W$3),"D","")))</f>
        <v/>
      </c>
      <c r="X12" s="214">
        <f>IF($AH12="","",IF(AND($E12&lt;&gt;"",$E12&lt;=EOMONTH(X$3,0),$F12&gt;=X$3),IF(AND($G12&lt;&gt;"",$G12&lt;=EOMONTH(X$3,0),$H12&gt;=X$3),"B","U"),IF(AND($G12&lt;&gt;"",$G12&lt;=EOMONTH(X$3,0),$H12&gt;=X$3),"D","")))</f>
        <v/>
      </c>
      <c r="Y12" s="214">
        <f>IF($AH12="","",IF(AND($E12&lt;&gt;"",$E12&lt;=EOMONTH(Y$3,0),$F12&gt;=Y$3),IF(AND($G12&lt;&gt;"",$G12&lt;=EOMONTH(Y$3,0),$H12&gt;=Y$3),"B","U"),IF(AND($G12&lt;&gt;"",$G12&lt;=EOMONTH(Y$3,0),$H12&gt;=Y$3),"D","")))</f>
        <v/>
      </c>
      <c r="Z12" s="214">
        <f>IF($AH12="","",IF(AND($E12&lt;&gt;"",$E12&lt;=EOMONTH(Z$3,0),$F12&gt;=Z$3),IF(AND($G12&lt;&gt;"",$G12&lt;=EOMONTH(Z$3,0),$H12&gt;=Z$3),"B","U"),IF(AND($G12&lt;&gt;"",$G12&lt;=EOMONTH(Z$3,0),$H12&gt;=Z$3),"D","")))</f>
        <v/>
      </c>
      <c r="AA12" s="214">
        <f>IF($AH12="","",IF(AND($E12&lt;&gt;"",$E12&lt;=EOMONTH(AA$3,0),$F12&gt;=AA$3),IF(AND($G12&lt;&gt;"",$G12&lt;=EOMONTH(AA$3,0),$H12&gt;=AA$3),"B","U"),IF(AND($G12&lt;&gt;"",$G12&lt;=EOMONTH(AA$3,0),$H12&gt;=AA$3),"D","")))</f>
        <v/>
      </c>
      <c r="AB12" s="214">
        <f>IF($AH12="","",IF(AND($E12&lt;&gt;"",$E12&lt;=EOMONTH(AB$3,0),$F12&gt;=AB$3),IF(AND($G12&lt;&gt;"",$G12&lt;=EOMONTH(AB$3,0),$H12&gt;=AB$3),"B","U"),IF(AND($G12&lt;&gt;"",$G12&lt;=EOMONTH(AB$3,0),$H12&gt;=AB$3),"D","")))</f>
        <v/>
      </c>
      <c r="AC12" s="214">
        <f>IF($AH12="","",IF(AND($E12&lt;&gt;"",$E12&lt;=EOMONTH(AC$3,0),$F12&gt;=AC$3),IF(AND($G12&lt;&gt;"",$G12&lt;=EOMONTH(AC$3,0),$H12&gt;=AC$3),"B","U"),IF(AND($G12&lt;&gt;"",$G12&lt;=EOMONTH(AC$3,0),$H12&gt;=AC$3),"D","")))</f>
        <v/>
      </c>
      <c r="AD12" s="214">
        <f>IF($AH12="","",IF(AND($E12&lt;&gt;"",$E12&lt;=EOMONTH(AD$3,0),$F12&gt;=AD$3),IF(AND($G12&lt;&gt;"",$G12&lt;=EOMONTH(AD$3,0),$H12&gt;=AD$3),"B","U"),IF(AND($G12&lt;&gt;"",$G12&lt;=EOMONTH(AD$3,0),$H12&gt;=AD$3),"D","")))</f>
        <v/>
      </c>
      <c r="AE12" s="214">
        <f>IF($AH12="","",IF(AND($E12&lt;&gt;"",$E12&lt;=EOMONTH(AE$3,0),$F12&gt;=AE$3),IF(AND($G12&lt;&gt;"",$G12&lt;=EOMONTH(AE$3,0),$H12&gt;=AE$3),"B","U"),IF(AND($G12&lt;&gt;"",$G12&lt;=EOMONTH(AE$3,0),$H12&gt;=AE$3),"D","")))</f>
        <v/>
      </c>
      <c r="AF12" s="214">
        <f>IF($AH12="","",IF(AND($E12&lt;&gt;"",$E12&lt;=EOMONTH(AF$3,0),$F12&gt;=AF$3),IF(AND($G12&lt;&gt;"",$G12&lt;=EOMONTH(AF$3,0),$H12&gt;=AF$3),"B","U"),IF(AND($G12&lt;&gt;"",$G12&lt;=EOMONTH(AF$3,0),$H12&gt;=AF$3),"D","")))</f>
        <v/>
      </c>
      <c r="AG12">
        <f>IF($AH12="","",INDEX('Roadmap Calc (Don’t Touch)'!$D$2:$D$205,$AH12))</f>
        <v/>
      </c>
      <c r="AH12">
        <f>IFERROR(MATCH(6,'Roadmap Calc (Don’t Touch)'!$O$2:$O$205,0),"")</f>
        <v/>
      </c>
    </row>
    <row r="13" ht="17" customHeight="1">
      <c r="A13" s="209">
        <f>IF($AH13="","",IF($AG13=$AG12,"",$AG13))</f>
        <v/>
      </c>
      <c r="B13" s="210">
        <f>IF($AH13="","",INDEX('Roadmap Calc (Don’t Touch)'!$B$2:$B$205,$AH13))</f>
        <v/>
      </c>
      <c r="C13" s="211">
        <f>IF($AH13="","",INDEX('Roadmap Calc (Don’t Touch)'!$E$2:$E$205,$AH13))</f>
        <v/>
      </c>
      <c r="D13" s="212">
        <f>IF($AH13="","",INDEX('Roadmap Calc (Don’t Touch)'!$F$2:$F$205,$AH13))</f>
        <v/>
      </c>
      <c r="E13" s="213">
        <f>IF($AH13="","",INDEX('Roadmap Calc (Don’t Touch)'!$G$2:$G$205,$AH13))</f>
        <v/>
      </c>
      <c r="F13" s="213">
        <f>IF($AH13="","",INDEX('Roadmap Calc (Don’t Touch)'!$H$2:$H$205,$AH13))</f>
        <v/>
      </c>
      <c r="G13" s="213">
        <f>IF($AH13="","",INDEX('Roadmap Calc (Don’t Touch)'!$I$2:$I$205,$AH13))</f>
        <v/>
      </c>
      <c r="H13" s="213">
        <f>IF($AH13="","",INDEX('Roadmap Calc (Don’t Touch)'!$J$2:$J$205,$AH13))</f>
        <v/>
      </c>
      <c r="I13" s="214">
        <f>IF($AH13="","",IF(AND($E13&lt;&gt;"",$E13&lt;=EOMONTH(I$3,0),$F13&gt;=I$3),IF(AND($G13&lt;&gt;"",$G13&lt;=EOMONTH(I$3,0),$H13&gt;=I$3),"B","U"),IF(AND($G13&lt;&gt;"",$G13&lt;=EOMONTH(I$3,0),$H13&gt;=I$3),"D","")))</f>
        <v/>
      </c>
      <c r="J13" s="214">
        <f>IF($AH13="","",IF(AND($E13&lt;&gt;"",$E13&lt;=EOMONTH(J$3,0),$F13&gt;=J$3),IF(AND($G13&lt;&gt;"",$G13&lt;=EOMONTH(J$3,0),$H13&gt;=J$3),"B","U"),IF(AND($G13&lt;&gt;"",$G13&lt;=EOMONTH(J$3,0),$H13&gt;=J$3),"D","")))</f>
        <v/>
      </c>
      <c r="K13" s="214">
        <f>IF($AH13="","",IF(AND($E13&lt;&gt;"",$E13&lt;=EOMONTH(K$3,0),$F13&gt;=K$3),IF(AND($G13&lt;&gt;"",$G13&lt;=EOMONTH(K$3,0),$H13&gt;=K$3),"B","U"),IF(AND($G13&lt;&gt;"",$G13&lt;=EOMONTH(K$3,0),$H13&gt;=K$3),"D","")))</f>
        <v/>
      </c>
      <c r="L13" s="214">
        <f>IF($AH13="","",IF(AND($E13&lt;&gt;"",$E13&lt;=EOMONTH(L$3,0),$F13&gt;=L$3),IF(AND($G13&lt;&gt;"",$G13&lt;=EOMONTH(L$3,0),$H13&gt;=L$3),"B","U"),IF(AND($G13&lt;&gt;"",$G13&lt;=EOMONTH(L$3,0),$H13&gt;=L$3),"D","")))</f>
        <v/>
      </c>
      <c r="M13" s="214">
        <f>IF($AH13="","",IF(AND($E13&lt;&gt;"",$E13&lt;=EOMONTH(M$3,0),$F13&gt;=M$3),IF(AND($G13&lt;&gt;"",$G13&lt;=EOMONTH(M$3,0),$H13&gt;=M$3),"B","U"),IF(AND($G13&lt;&gt;"",$G13&lt;=EOMONTH(M$3,0),$H13&gt;=M$3),"D","")))</f>
        <v/>
      </c>
      <c r="N13" s="214">
        <f>IF($AH13="","",IF(AND($E13&lt;&gt;"",$E13&lt;=EOMONTH(N$3,0),$F13&gt;=N$3),IF(AND($G13&lt;&gt;"",$G13&lt;=EOMONTH(N$3,0),$H13&gt;=N$3),"B","U"),IF(AND($G13&lt;&gt;"",$G13&lt;=EOMONTH(N$3,0),$H13&gt;=N$3),"D","")))</f>
        <v/>
      </c>
      <c r="O13" s="214">
        <f>IF($AH13="","",IF(AND($E13&lt;&gt;"",$E13&lt;=EOMONTH(O$3,0),$F13&gt;=O$3),IF(AND($G13&lt;&gt;"",$G13&lt;=EOMONTH(O$3,0),$H13&gt;=O$3),"B","U"),IF(AND($G13&lt;&gt;"",$G13&lt;=EOMONTH(O$3,0),$H13&gt;=O$3),"D","")))</f>
        <v/>
      </c>
      <c r="P13" s="214">
        <f>IF($AH13="","",IF(AND($E13&lt;&gt;"",$E13&lt;=EOMONTH(P$3,0),$F13&gt;=P$3),IF(AND($G13&lt;&gt;"",$G13&lt;=EOMONTH(P$3,0),$H13&gt;=P$3),"B","U"),IF(AND($G13&lt;&gt;"",$G13&lt;=EOMONTH(P$3,0),$H13&gt;=P$3),"D","")))</f>
        <v/>
      </c>
      <c r="Q13" s="214">
        <f>IF($AH13="","",IF(AND($E13&lt;&gt;"",$E13&lt;=EOMONTH(Q$3,0),$F13&gt;=Q$3),IF(AND($G13&lt;&gt;"",$G13&lt;=EOMONTH(Q$3,0),$H13&gt;=Q$3),"B","U"),IF(AND($G13&lt;&gt;"",$G13&lt;=EOMONTH(Q$3,0),$H13&gt;=Q$3),"D","")))</f>
        <v/>
      </c>
      <c r="R13" s="214">
        <f>IF($AH13="","",IF(AND($E13&lt;&gt;"",$E13&lt;=EOMONTH(R$3,0),$F13&gt;=R$3),IF(AND($G13&lt;&gt;"",$G13&lt;=EOMONTH(R$3,0),$H13&gt;=R$3),"B","U"),IF(AND($G13&lt;&gt;"",$G13&lt;=EOMONTH(R$3,0),$H13&gt;=R$3),"D","")))</f>
        <v/>
      </c>
      <c r="S13" s="214">
        <f>IF($AH13="","",IF(AND($E13&lt;&gt;"",$E13&lt;=EOMONTH(S$3,0),$F13&gt;=S$3),IF(AND($G13&lt;&gt;"",$G13&lt;=EOMONTH(S$3,0),$H13&gt;=S$3),"B","U"),IF(AND($G13&lt;&gt;"",$G13&lt;=EOMONTH(S$3,0),$H13&gt;=S$3),"D","")))</f>
        <v/>
      </c>
      <c r="T13" s="214">
        <f>IF($AH13="","",IF(AND($E13&lt;&gt;"",$E13&lt;=EOMONTH(T$3,0),$F13&gt;=T$3),IF(AND($G13&lt;&gt;"",$G13&lt;=EOMONTH(T$3,0),$H13&gt;=T$3),"B","U"),IF(AND($G13&lt;&gt;"",$G13&lt;=EOMONTH(T$3,0),$H13&gt;=T$3),"D","")))</f>
        <v/>
      </c>
      <c r="U13" s="214">
        <f>IF($AH13="","",IF(AND($E13&lt;&gt;"",$E13&lt;=EOMONTH(U$3,0),$F13&gt;=U$3),IF(AND($G13&lt;&gt;"",$G13&lt;=EOMONTH(U$3,0),$H13&gt;=U$3),"B","U"),IF(AND($G13&lt;&gt;"",$G13&lt;=EOMONTH(U$3,0),$H13&gt;=U$3),"D","")))</f>
        <v/>
      </c>
      <c r="V13" s="214">
        <f>IF($AH13="","",IF(AND($E13&lt;&gt;"",$E13&lt;=EOMONTH(V$3,0),$F13&gt;=V$3),IF(AND($G13&lt;&gt;"",$G13&lt;=EOMONTH(V$3,0),$H13&gt;=V$3),"B","U"),IF(AND($G13&lt;&gt;"",$G13&lt;=EOMONTH(V$3,0),$H13&gt;=V$3),"D","")))</f>
        <v/>
      </c>
      <c r="W13" s="214">
        <f>IF($AH13="","",IF(AND($E13&lt;&gt;"",$E13&lt;=EOMONTH(W$3,0),$F13&gt;=W$3),IF(AND($G13&lt;&gt;"",$G13&lt;=EOMONTH(W$3,0),$H13&gt;=W$3),"B","U"),IF(AND($G13&lt;&gt;"",$G13&lt;=EOMONTH(W$3,0),$H13&gt;=W$3),"D","")))</f>
        <v/>
      </c>
      <c r="X13" s="214">
        <f>IF($AH13="","",IF(AND($E13&lt;&gt;"",$E13&lt;=EOMONTH(X$3,0),$F13&gt;=X$3),IF(AND($G13&lt;&gt;"",$G13&lt;=EOMONTH(X$3,0),$H13&gt;=X$3),"B","U"),IF(AND($G13&lt;&gt;"",$G13&lt;=EOMONTH(X$3,0),$H13&gt;=X$3),"D","")))</f>
        <v/>
      </c>
      <c r="Y13" s="214">
        <f>IF($AH13="","",IF(AND($E13&lt;&gt;"",$E13&lt;=EOMONTH(Y$3,0),$F13&gt;=Y$3),IF(AND($G13&lt;&gt;"",$G13&lt;=EOMONTH(Y$3,0),$H13&gt;=Y$3),"B","U"),IF(AND($G13&lt;&gt;"",$G13&lt;=EOMONTH(Y$3,0),$H13&gt;=Y$3),"D","")))</f>
        <v/>
      </c>
      <c r="Z13" s="214">
        <f>IF($AH13="","",IF(AND($E13&lt;&gt;"",$E13&lt;=EOMONTH(Z$3,0),$F13&gt;=Z$3),IF(AND($G13&lt;&gt;"",$G13&lt;=EOMONTH(Z$3,0),$H13&gt;=Z$3),"B","U"),IF(AND($G13&lt;&gt;"",$G13&lt;=EOMONTH(Z$3,0),$H13&gt;=Z$3),"D","")))</f>
        <v/>
      </c>
      <c r="AA13" s="214">
        <f>IF($AH13="","",IF(AND($E13&lt;&gt;"",$E13&lt;=EOMONTH(AA$3,0),$F13&gt;=AA$3),IF(AND($G13&lt;&gt;"",$G13&lt;=EOMONTH(AA$3,0),$H13&gt;=AA$3),"B","U"),IF(AND($G13&lt;&gt;"",$G13&lt;=EOMONTH(AA$3,0),$H13&gt;=AA$3),"D","")))</f>
        <v/>
      </c>
      <c r="AB13" s="214">
        <f>IF($AH13="","",IF(AND($E13&lt;&gt;"",$E13&lt;=EOMONTH(AB$3,0),$F13&gt;=AB$3),IF(AND($G13&lt;&gt;"",$G13&lt;=EOMONTH(AB$3,0),$H13&gt;=AB$3),"B","U"),IF(AND($G13&lt;&gt;"",$G13&lt;=EOMONTH(AB$3,0),$H13&gt;=AB$3),"D","")))</f>
        <v/>
      </c>
      <c r="AC13" s="214">
        <f>IF($AH13="","",IF(AND($E13&lt;&gt;"",$E13&lt;=EOMONTH(AC$3,0),$F13&gt;=AC$3),IF(AND($G13&lt;&gt;"",$G13&lt;=EOMONTH(AC$3,0),$H13&gt;=AC$3),"B","U"),IF(AND($G13&lt;&gt;"",$G13&lt;=EOMONTH(AC$3,0),$H13&gt;=AC$3),"D","")))</f>
        <v/>
      </c>
      <c r="AD13" s="214">
        <f>IF($AH13="","",IF(AND($E13&lt;&gt;"",$E13&lt;=EOMONTH(AD$3,0),$F13&gt;=AD$3),IF(AND($G13&lt;&gt;"",$G13&lt;=EOMONTH(AD$3,0),$H13&gt;=AD$3),"B","U"),IF(AND($G13&lt;&gt;"",$G13&lt;=EOMONTH(AD$3,0),$H13&gt;=AD$3),"D","")))</f>
        <v/>
      </c>
      <c r="AE13" s="214">
        <f>IF($AH13="","",IF(AND($E13&lt;&gt;"",$E13&lt;=EOMONTH(AE$3,0),$F13&gt;=AE$3),IF(AND($G13&lt;&gt;"",$G13&lt;=EOMONTH(AE$3,0),$H13&gt;=AE$3),"B","U"),IF(AND($G13&lt;&gt;"",$G13&lt;=EOMONTH(AE$3,0),$H13&gt;=AE$3),"D","")))</f>
        <v/>
      </c>
      <c r="AF13" s="214">
        <f>IF($AH13="","",IF(AND($E13&lt;&gt;"",$E13&lt;=EOMONTH(AF$3,0),$F13&gt;=AF$3),IF(AND($G13&lt;&gt;"",$G13&lt;=EOMONTH(AF$3,0),$H13&gt;=AF$3),"B","U"),IF(AND($G13&lt;&gt;"",$G13&lt;=EOMONTH(AF$3,0),$H13&gt;=AF$3),"D","")))</f>
        <v/>
      </c>
      <c r="AG13">
        <f>IF($AH13="","",INDEX('Roadmap Calc (Don’t Touch)'!$D$2:$D$205,$AH13))</f>
        <v/>
      </c>
      <c r="AH13">
        <f>IFERROR(MATCH(7,'Roadmap Calc (Don’t Touch)'!$O$2:$O$205,0),"")</f>
        <v/>
      </c>
    </row>
    <row r="14" ht="17" customHeight="1">
      <c r="A14" s="209">
        <f>IF($AH14="","",IF($AG14=$AG13,"",$AG14))</f>
        <v/>
      </c>
      <c r="B14" s="210">
        <f>IF($AH14="","",INDEX('Roadmap Calc (Don’t Touch)'!$B$2:$B$205,$AH14))</f>
        <v/>
      </c>
      <c r="C14" s="211">
        <f>IF($AH14="","",INDEX('Roadmap Calc (Don’t Touch)'!$E$2:$E$205,$AH14))</f>
        <v/>
      </c>
      <c r="D14" s="212">
        <f>IF($AH14="","",INDEX('Roadmap Calc (Don’t Touch)'!$F$2:$F$205,$AH14))</f>
        <v/>
      </c>
      <c r="E14" s="213">
        <f>IF($AH14="","",INDEX('Roadmap Calc (Don’t Touch)'!$G$2:$G$205,$AH14))</f>
        <v/>
      </c>
      <c r="F14" s="213">
        <f>IF($AH14="","",INDEX('Roadmap Calc (Don’t Touch)'!$H$2:$H$205,$AH14))</f>
        <v/>
      </c>
      <c r="G14" s="213">
        <f>IF($AH14="","",INDEX('Roadmap Calc (Don’t Touch)'!$I$2:$I$205,$AH14))</f>
        <v/>
      </c>
      <c r="H14" s="213">
        <f>IF($AH14="","",INDEX('Roadmap Calc (Don’t Touch)'!$J$2:$J$205,$AH14))</f>
        <v/>
      </c>
      <c r="I14" s="214">
        <f>IF($AH14="","",IF(AND($E14&lt;&gt;"",$E14&lt;=EOMONTH(I$3,0),$F14&gt;=I$3),IF(AND($G14&lt;&gt;"",$G14&lt;=EOMONTH(I$3,0),$H14&gt;=I$3),"B","U"),IF(AND($G14&lt;&gt;"",$G14&lt;=EOMONTH(I$3,0),$H14&gt;=I$3),"D","")))</f>
        <v/>
      </c>
      <c r="J14" s="214">
        <f>IF($AH14="","",IF(AND($E14&lt;&gt;"",$E14&lt;=EOMONTH(J$3,0),$F14&gt;=J$3),IF(AND($G14&lt;&gt;"",$G14&lt;=EOMONTH(J$3,0),$H14&gt;=J$3),"B","U"),IF(AND($G14&lt;&gt;"",$G14&lt;=EOMONTH(J$3,0),$H14&gt;=J$3),"D","")))</f>
        <v/>
      </c>
      <c r="K14" s="214">
        <f>IF($AH14="","",IF(AND($E14&lt;&gt;"",$E14&lt;=EOMONTH(K$3,0),$F14&gt;=K$3),IF(AND($G14&lt;&gt;"",$G14&lt;=EOMONTH(K$3,0),$H14&gt;=K$3),"B","U"),IF(AND($G14&lt;&gt;"",$G14&lt;=EOMONTH(K$3,0),$H14&gt;=K$3),"D","")))</f>
        <v/>
      </c>
      <c r="L14" s="214">
        <f>IF($AH14="","",IF(AND($E14&lt;&gt;"",$E14&lt;=EOMONTH(L$3,0),$F14&gt;=L$3),IF(AND($G14&lt;&gt;"",$G14&lt;=EOMONTH(L$3,0),$H14&gt;=L$3),"B","U"),IF(AND($G14&lt;&gt;"",$G14&lt;=EOMONTH(L$3,0),$H14&gt;=L$3),"D","")))</f>
        <v/>
      </c>
      <c r="M14" s="214">
        <f>IF($AH14="","",IF(AND($E14&lt;&gt;"",$E14&lt;=EOMONTH(M$3,0),$F14&gt;=M$3),IF(AND($G14&lt;&gt;"",$G14&lt;=EOMONTH(M$3,0),$H14&gt;=M$3),"B","U"),IF(AND($G14&lt;&gt;"",$G14&lt;=EOMONTH(M$3,0),$H14&gt;=M$3),"D","")))</f>
        <v/>
      </c>
      <c r="N14" s="214">
        <f>IF($AH14="","",IF(AND($E14&lt;&gt;"",$E14&lt;=EOMONTH(N$3,0),$F14&gt;=N$3),IF(AND($G14&lt;&gt;"",$G14&lt;=EOMONTH(N$3,0),$H14&gt;=N$3),"B","U"),IF(AND($G14&lt;&gt;"",$G14&lt;=EOMONTH(N$3,0),$H14&gt;=N$3),"D","")))</f>
        <v/>
      </c>
      <c r="O14" s="214">
        <f>IF($AH14="","",IF(AND($E14&lt;&gt;"",$E14&lt;=EOMONTH(O$3,0),$F14&gt;=O$3),IF(AND($G14&lt;&gt;"",$G14&lt;=EOMONTH(O$3,0),$H14&gt;=O$3),"B","U"),IF(AND($G14&lt;&gt;"",$G14&lt;=EOMONTH(O$3,0),$H14&gt;=O$3),"D","")))</f>
        <v/>
      </c>
      <c r="P14" s="214">
        <f>IF($AH14="","",IF(AND($E14&lt;&gt;"",$E14&lt;=EOMONTH(P$3,0),$F14&gt;=P$3),IF(AND($G14&lt;&gt;"",$G14&lt;=EOMONTH(P$3,0),$H14&gt;=P$3),"B","U"),IF(AND($G14&lt;&gt;"",$G14&lt;=EOMONTH(P$3,0),$H14&gt;=P$3),"D","")))</f>
        <v/>
      </c>
      <c r="Q14" s="214">
        <f>IF($AH14="","",IF(AND($E14&lt;&gt;"",$E14&lt;=EOMONTH(Q$3,0),$F14&gt;=Q$3),IF(AND($G14&lt;&gt;"",$G14&lt;=EOMONTH(Q$3,0),$H14&gt;=Q$3),"B","U"),IF(AND($G14&lt;&gt;"",$G14&lt;=EOMONTH(Q$3,0),$H14&gt;=Q$3),"D","")))</f>
        <v/>
      </c>
      <c r="R14" s="214">
        <f>IF($AH14="","",IF(AND($E14&lt;&gt;"",$E14&lt;=EOMONTH(R$3,0),$F14&gt;=R$3),IF(AND($G14&lt;&gt;"",$G14&lt;=EOMONTH(R$3,0),$H14&gt;=R$3),"B","U"),IF(AND($G14&lt;&gt;"",$G14&lt;=EOMONTH(R$3,0),$H14&gt;=R$3),"D","")))</f>
        <v/>
      </c>
      <c r="S14" s="214">
        <f>IF($AH14="","",IF(AND($E14&lt;&gt;"",$E14&lt;=EOMONTH(S$3,0),$F14&gt;=S$3),IF(AND($G14&lt;&gt;"",$G14&lt;=EOMONTH(S$3,0),$H14&gt;=S$3),"B","U"),IF(AND($G14&lt;&gt;"",$G14&lt;=EOMONTH(S$3,0),$H14&gt;=S$3),"D","")))</f>
        <v/>
      </c>
      <c r="T14" s="214">
        <f>IF($AH14="","",IF(AND($E14&lt;&gt;"",$E14&lt;=EOMONTH(T$3,0),$F14&gt;=T$3),IF(AND($G14&lt;&gt;"",$G14&lt;=EOMONTH(T$3,0),$H14&gt;=T$3),"B","U"),IF(AND($G14&lt;&gt;"",$G14&lt;=EOMONTH(T$3,0),$H14&gt;=T$3),"D","")))</f>
        <v/>
      </c>
      <c r="U14" s="214">
        <f>IF($AH14="","",IF(AND($E14&lt;&gt;"",$E14&lt;=EOMONTH(U$3,0),$F14&gt;=U$3),IF(AND($G14&lt;&gt;"",$G14&lt;=EOMONTH(U$3,0),$H14&gt;=U$3),"B","U"),IF(AND($G14&lt;&gt;"",$G14&lt;=EOMONTH(U$3,0),$H14&gt;=U$3),"D","")))</f>
        <v/>
      </c>
      <c r="V14" s="214">
        <f>IF($AH14="","",IF(AND($E14&lt;&gt;"",$E14&lt;=EOMONTH(V$3,0),$F14&gt;=V$3),IF(AND($G14&lt;&gt;"",$G14&lt;=EOMONTH(V$3,0),$H14&gt;=V$3),"B","U"),IF(AND($G14&lt;&gt;"",$G14&lt;=EOMONTH(V$3,0),$H14&gt;=V$3),"D","")))</f>
        <v/>
      </c>
      <c r="W14" s="214">
        <f>IF($AH14="","",IF(AND($E14&lt;&gt;"",$E14&lt;=EOMONTH(W$3,0),$F14&gt;=W$3),IF(AND($G14&lt;&gt;"",$G14&lt;=EOMONTH(W$3,0),$H14&gt;=W$3),"B","U"),IF(AND($G14&lt;&gt;"",$G14&lt;=EOMONTH(W$3,0),$H14&gt;=W$3),"D","")))</f>
        <v/>
      </c>
      <c r="X14" s="214">
        <f>IF($AH14="","",IF(AND($E14&lt;&gt;"",$E14&lt;=EOMONTH(X$3,0),$F14&gt;=X$3),IF(AND($G14&lt;&gt;"",$G14&lt;=EOMONTH(X$3,0),$H14&gt;=X$3),"B","U"),IF(AND($G14&lt;&gt;"",$G14&lt;=EOMONTH(X$3,0),$H14&gt;=X$3),"D","")))</f>
        <v/>
      </c>
      <c r="Y14" s="214">
        <f>IF($AH14="","",IF(AND($E14&lt;&gt;"",$E14&lt;=EOMONTH(Y$3,0),$F14&gt;=Y$3),IF(AND($G14&lt;&gt;"",$G14&lt;=EOMONTH(Y$3,0),$H14&gt;=Y$3),"B","U"),IF(AND($G14&lt;&gt;"",$G14&lt;=EOMONTH(Y$3,0),$H14&gt;=Y$3),"D","")))</f>
        <v/>
      </c>
      <c r="Z14" s="214">
        <f>IF($AH14="","",IF(AND($E14&lt;&gt;"",$E14&lt;=EOMONTH(Z$3,0),$F14&gt;=Z$3),IF(AND($G14&lt;&gt;"",$G14&lt;=EOMONTH(Z$3,0),$H14&gt;=Z$3),"B","U"),IF(AND($G14&lt;&gt;"",$G14&lt;=EOMONTH(Z$3,0),$H14&gt;=Z$3),"D","")))</f>
        <v/>
      </c>
      <c r="AA14" s="214">
        <f>IF($AH14="","",IF(AND($E14&lt;&gt;"",$E14&lt;=EOMONTH(AA$3,0),$F14&gt;=AA$3),IF(AND($G14&lt;&gt;"",$G14&lt;=EOMONTH(AA$3,0),$H14&gt;=AA$3),"B","U"),IF(AND($G14&lt;&gt;"",$G14&lt;=EOMONTH(AA$3,0),$H14&gt;=AA$3),"D","")))</f>
        <v/>
      </c>
      <c r="AB14" s="214">
        <f>IF($AH14="","",IF(AND($E14&lt;&gt;"",$E14&lt;=EOMONTH(AB$3,0),$F14&gt;=AB$3),IF(AND($G14&lt;&gt;"",$G14&lt;=EOMONTH(AB$3,0),$H14&gt;=AB$3),"B","U"),IF(AND($G14&lt;&gt;"",$G14&lt;=EOMONTH(AB$3,0),$H14&gt;=AB$3),"D","")))</f>
        <v/>
      </c>
      <c r="AC14" s="214">
        <f>IF($AH14="","",IF(AND($E14&lt;&gt;"",$E14&lt;=EOMONTH(AC$3,0),$F14&gt;=AC$3),IF(AND($G14&lt;&gt;"",$G14&lt;=EOMONTH(AC$3,0),$H14&gt;=AC$3),"B","U"),IF(AND($G14&lt;&gt;"",$G14&lt;=EOMONTH(AC$3,0),$H14&gt;=AC$3),"D","")))</f>
        <v/>
      </c>
      <c r="AD14" s="214">
        <f>IF($AH14="","",IF(AND($E14&lt;&gt;"",$E14&lt;=EOMONTH(AD$3,0),$F14&gt;=AD$3),IF(AND($G14&lt;&gt;"",$G14&lt;=EOMONTH(AD$3,0),$H14&gt;=AD$3),"B","U"),IF(AND($G14&lt;&gt;"",$G14&lt;=EOMONTH(AD$3,0),$H14&gt;=AD$3),"D","")))</f>
        <v/>
      </c>
      <c r="AE14" s="214">
        <f>IF($AH14="","",IF(AND($E14&lt;&gt;"",$E14&lt;=EOMONTH(AE$3,0),$F14&gt;=AE$3),IF(AND($G14&lt;&gt;"",$G14&lt;=EOMONTH(AE$3,0),$H14&gt;=AE$3),"B","U"),IF(AND($G14&lt;&gt;"",$G14&lt;=EOMONTH(AE$3,0),$H14&gt;=AE$3),"D","")))</f>
        <v/>
      </c>
      <c r="AF14" s="214">
        <f>IF($AH14="","",IF(AND($E14&lt;&gt;"",$E14&lt;=EOMONTH(AF$3,0),$F14&gt;=AF$3),IF(AND($G14&lt;&gt;"",$G14&lt;=EOMONTH(AF$3,0),$H14&gt;=AF$3),"B","U"),IF(AND($G14&lt;&gt;"",$G14&lt;=EOMONTH(AF$3,0),$H14&gt;=AF$3),"D","")))</f>
        <v/>
      </c>
      <c r="AG14">
        <f>IF($AH14="","",INDEX('Roadmap Calc (Don’t Touch)'!$D$2:$D$205,$AH14))</f>
        <v/>
      </c>
      <c r="AH14">
        <f>IFERROR(MATCH(8,'Roadmap Calc (Don’t Touch)'!$O$2:$O$205,0),"")</f>
        <v/>
      </c>
    </row>
    <row r="15" ht="17" customHeight="1">
      <c r="A15" s="209">
        <f>IF($AH15="","",IF($AG15=$AG14,"",$AG15))</f>
        <v/>
      </c>
      <c r="B15" s="210">
        <f>IF($AH15="","",INDEX('Roadmap Calc (Don’t Touch)'!$B$2:$B$205,$AH15))</f>
        <v/>
      </c>
      <c r="C15" s="211">
        <f>IF($AH15="","",INDEX('Roadmap Calc (Don’t Touch)'!$E$2:$E$205,$AH15))</f>
        <v/>
      </c>
      <c r="D15" s="212">
        <f>IF($AH15="","",INDEX('Roadmap Calc (Don’t Touch)'!$F$2:$F$205,$AH15))</f>
        <v/>
      </c>
      <c r="E15" s="213">
        <f>IF($AH15="","",INDEX('Roadmap Calc (Don’t Touch)'!$G$2:$G$205,$AH15))</f>
        <v/>
      </c>
      <c r="F15" s="213">
        <f>IF($AH15="","",INDEX('Roadmap Calc (Don’t Touch)'!$H$2:$H$205,$AH15))</f>
        <v/>
      </c>
      <c r="G15" s="213">
        <f>IF($AH15="","",INDEX('Roadmap Calc (Don’t Touch)'!$I$2:$I$205,$AH15))</f>
        <v/>
      </c>
      <c r="H15" s="213">
        <f>IF($AH15="","",INDEX('Roadmap Calc (Don’t Touch)'!$J$2:$J$205,$AH15))</f>
        <v/>
      </c>
      <c r="I15" s="214">
        <f>IF($AH15="","",IF(AND($E15&lt;&gt;"",$E15&lt;=EOMONTH(I$3,0),$F15&gt;=I$3),IF(AND($G15&lt;&gt;"",$G15&lt;=EOMONTH(I$3,0),$H15&gt;=I$3),"B","U"),IF(AND($G15&lt;&gt;"",$G15&lt;=EOMONTH(I$3,0),$H15&gt;=I$3),"D","")))</f>
        <v/>
      </c>
      <c r="J15" s="214">
        <f>IF($AH15="","",IF(AND($E15&lt;&gt;"",$E15&lt;=EOMONTH(J$3,0),$F15&gt;=J$3),IF(AND($G15&lt;&gt;"",$G15&lt;=EOMONTH(J$3,0),$H15&gt;=J$3),"B","U"),IF(AND($G15&lt;&gt;"",$G15&lt;=EOMONTH(J$3,0),$H15&gt;=J$3),"D","")))</f>
        <v/>
      </c>
      <c r="K15" s="214">
        <f>IF($AH15="","",IF(AND($E15&lt;&gt;"",$E15&lt;=EOMONTH(K$3,0),$F15&gt;=K$3),IF(AND($G15&lt;&gt;"",$G15&lt;=EOMONTH(K$3,0),$H15&gt;=K$3),"B","U"),IF(AND($G15&lt;&gt;"",$G15&lt;=EOMONTH(K$3,0),$H15&gt;=K$3),"D","")))</f>
        <v/>
      </c>
      <c r="L15" s="214">
        <f>IF($AH15="","",IF(AND($E15&lt;&gt;"",$E15&lt;=EOMONTH(L$3,0),$F15&gt;=L$3),IF(AND($G15&lt;&gt;"",$G15&lt;=EOMONTH(L$3,0),$H15&gt;=L$3),"B","U"),IF(AND($G15&lt;&gt;"",$G15&lt;=EOMONTH(L$3,0),$H15&gt;=L$3),"D","")))</f>
        <v/>
      </c>
      <c r="M15" s="214">
        <f>IF($AH15="","",IF(AND($E15&lt;&gt;"",$E15&lt;=EOMONTH(M$3,0),$F15&gt;=M$3),IF(AND($G15&lt;&gt;"",$G15&lt;=EOMONTH(M$3,0),$H15&gt;=M$3),"B","U"),IF(AND($G15&lt;&gt;"",$G15&lt;=EOMONTH(M$3,0),$H15&gt;=M$3),"D","")))</f>
        <v/>
      </c>
      <c r="N15" s="214">
        <f>IF($AH15="","",IF(AND($E15&lt;&gt;"",$E15&lt;=EOMONTH(N$3,0),$F15&gt;=N$3),IF(AND($G15&lt;&gt;"",$G15&lt;=EOMONTH(N$3,0),$H15&gt;=N$3),"B","U"),IF(AND($G15&lt;&gt;"",$G15&lt;=EOMONTH(N$3,0),$H15&gt;=N$3),"D","")))</f>
        <v/>
      </c>
      <c r="O15" s="214">
        <f>IF($AH15="","",IF(AND($E15&lt;&gt;"",$E15&lt;=EOMONTH(O$3,0),$F15&gt;=O$3),IF(AND($G15&lt;&gt;"",$G15&lt;=EOMONTH(O$3,0),$H15&gt;=O$3),"B","U"),IF(AND($G15&lt;&gt;"",$G15&lt;=EOMONTH(O$3,0),$H15&gt;=O$3),"D","")))</f>
        <v/>
      </c>
      <c r="P15" s="214">
        <f>IF($AH15="","",IF(AND($E15&lt;&gt;"",$E15&lt;=EOMONTH(P$3,0),$F15&gt;=P$3),IF(AND($G15&lt;&gt;"",$G15&lt;=EOMONTH(P$3,0),$H15&gt;=P$3),"B","U"),IF(AND($G15&lt;&gt;"",$G15&lt;=EOMONTH(P$3,0),$H15&gt;=P$3),"D","")))</f>
        <v/>
      </c>
      <c r="Q15" s="214">
        <f>IF($AH15="","",IF(AND($E15&lt;&gt;"",$E15&lt;=EOMONTH(Q$3,0),$F15&gt;=Q$3),IF(AND($G15&lt;&gt;"",$G15&lt;=EOMONTH(Q$3,0),$H15&gt;=Q$3),"B","U"),IF(AND($G15&lt;&gt;"",$G15&lt;=EOMONTH(Q$3,0),$H15&gt;=Q$3),"D","")))</f>
        <v/>
      </c>
      <c r="R15" s="214">
        <f>IF($AH15="","",IF(AND($E15&lt;&gt;"",$E15&lt;=EOMONTH(R$3,0),$F15&gt;=R$3),IF(AND($G15&lt;&gt;"",$G15&lt;=EOMONTH(R$3,0),$H15&gt;=R$3),"B","U"),IF(AND($G15&lt;&gt;"",$G15&lt;=EOMONTH(R$3,0),$H15&gt;=R$3),"D","")))</f>
        <v/>
      </c>
      <c r="S15" s="214">
        <f>IF($AH15="","",IF(AND($E15&lt;&gt;"",$E15&lt;=EOMONTH(S$3,0),$F15&gt;=S$3),IF(AND($G15&lt;&gt;"",$G15&lt;=EOMONTH(S$3,0),$H15&gt;=S$3),"B","U"),IF(AND($G15&lt;&gt;"",$G15&lt;=EOMONTH(S$3,0),$H15&gt;=S$3),"D","")))</f>
        <v/>
      </c>
      <c r="T15" s="214">
        <f>IF($AH15="","",IF(AND($E15&lt;&gt;"",$E15&lt;=EOMONTH(T$3,0),$F15&gt;=T$3),IF(AND($G15&lt;&gt;"",$G15&lt;=EOMONTH(T$3,0),$H15&gt;=T$3),"B","U"),IF(AND($G15&lt;&gt;"",$G15&lt;=EOMONTH(T$3,0),$H15&gt;=T$3),"D","")))</f>
        <v/>
      </c>
      <c r="U15" s="214">
        <f>IF($AH15="","",IF(AND($E15&lt;&gt;"",$E15&lt;=EOMONTH(U$3,0),$F15&gt;=U$3),IF(AND($G15&lt;&gt;"",$G15&lt;=EOMONTH(U$3,0),$H15&gt;=U$3),"B","U"),IF(AND($G15&lt;&gt;"",$G15&lt;=EOMONTH(U$3,0),$H15&gt;=U$3),"D","")))</f>
        <v/>
      </c>
      <c r="V15" s="214">
        <f>IF($AH15="","",IF(AND($E15&lt;&gt;"",$E15&lt;=EOMONTH(V$3,0),$F15&gt;=V$3),IF(AND($G15&lt;&gt;"",$G15&lt;=EOMONTH(V$3,0),$H15&gt;=V$3),"B","U"),IF(AND($G15&lt;&gt;"",$G15&lt;=EOMONTH(V$3,0),$H15&gt;=V$3),"D","")))</f>
        <v/>
      </c>
      <c r="W15" s="214">
        <f>IF($AH15="","",IF(AND($E15&lt;&gt;"",$E15&lt;=EOMONTH(W$3,0),$F15&gt;=W$3),IF(AND($G15&lt;&gt;"",$G15&lt;=EOMONTH(W$3,0),$H15&gt;=W$3),"B","U"),IF(AND($G15&lt;&gt;"",$G15&lt;=EOMONTH(W$3,0),$H15&gt;=W$3),"D","")))</f>
        <v/>
      </c>
      <c r="X15" s="214">
        <f>IF($AH15="","",IF(AND($E15&lt;&gt;"",$E15&lt;=EOMONTH(X$3,0),$F15&gt;=X$3),IF(AND($G15&lt;&gt;"",$G15&lt;=EOMONTH(X$3,0),$H15&gt;=X$3),"B","U"),IF(AND($G15&lt;&gt;"",$G15&lt;=EOMONTH(X$3,0),$H15&gt;=X$3),"D","")))</f>
        <v/>
      </c>
      <c r="Y15" s="214">
        <f>IF($AH15="","",IF(AND($E15&lt;&gt;"",$E15&lt;=EOMONTH(Y$3,0),$F15&gt;=Y$3),IF(AND($G15&lt;&gt;"",$G15&lt;=EOMONTH(Y$3,0),$H15&gt;=Y$3),"B","U"),IF(AND($G15&lt;&gt;"",$G15&lt;=EOMONTH(Y$3,0),$H15&gt;=Y$3),"D","")))</f>
        <v/>
      </c>
      <c r="Z15" s="214">
        <f>IF($AH15="","",IF(AND($E15&lt;&gt;"",$E15&lt;=EOMONTH(Z$3,0),$F15&gt;=Z$3),IF(AND($G15&lt;&gt;"",$G15&lt;=EOMONTH(Z$3,0),$H15&gt;=Z$3),"B","U"),IF(AND($G15&lt;&gt;"",$G15&lt;=EOMONTH(Z$3,0),$H15&gt;=Z$3),"D","")))</f>
        <v/>
      </c>
      <c r="AA15" s="214">
        <f>IF($AH15="","",IF(AND($E15&lt;&gt;"",$E15&lt;=EOMONTH(AA$3,0),$F15&gt;=AA$3),IF(AND($G15&lt;&gt;"",$G15&lt;=EOMONTH(AA$3,0),$H15&gt;=AA$3),"B","U"),IF(AND($G15&lt;&gt;"",$G15&lt;=EOMONTH(AA$3,0),$H15&gt;=AA$3),"D","")))</f>
        <v/>
      </c>
      <c r="AB15" s="214">
        <f>IF($AH15="","",IF(AND($E15&lt;&gt;"",$E15&lt;=EOMONTH(AB$3,0),$F15&gt;=AB$3),IF(AND($G15&lt;&gt;"",$G15&lt;=EOMONTH(AB$3,0),$H15&gt;=AB$3),"B","U"),IF(AND($G15&lt;&gt;"",$G15&lt;=EOMONTH(AB$3,0),$H15&gt;=AB$3),"D","")))</f>
        <v/>
      </c>
      <c r="AC15" s="214">
        <f>IF($AH15="","",IF(AND($E15&lt;&gt;"",$E15&lt;=EOMONTH(AC$3,0),$F15&gt;=AC$3),IF(AND($G15&lt;&gt;"",$G15&lt;=EOMONTH(AC$3,0),$H15&gt;=AC$3),"B","U"),IF(AND($G15&lt;&gt;"",$G15&lt;=EOMONTH(AC$3,0),$H15&gt;=AC$3),"D","")))</f>
        <v/>
      </c>
      <c r="AD15" s="214">
        <f>IF($AH15="","",IF(AND($E15&lt;&gt;"",$E15&lt;=EOMONTH(AD$3,0),$F15&gt;=AD$3),IF(AND($G15&lt;&gt;"",$G15&lt;=EOMONTH(AD$3,0),$H15&gt;=AD$3),"B","U"),IF(AND($G15&lt;&gt;"",$G15&lt;=EOMONTH(AD$3,0),$H15&gt;=AD$3),"D","")))</f>
        <v/>
      </c>
      <c r="AE15" s="214">
        <f>IF($AH15="","",IF(AND($E15&lt;&gt;"",$E15&lt;=EOMONTH(AE$3,0),$F15&gt;=AE$3),IF(AND($G15&lt;&gt;"",$G15&lt;=EOMONTH(AE$3,0),$H15&gt;=AE$3),"B","U"),IF(AND($G15&lt;&gt;"",$G15&lt;=EOMONTH(AE$3,0),$H15&gt;=AE$3),"D","")))</f>
        <v/>
      </c>
      <c r="AF15" s="214">
        <f>IF($AH15="","",IF(AND($E15&lt;&gt;"",$E15&lt;=EOMONTH(AF$3,0),$F15&gt;=AF$3),IF(AND($G15&lt;&gt;"",$G15&lt;=EOMONTH(AF$3,0),$H15&gt;=AF$3),"B","U"),IF(AND($G15&lt;&gt;"",$G15&lt;=EOMONTH(AF$3,0),$H15&gt;=AF$3),"D","")))</f>
        <v/>
      </c>
      <c r="AG15">
        <f>IF($AH15="","",INDEX('Roadmap Calc (Don’t Touch)'!$D$2:$D$205,$AH15))</f>
        <v/>
      </c>
      <c r="AH15">
        <f>IFERROR(MATCH(9,'Roadmap Calc (Don’t Touch)'!$O$2:$O$205,0),"")</f>
        <v/>
      </c>
    </row>
    <row r="16" ht="17" customHeight="1">
      <c r="A16" s="209">
        <f>IF($AH16="","",IF($AG16=$AG15,"",$AG16))</f>
        <v/>
      </c>
      <c r="B16" s="210">
        <f>IF($AH16="","",INDEX('Roadmap Calc (Don’t Touch)'!$B$2:$B$205,$AH16))</f>
        <v/>
      </c>
      <c r="C16" s="211">
        <f>IF($AH16="","",INDEX('Roadmap Calc (Don’t Touch)'!$E$2:$E$205,$AH16))</f>
        <v/>
      </c>
      <c r="D16" s="212">
        <f>IF($AH16="","",INDEX('Roadmap Calc (Don’t Touch)'!$F$2:$F$205,$AH16))</f>
        <v/>
      </c>
      <c r="E16" s="213">
        <f>IF($AH16="","",INDEX('Roadmap Calc (Don’t Touch)'!$G$2:$G$205,$AH16))</f>
        <v/>
      </c>
      <c r="F16" s="213">
        <f>IF($AH16="","",INDEX('Roadmap Calc (Don’t Touch)'!$H$2:$H$205,$AH16))</f>
        <v/>
      </c>
      <c r="G16" s="213">
        <f>IF($AH16="","",INDEX('Roadmap Calc (Don’t Touch)'!$I$2:$I$205,$AH16))</f>
        <v/>
      </c>
      <c r="H16" s="213">
        <f>IF($AH16="","",INDEX('Roadmap Calc (Don’t Touch)'!$J$2:$J$205,$AH16))</f>
        <v/>
      </c>
      <c r="I16" s="214">
        <f>IF($AH16="","",IF(AND($E16&lt;&gt;"",$E16&lt;=EOMONTH(I$3,0),$F16&gt;=I$3),IF(AND($G16&lt;&gt;"",$G16&lt;=EOMONTH(I$3,0),$H16&gt;=I$3),"B","U"),IF(AND($G16&lt;&gt;"",$G16&lt;=EOMONTH(I$3,0),$H16&gt;=I$3),"D","")))</f>
        <v/>
      </c>
      <c r="J16" s="214">
        <f>IF($AH16="","",IF(AND($E16&lt;&gt;"",$E16&lt;=EOMONTH(J$3,0),$F16&gt;=J$3),IF(AND($G16&lt;&gt;"",$G16&lt;=EOMONTH(J$3,0),$H16&gt;=J$3),"B","U"),IF(AND($G16&lt;&gt;"",$G16&lt;=EOMONTH(J$3,0),$H16&gt;=J$3),"D","")))</f>
        <v/>
      </c>
      <c r="K16" s="214">
        <f>IF($AH16="","",IF(AND($E16&lt;&gt;"",$E16&lt;=EOMONTH(K$3,0),$F16&gt;=K$3),IF(AND($G16&lt;&gt;"",$G16&lt;=EOMONTH(K$3,0),$H16&gt;=K$3),"B","U"),IF(AND($G16&lt;&gt;"",$G16&lt;=EOMONTH(K$3,0),$H16&gt;=K$3),"D","")))</f>
        <v/>
      </c>
      <c r="L16" s="214">
        <f>IF($AH16="","",IF(AND($E16&lt;&gt;"",$E16&lt;=EOMONTH(L$3,0),$F16&gt;=L$3),IF(AND($G16&lt;&gt;"",$G16&lt;=EOMONTH(L$3,0),$H16&gt;=L$3),"B","U"),IF(AND($G16&lt;&gt;"",$G16&lt;=EOMONTH(L$3,0),$H16&gt;=L$3),"D","")))</f>
        <v/>
      </c>
      <c r="M16" s="214">
        <f>IF($AH16="","",IF(AND($E16&lt;&gt;"",$E16&lt;=EOMONTH(M$3,0),$F16&gt;=M$3),IF(AND($G16&lt;&gt;"",$G16&lt;=EOMONTH(M$3,0),$H16&gt;=M$3),"B","U"),IF(AND($G16&lt;&gt;"",$G16&lt;=EOMONTH(M$3,0),$H16&gt;=M$3),"D","")))</f>
        <v/>
      </c>
      <c r="N16" s="214">
        <f>IF($AH16="","",IF(AND($E16&lt;&gt;"",$E16&lt;=EOMONTH(N$3,0),$F16&gt;=N$3),IF(AND($G16&lt;&gt;"",$G16&lt;=EOMONTH(N$3,0),$H16&gt;=N$3),"B","U"),IF(AND($G16&lt;&gt;"",$G16&lt;=EOMONTH(N$3,0),$H16&gt;=N$3),"D","")))</f>
        <v/>
      </c>
      <c r="O16" s="214">
        <f>IF($AH16="","",IF(AND($E16&lt;&gt;"",$E16&lt;=EOMONTH(O$3,0),$F16&gt;=O$3),IF(AND($G16&lt;&gt;"",$G16&lt;=EOMONTH(O$3,0),$H16&gt;=O$3),"B","U"),IF(AND($G16&lt;&gt;"",$G16&lt;=EOMONTH(O$3,0),$H16&gt;=O$3),"D","")))</f>
        <v/>
      </c>
      <c r="P16" s="214">
        <f>IF($AH16="","",IF(AND($E16&lt;&gt;"",$E16&lt;=EOMONTH(P$3,0),$F16&gt;=P$3),IF(AND($G16&lt;&gt;"",$G16&lt;=EOMONTH(P$3,0),$H16&gt;=P$3),"B","U"),IF(AND($G16&lt;&gt;"",$G16&lt;=EOMONTH(P$3,0),$H16&gt;=P$3),"D","")))</f>
        <v/>
      </c>
      <c r="Q16" s="214">
        <f>IF($AH16="","",IF(AND($E16&lt;&gt;"",$E16&lt;=EOMONTH(Q$3,0),$F16&gt;=Q$3),IF(AND($G16&lt;&gt;"",$G16&lt;=EOMONTH(Q$3,0),$H16&gt;=Q$3),"B","U"),IF(AND($G16&lt;&gt;"",$G16&lt;=EOMONTH(Q$3,0),$H16&gt;=Q$3),"D","")))</f>
        <v/>
      </c>
      <c r="R16" s="214">
        <f>IF($AH16="","",IF(AND($E16&lt;&gt;"",$E16&lt;=EOMONTH(R$3,0),$F16&gt;=R$3),IF(AND($G16&lt;&gt;"",$G16&lt;=EOMONTH(R$3,0),$H16&gt;=R$3),"B","U"),IF(AND($G16&lt;&gt;"",$G16&lt;=EOMONTH(R$3,0),$H16&gt;=R$3),"D","")))</f>
        <v/>
      </c>
      <c r="S16" s="214">
        <f>IF($AH16="","",IF(AND($E16&lt;&gt;"",$E16&lt;=EOMONTH(S$3,0),$F16&gt;=S$3),IF(AND($G16&lt;&gt;"",$G16&lt;=EOMONTH(S$3,0),$H16&gt;=S$3),"B","U"),IF(AND($G16&lt;&gt;"",$G16&lt;=EOMONTH(S$3,0),$H16&gt;=S$3),"D","")))</f>
        <v/>
      </c>
      <c r="T16" s="214">
        <f>IF($AH16="","",IF(AND($E16&lt;&gt;"",$E16&lt;=EOMONTH(T$3,0),$F16&gt;=T$3),IF(AND($G16&lt;&gt;"",$G16&lt;=EOMONTH(T$3,0),$H16&gt;=T$3),"B","U"),IF(AND($G16&lt;&gt;"",$G16&lt;=EOMONTH(T$3,0),$H16&gt;=T$3),"D","")))</f>
        <v/>
      </c>
      <c r="U16" s="214">
        <f>IF($AH16="","",IF(AND($E16&lt;&gt;"",$E16&lt;=EOMONTH(U$3,0),$F16&gt;=U$3),IF(AND($G16&lt;&gt;"",$G16&lt;=EOMONTH(U$3,0),$H16&gt;=U$3),"B","U"),IF(AND($G16&lt;&gt;"",$G16&lt;=EOMONTH(U$3,0),$H16&gt;=U$3),"D","")))</f>
        <v/>
      </c>
      <c r="V16" s="214">
        <f>IF($AH16="","",IF(AND($E16&lt;&gt;"",$E16&lt;=EOMONTH(V$3,0),$F16&gt;=V$3),IF(AND($G16&lt;&gt;"",$G16&lt;=EOMONTH(V$3,0),$H16&gt;=V$3),"B","U"),IF(AND($G16&lt;&gt;"",$G16&lt;=EOMONTH(V$3,0),$H16&gt;=V$3),"D","")))</f>
        <v/>
      </c>
      <c r="W16" s="214">
        <f>IF($AH16="","",IF(AND($E16&lt;&gt;"",$E16&lt;=EOMONTH(W$3,0),$F16&gt;=W$3),IF(AND($G16&lt;&gt;"",$G16&lt;=EOMONTH(W$3,0),$H16&gt;=W$3),"B","U"),IF(AND($G16&lt;&gt;"",$G16&lt;=EOMONTH(W$3,0),$H16&gt;=W$3),"D","")))</f>
        <v/>
      </c>
      <c r="X16" s="214">
        <f>IF($AH16="","",IF(AND($E16&lt;&gt;"",$E16&lt;=EOMONTH(X$3,0),$F16&gt;=X$3),IF(AND($G16&lt;&gt;"",$G16&lt;=EOMONTH(X$3,0),$H16&gt;=X$3),"B","U"),IF(AND($G16&lt;&gt;"",$G16&lt;=EOMONTH(X$3,0),$H16&gt;=X$3),"D","")))</f>
        <v/>
      </c>
      <c r="Y16" s="214">
        <f>IF($AH16="","",IF(AND($E16&lt;&gt;"",$E16&lt;=EOMONTH(Y$3,0),$F16&gt;=Y$3),IF(AND($G16&lt;&gt;"",$G16&lt;=EOMONTH(Y$3,0),$H16&gt;=Y$3),"B","U"),IF(AND($G16&lt;&gt;"",$G16&lt;=EOMONTH(Y$3,0),$H16&gt;=Y$3),"D","")))</f>
        <v/>
      </c>
      <c r="Z16" s="214">
        <f>IF($AH16="","",IF(AND($E16&lt;&gt;"",$E16&lt;=EOMONTH(Z$3,0),$F16&gt;=Z$3),IF(AND($G16&lt;&gt;"",$G16&lt;=EOMONTH(Z$3,0),$H16&gt;=Z$3),"B","U"),IF(AND($G16&lt;&gt;"",$G16&lt;=EOMONTH(Z$3,0),$H16&gt;=Z$3),"D","")))</f>
        <v/>
      </c>
      <c r="AA16" s="214">
        <f>IF($AH16="","",IF(AND($E16&lt;&gt;"",$E16&lt;=EOMONTH(AA$3,0),$F16&gt;=AA$3),IF(AND($G16&lt;&gt;"",$G16&lt;=EOMONTH(AA$3,0),$H16&gt;=AA$3),"B","U"),IF(AND($G16&lt;&gt;"",$G16&lt;=EOMONTH(AA$3,0),$H16&gt;=AA$3),"D","")))</f>
        <v/>
      </c>
      <c r="AB16" s="214">
        <f>IF($AH16="","",IF(AND($E16&lt;&gt;"",$E16&lt;=EOMONTH(AB$3,0),$F16&gt;=AB$3),IF(AND($G16&lt;&gt;"",$G16&lt;=EOMONTH(AB$3,0),$H16&gt;=AB$3),"B","U"),IF(AND($G16&lt;&gt;"",$G16&lt;=EOMONTH(AB$3,0),$H16&gt;=AB$3),"D","")))</f>
        <v/>
      </c>
      <c r="AC16" s="214">
        <f>IF($AH16="","",IF(AND($E16&lt;&gt;"",$E16&lt;=EOMONTH(AC$3,0),$F16&gt;=AC$3),IF(AND($G16&lt;&gt;"",$G16&lt;=EOMONTH(AC$3,0),$H16&gt;=AC$3),"B","U"),IF(AND($G16&lt;&gt;"",$G16&lt;=EOMONTH(AC$3,0),$H16&gt;=AC$3),"D","")))</f>
        <v/>
      </c>
      <c r="AD16" s="214">
        <f>IF($AH16="","",IF(AND($E16&lt;&gt;"",$E16&lt;=EOMONTH(AD$3,0),$F16&gt;=AD$3),IF(AND($G16&lt;&gt;"",$G16&lt;=EOMONTH(AD$3,0),$H16&gt;=AD$3),"B","U"),IF(AND($G16&lt;&gt;"",$G16&lt;=EOMONTH(AD$3,0),$H16&gt;=AD$3),"D","")))</f>
        <v/>
      </c>
      <c r="AE16" s="214">
        <f>IF($AH16="","",IF(AND($E16&lt;&gt;"",$E16&lt;=EOMONTH(AE$3,0),$F16&gt;=AE$3),IF(AND($G16&lt;&gt;"",$G16&lt;=EOMONTH(AE$3,0),$H16&gt;=AE$3),"B","U"),IF(AND($G16&lt;&gt;"",$G16&lt;=EOMONTH(AE$3,0),$H16&gt;=AE$3),"D","")))</f>
        <v/>
      </c>
      <c r="AF16" s="214">
        <f>IF($AH16="","",IF(AND($E16&lt;&gt;"",$E16&lt;=EOMONTH(AF$3,0),$F16&gt;=AF$3),IF(AND($G16&lt;&gt;"",$G16&lt;=EOMONTH(AF$3,0),$H16&gt;=AF$3),"B","U"),IF(AND($G16&lt;&gt;"",$G16&lt;=EOMONTH(AF$3,0),$H16&gt;=AF$3),"D","")))</f>
        <v/>
      </c>
      <c r="AG16">
        <f>IF($AH16="","",INDEX('Roadmap Calc (Don’t Touch)'!$D$2:$D$205,$AH16))</f>
        <v/>
      </c>
      <c r="AH16">
        <f>IFERROR(MATCH(10,'Roadmap Calc (Don’t Touch)'!$O$2:$O$205,0),"")</f>
        <v/>
      </c>
    </row>
    <row r="17" ht="17" customHeight="1">
      <c r="A17" s="209">
        <f>IF($AH17="","",IF($AG17=$AG16,"",$AG17))</f>
        <v/>
      </c>
      <c r="B17" s="210">
        <f>IF($AH17="","",INDEX('Roadmap Calc (Don’t Touch)'!$B$2:$B$205,$AH17))</f>
        <v/>
      </c>
      <c r="C17" s="211">
        <f>IF($AH17="","",INDEX('Roadmap Calc (Don’t Touch)'!$E$2:$E$205,$AH17))</f>
        <v/>
      </c>
      <c r="D17" s="212">
        <f>IF($AH17="","",INDEX('Roadmap Calc (Don’t Touch)'!$F$2:$F$205,$AH17))</f>
        <v/>
      </c>
      <c r="E17" s="213">
        <f>IF($AH17="","",INDEX('Roadmap Calc (Don’t Touch)'!$G$2:$G$205,$AH17))</f>
        <v/>
      </c>
      <c r="F17" s="213">
        <f>IF($AH17="","",INDEX('Roadmap Calc (Don’t Touch)'!$H$2:$H$205,$AH17))</f>
        <v/>
      </c>
      <c r="G17" s="213">
        <f>IF($AH17="","",INDEX('Roadmap Calc (Don’t Touch)'!$I$2:$I$205,$AH17))</f>
        <v/>
      </c>
      <c r="H17" s="213">
        <f>IF($AH17="","",INDEX('Roadmap Calc (Don’t Touch)'!$J$2:$J$205,$AH17))</f>
        <v/>
      </c>
      <c r="I17" s="214">
        <f>IF($AH17="","",IF(AND($E17&lt;&gt;"",$E17&lt;=EOMONTH(I$3,0),$F17&gt;=I$3),IF(AND($G17&lt;&gt;"",$G17&lt;=EOMONTH(I$3,0),$H17&gt;=I$3),"B","U"),IF(AND($G17&lt;&gt;"",$G17&lt;=EOMONTH(I$3,0),$H17&gt;=I$3),"D","")))</f>
        <v/>
      </c>
      <c r="J17" s="214">
        <f>IF($AH17="","",IF(AND($E17&lt;&gt;"",$E17&lt;=EOMONTH(J$3,0),$F17&gt;=J$3),IF(AND($G17&lt;&gt;"",$G17&lt;=EOMONTH(J$3,0),$H17&gt;=J$3),"B","U"),IF(AND($G17&lt;&gt;"",$G17&lt;=EOMONTH(J$3,0),$H17&gt;=J$3),"D","")))</f>
        <v/>
      </c>
      <c r="K17" s="214">
        <f>IF($AH17="","",IF(AND($E17&lt;&gt;"",$E17&lt;=EOMONTH(K$3,0),$F17&gt;=K$3),IF(AND($G17&lt;&gt;"",$G17&lt;=EOMONTH(K$3,0),$H17&gt;=K$3),"B","U"),IF(AND($G17&lt;&gt;"",$G17&lt;=EOMONTH(K$3,0),$H17&gt;=K$3),"D","")))</f>
        <v/>
      </c>
      <c r="L17" s="214">
        <f>IF($AH17="","",IF(AND($E17&lt;&gt;"",$E17&lt;=EOMONTH(L$3,0),$F17&gt;=L$3),IF(AND($G17&lt;&gt;"",$G17&lt;=EOMONTH(L$3,0),$H17&gt;=L$3),"B","U"),IF(AND($G17&lt;&gt;"",$G17&lt;=EOMONTH(L$3,0),$H17&gt;=L$3),"D","")))</f>
        <v/>
      </c>
      <c r="M17" s="214">
        <f>IF($AH17="","",IF(AND($E17&lt;&gt;"",$E17&lt;=EOMONTH(M$3,0),$F17&gt;=M$3),IF(AND($G17&lt;&gt;"",$G17&lt;=EOMONTH(M$3,0),$H17&gt;=M$3),"B","U"),IF(AND($G17&lt;&gt;"",$G17&lt;=EOMONTH(M$3,0),$H17&gt;=M$3),"D","")))</f>
        <v/>
      </c>
      <c r="N17" s="214">
        <f>IF($AH17="","",IF(AND($E17&lt;&gt;"",$E17&lt;=EOMONTH(N$3,0),$F17&gt;=N$3),IF(AND($G17&lt;&gt;"",$G17&lt;=EOMONTH(N$3,0),$H17&gt;=N$3),"B","U"),IF(AND($G17&lt;&gt;"",$G17&lt;=EOMONTH(N$3,0),$H17&gt;=N$3),"D","")))</f>
        <v/>
      </c>
      <c r="O17" s="214">
        <f>IF($AH17="","",IF(AND($E17&lt;&gt;"",$E17&lt;=EOMONTH(O$3,0),$F17&gt;=O$3),IF(AND($G17&lt;&gt;"",$G17&lt;=EOMONTH(O$3,0),$H17&gt;=O$3),"B","U"),IF(AND($G17&lt;&gt;"",$G17&lt;=EOMONTH(O$3,0),$H17&gt;=O$3),"D","")))</f>
        <v/>
      </c>
      <c r="P17" s="214">
        <f>IF($AH17="","",IF(AND($E17&lt;&gt;"",$E17&lt;=EOMONTH(P$3,0),$F17&gt;=P$3),IF(AND($G17&lt;&gt;"",$G17&lt;=EOMONTH(P$3,0),$H17&gt;=P$3),"B","U"),IF(AND($G17&lt;&gt;"",$G17&lt;=EOMONTH(P$3,0),$H17&gt;=P$3),"D","")))</f>
        <v/>
      </c>
      <c r="Q17" s="214">
        <f>IF($AH17="","",IF(AND($E17&lt;&gt;"",$E17&lt;=EOMONTH(Q$3,0),$F17&gt;=Q$3),IF(AND($G17&lt;&gt;"",$G17&lt;=EOMONTH(Q$3,0),$H17&gt;=Q$3),"B","U"),IF(AND($G17&lt;&gt;"",$G17&lt;=EOMONTH(Q$3,0),$H17&gt;=Q$3),"D","")))</f>
        <v/>
      </c>
      <c r="R17" s="214">
        <f>IF($AH17="","",IF(AND($E17&lt;&gt;"",$E17&lt;=EOMONTH(R$3,0),$F17&gt;=R$3),IF(AND($G17&lt;&gt;"",$G17&lt;=EOMONTH(R$3,0),$H17&gt;=R$3),"B","U"),IF(AND($G17&lt;&gt;"",$G17&lt;=EOMONTH(R$3,0),$H17&gt;=R$3),"D","")))</f>
        <v/>
      </c>
      <c r="S17" s="214">
        <f>IF($AH17="","",IF(AND($E17&lt;&gt;"",$E17&lt;=EOMONTH(S$3,0),$F17&gt;=S$3),IF(AND($G17&lt;&gt;"",$G17&lt;=EOMONTH(S$3,0),$H17&gt;=S$3),"B","U"),IF(AND($G17&lt;&gt;"",$G17&lt;=EOMONTH(S$3,0),$H17&gt;=S$3),"D","")))</f>
        <v/>
      </c>
      <c r="T17" s="214">
        <f>IF($AH17="","",IF(AND($E17&lt;&gt;"",$E17&lt;=EOMONTH(T$3,0),$F17&gt;=T$3),IF(AND($G17&lt;&gt;"",$G17&lt;=EOMONTH(T$3,0),$H17&gt;=T$3),"B","U"),IF(AND($G17&lt;&gt;"",$G17&lt;=EOMONTH(T$3,0),$H17&gt;=T$3),"D","")))</f>
        <v/>
      </c>
      <c r="U17" s="214">
        <f>IF($AH17="","",IF(AND($E17&lt;&gt;"",$E17&lt;=EOMONTH(U$3,0),$F17&gt;=U$3),IF(AND($G17&lt;&gt;"",$G17&lt;=EOMONTH(U$3,0),$H17&gt;=U$3),"B","U"),IF(AND($G17&lt;&gt;"",$G17&lt;=EOMONTH(U$3,0),$H17&gt;=U$3),"D","")))</f>
        <v/>
      </c>
      <c r="V17" s="214">
        <f>IF($AH17="","",IF(AND($E17&lt;&gt;"",$E17&lt;=EOMONTH(V$3,0),$F17&gt;=V$3),IF(AND($G17&lt;&gt;"",$G17&lt;=EOMONTH(V$3,0),$H17&gt;=V$3),"B","U"),IF(AND($G17&lt;&gt;"",$G17&lt;=EOMONTH(V$3,0),$H17&gt;=V$3),"D","")))</f>
        <v/>
      </c>
      <c r="W17" s="214">
        <f>IF($AH17="","",IF(AND($E17&lt;&gt;"",$E17&lt;=EOMONTH(W$3,0),$F17&gt;=W$3),IF(AND($G17&lt;&gt;"",$G17&lt;=EOMONTH(W$3,0),$H17&gt;=W$3),"B","U"),IF(AND($G17&lt;&gt;"",$G17&lt;=EOMONTH(W$3,0),$H17&gt;=W$3),"D","")))</f>
        <v/>
      </c>
      <c r="X17" s="214">
        <f>IF($AH17="","",IF(AND($E17&lt;&gt;"",$E17&lt;=EOMONTH(X$3,0),$F17&gt;=X$3),IF(AND($G17&lt;&gt;"",$G17&lt;=EOMONTH(X$3,0),$H17&gt;=X$3),"B","U"),IF(AND($G17&lt;&gt;"",$G17&lt;=EOMONTH(X$3,0),$H17&gt;=X$3),"D","")))</f>
        <v/>
      </c>
      <c r="Y17" s="214">
        <f>IF($AH17="","",IF(AND($E17&lt;&gt;"",$E17&lt;=EOMONTH(Y$3,0),$F17&gt;=Y$3),IF(AND($G17&lt;&gt;"",$G17&lt;=EOMONTH(Y$3,0),$H17&gt;=Y$3),"B","U"),IF(AND($G17&lt;&gt;"",$G17&lt;=EOMONTH(Y$3,0),$H17&gt;=Y$3),"D","")))</f>
        <v/>
      </c>
      <c r="Z17" s="214">
        <f>IF($AH17="","",IF(AND($E17&lt;&gt;"",$E17&lt;=EOMONTH(Z$3,0),$F17&gt;=Z$3),IF(AND($G17&lt;&gt;"",$G17&lt;=EOMONTH(Z$3,0),$H17&gt;=Z$3),"B","U"),IF(AND($G17&lt;&gt;"",$G17&lt;=EOMONTH(Z$3,0),$H17&gt;=Z$3),"D","")))</f>
        <v/>
      </c>
      <c r="AA17" s="214">
        <f>IF($AH17="","",IF(AND($E17&lt;&gt;"",$E17&lt;=EOMONTH(AA$3,0),$F17&gt;=AA$3),IF(AND($G17&lt;&gt;"",$G17&lt;=EOMONTH(AA$3,0),$H17&gt;=AA$3),"B","U"),IF(AND($G17&lt;&gt;"",$G17&lt;=EOMONTH(AA$3,0),$H17&gt;=AA$3),"D","")))</f>
        <v/>
      </c>
      <c r="AB17" s="214">
        <f>IF($AH17="","",IF(AND($E17&lt;&gt;"",$E17&lt;=EOMONTH(AB$3,0),$F17&gt;=AB$3),IF(AND($G17&lt;&gt;"",$G17&lt;=EOMONTH(AB$3,0),$H17&gt;=AB$3),"B","U"),IF(AND($G17&lt;&gt;"",$G17&lt;=EOMONTH(AB$3,0),$H17&gt;=AB$3),"D","")))</f>
        <v/>
      </c>
      <c r="AC17" s="214">
        <f>IF($AH17="","",IF(AND($E17&lt;&gt;"",$E17&lt;=EOMONTH(AC$3,0),$F17&gt;=AC$3),IF(AND($G17&lt;&gt;"",$G17&lt;=EOMONTH(AC$3,0),$H17&gt;=AC$3),"B","U"),IF(AND($G17&lt;&gt;"",$G17&lt;=EOMONTH(AC$3,0),$H17&gt;=AC$3),"D","")))</f>
        <v/>
      </c>
      <c r="AD17" s="214">
        <f>IF($AH17="","",IF(AND($E17&lt;&gt;"",$E17&lt;=EOMONTH(AD$3,0),$F17&gt;=AD$3),IF(AND($G17&lt;&gt;"",$G17&lt;=EOMONTH(AD$3,0),$H17&gt;=AD$3),"B","U"),IF(AND($G17&lt;&gt;"",$G17&lt;=EOMONTH(AD$3,0),$H17&gt;=AD$3),"D","")))</f>
        <v/>
      </c>
      <c r="AE17" s="214">
        <f>IF($AH17="","",IF(AND($E17&lt;&gt;"",$E17&lt;=EOMONTH(AE$3,0),$F17&gt;=AE$3),IF(AND($G17&lt;&gt;"",$G17&lt;=EOMONTH(AE$3,0),$H17&gt;=AE$3),"B","U"),IF(AND($G17&lt;&gt;"",$G17&lt;=EOMONTH(AE$3,0),$H17&gt;=AE$3),"D","")))</f>
        <v/>
      </c>
      <c r="AF17" s="214">
        <f>IF($AH17="","",IF(AND($E17&lt;&gt;"",$E17&lt;=EOMONTH(AF$3,0),$F17&gt;=AF$3),IF(AND($G17&lt;&gt;"",$G17&lt;=EOMONTH(AF$3,0),$H17&gt;=AF$3),"B","U"),IF(AND($G17&lt;&gt;"",$G17&lt;=EOMONTH(AF$3,0),$H17&gt;=AF$3),"D","")))</f>
        <v/>
      </c>
      <c r="AG17">
        <f>IF($AH17="","",INDEX('Roadmap Calc (Don’t Touch)'!$D$2:$D$205,$AH17))</f>
        <v/>
      </c>
      <c r="AH17">
        <f>IFERROR(MATCH(11,'Roadmap Calc (Don’t Touch)'!$O$2:$O$205,0),"")</f>
        <v/>
      </c>
    </row>
    <row r="18" ht="17" customHeight="1">
      <c r="A18" s="209">
        <f>IF($AH18="","",IF($AG18=$AG17,"",$AG18))</f>
        <v/>
      </c>
      <c r="B18" s="210">
        <f>IF($AH18="","",INDEX('Roadmap Calc (Don’t Touch)'!$B$2:$B$205,$AH18))</f>
        <v/>
      </c>
      <c r="C18" s="211">
        <f>IF($AH18="","",INDEX('Roadmap Calc (Don’t Touch)'!$E$2:$E$205,$AH18))</f>
        <v/>
      </c>
      <c r="D18" s="212">
        <f>IF($AH18="","",INDEX('Roadmap Calc (Don’t Touch)'!$F$2:$F$205,$AH18))</f>
        <v/>
      </c>
      <c r="E18" s="213">
        <f>IF($AH18="","",INDEX('Roadmap Calc (Don’t Touch)'!$G$2:$G$205,$AH18))</f>
        <v/>
      </c>
      <c r="F18" s="213">
        <f>IF($AH18="","",INDEX('Roadmap Calc (Don’t Touch)'!$H$2:$H$205,$AH18))</f>
        <v/>
      </c>
      <c r="G18" s="213">
        <f>IF($AH18="","",INDEX('Roadmap Calc (Don’t Touch)'!$I$2:$I$205,$AH18))</f>
        <v/>
      </c>
      <c r="H18" s="213">
        <f>IF($AH18="","",INDEX('Roadmap Calc (Don’t Touch)'!$J$2:$J$205,$AH18))</f>
        <v/>
      </c>
      <c r="I18" s="214">
        <f>IF($AH18="","",IF(AND($E18&lt;&gt;"",$E18&lt;=EOMONTH(I$3,0),$F18&gt;=I$3),IF(AND($G18&lt;&gt;"",$G18&lt;=EOMONTH(I$3,0),$H18&gt;=I$3),"B","U"),IF(AND($G18&lt;&gt;"",$G18&lt;=EOMONTH(I$3,0),$H18&gt;=I$3),"D","")))</f>
        <v/>
      </c>
      <c r="J18" s="214">
        <f>IF($AH18="","",IF(AND($E18&lt;&gt;"",$E18&lt;=EOMONTH(J$3,0),$F18&gt;=J$3),IF(AND($G18&lt;&gt;"",$G18&lt;=EOMONTH(J$3,0),$H18&gt;=J$3),"B","U"),IF(AND($G18&lt;&gt;"",$G18&lt;=EOMONTH(J$3,0),$H18&gt;=J$3),"D","")))</f>
        <v/>
      </c>
      <c r="K18" s="214">
        <f>IF($AH18="","",IF(AND($E18&lt;&gt;"",$E18&lt;=EOMONTH(K$3,0),$F18&gt;=K$3),IF(AND($G18&lt;&gt;"",$G18&lt;=EOMONTH(K$3,0),$H18&gt;=K$3),"B","U"),IF(AND($G18&lt;&gt;"",$G18&lt;=EOMONTH(K$3,0),$H18&gt;=K$3),"D","")))</f>
        <v/>
      </c>
      <c r="L18" s="214">
        <f>IF($AH18="","",IF(AND($E18&lt;&gt;"",$E18&lt;=EOMONTH(L$3,0),$F18&gt;=L$3),IF(AND($G18&lt;&gt;"",$G18&lt;=EOMONTH(L$3,0),$H18&gt;=L$3),"B","U"),IF(AND($G18&lt;&gt;"",$G18&lt;=EOMONTH(L$3,0),$H18&gt;=L$3),"D","")))</f>
        <v/>
      </c>
      <c r="M18" s="214">
        <f>IF($AH18="","",IF(AND($E18&lt;&gt;"",$E18&lt;=EOMONTH(M$3,0),$F18&gt;=M$3),IF(AND($G18&lt;&gt;"",$G18&lt;=EOMONTH(M$3,0),$H18&gt;=M$3),"B","U"),IF(AND($G18&lt;&gt;"",$G18&lt;=EOMONTH(M$3,0),$H18&gt;=M$3),"D","")))</f>
        <v/>
      </c>
      <c r="N18" s="214">
        <f>IF($AH18="","",IF(AND($E18&lt;&gt;"",$E18&lt;=EOMONTH(N$3,0),$F18&gt;=N$3),IF(AND($G18&lt;&gt;"",$G18&lt;=EOMONTH(N$3,0),$H18&gt;=N$3),"B","U"),IF(AND($G18&lt;&gt;"",$G18&lt;=EOMONTH(N$3,0),$H18&gt;=N$3),"D","")))</f>
        <v/>
      </c>
      <c r="O18" s="214">
        <f>IF($AH18="","",IF(AND($E18&lt;&gt;"",$E18&lt;=EOMONTH(O$3,0),$F18&gt;=O$3),IF(AND($G18&lt;&gt;"",$G18&lt;=EOMONTH(O$3,0),$H18&gt;=O$3),"B","U"),IF(AND($G18&lt;&gt;"",$G18&lt;=EOMONTH(O$3,0),$H18&gt;=O$3),"D","")))</f>
        <v/>
      </c>
      <c r="P18" s="214">
        <f>IF($AH18="","",IF(AND($E18&lt;&gt;"",$E18&lt;=EOMONTH(P$3,0),$F18&gt;=P$3),IF(AND($G18&lt;&gt;"",$G18&lt;=EOMONTH(P$3,0),$H18&gt;=P$3),"B","U"),IF(AND($G18&lt;&gt;"",$G18&lt;=EOMONTH(P$3,0),$H18&gt;=P$3),"D","")))</f>
        <v/>
      </c>
      <c r="Q18" s="214">
        <f>IF($AH18="","",IF(AND($E18&lt;&gt;"",$E18&lt;=EOMONTH(Q$3,0),$F18&gt;=Q$3),IF(AND($G18&lt;&gt;"",$G18&lt;=EOMONTH(Q$3,0),$H18&gt;=Q$3),"B","U"),IF(AND($G18&lt;&gt;"",$G18&lt;=EOMONTH(Q$3,0),$H18&gt;=Q$3),"D","")))</f>
        <v/>
      </c>
      <c r="R18" s="214">
        <f>IF($AH18="","",IF(AND($E18&lt;&gt;"",$E18&lt;=EOMONTH(R$3,0),$F18&gt;=R$3),IF(AND($G18&lt;&gt;"",$G18&lt;=EOMONTH(R$3,0),$H18&gt;=R$3),"B","U"),IF(AND($G18&lt;&gt;"",$G18&lt;=EOMONTH(R$3,0),$H18&gt;=R$3),"D","")))</f>
        <v/>
      </c>
      <c r="S18" s="214">
        <f>IF($AH18="","",IF(AND($E18&lt;&gt;"",$E18&lt;=EOMONTH(S$3,0),$F18&gt;=S$3),IF(AND($G18&lt;&gt;"",$G18&lt;=EOMONTH(S$3,0),$H18&gt;=S$3),"B","U"),IF(AND($G18&lt;&gt;"",$G18&lt;=EOMONTH(S$3,0),$H18&gt;=S$3),"D","")))</f>
        <v/>
      </c>
      <c r="T18" s="214">
        <f>IF($AH18="","",IF(AND($E18&lt;&gt;"",$E18&lt;=EOMONTH(T$3,0),$F18&gt;=T$3),IF(AND($G18&lt;&gt;"",$G18&lt;=EOMONTH(T$3,0),$H18&gt;=T$3),"B","U"),IF(AND($G18&lt;&gt;"",$G18&lt;=EOMONTH(T$3,0),$H18&gt;=T$3),"D","")))</f>
        <v/>
      </c>
      <c r="U18" s="214">
        <f>IF($AH18="","",IF(AND($E18&lt;&gt;"",$E18&lt;=EOMONTH(U$3,0),$F18&gt;=U$3),IF(AND($G18&lt;&gt;"",$G18&lt;=EOMONTH(U$3,0),$H18&gt;=U$3),"B","U"),IF(AND($G18&lt;&gt;"",$G18&lt;=EOMONTH(U$3,0),$H18&gt;=U$3),"D","")))</f>
        <v/>
      </c>
      <c r="V18" s="214">
        <f>IF($AH18="","",IF(AND($E18&lt;&gt;"",$E18&lt;=EOMONTH(V$3,0),$F18&gt;=V$3),IF(AND($G18&lt;&gt;"",$G18&lt;=EOMONTH(V$3,0),$H18&gt;=V$3),"B","U"),IF(AND($G18&lt;&gt;"",$G18&lt;=EOMONTH(V$3,0),$H18&gt;=V$3),"D","")))</f>
        <v/>
      </c>
      <c r="W18" s="214">
        <f>IF($AH18="","",IF(AND($E18&lt;&gt;"",$E18&lt;=EOMONTH(W$3,0),$F18&gt;=W$3),IF(AND($G18&lt;&gt;"",$G18&lt;=EOMONTH(W$3,0),$H18&gt;=W$3),"B","U"),IF(AND($G18&lt;&gt;"",$G18&lt;=EOMONTH(W$3,0),$H18&gt;=W$3),"D","")))</f>
        <v/>
      </c>
      <c r="X18" s="214">
        <f>IF($AH18="","",IF(AND($E18&lt;&gt;"",$E18&lt;=EOMONTH(X$3,0),$F18&gt;=X$3),IF(AND($G18&lt;&gt;"",$G18&lt;=EOMONTH(X$3,0),$H18&gt;=X$3),"B","U"),IF(AND($G18&lt;&gt;"",$G18&lt;=EOMONTH(X$3,0),$H18&gt;=X$3),"D","")))</f>
        <v/>
      </c>
      <c r="Y18" s="214">
        <f>IF($AH18="","",IF(AND($E18&lt;&gt;"",$E18&lt;=EOMONTH(Y$3,0),$F18&gt;=Y$3),IF(AND($G18&lt;&gt;"",$G18&lt;=EOMONTH(Y$3,0),$H18&gt;=Y$3),"B","U"),IF(AND($G18&lt;&gt;"",$G18&lt;=EOMONTH(Y$3,0),$H18&gt;=Y$3),"D","")))</f>
        <v/>
      </c>
      <c r="Z18" s="214">
        <f>IF($AH18="","",IF(AND($E18&lt;&gt;"",$E18&lt;=EOMONTH(Z$3,0),$F18&gt;=Z$3),IF(AND($G18&lt;&gt;"",$G18&lt;=EOMONTH(Z$3,0),$H18&gt;=Z$3),"B","U"),IF(AND($G18&lt;&gt;"",$G18&lt;=EOMONTH(Z$3,0),$H18&gt;=Z$3),"D","")))</f>
        <v/>
      </c>
      <c r="AA18" s="214">
        <f>IF($AH18="","",IF(AND($E18&lt;&gt;"",$E18&lt;=EOMONTH(AA$3,0),$F18&gt;=AA$3),IF(AND($G18&lt;&gt;"",$G18&lt;=EOMONTH(AA$3,0),$H18&gt;=AA$3),"B","U"),IF(AND($G18&lt;&gt;"",$G18&lt;=EOMONTH(AA$3,0),$H18&gt;=AA$3),"D","")))</f>
        <v/>
      </c>
      <c r="AB18" s="214">
        <f>IF($AH18="","",IF(AND($E18&lt;&gt;"",$E18&lt;=EOMONTH(AB$3,0),$F18&gt;=AB$3),IF(AND($G18&lt;&gt;"",$G18&lt;=EOMONTH(AB$3,0),$H18&gt;=AB$3),"B","U"),IF(AND($G18&lt;&gt;"",$G18&lt;=EOMONTH(AB$3,0),$H18&gt;=AB$3),"D","")))</f>
        <v/>
      </c>
      <c r="AC18" s="214">
        <f>IF($AH18="","",IF(AND($E18&lt;&gt;"",$E18&lt;=EOMONTH(AC$3,0),$F18&gt;=AC$3),IF(AND($G18&lt;&gt;"",$G18&lt;=EOMONTH(AC$3,0),$H18&gt;=AC$3),"B","U"),IF(AND($G18&lt;&gt;"",$G18&lt;=EOMONTH(AC$3,0),$H18&gt;=AC$3),"D","")))</f>
        <v/>
      </c>
      <c r="AD18" s="214">
        <f>IF($AH18="","",IF(AND($E18&lt;&gt;"",$E18&lt;=EOMONTH(AD$3,0),$F18&gt;=AD$3),IF(AND($G18&lt;&gt;"",$G18&lt;=EOMONTH(AD$3,0),$H18&gt;=AD$3),"B","U"),IF(AND($G18&lt;&gt;"",$G18&lt;=EOMONTH(AD$3,0),$H18&gt;=AD$3),"D","")))</f>
        <v/>
      </c>
      <c r="AE18" s="214">
        <f>IF($AH18="","",IF(AND($E18&lt;&gt;"",$E18&lt;=EOMONTH(AE$3,0),$F18&gt;=AE$3),IF(AND($G18&lt;&gt;"",$G18&lt;=EOMONTH(AE$3,0),$H18&gt;=AE$3),"B","U"),IF(AND($G18&lt;&gt;"",$G18&lt;=EOMONTH(AE$3,0),$H18&gt;=AE$3),"D","")))</f>
        <v/>
      </c>
      <c r="AF18" s="214">
        <f>IF($AH18="","",IF(AND($E18&lt;&gt;"",$E18&lt;=EOMONTH(AF$3,0),$F18&gt;=AF$3),IF(AND($G18&lt;&gt;"",$G18&lt;=EOMONTH(AF$3,0),$H18&gt;=AF$3),"B","U"),IF(AND($G18&lt;&gt;"",$G18&lt;=EOMONTH(AF$3,0),$H18&gt;=AF$3),"D","")))</f>
        <v/>
      </c>
      <c r="AG18">
        <f>IF($AH18="","",INDEX('Roadmap Calc (Don’t Touch)'!$D$2:$D$205,$AH18))</f>
        <v/>
      </c>
      <c r="AH18">
        <f>IFERROR(MATCH(12,'Roadmap Calc (Don’t Touch)'!$O$2:$O$205,0),"")</f>
        <v/>
      </c>
    </row>
    <row r="19" ht="17" customHeight="1">
      <c r="A19" s="209">
        <f>IF($AH19="","",IF($AG19=$AG18,"",$AG19))</f>
        <v/>
      </c>
      <c r="B19" s="210">
        <f>IF($AH19="","",INDEX('Roadmap Calc (Don’t Touch)'!$B$2:$B$205,$AH19))</f>
        <v/>
      </c>
      <c r="C19" s="211">
        <f>IF($AH19="","",INDEX('Roadmap Calc (Don’t Touch)'!$E$2:$E$205,$AH19))</f>
        <v/>
      </c>
      <c r="D19" s="212">
        <f>IF($AH19="","",INDEX('Roadmap Calc (Don’t Touch)'!$F$2:$F$205,$AH19))</f>
        <v/>
      </c>
      <c r="E19" s="213">
        <f>IF($AH19="","",INDEX('Roadmap Calc (Don’t Touch)'!$G$2:$G$205,$AH19))</f>
        <v/>
      </c>
      <c r="F19" s="213">
        <f>IF($AH19="","",INDEX('Roadmap Calc (Don’t Touch)'!$H$2:$H$205,$AH19))</f>
        <v/>
      </c>
      <c r="G19" s="213">
        <f>IF($AH19="","",INDEX('Roadmap Calc (Don’t Touch)'!$I$2:$I$205,$AH19))</f>
        <v/>
      </c>
      <c r="H19" s="213">
        <f>IF($AH19="","",INDEX('Roadmap Calc (Don’t Touch)'!$J$2:$J$205,$AH19))</f>
        <v/>
      </c>
      <c r="I19" s="214">
        <f>IF($AH19="","",IF(AND($E19&lt;&gt;"",$E19&lt;=EOMONTH(I$3,0),$F19&gt;=I$3),IF(AND($G19&lt;&gt;"",$G19&lt;=EOMONTH(I$3,0),$H19&gt;=I$3),"B","U"),IF(AND($G19&lt;&gt;"",$G19&lt;=EOMONTH(I$3,0),$H19&gt;=I$3),"D","")))</f>
        <v/>
      </c>
      <c r="J19" s="214">
        <f>IF($AH19="","",IF(AND($E19&lt;&gt;"",$E19&lt;=EOMONTH(J$3,0),$F19&gt;=J$3),IF(AND($G19&lt;&gt;"",$G19&lt;=EOMONTH(J$3,0),$H19&gt;=J$3),"B","U"),IF(AND($G19&lt;&gt;"",$G19&lt;=EOMONTH(J$3,0),$H19&gt;=J$3),"D","")))</f>
        <v/>
      </c>
      <c r="K19" s="214">
        <f>IF($AH19="","",IF(AND($E19&lt;&gt;"",$E19&lt;=EOMONTH(K$3,0),$F19&gt;=K$3),IF(AND($G19&lt;&gt;"",$G19&lt;=EOMONTH(K$3,0),$H19&gt;=K$3),"B","U"),IF(AND($G19&lt;&gt;"",$G19&lt;=EOMONTH(K$3,0),$H19&gt;=K$3),"D","")))</f>
        <v/>
      </c>
      <c r="L19" s="214">
        <f>IF($AH19="","",IF(AND($E19&lt;&gt;"",$E19&lt;=EOMONTH(L$3,0),$F19&gt;=L$3),IF(AND($G19&lt;&gt;"",$G19&lt;=EOMONTH(L$3,0),$H19&gt;=L$3),"B","U"),IF(AND($G19&lt;&gt;"",$G19&lt;=EOMONTH(L$3,0),$H19&gt;=L$3),"D","")))</f>
        <v/>
      </c>
      <c r="M19" s="214">
        <f>IF($AH19="","",IF(AND($E19&lt;&gt;"",$E19&lt;=EOMONTH(M$3,0),$F19&gt;=M$3),IF(AND($G19&lt;&gt;"",$G19&lt;=EOMONTH(M$3,0),$H19&gt;=M$3),"B","U"),IF(AND($G19&lt;&gt;"",$G19&lt;=EOMONTH(M$3,0),$H19&gt;=M$3),"D","")))</f>
        <v/>
      </c>
      <c r="N19" s="214">
        <f>IF($AH19="","",IF(AND($E19&lt;&gt;"",$E19&lt;=EOMONTH(N$3,0),$F19&gt;=N$3),IF(AND($G19&lt;&gt;"",$G19&lt;=EOMONTH(N$3,0),$H19&gt;=N$3),"B","U"),IF(AND($G19&lt;&gt;"",$G19&lt;=EOMONTH(N$3,0),$H19&gt;=N$3),"D","")))</f>
        <v/>
      </c>
      <c r="O19" s="214">
        <f>IF($AH19="","",IF(AND($E19&lt;&gt;"",$E19&lt;=EOMONTH(O$3,0),$F19&gt;=O$3),IF(AND($G19&lt;&gt;"",$G19&lt;=EOMONTH(O$3,0),$H19&gt;=O$3),"B","U"),IF(AND($G19&lt;&gt;"",$G19&lt;=EOMONTH(O$3,0),$H19&gt;=O$3),"D","")))</f>
        <v/>
      </c>
      <c r="P19" s="214">
        <f>IF($AH19="","",IF(AND($E19&lt;&gt;"",$E19&lt;=EOMONTH(P$3,0),$F19&gt;=P$3),IF(AND($G19&lt;&gt;"",$G19&lt;=EOMONTH(P$3,0),$H19&gt;=P$3),"B","U"),IF(AND($G19&lt;&gt;"",$G19&lt;=EOMONTH(P$3,0),$H19&gt;=P$3),"D","")))</f>
        <v/>
      </c>
      <c r="Q19" s="214">
        <f>IF($AH19="","",IF(AND($E19&lt;&gt;"",$E19&lt;=EOMONTH(Q$3,0),$F19&gt;=Q$3),IF(AND($G19&lt;&gt;"",$G19&lt;=EOMONTH(Q$3,0),$H19&gt;=Q$3),"B","U"),IF(AND($G19&lt;&gt;"",$G19&lt;=EOMONTH(Q$3,0),$H19&gt;=Q$3),"D","")))</f>
        <v/>
      </c>
      <c r="R19" s="214">
        <f>IF($AH19="","",IF(AND($E19&lt;&gt;"",$E19&lt;=EOMONTH(R$3,0),$F19&gt;=R$3),IF(AND($G19&lt;&gt;"",$G19&lt;=EOMONTH(R$3,0),$H19&gt;=R$3),"B","U"),IF(AND($G19&lt;&gt;"",$G19&lt;=EOMONTH(R$3,0),$H19&gt;=R$3),"D","")))</f>
        <v/>
      </c>
      <c r="S19" s="214">
        <f>IF($AH19="","",IF(AND($E19&lt;&gt;"",$E19&lt;=EOMONTH(S$3,0),$F19&gt;=S$3),IF(AND($G19&lt;&gt;"",$G19&lt;=EOMONTH(S$3,0),$H19&gt;=S$3),"B","U"),IF(AND($G19&lt;&gt;"",$G19&lt;=EOMONTH(S$3,0),$H19&gt;=S$3),"D","")))</f>
        <v/>
      </c>
      <c r="T19" s="214">
        <f>IF($AH19="","",IF(AND($E19&lt;&gt;"",$E19&lt;=EOMONTH(T$3,0),$F19&gt;=T$3),IF(AND($G19&lt;&gt;"",$G19&lt;=EOMONTH(T$3,0),$H19&gt;=T$3),"B","U"),IF(AND($G19&lt;&gt;"",$G19&lt;=EOMONTH(T$3,0),$H19&gt;=T$3),"D","")))</f>
        <v/>
      </c>
      <c r="U19" s="214">
        <f>IF($AH19="","",IF(AND($E19&lt;&gt;"",$E19&lt;=EOMONTH(U$3,0),$F19&gt;=U$3),IF(AND($G19&lt;&gt;"",$G19&lt;=EOMONTH(U$3,0),$H19&gt;=U$3),"B","U"),IF(AND($G19&lt;&gt;"",$G19&lt;=EOMONTH(U$3,0),$H19&gt;=U$3),"D","")))</f>
        <v/>
      </c>
      <c r="V19" s="214">
        <f>IF($AH19="","",IF(AND($E19&lt;&gt;"",$E19&lt;=EOMONTH(V$3,0),$F19&gt;=V$3),IF(AND($G19&lt;&gt;"",$G19&lt;=EOMONTH(V$3,0),$H19&gt;=V$3),"B","U"),IF(AND($G19&lt;&gt;"",$G19&lt;=EOMONTH(V$3,0),$H19&gt;=V$3),"D","")))</f>
        <v/>
      </c>
      <c r="W19" s="214">
        <f>IF($AH19="","",IF(AND($E19&lt;&gt;"",$E19&lt;=EOMONTH(W$3,0),$F19&gt;=W$3),IF(AND($G19&lt;&gt;"",$G19&lt;=EOMONTH(W$3,0),$H19&gt;=W$3),"B","U"),IF(AND($G19&lt;&gt;"",$G19&lt;=EOMONTH(W$3,0),$H19&gt;=W$3),"D","")))</f>
        <v/>
      </c>
      <c r="X19" s="214">
        <f>IF($AH19="","",IF(AND($E19&lt;&gt;"",$E19&lt;=EOMONTH(X$3,0),$F19&gt;=X$3),IF(AND($G19&lt;&gt;"",$G19&lt;=EOMONTH(X$3,0),$H19&gt;=X$3),"B","U"),IF(AND($G19&lt;&gt;"",$G19&lt;=EOMONTH(X$3,0),$H19&gt;=X$3),"D","")))</f>
        <v/>
      </c>
      <c r="Y19" s="214">
        <f>IF($AH19="","",IF(AND($E19&lt;&gt;"",$E19&lt;=EOMONTH(Y$3,0),$F19&gt;=Y$3),IF(AND($G19&lt;&gt;"",$G19&lt;=EOMONTH(Y$3,0),$H19&gt;=Y$3),"B","U"),IF(AND($G19&lt;&gt;"",$G19&lt;=EOMONTH(Y$3,0),$H19&gt;=Y$3),"D","")))</f>
        <v/>
      </c>
      <c r="Z19" s="214">
        <f>IF($AH19="","",IF(AND($E19&lt;&gt;"",$E19&lt;=EOMONTH(Z$3,0),$F19&gt;=Z$3),IF(AND($G19&lt;&gt;"",$G19&lt;=EOMONTH(Z$3,0),$H19&gt;=Z$3),"B","U"),IF(AND($G19&lt;&gt;"",$G19&lt;=EOMONTH(Z$3,0),$H19&gt;=Z$3),"D","")))</f>
        <v/>
      </c>
      <c r="AA19" s="214">
        <f>IF($AH19="","",IF(AND($E19&lt;&gt;"",$E19&lt;=EOMONTH(AA$3,0),$F19&gt;=AA$3),IF(AND($G19&lt;&gt;"",$G19&lt;=EOMONTH(AA$3,0),$H19&gt;=AA$3),"B","U"),IF(AND($G19&lt;&gt;"",$G19&lt;=EOMONTH(AA$3,0),$H19&gt;=AA$3),"D","")))</f>
        <v/>
      </c>
      <c r="AB19" s="214">
        <f>IF($AH19="","",IF(AND($E19&lt;&gt;"",$E19&lt;=EOMONTH(AB$3,0),$F19&gt;=AB$3),IF(AND($G19&lt;&gt;"",$G19&lt;=EOMONTH(AB$3,0),$H19&gt;=AB$3),"B","U"),IF(AND($G19&lt;&gt;"",$G19&lt;=EOMONTH(AB$3,0),$H19&gt;=AB$3),"D","")))</f>
        <v/>
      </c>
      <c r="AC19" s="214">
        <f>IF($AH19="","",IF(AND($E19&lt;&gt;"",$E19&lt;=EOMONTH(AC$3,0),$F19&gt;=AC$3),IF(AND($G19&lt;&gt;"",$G19&lt;=EOMONTH(AC$3,0),$H19&gt;=AC$3),"B","U"),IF(AND($G19&lt;&gt;"",$G19&lt;=EOMONTH(AC$3,0),$H19&gt;=AC$3),"D","")))</f>
        <v/>
      </c>
      <c r="AD19" s="214">
        <f>IF($AH19="","",IF(AND($E19&lt;&gt;"",$E19&lt;=EOMONTH(AD$3,0),$F19&gt;=AD$3),IF(AND($G19&lt;&gt;"",$G19&lt;=EOMONTH(AD$3,0),$H19&gt;=AD$3),"B","U"),IF(AND($G19&lt;&gt;"",$G19&lt;=EOMONTH(AD$3,0),$H19&gt;=AD$3),"D","")))</f>
        <v/>
      </c>
      <c r="AE19" s="214">
        <f>IF($AH19="","",IF(AND($E19&lt;&gt;"",$E19&lt;=EOMONTH(AE$3,0),$F19&gt;=AE$3),IF(AND($G19&lt;&gt;"",$G19&lt;=EOMONTH(AE$3,0),$H19&gt;=AE$3),"B","U"),IF(AND($G19&lt;&gt;"",$G19&lt;=EOMONTH(AE$3,0),$H19&gt;=AE$3),"D","")))</f>
        <v/>
      </c>
      <c r="AF19" s="214">
        <f>IF($AH19="","",IF(AND($E19&lt;&gt;"",$E19&lt;=EOMONTH(AF$3,0),$F19&gt;=AF$3),IF(AND($G19&lt;&gt;"",$G19&lt;=EOMONTH(AF$3,0),$H19&gt;=AF$3),"B","U"),IF(AND($G19&lt;&gt;"",$G19&lt;=EOMONTH(AF$3,0),$H19&gt;=AF$3),"D","")))</f>
        <v/>
      </c>
      <c r="AG19">
        <f>IF($AH19="","",INDEX('Roadmap Calc (Don’t Touch)'!$D$2:$D$205,$AH19))</f>
        <v/>
      </c>
      <c r="AH19">
        <f>IFERROR(MATCH(13,'Roadmap Calc (Don’t Touch)'!$O$2:$O$205,0),"")</f>
        <v/>
      </c>
    </row>
    <row r="20" ht="17" customHeight="1">
      <c r="A20" s="209">
        <f>IF($AH20="","",IF($AG20=$AG19,"",$AG20))</f>
        <v/>
      </c>
      <c r="B20" s="210">
        <f>IF($AH20="","",INDEX('Roadmap Calc (Don’t Touch)'!$B$2:$B$205,$AH20))</f>
        <v/>
      </c>
      <c r="C20" s="211">
        <f>IF($AH20="","",INDEX('Roadmap Calc (Don’t Touch)'!$E$2:$E$205,$AH20))</f>
        <v/>
      </c>
      <c r="D20" s="212">
        <f>IF($AH20="","",INDEX('Roadmap Calc (Don’t Touch)'!$F$2:$F$205,$AH20))</f>
        <v/>
      </c>
      <c r="E20" s="213">
        <f>IF($AH20="","",INDEX('Roadmap Calc (Don’t Touch)'!$G$2:$G$205,$AH20))</f>
        <v/>
      </c>
      <c r="F20" s="213">
        <f>IF($AH20="","",INDEX('Roadmap Calc (Don’t Touch)'!$H$2:$H$205,$AH20))</f>
        <v/>
      </c>
      <c r="G20" s="213">
        <f>IF($AH20="","",INDEX('Roadmap Calc (Don’t Touch)'!$I$2:$I$205,$AH20))</f>
        <v/>
      </c>
      <c r="H20" s="213">
        <f>IF($AH20="","",INDEX('Roadmap Calc (Don’t Touch)'!$J$2:$J$205,$AH20))</f>
        <v/>
      </c>
      <c r="I20" s="214">
        <f>IF($AH20="","",IF(AND($E20&lt;&gt;"",$E20&lt;=EOMONTH(I$3,0),$F20&gt;=I$3),IF(AND($G20&lt;&gt;"",$G20&lt;=EOMONTH(I$3,0),$H20&gt;=I$3),"B","U"),IF(AND($G20&lt;&gt;"",$G20&lt;=EOMONTH(I$3,0),$H20&gt;=I$3),"D","")))</f>
        <v/>
      </c>
      <c r="J20" s="214">
        <f>IF($AH20="","",IF(AND($E20&lt;&gt;"",$E20&lt;=EOMONTH(J$3,0),$F20&gt;=J$3),IF(AND($G20&lt;&gt;"",$G20&lt;=EOMONTH(J$3,0),$H20&gt;=J$3),"B","U"),IF(AND($G20&lt;&gt;"",$G20&lt;=EOMONTH(J$3,0),$H20&gt;=J$3),"D","")))</f>
        <v/>
      </c>
      <c r="K20" s="214">
        <f>IF($AH20="","",IF(AND($E20&lt;&gt;"",$E20&lt;=EOMONTH(K$3,0),$F20&gt;=K$3),IF(AND($G20&lt;&gt;"",$G20&lt;=EOMONTH(K$3,0),$H20&gt;=K$3),"B","U"),IF(AND($G20&lt;&gt;"",$G20&lt;=EOMONTH(K$3,0),$H20&gt;=K$3),"D","")))</f>
        <v/>
      </c>
      <c r="L20" s="214">
        <f>IF($AH20="","",IF(AND($E20&lt;&gt;"",$E20&lt;=EOMONTH(L$3,0),$F20&gt;=L$3),IF(AND($G20&lt;&gt;"",$G20&lt;=EOMONTH(L$3,0),$H20&gt;=L$3),"B","U"),IF(AND($G20&lt;&gt;"",$G20&lt;=EOMONTH(L$3,0),$H20&gt;=L$3),"D","")))</f>
        <v/>
      </c>
      <c r="M20" s="214">
        <f>IF($AH20="","",IF(AND($E20&lt;&gt;"",$E20&lt;=EOMONTH(M$3,0),$F20&gt;=M$3),IF(AND($G20&lt;&gt;"",$G20&lt;=EOMONTH(M$3,0),$H20&gt;=M$3),"B","U"),IF(AND($G20&lt;&gt;"",$G20&lt;=EOMONTH(M$3,0),$H20&gt;=M$3),"D","")))</f>
        <v/>
      </c>
      <c r="N20" s="214">
        <f>IF($AH20="","",IF(AND($E20&lt;&gt;"",$E20&lt;=EOMONTH(N$3,0),$F20&gt;=N$3),IF(AND($G20&lt;&gt;"",$G20&lt;=EOMONTH(N$3,0),$H20&gt;=N$3),"B","U"),IF(AND($G20&lt;&gt;"",$G20&lt;=EOMONTH(N$3,0),$H20&gt;=N$3),"D","")))</f>
        <v/>
      </c>
      <c r="O20" s="214">
        <f>IF($AH20="","",IF(AND($E20&lt;&gt;"",$E20&lt;=EOMONTH(O$3,0),$F20&gt;=O$3),IF(AND($G20&lt;&gt;"",$G20&lt;=EOMONTH(O$3,0),$H20&gt;=O$3),"B","U"),IF(AND($G20&lt;&gt;"",$G20&lt;=EOMONTH(O$3,0),$H20&gt;=O$3),"D","")))</f>
        <v/>
      </c>
      <c r="P20" s="214">
        <f>IF($AH20="","",IF(AND($E20&lt;&gt;"",$E20&lt;=EOMONTH(P$3,0),$F20&gt;=P$3),IF(AND($G20&lt;&gt;"",$G20&lt;=EOMONTH(P$3,0),$H20&gt;=P$3),"B","U"),IF(AND($G20&lt;&gt;"",$G20&lt;=EOMONTH(P$3,0),$H20&gt;=P$3),"D","")))</f>
        <v/>
      </c>
      <c r="Q20" s="214">
        <f>IF($AH20="","",IF(AND($E20&lt;&gt;"",$E20&lt;=EOMONTH(Q$3,0),$F20&gt;=Q$3),IF(AND($G20&lt;&gt;"",$G20&lt;=EOMONTH(Q$3,0),$H20&gt;=Q$3),"B","U"),IF(AND($G20&lt;&gt;"",$G20&lt;=EOMONTH(Q$3,0),$H20&gt;=Q$3),"D","")))</f>
        <v/>
      </c>
      <c r="R20" s="214">
        <f>IF($AH20="","",IF(AND($E20&lt;&gt;"",$E20&lt;=EOMONTH(R$3,0),$F20&gt;=R$3),IF(AND($G20&lt;&gt;"",$G20&lt;=EOMONTH(R$3,0),$H20&gt;=R$3),"B","U"),IF(AND($G20&lt;&gt;"",$G20&lt;=EOMONTH(R$3,0),$H20&gt;=R$3),"D","")))</f>
        <v/>
      </c>
      <c r="S20" s="214">
        <f>IF($AH20="","",IF(AND($E20&lt;&gt;"",$E20&lt;=EOMONTH(S$3,0),$F20&gt;=S$3),IF(AND($G20&lt;&gt;"",$G20&lt;=EOMONTH(S$3,0),$H20&gt;=S$3),"B","U"),IF(AND($G20&lt;&gt;"",$G20&lt;=EOMONTH(S$3,0),$H20&gt;=S$3),"D","")))</f>
        <v/>
      </c>
      <c r="T20" s="214">
        <f>IF($AH20="","",IF(AND($E20&lt;&gt;"",$E20&lt;=EOMONTH(T$3,0),$F20&gt;=T$3),IF(AND($G20&lt;&gt;"",$G20&lt;=EOMONTH(T$3,0),$H20&gt;=T$3),"B","U"),IF(AND($G20&lt;&gt;"",$G20&lt;=EOMONTH(T$3,0),$H20&gt;=T$3),"D","")))</f>
        <v/>
      </c>
      <c r="U20" s="214">
        <f>IF($AH20="","",IF(AND($E20&lt;&gt;"",$E20&lt;=EOMONTH(U$3,0),$F20&gt;=U$3),IF(AND($G20&lt;&gt;"",$G20&lt;=EOMONTH(U$3,0),$H20&gt;=U$3),"B","U"),IF(AND($G20&lt;&gt;"",$G20&lt;=EOMONTH(U$3,0),$H20&gt;=U$3),"D","")))</f>
        <v/>
      </c>
      <c r="V20" s="214">
        <f>IF($AH20="","",IF(AND($E20&lt;&gt;"",$E20&lt;=EOMONTH(V$3,0),$F20&gt;=V$3),IF(AND($G20&lt;&gt;"",$G20&lt;=EOMONTH(V$3,0),$H20&gt;=V$3),"B","U"),IF(AND($G20&lt;&gt;"",$G20&lt;=EOMONTH(V$3,0),$H20&gt;=V$3),"D","")))</f>
        <v/>
      </c>
      <c r="W20" s="214">
        <f>IF($AH20="","",IF(AND($E20&lt;&gt;"",$E20&lt;=EOMONTH(W$3,0),$F20&gt;=W$3),IF(AND($G20&lt;&gt;"",$G20&lt;=EOMONTH(W$3,0),$H20&gt;=W$3),"B","U"),IF(AND($G20&lt;&gt;"",$G20&lt;=EOMONTH(W$3,0),$H20&gt;=W$3),"D","")))</f>
        <v/>
      </c>
      <c r="X20" s="214">
        <f>IF($AH20="","",IF(AND($E20&lt;&gt;"",$E20&lt;=EOMONTH(X$3,0),$F20&gt;=X$3),IF(AND($G20&lt;&gt;"",$G20&lt;=EOMONTH(X$3,0),$H20&gt;=X$3),"B","U"),IF(AND($G20&lt;&gt;"",$G20&lt;=EOMONTH(X$3,0),$H20&gt;=X$3),"D","")))</f>
        <v/>
      </c>
      <c r="Y20" s="214">
        <f>IF($AH20="","",IF(AND($E20&lt;&gt;"",$E20&lt;=EOMONTH(Y$3,0),$F20&gt;=Y$3),IF(AND($G20&lt;&gt;"",$G20&lt;=EOMONTH(Y$3,0),$H20&gt;=Y$3),"B","U"),IF(AND($G20&lt;&gt;"",$G20&lt;=EOMONTH(Y$3,0),$H20&gt;=Y$3),"D","")))</f>
        <v/>
      </c>
      <c r="Z20" s="214">
        <f>IF($AH20="","",IF(AND($E20&lt;&gt;"",$E20&lt;=EOMONTH(Z$3,0),$F20&gt;=Z$3),IF(AND($G20&lt;&gt;"",$G20&lt;=EOMONTH(Z$3,0),$H20&gt;=Z$3),"B","U"),IF(AND($G20&lt;&gt;"",$G20&lt;=EOMONTH(Z$3,0),$H20&gt;=Z$3),"D","")))</f>
        <v/>
      </c>
      <c r="AA20" s="214">
        <f>IF($AH20="","",IF(AND($E20&lt;&gt;"",$E20&lt;=EOMONTH(AA$3,0),$F20&gt;=AA$3),IF(AND($G20&lt;&gt;"",$G20&lt;=EOMONTH(AA$3,0),$H20&gt;=AA$3),"B","U"),IF(AND($G20&lt;&gt;"",$G20&lt;=EOMONTH(AA$3,0),$H20&gt;=AA$3),"D","")))</f>
        <v/>
      </c>
      <c r="AB20" s="214">
        <f>IF($AH20="","",IF(AND($E20&lt;&gt;"",$E20&lt;=EOMONTH(AB$3,0),$F20&gt;=AB$3),IF(AND($G20&lt;&gt;"",$G20&lt;=EOMONTH(AB$3,0),$H20&gt;=AB$3),"B","U"),IF(AND($G20&lt;&gt;"",$G20&lt;=EOMONTH(AB$3,0),$H20&gt;=AB$3),"D","")))</f>
        <v/>
      </c>
      <c r="AC20" s="214">
        <f>IF($AH20="","",IF(AND($E20&lt;&gt;"",$E20&lt;=EOMONTH(AC$3,0),$F20&gt;=AC$3),IF(AND($G20&lt;&gt;"",$G20&lt;=EOMONTH(AC$3,0),$H20&gt;=AC$3),"B","U"),IF(AND($G20&lt;&gt;"",$G20&lt;=EOMONTH(AC$3,0),$H20&gt;=AC$3),"D","")))</f>
        <v/>
      </c>
      <c r="AD20" s="214">
        <f>IF($AH20="","",IF(AND($E20&lt;&gt;"",$E20&lt;=EOMONTH(AD$3,0),$F20&gt;=AD$3),IF(AND($G20&lt;&gt;"",$G20&lt;=EOMONTH(AD$3,0),$H20&gt;=AD$3),"B","U"),IF(AND($G20&lt;&gt;"",$G20&lt;=EOMONTH(AD$3,0),$H20&gt;=AD$3),"D","")))</f>
        <v/>
      </c>
      <c r="AE20" s="214">
        <f>IF($AH20="","",IF(AND($E20&lt;&gt;"",$E20&lt;=EOMONTH(AE$3,0),$F20&gt;=AE$3),IF(AND($G20&lt;&gt;"",$G20&lt;=EOMONTH(AE$3,0),$H20&gt;=AE$3),"B","U"),IF(AND($G20&lt;&gt;"",$G20&lt;=EOMONTH(AE$3,0),$H20&gt;=AE$3),"D","")))</f>
        <v/>
      </c>
      <c r="AF20" s="214">
        <f>IF($AH20="","",IF(AND($E20&lt;&gt;"",$E20&lt;=EOMONTH(AF$3,0),$F20&gt;=AF$3),IF(AND($G20&lt;&gt;"",$G20&lt;=EOMONTH(AF$3,0),$H20&gt;=AF$3),"B","U"),IF(AND($G20&lt;&gt;"",$G20&lt;=EOMONTH(AF$3,0),$H20&gt;=AF$3),"D","")))</f>
        <v/>
      </c>
      <c r="AG20">
        <f>IF($AH20="","",INDEX('Roadmap Calc (Don’t Touch)'!$D$2:$D$205,$AH20))</f>
        <v/>
      </c>
      <c r="AH20">
        <f>IFERROR(MATCH(14,'Roadmap Calc (Don’t Touch)'!$O$2:$O$205,0),"")</f>
        <v/>
      </c>
    </row>
    <row r="21" ht="17" customHeight="1">
      <c r="A21" s="209">
        <f>IF($AH21="","",IF($AG21=$AG20,"",$AG21))</f>
        <v/>
      </c>
      <c r="B21" s="210">
        <f>IF($AH21="","",INDEX('Roadmap Calc (Don’t Touch)'!$B$2:$B$205,$AH21))</f>
        <v/>
      </c>
      <c r="C21" s="211">
        <f>IF($AH21="","",INDEX('Roadmap Calc (Don’t Touch)'!$E$2:$E$205,$AH21))</f>
        <v/>
      </c>
      <c r="D21" s="212">
        <f>IF($AH21="","",INDEX('Roadmap Calc (Don’t Touch)'!$F$2:$F$205,$AH21))</f>
        <v/>
      </c>
      <c r="E21" s="213">
        <f>IF($AH21="","",INDEX('Roadmap Calc (Don’t Touch)'!$G$2:$G$205,$AH21))</f>
        <v/>
      </c>
      <c r="F21" s="213">
        <f>IF($AH21="","",INDEX('Roadmap Calc (Don’t Touch)'!$H$2:$H$205,$AH21))</f>
        <v/>
      </c>
      <c r="G21" s="213">
        <f>IF($AH21="","",INDEX('Roadmap Calc (Don’t Touch)'!$I$2:$I$205,$AH21))</f>
        <v/>
      </c>
      <c r="H21" s="213">
        <f>IF($AH21="","",INDEX('Roadmap Calc (Don’t Touch)'!$J$2:$J$205,$AH21))</f>
        <v/>
      </c>
      <c r="I21" s="214">
        <f>IF($AH21="","",IF(AND($E21&lt;&gt;"",$E21&lt;=EOMONTH(I$3,0),$F21&gt;=I$3),IF(AND($G21&lt;&gt;"",$G21&lt;=EOMONTH(I$3,0),$H21&gt;=I$3),"B","U"),IF(AND($G21&lt;&gt;"",$G21&lt;=EOMONTH(I$3,0),$H21&gt;=I$3),"D","")))</f>
        <v/>
      </c>
      <c r="J21" s="214">
        <f>IF($AH21="","",IF(AND($E21&lt;&gt;"",$E21&lt;=EOMONTH(J$3,0),$F21&gt;=J$3),IF(AND($G21&lt;&gt;"",$G21&lt;=EOMONTH(J$3,0),$H21&gt;=J$3),"B","U"),IF(AND($G21&lt;&gt;"",$G21&lt;=EOMONTH(J$3,0),$H21&gt;=J$3),"D","")))</f>
        <v/>
      </c>
      <c r="K21" s="214">
        <f>IF($AH21="","",IF(AND($E21&lt;&gt;"",$E21&lt;=EOMONTH(K$3,0),$F21&gt;=K$3),IF(AND($G21&lt;&gt;"",$G21&lt;=EOMONTH(K$3,0),$H21&gt;=K$3),"B","U"),IF(AND($G21&lt;&gt;"",$G21&lt;=EOMONTH(K$3,0),$H21&gt;=K$3),"D","")))</f>
        <v/>
      </c>
      <c r="L21" s="214">
        <f>IF($AH21="","",IF(AND($E21&lt;&gt;"",$E21&lt;=EOMONTH(L$3,0),$F21&gt;=L$3),IF(AND($G21&lt;&gt;"",$G21&lt;=EOMONTH(L$3,0),$H21&gt;=L$3),"B","U"),IF(AND($G21&lt;&gt;"",$G21&lt;=EOMONTH(L$3,0),$H21&gt;=L$3),"D","")))</f>
        <v/>
      </c>
      <c r="M21" s="214">
        <f>IF($AH21="","",IF(AND($E21&lt;&gt;"",$E21&lt;=EOMONTH(M$3,0),$F21&gt;=M$3),IF(AND($G21&lt;&gt;"",$G21&lt;=EOMONTH(M$3,0),$H21&gt;=M$3),"B","U"),IF(AND($G21&lt;&gt;"",$G21&lt;=EOMONTH(M$3,0),$H21&gt;=M$3),"D","")))</f>
        <v/>
      </c>
      <c r="N21" s="214">
        <f>IF($AH21="","",IF(AND($E21&lt;&gt;"",$E21&lt;=EOMONTH(N$3,0),$F21&gt;=N$3),IF(AND($G21&lt;&gt;"",$G21&lt;=EOMONTH(N$3,0),$H21&gt;=N$3),"B","U"),IF(AND($G21&lt;&gt;"",$G21&lt;=EOMONTH(N$3,0),$H21&gt;=N$3),"D","")))</f>
        <v/>
      </c>
      <c r="O21" s="214">
        <f>IF($AH21="","",IF(AND($E21&lt;&gt;"",$E21&lt;=EOMONTH(O$3,0),$F21&gt;=O$3),IF(AND($G21&lt;&gt;"",$G21&lt;=EOMONTH(O$3,0),$H21&gt;=O$3),"B","U"),IF(AND($G21&lt;&gt;"",$G21&lt;=EOMONTH(O$3,0),$H21&gt;=O$3),"D","")))</f>
        <v/>
      </c>
      <c r="P21" s="214">
        <f>IF($AH21="","",IF(AND($E21&lt;&gt;"",$E21&lt;=EOMONTH(P$3,0),$F21&gt;=P$3),IF(AND($G21&lt;&gt;"",$G21&lt;=EOMONTH(P$3,0),$H21&gt;=P$3),"B","U"),IF(AND($G21&lt;&gt;"",$G21&lt;=EOMONTH(P$3,0),$H21&gt;=P$3),"D","")))</f>
        <v/>
      </c>
      <c r="Q21" s="214">
        <f>IF($AH21="","",IF(AND($E21&lt;&gt;"",$E21&lt;=EOMONTH(Q$3,0),$F21&gt;=Q$3),IF(AND($G21&lt;&gt;"",$G21&lt;=EOMONTH(Q$3,0),$H21&gt;=Q$3),"B","U"),IF(AND($G21&lt;&gt;"",$G21&lt;=EOMONTH(Q$3,0),$H21&gt;=Q$3),"D","")))</f>
        <v/>
      </c>
      <c r="R21" s="214">
        <f>IF($AH21="","",IF(AND($E21&lt;&gt;"",$E21&lt;=EOMONTH(R$3,0),$F21&gt;=R$3),IF(AND($G21&lt;&gt;"",$G21&lt;=EOMONTH(R$3,0),$H21&gt;=R$3),"B","U"),IF(AND($G21&lt;&gt;"",$G21&lt;=EOMONTH(R$3,0),$H21&gt;=R$3),"D","")))</f>
        <v/>
      </c>
      <c r="S21" s="214">
        <f>IF($AH21="","",IF(AND($E21&lt;&gt;"",$E21&lt;=EOMONTH(S$3,0),$F21&gt;=S$3),IF(AND($G21&lt;&gt;"",$G21&lt;=EOMONTH(S$3,0),$H21&gt;=S$3),"B","U"),IF(AND($G21&lt;&gt;"",$G21&lt;=EOMONTH(S$3,0),$H21&gt;=S$3),"D","")))</f>
        <v/>
      </c>
      <c r="T21" s="214">
        <f>IF($AH21="","",IF(AND($E21&lt;&gt;"",$E21&lt;=EOMONTH(T$3,0),$F21&gt;=T$3),IF(AND($G21&lt;&gt;"",$G21&lt;=EOMONTH(T$3,0),$H21&gt;=T$3),"B","U"),IF(AND($G21&lt;&gt;"",$G21&lt;=EOMONTH(T$3,0),$H21&gt;=T$3),"D","")))</f>
        <v/>
      </c>
      <c r="U21" s="214">
        <f>IF($AH21="","",IF(AND($E21&lt;&gt;"",$E21&lt;=EOMONTH(U$3,0),$F21&gt;=U$3),IF(AND($G21&lt;&gt;"",$G21&lt;=EOMONTH(U$3,0),$H21&gt;=U$3),"B","U"),IF(AND($G21&lt;&gt;"",$G21&lt;=EOMONTH(U$3,0),$H21&gt;=U$3),"D","")))</f>
        <v/>
      </c>
      <c r="V21" s="214">
        <f>IF($AH21="","",IF(AND($E21&lt;&gt;"",$E21&lt;=EOMONTH(V$3,0),$F21&gt;=V$3),IF(AND($G21&lt;&gt;"",$G21&lt;=EOMONTH(V$3,0),$H21&gt;=V$3),"B","U"),IF(AND($G21&lt;&gt;"",$G21&lt;=EOMONTH(V$3,0),$H21&gt;=V$3),"D","")))</f>
        <v/>
      </c>
      <c r="W21" s="214">
        <f>IF($AH21="","",IF(AND($E21&lt;&gt;"",$E21&lt;=EOMONTH(W$3,0),$F21&gt;=W$3),IF(AND($G21&lt;&gt;"",$G21&lt;=EOMONTH(W$3,0),$H21&gt;=W$3),"B","U"),IF(AND($G21&lt;&gt;"",$G21&lt;=EOMONTH(W$3,0),$H21&gt;=W$3),"D","")))</f>
        <v/>
      </c>
      <c r="X21" s="214">
        <f>IF($AH21="","",IF(AND($E21&lt;&gt;"",$E21&lt;=EOMONTH(X$3,0),$F21&gt;=X$3),IF(AND($G21&lt;&gt;"",$G21&lt;=EOMONTH(X$3,0),$H21&gt;=X$3),"B","U"),IF(AND($G21&lt;&gt;"",$G21&lt;=EOMONTH(X$3,0),$H21&gt;=X$3),"D","")))</f>
        <v/>
      </c>
      <c r="Y21" s="214">
        <f>IF($AH21="","",IF(AND($E21&lt;&gt;"",$E21&lt;=EOMONTH(Y$3,0),$F21&gt;=Y$3),IF(AND($G21&lt;&gt;"",$G21&lt;=EOMONTH(Y$3,0),$H21&gt;=Y$3),"B","U"),IF(AND($G21&lt;&gt;"",$G21&lt;=EOMONTH(Y$3,0),$H21&gt;=Y$3),"D","")))</f>
        <v/>
      </c>
      <c r="Z21" s="214">
        <f>IF($AH21="","",IF(AND($E21&lt;&gt;"",$E21&lt;=EOMONTH(Z$3,0),$F21&gt;=Z$3),IF(AND($G21&lt;&gt;"",$G21&lt;=EOMONTH(Z$3,0),$H21&gt;=Z$3),"B","U"),IF(AND($G21&lt;&gt;"",$G21&lt;=EOMONTH(Z$3,0),$H21&gt;=Z$3),"D","")))</f>
        <v/>
      </c>
      <c r="AA21" s="214">
        <f>IF($AH21="","",IF(AND($E21&lt;&gt;"",$E21&lt;=EOMONTH(AA$3,0),$F21&gt;=AA$3),IF(AND($G21&lt;&gt;"",$G21&lt;=EOMONTH(AA$3,0),$H21&gt;=AA$3),"B","U"),IF(AND($G21&lt;&gt;"",$G21&lt;=EOMONTH(AA$3,0),$H21&gt;=AA$3),"D","")))</f>
        <v/>
      </c>
      <c r="AB21" s="214">
        <f>IF($AH21="","",IF(AND($E21&lt;&gt;"",$E21&lt;=EOMONTH(AB$3,0),$F21&gt;=AB$3),IF(AND($G21&lt;&gt;"",$G21&lt;=EOMONTH(AB$3,0),$H21&gt;=AB$3),"B","U"),IF(AND($G21&lt;&gt;"",$G21&lt;=EOMONTH(AB$3,0),$H21&gt;=AB$3),"D","")))</f>
        <v/>
      </c>
      <c r="AC21" s="214">
        <f>IF($AH21="","",IF(AND($E21&lt;&gt;"",$E21&lt;=EOMONTH(AC$3,0),$F21&gt;=AC$3),IF(AND($G21&lt;&gt;"",$G21&lt;=EOMONTH(AC$3,0),$H21&gt;=AC$3),"B","U"),IF(AND($G21&lt;&gt;"",$G21&lt;=EOMONTH(AC$3,0),$H21&gt;=AC$3),"D","")))</f>
        <v/>
      </c>
      <c r="AD21" s="214">
        <f>IF($AH21="","",IF(AND($E21&lt;&gt;"",$E21&lt;=EOMONTH(AD$3,0),$F21&gt;=AD$3),IF(AND($G21&lt;&gt;"",$G21&lt;=EOMONTH(AD$3,0),$H21&gt;=AD$3),"B","U"),IF(AND($G21&lt;&gt;"",$G21&lt;=EOMONTH(AD$3,0),$H21&gt;=AD$3),"D","")))</f>
        <v/>
      </c>
      <c r="AE21" s="214">
        <f>IF($AH21="","",IF(AND($E21&lt;&gt;"",$E21&lt;=EOMONTH(AE$3,0),$F21&gt;=AE$3),IF(AND($G21&lt;&gt;"",$G21&lt;=EOMONTH(AE$3,0),$H21&gt;=AE$3),"B","U"),IF(AND($G21&lt;&gt;"",$G21&lt;=EOMONTH(AE$3,0),$H21&gt;=AE$3),"D","")))</f>
        <v/>
      </c>
      <c r="AF21" s="214">
        <f>IF($AH21="","",IF(AND($E21&lt;&gt;"",$E21&lt;=EOMONTH(AF$3,0),$F21&gt;=AF$3),IF(AND($G21&lt;&gt;"",$G21&lt;=EOMONTH(AF$3,0),$H21&gt;=AF$3),"B","U"),IF(AND($G21&lt;&gt;"",$G21&lt;=EOMONTH(AF$3,0),$H21&gt;=AF$3),"D","")))</f>
        <v/>
      </c>
      <c r="AG21">
        <f>IF($AH21="","",INDEX('Roadmap Calc (Don’t Touch)'!$D$2:$D$205,$AH21))</f>
        <v/>
      </c>
      <c r="AH21">
        <f>IFERROR(MATCH(15,'Roadmap Calc (Don’t Touch)'!$O$2:$O$205,0),"")</f>
        <v/>
      </c>
    </row>
    <row r="22" ht="17" customHeight="1">
      <c r="A22" s="209">
        <f>IF($AH22="","",IF($AG22=$AG21,"",$AG22))</f>
        <v/>
      </c>
      <c r="B22" s="210">
        <f>IF($AH22="","",INDEX('Roadmap Calc (Don’t Touch)'!$B$2:$B$205,$AH22))</f>
        <v/>
      </c>
      <c r="C22" s="211">
        <f>IF($AH22="","",INDEX('Roadmap Calc (Don’t Touch)'!$E$2:$E$205,$AH22))</f>
        <v/>
      </c>
      <c r="D22" s="212">
        <f>IF($AH22="","",INDEX('Roadmap Calc (Don’t Touch)'!$F$2:$F$205,$AH22))</f>
        <v/>
      </c>
      <c r="E22" s="213">
        <f>IF($AH22="","",INDEX('Roadmap Calc (Don’t Touch)'!$G$2:$G$205,$AH22))</f>
        <v/>
      </c>
      <c r="F22" s="213">
        <f>IF($AH22="","",INDEX('Roadmap Calc (Don’t Touch)'!$H$2:$H$205,$AH22))</f>
        <v/>
      </c>
      <c r="G22" s="213">
        <f>IF($AH22="","",INDEX('Roadmap Calc (Don’t Touch)'!$I$2:$I$205,$AH22))</f>
        <v/>
      </c>
      <c r="H22" s="213">
        <f>IF($AH22="","",INDEX('Roadmap Calc (Don’t Touch)'!$J$2:$J$205,$AH22))</f>
        <v/>
      </c>
      <c r="I22" s="214">
        <f>IF($AH22="","",IF(AND($E22&lt;&gt;"",$E22&lt;=EOMONTH(I$3,0),$F22&gt;=I$3),IF(AND($G22&lt;&gt;"",$G22&lt;=EOMONTH(I$3,0),$H22&gt;=I$3),"B","U"),IF(AND($G22&lt;&gt;"",$G22&lt;=EOMONTH(I$3,0),$H22&gt;=I$3),"D","")))</f>
        <v/>
      </c>
      <c r="J22" s="214">
        <f>IF($AH22="","",IF(AND($E22&lt;&gt;"",$E22&lt;=EOMONTH(J$3,0),$F22&gt;=J$3),IF(AND($G22&lt;&gt;"",$G22&lt;=EOMONTH(J$3,0),$H22&gt;=J$3),"B","U"),IF(AND($G22&lt;&gt;"",$G22&lt;=EOMONTH(J$3,0),$H22&gt;=J$3),"D","")))</f>
        <v/>
      </c>
      <c r="K22" s="214">
        <f>IF($AH22="","",IF(AND($E22&lt;&gt;"",$E22&lt;=EOMONTH(K$3,0),$F22&gt;=K$3),IF(AND($G22&lt;&gt;"",$G22&lt;=EOMONTH(K$3,0),$H22&gt;=K$3),"B","U"),IF(AND($G22&lt;&gt;"",$G22&lt;=EOMONTH(K$3,0),$H22&gt;=K$3),"D","")))</f>
        <v/>
      </c>
      <c r="L22" s="214">
        <f>IF($AH22="","",IF(AND($E22&lt;&gt;"",$E22&lt;=EOMONTH(L$3,0),$F22&gt;=L$3),IF(AND($G22&lt;&gt;"",$G22&lt;=EOMONTH(L$3,0),$H22&gt;=L$3),"B","U"),IF(AND($G22&lt;&gt;"",$G22&lt;=EOMONTH(L$3,0),$H22&gt;=L$3),"D","")))</f>
        <v/>
      </c>
      <c r="M22" s="214">
        <f>IF($AH22="","",IF(AND($E22&lt;&gt;"",$E22&lt;=EOMONTH(M$3,0),$F22&gt;=M$3),IF(AND($G22&lt;&gt;"",$G22&lt;=EOMONTH(M$3,0),$H22&gt;=M$3),"B","U"),IF(AND($G22&lt;&gt;"",$G22&lt;=EOMONTH(M$3,0),$H22&gt;=M$3),"D","")))</f>
        <v/>
      </c>
      <c r="N22" s="214">
        <f>IF($AH22="","",IF(AND($E22&lt;&gt;"",$E22&lt;=EOMONTH(N$3,0),$F22&gt;=N$3),IF(AND($G22&lt;&gt;"",$G22&lt;=EOMONTH(N$3,0),$H22&gt;=N$3),"B","U"),IF(AND($G22&lt;&gt;"",$G22&lt;=EOMONTH(N$3,0),$H22&gt;=N$3),"D","")))</f>
        <v/>
      </c>
      <c r="O22" s="214">
        <f>IF($AH22="","",IF(AND($E22&lt;&gt;"",$E22&lt;=EOMONTH(O$3,0),$F22&gt;=O$3),IF(AND($G22&lt;&gt;"",$G22&lt;=EOMONTH(O$3,0),$H22&gt;=O$3),"B","U"),IF(AND($G22&lt;&gt;"",$G22&lt;=EOMONTH(O$3,0),$H22&gt;=O$3),"D","")))</f>
        <v/>
      </c>
      <c r="P22" s="214">
        <f>IF($AH22="","",IF(AND($E22&lt;&gt;"",$E22&lt;=EOMONTH(P$3,0),$F22&gt;=P$3),IF(AND($G22&lt;&gt;"",$G22&lt;=EOMONTH(P$3,0),$H22&gt;=P$3),"B","U"),IF(AND($G22&lt;&gt;"",$G22&lt;=EOMONTH(P$3,0),$H22&gt;=P$3),"D","")))</f>
        <v/>
      </c>
      <c r="Q22" s="214">
        <f>IF($AH22="","",IF(AND($E22&lt;&gt;"",$E22&lt;=EOMONTH(Q$3,0),$F22&gt;=Q$3),IF(AND($G22&lt;&gt;"",$G22&lt;=EOMONTH(Q$3,0),$H22&gt;=Q$3),"B","U"),IF(AND($G22&lt;&gt;"",$G22&lt;=EOMONTH(Q$3,0),$H22&gt;=Q$3),"D","")))</f>
        <v/>
      </c>
      <c r="R22" s="214">
        <f>IF($AH22="","",IF(AND($E22&lt;&gt;"",$E22&lt;=EOMONTH(R$3,0),$F22&gt;=R$3),IF(AND($G22&lt;&gt;"",$G22&lt;=EOMONTH(R$3,0),$H22&gt;=R$3),"B","U"),IF(AND($G22&lt;&gt;"",$G22&lt;=EOMONTH(R$3,0),$H22&gt;=R$3),"D","")))</f>
        <v/>
      </c>
      <c r="S22" s="214">
        <f>IF($AH22="","",IF(AND($E22&lt;&gt;"",$E22&lt;=EOMONTH(S$3,0),$F22&gt;=S$3),IF(AND($G22&lt;&gt;"",$G22&lt;=EOMONTH(S$3,0),$H22&gt;=S$3),"B","U"),IF(AND($G22&lt;&gt;"",$G22&lt;=EOMONTH(S$3,0),$H22&gt;=S$3),"D","")))</f>
        <v/>
      </c>
      <c r="T22" s="214">
        <f>IF($AH22="","",IF(AND($E22&lt;&gt;"",$E22&lt;=EOMONTH(T$3,0),$F22&gt;=T$3),IF(AND($G22&lt;&gt;"",$G22&lt;=EOMONTH(T$3,0),$H22&gt;=T$3),"B","U"),IF(AND($G22&lt;&gt;"",$G22&lt;=EOMONTH(T$3,0),$H22&gt;=T$3),"D","")))</f>
        <v/>
      </c>
      <c r="U22" s="214">
        <f>IF($AH22="","",IF(AND($E22&lt;&gt;"",$E22&lt;=EOMONTH(U$3,0),$F22&gt;=U$3),IF(AND($G22&lt;&gt;"",$G22&lt;=EOMONTH(U$3,0),$H22&gt;=U$3),"B","U"),IF(AND($G22&lt;&gt;"",$G22&lt;=EOMONTH(U$3,0),$H22&gt;=U$3),"D","")))</f>
        <v/>
      </c>
      <c r="V22" s="214">
        <f>IF($AH22="","",IF(AND($E22&lt;&gt;"",$E22&lt;=EOMONTH(V$3,0),$F22&gt;=V$3),IF(AND($G22&lt;&gt;"",$G22&lt;=EOMONTH(V$3,0),$H22&gt;=V$3),"B","U"),IF(AND($G22&lt;&gt;"",$G22&lt;=EOMONTH(V$3,0),$H22&gt;=V$3),"D","")))</f>
        <v/>
      </c>
      <c r="W22" s="214">
        <f>IF($AH22="","",IF(AND($E22&lt;&gt;"",$E22&lt;=EOMONTH(W$3,0),$F22&gt;=W$3),IF(AND($G22&lt;&gt;"",$G22&lt;=EOMONTH(W$3,0),$H22&gt;=W$3),"B","U"),IF(AND($G22&lt;&gt;"",$G22&lt;=EOMONTH(W$3,0),$H22&gt;=W$3),"D","")))</f>
        <v/>
      </c>
      <c r="X22" s="214">
        <f>IF($AH22="","",IF(AND($E22&lt;&gt;"",$E22&lt;=EOMONTH(X$3,0),$F22&gt;=X$3),IF(AND($G22&lt;&gt;"",$G22&lt;=EOMONTH(X$3,0),$H22&gt;=X$3),"B","U"),IF(AND($G22&lt;&gt;"",$G22&lt;=EOMONTH(X$3,0),$H22&gt;=X$3),"D","")))</f>
        <v/>
      </c>
      <c r="Y22" s="214">
        <f>IF($AH22="","",IF(AND($E22&lt;&gt;"",$E22&lt;=EOMONTH(Y$3,0),$F22&gt;=Y$3),IF(AND($G22&lt;&gt;"",$G22&lt;=EOMONTH(Y$3,0),$H22&gt;=Y$3),"B","U"),IF(AND($G22&lt;&gt;"",$G22&lt;=EOMONTH(Y$3,0),$H22&gt;=Y$3),"D","")))</f>
        <v/>
      </c>
      <c r="Z22" s="214">
        <f>IF($AH22="","",IF(AND($E22&lt;&gt;"",$E22&lt;=EOMONTH(Z$3,0),$F22&gt;=Z$3),IF(AND($G22&lt;&gt;"",$G22&lt;=EOMONTH(Z$3,0),$H22&gt;=Z$3),"B","U"),IF(AND($G22&lt;&gt;"",$G22&lt;=EOMONTH(Z$3,0),$H22&gt;=Z$3),"D","")))</f>
        <v/>
      </c>
      <c r="AA22" s="214">
        <f>IF($AH22="","",IF(AND($E22&lt;&gt;"",$E22&lt;=EOMONTH(AA$3,0),$F22&gt;=AA$3),IF(AND($G22&lt;&gt;"",$G22&lt;=EOMONTH(AA$3,0),$H22&gt;=AA$3),"B","U"),IF(AND($G22&lt;&gt;"",$G22&lt;=EOMONTH(AA$3,0),$H22&gt;=AA$3),"D","")))</f>
        <v/>
      </c>
      <c r="AB22" s="214">
        <f>IF($AH22="","",IF(AND($E22&lt;&gt;"",$E22&lt;=EOMONTH(AB$3,0),$F22&gt;=AB$3),IF(AND($G22&lt;&gt;"",$G22&lt;=EOMONTH(AB$3,0),$H22&gt;=AB$3),"B","U"),IF(AND($G22&lt;&gt;"",$G22&lt;=EOMONTH(AB$3,0),$H22&gt;=AB$3),"D","")))</f>
        <v/>
      </c>
      <c r="AC22" s="214">
        <f>IF($AH22="","",IF(AND($E22&lt;&gt;"",$E22&lt;=EOMONTH(AC$3,0),$F22&gt;=AC$3),IF(AND($G22&lt;&gt;"",$G22&lt;=EOMONTH(AC$3,0),$H22&gt;=AC$3),"B","U"),IF(AND($G22&lt;&gt;"",$G22&lt;=EOMONTH(AC$3,0),$H22&gt;=AC$3),"D","")))</f>
        <v/>
      </c>
      <c r="AD22" s="214">
        <f>IF($AH22="","",IF(AND($E22&lt;&gt;"",$E22&lt;=EOMONTH(AD$3,0),$F22&gt;=AD$3),IF(AND($G22&lt;&gt;"",$G22&lt;=EOMONTH(AD$3,0),$H22&gt;=AD$3),"B","U"),IF(AND($G22&lt;&gt;"",$G22&lt;=EOMONTH(AD$3,0),$H22&gt;=AD$3),"D","")))</f>
        <v/>
      </c>
      <c r="AE22" s="214">
        <f>IF($AH22="","",IF(AND($E22&lt;&gt;"",$E22&lt;=EOMONTH(AE$3,0),$F22&gt;=AE$3),IF(AND($G22&lt;&gt;"",$G22&lt;=EOMONTH(AE$3,0),$H22&gt;=AE$3),"B","U"),IF(AND($G22&lt;&gt;"",$G22&lt;=EOMONTH(AE$3,0),$H22&gt;=AE$3),"D","")))</f>
        <v/>
      </c>
      <c r="AF22" s="214">
        <f>IF($AH22="","",IF(AND($E22&lt;&gt;"",$E22&lt;=EOMONTH(AF$3,0),$F22&gt;=AF$3),IF(AND($G22&lt;&gt;"",$G22&lt;=EOMONTH(AF$3,0),$H22&gt;=AF$3),"B","U"),IF(AND($G22&lt;&gt;"",$G22&lt;=EOMONTH(AF$3,0),$H22&gt;=AF$3),"D","")))</f>
        <v/>
      </c>
      <c r="AG22">
        <f>IF($AH22="","",INDEX('Roadmap Calc (Don’t Touch)'!$D$2:$D$205,$AH22))</f>
        <v/>
      </c>
      <c r="AH22">
        <f>IFERROR(MATCH(16,'Roadmap Calc (Don’t Touch)'!$O$2:$O$205,0),"")</f>
        <v/>
      </c>
    </row>
    <row r="23" ht="17" customHeight="1">
      <c r="A23" s="209">
        <f>IF($AH23="","",IF($AG23=$AG22,"",$AG23))</f>
        <v/>
      </c>
      <c r="B23" s="210">
        <f>IF($AH23="","",INDEX('Roadmap Calc (Don’t Touch)'!$B$2:$B$205,$AH23))</f>
        <v/>
      </c>
      <c r="C23" s="211">
        <f>IF($AH23="","",INDEX('Roadmap Calc (Don’t Touch)'!$E$2:$E$205,$AH23))</f>
        <v/>
      </c>
      <c r="D23" s="212">
        <f>IF($AH23="","",INDEX('Roadmap Calc (Don’t Touch)'!$F$2:$F$205,$AH23))</f>
        <v/>
      </c>
      <c r="E23" s="213">
        <f>IF($AH23="","",INDEX('Roadmap Calc (Don’t Touch)'!$G$2:$G$205,$AH23))</f>
        <v/>
      </c>
      <c r="F23" s="213">
        <f>IF($AH23="","",INDEX('Roadmap Calc (Don’t Touch)'!$H$2:$H$205,$AH23))</f>
        <v/>
      </c>
      <c r="G23" s="213">
        <f>IF($AH23="","",INDEX('Roadmap Calc (Don’t Touch)'!$I$2:$I$205,$AH23))</f>
        <v/>
      </c>
      <c r="H23" s="213">
        <f>IF($AH23="","",INDEX('Roadmap Calc (Don’t Touch)'!$J$2:$J$205,$AH23))</f>
        <v/>
      </c>
      <c r="I23" s="214">
        <f>IF($AH23="","",IF(AND($E23&lt;&gt;"",$E23&lt;=EOMONTH(I$3,0),$F23&gt;=I$3),IF(AND($G23&lt;&gt;"",$G23&lt;=EOMONTH(I$3,0),$H23&gt;=I$3),"B","U"),IF(AND($G23&lt;&gt;"",$G23&lt;=EOMONTH(I$3,0),$H23&gt;=I$3),"D","")))</f>
        <v/>
      </c>
      <c r="J23" s="214">
        <f>IF($AH23="","",IF(AND($E23&lt;&gt;"",$E23&lt;=EOMONTH(J$3,0),$F23&gt;=J$3),IF(AND($G23&lt;&gt;"",$G23&lt;=EOMONTH(J$3,0),$H23&gt;=J$3),"B","U"),IF(AND($G23&lt;&gt;"",$G23&lt;=EOMONTH(J$3,0),$H23&gt;=J$3),"D","")))</f>
        <v/>
      </c>
      <c r="K23" s="214">
        <f>IF($AH23="","",IF(AND($E23&lt;&gt;"",$E23&lt;=EOMONTH(K$3,0),$F23&gt;=K$3),IF(AND($G23&lt;&gt;"",$G23&lt;=EOMONTH(K$3,0),$H23&gt;=K$3),"B","U"),IF(AND($G23&lt;&gt;"",$G23&lt;=EOMONTH(K$3,0),$H23&gt;=K$3),"D","")))</f>
        <v/>
      </c>
      <c r="L23" s="214">
        <f>IF($AH23="","",IF(AND($E23&lt;&gt;"",$E23&lt;=EOMONTH(L$3,0),$F23&gt;=L$3),IF(AND($G23&lt;&gt;"",$G23&lt;=EOMONTH(L$3,0),$H23&gt;=L$3),"B","U"),IF(AND($G23&lt;&gt;"",$G23&lt;=EOMONTH(L$3,0),$H23&gt;=L$3),"D","")))</f>
        <v/>
      </c>
      <c r="M23" s="214">
        <f>IF($AH23="","",IF(AND($E23&lt;&gt;"",$E23&lt;=EOMONTH(M$3,0),$F23&gt;=M$3),IF(AND($G23&lt;&gt;"",$G23&lt;=EOMONTH(M$3,0),$H23&gt;=M$3),"B","U"),IF(AND($G23&lt;&gt;"",$G23&lt;=EOMONTH(M$3,0),$H23&gt;=M$3),"D","")))</f>
        <v/>
      </c>
      <c r="N23" s="214">
        <f>IF($AH23="","",IF(AND($E23&lt;&gt;"",$E23&lt;=EOMONTH(N$3,0),$F23&gt;=N$3),IF(AND($G23&lt;&gt;"",$G23&lt;=EOMONTH(N$3,0),$H23&gt;=N$3),"B","U"),IF(AND($G23&lt;&gt;"",$G23&lt;=EOMONTH(N$3,0),$H23&gt;=N$3),"D","")))</f>
        <v/>
      </c>
      <c r="O23" s="214">
        <f>IF($AH23="","",IF(AND($E23&lt;&gt;"",$E23&lt;=EOMONTH(O$3,0),$F23&gt;=O$3),IF(AND($G23&lt;&gt;"",$G23&lt;=EOMONTH(O$3,0),$H23&gt;=O$3),"B","U"),IF(AND($G23&lt;&gt;"",$G23&lt;=EOMONTH(O$3,0),$H23&gt;=O$3),"D","")))</f>
        <v/>
      </c>
      <c r="P23" s="214">
        <f>IF($AH23="","",IF(AND($E23&lt;&gt;"",$E23&lt;=EOMONTH(P$3,0),$F23&gt;=P$3),IF(AND($G23&lt;&gt;"",$G23&lt;=EOMONTH(P$3,0),$H23&gt;=P$3),"B","U"),IF(AND($G23&lt;&gt;"",$G23&lt;=EOMONTH(P$3,0),$H23&gt;=P$3),"D","")))</f>
        <v/>
      </c>
      <c r="Q23" s="214">
        <f>IF($AH23="","",IF(AND($E23&lt;&gt;"",$E23&lt;=EOMONTH(Q$3,0),$F23&gt;=Q$3),IF(AND($G23&lt;&gt;"",$G23&lt;=EOMONTH(Q$3,0),$H23&gt;=Q$3),"B","U"),IF(AND($G23&lt;&gt;"",$G23&lt;=EOMONTH(Q$3,0),$H23&gt;=Q$3),"D","")))</f>
        <v/>
      </c>
      <c r="R23" s="214">
        <f>IF($AH23="","",IF(AND($E23&lt;&gt;"",$E23&lt;=EOMONTH(R$3,0),$F23&gt;=R$3),IF(AND($G23&lt;&gt;"",$G23&lt;=EOMONTH(R$3,0),$H23&gt;=R$3),"B","U"),IF(AND($G23&lt;&gt;"",$G23&lt;=EOMONTH(R$3,0),$H23&gt;=R$3),"D","")))</f>
        <v/>
      </c>
      <c r="S23" s="214">
        <f>IF($AH23="","",IF(AND($E23&lt;&gt;"",$E23&lt;=EOMONTH(S$3,0),$F23&gt;=S$3),IF(AND($G23&lt;&gt;"",$G23&lt;=EOMONTH(S$3,0),$H23&gt;=S$3),"B","U"),IF(AND($G23&lt;&gt;"",$G23&lt;=EOMONTH(S$3,0),$H23&gt;=S$3),"D","")))</f>
        <v/>
      </c>
      <c r="T23" s="214">
        <f>IF($AH23="","",IF(AND($E23&lt;&gt;"",$E23&lt;=EOMONTH(T$3,0),$F23&gt;=T$3),IF(AND($G23&lt;&gt;"",$G23&lt;=EOMONTH(T$3,0),$H23&gt;=T$3),"B","U"),IF(AND($G23&lt;&gt;"",$G23&lt;=EOMONTH(T$3,0),$H23&gt;=T$3),"D","")))</f>
        <v/>
      </c>
      <c r="U23" s="214">
        <f>IF($AH23="","",IF(AND($E23&lt;&gt;"",$E23&lt;=EOMONTH(U$3,0),$F23&gt;=U$3),IF(AND($G23&lt;&gt;"",$G23&lt;=EOMONTH(U$3,0),$H23&gt;=U$3),"B","U"),IF(AND($G23&lt;&gt;"",$G23&lt;=EOMONTH(U$3,0),$H23&gt;=U$3),"D","")))</f>
        <v/>
      </c>
      <c r="V23" s="214">
        <f>IF($AH23="","",IF(AND($E23&lt;&gt;"",$E23&lt;=EOMONTH(V$3,0),$F23&gt;=V$3),IF(AND($G23&lt;&gt;"",$G23&lt;=EOMONTH(V$3,0),$H23&gt;=V$3),"B","U"),IF(AND($G23&lt;&gt;"",$G23&lt;=EOMONTH(V$3,0),$H23&gt;=V$3),"D","")))</f>
        <v/>
      </c>
      <c r="W23" s="214">
        <f>IF($AH23="","",IF(AND($E23&lt;&gt;"",$E23&lt;=EOMONTH(W$3,0),$F23&gt;=W$3),IF(AND($G23&lt;&gt;"",$G23&lt;=EOMONTH(W$3,0),$H23&gt;=W$3),"B","U"),IF(AND($G23&lt;&gt;"",$G23&lt;=EOMONTH(W$3,0),$H23&gt;=W$3),"D","")))</f>
        <v/>
      </c>
      <c r="X23" s="214">
        <f>IF($AH23="","",IF(AND($E23&lt;&gt;"",$E23&lt;=EOMONTH(X$3,0),$F23&gt;=X$3),IF(AND($G23&lt;&gt;"",$G23&lt;=EOMONTH(X$3,0),$H23&gt;=X$3),"B","U"),IF(AND($G23&lt;&gt;"",$G23&lt;=EOMONTH(X$3,0),$H23&gt;=X$3),"D","")))</f>
        <v/>
      </c>
      <c r="Y23" s="214">
        <f>IF($AH23="","",IF(AND($E23&lt;&gt;"",$E23&lt;=EOMONTH(Y$3,0),$F23&gt;=Y$3),IF(AND($G23&lt;&gt;"",$G23&lt;=EOMONTH(Y$3,0),$H23&gt;=Y$3),"B","U"),IF(AND($G23&lt;&gt;"",$G23&lt;=EOMONTH(Y$3,0),$H23&gt;=Y$3),"D","")))</f>
        <v/>
      </c>
      <c r="Z23" s="214">
        <f>IF($AH23="","",IF(AND($E23&lt;&gt;"",$E23&lt;=EOMONTH(Z$3,0),$F23&gt;=Z$3),IF(AND($G23&lt;&gt;"",$G23&lt;=EOMONTH(Z$3,0),$H23&gt;=Z$3),"B","U"),IF(AND($G23&lt;&gt;"",$G23&lt;=EOMONTH(Z$3,0),$H23&gt;=Z$3),"D","")))</f>
        <v/>
      </c>
      <c r="AA23" s="214">
        <f>IF($AH23="","",IF(AND($E23&lt;&gt;"",$E23&lt;=EOMONTH(AA$3,0),$F23&gt;=AA$3),IF(AND($G23&lt;&gt;"",$G23&lt;=EOMONTH(AA$3,0),$H23&gt;=AA$3),"B","U"),IF(AND($G23&lt;&gt;"",$G23&lt;=EOMONTH(AA$3,0),$H23&gt;=AA$3),"D","")))</f>
        <v/>
      </c>
      <c r="AB23" s="214">
        <f>IF($AH23="","",IF(AND($E23&lt;&gt;"",$E23&lt;=EOMONTH(AB$3,0),$F23&gt;=AB$3),IF(AND($G23&lt;&gt;"",$G23&lt;=EOMONTH(AB$3,0),$H23&gt;=AB$3),"B","U"),IF(AND($G23&lt;&gt;"",$G23&lt;=EOMONTH(AB$3,0),$H23&gt;=AB$3),"D","")))</f>
        <v/>
      </c>
      <c r="AC23" s="214">
        <f>IF($AH23="","",IF(AND($E23&lt;&gt;"",$E23&lt;=EOMONTH(AC$3,0),$F23&gt;=AC$3),IF(AND($G23&lt;&gt;"",$G23&lt;=EOMONTH(AC$3,0),$H23&gt;=AC$3),"B","U"),IF(AND($G23&lt;&gt;"",$G23&lt;=EOMONTH(AC$3,0),$H23&gt;=AC$3),"D","")))</f>
        <v/>
      </c>
      <c r="AD23" s="214">
        <f>IF($AH23="","",IF(AND($E23&lt;&gt;"",$E23&lt;=EOMONTH(AD$3,0),$F23&gt;=AD$3),IF(AND($G23&lt;&gt;"",$G23&lt;=EOMONTH(AD$3,0),$H23&gt;=AD$3),"B","U"),IF(AND($G23&lt;&gt;"",$G23&lt;=EOMONTH(AD$3,0),$H23&gt;=AD$3),"D","")))</f>
        <v/>
      </c>
      <c r="AE23" s="214">
        <f>IF($AH23="","",IF(AND($E23&lt;&gt;"",$E23&lt;=EOMONTH(AE$3,0),$F23&gt;=AE$3),IF(AND($G23&lt;&gt;"",$G23&lt;=EOMONTH(AE$3,0),$H23&gt;=AE$3),"B","U"),IF(AND($G23&lt;&gt;"",$G23&lt;=EOMONTH(AE$3,0),$H23&gt;=AE$3),"D","")))</f>
        <v/>
      </c>
      <c r="AF23" s="214">
        <f>IF($AH23="","",IF(AND($E23&lt;&gt;"",$E23&lt;=EOMONTH(AF$3,0),$F23&gt;=AF$3),IF(AND($G23&lt;&gt;"",$G23&lt;=EOMONTH(AF$3,0),$H23&gt;=AF$3),"B","U"),IF(AND($G23&lt;&gt;"",$G23&lt;=EOMONTH(AF$3,0),$H23&gt;=AF$3),"D","")))</f>
        <v/>
      </c>
      <c r="AG23">
        <f>IF($AH23="","",INDEX('Roadmap Calc (Don’t Touch)'!$D$2:$D$205,$AH23))</f>
        <v/>
      </c>
      <c r="AH23">
        <f>IFERROR(MATCH(17,'Roadmap Calc (Don’t Touch)'!$O$2:$O$205,0),"")</f>
        <v/>
      </c>
    </row>
    <row r="24" ht="17" customHeight="1">
      <c r="A24" s="209">
        <f>IF($AH24="","",IF($AG24=$AG23,"",$AG24))</f>
        <v/>
      </c>
      <c r="B24" s="210">
        <f>IF($AH24="","",INDEX('Roadmap Calc (Don’t Touch)'!$B$2:$B$205,$AH24))</f>
        <v/>
      </c>
      <c r="C24" s="211">
        <f>IF($AH24="","",INDEX('Roadmap Calc (Don’t Touch)'!$E$2:$E$205,$AH24))</f>
        <v/>
      </c>
      <c r="D24" s="212">
        <f>IF($AH24="","",INDEX('Roadmap Calc (Don’t Touch)'!$F$2:$F$205,$AH24))</f>
        <v/>
      </c>
      <c r="E24" s="213">
        <f>IF($AH24="","",INDEX('Roadmap Calc (Don’t Touch)'!$G$2:$G$205,$AH24))</f>
        <v/>
      </c>
      <c r="F24" s="213">
        <f>IF($AH24="","",INDEX('Roadmap Calc (Don’t Touch)'!$H$2:$H$205,$AH24))</f>
        <v/>
      </c>
      <c r="G24" s="213">
        <f>IF($AH24="","",INDEX('Roadmap Calc (Don’t Touch)'!$I$2:$I$205,$AH24))</f>
        <v/>
      </c>
      <c r="H24" s="213">
        <f>IF($AH24="","",INDEX('Roadmap Calc (Don’t Touch)'!$J$2:$J$205,$AH24))</f>
        <v/>
      </c>
      <c r="I24" s="214">
        <f>IF($AH24="","",IF(AND($E24&lt;&gt;"",$E24&lt;=EOMONTH(I$3,0),$F24&gt;=I$3),IF(AND($G24&lt;&gt;"",$G24&lt;=EOMONTH(I$3,0),$H24&gt;=I$3),"B","U"),IF(AND($G24&lt;&gt;"",$G24&lt;=EOMONTH(I$3,0),$H24&gt;=I$3),"D","")))</f>
        <v/>
      </c>
      <c r="J24" s="214">
        <f>IF($AH24="","",IF(AND($E24&lt;&gt;"",$E24&lt;=EOMONTH(J$3,0),$F24&gt;=J$3),IF(AND($G24&lt;&gt;"",$G24&lt;=EOMONTH(J$3,0),$H24&gt;=J$3),"B","U"),IF(AND($G24&lt;&gt;"",$G24&lt;=EOMONTH(J$3,0),$H24&gt;=J$3),"D","")))</f>
        <v/>
      </c>
      <c r="K24" s="214">
        <f>IF($AH24="","",IF(AND($E24&lt;&gt;"",$E24&lt;=EOMONTH(K$3,0),$F24&gt;=K$3),IF(AND($G24&lt;&gt;"",$G24&lt;=EOMONTH(K$3,0),$H24&gt;=K$3),"B","U"),IF(AND($G24&lt;&gt;"",$G24&lt;=EOMONTH(K$3,0),$H24&gt;=K$3),"D","")))</f>
        <v/>
      </c>
      <c r="L24" s="214">
        <f>IF($AH24="","",IF(AND($E24&lt;&gt;"",$E24&lt;=EOMONTH(L$3,0),$F24&gt;=L$3),IF(AND($G24&lt;&gt;"",$G24&lt;=EOMONTH(L$3,0),$H24&gt;=L$3),"B","U"),IF(AND($G24&lt;&gt;"",$G24&lt;=EOMONTH(L$3,0),$H24&gt;=L$3),"D","")))</f>
        <v/>
      </c>
      <c r="M24" s="214">
        <f>IF($AH24="","",IF(AND($E24&lt;&gt;"",$E24&lt;=EOMONTH(M$3,0),$F24&gt;=M$3),IF(AND($G24&lt;&gt;"",$G24&lt;=EOMONTH(M$3,0),$H24&gt;=M$3),"B","U"),IF(AND($G24&lt;&gt;"",$G24&lt;=EOMONTH(M$3,0),$H24&gt;=M$3),"D","")))</f>
        <v/>
      </c>
      <c r="N24" s="214">
        <f>IF($AH24="","",IF(AND($E24&lt;&gt;"",$E24&lt;=EOMONTH(N$3,0),$F24&gt;=N$3),IF(AND($G24&lt;&gt;"",$G24&lt;=EOMONTH(N$3,0),$H24&gt;=N$3),"B","U"),IF(AND($G24&lt;&gt;"",$G24&lt;=EOMONTH(N$3,0),$H24&gt;=N$3),"D","")))</f>
        <v/>
      </c>
      <c r="O24" s="214">
        <f>IF($AH24="","",IF(AND($E24&lt;&gt;"",$E24&lt;=EOMONTH(O$3,0),$F24&gt;=O$3),IF(AND($G24&lt;&gt;"",$G24&lt;=EOMONTH(O$3,0),$H24&gt;=O$3),"B","U"),IF(AND($G24&lt;&gt;"",$G24&lt;=EOMONTH(O$3,0),$H24&gt;=O$3),"D","")))</f>
        <v/>
      </c>
      <c r="P24" s="214">
        <f>IF($AH24="","",IF(AND($E24&lt;&gt;"",$E24&lt;=EOMONTH(P$3,0),$F24&gt;=P$3),IF(AND($G24&lt;&gt;"",$G24&lt;=EOMONTH(P$3,0),$H24&gt;=P$3),"B","U"),IF(AND($G24&lt;&gt;"",$G24&lt;=EOMONTH(P$3,0),$H24&gt;=P$3),"D","")))</f>
        <v/>
      </c>
      <c r="Q24" s="214">
        <f>IF($AH24="","",IF(AND($E24&lt;&gt;"",$E24&lt;=EOMONTH(Q$3,0),$F24&gt;=Q$3),IF(AND($G24&lt;&gt;"",$G24&lt;=EOMONTH(Q$3,0),$H24&gt;=Q$3),"B","U"),IF(AND($G24&lt;&gt;"",$G24&lt;=EOMONTH(Q$3,0),$H24&gt;=Q$3),"D","")))</f>
        <v/>
      </c>
      <c r="R24" s="214">
        <f>IF($AH24="","",IF(AND($E24&lt;&gt;"",$E24&lt;=EOMONTH(R$3,0),$F24&gt;=R$3),IF(AND($G24&lt;&gt;"",$G24&lt;=EOMONTH(R$3,0),$H24&gt;=R$3),"B","U"),IF(AND($G24&lt;&gt;"",$G24&lt;=EOMONTH(R$3,0),$H24&gt;=R$3),"D","")))</f>
        <v/>
      </c>
      <c r="S24" s="214">
        <f>IF($AH24="","",IF(AND($E24&lt;&gt;"",$E24&lt;=EOMONTH(S$3,0),$F24&gt;=S$3),IF(AND($G24&lt;&gt;"",$G24&lt;=EOMONTH(S$3,0),$H24&gt;=S$3),"B","U"),IF(AND($G24&lt;&gt;"",$G24&lt;=EOMONTH(S$3,0),$H24&gt;=S$3),"D","")))</f>
        <v/>
      </c>
      <c r="T24" s="214">
        <f>IF($AH24="","",IF(AND($E24&lt;&gt;"",$E24&lt;=EOMONTH(T$3,0),$F24&gt;=T$3),IF(AND($G24&lt;&gt;"",$G24&lt;=EOMONTH(T$3,0),$H24&gt;=T$3),"B","U"),IF(AND($G24&lt;&gt;"",$G24&lt;=EOMONTH(T$3,0),$H24&gt;=T$3),"D","")))</f>
        <v/>
      </c>
      <c r="U24" s="214">
        <f>IF($AH24="","",IF(AND($E24&lt;&gt;"",$E24&lt;=EOMONTH(U$3,0),$F24&gt;=U$3),IF(AND($G24&lt;&gt;"",$G24&lt;=EOMONTH(U$3,0),$H24&gt;=U$3),"B","U"),IF(AND($G24&lt;&gt;"",$G24&lt;=EOMONTH(U$3,0),$H24&gt;=U$3),"D","")))</f>
        <v/>
      </c>
      <c r="V24" s="214">
        <f>IF($AH24="","",IF(AND($E24&lt;&gt;"",$E24&lt;=EOMONTH(V$3,0),$F24&gt;=V$3),IF(AND($G24&lt;&gt;"",$G24&lt;=EOMONTH(V$3,0),$H24&gt;=V$3),"B","U"),IF(AND($G24&lt;&gt;"",$G24&lt;=EOMONTH(V$3,0),$H24&gt;=V$3),"D","")))</f>
        <v/>
      </c>
      <c r="W24" s="214">
        <f>IF($AH24="","",IF(AND($E24&lt;&gt;"",$E24&lt;=EOMONTH(W$3,0),$F24&gt;=W$3),IF(AND($G24&lt;&gt;"",$G24&lt;=EOMONTH(W$3,0),$H24&gt;=W$3),"B","U"),IF(AND($G24&lt;&gt;"",$G24&lt;=EOMONTH(W$3,0),$H24&gt;=W$3),"D","")))</f>
        <v/>
      </c>
      <c r="X24" s="214">
        <f>IF($AH24="","",IF(AND($E24&lt;&gt;"",$E24&lt;=EOMONTH(X$3,0),$F24&gt;=X$3),IF(AND($G24&lt;&gt;"",$G24&lt;=EOMONTH(X$3,0),$H24&gt;=X$3),"B","U"),IF(AND($G24&lt;&gt;"",$G24&lt;=EOMONTH(X$3,0),$H24&gt;=X$3),"D","")))</f>
        <v/>
      </c>
      <c r="Y24" s="214">
        <f>IF($AH24="","",IF(AND($E24&lt;&gt;"",$E24&lt;=EOMONTH(Y$3,0),$F24&gt;=Y$3),IF(AND($G24&lt;&gt;"",$G24&lt;=EOMONTH(Y$3,0),$H24&gt;=Y$3),"B","U"),IF(AND($G24&lt;&gt;"",$G24&lt;=EOMONTH(Y$3,0),$H24&gt;=Y$3),"D","")))</f>
        <v/>
      </c>
      <c r="Z24" s="214">
        <f>IF($AH24="","",IF(AND($E24&lt;&gt;"",$E24&lt;=EOMONTH(Z$3,0),$F24&gt;=Z$3),IF(AND($G24&lt;&gt;"",$G24&lt;=EOMONTH(Z$3,0),$H24&gt;=Z$3),"B","U"),IF(AND($G24&lt;&gt;"",$G24&lt;=EOMONTH(Z$3,0),$H24&gt;=Z$3),"D","")))</f>
        <v/>
      </c>
      <c r="AA24" s="214">
        <f>IF($AH24="","",IF(AND($E24&lt;&gt;"",$E24&lt;=EOMONTH(AA$3,0),$F24&gt;=AA$3),IF(AND($G24&lt;&gt;"",$G24&lt;=EOMONTH(AA$3,0),$H24&gt;=AA$3),"B","U"),IF(AND($G24&lt;&gt;"",$G24&lt;=EOMONTH(AA$3,0),$H24&gt;=AA$3),"D","")))</f>
        <v/>
      </c>
      <c r="AB24" s="214">
        <f>IF($AH24="","",IF(AND($E24&lt;&gt;"",$E24&lt;=EOMONTH(AB$3,0),$F24&gt;=AB$3),IF(AND($G24&lt;&gt;"",$G24&lt;=EOMONTH(AB$3,0),$H24&gt;=AB$3),"B","U"),IF(AND($G24&lt;&gt;"",$G24&lt;=EOMONTH(AB$3,0),$H24&gt;=AB$3),"D","")))</f>
        <v/>
      </c>
      <c r="AC24" s="214">
        <f>IF($AH24="","",IF(AND($E24&lt;&gt;"",$E24&lt;=EOMONTH(AC$3,0),$F24&gt;=AC$3),IF(AND($G24&lt;&gt;"",$G24&lt;=EOMONTH(AC$3,0),$H24&gt;=AC$3),"B","U"),IF(AND($G24&lt;&gt;"",$G24&lt;=EOMONTH(AC$3,0),$H24&gt;=AC$3),"D","")))</f>
        <v/>
      </c>
      <c r="AD24" s="214">
        <f>IF($AH24="","",IF(AND($E24&lt;&gt;"",$E24&lt;=EOMONTH(AD$3,0),$F24&gt;=AD$3),IF(AND($G24&lt;&gt;"",$G24&lt;=EOMONTH(AD$3,0),$H24&gt;=AD$3),"B","U"),IF(AND($G24&lt;&gt;"",$G24&lt;=EOMONTH(AD$3,0),$H24&gt;=AD$3),"D","")))</f>
        <v/>
      </c>
      <c r="AE24" s="214">
        <f>IF($AH24="","",IF(AND($E24&lt;&gt;"",$E24&lt;=EOMONTH(AE$3,0),$F24&gt;=AE$3),IF(AND($G24&lt;&gt;"",$G24&lt;=EOMONTH(AE$3,0),$H24&gt;=AE$3),"B","U"),IF(AND($G24&lt;&gt;"",$G24&lt;=EOMONTH(AE$3,0),$H24&gt;=AE$3),"D","")))</f>
        <v/>
      </c>
      <c r="AF24" s="214">
        <f>IF($AH24="","",IF(AND($E24&lt;&gt;"",$E24&lt;=EOMONTH(AF$3,0),$F24&gt;=AF$3),IF(AND($G24&lt;&gt;"",$G24&lt;=EOMONTH(AF$3,0),$H24&gt;=AF$3),"B","U"),IF(AND($G24&lt;&gt;"",$G24&lt;=EOMONTH(AF$3,0),$H24&gt;=AF$3),"D","")))</f>
        <v/>
      </c>
      <c r="AG24">
        <f>IF($AH24="","",INDEX('Roadmap Calc (Don’t Touch)'!$D$2:$D$205,$AH24))</f>
        <v/>
      </c>
      <c r="AH24">
        <f>IFERROR(MATCH(18,'Roadmap Calc (Don’t Touch)'!$O$2:$O$205,0),"")</f>
        <v/>
      </c>
    </row>
    <row r="25" ht="17" customHeight="1">
      <c r="A25" s="209">
        <f>IF($AH25="","",IF($AG25=$AG24,"",$AG25))</f>
        <v/>
      </c>
      <c r="B25" s="210">
        <f>IF($AH25="","",INDEX('Roadmap Calc (Don’t Touch)'!$B$2:$B$205,$AH25))</f>
        <v/>
      </c>
      <c r="C25" s="211">
        <f>IF($AH25="","",INDEX('Roadmap Calc (Don’t Touch)'!$E$2:$E$205,$AH25))</f>
        <v/>
      </c>
      <c r="D25" s="212">
        <f>IF($AH25="","",INDEX('Roadmap Calc (Don’t Touch)'!$F$2:$F$205,$AH25))</f>
        <v/>
      </c>
      <c r="E25" s="213">
        <f>IF($AH25="","",INDEX('Roadmap Calc (Don’t Touch)'!$G$2:$G$205,$AH25))</f>
        <v/>
      </c>
      <c r="F25" s="213">
        <f>IF($AH25="","",INDEX('Roadmap Calc (Don’t Touch)'!$H$2:$H$205,$AH25))</f>
        <v/>
      </c>
      <c r="G25" s="213">
        <f>IF($AH25="","",INDEX('Roadmap Calc (Don’t Touch)'!$I$2:$I$205,$AH25))</f>
        <v/>
      </c>
      <c r="H25" s="213">
        <f>IF($AH25="","",INDEX('Roadmap Calc (Don’t Touch)'!$J$2:$J$205,$AH25))</f>
        <v/>
      </c>
      <c r="I25" s="214">
        <f>IF($AH25="","",IF(AND($E25&lt;&gt;"",$E25&lt;=EOMONTH(I$3,0),$F25&gt;=I$3),IF(AND($G25&lt;&gt;"",$G25&lt;=EOMONTH(I$3,0),$H25&gt;=I$3),"B","U"),IF(AND($G25&lt;&gt;"",$G25&lt;=EOMONTH(I$3,0),$H25&gt;=I$3),"D","")))</f>
        <v/>
      </c>
      <c r="J25" s="214">
        <f>IF($AH25="","",IF(AND($E25&lt;&gt;"",$E25&lt;=EOMONTH(J$3,0),$F25&gt;=J$3),IF(AND($G25&lt;&gt;"",$G25&lt;=EOMONTH(J$3,0),$H25&gt;=J$3),"B","U"),IF(AND($G25&lt;&gt;"",$G25&lt;=EOMONTH(J$3,0),$H25&gt;=J$3),"D","")))</f>
        <v/>
      </c>
      <c r="K25" s="214">
        <f>IF($AH25="","",IF(AND($E25&lt;&gt;"",$E25&lt;=EOMONTH(K$3,0),$F25&gt;=K$3),IF(AND($G25&lt;&gt;"",$G25&lt;=EOMONTH(K$3,0),$H25&gt;=K$3),"B","U"),IF(AND($G25&lt;&gt;"",$G25&lt;=EOMONTH(K$3,0),$H25&gt;=K$3),"D","")))</f>
        <v/>
      </c>
      <c r="L25" s="214">
        <f>IF($AH25="","",IF(AND($E25&lt;&gt;"",$E25&lt;=EOMONTH(L$3,0),$F25&gt;=L$3),IF(AND($G25&lt;&gt;"",$G25&lt;=EOMONTH(L$3,0),$H25&gt;=L$3),"B","U"),IF(AND($G25&lt;&gt;"",$G25&lt;=EOMONTH(L$3,0),$H25&gt;=L$3),"D","")))</f>
        <v/>
      </c>
      <c r="M25" s="214">
        <f>IF($AH25="","",IF(AND($E25&lt;&gt;"",$E25&lt;=EOMONTH(M$3,0),$F25&gt;=M$3),IF(AND($G25&lt;&gt;"",$G25&lt;=EOMONTH(M$3,0),$H25&gt;=M$3),"B","U"),IF(AND($G25&lt;&gt;"",$G25&lt;=EOMONTH(M$3,0),$H25&gt;=M$3),"D","")))</f>
        <v/>
      </c>
      <c r="N25" s="214">
        <f>IF($AH25="","",IF(AND($E25&lt;&gt;"",$E25&lt;=EOMONTH(N$3,0),$F25&gt;=N$3),IF(AND($G25&lt;&gt;"",$G25&lt;=EOMONTH(N$3,0),$H25&gt;=N$3),"B","U"),IF(AND($G25&lt;&gt;"",$G25&lt;=EOMONTH(N$3,0),$H25&gt;=N$3),"D","")))</f>
        <v/>
      </c>
      <c r="O25" s="214">
        <f>IF($AH25="","",IF(AND($E25&lt;&gt;"",$E25&lt;=EOMONTH(O$3,0),$F25&gt;=O$3),IF(AND($G25&lt;&gt;"",$G25&lt;=EOMONTH(O$3,0),$H25&gt;=O$3),"B","U"),IF(AND($G25&lt;&gt;"",$G25&lt;=EOMONTH(O$3,0),$H25&gt;=O$3),"D","")))</f>
        <v/>
      </c>
      <c r="P25" s="214">
        <f>IF($AH25="","",IF(AND($E25&lt;&gt;"",$E25&lt;=EOMONTH(P$3,0),$F25&gt;=P$3),IF(AND($G25&lt;&gt;"",$G25&lt;=EOMONTH(P$3,0),$H25&gt;=P$3),"B","U"),IF(AND($G25&lt;&gt;"",$G25&lt;=EOMONTH(P$3,0),$H25&gt;=P$3),"D","")))</f>
        <v/>
      </c>
      <c r="Q25" s="214">
        <f>IF($AH25="","",IF(AND($E25&lt;&gt;"",$E25&lt;=EOMONTH(Q$3,0),$F25&gt;=Q$3),IF(AND($G25&lt;&gt;"",$G25&lt;=EOMONTH(Q$3,0),$H25&gt;=Q$3),"B","U"),IF(AND($G25&lt;&gt;"",$G25&lt;=EOMONTH(Q$3,0),$H25&gt;=Q$3),"D","")))</f>
        <v/>
      </c>
      <c r="R25" s="214">
        <f>IF($AH25="","",IF(AND($E25&lt;&gt;"",$E25&lt;=EOMONTH(R$3,0),$F25&gt;=R$3),IF(AND($G25&lt;&gt;"",$G25&lt;=EOMONTH(R$3,0),$H25&gt;=R$3),"B","U"),IF(AND($G25&lt;&gt;"",$G25&lt;=EOMONTH(R$3,0),$H25&gt;=R$3),"D","")))</f>
        <v/>
      </c>
      <c r="S25" s="214">
        <f>IF($AH25="","",IF(AND($E25&lt;&gt;"",$E25&lt;=EOMONTH(S$3,0),$F25&gt;=S$3),IF(AND($G25&lt;&gt;"",$G25&lt;=EOMONTH(S$3,0),$H25&gt;=S$3),"B","U"),IF(AND($G25&lt;&gt;"",$G25&lt;=EOMONTH(S$3,0),$H25&gt;=S$3),"D","")))</f>
        <v/>
      </c>
      <c r="T25" s="214">
        <f>IF($AH25="","",IF(AND($E25&lt;&gt;"",$E25&lt;=EOMONTH(T$3,0),$F25&gt;=T$3),IF(AND($G25&lt;&gt;"",$G25&lt;=EOMONTH(T$3,0),$H25&gt;=T$3),"B","U"),IF(AND($G25&lt;&gt;"",$G25&lt;=EOMONTH(T$3,0),$H25&gt;=T$3),"D","")))</f>
        <v/>
      </c>
      <c r="U25" s="214">
        <f>IF($AH25="","",IF(AND($E25&lt;&gt;"",$E25&lt;=EOMONTH(U$3,0),$F25&gt;=U$3),IF(AND($G25&lt;&gt;"",$G25&lt;=EOMONTH(U$3,0),$H25&gt;=U$3),"B","U"),IF(AND($G25&lt;&gt;"",$G25&lt;=EOMONTH(U$3,0),$H25&gt;=U$3),"D","")))</f>
        <v/>
      </c>
      <c r="V25" s="214">
        <f>IF($AH25="","",IF(AND($E25&lt;&gt;"",$E25&lt;=EOMONTH(V$3,0),$F25&gt;=V$3),IF(AND($G25&lt;&gt;"",$G25&lt;=EOMONTH(V$3,0),$H25&gt;=V$3),"B","U"),IF(AND($G25&lt;&gt;"",$G25&lt;=EOMONTH(V$3,0),$H25&gt;=V$3),"D","")))</f>
        <v/>
      </c>
      <c r="W25" s="214">
        <f>IF($AH25="","",IF(AND($E25&lt;&gt;"",$E25&lt;=EOMONTH(W$3,0),$F25&gt;=W$3),IF(AND($G25&lt;&gt;"",$G25&lt;=EOMONTH(W$3,0),$H25&gt;=W$3),"B","U"),IF(AND($G25&lt;&gt;"",$G25&lt;=EOMONTH(W$3,0),$H25&gt;=W$3),"D","")))</f>
        <v/>
      </c>
      <c r="X25" s="214">
        <f>IF($AH25="","",IF(AND($E25&lt;&gt;"",$E25&lt;=EOMONTH(X$3,0),$F25&gt;=X$3),IF(AND($G25&lt;&gt;"",$G25&lt;=EOMONTH(X$3,0),$H25&gt;=X$3),"B","U"),IF(AND($G25&lt;&gt;"",$G25&lt;=EOMONTH(X$3,0),$H25&gt;=X$3),"D","")))</f>
        <v/>
      </c>
      <c r="Y25" s="214">
        <f>IF($AH25="","",IF(AND($E25&lt;&gt;"",$E25&lt;=EOMONTH(Y$3,0),$F25&gt;=Y$3),IF(AND($G25&lt;&gt;"",$G25&lt;=EOMONTH(Y$3,0),$H25&gt;=Y$3),"B","U"),IF(AND($G25&lt;&gt;"",$G25&lt;=EOMONTH(Y$3,0),$H25&gt;=Y$3),"D","")))</f>
        <v/>
      </c>
      <c r="Z25" s="214">
        <f>IF($AH25="","",IF(AND($E25&lt;&gt;"",$E25&lt;=EOMONTH(Z$3,0),$F25&gt;=Z$3),IF(AND($G25&lt;&gt;"",$G25&lt;=EOMONTH(Z$3,0),$H25&gt;=Z$3),"B","U"),IF(AND($G25&lt;&gt;"",$G25&lt;=EOMONTH(Z$3,0),$H25&gt;=Z$3),"D","")))</f>
        <v/>
      </c>
      <c r="AA25" s="214">
        <f>IF($AH25="","",IF(AND($E25&lt;&gt;"",$E25&lt;=EOMONTH(AA$3,0),$F25&gt;=AA$3),IF(AND($G25&lt;&gt;"",$G25&lt;=EOMONTH(AA$3,0),$H25&gt;=AA$3),"B","U"),IF(AND($G25&lt;&gt;"",$G25&lt;=EOMONTH(AA$3,0),$H25&gt;=AA$3),"D","")))</f>
        <v/>
      </c>
      <c r="AB25" s="214">
        <f>IF($AH25="","",IF(AND($E25&lt;&gt;"",$E25&lt;=EOMONTH(AB$3,0),$F25&gt;=AB$3),IF(AND($G25&lt;&gt;"",$G25&lt;=EOMONTH(AB$3,0),$H25&gt;=AB$3),"B","U"),IF(AND($G25&lt;&gt;"",$G25&lt;=EOMONTH(AB$3,0),$H25&gt;=AB$3),"D","")))</f>
        <v/>
      </c>
      <c r="AC25" s="214">
        <f>IF($AH25="","",IF(AND($E25&lt;&gt;"",$E25&lt;=EOMONTH(AC$3,0),$F25&gt;=AC$3),IF(AND($G25&lt;&gt;"",$G25&lt;=EOMONTH(AC$3,0),$H25&gt;=AC$3),"B","U"),IF(AND($G25&lt;&gt;"",$G25&lt;=EOMONTH(AC$3,0),$H25&gt;=AC$3),"D","")))</f>
        <v/>
      </c>
      <c r="AD25" s="214">
        <f>IF($AH25="","",IF(AND($E25&lt;&gt;"",$E25&lt;=EOMONTH(AD$3,0),$F25&gt;=AD$3),IF(AND($G25&lt;&gt;"",$G25&lt;=EOMONTH(AD$3,0),$H25&gt;=AD$3),"B","U"),IF(AND($G25&lt;&gt;"",$G25&lt;=EOMONTH(AD$3,0),$H25&gt;=AD$3),"D","")))</f>
        <v/>
      </c>
      <c r="AE25" s="214">
        <f>IF($AH25="","",IF(AND($E25&lt;&gt;"",$E25&lt;=EOMONTH(AE$3,0),$F25&gt;=AE$3),IF(AND($G25&lt;&gt;"",$G25&lt;=EOMONTH(AE$3,0),$H25&gt;=AE$3),"B","U"),IF(AND($G25&lt;&gt;"",$G25&lt;=EOMONTH(AE$3,0),$H25&gt;=AE$3),"D","")))</f>
        <v/>
      </c>
      <c r="AF25" s="214">
        <f>IF($AH25="","",IF(AND($E25&lt;&gt;"",$E25&lt;=EOMONTH(AF$3,0),$F25&gt;=AF$3),IF(AND($G25&lt;&gt;"",$G25&lt;=EOMONTH(AF$3,0),$H25&gt;=AF$3),"B","U"),IF(AND($G25&lt;&gt;"",$G25&lt;=EOMONTH(AF$3,0),$H25&gt;=AF$3),"D","")))</f>
        <v/>
      </c>
      <c r="AG25">
        <f>IF($AH25="","",INDEX('Roadmap Calc (Don’t Touch)'!$D$2:$D$205,$AH25))</f>
        <v/>
      </c>
      <c r="AH25">
        <f>IFERROR(MATCH(19,'Roadmap Calc (Don’t Touch)'!$O$2:$O$205,0),"")</f>
        <v/>
      </c>
    </row>
    <row r="26" ht="17" customHeight="1">
      <c r="A26" s="209">
        <f>IF($AH26="","",IF($AG26=$AG25,"",$AG26))</f>
        <v/>
      </c>
      <c r="B26" s="210">
        <f>IF($AH26="","",INDEX('Roadmap Calc (Don’t Touch)'!$B$2:$B$205,$AH26))</f>
        <v/>
      </c>
      <c r="C26" s="211">
        <f>IF($AH26="","",INDEX('Roadmap Calc (Don’t Touch)'!$E$2:$E$205,$AH26))</f>
        <v/>
      </c>
      <c r="D26" s="212">
        <f>IF($AH26="","",INDEX('Roadmap Calc (Don’t Touch)'!$F$2:$F$205,$AH26))</f>
        <v/>
      </c>
      <c r="E26" s="213">
        <f>IF($AH26="","",INDEX('Roadmap Calc (Don’t Touch)'!$G$2:$G$205,$AH26))</f>
        <v/>
      </c>
      <c r="F26" s="213">
        <f>IF($AH26="","",INDEX('Roadmap Calc (Don’t Touch)'!$H$2:$H$205,$AH26))</f>
        <v/>
      </c>
      <c r="G26" s="213">
        <f>IF($AH26="","",INDEX('Roadmap Calc (Don’t Touch)'!$I$2:$I$205,$AH26))</f>
        <v/>
      </c>
      <c r="H26" s="213">
        <f>IF($AH26="","",INDEX('Roadmap Calc (Don’t Touch)'!$J$2:$J$205,$AH26))</f>
        <v/>
      </c>
      <c r="I26" s="214">
        <f>IF($AH26="","",IF(AND($E26&lt;&gt;"",$E26&lt;=EOMONTH(I$3,0),$F26&gt;=I$3),IF(AND($G26&lt;&gt;"",$G26&lt;=EOMONTH(I$3,0),$H26&gt;=I$3),"B","U"),IF(AND($G26&lt;&gt;"",$G26&lt;=EOMONTH(I$3,0),$H26&gt;=I$3),"D","")))</f>
        <v/>
      </c>
      <c r="J26" s="214">
        <f>IF($AH26="","",IF(AND($E26&lt;&gt;"",$E26&lt;=EOMONTH(J$3,0),$F26&gt;=J$3),IF(AND($G26&lt;&gt;"",$G26&lt;=EOMONTH(J$3,0),$H26&gt;=J$3),"B","U"),IF(AND($G26&lt;&gt;"",$G26&lt;=EOMONTH(J$3,0),$H26&gt;=J$3),"D","")))</f>
        <v/>
      </c>
      <c r="K26" s="214">
        <f>IF($AH26="","",IF(AND($E26&lt;&gt;"",$E26&lt;=EOMONTH(K$3,0),$F26&gt;=K$3),IF(AND($G26&lt;&gt;"",$G26&lt;=EOMONTH(K$3,0),$H26&gt;=K$3),"B","U"),IF(AND($G26&lt;&gt;"",$G26&lt;=EOMONTH(K$3,0),$H26&gt;=K$3),"D","")))</f>
        <v/>
      </c>
      <c r="L26" s="214">
        <f>IF($AH26="","",IF(AND($E26&lt;&gt;"",$E26&lt;=EOMONTH(L$3,0),$F26&gt;=L$3),IF(AND($G26&lt;&gt;"",$G26&lt;=EOMONTH(L$3,0),$H26&gt;=L$3),"B","U"),IF(AND($G26&lt;&gt;"",$G26&lt;=EOMONTH(L$3,0),$H26&gt;=L$3),"D","")))</f>
        <v/>
      </c>
      <c r="M26" s="214">
        <f>IF($AH26="","",IF(AND($E26&lt;&gt;"",$E26&lt;=EOMONTH(M$3,0),$F26&gt;=M$3),IF(AND($G26&lt;&gt;"",$G26&lt;=EOMONTH(M$3,0),$H26&gt;=M$3),"B","U"),IF(AND($G26&lt;&gt;"",$G26&lt;=EOMONTH(M$3,0),$H26&gt;=M$3),"D","")))</f>
        <v/>
      </c>
      <c r="N26" s="214">
        <f>IF($AH26="","",IF(AND($E26&lt;&gt;"",$E26&lt;=EOMONTH(N$3,0),$F26&gt;=N$3),IF(AND($G26&lt;&gt;"",$G26&lt;=EOMONTH(N$3,0),$H26&gt;=N$3),"B","U"),IF(AND($G26&lt;&gt;"",$G26&lt;=EOMONTH(N$3,0),$H26&gt;=N$3),"D","")))</f>
        <v/>
      </c>
      <c r="O26" s="214">
        <f>IF($AH26="","",IF(AND($E26&lt;&gt;"",$E26&lt;=EOMONTH(O$3,0),$F26&gt;=O$3),IF(AND($G26&lt;&gt;"",$G26&lt;=EOMONTH(O$3,0),$H26&gt;=O$3),"B","U"),IF(AND($G26&lt;&gt;"",$G26&lt;=EOMONTH(O$3,0),$H26&gt;=O$3),"D","")))</f>
        <v/>
      </c>
      <c r="P26" s="214">
        <f>IF($AH26="","",IF(AND($E26&lt;&gt;"",$E26&lt;=EOMONTH(P$3,0),$F26&gt;=P$3),IF(AND($G26&lt;&gt;"",$G26&lt;=EOMONTH(P$3,0),$H26&gt;=P$3),"B","U"),IF(AND($G26&lt;&gt;"",$G26&lt;=EOMONTH(P$3,0),$H26&gt;=P$3),"D","")))</f>
        <v/>
      </c>
      <c r="Q26" s="214">
        <f>IF($AH26="","",IF(AND($E26&lt;&gt;"",$E26&lt;=EOMONTH(Q$3,0),$F26&gt;=Q$3),IF(AND($G26&lt;&gt;"",$G26&lt;=EOMONTH(Q$3,0),$H26&gt;=Q$3),"B","U"),IF(AND($G26&lt;&gt;"",$G26&lt;=EOMONTH(Q$3,0),$H26&gt;=Q$3),"D","")))</f>
        <v/>
      </c>
      <c r="R26" s="214">
        <f>IF($AH26="","",IF(AND($E26&lt;&gt;"",$E26&lt;=EOMONTH(R$3,0),$F26&gt;=R$3),IF(AND($G26&lt;&gt;"",$G26&lt;=EOMONTH(R$3,0),$H26&gt;=R$3),"B","U"),IF(AND($G26&lt;&gt;"",$G26&lt;=EOMONTH(R$3,0),$H26&gt;=R$3),"D","")))</f>
        <v/>
      </c>
      <c r="S26" s="214">
        <f>IF($AH26="","",IF(AND($E26&lt;&gt;"",$E26&lt;=EOMONTH(S$3,0),$F26&gt;=S$3),IF(AND($G26&lt;&gt;"",$G26&lt;=EOMONTH(S$3,0),$H26&gt;=S$3),"B","U"),IF(AND($G26&lt;&gt;"",$G26&lt;=EOMONTH(S$3,0),$H26&gt;=S$3),"D","")))</f>
        <v/>
      </c>
      <c r="T26" s="214">
        <f>IF($AH26="","",IF(AND($E26&lt;&gt;"",$E26&lt;=EOMONTH(T$3,0),$F26&gt;=T$3),IF(AND($G26&lt;&gt;"",$G26&lt;=EOMONTH(T$3,0),$H26&gt;=T$3),"B","U"),IF(AND($G26&lt;&gt;"",$G26&lt;=EOMONTH(T$3,0),$H26&gt;=T$3),"D","")))</f>
        <v/>
      </c>
      <c r="U26" s="214">
        <f>IF($AH26="","",IF(AND($E26&lt;&gt;"",$E26&lt;=EOMONTH(U$3,0),$F26&gt;=U$3),IF(AND($G26&lt;&gt;"",$G26&lt;=EOMONTH(U$3,0),$H26&gt;=U$3),"B","U"),IF(AND($G26&lt;&gt;"",$G26&lt;=EOMONTH(U$3,0),$H26&gt;=U$3),"D","")))</f>
        <v/>
      </c>
      <c r="V26" s="214">
        <f>IF($AH26="","",IF(AND($E26&lt;&gt;"",$E26&lt;=EOMONTH(V$3,0),$F26&gt;=V$3),IF(AND($G26&lt;&gt;"",$G26&lt;=EOMONTH(V$3,0),$H26&gt;=V$3),"B","U"),IF(AND($G26&lt;&gt;"",$G26&lt;=EOMONTH(V$3,0),$H26&gt;=V$3),"D","")))</f>
        <v/>
      </c>
      <c r="W26" s="214">
        <f>IF($AH26="","",IF(AND($E26&lt;&gt;"",$E26&lt;=EOMONTH(W$3,0),$F26&gt;=W$3),IF(AND($G26&lt;&gt;"",$G26&lt;=EOMONTH(W$3,0),$H26&gt;=W$3),"B","U"),IF(AND($G26&lt;&gt;"",$G26&lt;=EOMONTH(W$3,0),$H26&gt;=W$3),"D","")))</f>
        <v/>
      </c>
      <c r="X26" s="214">
        <f>IF($AH26="","",IF(AND($E26&lt;&gt;"",$E26&lt;=EOMONTH(X$3,0),$F26&gt;=X$3),IF(AND($G26&lt;&gt;"",$G26&lt;=EOMONTH(X$3,0),$H26&gt;=X$3),"B","U"),IF(AND($G26&lt;&gt;"",$G26&lt;=EOMONTH(X$3,0),$H26&gt;=X$3),"D","")))</f>
        <v/>
      </c>
      <c r="Y26" s="214">
        <f>IF($AH26="","",IF(AND($E26&lt;&gt;"",$E26&lt;=EOMONTH(Y$3,0),$F26&gt;=Y$3),IF(AND($G26&lt;&gt;"",$G26&lt;=EOMONTH(Y$3,0),$H26&gt;=Y$3),"B","U"),IF(AND($G26&lt;&gt;"",$G26&lt;=EOMONTH(Y$3,0),$H26&gt;=Y$3),"D","")))</f>
        <v/>
      </c>
      <c r="Z26" s="214">
        <f>IF($AH26="","",IF(AND($E26&lt;&gt;"",$E26&lt;=EOMONTH(Z$3,0),$F26&gt;=Z$3),IF(AND($G26&lt;&gt;"",$G26&lt;=EOMONTH(Z$3,0),$H26&gt;=Z$3),"B","U"),IF(AND($G26&lt;&gt;"",$G26&lt;=EOMONTH(Z$3,0),$H26&gt;=Z$3),"D","")))</f>
        <v/>
      </c>
      <c r="AA26" s="214">
        <f>IF($AH26="","",IF(AND($E26&lt;&gt;"",$E26&lt;=EOMONTH(AA$3,0),$F26&gt;=AA$3),IF(AND($G26&lt;&gt;"",$G26&lt;=EOMONTH(AA$3,0),$H26&gt;=AA$3),"B","U"),IF(AND($G26&lt;&gt;"",$G26&lt;=EOMONTH(AA$3,0),$H26&gt;=AA$3),"D","")))</f>
        <v/>
      </c>
      <c r="AB26" s="214">
        <f>IF($AH26="","",IF(AND($E26&lt;&gt;"",$E26&lt;=EOMONTH(AB$3,0),$F26&gt;=AB$3),IF(AND($G26&lt;&gt;"",$G26&lt;=EOMONTH(AB$3,0),$H26&gt;=AB$3),"B","U"),IF(AND($G26&lt;&gt;"",$G26&lt;=EOMONTH(AB$3,0),$H26&gt;=AB$3),"D","")))</f>
        <v/>
      </c>
      <c r="AC26" s="214">
        <f>IF($AH26="","",IF(AND($E26&lt;&gt;"",$E26&lt;=EOMONTH(AC$3,0),$F26&gt;=AC$3),IF(AND($G26&lt;&gt;"",$G26&lt;=EOMONTH(AC$3,0),$H26&gt;=AC$3),"B","U"),IF(AND($G26&lt;&gt;"",$G26&lt;=EOMONTH(AC$3,0),$H26&gt;=AC$3),"D","")))</f>
        <v/>
      </c>
      <c r="AD26" s="214">
        <f>IF($AH26="","",IF(AND($E26&lt;&gt;"",$E26&lt;=EOMONTH(AD$3,0),$F26&gt;=AD$3),IF(AND($G26&lt;&gt;"",$G26&lt;=EOMONTH(AD$3,0),$H26&gt;=AD$3),"B","U"),IF(AND($G26&lt;&gt;"",$G26&lt;=EOMONTH(AD$3,0),$H26&gt;=AD$3),"D","")))</f>
        <v/>
      </c>
      <c r="AE26" s="214">
        <f>IF($AH26="","",IF(AND($E26&lt;&gt;"",$E26&lt;=EOMONTH(AE$3,0),$F26&gt;=AE$3),IF(AND($G26&lt;&gt;"",$G26&lt;=EOMONTH(AE$3,0),$H26&gt;=AE$3),"B","U"),IF(AND($G26&lt;&gt;"",$G26&lt;=EOMONTH(AE$3,0),$H26&gt;=AE$3),"D","")))</f>
        <v/>
      </c>
      <c r="AF26" s="214">
        <f>IF($AH26="","",IF(AND($E26&lt;&gt;"",$E26&lt;=EOMONTH(AF$3,0),$F26&gt;=AF$3),IF(AND($G26&lt;&gt;"",$G26&lt;=EOMONTH(AF$3,0),$H26&gt;=AF$3),"B","U"),IF(AND($G26&lt;&gt;"",$G26&lt;=EOMONTH(AF$3,0),$H26&gt;=AF$3),"D","")))</f>
        <v/>
      </c>
      <c r="AG26">
        <f>IF($AH26="","",INDEX('Roadmap Calc (Don’t Touch)'!$D$2:$D$205,$AH26))</f>
        <v/>
      </c>
      <c r="AH26">
        <f>IFERROR(MATCH(20,'Roadmap Calc (Don’t Touch)'!$O$2:$O$205,0),"")</f>
        <v/>
      </c>
    </row>
    <row r="27" ht="17" customHeight="1">
      <c r="A27" s="209">
        <f>IF($AH27="","",IF($AG27=$AG26,"",$AG27))</f>
        <v/>
      </c>
      <c r="B27" s="210">
        <f>IF($AH27="","",INDEX('Roadmap Calc (Don’t Touch)'!$B$2:$B$205,$AH27))</f>
        <v/>
      </c>
      <c r="C27" s="211">
        <f>IF($AH27="","",INDEX('Roadmap Calc (Don’t Touch)'!$E$2:$E$205,$AH27))</f>
        <v/>
      </c>
      <c r="D27" s="212">
        <f>IF($AH27="","",INDEX('Roadmap Calc (Don’t Touch)'!$F$2:$F$205,$AH27))</f>
        <v/>
      </c>
      <c r="E27" s="213">
        <f>IF($AH27="","",INDEX('Roadmap Calc (Don’t Touch)'!$G$2:$G$205,$AH27))</f>
        <v/>
      </c>
      <c r="F27" s="213">
        <f>IF($AH27="","",INDEX('Roadmap Calc (Don’t Touch)'!$H$2:$H$205,$AH27))</f>
        <v/>
      </c>
      <c r="G27" s="213">
        <f>IF($AH27="","",INDEX('Roadmap Calc (Don’t Touch)'!$I$2:$I$205,$AH27))</f>
        <v/>
      </c>
      <c r="H27" s="213">
        <f>IF($AH27="","",INDEX('Roadmap Calc (Don’t Touch)'!$J$2:$J$205,$AH27))</f>
        <v/>
      </c>
      <c r="I27" s="214">
        <f>IF($AH27="","",IF(AND($E27&lt;&gt;"",$E27&lt;=EOMONTH(I$3,0),$F27&gt;=I$3),IF(AND($G27&lt;&gt;"",$G27&lt;=EOMONTH(I$3,0),$H27&gt;=I$3),"B","U"),IF(AND($G27&lt;&gt;"",$G27&lt;=EOMONTH(I$3,0),$H27&gt;=I$3),"D","")))</f>
        <v/>
      </c>
      <c r="J27" s="214">
        <f>IF($AH27="","",IF(AND($E27&lt;&gt;"",$E27&lt;=EOMONTH(J$3,0),$F27&gt;=J$3),IF(AND($G27&lt;&gt;"",$G27&lt;=EOMONTH(J$3,0),$H27&gt;=J$3),"B","U"),IF(AND($G27&lt;&gt;"",$G27&lt;=EOMONTH(J$3,0),$H27&gt;=J$3),"D","")))</f>
        <v/>
      </c>
      <c r="K27" s="214">
        <f>IF($AH27="","",IF(AND($E27&lt;&gt;"",$E27&lt;=EOMONTH(K$3,0),$F27&gt;=K$3),IF(AND($G27&lt;&gt;"",$G27&lt;=EOMONTH(K$3,0),$H27&gt;=K$3),"B","U"),IF(AND($G27&lt;&gt;"",$G27&lt;=EOMONTH(K$3,0),$H27&gt;=K$3),"D","")))</f>
        <v/>
      </c>
      <c r="L27" s="214">
        <f>IF($AH27="","",IF(AND($E27&lt;&gt;"",$E27&lt;=EOMONTH(L$3,0),$F27&gt;=L$3),IF(AND($G27&lt;&gt;"",$G27&lt;=EOMONTH(L$3,0),$H27&gt;=L$3),"B","U"),IF(AND($G27&lt;&gt;"",$G27&lt;=EOMONTH(L$3,0),$H27&gt;=L$3),"D","")))</f>
        <v/>
      </c>
      <c r="M27" s="214">
        <f>IF($AH27="","",IF(AND($E27&lt;&gt;"",$E27&lt;=EOMONTH(M$3,0),$F27&gt;=M$3),IF(AND($G27&lt;&gt;"",$G27&lt;=EOMONTH(M$3,0),$H27&gt;=M$3),"B","U"),IF(AND($G27&lt;&gt;"",$G27&lt;=EOMONTH(M$3,0),$H27&gt;=M$3),"D","")))</f>
        <v/>
      </c>
      <c r="N27" s="214">
        <f>IF($AH27="","",IF(AND($E27&lt;&gt;"",$E27&lt;=EOMONTH(N$3,0),$F27&gt;=N$3),IF(AND($G27&lt;&gt;"",$G27&lt;=EOMONTH(N$3,0),$H27&gt;=N$3),"B","U"),IF(AND($G27&lt;&gt;"",$G27&lt;=EOMONTH(N$3,0),$H27&gt;=N$3),"D","")))</f>
        <v/>
      </c>
      <c r="O27" s="214">
        <f>IF($AH27="","",IF(AND($E27&lt;&gt;"",$E27&lt;=EOMONTH(O$3,0),$F27&gt;=O$3),IF(AND($G27&lt;&gt;"",$G27&lt;=EOMONTH(O$3,0),$H27&gt;=O$3),"B","U"),IF(AND($G27&lt;&gt;"",$G27&lt;=EOMONTH(O$3,0),$H27&gt;=O$3),"D","")))</f>
        <v/>
      </c>
      <c r="P27" s="214">
        <f>IF($AH27="","",IF(AND($E27&lt;&gt;"",$E27&lt;=EOMONTH(P$3,0),$F27&gt;=P$3),IF(AND($G27&lt;&gt;"",$G27&lt;=EOMONTH(P$3,0),$H27&gt;=P$3),"B","U"),IF(AND($G27&lt;&gt;"",$G27&lt;=EOMONTH(P$3,0),$H27&gt;=P$3),"D","")))</f>
        <v/>
      </c>
      <c r="Q27" s="214">
        <f>IF($AH27="","",IF(AND($E27&lt;&gt;"",$E27&lt;=EOMONTH(Q$3,0),$F27&gt;=Q$3),IF(AND($G27&lt;&gt;"",$G27&lt;=EOMONTH(Q$3,0),$H27&gt;=Q$3),"B","U"),IF(AND($G27&lt;&gt;"",$G27&lt;=EOMONTH(Q$3,0),$H27&gt;=Q$3),"D","")))</f>
        <v/>
      </c>
      <c r="R27" s="214">
        <f>IF($AH27="","",IF(AND($E27&lt;&gt;"",$E27&lt;=EOMONTH(R$3,0),$F27&gt;=R$3),IF(AND($G27&lt;&gt;"",$G27&lt;=EOMONTH(R$3,0),$H27&gt;=R$3),"B","U"),IF(AND($G27&lt;&gt;"",$G27&lt;=EOMONTH(R$3,0),$H27&gt;=R$3),"D","")))</f>
        <v/>
      </c>
      <c r="S27" s="214">
        <f>IF($AH27="","",IF(AND($E27&lt;&gt;"",$E27&lt;=EOMONTH(S$3,0),$F27&gt;=S$3),IF(AND($G27&lt;&gt;"",$G27&lt;=EOMONTH(S$3,0),$H27&gt;=S$3),"B","U"),IF(AND($G27&lt;&gt;"",$G27&lt;=EOMONTH(S$3,0),$H27&gt;=S$3),"D","")))</f>
        <v/>
      </c>
      <c r="T27" s="214">
        <f>IF($AH27="","",IF(AND($E27&lt;&gt;"",$E27&lt;=EOMONTH(T$3,0),$F27&gt;=T$3),IF(AND($G27&lt;&gt;"",$G27&lt;=EOMONTH(T$3,0),$H27&gt;=T$3),"B","U"),IF(AND($G27&lt;&gt;"",$G27&lt;=EOMONTH(T$3,0),$H27&gt;=T$3),"D","")))</f>
        <v/>
      </c>
      <c r="U27" s="214">
        <f>IF($AH27="","",IF(AND($E27&lt;&gt;"",$E27&lt;=EOMONTH(U$3,0),$F27&gt;=U$3),IF(AND($G27&lt;&gt;"",$G27&lt;=EOMONTH(U$3,0),$H27&gt;=U$3),"B","U"),IF(AND($G27&lt;&gt;"",$G27&lt;=EOMONTH(U$3,0),$H27&gt;=U$3),"D","")))</f>
        <v/>
      </c>
      <c r="V27" s="214">
        <f>IF($AH27="","",IF(AND($E27&lt;&gt;"",$E27&lt;=EOMONTH(V$3,0),$F27&gt;=V$3),IF(AND($G27&lt;&gt;"",$G27&lt;=EOMONTH(V$3,0),$H27&gt;=V$3),"B","U"),IF(AND($G27&lt;&gt;"",$G27&lt;=EOMONTH(V$3,0),$H27&gt;=V$3),"D","")))</f>
        <v/>
      </c>
      <c r="W27" s="214">
        <f>IF($AH27="","",IF(AND($E27&lt;&gt;"",$E27&lt;=EOMONTH(W$3,0),$F27&gt;=W$3),IF(AND($G27&lt;&gt;"",$G27&lt;=EOMONTH(W$3,0),$H27&gt;=W$3),"B","U"),IF(AND($G27&lt;&gt;"",$G27&lt;=EOMONTH(W$3,0),$H27&gt;=W$3),"D","")))</f>
        <v/>
      </c>
      <c r="X27" s="214">
        <f>IF($AH27="","",IF(AND($E27&lt;&gt;"",$E27&lt;=EOMONTH(X$3,0),$F27&gt;=X$3),IF(AND($G27&lt;&gt;"",$G27&lt;=EOMONTH(X$3,0),$H27&gt;=X$3),"B","U"),IF(AND($G27&lt;&gt;"",$G27&lt;=EOMONTH(X$3,0),$H27&gt;=X$3),"D","")))</f>
        <v/>
      </c>
      <c r="Y27" s="214">
        <f>IF($AH27="","",IF(AND($E27&lt;&gt;"",$E27&lt;=EOMONTH(Y$3,0),$F27&gt;=Y$3),IF(AND($G27&lt;&gt;"",$G27&lt;=EOMONTH(Y$3,0),$H27&gt;=Y$3),"B","U"),IF(AND($G27&lt;&gt;"",$G27&lt;=EOMONTH(Y$3,0),$H27&gt;=Y$3),"D","")))</f>
        <v/>
      </c>
      <c r="Z27" s="214">
        <f>IF($AH27="","",IF(AND($E27&lt;&gt;"",$E27&lt;=EOMONTH(Z$3,0),$F27&gt;=Z$3),IF(AND($G27&lt;&gt;"",$G27&lt;=EOMONTH(Z$3,0),$H27&gt;=Z$3),"B","U"),IF(AND($G27&lt;&gt;"",$G27&lt;=EOMONTH(Z$3,0),$H27&gt;=Z$3),"D","")))</f>
        <v/>
      </c>
      <c r="AA27" s="214">
        <f>IF($AH27="","",IF(AND($E27&lt;&gt;"",$E27&lt;=EOMONTH(AA$3,0),$F27&gt;=AA$3),IF(AND($G27&lt;&gt;"",$G27&lt;=EOMONTH(AA$3,0),$H27&gt;=AA$3),"B","U"),IF(AND($G27&lt;&gt;"",$G27&lt;=EOMONTH(AA$3,0),$H27&gt;=AA$3),"D","")))</f>
        <v/>
      </c>
      <c r="AB27" s="214">
        <f>IF($AH27="","",IF(AND($E27&lt;&gt;"",$E27&lt;=EOMONTH(AB$3,0),$F27&gt;=AB$3),IF(AND($G27&lt;&gt;"",$G27&lt;=EOMONTH(AB$3,0),$H27&gt;=AB$3),"B","U"),IF(AND($G27&lt;&gt;"",$G27&lt;=EOMONTH(AB$3,0),$H27&gt;=AB$3),"D","")))</f>
        <v/>
      </c>
      <c r="AC27" s="214">
        <f>IF($AH27="","",IF(AND($E27&lt;&gt;"",$E27&lt;=EOMONTH(AC$3,0),$F27&gt;=AC$3),IF(AND($G27&lt;&gt;"",$G27&lt;=EOMONTH(AC$3,0),$H27&gt;=AC$3),"B","U"),IF(AND($G27&lt;&gt;"",$G27&lt;=EOMONTH(AC$3,0),$H27&gt;=AC$3),"D","")))</f>
        <v/>
      </c>
      <c r="AD27" s="214">
        <f>IF($AH27="","",IF(AND($E27&lt;&gt;"",$E27&lt;=EOMONTH(AD$3,0),$F27&gt;=AD$3),IF(AND($G27&lt;&gt;"",$G27&lt;=EOMONTH(AD$3,0),$H27&gt;=AD$3),"B","U"),IF(AND($G27&lt;&gt;"",$G27&lt;=EOMONTH(AD$3,0),$H27&gt;=AD$3),"D","")))</f>
        <v/>
      </c>
      <c r="AE27" s="214">
        <f>IF($AH27="","",IF(AND($E27&lt;&gt;"",$E27&lt;=EOMONTH(AE$3,0),$F27&gt;=AE$3),IF(AND($G27&lt;&gt;"",$G27&lt;=EOMONTH(AE$3,0),$H27&gt;=AE$3),"B","U"),IF(AND($G27&lt;&gt;"",$G27&lt;=EOMONTH(AE$3,0),$H27&gt;=AE$3),"D","")))</f>
        <v/>
      </c>
      <c r="AF27" s="214">
        <f>IF($AH27="","",IF(AND($E27&lt;&gt;"",$E27&lt;=EOMONTH(AF$3,0),$F27&gt;=AF$3),IF(AND($G27&lt;&gt;"",$G27&lt;=EOMONTH(AF$3,0),$H27&gt;=AF$3),"B","U"),IF(AND($G27&lt;&gt;"",$G27&lt;=EOMONTH(AF$3,0),$H27&gt;=AF$3),"D","")))</f>
        <v/>
      </c>
      <c r="AG27">
        <f>IF($AH27="","",INDEX('Roadmap Calc (Don’t Touch)'!$D$2:$D$205,$AH27))</f>
        <v/>
      </c>
      <c r="AH27">
        <f>IFERROR(MATCH(21,'Roadmap Calc (Don’t Touch)'!$O$2:$O$205,0),"")</f>
        <v/>
      </c>
    </row>
    <row r="28" ht="17" customHeight="1">
      <c r="A28" s="209">
        <f>IF($AH28="","",IF($AG28=$AG27,"",$AG28))</f>
        <v/>
      </c>
      <c r="B28" s="210">
        <f>IF($AH28="","",INDEX('Roadmap Calc (Don’t Touch)'!$B$2:$B$205,$AH28))</f>
        <v/>
      </c>
      <c r="C28" s="211">
        <f>IF($AH28="","",INDEX('Roadmap Calc (Don’t Touch)'!$E$2:$E$205,$AH28))</f>
        <v/>
      </c>
      <c r="D28" s="212">
        <f>IF($AH28="","",INDEX('Roadmap Calc (Don’t Touch)'!$F$2:$F$205,$AH28))</f>
        <v/>
      </c>
      <c r="E28" s="213">
        <f>IF($AH28="","",INDEX('Roadmap Calc (Don’t Touch)'!$G$2:$G$205,$AH28))</f>
        <v/>
      </c>
      <c r="F28" s="213">
        <f>IF($AH28="","",INDEX('Roadmap Calc (Don’t Touch)'!$H$2:$H$205,$AH28))</f>
        <v/>
      </c>
      <c r="G28" s="213">
        <f>IF($AH28="","",INDEX('Roadmap Calc (Don’t Touch)'!$I$2:$I$205,$AH28))</f>
        <v/>
      </c>
      <c r="H28" s="213">
        <f>IF($AH28="","",INDEX('Roadmap Calc (Don’t Touch)'!$J$2:$J$205,$AH28))</f>
        <v/>
      </c>
      <c r="I28" s="214">
        <f>IF($AH28="","",IF(AND($E28&lt;&gt;"",$E28&lt;=EOMONTH(I$3,0),$F28&gt;=I$3),IF(AND($G28&lt;&gt;"",$G28&lt;=EOMONTH(I$3,0),$H28&gt;=I$3),"B","U"),IF(AND($G28&lt;&gt;"",$G28&lt;=EOMONTH(I$3,0),$H28&gt;=I$3),"D","")))</f>
        <v/>
      </c>
      <c r="J28" s="214">
        <f>IF($AH28="","",IF(AND($E28&lt;&gt;"",$E28&lt;=EOMONTH(J$3,0),$F28&gt;=J$3),IF(AND($G28&lt;&gt;"",$G28&lt;=EOMONTH(J$3,0),$H28&gt;=J$3),"B","U"),IF(AND($G28&lt;&gt;"",$G28&lt;=EOMONTH(J$3,0),$H28&gt;=J$3),"D","")))</f>
        <v/>
      </c>
      <c r="K28" s="214">
        <f>IF($AH28="","",IF(AND($E28&lt;&gt;"",$E28&lt;=EOMONTH(K$3,0),$F28&gt;=K$3),IF(AND($G28&lt;&gt;"",$G28&lt;=EOMONTH(K$3,0),$H28&gt;=K$3),"B","U"),IF(AND($G28&lt;&gt;"",$G28&lt;=EOMONTH(K$3,0),$H28&gt;=K$3),"D","")))</f>
        <v/>
      </c>
      <c r="L28" s="214">
        <f>IF($AH28="","",IF(AND($E28&lt;&gt;"",$E28&lt;=EOMONTH(L$3,0),$F28&gt;=L$3),IF(AND($G28&lt;&gt;"",$G28&lt;=EOMONTH(L$3,0),$H28&gt;=L$3),"B","U"),IF(AND($G28&lt;&gt;"",$G28&lt;=EOMONTH(L$3,0),$H28&gt;=L$3),"D","")))</f>
        <v/>
      </c>
      <c r="M28" s="214">
        <f>IF($AH28="","",IF(AND($E28&lt;&gt;"",$E28&lt;=EOMONTH(M$3,0),$F28&gt;=M$3),IF(AND($G28&lt;&gt;"",$G28&lt;=EOMONTH(M$3,0),$H28&gt;=M$3),"B","U"),IF(AND($G28&lt;&gt;"",$G28&lt;=EOMONTH(M$3,0),$H28&gt;=M$3),"D","")))</f>
        <v/>
      </c>
      <c r="N28" s="214">
        <f>IF($AH28="","",IF(AND($E28&lt;&gt;"",$E28&lt;=EOMONTH(N$3,0),$F28&gt;=N$3),IF(AND($G28&lt;&gt;"",$G28&lt;=EOMONTH(N$3,0),$H28&gt;=N$3),"B","U"),IF(AND($G28&lt;&gt;"",$G28&lt;=EOMONTH(N$3,0),$H28&gt;=N$3),"D","")))</f>
        <v/>
      </c>
      <c r="O28" s="214">
        <f>IF($AH28="","",IF(AND($E28&lt;&gt;"",$E28&lt;=EOMONTH(O$3,0),$F28&gt;=O$3),IF(AND($G28&lt;&gt;"",$G28&lt;=EOMONTH(O$3,0),$H28&gt;=O$3),"B","U"),IF(AND($G28&lt;&gt;"",$G28&lt;=EOMONTH(O$3,0),$H28&gt;=O$3),"D","")))</f>
        <v/>
      </c>
      <c r="P28" s="214">
        <f>IF($AH28="","",IF(AND($E28&lt;&gt;"",$E28&lt;=EOMONTH(P$3,0),$F28&gt;=P$3),IF(AND($G28&lt;&gt;"",$G28&lt;=EOMONTH(P$3,0),$H28&gt;=P$3),"B","U"),IF(AND($G28&lt;&gt;"",$G28&lt;=EOMONTH(P$3,0),$H28&gt;=P$3),"D","")))</f>
        <v/>
      </c>
      <c r="Q28" s="214">
        <f>IF($AH28="","",IF(AND($E28&lt;&gt;"",$E28&lt;=EOMONTH(Q$3,0),$F28&gt;=Q$3),IF(AND($G28&lt;&gt;"",$G28&lt;=EOMONTH(Q$3,0),$H28&gt;=Q$3),"B","U"),IF(AND($G28&lt;&gt;"",$G28&lt;=EOMONTH(Q$3,0),$H28&gt;=Q$3),"D","")))</f>
        <v/>
      </c>
      <c r="R28" s="214">
        <f>IF($AH28="","",IF(AND($E28&lt;&gt;"",$E28&lt;=EOMONTH(R$3,0),$F28&gt;=R$3),IF(AND($G28&lt;&gt;"",$G28&lt;=EOMONTH(R$3,0),$H28&gt;=R$3),"B","U"),IF(AND($G28&lt;&gt;"",$G28&lt;=EOMONTH(R$3,0),$H28&gt;=R$3),"D","")))</f>
        <v/>
      </c>
      <c r="S28" s="214">
        <f>IF($AH28="","",IF(AND($E28&lt;&gt;"",$E28&lt;=EOMONTH(S$3,0),$F28&gt;=S$3),IF(AND($G28&lt;&gt;"",$G28&lt;=EOMONTH(S$3,0),$H28&gt;=S$3),"B","U"),IF(AND($G28&lt;&gt;"",$G28&lt;=EOMONTH(S$3,0),$H28&gt;=S$3),"D","")))</f>
        <v/>
      </c>
      <c r="T28" s="214">
        <f>IF($AH28="","",IF(AND($E28&lt;&gt;"",$E28&lt;=EOMONTH(T$3,0),$F28&gt;=T$3),IF(AND($G28&lt;&gt;"",$G28&lt;=EOMONTH(T$3,0),$H28&gt;=T$3),"B","U"),IF(AND($G28&lt;&gt;"",$G28&lt;=EOMONTH(T$3,0),$H28&gt;=T$3),"D","")))</f>
        <v/>
      </c>
      <c r="U28" s="214">
        <f>IF($AH28="","",IF(AND($E28&lt;&gt;"",$E28&lt;=EOMONTH(U$3,0),$F28&gt;=U$3),IF(AND($G28&lt;&gt;"",$G28&lt;=EOMONTH(U$3,0),$H28&gt;=U$3),"B","U"),IF(AND($G28&lt;&gt;"",$G28&lt;=EOMONTH(U$3,0),$H28&gt;=U$3),"D","")))</f>
        <v/>
      </c>
      <c r="V28" s="214">
        <f>IF($AH28="","",IF(AND($E28&lt;&gt;"",$E28&lt;=EOMONTH(V$3,0),$F28&gt;=V$3),IF(AND($G28&lt;&gt;"",$G28&lt;=EOMONTH(V$3,0),$H28&gt;=V$3),"B","U"),IF(AND($G28&lt;&gt;"",$G28&lt;=EOMONTH(V$3,0),$H28&gt;=V$3),"D","")))</f>
        <v/>
      </c>
      <c r="W28" s="214">
        <f>IF($AH28="","",IF(AND($E28&lt;&gt;"",$E28&lt;=EOMONTH(W$3,0),$F28&gt;=W$3),IF(AND($G28&lt;&gt;"",$G28&lt;=EOMONTH(W$3,0),$H28&gt;=W$3),"B","U"),IF(AND($G28&lt;&gt;"",$G28&lt;=EOMONTH(W$3,0),$H28&gt;=W$3),"D","")))</f>
        <v/>
      </c>
      <c r="X28" s="214">
        <f>IF($AH28="","",IF(AND($E28&lt;&gt;"",$E28&lt;=EOMONTH(X$3,0),$F28&gt;=X$3),IF(AND($G28&lt;&gt;"",$G28&lt;=EOMONTH(X$3,0),$H28&gt;=X$3),"B","U"),IF(AND($G28&lt;&gt;"",$G28&lt;=EOMONTH(X$3,0),$H28&gt;=X$3),"D","")))</f>
        <v/>
      </c>
      <c r="Y28" s="214">
        <f>IF($AH28="","",IF(AND($E28&lt;&gt;"",$E28&lt;=EOMONTH(Y$3,0),$F28&gt;=Y$3),IF(AND($G28&lt;&gt;"",$G28&lt;=EOMONTH(Y$3,0),$H28&gt;=Y$3),"B","U"),IF(AND($G28&lt;&gt;"",$G28&lt;=EOMONTH(Y$3,0),$H28&gt;=Y$3),"D","")))</f>
        <v/>
      </c>
      <c r="Z28" s="214">
        <f>IF($AH28="","",IF(AND($E28&lt;&gt;"",$E28&lt;=EOMONTH(Z$3,0),$F28&gt;=Z$3),IF(AND($G28&lt;&gt;"",$G28&lt;=EOMONTH(Z$3,0),$H28&gt;=Z$3),"B","U"),IF(AND($G28&lt;&gt;"",$G28&lt;=EOMONTH(Z$3,0),$H28&gt;=Z$3),"D","")))</f>
        <v/>
      </c>
      <c r="AA28" s="214">
        <f>IF($AH28="","",IF(AND($E28&lt;&gt;"",$E28&lt;=EOMONTH(AA$3,0),$F28&gt;=AA$3),IF(AND($G28&lt;&gt;"",$G28&lt;=EOMONTH(AA$3,0),$H28&gt;=AA$3),"B","U"),IF(AND($G28&lt;&gt;"",$G28&lt;=EOMONTH(AA$3,0),$H28&gt;=AA$3),"D","")))</f>
        <v/>
      </c>
      <c r="AB28" s="214">
        <f>IF($AH28="","",IF(AND($E28&lt;&gt;"",$E28&lt;=EOMONTH(AB$3,0),$F28&gt;=AB$3),IF(AND($G28&lt;&gt;"",$G28&lt;=EOMONTH(AB$3,0),$H28&gt;=AB$3),"B","U"),IF(AND($G28&lt;&gt;"",$G28&lt;=EOMONTH(AB$3,0),$H28&gt;=AB$3),"D","")))</f>
        <v/>
      </c>
      <c r="AC28" s="214">
        <f>IF($AH28="","",IF(AND($E28&lt;&gt;"",$E28&lt;=EOMONTH(AC$3,0),$F28&gt;=AC$3),IF(AND($G28&lt;&gt;"",$G28&lt;=EOMONTH(AC$3,0),$H28&gt;=AC$3),"B","U"),IF(AND($G28&lt;&gt;"",$G28&lt;=EOMONTH(AC$3,0),$H28&gt;=AC$3),"D","")))</f>
        <v/>
      </c>
      <c r="AD28" s="214">
        <f>IF($AH28="","",IF(AND($E28&lt;&gt;"",$E28&lt;=EOMONTH(AD$3,0),$F28&gt;=AD$3),IF(AND($G28&lt;&gt;"",$G28&lt;=EOMONTH(AD$3,0),$H28&gt;=AD$3),"B","U"),IF(AND($G28&lt;&gt;"",$G28&lt;=EOMONTH(AD$3,0),$H28&gt;=AD$3),"D","")))</f>
        <v/>
      </c>
      <c r="AE28" s="214">
        <f>IF($AH28="","",IF(AND($E28&lt;&gt;"",$E28&lt;=EOMONTH(AE$3,0),$F28&gt;=AE$3),IF(AND($G28&lt;&gt;"",$G28&lt;=EOMONTH(AE$3,0),$H28&gt;=AE$3),"B","U"),IF(AND($G28&lt;&gt;"",$G28&lt;=EOMONTH(AE$3,0),$H28&gt;=AE$3),"D","")))</f>
        <v/>
      </c>
      <c r="AF28" s="214">
        <f>IF($AH28="","",IF(AND($E28&lt;&gt;"",$E28&lt;=EOMONTH(AF$3,0),$F28&gt;=AF$3),IF(AND($G28&lt;&gt;"",$G28&lt;=EOMONTH(AF$3,0),$H28&gt;=AF$3),"B","U"),IF(AND($G28&lt;&gt;"",$G28&lt;=EOMONTH(AF$3,0),$H28&gt;=AF$3),"D","")))</f>
        <v/>
      </c>
      <c r="AG28">
        <f>IF($AH28="","",INDEX('Roadmap Calc (Don’t Touch)'!$D$2:$D$205,$AH28))</f>
        <v/>
      </c>
      <c r="AH28">
        <f>IFERROR(MATCH(22,'Roadmap Calc (Don’t Touch)'!$O$2:$O$205,0),"")</f>
        <v/>
      </c>
    </row>
    <row r="29" ht="17" customHeight="1">
      <c r="A29" s="209">
        <f>IF($AH29="","",IF($AG29=$AG28,"",$AG29))</f>
        <v/>
      </c>
      <c r="B29" s="210">
        <f>IF($AH29="","",INDEX('Roadmap Calc (Don’t Touch)'!$B$2:$B$205,$AH29))</f>
        <v/>
      </c>
      <c r="C29" s="211">
        <f>IF($AH29="","",INDEX('Roadmap Calc (Don’t Touch)'!$E$2:$E$205,$AH29))</f>
        <v/>
      </c>
      <c r="D29" s="212">
        <f>IF($AH29="","",INDEX('Roadmap Calc (Don’t Touch)'!$F$2:$F$205,$AH29))</f>
        <v/>
      </c>
      <c r="E29" s="213">
        <f>IF($AH29="","",INDEX('Roadmap Calc (Don’t Touch)'!$G$2:$G$205,$AH29))</f>
        <v/>
      </c>
      <c r="F29" s="213">
        <f>IF($AH29="","",INDEX('Roadmap Calc (Don’t Touch)'!$H$2:$H$205,$AH29))</f>
        <v/>
      </c>
      <c r="G29" s="213">
        <f>IF($AH29="","",INDEX('Roadmap Calc (Don’t Touch)'!$I$2:$I$205,$AH29))</f>
        <v/>
      </c>
      <c r="H29" s="213">
        <f>IF($AH29="","",INDEX('Roadmap Calc (Don’t Touch)'!$J$2:$J$205,$AH29))</f>
        <v/>
      </c>
      <c r="I29" s="214">
        <f>IF($AH29="","",IF(AND($E29&lt;&gt;"",$E29&lt;=EOMONTH(I$3,0),$F29&gt;=I$3),IF(AND($G29&lt;&gt;"",$G29&lt;=EOMONTH(I$3,0),$H29&gt;=I$3),"B","U"),IF(AND($G29&lt;&gt;"",$G29&lt;=EOMONTH(I$3,0),$H29&gt;=I$3),"D","")))</f>
        <v/>
      </c>
      <c r="J29" s="214">
        <f>IF($AH29="","",IF(AND($E29&lt;&gt;"",$E29&lt;=EOMONTH(J$3,0),$F29&gt;=J$3),IF(AND($G29&lt;&gt;"",$G29&lt;=EOMONTH(J$3,0),$H29&gt;=J$3),"B","U"),IF(AND($G29&lt;&gt;"",$G29&lt;=EOMONTH(J$3,0),$H29&gt;=J$3),"D","")))</f>
        <v/>
      </c>
      <c r="K29" s="214">
        <f>IF($AH29="","",IF(AND($E29&lt;&gt;"",$E29&lt;=EOMONTH(K$3,0),$F29&gt;=K$3),IF(AND($G29&lt;&gt;"",$G29&lt;=EOMONTH(K$3,0),$H29&gt;=K$3),"B","U"),IF(AND($G29&lt;&gt;"",$G29&lt;=EOMONTH(K$3,0),$H29&gt;=K$3),"D","")))</f>
        <v/>
      </c>
      <c r="L29" s="214">
        <f>IF($AH29="","",IF(AND($E29&lt;&gt;"",$E29&lt;=EOMONTH(L$3,0),$F29&gt;=L$3),IF(AND($G29&lt;&gt;"",$G29&lt;=EOMONTH(L$3,0),$H29&gt;=L$3),"B","U"),IF(AND($G29&lt;&gt;"",$G29&lt;=EOMONTH(L$3,0),$H29&gt;=L$3),"D","")))</f>
        <v/>
      </c>
      <c r="M29" s="214">
        <f>IF($AH29="","",IF(AND($E29&lt;&gt;"",$E29&lt;=EOMONTH(M$3,0),$F29&gt;=M$3),IF(AND($G29&lt;&gt;"",$G29&lt;=EOMONTH(M$3,0),$H29&gt;=M$3),"B","U"),IF(AND($G29&lt;&gt;"",$G29&lt;=EOMONTH(M$3,0),$H29&gt;=M$3),"D","")))</f>
        <v/>
      </c>
      <c r="N29" s="214">
        <f>IF($AH29="","",IF(AND($E29&lt;&gt;"",$E29&lt;=EOMONTH(N$3,0),$F29&gt;=N$3),IF(AND($G29&lt;&gt;"",$G29&lt;=EOMONTH(N$3,0),$H29&gt;=N$3),"B","U"),IF(AND($G29&lt;&gt;"",$G29&lt;=EOMONTH(N$3,0),$H29&gt;=N$3),"D","")))</f>
        <v/>
      </c>
      <c r="O29" s="214">
        <f>IF($AH29="","",IF(AND($E29&lt;&gt;"",$E29&lt;=EOMONTH(O$3,0),$F29&gt;=O$3),IF(AND($G29&lt;&gt;"",$G29&lt;=EOMONTH(O$3,0),$H29&gt;=O$3),"B","U"),IF(AND($G29&lt;&gt;"",$G29&lt;=EOMONTH(O$3,0),$H29&gt;=O$3),"D","")))</f>
        <v/>
      </c>
      <c r="P29" s="214">
        <f>IF($AH29="","",IF(AND($E29&lt;&gt;"",$E29&lt;=EOMONTH(P$3,0),$F29&gt;=P$3),IF(AND($G29&lt;&gt;"",$G29&lt;=EOMONTH(P$3,0),$H29&gt;=P$3),"B","U"),IF(AND($G29&lt;&gt;"",$G29&lt;=EOMONTH(P$3,0),$H29&gt;=P$3),"D","")))</f>
        <v/>
      </c>
      <c r="Q29" s="214">
        <f>IF($AH29="","",IF(AND($E29&lt;&gt;"",$E29&lt;=EOMONTH(Q$3,0),$F29&gt;=Q$3),IF(AND($G29&lt;&gt;"",$G29&lt;=EOMONTH(Q$3,0),$H29&gt;=Q$3),"B","U"),IF(AND($G29&lt;&gt;"",$G29&lt;=EOMONTH(Q$3,0),$H29&gt;=Q$3),"D","")))</f>
        <v/>
      </c>
      <c r="R29" s="214">
        <f>IF($AH29="","",IF(AND($E29&lt;&gt;"",$E29&lt;=EOMONTH(R$3,0),$F29&gt;=R$3),IF(AND($G29&lt;&gt;"",$G29&lt;=EOMONTH(R$3,0),$H29&gt;=R$3),"B","U"),IF(AND($G29&lt;&gt;"",$G29&lt;=EOMONTH(R$3,0),$H29&gt;=R$3),"D","")))</f>
        <v/>
      </c>
      <c r="S29" s="214">
        <f>IF($AH29="","",IF(AND($E29&lt;&gt;"",$E29&lt;=EOMONTH(S$3,0),$F29&gt;=S$3),IF(AND($G29&lt;&gt;"",$G29&lt;=EOMONTH(S$3,0),$H29&gt;=S$3),"B","U"),IF(AND($G29&lt;&gt;"",$G29&lt;=EOMONTH(S$3,0),$H29&gt;=S$3),"D","")))</f>
        <v/>
      </c>
      <c r="T29" s="214">
        <f>IF($AH29="","",IF(AND($E29&lt;&gt;"",$E29&lt;=EOMONTH(T$3,0),$F29&gt;=T$3),IF(AND($G29&lt;&gt;"",$G29&lt;=EOMONTH(T$3,0),$H29&gt;=T$3),"B","U"),IF(AND($G29&lt;&gt;"",$G29&lt;=EOMONTH(T$3,0),$H29&gt;=T$3),"D","")))</f>
        <v/>
      </c>
      <c r="U29" s="214">
        <f>IF($AH29="","",IF(AND($E29&lt;&gt;"",$E29&lt;=EOMONTH(U$3,0),$F29&gt;=U$3),IF(AND($G29&lt;&gt;"",$G29&lt;=EOMONTH(U$3,0),$H29&gt;=U$3),"B","U"),IF(AND($G29&lt;&gt;"",$G29&lt;=EOMONTH(U$3,0),$H29&gt;=U$3),"D","")))</f>
        <v/>
      </c>
      <c r="V29" s="214">
        <f>IF($AH29="","",IF(AND($E29&lt;&gt;"",$E29&lt;=EOMONTH(V$3,0),$F29&gt;=V$3),IF(AND($G29&lt;&gt;"",$G29&lt;=EOMONTH(V$3,0),$H29&gt;=V$3),"B","U"),IF(AND($G29&lt;&gt;"",$G29&lt;=EOMONTH(V$3,0),$H29&gt;=V$3),"D","")))</f>
        <v/>
      </c>
      <c r="W29" s="214">
        <f>IF($AH29="","",IF(AND($E29&lt;&gt;"",$E29&lt;=EOMONTH(W$3,0),$F29&gt;=W$3),IF(AND($G29&lt;&gt;"",$G29&lt;=EOMONTH(W$3,0),$H29&gt;=W$3),"B","U"),IF(AND($G29&lt;&gt;"",$G29&lt;=EOMONTH(W$3,0),$H29&gt;=W$3),"D","")))</f>
        <v/>
      </c>
      <c r="X29" s="214">
        <f>IF($AH29="","",IF(AND($E29&lt;&gt;"",$E29&lt;=EOMONTH(X$3,0),$F29&gt;=X$3),IF(AND($G29&lt;&gt;"",$G29&lt;=EOMONTH(X$3,0),$H29&gt;=X$3),"B","U"),IF(AND($G29&lt;&gt;"",$G29&lt;=EOMONTH(X$3,0),$H29&gt;=X$3),"D","")))</f>
        <v/>
      </c>
      <c r="Y29" s="214">
        <f>IF($AH29="","",IF(AND($E29&lt;&gt;"",$E29&lt;=EOMONTH(Y$3,0),$F29&gt;=Y$3),IF(AND($G29&lt;&gt;"",$G29&lt;=EOMONTH(Y$3,0),$H29&gt;=Y$3),"B","U"),IF(AND($G29&lt;&gt;"",$G29&lt;=EOMONTH(Y$3,0),$H29&gt;=Y$3),"D","")))</f>
        <v/>
      </c>
      <c r="Z29" s="214">
        <f>IF($AH29="","",IF(AND($E29&lt;&gt;"",$E29&lt;=EOMONTH(Z$3,0),$F29&gt;=Z$3),IF(AND($G29&lt;&gt;"",$G29&lt;=EOMONTH(Z$3,0),$H29&gt;=Z$3),"B","U"),IF(AND($G29&lt;&gt;"",$G29&lt;=EOMONTH(Z$3,0),$H29&gt;=Z$3),"D","")))</f>
        <v/>
      </c>
      <c r="AA29" s="214">
        <f>IF($AH29="","",IF(AND($E29&lt;&gt;"",$E29&lt;=EOMONTH(AA$3,0),$F29&gt;=AA$3),IF(AND($G29&lt;&gt;"",$G29&lt;=EOMONTH(AA$3,0),$H29&gt;=AA$3),"B","U"),IF(AND($G29&lt;&gt;"",$G29&lt;=EOMONTH(AA$3,0),$H29&gt;=AA$3),"D","")))</f>
        <v/>
      </c>
      <c r="AB29" s="214">
        <f>IF($AH29="","",IF(AND($E29&lt;&gt;"",$E29&lt;=EOMONTH(AB$3,0),$F29&gt;=AB$3),IF(AND($G29&lt;&gt;"",$G29&lt;=EOMONTH(AB$3,0),$H29&gt;=AB$3),"B","U"),IF(AND($G29&lt;&gt;"",$G29&lt;=EOMONTH(AB$3,0),$H29&gt;=AB$3),"D","")))</f>
        <v/>
      </c>
      <c r="AC29" s="214">
        <f>IF($AH29="","",IF(AND($E29&lt;&gt;"",$E29&lt;=EOMONTH(AC$3,0),$F29&gt;=AC$3),IF(AND($G29&lt;&gt;"",$G29&lt;=EOMONTH(AC$3,0),$H29&gt;=AC$3),"B","U"),IF(AND($G29&lt;&gt;"",$G29&lt;=EOMONTH(AC$3,0),$H29&gt;=AC$3),"D","")))</f>
        <v/>
      </c>
      <c r="AD29" s="214">
        <f>IF($AH29="","",IF(AND($E29&lt;&gt;"",$E29&lt;=EOMONTH(AD$3,0),$F29&gt;=AD$3),IF(AND($G29&lt;&gt;"",$G29&lt;=EOMONTH(AD$3,0),$H29&gt;=AD$3),"B","U"),IF(AND($G29&lt;&gt;"",$G29&lt;=EOMONTH(AD$3,0),$H29&gt;=AD$3),"D","")))</f>
        <v/>
      </c>
      <c r="AE29" s="214">
        <f>IF($AH29="","",IF(AND($E29&lt;&gt;"",$E29&lt;=EOMONTH(AE$3,0),$F29&gt;=AE$3),IF(AND($G29&lt;&gt;"",$G29&lt;=EOMONTH(AE$3,0),$H29&gt;=AE$3),"B","U"),IF(AND($G29&lt;&gt;"",$G29&lt;=EOMONTH(AE$3,0),$H29&gt;=AE$3),"D","")))</f>
        <v/>
      </c>
      <c r="AF29" s="214">
        <f>IF($AH29="","",IF(AND($E29&lt;&gt;"",$E29&lt;=EOMONTH(AF$3,0),$F29&gt;=AF$3),IF(AND($G29&lt;&gt;"",$G29&lt;=EOMONTH(AF$3,0),$H29&gt;=AF$3),"B","U"),IF(AND($G29&lt;&gt;"",$G29&lt;=EOMONTH(AF$3,0),$H29&gt;=AF$3),"D","")))</f>
        <v/>
      </c>
      <c r="AG29">
        <f>IF($AH29="","",INDEX('Roadmap Calc (Don’t Touch)'!$D$2:$D$205,$AH29))</f>
        <v/>
      </c>
      <c r="AH29">
        <f>IFERROR(MATCH(23,'Roadmap Calc (Don’t Touch)'!$O$2:$O$205,0),"")</f>
        <v/>
      </c>
    </row>
    <row r="30" ht="17" customHeight="1">
      <c r="A30" s="209">
        <f>IF($AH30="","",IF($AG30=$AG29,"",$AG30))</f>
        <v/>
      </c>
      <c r="B30" s="210">
        <f>IF($AH30="","",INDEX('Roadmap Calc (Don’t Touch)'!$B$2:$B$205,$AH30))</f>
        <v/>
      </c>
      <c r="C30" s="211">
        <f>IF($AH30="","",INDEX('Roadmap Calc (Don’t Touch)'!$E$2:$E$205,$AH30))</f>
        <v/>
      </c>
      <c r="D30" s="212">
        <f>IF($AH30="","",INDEX('Roadmap Calc (Don’t Touch)'!$F$2:$F$205,$AH30))</f>
        <v/>
      </c>
      <c r="E30" s="213">
        <f>IF($AH30="","",INDEX('Roadmap Calc (Don’t Touch)'!$G$2:$G$205,$AH30))</f>
        <v/>
      </c>
      <c r="F30" s="213">
        <f>IF($AH30="","",INDEX('Roadmap Calc (Don’t Touch)'!$H$2:$H$205,$AH30))</f>
        <v/>
      </c>
      <c r="G30" s="213">
        <f>IF($AH30="","",INDEX('Roadmap Calc (Don’t Touch)'!$I$2:$I$205,$AH30))</f>
        <v/>
      </c>
      <c r="H30" s="213">
        <f>IF($AH30="","",INDEX('Roadmap Calc (Don’t Touch)'!$J$2:$J$205,$AH30))</f>
        <v/>
      </c>
      <c r="I30" s="214">
        <f>IF($AH30="","",IF(AND($E30&lt;&gt;"",$E30&lt;=EOMONTH(I$3,0),$F30&gt;=I$3),IF(AND($G30&lt;&gt;"",$G30&lt;=EOMONTH(I$3,0),$H30&gt;=I$3),"B","U"),IF(AND($G30&lt;&gt;"",$G30&lt;=EOMONTH(I$3,0),$H30&gt;=I$3),"D","")))</f>
        <v/>
      </c>
      <c r="J30" s="214">
        <f>IF($AH30="","",IF(AND($E30&lt;&gt;"",$E30&lt;=EOMONTH(J$3,0),$F30&gt;=J$3),IF(AND($G30&lt;&gt;"",$G30&lt;=EOMONTH(J$3,0),$H30&gt;=J$3),"B","U"),IF(AND($G30&lt;&gt;"",$G30&lt;=EOMONTH(J$3,0),$H30&gt;=J$3),"D","")))</f>
        <v/>
      </c>
      <c r="K30" s="214">
        <f>IF($AH30="","",IF(AND($E30&lt;&gt;"",$E30&lt;=EOMONTH(K$3,0),$F30&gt;=K$3),IF(AND($G30&lt;&gt;"",$G30&lt;=EOMONTH(K$3,0),$H30&gt;=K$3),"B","U"),IF(AND($G30&lt;&gt;"",$G30&lt;=EOMONTH(K$3,0),$H30&gt;=K$3),"D","")))</f>
        <v/>
      </c>
      <c r="L30" s="214">
        <f>IF($AH30="","",IF(AND($E30&lt;&gt;"",$E30&lt;=EOMONTH(L$3,0),$F30&gt;=L$3),IF(AND($G30&lt;&gt;"",$G30&lt;=EOMONTH(L$3,0),$H30&gt;=L$3),"B","U"),IF(AND($G30&lt;&gt;"",$G30&lt;=EOMONTH(L$3,0),$H30&gt;=L$3),"D","")))</f>
        <v/>
      </c>
      <c r="M30" s="214">
        <f>IF($AH30="","",IF(AND($E30&lt;&gt;"",$E30&lt;=EOMONTH(M$3,0),$F30&gt;=M$3),IF(AND($G30&lt;&gt;"",$G30&lt;=EOMONTH(M$3,0),$H30&gt;=M$3),"B","U"),IF(AND($G30&lt;&gt;"",$G30&lt;=EOMONTH(M$3,0),$H30&gt;=M$3),"D","")))</f>
        <v/>
      </c>
      <c r="N30" s="214">
        <f>IF($AH30="","",IF(AND($E30&lt;&gt;"",$E30&lt;=EOMONTH(N$3,0),$F30&gt;=N$3),IF(AND($G30&lt;&gt;"",$G30&lt;=EOMONTH(N$3,0),$H30&gt;=N$3),"B","U"),IF(AND($G30&lt;&gt;"",$G30&lt;=EOMONTH(N$3,0),$H30&gt;=N$3),"D","")))</f>
        <v/>
      </c>
      <c r="O30" s="214">
        <f>IF($AH30="","",IF(AND($E30&lt;&gt;"",$E30&lt;=EOMONTH(O$3,0),$F30&gt;=O$3),IF(AND($G30&lt;&gt;"",$G30&lt;=EOMONTH(O$3,0),$H30&gt;=O$3),"B","U"),IF(AND($G30&lt;&gt;"",$G30&lt;=EOMONTH(O$3,0),$H30&gt;=O$3),"D","")))</f>
        <v/>
      </c>
      <c r="P30" s="214">
        <f>IF($AH30="","",IF(AND($E30&lt;&gt;"",$E30&lt;=EOMONTH(P$3,0),$F30&gt;=P$3),IF(AND($G30&lt;&gt;"",$G30&lt;=EOMONTH(P$3,0),$H30&gt;=P$3),"B","U"),IF(AND($G30&lt;&gt;"",$G30&lt;=EOMONTH(P$3,0),$H30&gt;=P$3),"D","")))</f>
        <v/>
      </c>
      <c r="Q30" s="214">
        <f>IF($AH30="","",IF(AND($E30&lt;&gt;"",$E30&lt;=EOMONTH(Q$3,0),$F30&gt;=Q$3),IF(AND($G30&lt;&gt;"",$G30&lt;=EOMONTH(Q$3,0),$H30&gt;=Q$3),"B","U"),IF(AND($G30&lt;&gt;"",$G30&lt;=EOMONTH(Q$3,0),$H30&gt;=Q$3),"D","")))</f>
        <v/>
      </c>
      <c r="R30" s="214">
        <f>IF($AH30="","",IF(AND($E30&lt;&gt;"",$E30&lt;=EOMONTH(R$3,0),$F30&gt;=R$3),IF(AND($G30&lt;&gt;"",$G30&lt;=EOMONTH(R$3,0),$H30&gt;=R$3),"B","U"),IF(AND($G30&lt;&gt;"",$G30&lt;=EOMONTH(R$3,0),$H30&gt;=R$3),"D","")))</f>
        <v/>
      </c>
      <c r="S30" s="214">
        <f>IF($AH30="","",IF(AND($E30&lt;&gt;"",$E30&lt;=EOMONTH(S$3,0),$F30&gt;=S$3),IF(AND($G30&lt;&gt;"",$G30&lt;=EOMONTH(S$3,0),$H30&gt;=S$3),"B","U"),IF(AND($G30&lt;&gt;"",$G30&lt;=EOMONTH(S$3,0),$H30&gt;=S$3),"D","")))</f>
        <v/>
      </c>
      <c r="T30" s="214">
        <f>IF($AH30="","",IF(AND($E30&lt;&gt;"",$E30&lt;=EOMONTH(T$3,0),$F30&gt;=T$3),IF(AND($G30&lt;&gt;"",$G30&lt;=EOMONTH(T$3,0),$H30&gt;=T$3),"B","U"),IF(AND($G30&lt;&gt;"",$G30&lt;=EOMONTH(T$3,0),$H30&gt;=T$3),"D","")))</f>
        <v/>
      </c>
      <c r="U30" s="214">
        <f>IF($AH30="","",IF(AND($E30&lt;&gt;"",$E30&lt;=EOMONTH(U$3,0),$F30&gt;=U$3),IF(AND($G30&lt;&gt;"",$G30&lt;=EOMONTH(U$3,0),$H30&gt;=U$3),"B","U"),IF(AND($G30&lt;&gt;"",$G30&lt;=EOMONTH(U$3,0),$H30&gt;=U$3),"D","")))</f>
        <v/>
      </c>
      <c r="V30" s="214">
        <f>IF($AH30="","",IF(AND($E30&lt;&gt;"",$E30&lt;=EOMONTH(V$3,0),$F30&gt;=V$3),IF(AND($G30&lt;&gt;"",$G30&lt;=EOMONTH(V$3,0),$H30&gt;=V$3),"B","U"),IF(AND($G30&lt;&gt;"",$G30&lt;=EOMONTH(V$3,0),$H30&gt;=V$3),"D","")))</f>
        <v/>
      </c>
      <c r="W30" s="214">
        <f>IF($AH30="","",IF(AND($E30&lt;&gt;"",$E30&lt;=EOMONTH(W$3,0),$F30&gt;=W$3),IF(AND($G30&lt;&gt;"",$G30&lt;=EOMONTH(W$3,0),$H30&gt;=W$3),"B","U"),IF(AND($G30&lt;&gt;"",$G30&lt;=EOMONTH(W$3,0),$H30&gt;=W$3),"D","")))</f>
        <v/>
      </c>
      <c r="X30" s="214">
        <f>IF($AH30="","",IF(AND($E30&lt;&gt;"",$E30&lt;=EOMONTH(X$3,0),$F30&gt;=X$3),IF(AND($G30&lt;&gt;"",$G30&lt;=EOMONTH(X$3,0),$H30&gt;=X$3),"B","U"),IF(AND($G30&lt;&gt;"",$G30&lt;=EOMONTH(X$3,0),$H30&gt;=X$3),"D","")))</f>
        <v/>
      </c>
      <c r="Y30" s="214">
        <f>IF($AH30="","",IF(AND($E30&lt;&gt;"",$E30&lt;=EOMONTH(Y$3,0),$F30&gt;=Y$3),IF(AND($G30&lt;&gt;"",$G30&lt;=EOMONTH(Y$3,0),$H30&gt;=Y$3),"B","U"),IF(AND($G30&lt;&gt;"",$G30&lt;=EOMONTH(Y$3,0),$H30&gt;=Y$3),"D","")))</f>
        <v/>
      </c>
      <c r="Z30" s="214">
        <f>IF($AH30="","",IF(AND($E30&lt;&gt;"",$E30&lt;=EOMONTH(Z$3,0),$F30&gt;=Z$3),IF(AND($G30&lt;&gt;"",$G30&lt;=EOMONTH(Z$3,0),$H30&gt;=Z$3),"B","U"),IF(AND($G30&lt;&gt;"",$G30&lt;=EOMONTH(Z$3,0),$H30&gt;=Z$3),"D","")))</f>
        <v/>
      </c>
      <c r="AA30" s="214">
        <f>IF($AH30="","",IF(AND($E30&lt;&gt;"",$E30&lt;=EOMONTH(AA$3,0),$F30&gt;=AA$3),IF(AND($G30&lt;&gt;"",$G30&lt;=EOMONTH(AA$3,0),$H30&gt;=AA$3),"B","U"),IF(AND($G30&lt;&gt;"",$G30&lt;=EOMONTH(AA$3,0),$H30&gt;=AA$3),"D","")))</f>
        <v/>
      </c>
      <c r="AB30" s="214">
        <f>IF($AH30="","",IF(AND($E30&lt;&gt;"",$E30&lt;=EOMONTH(AB$3,0),$F30&gt;=AB$3),IF(AND($G30&lt;&gt;"",$G30&lt;=EOMONTH(AB$3,0),$H30&gt;=AB$3),"B","U"),IF(AND($G30&lt;&gt;"",$G30&lt;=EOMONTH(AB$3,0),$H30&gt;=AB$3),"D","")))</f>
        <v/>
      </c>
      <c r="AC30" s="214">
        <f>IF($AH30="","",IF(AND($E30&lt;&gt;"",$E30&lt;=EOMONTH(AC$3,0),$F30&gt;=AC$3),IF(AND($G30&lt;&gt;"",$G30&lt;=EOMONTH(AC$3,0),$H30&gt;=AC$3),"B","U"),IF(AND($G30&lt;&gt;"",$G30&lt;=EOMONTH(AC$3,0),$H30&gt;=AC$3),"D","")))</f>
        <v/>
      </c>
      <c r="AD30" s="214">
        <f>IF($AH30="","",IF(AND($E30&lt;&gt;"",$E30&lt;=EOMONTH(AD$3,0),$F30&gt;=AD$3),IF(AND($G30&lt;&gt;"",$G30&lt;=EOMONTH(AD$3,0),$H30&gt;=AD$3),"B","U"),IF(AND($G30&lt;&gt;"",$G30&lt;=EOMONTH(AD$3,0),$H30&gt;=AD$3),"D","")))</f>
        <v/>
      </c>
      <c r="AE30" s="214">
        <f>IF($AH30="","",IF(AND($E30&lt;&gt;"",$E30&lt;=EOMONTH(AE$3,0),$F30&gt;=AE$3),IF(AND($G30&lt;&gt;"",$G30&lt;=EOMONTH(AE$3,0),$H30&gt;=AE$3),"B","U"),IF(AND($G30&lt;&gt;"",$G30&lt;=EOMONTH(AE$3,0),$H30&gt;=AE$3),"D","")))</f>
        <v/>
      </c>
      <c r="AF30" s="214">
        <f>IF($AH30="","",IF(AND($E30&lt;&gt;"",$E30&lt;=EOMONTH(AF$3,0),$F30&gt;=AF$3),IF(AND($G30&lt;&gt;"",$G30&lt;=EOMONTH(AF$3,0),$H30&gt;=AF$3),"B","U"),IF(AND($G30&lt;&gt;"",$G30&lt;=EOMONTH(AF$3,0),$H30&gt;=AF$3),"D","")))</f>
        <v/>
      </c>
      <c r="AG30">
        <f>IF($AH30="","",INDEX('Roadmap Calc (Don’t Touch)'!$D$2:$D$205,$AH30))</f>
        <v/>
      </c>
      <c r="AH30">
        <f>IFERROR(MATCH(24,'Roadmap Calc (Don’t Touch)'!$O$2:$O$205,0),"")</f>
        <v/>
      </c>
    </row>
    <row r="31" ht="17" customHeight="1">
      <c r="A31" s="209">
        <f>IF($AH31="","",IF($AG31=$AG30,"",$AG31))</f>
        <v/>
      </c>
      <c r="B31" s="210">
        <f>IF($AH31="","",INDEX('Roadmap Calc (Don’t Touch)'!$B$2:$B$205,$AH31))</f>
        <v/>
      </c>
      <c r="C31" s="211">
        <f>IF($AH31="","",INDEX('Roadmap Calc (Don’t Touch)'!$E$2:$E$205,$AH31))</f>
        <v/>
      </c>
      <c r="D31" s="212">
        <f>IF($AH31="","",INDEX('Roadmap Calc (Don’t Touch)'!$F$2:$F$205,$AH31))</f>
        <v/>
      </c>
      <c r="E31" s="213">
        <f>IF($AH31="","",INDEX('Roadmap Calc (Don’t Touch)'!$G$2:$G$205,$AH31))</f>
        <v/>
      </c>
      <c r="F31" s="213">
        <f>IF($AH31="","",INDEX('Roadmap Calc (Don’t Touch)'!$H$2:$H$205,$AH31))</f>
        <v/>
      </c>
      <c r="G31" s="213">
        <f>IF($AH31="","",INDEX('Roadmap Calc (Don’t Touch)'!$I$2:$I$205,$AH31))</f>
        <v/>
      </c>
      <c r="H31" s="213">
        <f>IF($AH31="","",INDEX('Roadmap Calc (Don’t Touch)'!$J$2:$J$205,$AH31))</f>
        <v/>
      </c>
      <c r="I31" s="214">
        <f>IF($AH31="","",IF(AND($E31&lt;&gt;"",$E31&lt;=EOMONTH(I$3,0),$F31&gt;=I$3),IF(AND($G31&lt;&gt;"",$G31&lt;=EOMONTH(I$3,0),$H31&gt;=I$3),"B","U"),IF(AND($G31&lt;&gt;"",$G31&lt;=EOMONTH(I$3,0),$H31&gt;=I$3),"D","")))</f>
        <v/>
      </c>
      <c r="J31" s="214">
        <f>IF($AH31="","",IF(AND($E31&lt;&gt;"",$E31&lt;=EOMONTH(J$3,0),$F31&gt;=J$3),IF(AND($G31&lt;&gt;"",$G31&lt;=EOMONTH(J$3,0),$H31&gt;=J$3),"B","U"),IF(AND($G31&lt;&gt;"",$G31&lt;=EOMONTH(J$3,0),$H31&gt;=J$3),"D","")))</f>
        <v/>
      </c>
      <c r="K31" s="214">
        <f>IF($AH31="","",IF(AND($E31&lt;&gt;"",$E31&lt;=EOMONTH(K$3,0),$F31&gt;=K$3),IF(AND($G31&lt;&gt;"",$G31&lt;=EOMONTH(K$3,0),$H31&gt;=K$3),"B","U"),IF(AND($G31&lt;&gt;"",$G31&lt;=EOMONTH(K$3,0),$H31&gt;=K$3),"D","")))</f>
        <v/>
      </c>
      <c r="L31" s="214">
        <f>IF($AH31="","",IF(AND($E31&lt;&gt;"",$E31&lt;=EOMONTH(L$3,0),$F31&gt;=L$3),IF(AND($G31&lt;&gt;"",$G31&lt;=EOMONTH(L$3,0),$H31&gt;=L$3),"B","U"),IF(AND($G31&lt;&gt;"",$G31&lt;=EOMONTH(L$3,0),$H31&gt;=L$3),"D","")))</f>
        <v/>
      </c>
      <c r="M31" s="214">
        <f>IF($AH31="","",IF(AND($E31&lt;&gt;"",$E31&lt;=EOMONTH(M$3,0),$F31&gt;=M$3),IF(AND($G31&lt;&gt;"",$G31&lt;=EOMONTH(M$3,0),$H31&gt;=M$3),"B","U"),IF(AND($G31&lt;&gt;"",$G31&lt;=EOMONTH(M$3,0),$H31&gt;=M$3),"D","")))</f>
        <v/>
      </c>
      <c r="N31" s="214">
        <f>IF($AH31="","",IF(AND($E31&lt;&gt;"",$E31&lt;=EOMONTH(N$3,0),$F31&gt;=N$3),IF(AND($G31&lt;&gt;"",$G31&lt;=EOMONTH(N$3,0),$H31&gt;=N$3),"B","U"),IF(AND($G31&lt;&gt;"",$G31&lt;=EOMONTH(N$3,0),$H31&gt;=N$3),"D","")))</f>
        <v/>
      </c>
      <c r="O31" s="214">
        <f>IF($AH31="","",IF(AND($E31&lt;&gt;"",$E31&lt;=EOMONTH(O$3,0),$F31&gt;=O$3),IF(AND($G31&lt;&gt;"",$G31&lt;=EOMONTH(O$3,0),$H31&gt;=O$3),"B","U"),IF(AND($G31&lt;&gt;"",$G31&lt;=EOMONTH(O$3,0),$H31&gt;=O$3),"D","")))</f>
        <v/>
      </c>
      <c r="P31" s="214">
        <f>IF($AH31="","",IF(AND($E31&lt;&gt;"",$E31&lt;=EOMONTH(P$3,0),$F31&gt;=P$3),IF(AND($G31&lt;&gt;"",$G31&lt;=EOMONTH(P$3,0),$H31&gt;=P$3),"B","U"),IF(AND($G31&lt;&gt;"",$G31&lt;=EOMONTH(P$3,0),$H31&gt;=P$3),"D","")))</f>
        <v/>
      </c>
      <c r="Q31" s="214">
        <f>IF($AH31="","",IF(AND($E31&lt;&gt;"",$E31&lt;=EOMONTH(Q$3,0),$F31&gt;=Q$3),IF(AND($G31&lt;&gt;"",$G31&lt;=EOMONTH(Q$3,0),$H31&gt;=Q$3),"B","U"),IF(AND($G31&lt;&gt;"",$G31&lt;=EOMONTH(Q$3,0),$H31&gt;=Q$3),"D","")))</f>
        <v/>
      </c>
      <c r="R31" s="214">
        <f>IF($AH31="","",IF(AND($E31&lt;&gt;"",$E31&lt;=EOMONTH(R$3,0),$F31&gt;=R$3),IF(AND($G31&lt;&gt;"",$G31&lt;=EOMONTH(R$3,0),$H31&gt;=R$3),"B","U"),IF(AND($G31&lt;&gt;"",$G31&lt;=EOMONTH(R$3,0),$H31&gt;=R$3),"D","")))</f>
        <v/>
      </c>
      <c r="S31" s="214">
        <f>IF($AH31="","",IF(AND($E31&lt;&gt;"",$E31&lt;=EOMONTH(S$3,0),$F31&gt;=S$3),IF(AND($G31&lt;&gt;"",$G31&lt;=EOMONTH(S$3,0),$H31&gt;=S$3),"B","U"),IF(AND($G31&lt;&gt;"",$G31&lt;=EOMONTH(S$3,0),$H31&gt;=S$3),"D","")))</f>
        <v/>
      </c>
      <c r="T31" s="214">
        <f>IF($AH31="","",IF(AND($E31&lt;&gt;"",$E31&lt;=EOMONTH(T$3,0),$F31&gt;=T$3),IF(AND($G31&lt;&gt;"",$G31&lt;=EOMONTH(T$3,0),$H31&gt;=T$3),"B","U"),IF(AND($G31&lt;&gt;"",$G31&lt;=EOMONTH(T$3,0),$H31&gt;=T$3),"D","")))</f>
        <v/>
      </c>
      <c r="U31" s="214">
        <f>IF($AH31="","",IF(AND($E31&lt;&gt;"",$E31&lt;=EOMONTH(U$3,0),$F31&gt;=U$3),IF(AND($G31&lt;&gt;"",$G31&lt;=EOMONTH(U$3,0),$H31&gt;=U$3),"B","U"),IF(AND($G31&lt;&gt;"",$G31&lt;=EOMONTH(U$3,0),$H31&gt;=U$3),"D","")))</f>
        <v/>
      </c>
      <c r="V31" s="214">
        <f>IF($AH31="","",IF(AND($E31&lt;&gt;"",$E31&lt;=EOMONTH(V$3,0),$F31&gt;=V$3),IF(AND($G31&lt;&gt;"",$G31&lt;=EOMONTH(V$3,0),$H31&gt;=V$3),"B","U"),IF(AND($G31&lt;&gt;"",$G31&lt;=EOMONTH(V$3,0),$H31&gt;=V$3),"D","")))</f>
        <v/>
      </c>
      <c r="W31" s="214">
        <f>IF($AH31="","",IF(AND($E31&lt;&gt;"",$E31&lt;=EOMONTH(W$3,0),$F31&gt;=W$3),IF(AND($G31&lt;&gt;"",$G31&lt;=EOMONTH(W$3,0),$H31&gt;=W$3),"B","U"),IF(AND($G31&lt;&gt;"",$G31&lt;=EOMONTH(W$3,0),$H31&gt;=W$3),"D","")))</f>
        <v/>
      </c>
      <c r="X31" s="214">
        <f>IF($AH31="","",IF(AND($E31&lt;&gt;"",$E31&lt;=EOMONTH(X$3,0),$F31&gt;=X$3),IF(AND($G31&lt;&gt;"",$G31&lt;=EOMONTH(X$3,0),$H31&gt;=X$3),"B","U"),IF(AND($G31&lt;&gt;"",$G31&lt;=EOMONTH(X$3,0),$H31&gt;=X$3),"D","")))</f>
        <v/>
      </c>
      <c r="Y31" s="214">
        <f>IF($AH31="","",IF(AND($E31&lt;&gt;"",$E31&lt;=EOMONTH(Y$3,0),$F31&gt;=Y$3),IF(AND($G31&lt;&gt;"",$G31&lt;=EOMONTH(Y$3,0),$H31&gt;=Y$3),"B","U"),IF(AND($G31&lt;&gt;"",$G31&lt;=EOMONTH(Y$3,0),$H31&gt;=Y$3),"D","")))</f>
        <v/>
      </c>
      <c r="Z31" s="214">
        <f>IF($AH31="","",IF(AND($E31&lt;&gt;"",$E31&lt;=EOMONTH(Z$3,0),$F31&gt;=Z$3),IF(AND($G31&lt;&gt;"",$G31&lt;=EOMONTH(Z$3,0),$H31&gt;=Z$3),"B","U"),IF(AND($G31&lt;&gt;"",$G31&lt;=EOMONTH(Z$3,0),$H31&gt;=Z$3),"D","")))</f>
        <v/>
      </c>
      <c r="AA31" s="214">
        <f>IF($AH31="","",IF(AND($E31&lt;&gt;"",$E31&lt;=EOMONTH(AA$3,0),$F31&gt;=AA$3),IF(AND($G31&lt;&gt;"",$G31&lt;=EOMONTH(AA$3,0),$H31&gt;=AA$3),"B","U"),IF(AND($G31&lt;&gt;"",$G31&lt;=EOMONTH(AA$3,0),$H31&gt;=AA$3),"D","")))</f>
        <v/>
      </c>
      <c r="AB31" s="214">
        <f>IF($AH31="","",IF(AND($E31&lt;&gt;"",$E31&lt;=EOMONTH(AB$3,0),$F31&gt;=AB$3),IF(AND($G31&lt;&gt;"",$G31&lt;=EOMONTH(AB$3,0),$H31&gt;=AB$3),"B","U"),IF(AND($G31&lt;&gt;"",$G31&lt;=EOMONTH(AB$3,0),$H31&gt;=AB$3),"D","")))</f>
        <v/>
      </c>
      <c r="AC31" s="214">
        <f>IF($AH31="","",IF(AND($E31&lt;&gt;"",$E31&lt;=EOMONTH(AC$3,0),$F31&gt;=AC$3),IF(AND($G31&lt;&gt;"",$G31&lt;=EOMONTH(AC$3,0),$H31&gt;=AC$3),"B","U"),IF(AND($G31&lt;&gt;"",$G31&lt;=EOMONTH(AC$3,0),$H31&gt;=AC$3),"D","")))</f>
        <v/>
      </c>
      <c r="AD31" s="214">
        <f>IF($AH31="","",IF(AND($E31&lt;&gt;"",$E31&lt;=EOMONTH(AD$3,0),$F31&gt;=AD$3),IF(AND($G31&lt;&gt;"",$G31&lt;=EOMONTH(AD$3,0),$H31&gt;=AD$3),"B","U"),IF(AND($G31&lt;&gt;"",$G31&lt;=EOMONTH(AD$3,0),$H31&gt;=AD$3),"D","")))</f>
        <v/>
      </c>
      <c r="AE31" s="214">
        <f>IF($AH31="","",IF(AND($E31&lt;&gt;"",$E31&lt;=EOMONTH(AE$3,0),$F31&gt;=AE$3),IF(AND($G31&lt;&gt;"",$G31&lt;=EOMONTH(AE$3,0),$H31&gt;=AE$3),"B","U"),IF(AND($G31&lt;&gt;"",$G31&lt;=EOMONTH(AE$3,0),$H31&gt;=AE$3),"D","")))</f>
        <v/>
      </c>
      <c r="AF31" s="214">
        <f>IF($AH31="","",IF(AND($E31&lt;&gt;"",$E31&lt;=EOMONTH(AF$3,0),$F31&gt;=AF$3),IF(AND($G31&lt;&gt;"",$G31&lt;=EOMONTH(AF$3,0),$H31&gt;=AF$3),"B","U"),IF(AND($G31&lt;&gt;"",$G31&lt;=EOMONTH(AF$3,0),$H31&gt;=AF$3),"D","")))</f>
        <v/>
      </c>
      <c r="AG31">
        <f>IF($AH31="","",INDEX('Roadmap Calc (Don’t Touch)'!$D$2:$D$205,$AH31))</f>
        <v/>
      </c>
      <c r="AH31">
        <f>IFERROR(MATCH(25,'Roadmap Calc (Don’t Touch)'!$O$2:$O$205,0),"")</f>
        <v/>
      </c>
    </row>
    <row r="32" ht="17" customHeight="1">
      <c r="A32" s="209">
        <f>IF($AH32="","",IF($AG32=$AG31,"",$AG32))</f>
        <v/>
      </c>
      <c r="B32" s="210">
        <f>IF($AH32="","",INDEX('Roadmap Calc (Don’t Touch)'!$B$2:$B$205,$AH32))</f>
        <v/>
      </c>
      <c r="C32" s="211">
        <f>IF($AH32="","",INDEX('Roadmap Calc (Don’t Touch)'!$E$2:$E$205,$AH32))</f>
        <v/>
      </c>
      <c r="D32" s="212">
        <f>IF($AH32="","",INDEX('Roadmap Calc (Don’t Touch)'!$F$2:$F$205,$AH32))</f>
        <v/>
      </c>
      <c r="E32" s="213">
        <f>IF($AH32="","",INDEX('Roadmap Calc (Don’t Touch)'!$G$2:$G$205,$AH32))</f>
        <v/>
      </c>
      <c r="F32" s="213">
        <f>IF($AH32="","",INDEX('Roadmap Calc (Don’t Touch)'!$H$2:$H$205,$AH32))</f>
        <v/>
      </c>
      <c r="G32" s="213">
        <f>IF($AH32="","",INDEX('Roadmap Calc (Don’t Touch)'!$I$2:$I$205,$AH32))</f>
        <v/>
      </c>
      <c r="H32" s="213">
        <f>IF($AH32="","",INDEX('Roadmap Calc (Don’t Touch)'!$J$2:$J$205,$AH32))</f>
        <v/>
      </c>
      <c r="I32" s="214">
        <f>IF($AH32="","",IF(AND($E32&lt;&gt;"",$E32&lt;=EOMONTH(I$3,0),$F32&gt;=I$3),IF(AND($G32&lt;&gt;"",$G32&lt;=EOMONTH(I$3,0),$H32&gt;=I$3),"B","U"),IF(AND($G32&lt;&gt;"",$G32&lt;=EOMONTH(I$3,0),$H32&gt;=I$3),"D","")))</f>
        <v/>
      </c>
      <c r="J32" s="214">
        <f>IF($AH32="","",IF(AND($E32&lt;&gt;"",$E32&lt;=EOMONTH(J$3,0),$F32&gt;=J$3),IF(AND($G32&lt;&gt;"",$G32&lt;=EOMONTH(J$3,0),$H32&gt;=J$3),"B","U"),IF(AND($G32&lt;&gt;"",$G32&lt;=EOMONTH(J$3,0),$H32&gt;=J$3),"D","")))</f>
        <v/>
      </c>
      <c r="K32" s="214">
        <f>IF($AH32="","",IF(AND($E32&lt;&gt;"",$E32&lt;=EOMONTH(K$3,0),$F32&gt;=K$3),IF(AND($G32&lt;&gt;"",$G32&lt;=EOMONTH(K$3,0),$H32&gt;=K$3),"B","U"),IF(AND($G32&lt;&gt;"",$G32&lt;=EOMONTH(K$3,0),$H32&gt;=K$3),"D","")))</f>
        <v/>
      </c>
      <c r="L32" s="214">
        <f>IF($AH32="","",IF(AND($E32&lt;&gt;"",$E32&lt;=EOMONTH(L$3,0),$F32&gt;=L$3),IF(AND($G32&lt;&gt;"",$G32&lt;=EOMONTH(L$3,0),$H32&gt;=L$3),"B","U"),IF(AND($G32&lt;&gt;"",$G32&lt;=EOMONTH(L$3,0),$H32&gt;=L$3),"D","")))</f>
        <v/>
      </c>
      <c r="M32" s="214">
        <f>IF($AH32="","",IF(AND($E32&lt;&gt;"",$E32&lt;=EOMONTH(M$3,0),$F32&gt;=M$3),IF(AND($G32&lt;&gt;"",$G32&lt;=EOMONTH(M$3,0),$H32&gt;=M$3),"B","U"),IF(AND($G32&lt;&gt;"",$G32&lt;=EOMONTH(M$3,0),$H32&gt;=M$3),"D","")))</f>
        <v/>
      </c>
      <c r="N32" s="214">
        <f>IF($AH32="","",IF(AND($E32&lt;&gt;"",$E32&lt;=EOMONTH(N$3,0),$F32&gt;=N$3),IF(AND($G32&lt;&gt;"",$G32&lt;=EOMONTH(N$3,0),$H32&gt;=N$3),"B","U"),IF(AND($G32&lt;&gt;"",$G32&lt;=EOMONTH(N$3,0),$H32&gt;=N$3),"D","")))</f>
        <v/>
      </c>
      <c r="O32" s="214">
        <f>IF($AH32="","",IF(AND($E32&lt;&gt;"",$E32&lt;=EOMONTH(O$3,0),$F32&gt;=O$3),IF(AND($G32&lt;&gt;"",$G32&lt;=EOMONTH(O$3,0),$H32&gt;=O$3),"B","U"),IF(AND($G32&lt;&gt;"",$G32&lt;=EOMONTH(O$3,0),$H32&gt;=O$3),"D","")))</f>
        <v/>
      </c>
      <c r="P32" s="214">
        <f>IF($AH32="","",IF(AND($E32&lt;&gt;"",$E32&lt;=EOMONTH(P$3,0),$F32&gt;=P$3),IF(AND($G32&lt;&gt;"",$G32&lt;=EOMONTH(P$3,0),$H32&gt;=P$3),"B","U"),IF(AND($G32&lt;&gt;"",$G32&lt;=EOMONTH(P$3,0),$H32&gt;=P$3),"D","")))</f>
        <v/>
      </c>
      <c r="Q32" s="214">
        <f>IF($AH32="","",IF(AND($E32&lt;&gt;"",$E32&lt;=EOMONTH(Q$3,0),$F32&gt;=Q$3),IF(AND($G32&lt;&gt;"",$G32&lt;=EOMONTH(Q$3,0),$H32&gt;=Q$3),"B","U"),IF(AND($G32&lt;&gt;"",$G32&lt;=EOMONTH(Q$3,0),$H32&gt;=Q$3),"D","")))</f>
        <v/>
      </c>
      <c r="R32" s="214">
        <f>IF($AH32="","",IF(AND($E32&lt;&gt;"",$E32&lt;=EOMONTH(R$3,0),$F32&gt;=R$3),IF(AND($G32&lt;&gt;"",$G32&lt;=EOMONTH(R$3,0),$H32&gt;=R$3),"B","U"),IF(AND($G32&lt;&gt;"",$G32&lt;=EOMONTH(R$3,0),$H32&gt;=R$3),"D","")))</f>
        <v/>
      </c>
      <c r="S32" s="214">
        <f>IF($AH32="","",IF(AND($E32&lt;&gt;"",$E32&lt;=EOMONTH(S$3,0),$F32&gt;=S$3),IF(AND($G32&lt;&gt;"",$G32&lt;=EOMONTH(S$3,0),$H32&gt;=S$3),"B","U"),IF(AND($G32&lt;&gt;"",$G32&lt;=EOMONTH(S$3,0),$H32&gt;=S$3),"D","")))</f>
        <v/>
      </c>
      <c r="T32" s="214">
        <f>IF($AH32="","",IF(AND($E32&lt;&gt;"",$E32&lt;=EOMONTH(T$3,0),$F32&gt;=T$3),IF(AND($G32&lt;&gt;"",$G32&lt;=EOMONTH(T$3,0),$H32&gt;=T$3),"B","U"),IF(AND($G32&lt;&gt;"",$G32&lt;=EOMONTH(T$3,0),$H32&gt;=T$3),"D","")))</f>
        <v/>
      </c>
      <c r="U32" s="214">
        <f>IF($AH32="","",IF(AND($E32&lt;&gt;"",$E32&lt;=EOMONTH(U$3,0),$F32&gt;=U$3),IF(AND($G32&lt;&gt;"",$G32&lt;=EOMONTH(U$3,0),$H32&gt;=U$3),"B","U"),IF(AND($G32&lt;&gt;"",$G32&lt;=EOMONTH(U$3,0),$H32&gt;=U$3),"D","")))</f>
        <v/>
      </c>
      <c r="V32" s="214">
        <f>IF($AH32="","",IF(AND($E32&lt;&gt;"",$E32&lt;=EOMONTH(V$3,0),$F32&gt;=V$3),IF(AND($G32&lt;&gt;"",$G32&lt;=EOMONTH(V$3,0),$H32&gt;=V$3),"B","U"),IF(AND($G32&lt;&gt;"",$G32&lt;=EOMONTH(V$3,0),$H32&gt;=V$3),"D","")))</f>
        <v/>
      </c>
      <c r="W32" s="214">
        <f>IF($AH32="","",IF(AND($E32&lt;&gt;"",$E32&lt;=EOMONTH(W$3,0),$F32&gt;=W$3),IF(AND($G32&lt;&gt;"",$G32&lt;=EOMONTH(W$3,0),$H32&gt;=W$3),"B","U"),IF(AND($G32&lt;&gt;"",$G32&lt;=EOMONTH(W$3,0),$H32&gt;=W$3),"D","")))</f>
        <v/>
      </c>
      <c r="X32" s="214">
        <f>IF($AH32="","",IF(AND($E32&lt;&gt;"",$E32&lt;=EOMONTH(X$3,0),$F32&gt;=X$3),IF(AND($G32&lt;&gt;"",$G32&lt;=EOMONTH(X$3,0),$H32&gt;=X$3),"B","U"),IF(AND($G32&lt;&gt;"",$G32&lt;=EOMONTH(X$3,0),$H32&gt;=X$3),"D","")))</f>
        <v/>
      </c>
      <c r="Y32" s="214">
        <f>IF($AH32="","",IF(AND($E32&lt;&gt;"",$E32&lt;=EOMONTH(Y$3,0),$F32&gt;=Y$3),IF(AND($G32&lt;&gt;"",$G32&lt;=EOMONTH(Y$3,0),$H32&gt;=Y$3),"B","U"),IF(AND($G32&lt;&gt;"",$G32&lt;=EOMONTH(Y$3,0),$H32&gt;=Y$3),"D","")))</f>
        <v/>
      </c>
      <c r="Z32" s="214">
        <f>IF($AH32="","",IF(AND($E32&lt;&gt;"",$E32&lt;=EOMONTH(Z$3,0),$F32&gt;=Z$3),IF(AND($G32&lt;&gt;"",$G32&lt;=EOMONTH(Z$3,0),$H32&gt;=Z$3),"B","U"),IF(AND($G32&lt;&gt;"",$G32&lt;=EOMONTH(Z$3,0),$H32&gt;=Z$3),"D","")))</f>
        <v/>
      </c>
      <c r="AA32" s="214">
        <f>IF($AH32="","",IF(AND($E32&lt;&gt;"",$E32&lt;=EOMONTH(AA$3,0),$F32&gt;=AA$3),IF(AND($G32&lt;&gt;"",$G32&lt;=EOMONTH(AA$3,0),$H32&gt;=AA$3),"B","U"),IF(AND($G32&lt;&gt;"",$G32&lt;=EOMONTH(AA$3,0),$H32&gt;=AA$3),"D","")))</f>
        <v/>
      </c>
      <c r="AB32" s="214">
        <f>IF($AH32="","",IF(AND($E32&lt;&gt;"",$E32&lt;=EOMONTH(AB$3,0),$F32&gt;=AB$3),IF(AND($G32&lt;&gt;"",$G32&lt;=EOMONTH(AB$3,0),$H32&gt;=AB$3),"B","U"),IF(AND($G32&lt;&gt;"",$G32&lt;=EOMONTH(AB$3,0),$H32&gt;=AB$3),"D","")))</f>
        <v/>
      </c>
      <c r="AC32" s="214">
        <f>IF($AH32="","",IF(AND($E32&lt;&gt;"",$E32&lt;=EOMONTH(AC$3,0),$F32&gt;=AC$3),IF(AND($G32&lt;&gt;"",$G32&lt;=EOMONTH(AC$3,0),$H32&gt;=AC$3),"B","U"),IF(AND($G32&lt;&gt;"",$G32&lt;=EOMONTH(AC$3,0),$H32&gt;=AC$3),"D","")))</f>
        <v/>
      </c>
      <c r="AD32" s="214">
        <f>IF($AH32="","",IF(AND($E32&lt;&gt;"",$E32&lt;=EOMONTH(AD$3,0),$F32&gt;=AD$3),IF(AND($G32&lt;&gt;"",$G32&lt;=EOMONTH(AD$3,0),$H32&gt;=AD$3),"B","U"),IF(AND($G32&lt;&gt;"",$G32&lt;=EOMONTH(AD$3,0),$H32&gt;=AD$3),"D","")))</f>
        <v/>
      </c>
      <c r="AE32" s="214">
        <f>IF($AH32="","",IF(AND($E32&lt;&gt;"",$E32&lt;=EOMONTH(AE$3,0),$F32&gt;=AE$3),IF(AND($G32&lt;&gt;"",$G32&lt;=EOMONTH(AE$3,0),$H32&gt;=AE$3),"B","U"),IF(AND($G32&lt;&gt;"",$G32&lt;=EOMONTH(AE$3,0),$H32&gt;=AE$3),"D","")))</f>
        <v/>
      </c>
      <c r="AF32" s="214">
        <f>IF($AH32="","",IF(AND($E32&lt;&gt;"",$E32&lt;=EOMONTH(AF$3,0),$F32&gt;=AF$3),IF(AND($G32&lt;&gt;"",$G32&lt;=EOMONTH(AF$3,0),$H32&gt;=AF$3),"B","U"),IF(AND($G32&lt;&gt;"",$G32&lt;=EOMONTH(AF$3,0),$H32&gt;=AF$3),"D","")))</f>
        <v/>
      </c>
      <c r="AG32">
        <f>IF($AH32="","",INDEX('Roadmap Calc (Don’t Touch)'!$D$2:$D$205,$AH32))</f>
        <v/>
      </c>
      <c r="AH32">
        <f>IFERROR(MATCH(26,'Roadmap Calc (Don’t Touch)'!$O$2:$O$205,0),"")</f>
        <v/>
      </c>
    </row>
    <row r="33" ht="17" customHeight="1">
      <c r="A33" s="209">
        <f>IF($AH33="","",IF($AG33=$AG32,"",$AG33))</f>
        <v/>
      </c>
      <c r="B33" s="210">
        <f>IF($AH33="","",INDEX('Roadmap Calc (Don’t Touch)'!$B$2:$B$205,$AH33))</f>
        <v/>
      </c>
      <c r="C33" s="211">
        <f>IF($AH33="","",INDEX('Roadmap Calc (Don’t Touch)'!$E$2:$E$205,$AH33))</f>
        <v/>
      </c>
      <c r="D33" s="212">
        <f>IF($AH33="","",INDEX('Roadmap Calc (Don’t Touch)'!$F$2:$F$205,$AH33))</f>
        <v/>
      </c>
      <c r="E33" s="213">
        <f>IF($AH33="","",INDEX('Roadmap Calc (Don’t Touch)'!$G$2:$G$205,$AH33))</f>
        <v/>
      </c>
      <c r="F33" s="213">
        <f>IF($AH33="","",INDEX('Roadmap Calc (Don’t Touch)'!$H$2:$H$205,$AH33))</f>
        <v/>
      </c>
      <c r="G33" s="213">
        <f>IF($AH33="","",INDEX('Roadmap Calc (Don’t Touch)'!$I$2:$I$205,$AH33))</f>
        <v/>
      </c>
      <c r="H33" s="213">
        <f>IF($AH33="","",INDEX('Roadmap Calc (Don’t Touch)'!$J$2:$J$205,$AH33))</f>
        <v/>
      </c>
      <c r="I33" s="214">
        <f>IF($AH33="","",IF(AND($E33&lt;&gt;"",$E33&lt;=EOMONTH(I$3,0),$F33&gt;=I$3),IF(AND($G33&lt;&gt;"",$G33&lt;=EOMONTH(I$3,0),$H33&gt;=I$3),"B","U"),IF(AND($G33&lt;&gt;"",$G33&lt;=EOMONTH(I$3,0),$H33&gt;=I$3),"D","")))</f>
        <v/>
      </c>
      <c r="J33" s="214">
        <f>IF($AH33="","",IF(AND($E33&lt;&gt;"",$E33&lt;=EOMONTH(J$3,0),$F33&gt;=J$3),IF(AND($G33&lt;&gt;"",$G33&lt;=EOMONTH(J$3,0),$H33&gt;=J$3),"B","U"),IF(AND($G33&lt;&gt;"",$G33&lt;=EOMONTH(J$3,0),$H33&gt;=J$3),"D","")))</f>
        <v/>
      </c>
      <c r="K33" s="214">
        <f>IF($AH33="","",IF(AND($E33&lt;&gt;"",$E33&lt;=EOMONTH(K$3,0),$F33&gt;=K$3),IF(AND($G33&lt;&gt;"",$G33&lt;=EOMONTH(K$3,0),$H33&gt;=K$3),"B","U"),IF(AND($G33&lt;&gt;"",$G33&lt;=EOMONTH(K$3,0),$H33&gt;=K$3),"D","")))</f>
        <v/>
      </c>
      <c r="L33" s="214">
        <f>IF($AH33="","",IF(AND($E33&lt;&gt;"",$E33&lt;=EOMONTH(L$3,0),$F33&gt;=L$3),IF(AND($G33&lt;&gt;"",$G33&lt;=EOMONTH(L$3,0),$H33&gt;=L$3),"B","U"),IF(AND($G33&lt;&gt;"",$G33&lt;=EOMONTH(L$3,0),$H33&gt;=L$3),"D","")))</f>
        <v/>
      </c>
      <c r="M33" s="214">
        <f>IF($AH33="","",IF(AND($E33&lt;&gt;"",$E33&lt;=EOMONTH(M$3,0),$F33&gt;=M$3),IF(AND($G33&lt;&gt;"",$G33&lt;=EOMONTH(M$3,0),$H33&gt;=M$3),"B","U"),IF(AND($G33&lt;&gt;"",$G33&lt;=EOMONTH(M$3,0),$H33&gt;=M$3),"D","")))</f>
        <v/>
      </c>
      <c r="N33" s="214">
        <f>IF($AH33="","",IF(AND($E33&lt;&gt;"",$E33&lt;=EOMONTH(N$3,0),$F33&gt;=N$3),IF(AND($G33&lt;&gt;"",$G33&lt;=EOMONTH(N$3,0),$H33&gt;=N$3),"B","U"),IF(AND($G33&lt;&gt;"",$G33&lt;=EOMONTH(N$3,0),$H33&gt;=N$3),"D","")))</f>
        <v/>
      </c>
      <c r="O33" s="214">
        <f>IF($AH33="","",IF(AND($E33&lt;&gt;"",$E33&lt;=EOMONTH(O$3,0),$F33&gt;=O$3),IF(AND($G33&lt;&gt;"",$G33&lt;=EOMONTH(O$3,0),$H33&gt;=O$3),"B","U"),IF(AND($G33&lt;&gt;"",$G33&lt;=EOMONTH(O$3,0),$H33&gt;=O$3),"D","")))</f>
        <v/>
      </c>
      <c r="P33" s="214">
        <f>IF($AH33="","",IF(AND($E33&lt;&gt;"",$E33&lt;=EOMONTH(P$3,0),$F33&gt;=P$3),IF(AND($G33&lt;&gt;"",$G33&lt;=EOMONTH(P$3,0),$H33&gt;=P$3),"B","U"),IF(AND($G33&lt;&gt;"",$G33&lt;=EOMONTH(P$3,0),$H33&gt;=P$3),"D","")))</f>
        <v/>
      </c>
      <c r="Q33" s="214">
        <f>IF($AH33="","",IF(AND($E33&lt;&gt;"",$E33&lt;=EOMONTH(Q$3,0),$F33&gt;=Q$3),IF(AND($G33&lt;&gt;"",$G33&lt;=EOMONTH(Q$3,0),$H33&gt;=Q$3),"B","U"),IF(AND($G33&lt;&gt;"",$G33&lt;=EOMONTH(Q$3,0),$H33&gt;=Q$3),"D","")))</f>
        <v/>
      </c>
      <c r="R33" s="214">
        <f>IF($AH33="","",IF(AND($E33&lt;&gt;"",$E33&lt;=EOMONTH(R$3,0),$F33&gt;=R$3),IF(AND($G33&lt;&gt;"",$G33&lt;=EOMONTH(R$3,0),$H33&gt;=R$3),"B","U"),IF(AND($G33&lt;&gt;"",$G33&lt;=EOMONTH(R$3,0),$H33&gt;=R$3),"D","")))</f>
        <v/>
      </c>
      <c r="S33" s="214">
        <f>IF($AH33="","",IF(AND($E33&lt;&gt;"",$E33&lt;=EOMONTH(S$3,0),$F33&gt;=S$3),IF(AND($G33&lt;&gt;"",$G33&lt;=EOMONTH(S$3,0),$H33&gt;=S$3),"B","U"),IF(AND($G33&lt;&gt;"",$G33&lt;=EOMONTH(S$3,0),$H33&gt;=S$3),"D","")))</f>
        <v/>
      </c>
      <c r="T33" s="214">
        <f>IF($AH33="","",IF(AND($E33&lt;&gt;"",$E33&lt;=EOMONTH(T$3,0),$F33&gt;=T$3),IF(AND($G33&lt;&gt;"",$G33&lt;=EOMONTH(T$3,0),$H33&gt;=T$3),"B","U"),IF(AND($G33&lt;&gt;"",$G33&lt;=EOMONTH(T$3,0),$H33&gt;=T$3),"D","")))</f>
        <v/>
      </c>
      <c r="U33" s="214">
        <f>IF($AH33="","",IF(AND($E33&lt;&gt;"",$E33&lt;=EOMONTH(U$3,0),$F33&gt;=U$3),IF(AND($G33&lt;&gt;"",$G33&lt;=EOMONTH(U$3,0),$H33&gt;=U$3),"B","U"),IF(AND($G33&lt;&gt;"",$G33&lt;=EOMONTH(U$3,0),$H33&gt;=U$3),"D","")))</f>
        <v/>
      </c>
      <c r="V33" s="214">
        <f>IF($AH33="","",IF(AND($E33&lt;&gt;"",$E33&lt;=EOMONTH(V$3,0),$F33&gt;=V$3),IF(AND($G33&lt;&gt;"",$G33&lt;=EOMONTH(V$3,0),$H33&gt;=V$3),"B","U"),IF(AND($G33&lt;&gt;"",$G33&lt;=EOMONTH(V$3,0),$H33&gt;=V$3),"D","")))</f>
        <v/>
      </c>
      <c r="W33" s="214">
        <f>IF($AH33="","",IF(AND($E33&lt;&gt;"",$E33&lt;=EOMONTH(W$3,0),$F33&gt;=W$3),IF(AND($G33&lt;&gt;"",$G33&lt;=EOMONTH(W$3,0),$H33&gt;=W$3),"B","U"),IF(AND($G33&lt;&gt;"",$G33&lt;=EOMONTH(W$3,0),$H33&gt;=W$3),"D","")))</f>
        <v/>
      </c>
      <c r="X33" s="214">
        <f>IF($AH33="","",IF(AND($E33&lt;&gt;"",$E33&lt;=EOMONTH(X$3,0),$F33&gt;=X$3),IF(AND($G33&lt;&gt;"",$G33&lt;=EOMONTH(X$3,0),$H33&gt;=X$3),"B","U"),IF(AND($G33&lt;&gt;"",$G33&lt;=EOMONTH(X$3,0),$H33&gt;=X$3),"D","")))</f>
        <v/>
      </c>
      <c r="Y33" s="214">
        <f>IF($AH33="","",IF(AND($E33&lt;&gt;"",$E33&lt;=EOMONTH(Y$3,0),$F33&gt;=Y$3),IF(AND($G33&lt;&gt;"",$G33&lt;=EOMONTH(Y$3,0),$H33&gt;=Y$3),"B","U"),IF(AND($G33&lt;&gt;"",$G33&lt;=EOMONTH(Y$3,0),$H33&gt;=Y$3),"D","")))</f>
        <v/>
      </c>
      <c r="Z33" s="214">
        <f>IF($AH33="","",IF(AND($E33&lt;&gt;"",$E33&lt;=EOMONTH(Z$3,0),$F33&gt;=Z$3),IF(AND($G33&lt;&gt;"",$G33&lt;=EOMONTH(Z$3,0),$H33&gt;=Z$3),"B","U"),IF(AND($G33&lt;&gt;"",$G33&lt;=EOMONTH(Z$3,0),$H33&gt;=Z$3),"D","")))</f>
        <v/>
      </c>
      <c r="AA33" s="214">
        <f>IF($AH33="","",IF(AND($E33&lt;&gt;"",$E33&lt;=EOMONTH(AA$3,0),$F33&gt;=AA$3),IF(AND($G33&lt;&gt;"",$G33&lt;=EOMONTH(AA$3,0),$H33&gt;=AA$3),"B","U"),IF(AND($G33&lt;&gt;"",$G33&lt;=EOMONTH(AA$3,0),$H33&gt;=AA$3),"D","")))</f>
        <v/>
      </c>
      <c r="AB33" s="214">
        <f>IF($AH33="","",IF(AND($E33&lt;&gt;"",$E33&lt;=EOMONTH(AB$3,0),$F33&gt;=AB$3),IF(AND($G33&lt;&gt;"",$G33&lt;=EOMONTH(AB$3,0),$H33&gt;=AB$3),"B","U"),IF(AND($G33&lt;&gt;"",$G33&lt;=EOMONTH(AB$3,0),$H33&gt;=AB$3),"D","")))</f>
        <v/>
      </c>
      <c r="AC33" s="214">
        <f>IF($AH33="","",IF(AND($E33&lt;&gt;"",$E33&lt;=EOMONTH(AC$3,0),$F33&gt;=AC$3),IF(AND($G33&lt;&gt;"",$G33&lt;=EOMONTH(AC$3,0),$H33&gt;=AC$3),"B","U"),IF(AND($G33&lt;&gt;"",$G33&lt;=EOMONTH(AC$3,0),$H33&gt;=AC$3),"D","")))</f>
        <v/>
      </c>
      <c r="AD33" s="214">
        <f>IF($AH33="","",IF(AND($E33&lt;&gt;"",$E33&lt;=EOMONTH(AD$3,0),$F33&gt;=AD$3),IF(AND($G33&lt;&gt;"",$G33&lt;=EOMONTH(AD$3,0),$H33&gt;=AD$3),"B","U"),IF(AND($G33&lt;&gt;"",$G33&lt;=EOMONTH(AD$3,0),$H33&gt;=AD$3),"D","")))</f>
        <v/>
      </c>
      <c r="AE33" s="214">
        <f>IF($AH33="","",IF(AND($E33&lt;&gt;"",$E33&lt;=EOMONTH(AE$3,0),$F33&gt;=AE$3),IF(AND($G33&lt;&gt;"",$G33&lt;=EOMONTH(AE$3,0),$H33&gt;=AE$3),"B","U"),IF(AND($G33&lt;&gt;"",$G33&lt;=EOMONTH(AE$3,0),$H33&gt;=AE$3),"D","")))</f>
        <v/>
      </c>
      <c r="AF33" s="214">
        <f>IF($AH33="","",IF(AND($E33&lt;&gt;"",$E33&lt;=EOMONTH(AF$3,0),$F33&gt;=AF$3),IF(AND($G33&lt;&gt;"",$G33&lt;=EOMONTH(AF$3,0),$H33&gt;=AF$3),"B","U"),IF(AND($G33&lt;&gt;"",$G33&lt;=EOMONTH(AF$3,0),$H33&gt;=AF$3),"D","")))</f>
        <v/>
      </c>
      <c r="AG33">
        <f>IF($AH33="","",INDEX('Roadmap Calc (Don’t Touch)'!$D$2:$D$205,$AH33))</f>
        <v/>
      </c>
      <c r="AH33">
        <f>IFERROR(MATCH(27,'Roadmap Calc (Don’t Touch)'!$O$2:$O$205,0),"")</f>
        <v/>
      </c>
    </row>
    <row r="34" ht="17" customHeight="1">
      <c r="A34" s="209">
        <f>IF($AH34="","",IF($AG34=$AG33,"",$AG34))</f>
        <v/>
      </c>
      <c r="B34" s="210">
        <f>IF($AH34="","",INDEX('Roadmap Calc (Don’t Touch)'!$B$2:$B$205,$AH34))</f>
        <v/>
      </c>
      <c r="C34" s="211">
        <f>IF($AH34="","",INDEX('Roadmap Calc (Don’t Touch)'!$E$2:$E$205,$AH34))</f>
        <v/>
      </c>
      <c r="D34" s="212">
        <f>IF($AH34="","",INDEX('Roadmap Calc (Don’t Touch)'!$F$2:$F$205,$AH34))</f>
        <v/>
      </c>
      <c r="E34" s="213">
        <f>IF($AH34="","",INDEX('Roadmap Calc (Don’t Touch)'!$G$2:$G$205,$AH34))</f>
        <v/>
      </c>
      <c r="F34" s="213">
        <f>IF($AH34="","",INDEX('Roadmap Calc (Don’t Touch)'!$H$2:$H$205,$AH34))</f>
        <v/>
      </c>
      <c r="G34" s="213">
        <f>IF($AH34="","",INDEX('Roadmap Calc (Don’t Touch)'!$I$2:$I$205,$AH34))</f>
        <v/>
      </c>
      <c r="H34" s="213">
        <f>IF($AH34="","",INDEX('Roadmap Calc (Don’t Touch)'!$J$2:$J$205,$AH34))</f>
        <v/>
      </c>
      <c r="I34" s="214">
        <f>IF($AH34="","",IF(AND($E34&lt;&gt;"",$E34&lt;=EOMONTH(I$3,0),$F34&gt;=I$3),IF(AND($G34&lt;&gt;"",$G34&lt;=EOMONTH(I$3,0),$H34&gt;=I$3),"B","U"),IF(AND($G34&lt;&gt;"",$G34&lt;=EOMONTH(I$3,0),$H34&gt;=I$3),"D","")))</f>
        <v/>
      </c>
      <c r="J34" s="214">
        <f>IF($AH34="","",IF(AND($E34&lt;&gt;"",$E34&lt;=EOMONTH(J$3,0),$F34&gt;=J$3),IF(AND($G34&lt;&gt;"",$G34&lt;=EOMONTH(J$3,0),$H34&gt;=J$3),"B","U"),IF(AND($G34&lt;&gt;"",$G34&lt;=EOMONTH(J$3,0),$H34&gt;=J$3),"D","")))</f>
        <v/>
      </c>
      <c r="K34" s="214">
        <f>IF($AH34="","",IF(AND($E34&lt;&gt;"",$E34&lt;=EOMONTH(K$3,0),$F34&gt;=K$3),IF(AND($G34&lt;&gt;"",$G34&lt;=EOMONTH(K$3,0),$H34&gt;=K$3),"B","U"),IF(AND($G34&lt;&gt;"",$G34&lt;=EOMONTH(K$3,0),$H34&gt;=K$3),"D","")))</f>
        <v/>
      </c>
      <c r="L34" s="214">
        <f>IF($AH34="","",IF(AND($E34&lt;&gt;"",$E34&lt;=EOMONTH(L$3,0),$F34&gt;=L$3),IF(AND($G34&lt;&gt;"",$G34&lt;=EOMONTH(L$3,0),$H34&gt;=L$3),"B","U"),IF(AND($G34&lt;&gt;"",$G34&lt;=EOMONTH(L$3,0),$H34&gt;=L$3),"D","")))</f>
        <v/>
      </c>
      <c r="M34" s="214">
        <f>IF($AH34="","",IF(AND($E34&lt;&gt;"",$E34&lt;=EOMONTH(M$3,0),$F34&gt;=M$3),IF(AND($G34&lt;&gt;"",$G34&lt;=EOMONTH(M$3,0),$H34&gt;=M$3),"B","U"),IF(AND($G34&lt;&gt;"",$G34&lt;=EOMONTH(M$3,0),$H34&gt;=M$3),"D","")))</f>
        <v/>
      </c>
      <c r="N34" s="214">
        <f>IF($AH34="","",IF(AND($E34&lt;&gt;"",$E34&lt;=EOMONTH(N$3,0),$F34&gt;=N$3),IF(AND($G34&lt;&gt;"",$G34&lt;=EOMONTH(N$3,0),$H34&gt;=N$3),"B","U"),IF(AND($G34&lt;&gt;"",$G34&lt;=EOMONTH(N$3,0),$H34&gt;=N$3),"D","")))</f>
        <v/>
      </c>
      <c r="O34" s="214">
        <f>IF($AH34="","",IF(AND($E34&lt;&gt;"",$E34&lt;=EOMONTH(O$3,0),$F34&gt;=O$3),IF(AND($G34&lt;&gt;"",$G34&lt;=EOMONTH(O$3,0),$H34&gt;=O$3),"B","U"),IF(AND($G34&lt;&gt;"",$G34&lt;=EOMONTH(O$3,0),$H34&gt;=O$3),"D","")))</f>
        <v/>
      </c>
      <c r="P34" s="214">
        <f>IF($AH34="","",IF(AND($E34&lt;&gt;"",$E34&lt;=EOMONTH(P$3,0),$F34&gt;=P$3),IF(AND($G34&lt;&gt;"",$G34&lt;=EOMONTH(P$3,0),$H34&gt;=P$3),"B","U"),IF(AND($G34&lt;&gt;"",$G34&lt;=EOMONTH(P$3,0),$H34&gt;=P$3),"D","")))</f>
        <v/>
      </c>
      <c r="Q34" s="214">
        <f>IF($AH34="","",IF(AND($E34&lt;&gt;"",$E34&lt;=EOMONTH(Q$3,0),$F34&gt;=Q$3),IF(AND($G34&lt;&gt;"",$G34&lt;=EOMONTH(Q$3,0),$H34&gt;=Q$3),"B","U"),IF(AND($G34&lt;&gt;"",$G34&lt;=EOMONTH(Q$3,0),$H34&gt;=Q$3),"D","")))</f>
        <v/>
      </c>
      <c r="R34" s="214">
        <f>IF($AH34="","",IF(AND($E34&lt;&gt;"",$E34&lt;=EOMONTH(R$3,0),$F34&gt;=R$3),IF(AND($G34&lt;&gt;"",$G34&lt;=EOMONTH(R$3,0),$H34&gt;=R$3),"B","U"),IF(AND($G34&lt;&gt;"",$G34&lt;=EOMONTH(R$3,0),$H34&gt;=R$3),"D","")))</f>
        <v/>
      </c>
      <c r="S34" s="214">
        <f>IF($AH34="","",IF(AND($E34&lt;&gt;"",$E34&lt;=EOMONTH(S$3,0),$F34&gt;=S$3),IF(AND($G34&lt;&gt;"",$G34&lt;=EOMONTH(S$3,0),$H34&gt;=S$3),"B","U"),IF(AND($G34&lt;&gt;"",$G34&lt;=EOMONTH(S$3,0),$H34&gt;=S$3),"D","")))</f>
        <v/>
      </c>
      <c r="T34" s="214">
        <f>IF($AH34="","",IF(AND($E34&lt;&gt;"",$E34&lt;=EOMONTH(T$3,0),$F34&gt;=T$3),IF(AND($G34&lt;&gt;"",$G34&lt;=EOMONTH(T$3,0),$H34&gt;=T$3),"B","U"),IF(AND($G34&lt;&gt;"",$G34&lt;=EOMONTH(T$3,0),$H34&gt;=T$3),"D","")))</f>
        <v/>
      </c>
      <c r="U34" s="214">
        <f>IF($AH34="","",IF(AND($E34&lt;&gt;"",$E34&lt;=EOMONTH(U$3,0),$F34&gt;=U$3),IF(AND($G34&lt;&gt;"",$G34&lt;=EOMONTH(U$3,0),$H34&gt;=U$3),"B","U"),IF(AND($G34&lt;&gt;"",$G34&lt;=EOMONTH(U$3,0),$H34&gt;=U$3),"D","")))</f>
        <v/>
      </c>
      <c r="V34" s="214">
        <f>IF($AH34="","",IF(AND($E34&lt;&gt;"",$E34&lt;=EOMONTH(V$3,0),$F34&gt;=V$3),IF(AND($G34&lt;&gt;"",$G34&lt;=EOMONTH(V$3,0),$H34&gt;=V$3),"B","U"),IF(AND($G34&lt;&gt;"",$G34&lt;=EOMONTH(V$3,0),$H34&gt;=V$3),"D","")))</f>
        <v/>
      </c>
      <c r="W34" s="214">
        <f>IF($AH34="","",IF(AND($E34&lt;&gt;"",$E34&lt;=EOMONTH(W$3,0),$F34&gt;=W$3),IF(AND($G34&lt;&gt;"",$G34&lt;=EOMONTH(W$3,0),$H34&gt;=W$3),"B","U"),IF(AND($G34&lt;&gt;"",$G34&lt;=EOMONTH(W$3,0),$H34&gt;=W$3),"D","")))</f>
        <v/>
      </c>
      <c r="X34" s="214">
        <f>IF($AH34="","",IF(AND($E34&lt;&gt;"",$E34&lt;=EOMONTH(X$3,0),$F34&gt;=X$3),IF(AND($G34&lt;&gt;"",$G34&lt;=EOMONTH(X$3,0),$H34&gt;=X$3),"B","U"),IF(AND($G34&lt;&gt;"",$G34&lt;=EOMONTH(X$3,0),$H34&gt;=X$3),"D","")))</f>
        <v/>
      </c>
      <c r="Y34" s="214">
        <f>IF($AH34="","",IF(AND($E34&lt;&gt;"",$E34&lt;=EOMONTH(Y$3,0),$F34&gt;=Y$3),IF(AND($G34&lt;&gt;"",$G34&lt;=EOMONTH(Y$3,0),$H34&gt;=Y$3),"B","U"),IF(AND($G34&lt;&gt;"",$G34&lt;=EOMONTH(Y$3,0),$H34&gt;=Y$3),"D","")))</f>
        <v/>
      </c>
      <c r="Z34" s="214">
        <f>IF($AH34="","",IF(AND($E34&lt;&gt;"",$E34&lt;=EOMONTH(Z$3,0),$F34&gt;=Z$3),IF(AND($G34&lt;&gt;"",$G34&lt;=EOMONTH(Z$3,0),$H34&gt;=Z$3),"B","U"),IF(AND($G34&lt;&gt;"",$G34&lt;=EOMONTH(Z$3,0),$H34&gt;=Z$3),"D","")))</f>
        <v/>
      </c>
      <c r="AA34" s="214">
        <f>IF($AH34="","",IF(AND($E34&lt;&gt;"",$E34&lt;=EOMONTH(AA$3,0),$F34&gt;=AA$3),IF(AND($G34&lt;&gt;"",$G34&lt;=EOMONTH(AA$3,0),$H34&gt;=AA$3),"B","U"),IF(AND($G34&lt;&gt;"",$G34&lt;=EOMONTH(AA$3,0),$H34&gt;=AA$3),"D","")))</f>
        <v/>
      </c>
      <c r="AB34" s="214">
        <f>IF($AH34="","",IF(AND($E34&lt;&gt;"",$E34&lt;=EOMONTH(AB$3,0),$F34&gt;=AB$3),IF(AND($G34&lt;&gt;"",$G34&lt;=EOMONTH(AB$3,0),$H34&gt;=AB$3),"B","U"),IF(AND($G34&lt;&gt;"",$G34&lt;=EOMONTH(AB$3,0),$H34&gt;=AB$3),"D","")))</f>
        <v/>
      </c>
      <c r="AC34" s="214">
        <f>IF($AH34="","",IF(AND($E34&lt;&gt;"",$E34&lt;=EOMONTH(AC$3,0),$F34&gt;=AC$3),IF(AND($G34&lt;&gt;"",$G34&lt;=EOMONTH(AC$3,0),$H34&gt;=AC$3),"B","U"),IF(AND($G34&lt;&gt;"",$G34&lt;=EOMONTH(AC$3,0),$H34&gt;=AC$3),"D","")))</f>
        <v/>
      </c>
      <c r="AD34" s="214">
        <f>IF($AH34="","",IF(AND($E34&lt;&gt;"",$E34&lt;=EOMONTH(AD$3,0),$F34&gt;=AD$3),IF(AND($G34&lt;&gt;"",$G34&lt;=EOMONTH(AD$3,0),$H34&gt;=AD$3),"B","U"),IF(AND($G34&lt;&gt;"",$G34&lt;=EOMONTH(AD$3,0),$H34&gt;=AD$3),"D","")))</f>
        <v/>
      </c>
      <c r="AE34" s="214">
        <f>IF($AH34="","",IF(AND($E34&lt;&gt;"",$E34&lt;=EOMONTH(AE$3,0),$F34&gt;=AE$3),IF(AND($G34&lt;&gt;"",$G34&lt;=EOMONTH(AE$3,0),$H34&gt;=AE$3),"B","U"),IF(AND($G34&lt;&gt;"",$G34&lt;=EOMONTH(AE$3,0),$H34&gt;=AE$3),"D","")))</f>
        <v/>
      </c>
      <c r="AF34" s="214">
        <f>IF($AH34="","",IF(AND($E34&lt;&gt;"",$E34&lt;=EOMONTH(AF$3,0),$F34&gt;=AF$3),IF(AND($G34&lt;&gt;"",$G34&lt;=EOMONTH(AF$3,0),$H34&gt;=AF$3),"B","U"),IF(AND($G34&lt;&gt;"",$G34&lt;=EOMONTH(AF$3,0),$H34&gt;=AF$3),"D","")))</f>
        <v/>
      </c>
      <c r="AG34">
        <f>IF($AH34="","",INDEX('Roadmap Calc (Don’t Touch)'!$D$2:$D$205,$AH34))</f>
        <v/>
      </c>
      <c r="AH34">
        <f>IFERROR(MATCH(28,'Roadmap Calc (Don’t Touch)'!$O$2:$O$205,0),"")</f>
        <v/>
      </c>
    </row>
    <row r="35" ht="17" customHeight="1">
      <c r="A35" s="209">
        <f>IF($AH35="","",IF($AG35=$AG34,"",$AG35))</f>
        <v/>
      </c>
      <c r="B35" s="210">
        <f>IF($AH35="","",INDEX('Roadmap Calc (Don’t Touch)'!$B$2:$B$205,$AH35))</f>
        <v/>
      </c>
      <c r="C35" s="211">
        <f>IF($AH35="","",INDEX('Roadmap Calc (Don’t Touch)'!$E$2:$E$205,$AH35))</f>
        <v/>
      </c>
      <c r="D35" s="212">
        <f>IF($AH35="","",INDEX('Roadmap Calc (Don’t Touch)'!$F$2:$F$205,$AH35))</f>
        <v/>
      </c>
      <c r="E35" s="213">
        <f>IF($AH35="","",INDEX('Roadmap Calc (Don’t Touch)'!$G$2:$G$205,$AH35))</f>
        <v/>
      </c>
      <c r="F35" s="213">
        <f>IF($AH35="","",INDEX('Roadmap Calc (Don’t Touch)'!$H$2:$H$205,$AH35))</f>
        <v/>
      </c>
      <c r="G35" s="213">
        <f>IF($AH35="","",INDEX('Roadmap Calc (Don’t Touch)'!$I$2:$I$205,$AH35))</f>
        <v/>
      </c>
      <c r="H35" s="213">
        <f>IF($AH35="","",INDEX('Roadmap Calc (Don’t Touch)'!$J$2:$J$205,$AH35))</f>
        <v/>
      </c>
      <c r="I35" s="214">
        <f>IF($AH35="","",IF(AND($E35&lt;&gt;"",$E35&lt;=EOMONTH(I$3,0),$F35&gt;=I$3),IF(AND($G35&lt;&gt;"",$G35&lt;=EOMONTH(I$3,0),$H35&gt;=I$3),"B","U"),IF(AND($G35&lt;&gt;"",$G35&lt;=EOMONTH(I$3,0),$H35&gt;=I$3),"D","")))</f>
        <v/>
      </c>
      <c r="J35" s="214">
        <f>IF($AH35="","",IF(AND($E35&lt;&gt;"",$E35&lt;=EOMONTH(J$3,0),$F35&gt;=J$3),IF(AND($G35&lt;&gt;"",$G35&lt;=EOMONTH(J$3,0),$H35&gt;=J$3),"B","U"),IF(AND($G35&lt;&gt;"",$G35&lt;=EOMONTH(J$3,0),$H35&gt;=J$3),"D","")))</f>
        <v/>
      </c>
      <c r="K35" s="214">
        <f>IF($AH35="","",IF(AND($E35&lt;&gt;"",$E35&lt;=EOMONTH(K$3,0),$F35&gt;=K$3),IF(AND($G35&lt;&gt;"",$G35&lt;=EOMONTH(K$3,0),$H35&gt;=K$3),"B","U"),IF(AND($G35&lt;&gt;"",$G35&lt;=EOMONTH(K$3,0),$H35&gt;=K$3),"D","")))</f>
        <v/>
      </c>
      <c r="L35" s="214">
        <f>IF($AH35="","",IF(AND($E35&lt;&gt;"",$E35&lt;=EOMONTH(L$3,0),$F35&gt;=L$3),IF(AND($G35&lt;&gt;"",$G35&lt;=EOMONTH(L$3,0),$H35&gt;=L$3),"B","U"),IF(AND($G35&lt;&gt;"",$G35&lt;=EOMONTH(L$3,0),$H35&gt;=L$3),"D","")))</f>
        <v/>
      </c>
      <c r="M35" s="214">
        <f>IF($AH35="","",IF(AND($E35&lt;&gt;"",$E35&lt;=EOMONTH(M$3,0),$F35&gt;=M$3),IF(AND($G35&lt;&gt;"",$G35&lt;=EOMONTH(M$3,0),$H35&gt;=M$3),"B","U"),IF(AND($G35&lt;&gt;"",$G35&lt;=EOMONTH(M$3,0),$H35&gt;=M$3),"D","")))</f>
        <v/>
      </c>
      <c r="N35" s="214">
        <f>IF($AH35="","",IF(AND($E35&lt;&gt;"",$E35&lt;=EOMONTH(N$3,0),$F35&gt;=N$3),IF(AND($G35&lt;&gt;"",$G35&lt;=EOMONTH(N$3,0),$H35&gt;=N$3),"B","U"),IF(AND($G35&lt;&gt;"",$G35&lt;=EOMONTH(N$3,0),$H35&gt;=N$3),"D","")))</f>
        <v/>
      </c>
      <c r="O35" s="214">
        <f>IF($AH35="","",IF(AND($E35&lt;&gt;"",$E35&lt;=EOMONTH(O$3,0),$F35&gt;=O$3),IF(AND($G35&lt;&gt;"",$G35&lt;=EOMONTH(O$3,0),$H35&gt;=O$3),"B","U"),IF(AND($G35&lt;&gt;"",$G35&lt;=EOMONTH(O$3,0),$H35&gt;=O$3),"D","")))</f>
        <v/>
      </c>
      <c r="P35" s="214">
        <f>IF($AH35="","",IF(AND($E35&lt;&gt;"",$E35&lt;=EOMONTH(P$3,0),$F35&gt;=P$3),IF(AND($G35&lt;&gt;"",$G35&lt;=EOMONTH(P$3,0),$H35&gt;=P$3),"B","U"),IF(AND($G35&lt;&gt;"",$G35&lt;=EOMONTH(P$3,0),$H35&gt;=P$3),"D","")))</f>
        <v/>
      </c>
      <c r="Q35" s="214">
        <f>IF($AH35="","",IF(AND($E35&lt;&gt;"",$E35&lt;=EOMONTH(Q$3,0),$F35&gt;=Q$3),IF(AND($G35&lt;&gt;"",$G35&lt;=EOMONTH(Q$3,0),$H35&gt;=Q$3),"B","U"),IF(AND($G35&lt;&gt;"",$G35&lt;=EOMONTH(Q$3,0),$H35&gt;=Q$3),"D","")))</f>
        <v/>
      </c>
      <c r="R35" s="214">
        <f>IF($AH35="","",IF(AND($E35&lt;&gt;"",$E35&lt;=EOMONTH(R$3,0),$F35&gt;=R$3),IF(AND($G35&lt;&gt;"",$G35&lt;=EOMONTH(R$3,0),$H35&gt;=R$3),"B","U"),IF(AND($G35&lt;&gt;"",$G35&lt;=EOMONTH(R$3,0),$H35&gt;=R$3),"D","")))</f>
        <v/>
      </c>
      <c r="S35" s="214">
        <f>IF($AH35="","",IF(AND($E35&lt;&gt;"",$E35&lt;=EOMONTH(S$3,0),$F35&gt;=S$3),IF(AND($G35&lt;&gt;"",$G35&lt;=EOMONTH(S$3,0),$H35&gt;=S$3),"B","U"),IF(AND($G35&lt;&gt;"",$G35&lt;=EOMONTH(S$3,0),$H35&gt;=S$3),"D","")))</f>
        <v/>
      </c>
      <c r="T35" s="214">
        <f>IF($AH35="","",IF(AND($E35&lt;&gt;"",$E35&lt;=EOMONTH(T$3,0),$F35&gt;=T$3),IF(AND($G35&lt;&gt;"",$G35&lt;=EOMONTH(T$3,0),$H35&gt;=T$3),"B","U"),IF(AND($G35&lt;&gt;"",$G35&lt;=EOMONTH(T$3,0),$H35&gt;=T$3),"D","")))</f>
        <v/>
      </c>
      <c r="U35" s="214">
        <f>IF($AH35="","",IF(AND($E35&lt;&gt;"",$E35&lt;=EOMONTH(U$3,0),$F35&gt;=U$3),IF(AND($G35&lt;&gt;"",$G35&lt;=EOMONTH(U$3,0),$H35&gt;=U$3),"B","U"),IF(AND($G35&lt;&gt;"",$G35&lt;=EOMONTH(U$3,0),$H35&gt;=U$3),"D","")))</f>
        <v/>
      </c>
      <c r="V35" s="214">
        <f>IF($AH35="","",IF(AND($E35&lt;&gt;"",$E35&lt;=EOMONTH(V$3,0),$F35&gt;=V$3),IF(AND($G35&lt;&gt;"",$G35&lt;=EOMONTH(V$3,0),$H35&gt;=V$3),"B","U"),IF(AND($G35&lt;&gt;"",$G35&lt;=EOMONTH(V$3,0),$H35&gt;=V$3),"D","")))</f>
        <v/>
      </c>
      <c r="W35" s="214">
        <f>IF($AH35="","",IF(AND($E35&lt;&gt;"",$E35&lt;=EOMONTH(W$3,0),$F35&gt;=W$3),IF(AND($G35&lt;&gt;"",$G35&lt;=EOMONTH(W$3,0),$H35&gt;=W$3),"B","U"),IF(AND($G35&lt;&gt;"",$G35&lt;=EOMONTH(W$3,0),$H35&gt;=W$3),"D","")))</f>
        <v/>
      </c>
      <c r="X35" s="214">
        <f>IF($AH35="","",IF(AND($E35&lt;&gt;"",$E35&lt;=EOMONTH(X$3,0),$F35&gt;=X$3),IF(AND($G35&lt;&gt;"",$G35&lt;=EOMONTH(X$3,0),$H35&gt;=X$3),"B","U"),IF(AND($G35&lt;&gt;"",$G35&lt;=EOMONTH(X$3,0),$H35&gt;=X$3),"D","")))</f>
        <v/>
      </c>
      <c r="Y35" s="214">
        <f>IF($AH35="","",IF(AND($E35&lt;&gt;"",$E35&lt;=EOMONTH(Y$3,0),$F35&gt;=Y$3),IF(AND($G35&lt;&gt;"",$G35&lt;=EOMONTH(Y$3,0),$H35&gt;=Y$3),"B","U"),IF(AND($G35&lt;&gt;"",$G35&lt;=EOMONTH(Y$3,0),$H35&gt;=Y$3),"D","")))</f>
        <v/>
      </c>
      <c r="Z35" s="214">
        <f>IF($AH35="","",IF(AND($E35&lt;&gt;"",$E35&lt;=EOMONTH(Z$3,0),$F35&gt;=Z$3),IF(AND($G35&lt;&gt;"",$G35&lt;=EOMONTH(Z$3,0),$H35&gt;=Z$3),"B","U"),IF(AND($G35&lt;&gt;"",$G35&lt;=EOMONTH(Z$3,0),$H35&gt;=Z$3),"D","")))</f>
        <v/>
      </c>
      <c r="AA35" s="214">
        <f>IF($AH35="","",IF(AND($E35&lt;&gt;"",$E35&lt;=EOMONTH(AA$3,0),$F35&gt;=AA$3),IF(AND($G35&lt;&gt;"",$G35&lt;=EOMONTH(AA$3,0),$H35&gt;=AA$3),"B","U"),IF(AND($G35&lt;&gt;"",$G35&lt;=EOMONTH(AA$3,0),$H35&gt;=AA$3),"D","")))</f>
        <v/>
      </c>
      <c r="AB35" s="214">
        <f>IF($AH35="","",IF(AND($E35&lt;&gt;"",$E35&lt;=EOMONTH(AB$3,0),$F35&gt;=AB$3),IF(AND($G35&lt;&gt;"",$G35&lt;=EOMONTH(AB$3,0),$H35&gt;=AB$3),"B","U"),IF(AND($G35&lt;&gt;"",$G35&lt;=EOMONTH(AB$3,0),$H35&gt;=AB$3),"D","")))</f>
        <v/>
      </c>
      <c r="AC35" s="214">
        <f>IF($AH35="","",IF(AND($E35&lt;&gt;"",$E35&lt;=EOMONTH(AC$3,0),$F35&gt;=AC$3),IF(AND($G35&lt;&gt;"",$G35&lt;=EOMONTH(AC$3,0),$H35&gt;=AC$3),"B","U"),IF(AND($G35&lt;&gt;"",$G35&lt;=EOMONTH(AC$3,0),$H35&gt;=AC$3),"D","")))</f>
        <v/>
      </c>
      <c r="AD35" s="214">
        <f>IF($AH35="","",IF(AND($E35&lt;&gt;"",$E35&lt;=EOMONTH(AD$3,0),$F35&gt;=AD$3),IF(AND($G35&lt;&gt;"",$G35&lt;=EOMONTH(AD$3,0),$H35&gt;=AD$3),"B","U"),IF(AND($G35&lt;&gt;"",$G35&lt;=EOMONTH(AD$3,0),$H35&gt;=AD$3),"D","")))</f>
        <v/>
      </c>
      <c r="AE35" s="214">
        <f>IF($AH35="","",IF(AND($E35&lt;&gt;"",$E35&lt;=EOMONTH(AE$3,0),$F35&gt;=AE$3),IF(AND($G35&lt;&gt;"",$G35&lt;=EOMONTH(AE$3,0),$H35&gt;=AE$3),"B","U"),IF(AND($G35&lt;&gt;"",$G35&lt;=EOMONTH(AE$3,0),$H35&gt;=AE$3),"D","")))</f>
        <v/>
      </c>
      <c r="AF35" s="214">
        <f>IF($AH35="","",IF(AND($E35&lt;&gt;"",$E35&lt;=EOMONTH(AF$3,0),$F35&gt;=AF$3),IF(AND($G35&lt;&gt;"",$G35&lt;=EOMONTH(AF$3,0),$H35&gt;=AF$3),"B","U"),IF(AND($G35&lt;&gt;"",$G35&lt;=EOMONTH(AF$3,0),$H35&gt;=AF$3),"D","")))</f>
        <v/>
      </c>
      <c r="AG35">
        <f>IF($AH35="","",INDEX('Roadmap Calc (Don’t Touch)'!$D$2:$D$205,$AH35))</f>
        <v/>
      </c>
      <c r="AH35">
        <f>IFERROR(MATCH(29,'Roadmap Calc (Don’t Touch)'!$O$2:$O$205,0),"")</f>
        <v/>
      </c>
    </row>
    <row r="36" ht="17" customHeight="1">
      <c r="A36" s="209">
        <f>IF($AH36="","",IF($AG36=$AG35,"",$AG36))</f>
        <v/>
      </c>
      <c r="B36" s="210">
        <f>IF($AH36="","",INDEX('Roadmap Calc (Don’t Touch)'!$B$2:$B$205,$AH36))</f>
        <v/>
      </c>
      <c r="C36" s="211">
        <f>IF($AH36="","",INDEX('Roadmap Calc (Don’t Touch)'!$E$2:$E$205,$AH36))</f>
        <v/>
      </c>
      <c r="D36" s="212">
        <f>IF($AH36="","",INDEX('Roadmap Calc (Don’t Touch)'!$F$2:$F$205,$AH36))</f>
        <v/>
      </c>
      <c r="E36" s="213">
        <f>IF($AH36="","",INDEX('Roadmap Calc (Don’t Touch)'!$G$2:$G$205,$AH36))</f>
        <v/>
      </c>
      <c r="F36" s="213">
        <f>IF($AH36="","",INDEX('Roadmap Calc (Don’t Touch)'!$H$2:$H$205,$AH36))</f>
        <v/>
      </c>
      <c r="G36" s="213">
        <f>IF($AH36="","",INDEX('Roadmap Calc (Don’t Touch)'!$I$2:$I$205,$AH36))</f>
        <v/>
      </c>
      <c r="H36" s="213">
        <f>IF($AH36="","",INDEX('Roadmap Calc (Don’t Touch)'!$J$2:$J$205,$AH36))</f>
        <v/>
      </c>
      <c r="I36" s="214">
        <f>IF($AH36="","",IF(AND($E36&lt;&gt;"",$E36&lt;=EOMONTH(I$3,0),$F36&gt;=I$3),IF(AND($G36&lt;&gt;"",$G36&lt;=EOMONTH(I$3,0),$H36&gt;=I$3),"B","U"),IF(AND($G36&lt;&gt;"",$G36&lt;=EOMONTH(I$3,0),$H36&gt;=I$3),"D","")))</f>
        <v/>
      </c>
      <c r="J36" s="214">
        <f>IF($AH36="","",IF(AND($E36&lt;&gt;"",$E36&lt;=EOMONTH(J$3,0),$F36&gt;=J$3),IF(AND($G36&lt;&gt;"",$G36&lt;=EOMONTH(J$3,0),$H36&gt;=J$3),"B","U"),IF(AND($G36&lt;&gt;"",$G36&lt;=EOMONTH(J$3,0),$H36&gt;=J$3),"D","")))</f>
        <v/>
      </c>
      <c r="K36" s="214">
        <f>IF($AH36="","",IF(AND($E36&lt;&gt;"",$E36&lt;=EOMONTH(K$3,0),$F36&gt;=K$3),IF(AND($G36&lt;&gt;"",$G36&lt;=EOMONTH(K$3,0),$H36&gt;=K$3),"B","U"),IF(AND($G36&lt;&gt;"",$G36&lt;=EOMONTH(K$3,0),$H36&gt;=K$3),"D","")))</f>
        <v/>
      </c>
      <c r="L36" s="214">
        <f>IF($AH36="","",IF(AND($E36&lt;&gt;"",$E36&lt;=EOMONTH(L$3,0),$F36&gt;=L$3),IF(AND($G36&lt;&gt;"",$G36&lt;=EOMONTH(L$3,0),$H36&gt;=L$3),"B","U"),IF(AND($G36&lt;&gt;"",$G36&lt;=EOMONTH(L$3,0),$H36&gt;=L$3),"D","")))</f>
        <v/>
      </c>
      <c r="M36" s="214">
        <f>IF($AH36="","",IF(AND($E36&lt;&gt;"",$E36&lt;=EOMONTH(M$3,0),$F36&gt;=M$3),IF(AND($G36&lt;&gt;"",$G36&lt;=EOMONTH(M$3,0),$H36&gt;=M$3),"B","U"),IF(AND($G36&lt;&gt;"",$G36&lt;=EOMONTH(M$3,0),$H36&gt;=M$3),"D","")))</f>
        <v/>
      </c>
      <c r="N36" s="214">
        <f>IF($AH36="","",IF(AND($E36&lt;&gt;"",$E36&lt;=EOMONTH(N$3,0),$F36&gt;=N$3),IF(AND($G36&lt;&gt;"",$G36&lt;=EOMONTH(N$3,0),$H36&gt;=N$3),"B","U"),IF(AND($G36&lt;&gt;"",$G36&lt;=EOMONTH(N$3,0),$H36&gt;=N$3),"D","")))</f>
        <v/>
      </c>
      <c r="O36" s="214">
        <f>IF($AH36="","",IF(AND($E36&lt;&gt;"",$E36&lt;=EOMONTH(O$3,0),$F36&gt;=O$3),IF(AND($G36&lt;&gt;"",$G36&lt;=EOMONTH(O$3,0),$H36&gt;=O$3),"B","U"),IF(AND($G36&lt;&gt;"",$G36&lt;=EOMONTH(O$3,0),$H36&gt;=O$3),"D","")))</f>
        <v/>
      </c>
      <c r="P36" s="214">
        <f>IF($AH36="","",IF(AND($E36&lt;&gt;"",$E36&lt;=EOMONTH(P$3,0),$F36&gt;=P$3),IF(AND($G36&lt;&gt;"",$G36&lt;=EOMONTH(P$3,0),$H36&gt;=P$3),"B","U"),IF(AND($G36&lt;&gt;"",$G36&lt;=EOMONTH(P$3,0),$H36&gt;=P$3),"D","")))</f>
        <v/>
      </c>
      <c r="Q36" s="214">
        <f>IF($AH36="","",IF(AND($E36&lt;&gt;"",$E36&lt;=EOMONTH(Q$3,0),$F36&gt;=Q$3),IF(AND($G36&lt;&gt;"",$G36&lt;=EOMONTH(Q$3,0),$H36&gt;=Q$3),"B","U"),IF(AND($G36&lt;&gt;"",$G36&lt;=EOMONTH(Q$3,0),$H36&gt;=Q$3),"D","")))</f>
        <v/>
      </c>
      <c r="R36" s="214">
        <f>IF($AH36="","",IF(AND($E36&lt;&gt;"",$E36&lt;=EOMONTH(R$3,0),$F36&gt;=R$3),IF(AND($G36&lt;&gt;"",$G36&lt;=EOMONTH(R$3,0),$H36&gt;=R$3),"B","U"),IF(AND($G36&lt;&gt;"",$G36&lt;=EOMONTH(R$3,0),$H36&gt;=R$3),"D","")))</f>
        <v/>
      </c>
      <c r="S36" s="214">
        <f>IF($AH36="","",IF(AND($E36&lt;&gt;"",$E36&lt;=EOMONTH(S$3,0),$F36&gt;=S$3),IF(AND($G36&lt;&gt;"",$G36&lt;=EOMONTH(S$3,0),$H36&gt;=S$3),"B","U"),IF(AND($G36&lt;&gt;"",$G36&lt;=EOMONTH(S$3,0),$H36&gt;=S$3),"D","")))</f>
        <v/>
      </c>
      <c r="T36" s="214">
        <f>IF($AH36="","",IF(AND($E36&lt;&gt;"",$E36&lt;=EOMONTH(T$3,0),$F36&gt;=T$3),IF(AND($G36&lt;&gt;"",$G36&lt;=EOMONTH(T$3,0),$H36&gt;=T$3),"B","U"),IF(AND($G36&lt;&gt;"",$G36&lt;=EOMONTH(T$3,0),$H36&gt;=T$3),"D","")))</f>
        <v/>
      </c>
      <c r="U36" s="214">
        <f>IF($AH36="","",IF(AND($E36&lt;&gt;"",$E36&lt;=EOMONTH(U$3,0),$F36&gt;=U$3),IF(AND($G36&lt;&gt;"",$G36&lt;=EOMONTH(U$3,0),$H36&gt;=U$3),"B","U"),IF(AND($G36&lt;&gt;"",$G36&lt;=EOMONTH(U$3,0),$H36&gt;=U$3),"D","")))</f>
        <v/>
      </c>
      <c r="V36" s="214">
        <f>IF($AH36="","",IF(AND($E36&lt;&gt;"",$E36&lt;=EOMONTH(V$3,0),$F36&gt;=V$3),IF(AND($G36&lt;&gt;"",$G36&lt;=EOMONTH(V$3,0),$H36&gt;=V$3),"B","U"),IF(AND($G36&lt;&gt;"",$G36&lt;=EOMONTH(V$3,0),$H36&gt;=V$3),"D","")))</f>
        <v/>
      </c>
      <c r="W36" s="214">
        <f>IF($AH36="","",IF(AND($E36&lt;&gt;"",$E36&lt;=EOMONTH(W$3,0),$F36&gt;=W$3),IF(AND($G36&lt;&gt;"",$G36&lt;=EOMONTH(W$3,0),$H36&gt;=W$3),"B","U"),IF(AND($G36&lt;&gt;"",$G36&lt;=EOMONTH(W$3,0),$H36&gt;=W$3),"D","")))</f>
        <v/>
      </c>
      <c r="X36" s="214">
        <f>IF($AH36="","",IF(AND($E36&lt;&gt;"",$E36&lt;=EOMONTH(X$3,0),$F36&gt;=X$3),IF(AND($G36&lt;&gt;"",$G36&lt;=EOMONTH(X$3,0),$H36&gt;=X$3),"B","U"),IF(AND($G36&lt;&gt;"",$G36&lt;=EOMONTH(X$3,0),$H36&gt;=X$3),"D","")))</f>
        <v/>
      </c>
      <c r="Y36" s="214">
        <f>IF($AH36="","",IF(AND($E36&lt;&gt;"",$E36&lt;=EOMONTH(Y$3,0),$F36&gt;=Y$3),IF(AND($G36&lt;&gt;"",$G36&lt;=EOMONTH(Y$3,0),$H36&gt;=Y$3),"B","U"),IF(AND($G36&lt;&gt;"",$G36&lt;=EOMONTH(Y$3,0),$H36&gt;=Y$3),"D","")))</f>
        <v/>
      </c>
      <c r="Z36" s="214">
        <f>IF($AH36="","",IF(AND($E36&lt;&gt;"",$E36&lt;=EOMONTH(Z$3,0),$F36&gt;=Z$3),IF(AND($G36&lt;&gt;"",$G36&lt;=EOMONTH(Z$3,0),$H36&gt;=Z$3),"B","U"),IF(AND($G36&lt;&gt;"",$G36&lt;=EOMONTH(Z$3,0),$H36&gt;=Z$3),"D","")))</f>
        <v/>
      </c>
      <c r="AA36" s="214">
        <f>IF($AH36="","",IF(AND($E36&lt;&gt;"",$E36&lt;=EOMONTH(AA$3,0),$F36&gt;=AA$3),IF(AND($G36&lt;&gt;"",$G36&lt;=EOMONTH(AA$3,0),$H36&gt;=AA$3),"B","U"),IF(AND($G36&lt;&gt;"",$G36&lt;=EOMONTH(AA$3,0),$H36&gt;=AA$3),"D","")))</f>
        <v/>
      </c>
      <c r="AB36" s="214">
        <f>IF($AH36="","",IF(AND($E36&lt;&gt;"",$E36&lt;=EOMONTH(AB$3,0),$F36&gt;=AB$3),IF(AND($G36&lt;&gt;"",$G36&lt;=EOMONTH(AB$3,0),$H36&gt;=AB$3),"B","U"),IF(AND($G36&lt;&gt;"",$G36&lt;=EOMONTH(AB$3,0),$H36&gt;=AB$3),"D","")))</f>
        <v/>
      </c>
      <c r="AC36" s="214">
        <f>IF($AH36="","",IF(AND($E36&lt;&gt;"",$E36&lt;=EOMONTH(AC$3,0),$F36&gt;=AC$3),IF(AND($G36&lt;&gt;"",$G36&lt;=EOMONTH(AC$3,0),$H36&gt;=AC$3),"B","U"),IF(AND($G36&lt;&gt;"",$G36&lt;=EOMONTH(AC$3,0),$H36&gt;=AC$3),"D","")))</f>
        <v/>
      </c>
      <c r="AD36" s="214">
        <f>IF($AH36="","",IF(AND($E36&lt;&gt;"",$E36&lt;=EOMONTH(AD$3,0),$F36&gt;=AD$3),IF(AND($G36&lt;&gt;"",$G36&lt;=EOMONTH(AD$3,0),$H36&gt;=AD$3),"B","U"),IF(AND($G36&lt;&gt;"",$G36&lt;=EOMONTH(AD$3,0),$H36&gt;=AD$3),"D","")))</f>
        <v/>
      </c>
      <c r="AE36" s="214">
        <f>IF($AH36="","",IF(AND($E36&lt;&gt;"",$E36&lt;=EOMONTH(AE$3,0),$F36&gt;=AE$3),IF(AND($G36&lt;&gt;"",$G36&lt;=EOMONTH(AE$3,0),$H36&gt;=AE$3),"B","U"),IF(AND($G36&lt;&gt;"",$G36&lt;=EOMONTH(AE$3,0),$H36&gt;=AE$3),"D","")))</f>
        <v/>
      </c>
      <c r="AF36" s="214">
        <f>IF($AH36="","",IF(AND($E36&lt;&gt;"",$E36&lt;=EOMONTH(AF$3,0),$F36&gt;=AF$3),IF(AND($G36&lt;&gt;"",$G36&lt;=EOMONTH(AF$3,0),$H36&gt;=AF$3),"B","U"),IF(AND($G36&lt;&gt;"",$G36&lt;=EOMONTH(AF$3,0),$H36&gt;=AF$3),"D","")))</f>
        <v/>
      </c>
      <c r="AG36">
        <f>IF($AH36="","",INDEX('Roadmap Calc (Don’t Touch)'!$D$2:$D$205,$AH36))</f>
        <v/>
      </c>
      <c r="AH36">
        <f>IFERROR(MATCH(30,'Roadmap Calc (Don’t Touch)'!$O$2:$O$205,0),"")</f>
        <v/>
      </c>
    </row>
    <row r="37" ht="17" customHeight="1">
      <c r="A37" s="209">
        <f>IF($AH37="","",IF($AG37=$AG36,"",$AG37))</f>
        <v/>
      </c>
      <c r="B37" s="210">
        <f>IF($AH37="","",INDEX('Roadmap Calc (Don’t Touch)'!$B$2:$B$205,$AH37))</f>
        <v/>
      </c>
      <c r="C37" s="211">
        <f>IF($AH37="","",INDEX('Roadmap Calc (Don’t Touch)'!$E$2:$E$205,$AH37))</f>
        <v/>
      </c>
      <c r="D37" s="212">
        <f>IF($AH37="","",INDEX('Roadmap Calc (Don’t Touch)'!$F$2:$F$205,$AH37))</f>
        <v/>
      </c>
      <c r="E37" s="213">
        <f>IF($AH37="","",INDEX('Roadmap Calc (Don’t Touch)'!$G$2:$G$205,$AH37))</f>
        <v/>
      </c>
      <c r="F37" s="213">
        <f>IF($AH37="","",INDEX('Roadmap Calc (Don’t Touch)'!$H$2:$H$205,$AH37))</f>
        <v/>
      </c>
      <c r="G37" s="213">
        <f>IF($AH37="","",INDEX('Roadmap Calc (Don’t Touch)'!$I$2:$I$205,$AH37))</f>
        <v/>
      </c>
      <c r="H37" s="213">
        <f>IF($AH37="","",INDEX('Roadmap Calc (Don’t Touch)'!$J$2:$J$205,$AH37))</f>
        <v/>
      </c>
      <c r="I37" s="214">
        <f>IF($AH37="","",IF(AND($E37&lt;&gt;"",$E37&lt;=EOMONTH(I$3,0),$F37&gt;=I$3),IF(AND($G37&lt;&gt;"",$G37&lt;=EOMONTH(I$3,0),$H37&gt;=I$3),"B","U"),IF(AND($G37&lt;&gt;"",$G37&lt;=EOMONTH(I$3,0),$H37&gt;=I$3),"D","")))</f>
        <v/>
      </c>
      <c r="J37" s="214">
        <f>IF($AH37="","",IF(AND($E37&lt;&gt;"",$E37&lt;=EOMONTH(J$3,0),$F37&gt;=J$3),IF(AND($G37&lt;&gt;"",$G37&lt;=EOMONTH(J$3,0),$H37&gt;=J$3),"B","U"),IF(AND($G37&lt;&gt;"",$G37&lt;=EOMONTH(J$3,0),$H37&gt;=J$3),"D","")))</f>
        <v/>
      </c>
      <c r="K37" s="214">
        <f>IF($AH37="","",IF(AND($E37&lt;&gt;"",$E37&lt;=EOMONTH(K$3,0),$F37&gt;=K$3),IF(AND($G37&lt;&gt;"",$G37&lt;=EOMONTH(K$3,0),$H37&gt;=K$3),"B","U"),IF(AND($G37&lt;&gt;"",$G37&lt;=EOMONTH(K$3,0),$H37&gt;=K$3),"D","")))</f>
        <v/>
      </c>
      <c r="L37" s="214">
        <f>IF($AH37="","",IF(AND($E37&lt;&gt;"",$E37&lt;=EOMONTH(L$3,0),$F37&gt;=L$3),IF(AND($G37&lt;&gt;"",$G37&lt;=EOMONTH(L$3,0),$H37&gt;=L$3),"B","U"),IF(AND($G37&lt;&gt;"",$G37&lt;=EOMONTH(L$3,0),$H37&gt;=L$3),"D","")))</f>
        <v/>
      </c>
      <c r="M37" s="214">
        <f>IF($AH37="","",IF(AND($E37&lt;&gt;"",$E37&lt;=EOMONTH(M$3,0),$F37&gt;=M$3),IF(AND($G37&lt;&gt;"",$G37&lt;=EOMONTH(M$3,0),$H37&gt;=M$3),"B","U"),IF(AND($G37&lt;&gt;"",$G37&lt;=EOMONTH(M$3,0),$H37&gt;=M$3),"D","")))</f>
        <v/>
      </c>
      <c r="N37" s="214">
        <f>IF($AH37="","",IF(AND($E37&lt;&gt;"",$E37&lt;=EOMONTH(N$3,0),$F37&gt;=N$3),IF(AND($G37&lt;&gt;"",$G37&lt;=EOMONTH(N$3,0),$H37&gt;=N$3),"B","U"),IF(AND($G37&lt;&gt;"",$G37&lt;=EOMONTH(N$3,0),$H37&gt;=N$3),"D","")))</f>
        <v/>
      </c>
      <c r="O37" s="214">
        <f>IF($AH37="","",IF(AND($E37&lt;&gt;"",$E37&lt;=EOMONTH(O$3,0),$F37&gt;=O$3),IF(AND($G37&lt;&gt;"",$G37&lt;=EOMONTH(O$3,0),$H37&gt;=O$3),"B","U"),IF(AND($G37&lt;&gt;"",$G37&lt;=EOMONTH(O$3,0),$H37&gt;=O$3),"D","")))</f>
        <v/>
      </c>
      <c r="P37" s="214">
        <f>IF($AH37="","",IF(AND($E37&lt;&gt;"",$E37&lt;=EOMONTH(P$3,0),$F37&gt;=P$3),IF(AND($G37&lt;&gt;"",$G37&lt;=EOMONTH(P$3,0),$H37&gt;=P$3),"B","U"),IF(AND($G37&lt;&gt;"",$G37&lt;=EOMONTH(P$3,0),$H37&gt;=P$3),"D","")))</f>
        <v/>
      </c>
      <c r="Q37" s="214">
        <f>IF($AH37="","",IF(AND($E37&lt;&gt;"",$E37&lt;=EOMONTH(Q$3,0),$F37&gt;=Q$3),IF(AND($G37&lt;&gt;"",$G37&lt;=EOMONTH(Q$3,0),$H37&gt;=Q$3),"B","U"),IF(AND($G37&lt;&gt;"",$G37&lt;=EOMONTH(Q$3,0),$H37&gt;=Q$3),"D","")))</f>
        <v/>
      </c>
      <c r="R37" s="214">
        <f>IF($AH37="","",IF(AND($E37&lt;&gt;"",$E37&lt;=EOMONTH(R$3,0),$F37&gt;=R$3),IF(AND($G37&lt;&gt;"",$G37&lt;=EOMONTH(R$3,0),$H37&gt;=R$3),"B","U"),IF(AND($G37&lt;&gt;"",$G37&lt;=EOMONTH(R$3,0),$H37&gt;=R$3),"D","")))</f>
        <v/>
      </c>
      <c r="S37" s="214">
        <f>IF($AH37="","",IF(AND($E37&lt;&gt;"",$E37&lt;=EOMONTH(S$3,0),$F37&gt;=S$3),IF(AND($G37&lt;&gt;"",$G37&lt;=EOMONTH(S$3,0),$H37&gt;=S$3),"B","U"),IF(AND($G37&lt;&gt;"",$G37&lt;=EOMONTH(S$3,0),$H37&gt;=S$3),"D","")))</f>
        <v/>
      </c>
      <c r="T37" s="214">
        <f>IF($AH37="","",IF(AND($E37&lt;&gt;"",$E37&lt;=EOMONTH(T$3,0),$F37&gt;=T$3),IF(AND($G37&lt;&gt;"",$G37&lt;=EOMONTH(T$3,0),$H37&gt;=T$3),"B","U"),IF(AND($G37&lt;&gt;"",$G37&lt;=EOMONTH(T$3,0),$H37&gt;=T$3),"D","")))</f>
        <v/>
      </c>
      <c r="U37" s="214">
        <f>IF($AH37="","",IF(AND($E37&lt;&gt;"",$E37&lt;=EOMONTH(U$3,0),$F37&gt;=U$3),IF(AND($G37&lt;&gt;"",$G37&lt;=EOMONTH(U$3,0),$H37&gt;=U$3),"B","U"),IF(AND($G37&lt;&gt;"",$G37&lt;=EOMONTH(U$3,0),$H37&gt;=U$3),"D","")))</f>
        <v/>
      </c>
      <c r="V37" s="214">
        <f>IF($AH37="","",IF(AND($E37&lt;&gt;"",$E37&lt;=EOMONTH(V$3,0),$F37&gt;=V$3),IF(AND($G37&lt;&gt;"",$G37&lt;=EOMONTH(V$3,0),$H37&gt;=V$3),"B","U"),IF(AND($G37&lt;&gt;"",$G37&lt;=EOMONTH(V$3,0),$H37&gt;=V$3),"D","")))</f>
        <v/>
      </c>
      <c r="W37" s="214">
        <f>IF($AH37="","",IF(AND($E37&lt;&gt;"",$E37&lt;=EOMONTH(W$3,0),$F37&gt;=W$3),IF(AND($G37&lt;&gt;"",$G37&lt;=EOMONTH(W$3,0),$H37&gt;=W$3),"B","U"),IF(AND($G37&lt;&gt;"",$G37&lt;=EOMONTH(W$3,0),$H37&gt;=W$3),"D","")))</f>
        <v/>
      </c>
      <c r="X37" s="214">
        <f>IF($AH37="","",IF(AND($E37&lt;&gt;"",$E37&lt;=EOMONTH(X$3,0),$F37&gt;=X$3),IF(AND($G37&lt;&gt;"",$G37&lt;=EOMONTH(X$3,0),$H37&gt;=X$3),"B","U"),IF(AND($G37&lt;&gt;"",$G37&lt;=EOMONTH(X$3,0),$H37&gt;=X$3),"D","")))</f>
        <v/>
      </c>
      <c r="Y37" s="214">
        <f>IF($AH37="","",IF(AND($E37&lt;&gt;"",$E37&lt;=EOMONTH(Y$3,0),$F37&gt;=Y$3),IF(AND($G37&lt;&gt;"",$G37&lt;=EOMONTH(Y$3,0),$H37&gt;=Y$3),"B","U"),IF(AND($G37&lt;&gt;"",$G37&lt;=EOMONTH(Y$3,0),$H37&gt;=Y$3),"D","")))</f>
        <v/>
      </c>
      <c r="Z37" s="214">
        <f>IF($AH37="","",IF(AND($E37&lt;&gt;"",$E37&lt;=EOMONTH(Z$3,0),$F37&gt;=Z$3),IF(AND($G37&lt;&gt;"",$G37&lt;=EOMONTH(Z$3,0),$H37&gt;=Z$3),"B","U"),IF(AND($G37&lt;&gt;"",$G37&lt;=EOMONTH(Z$3,0),$H37&gt;=Z$3),"D","")))</f>
        <v/>
      </c>
      <c r="AA37" s="214">
        <f>IF($AH37="","",IF(AND($E37&lt;&gt;"",$E37&lt;=EOMONTH(AA$3,0),$F37&gt;=AA$3),IF(AND($G37&lt;&gt;"",$G37&lt;=EOMONTH(AA$3,0),$H37&gt;=AA$3),"B","U"),IF(AND($G37&lt;&gt;"",$G37&lt;=EOMONTH(AA$3,0),$H37&gt;=AA$3),"D","")))</f>
        <v/>
      </c>
      <c r="AB37" s="214">
        <f>IF($AH37="","",IF(AND($E37&lt;&gt;"",$E37&lt;=EOMONTH(AB$3,0),$F37&gt;=AB$3),IF(AND($G37&lt;&gt;"",$G37&lt;=EOMONTH(AB$3,0),$H37&gt;=AB$3),"B","U"),IF(AND($G37&lt;&gt;"",$G37&lt;=EOMONTH(AB$3,0),$H37&gt;=AB$3),"D","")))</f>
        <v/>
      </c>
      <c r="AC37" s="214">
        <f>IF($AH37="","",IF(AND($E37&lt;&gt;"",$E37&lt;=EOMONTH(AC$3,0),$F37&gt;=AC$3),IF(AND($G37&lt;&gt;"",$G37&lt;=EOMONTH(AC$3,0),$H37&gt;=AC$3),"B","U"),IF(AND($G37&lt;&gt;"",$G37&lt;=EOMONTH(AC$3,0),$H37&gt;=AC$3),"D","")))</f>
        <v/>
      </c>
      <c r="AD37" s="214">
        <f>IF($AH37="","",IF(AND($E37&lt;&gt;"",$E37&lt;=EOMONTH(AD$3,0),$F37&gt;=AD$3),IF(AND($G37&lt;&gt;"",$G37&lt;=EOMONTH(AD$3,0),$H37&gt;=AD$3),"B","U"),IF(AND($G37&lt;&gt;"",$G37&lt;=EOMONTH(AD$3,0),$H37&gt;=AD$3),"D","")))</f>
        <v/>
      </c>
      <c r="AE37" s="214">
        <f>IF($AH37="","",IF(AND($E37&lt;&gt;"",$E37&lt;=EOMONTH(AE$3,0),$F37&gt;=AE$3),IF(AND($G37&lt;&gt;"",$G37&lt;=EOMONTH(AE$3,0),$H37&gt;=AE$3),"B","U"),IF(AND($G37&lt;&gt;"",$G37&lt;=EOMONTH(AE$3,0),$H37&gt;=AE$3),"D","")))</f>
        <v/>
      </c>
      <c r="AF37" s="214">
        <f>IF($AH37="","",IF(AND($E37&lt;&gt;"",$E37&lt;=EOMONTH(AF$3,0),$F37&gt;=AF$3),IF(AND($G37&lt;&gt;"",$G37&lt;=EOMONTH(AF$3,0),$H37&gt;=AF$3),"B","U"),IF(AND($G37&lt;&gt;"",$G37&lt;=EOMONTH(AF$3,0),$H37&gt;=AF$3),"D","")))</f>
        <v/>
      </c>
      <c r="AG37">
        <f>IF($AH37="","",INDEX('Roadmap Calc (Don’t Touch)'!$D$2:$D$205,$AH37))</f>
        <v/>
      </c>
      <c r="AH37">
        <f>IFERROR(MATCH(31,'Roadmap Calc (Don’t Touch)'!$O$2:$O$205,0),"")</f>
        <v/>
      </c>
    </row>
    <row r="38" ht="17" customHeight="1">
      <c r="A38" s="209">
        <f>IF($AH38="","",IF($AG38=$AG37,"",$AG38))</f>
        <v/>
      </c>
      <c r="B38" s="210">
        <f>IF($AH38="","",INDEX('Roadmap Calc (Don’t Touch)'!$B$2:$B$205,$AH38))</f>
        <v/>
      </c>
      <c r="C38" s="211">
        <f>IF($AH38="","",INDEX('Roadmap Calc (Don’t Touch)'!$E$2:$E$205,$AH38))</f>
        <v/>
      </c>
      <c r="D38" s="212">
        <f>IF($AH38="","",INDEX('Roadmap Calc (Don’t Touch)'!$F$2:$F$205,$AH38))</f>
        <v/>
      </c>
      <c r="E38" s="213">
        <f>IF($AH38="","",INDEX('Roadmap Calc (Don’t Touch)'!$G$2:$G$205,$AH38))</f>
        <v/>
      </c>
      <c r="F38" s="213">
        <f>IF($AH38="","",INDEX('Roadmap Calc (Don’t Touch)'!$H$2:$H$205,$AH38))</f>
        <v/>
      </c>
      <c r="G38" s="213">
        <f>IF($AH38="","",INDEX('Roadmap Calc (Don’t Touch)'!$I$2:$I$205,$AH38))</f>
        <v/>
      </c>
      <c r="H38" s="213">
        <f>IF($AH38="","",INDEX('Roadmap Calc (Don’t Touch)'!$J$2:$J$205,$AH38))</f>
        <v/>
      </c>
      <c r="I38" s="214">
        <f>IF($AH38="","",IF(AND($E38&lt;&gt;"",$E38&lt;=EOMONTH(I$3,0),$F38&gt;=I$3),IF(AND($G38&lt;&gt;"",$G38&lt;=EOMONTH(I$3,0),$H38&gt;=I$3),"B","U"),IF(AND($G38&lt;&gt;"",$G38&lt;=EOMONTH(I$3,0),$H38&gt;=I$3),"D","")))</f>
        <v/>
      </c>
      <c r="J38" s="214">
        <f>IF($AH38="","",IF(AND($E38&lt;&gt;"",$E38&lt;=EOMONTH(J$3,0),$F38&gt;=J$3),IF(AND($G38&lt;&gt;"",$G38&lt;=EOMONTH(J$3,0),$H38&gt;=J$3),"B","U"),IF(AND($G38&lt;&gt;"",$G38&lt;=EOMONTH(J$3,0),$H38&gt;=J$3),"D","")))</f>
        <v/>
      </c>
      <c r="K38" s="214">
        <f>IF($AH38="","",IF(AND($E38&lt;&gt;"",$E38&lt;=EOMONTH(K$3,0),$F38&gt;=K$3),IF(AND($G38&lt;&gt;"",$G38&lt;=EOMONTH(K$3,0),$H38&gt;=K$3),"B","U"),IF(AND($G38&lt;&gt;"",$G38&lt;=EOMONTH(K$3,0),$H38&gt;=K$3),"D","")))</f>
        <v/>
      </c>
      <c r="L38" s="214">
        <f>IF($AH38="","",IF(AND($E38&lt;&gt;"",$E38&lt;=EOMONTH(L$3,0),$F38&gt;=L$3),IF(AND($G38&lt;&gt;"",$G38&lt;=EOMONTH(L$3,0),$H38&gt;=L$3),"B","U"),IF(AND($G38&lt;&gt;"",$G38&lt;=EOMONTH(L$3,0),$H38&gt;=L$3),"D","")))</f>
        <v/>
      </c>
      <c r="M38" s="214">
        <f>IF($AH38="","",IF(AND($E38&lt;&gt;"",$E38&lt;=EOMONTH(M$3,0),$F38&gt;=M$3),IF(AND($G38&lt;&gt;"",$G38&lt;=EOMONTH(M$3,0),$H38&gt;=M$3),"B","U"),IF(AND($G38&lt;&gt;"",$G38&lt;=EOMONTH(M$3,0),$H38&gt;=M$3),"D","")))</f>
        <v/>
      </c>
      <c r="N38" s="214">
        <f>IF($AH38="","",IF(AND($E38&lt;&gt;"",$E38&lt;=EOMONTH(N$3,0),$F38&gt;=N$3),IF(AND($G38&lt;&gt;"",$G38&lt;=EOMONTH(N$3,0),$H38&gt;=N$3),"B","U"),IF(AND($G38&lt;&gt;"",$G38&lt;=EOMONTH(N$3,0),$H38&gt;=N$3),"D","")))</f>
        <v/>
      </c>
      <c r="O38" s="214">
        <f>IF($AH38="","",IF(AND($E38&lt;&gt;"",$E38&lt;=EOMONTH(O$3,0),$F38&gt;=O$3),IF(AND($G38&lt;&gt;"",$G38&lt;=EOMONTH(O$3,0),$H38&gt;=O$3),"B","U"),IF(AND($G38&lt;&gt;"",$G38&lt;=EOMONTH(O$3,0),$H38&gt;=O$3),"D","")))</f>
        <v/>
      </c>
      <c r="P38" s="214">
        <f>IF($AH38="","",IF(AND($E38&lt;&gt;"",$E38&lt;=EOMONTH(P$3,0),$F38&gt;=P$3),IF(AND($G38&lt;&gt;"",$G38&lt;=EOMONTH(P$3,0),$H38&gt;=P$3),"B","U"),IF(AND($G38&lt;&gt;"",$G38&lt;=EOMONTH(P$3,0),$H38&gt;=P$3),"D","")))</f>
        <v/>
      </c>
      <c r="Q38" s="214">
        <f>IF($AH38="","",IF(AND($E38&lt;&gt;"",$E38&lt;=EOMONTH(Q$3,0),$F38&gt;=Q$3),IF(AND($G38&lt;&gt;"",$G38&lt;=EOMONTH(Q$3,0),$H38&gt;=Q$3),"B","U"),IF(AND($G38&lt;&gt;"",$G38&lt;=EOMONTH(Q$3,0),$H38&gt;=Q$3),"D","")))</f>
        <v/>
      </c>
      <c r="R38" s="214">
        <f>IF($AH38="","",IF(AND($E38&lt;&gt;"",$E38&lt;=EOMONTH(R$3,0),$F38&gt;=R$3),IF(AND($G38&lt;&gt;"",$G38&lt;=EOMONTH(R$3,0),$H38&gt;=R$3),"B","U"),IF(AND($G38&lt;&gt;"",$G38&lt;=EOMONTH(R$3,0),$H38&gt;=R$3),"D","")))</f>
        <v/>
      </c>
      <c r="S38" s="214">
        <f>IF($AH38="","",IF(AND($E38&lt;&gt;"",$E38&lt;=EOMONTH(S$3,0),$F38&gt;=S$3),IF(AND($G38&lt;&gt;"",$G38&lt;=EOMONTH(S$3,0),$H38&gt;=S$3),"B","U"),IF(AND($G38&lt;&gt;"",$G38&lt;=EOMONTH(S$3,0),$H38&gt;=S$3),"D","")))</f>
        <v/>
      </c>
      <c r="T38" s="214">
        <f>IF($AH38="","",IF(AND($E38&lt;&gt;"",$E38&lt;=EOMONTH(T$3,0),$F38&gt;=T$3),IF(AND($G38&lt;&gt;"",$G38&lt;=EOMONTH(T$3,0),$H38&gt;=T$3),"B","U"),IF(AND($G38&lt;&gt;"",$G38&lt;=EOMONTH(T$3,0),$H38&gt;=T$3),"D","")))</f>
        <v/>
      </c>
      <c r="U38" s="214">
        <f>IF($AH38="","",IF(AND($E38&lt;&gt;"",$E38&lt;=EOMONTH(U$3,0),$F38&gt;=U$3),IF(AND($G38&lt;&gt;"",$G38&lt;=EOMONTH(U$3,0),$H38&gt;=U$3),"B","U"),IF(AND($G38&lt;&gt;"",$G38&lt;=EOMONTH(U$3,0),$H38&gt;=U$3),"D","")))</f>
        <v/>
      </c>
      <c r="V38" s="214">
        <f>IF($AH38="","",IF(AND($E38&lt;&gt;"",$E38&lt;=EOMONTH(V$3,0),$F38&gt;=V$3),IF(AND($G38&lt;&gt;"",$G38&lt;=EOMONTH(V$3,0),$H38&gt;=V$3),"B","U"),IF(AND($G38&lt;&gt;"",$G38&lt;=EOMONTH(V$3,0),$H38&gt;=V$3),"D","")))</f>
        <v/>
      </c>
      <c r="W38" s="214">
        <f>IF($AH38="","",IF(AND($E38&lt;&gt;"",$E38&lt;=EOMONTH(W$3,0),$F38&gt;=W$3),IF(AND($G38&lt;&gt;"",$G38&lt;=EOMONTH(W$3,0),$H38&gt;=W$3),"B","U"),IF(AND($G38&lt;&gt;"",$G38&lt;=EOMONTH(W$3,0),$H38&gt;=W$3),"D","")))</f>
        <v/>
      </c>
      <c r="X38" s="214">
        <f>IF($AH38="","",IF(AND($E38&lt;&gt;"",$E38&lt;=EOMONTH(X$3,0),$F38&gt;=X$3),IF(AND($G38&lt;&gt;"",$G38&lt;=EOMONTH(X$3,0),$H38&gt;=X$3),"B","U"),IF(AND($G38&lt;&gt;"",$G38&lt;=EOMONTH(X$3,0),$H38&gt;=X$3),"D","")))</f>
        <v/>
      </c>
      <c r="Y38" s="214">
        <f>IF($AH38="","",IF(AND($E38&lt;&gt;"",$E38&lt;=EOMONTH(Y$3,0),$F38&gt;=Y$3),IF(AND($G38&lt;&gt;"",$G38&lt;=EOMONTH(Y$3,0),$H38&gt;=Y$3),"B","U"),IF(AND($G38&lt;&gt;"",$G38&lt;=EOMONTH(Y$3,0),$H38&gt;=Y$3),"D","")))</f>
        <v/>
      </c>
      <c r="Z38" s="214">
        <f>IF($AH38="","",IF(AND($E38&lt;&gt;"",$E38&lt;=EOMONTH(Z$3,0),$F38&gt;=Z$3),IF(AND($G38&lt;&gt;"",$G38&lt;=EOMONTH(Z$3,0),$H38&gt;=Z$3),"B","U"),IF(AND($G38&lt;&gt;"",$G38&lt;=EOMONTH(Z$3,0),$H38&gt;=Z$3),"D","")))</f>
        <v/>
      </c>
      <c r="AA38" s="214">
        <f>IF($AH38="","",IF(AND($E38&lt;&gt;"",$E38&lt;=EOMONTH(AA$3,0),$F38&gt;=AA$3),IF(AND($G38&lt;&gt;"",$G38&lt;=EOMONTH(AA$3,0),$H38&gt;=AA$3),"B","U"),IF(AND($G38&lt;&gt;"",$G38&lt;=EOMONTH(AA$3,0),$H38&gt;=AA$3),"D","")))</f>
        <v/>
      </c>
      <c r="AB38" s="214">
        <f>IF($AH38="","",IF(AND($E38&lt;&gt;"",$E38&lt;=EOMONTH(AB$3,0),$F38&gt;=AB$3),IF(AND($G38&lt;&gt;"",$G38&lt;=EOMONTH(AB$3,0),$H38&gt;=AB$3),"B","U"),IF(AND($G38&lt;&gt;"",$G38&lt;=EOMONTH(AB$3,0),$H38&gt;=AB$3),"D","")))</f>
        <v/>
      </c>
      <c r="AC38" s="214">
        <f>IF($AH38="","",IF(AND($E38&lt;&gt;"",$E38&lt;=EOMONTH(AC$3,0),$F38&gt;=AC$3),IF(AND($G38&lt;&gt;"",$G38&lt;=EOMONTH(AC$3,0),$H38&gt;=AC$3),"B","U"),IF(AND($G38&lt;&gt;"",$G38&lt;=EOMONTH(AC$3,0),$H38&gt;=AC$3),"D","")))</f>
        <v/>
      </c>
      <c r="AD38" s="214">
        <f>IF($AH38="","",IF(AND($E38&lt;&gt;"",$E38&lt;=EOMONTH(AD$3,0),$F38&gt;=AD$3),IF(AND($G38&lt;&gt;"",$G38&lt;=EOMONTH(AD$3,0),$H38&gt;=AD$3),"B","U"),IF(AND($G38&lt;&gt;"",$G38&lt;=EOMONTH(AD$3,0),$H38&gt;=AD$3),"D","")))</f>
        <v/>
      </c>
      <c r="AE38" s="214">
        <f>IF($AH38="","",IF(AND($E38&lt;&gt;"",$E38&lt;=EOMONTH(AE$3,0),$F38&gt;=AE$3),IF(AND($G38&lt;&gt;"",$G38&lt;=EOMONTH(AE$3,0),$H38&gt;=AE$3),"B","U"),IF(AND($G38&lt;&gt;"",$G38&lt;=EOMONTH(AE$3,0),$H38&gt;=AE$3),"D","")))</f>
        <v/>
      </c>
      <c r="AF38" s="214">
        <f>IF($AH38="","",IF(AND($E38&lt;&gt;"",$E38&lt;=EOMONTH(AF$3,0),$F38&gt;=AF$3),IF(AND($G38&lt;&gt;"",$G38&lt;=EOMONTH(AF$3,0),$H38&gt;=AF$3),"B","U"),IF(AND($G38&lt;&gt;"",$G38&lt;=EOMONTH(AF$3,0),$H38&gt;=AF$3),"D","")))</f>
        <v/>
      </c>
      <c r="AG38">
        <f>IF($AH38="","",INDEX('Roadmap Calc (Don’t Touch)'!$D$2:$D$205,$AH38))</f>
        <v/>
      </c>
      <c r="AH38">
        <f>IFERROR(MATCH(32,'Roadmap Calc (Don’t Touch)'!$O$2:$O$205,0),"")</f>
        <v/>
      </c>
    </row>
    <row r="39" ht="17" customHeight="1">
      <c r="A39" s="209">
        <f>IF($AH39="","",IF($AG39=$AG38,"",$AG39))</f>
        <v/>
      </c>
      <c r="B39" s="210">
        <f>IF($AH39="","",INDEX('Roadmap Calc (Don’t Touch)'!$B$2:$B$205,$AH39))</f>
        <v/>
      </c>
      <c r="C39" s="211">
        <f>IF($AH39="","",INDEX('Roadmap Calc (Don’t Touch)'!$E$2:$E$205,$AH39))</f>
        <v/>
      </c>
      <c r="D39" s="212">
        <f>IF($AH39="","",INDEX('Roadmap Calc (Don’t Touch)'!$F$2:$F$205,$AH39))</f>
        <v/>
      </c>
      <c r="E39" s="213">
        <f>IF($AH39="","",INDEX('Roadmap Calc (Don’t Touch)'!$G$2:$G$205,$AH39))</f>
        <v/>
      </c>
      <c r="F39" s="213">
        <f>IF($AH39="","",INDEX('Roadmap Calc (Don’t Touch)'!$H$2:$H$205,$AH39))</f>
        <v/>
      </c>
      <c r="G39" s="213">
        <f>IF($AH39="","",INDEX('Roadmap Calc (Don’t Touch)'!$I$2:$I$205,$AH39))</f>
        <v/>
      </c>
      <c r="H39" s="213">
        <f>IF($AH39="","",INDEX('Roadmap Calc (Don’t Touch)'!$J$2:$J$205,$AH39))</f>
        <v/>
      </c>
      <c r="I39" s="214">
        <f>IF($AH39="","",IF(AND($E39&lt;&gt;"",$E39&lt;=EOMONTH(I$3,0),$F39&gt;=I$3),IF(AND($G39&lt;&gt;"",$G39&lt;=EOMONTH(I$3,0),$H39&gt;=I$3),"B","U"),IF(AND($G39&lt;&gt;"",$G39&lt;=EOMONTH(I$3,0),$H39&gt;=I$3),"D","")))</f>
        <v/>
      </c>
      <c r="J39" s="214">
        <f>IF($AH39="","",IF(AND($E39&lt;&gt;"",$E39&lt;=EOMONTH(J$3,0),$F39&gt;=J$3),IF(AND($G39&lt;&gt;"",$G39&lt;=EOMONTH(J$3,0),$H39&gt;=J$3),"B","U"),IF(AND($G39&lt;&gt;"",$G39&lt;=EOMONTH(J$3,0),$H39&gt;=J$3),"D","")))</f>
        <v/>
      </c>
      <c r="K39" s="214">
        <f>IF($AH39="","",IF(AND($E39&lt;&gt;"",$E39&lt;=EOMONTH(K$3,0),$F39&gt;=K$3),IF(AND($G39&lt;&gt;"",$G39&lt;=EOMONTH(K$3,0),$H39&gt;=K$3),"B","U"),IF(AND($G39&lt;&gt;"",$G39&lt;=EOMONTH(K$3,0),$H39&gt;=K$3),"D","")))</f>
        <v/>
      </c>
      <c r="L39" s="214">
        <f>IF($AH39="","",IF(AND($E39&lt;&gt;"",$E39&lt;=EOMONTH(L$3,0),$F39&gt;=L$3),IF(AND($G39&lt;&gt;"",$G39&lt;=EOMONTH(L$3,0),$H39&gt;=L$3),"B","U"),IF(AND($G39&lt;&gt;"",$G39&lt;=EOMONTH(L$3,0),$H39&gt;=L$3),"D","")))</f>
        <v/>
      </c>
      <c r="M39" s="214">
        <f>IF($AH39="","",IF(AND($E39&lt;&gt;"",$E39&lt;=EOMONTH(M$3,0),$F39&gt;=M$3),IF(AND($G39&lt;&gt;"",$G39&lt;=EOMONTH(M$3,0),$H39&gt;=M$3),"B","U"),IF(AND($G39&lt;&gt;"",$G39&lt;=EOMONTH(M$3,0),$H39&gt;=M$3),"D","")))</f>
        <v/>
      </c>
      <c r="N39" s="214">
        <f>IF($AH39="","",IF(AND($E39&lt;&gt;"",$E39&lt;=EOMONTH(N$3,0),$F39&gt;=N$3),IF(AND($G39&lt;&gt;"",$G39&lt;=EOMONTH(N$3,0),$H39&gt;=N$3),"B","U"),IF(AND($G39&lt;&gt;"",$G39&lt;=EOMONTH(N$3,0),$H39&gt;=N$3),"D","")))</f>
        <v/>
      </c>
      <c r="O39" s="214">
        <f>IF($AH39="","",IF(AND($E39&lt;&gt;"",$E39&lt;=EOMONTH(O$3,0),$F39&gt;=O$3),IF(AND($G39&lt;&gt;"",$G39&lt;=EOMONTH(O$3,0),$H39&gt;=O$3),"B","U"),IF(AND($G39&lt;&gt;"",$G39&lt;=EOMONTH(O$3,0),$H39&gt;=O$3),"D","")))</f>
        <v/>
      </c>
      <c r="P39" s="214">
        <f>IF($AH39="","",IF(AND($E39&lt;&gt;"",$E39&lt;=EOMONTH(P$3,0),$F39&gt;=P$3),IF(AND($G39&lt;&gt;"",$G39&lt;=EOMONTH(P$3,0),$H39&gt;=P$3),"B","U"),IF(AND($G39&lt;&gt;"",$G39&lt;=EOMONTH(P$3,0),$H39&gt;=P$3),"D","")))</f>
        <v/>
      </c>
      <c r="Q39" s="214">
        <f>IF($AH39="","",IF(AND($E39&lt;&gt;"",$E39&lt;=EOMONTH(Q$3,0),$F39&gt;=Q$3),IF(AND($G39&lt;&gt;"",$G39&lt;=EOMONTH(Q$3,0),$H39&gt;=Q$3),"B","U"),IF(AND($G39&lt;&gt;"",$G39&lt;=EOMONTH(Q$3,0),$H39&gt;=Q$3),"D","")))</f>
        <v/>
      </c>
      <c r="R39" s="214">
        <f>IF($AH39="","",IF(AND($E39&lt;&gt;"",$E39&lt;=EOMONTH(R$3,0),$F39&gt;=R$3),IF(AND($G39&lt;&gt;"",$G39&lt;=EOMONTH(R$3,0),$H39&gt;=R$3),"B","U"),IF(AND($G39&lt;&gt;"",$G39&lt;=EOMONTH(R$3,0),$H39&gt;=R$3),"D","")))</f>
        <v/>
      </c>
      <c r="S39" s="214">
        <f>IF($AH39="","",IF(AND($E39&lt;&gt;"",$E39&lt;=EOMONTH(S$3,0),$F39&gt;=S$3),IF(AND($G39&lt;&gt;"",$G39&lt;=EOMONTH(S$3,0),$H39&gt;=S$3),"B","U"),IF(AND($G39&lt;&gt;"",$G39&lt;=EOMONTH(S$3,0),$H39&gt;=S$3),"D","")))</f>
        <v/>
      </c>
      <c r="T39" s="214">
        <f>IF($AH39="","",IF(AND($E39&lt;&gt;"",$E39&lt;=EOMONTH(T$3,0),$F39&gt;=T$3),IF(AND($G39&lt;&gt;"",$G39&lt;=EOMONTH(T$3,0),$H39&gt;=T$3),"B","U"),IF(AND($G39&lt;&gt;"",$G39&lt;=EOMONTH(T$3,0),$H39&gt;=T$3),"D","")))</f>
        <v/>
      </c>
      <c r="U39" s="214">
        <f>IF($AH39="","",IF(AND($E39&lt;&gt;"",$E39&lt;=EOMONTH(U$3,0),$F39&gt;=U$3),IF(AND($G39&lt;&gt;"",$G39&lt;=EOMONTH(U$3,0),$H39&gt;=U$3),"B","U"),IF(AND($G39&lt;&gt;"",$G39&lt;=EOMONTH(U$3,0),$H39&gt;=U$3),"D","")))</f>
        <v/>
      </c>
      <c r="V39" s="214">
        <f>IF($AH39="","",IF(AND($E39&lt;&gt;"",$E39&lt;=EOMONTH(V$3,0),$F39&gt;=V$3),IF(AND($G39&lt;&gt;"",$G39&lt;=EOMONTH(V$3,0),$H39&gt;=V$3),"B","U"),IF(AND($G39&lt;&gt;"",$G39&lt;=EOMONTH(V$3,0),$H39&gt;=V$3),"D","")))</f>
        <v/>
      </c>
      <c r="W39" s="214">
        <f>IF($AH39="","",IF(AND($E39&lt;&gt;"",$E39&lt;=EOMONTH(W$3,0),$F39&gt;=W$3),IF(AND($G39&lt;&gt;"",$G39&lt;=EOMONTH(W$3,0),$H39&gt;=W$3),"B","U"),IF(AND($G39&lt;&gt;"",$G39&lt;=EOMONTH(W$3,0),$H39&gt;=W$3),"D","")))</f>
        <v/>
      </c>
      <c r="X39" s="214">
        <f>IF($AH39="","",IF(AND($E39&lt;&gt;"",$E39&lt;=EOMONTH(X$3,0),$F39&gt;=X$3),IF(AND($G39&lt;&gt;"",$G39&lt;=EOMONTH(X$3,0),$H39&gt;=X$3),"B","U"),IF(AND($G39&lt;&gt;"",$G39&lt;=EOMONTH(X$3,0),$H39&gt;=X$3),"D","")))</f>
        <v/>
      </c>
      <c r="Y39" s="214">
        <f>IF($AH39="","",IF(AND($E39&lt;&gt;"",$E39&lt;=EOMONTH(Y$3,0),$F39&gt;=Y$3),IF(AND($G39&lt;&gt;"",$G39&lt;=EOMONTH(Y$3,0),$H39&gt;=Y$3),"B","U"),IF(AND($G39&lt;&gt;"",$G39&lt;=EOMONTH(Y$3,0),$H39&gt;=Y$3),"D","")))</f>
        <v/>
      </c>
      <c r="Z39" s="214">
        <f>IF($AH39="","",IF(AND($E39&lt;&gt;"",$E39&lt;=EOMONTH(Z$3,0),$F39&gt;=Z$3),IF(AND($G39&lt;&gt;"",$G39&lt;=EOMONTH(Z$3,0),$H39&gt;=Z$3),"B","U"),IF(AND($G39&lt;&gt;"",$G39&lt;=EOMONTH(Z$3,0),$H39&gt;=Z$3),"D","")))</f>
        <v/>
      </c>
      <c r="AA39" s="214">
        <f>IF($AH39="","",IF(AND($E39&lt;&gt;"",$E39&lt;=EOMONTH(AA$3,0),$F39&gt;=AA$3),IF(AND($G39&lt;&gt;"",$G39&lt;=EOMONTH(AA$3,0),$H39&gt;=AA$3),"B","U"),IF(AND($G39&lt;&gt;"",$G39&lt;=EOMONTH(AA$3,0),$H39&gt;=AA$3),"D","")))</f>
        <v/>
      </c>
      <c r="AB39" s="214">
        <f>IF($AH39="","",IF(AND($E39&lt;&gt;"",$E39&lt;=EOMONTH(AB$3,0),$F39&gt;=AB$3),IF(AND($G39&lt;&gt;"",$G39&lt;=EOMONTH(AB$3,0),$H39&gt;=AB$3),"B","U"),IF(AND($G39&lt;&gt;"",$G39&lt;=EOMONTH(AB$3,0),$H39&gt;=AB$3),"D","")))</f>
        <v/>
      </c>
      <c r="AC39" s="214">
        <f>IF($AH39="","",IF(AND($E39&lt;&gt;"",$E39&lt;=EOMONTH(AC$3,0),$F39&gt;=AC$3),IF(AND($G39&lt;&gt;"",$G39&lt;=EOMONTH(AC$3,0),$H39&gt;=AC$3),"B","U"),IF(AND($G39&lt;&gt;"",$G39&lt;=EOMONTH(AC$3,0),$H39&gt;=AC$3),"D","")))</f>
        <v/>
      </c>
      <c r="AD39" s="214">
        <f>IF($AH39="","",IF(AND($E39&lt;&gt;"",$E39&lt;=EOMONTH(AD$3,0),$F39&gt;=AD$3),IF(AND($G39&lt;&gt;"",$G39&lt;=EOMONTH(AD$3,0),$H39&gt;=AD$3),"B","U"),IF(AND($G39&lt;&gt;"",$G39&lt;=EOMONTH(AD$3,0),$H39&gt;=AD$3),"D","")))</f>
        <v/>
      </c>
      <c r="AE39" s="214">
        <f>IF($AH39="","",IF(AND($E39&lt;&gt;"",$E39&lt;=EOMONTH(AE$3,0),$F39&gt;=AE$3),IF(AND($G39&lt;&gt;"",$G39&lt;=EOMONTH(AE$3,0),$H39&gt;=AE$3),"B","U"),IF(AND($G39&lt;&gt;"",$G39&lt;=EOMONTH(AE$3,0),$H39&gt;=AE$3),"D","")))</f>
        <v/>
      </c>
      <c r="AF39" s="214">
        <f>IF($AH39="","",IF(AND($E39&lt;&gt;"",$E39&lt;=EOMONTH(AF$3,0),$F39&gt;=AF$3),IF(AND($G39&lt;&gt;"",$G39&lt;=EOMONTH(AF$3,0),$H39&gt;=AF$3),"B","U"),IF(AND($G39&lt;&gt;"",$G39&lt;=EOMONTH(AF$3,0),$H39&gt;=AF$3),"D","")))</f>
        <v/>
      </c>
      <c r="AG39">
        <f>IF($AH39="","",INDEX('Roadmap Calc (Don’t Touch)'!$D$2:$D$205,$AH39))</f>
        <v/>
      </c>
      <c r="AH39">
        <f>IFERROR(MATCH(33,'Roadmap Calc (Don’t Touch)'!$O$2:$O$205,0),"")</f>
        <v/>
      </c>
    </row>
    <row r="40" ht="17" customHeight="1">
      <c r="A40" s="209">
        <f>IF($AH40="","",IF($AG40=$AG39,"",$AG40))</f>
        <v/>
      </c>
      <c r="B40" s="210">
        <f>IF($AH40="","",INDEX('Roadmap Calc (Don’t Touch)'!$B$2:$B$205,$AH40))</f>
        <v/>
      </c>
      <c r="C40" s="211">
        <f>IF($AH40="","",INDEX('Roadmap Calc (Don’t Touch)'!$E$2:$E$205,$AH40))</f>
        <v/>
      </c>
      <c r="D40" s="212">
        <f>IF($AH40="","",INDEX('Roadmap Calc (Don’t Touch)'!$F$2:$F$205,$AH40))</f>
        <v/>
      </c>
      <c r="E40" s="213">
        <f>IF($AH40="","",INDEX('Roadmap Calc (Don’t Touch)'!$G$2:$G$205,$AH40))</f>
        <v/>
      </c>
      <c r="F40" s="213">
        <f>IF($AH40="","",INDEX('Roadmap Calc (Don’t Touch)'!$H$2:$H$205,$AH40))</f>
        <v/>
      </c>
      <c r="G40" s="213">
        <f>IF($AH40="","",INDEX('Roadmap Calc (Don’t Touch)'!$I$2:$I$205,$AH40))</f>
        <v/>
      </c>
      <c r="H40" s="213">
        <f>IF($AH40="","",INDEX('Roadmap Calc (Don’t Touch)'!$J$2:$J$205,$AH40))</f>
        <v/>
      </c>
      <c r="I40" s="214">
        <f>IF($AH40="","",IF(AND($E40&lt;&gt;"",$E40&lt;=EOMONTH(I$3,0),$F40&gt;=I$3),IF(AND($G40&lt;&gt;"",$G40&lt;=EOMONTH(I$3,0),$H40&gt;=I$3),"B","U"),IF(AND($G40&lt;&gt;"",$G40&lt;=EOMONTH(I$3,0),$H40&gt;=I$3),"D","")))</f>
        <v/>
      </c>
      <c r="J40" s="214">
        <f>IF($AH40="","",IF(AND($E40&lt;&gt;"",$E40&lt;=EOMONTH(J$3,0),$F40&gt;=J$3),IF(AND($G40&lt;&gt;"",$G40&lt;=EOMONTH(J$3,0),$H40&gt;=J$3),"B","U"),IF(AND($G40&lt;&gt;"",$G40&lt;=EOMONTH(J$3,0),$H40&gt;=J$3),"D","")))</f>
        <v/>
      </c>
      <c r="K40" s="214">
        <f>IF($AH40="","",IF(AND($E40&lt;&gt;"",$E40&lt;=EOMONTH(K$3,0),$F40&gt;=K$3),IF(AND($G40&lt;&gt;"",$G40&lt;=EOMONTH(K$3,0),$H40&gt;=K$3),"B","U"),IF(AND($G40&lt;&gt;"",$G40&lt;=EOMONTH(K$3,0),$H40&gt;=K$3),"D","")))</f>
        <v/>
      </c>
      <c r="L40" s="214">
        <f>IF($AH40="","",IF(AND($E40&lt;&gt;"",$E40&lt;=EOMONTH(L$3,0),$F40&gt;=L$3),IF(AND($G40&lt;&gt;"",$G40&lt;=EOMONTH(L$3,0),$H40&gt;=L$3),"B","U"),IF(AND($G40&lt;&gt;"",$G40&lt;=EOMONTH(L$3,0),$H40&gt;=L$3),"D","")))</f>
        <v/>
      </c>
      <c r="M40" s="214">
        <f>IF($AH40="","",IF(AND($E40&lt;&gt;"",$E40&lt;=EOMONTH(M$3,0),$F40&gt;=M$3),IF(AND($G40&lt;&gt;"",$G40&lt;=EOMONTH(M$3,0),$H40&gt;=M$3),"B","U"),IF(AND($G40&lt;&gt;"",$G40&lt;=EOMONTH(M$3,0),$H40&gt;=M$3),"D","")))</f>
        <v/>
      </c>
      <c r="N40" s="214">
        <f>IF($AH40="","",IF(AND($E40&lt;&gt;"",$E40&lt;=EOMONTH(N$3,0),$F40&gt;=N$3),IF(AND($G40&lt;&gt;"",$G40&lt;=EOMONTH(N$3,0),$H40&gt;=N$3),"B","U"),IF(AND($G40&lt;&gt;"",$G40&lt;=EOMONTH(N$3,0),$H40&gt;=N$3),"D","")))</f>
        <v/>
      </c>
      <c r="O40" s="214">
        <f>IF($AH40="","",IF(AND($E40&lt;&gt;"",$E40&lt;=EOMONTH(O$3,0),$F40&gt;=O$3),IF(AND($G40&lt;&gt;"",$G40&lt;=EOMONTH(O$3,0),$H40&gt;=O$3),"B","U"),IF(AND($G40&lt;&gt;"",$G40&lt;=EOMONTH(O$3,0),$H40&gt;=O$3),"D","")))</f>
        <v/>
      </c>
      <c r="P40" s="214">
        <f>IF($AH40="","",IF(AND($E40&lt;&gt;"",$E40&lt;=EOMONTH(P$3,0),$F40&gt;=P$3),IF(AND($G40&lt;&gt;"",$G40&lt;=EOMONTH(P$3,0),$H40&gt;=P$3),"B","U"),IF(AND($G40&lt;&gt;"",$G40&lt;=EOMONTH(P$3,0),$H40&gt;=P$3),"D","")))</f>
        <v/>
      </c>
      <c r="Q40" s="214">
        <f>IF($AH40="","",IF(AND($E40&lt;&gt;"",$E40&lt;=EOMONTH(Q$3,0),$F40&gt;=Q$3),IF(AND($G40&lt;&gt;"",$G40&lt;=EOMONTH(Q$3,0),$H40&gt;=Q$3),"B","U"),IF(AND($G40&lt;&gt;"",$G40&lt;=EOMONTH(Q$3,0),$H40&gt;=Q$3),"D","")))</f>
        <v/>
      </c>
      <c r="R40" s="214">
        <f>IF($AH40="","",IF(AND($E40&lt;&gt;"",$E40&lt;=EOMONTH(R$3,0),$F40&gt;=R$3),IF(AND($G40&lt;&gt;"",$G40&lt;=EOMONTH(R$3,0),$H40&gt;=R$3),"B","U"),IF(AND($G40&lt;&gt;"",$G40&lt;=EOMONTH(R$3,0),$H40&gt;=R$3),"D","")))</f>
        <v/>
      </c>
      <c r="S40" s="214">
        <f>IF($AH40="","",IF(AND($E40&lt;&gt;"",$E40&lt;=EOMONTH(S$3,0),$F40&gt;=S$3),IF(AND($G40&lt;&gt;"",$G40&lt;=EOMONTH(S$3,0),$H40&gt;=S$3),"B","U"),IF(AND($G40&lt;&gt;"",$G40&lt;=EOMONTH(S$3,0),$H40&gt;=S$3),"D","")))</f>
        <v/>
      </c>
      <c r="T40" s="214">
        <f>IF($AH40="","",IF(AND($E40&lt;&gt;"",$E40&lt;=EOMONTH(T$3,0),$F40&gt;=T$3),IF(AND($G40&lt;&gt;"",$G40&lt;=EOMONTH(T$3,0),$H40&gt;=T$3),"B","U"),IF(AND($G40&lt;&gt;"",$G40&lt;=EOMONTH(T$3,0),$H40&gt;=T$3),"D","")))</f>
        <v/>
      </c>
      <c r="U40" s="214">
        <f>IF($AH40="","",IF(AND($E40&lt;&gt;"",$E40&lt;=EOMONTH(U$3,0),$F40&gt;=U$3),IF(AND($G40&lt;&gt;"",$G40&lt;=EOMONTH(U$3,0),$H40&gt;=U$3),"B","U"),IF(AND($G40&lt;&gt;"",$G40&lt;=EOMONTH(U$3,0),$H40&gt;=U$3),"D","")))</f>
        <v/>
      </c>
      <c r="V40" s="214">
        <f>IF($AH40="","",IF(AND($E40&lt;&gt;"",$E40&lt;=EOMONTH(V$3,0),$F40&gt;=V$3),IF(AND($G40&lt;&gt;"",$G40&lt;=EOMONTH(V$3,0),$H40&gt;=V$3),"B","U"),IF(AND($G40&lt;&gt;"",$G40&lt;=EOMONTH(V$3,0),$H40&gt;=V$3),"D","")))</f>
        <v/>
      </c>
      <c r="W40" s="214">
        <f>IF($AH40="","",IF(AND($E40&lt;&gt;"",$E40&lt;=EOMONTH(W$3,0),$F40&gt;=W$3),IF(AND($G40&lt;&gt;"",$G40&lt;=EOMONTH(W$3,0),$H40&gt;=W$3),"B","U"),IF(AND($G40&lt;&gt;"",$G40&lt;=EOMONTH(W$3,0),$H40&gt;=W$3),"D","")))</f>
        <v/>
      </c>
      <c r="X40" s="214">
        <f>IF($AH40="","",IF(AND($E40&lt;&gt;"",$E40&lt;=EOMONTH(X$3,0),$F40&gt;=X$3),IF(AND($G40&lt;&gt;"",$G40&lt;=EOMONTH(X$3,0),$H40&gt;=X$3),"B","U"),IF(AND($G40&lt;&gt;"",$G40&lt;=EOMONTH(X$3,0),$H40&gt;=X$3),"D","")))</f>
        <v/>
      </c>
      <c r="Y40" s="214">
        <f>IF($AH40="","",IF(AND($E40&lt;&gt;"",$E40&lt;=EOMONTH(Y$3,0),$F40&gt;=Y$3),IF(AND($G40&lt;&gt;"",$G40&lt;=EOMONTH(Y$3,0),$H40&gt;=Y$3),"B","U"),IF(AND($G40&lt;&gt;"",$G40&lt;=EOMONTH(Y$3,0),$H40&gt;=Y$3),"D","")))</f>
        <v/>
      </c>
      <c r="Z40" s="214">
        <f>IF($AH40="","",IF(AND($E40&lt;&gt;"",$E40&lt;=EOMONTH(Z$3,0),$F40&gt;=Z$3),IF(AND($G40&lt;&gt;"",$G40&lt;=EOMONTH(Z$3,0),$H40&gt;=Z$3),"B","U"),IF(AND($G40&lt;&gt;"",$G40&lt;=EOMONTH(Z$3,0),$H40&gt;=Z$3),"D","")))</f>
        <v/>
      </c>
      <c r="AA40" s="214">
        <f>IF($AH40="","",IF(AND($E40&lt;&gt;"",$E40&lt;=EOMONTH(AA$3,0),$F40&gt;=AA$3),IF(AND($G40&lt;&gt;"",$G40&lt;=EOMONTH(AA$3,0),$H40&gt;=AA$3),"B","U"),IF(AND($G40&lt;&gt;"",$G40&lt;=EOMONTH(AA$3,0),$H40&gt;=AA$3),"D","")))</f>
        <v/>
      </c>
      <c r="AB40" s="214">
        <f>IF($AH40="","",IF(AND($E40&lt;&gt;"",$E40&lt;=EOMONTH(AB$3,0),$F40&gt;=AB$3),IF(AND($G40&lt;&gt;"",$G40&lt;=EOMONTH(AB$3,0),$H40&gt;=AB$3),"B","U"),IF(AND($G40&lt;&gt;"",$G40&lt;=EOMONTH(AB$3,0),$H40&gt;=AB$3),"D","")))</f>
        <v/>
      </c>
      <c r="AC40" s="214">
        <f>IF($AH40="","",IF(AND($E40&lt;&gt;"",$E40&lt;=EOMONTH(AC$3,0),$F40&gt;=AC$3),IF(AND($G40&lt;&gt;"",$G40&lt;=EOMONTH(AC$3,0),$H40&gt;=AC$3),"B","U"),IF(AND($G40&lt;&gt;"",$G40&lt;=EOMONTH(AC$3,0),$H40&gt;=AC$3),"D","")))</f>
        <v/>
      </c>
      <c r="AD40" s="214">
        <f>IF($AH40="","",IF(AND($E40&lt;&gt;"",$E40&lt;=EOMONTH(AD$3,0),$F40&gt;=AD$3),IF(AND($G40&lt;&gt;"",$G40&lt;=EOMONTH(AD$3,0),$H40&gt;=AD$3),"B","U"),IF(AND($G40&lt;&gt;"",$G40&lt;=EOMONTH(AD$3,0),$H40&gt;=AD$3),"D","")))</f>
        <v/>
      </c>
      <c r="AE40" s="214">
        <f>IF($AH40="","",IF(AND($E40&lt;&gt;"",$E40&lt;=EOMONTH(AE$3,0),$F40&gt;=AE$3),IF(AND($G40&lt;&gt;"",$G40&lt;=EOMONTH(AE$3,0),$H40&gt;=AE$3),"B","U"),IF(AND($G40&lt;&gt;"",$G40&lt;=EOMONTH(AE$3,0),$H40&gt;=AE$3),"D","")))</f>
        <v/>
      </c>
      <c r="AF40" s="214">
        <f>IF($AH40="","",IF(AND($E40&lt;&gt;"",$E40&lt;=EOMONTH(AF$3,0),$F40&gt;=AF$3),IF(AND($G40&lt;&gt;"",$G40&lt;=EOMONTH(AF$3,0),$H40&gt;=AF$3),"B","U"),IF(AND($G40&lt;&gt;"",$G40&lt;=EOMONTH(AF$3,0),$H40&gt;=AF$3),"D","")))</f>
        <v/>
      </c>
      <c r="AG40">
        <f>IF($AH40="","",INDEX('Roadmap Calc (Don’t Touch)'!$D$2:$D$205,$AH40))</f>
        <v/>
      </c>
      <c r="AH40">
        <f>IFERROR(MATCH(34,'Roadmap Calc (Don’t Touch)'!$O$2:$O$205,0),"")</f>
        <v/>
      </c>
    </row>
    <row r="41" ht="17" customHeight="1">
      <c r="A41" s="209">
        <f>IF($AH41="","",IF($AG41=$AG40,"",$AG41))</f>
        <v/>
      </c>
      <c r="B41" s="210">
        <f>IF($AH41="","",INDEX('Roadmap Calc (Don’t Touch)'!$B$2:$B$205,$AH41))</f>
        <v/>
      </c>
      <c r="C41" s="211">
        <f>IF($AH41="","",INDEX('Roadmap Calc (Don’t Touch)'!$E$2:$E$205,$AH41))</f>
        <v/>
      </c>
      <c r="D41" s="212">
        <f>IF($AH41="","",INDEX('Roadmap Calc (Don’t Touch)'!$F$2:$F$205,$AH41))</f>
        <v/>
      </c>
      <c r="E41" s="213">
        <f>IF($AH41="","",INDEX('Roadmap Calc (Don’t Touch)'!$G$2:$G$205,$AH41))</f>
        <v/>
      </c>
      <c r="F41" s="213">
        <f>IF($AH41="","",INDEX('Roadmap Calc (Don’t Touch)'!$H$2:$H$205,$AH41))</f>
        <v/>
      </c>
      <c r="G41" s="213">
        <f>IF($AH41="","",INDEX('Roadmap Calc (Don’t Touch)'!$I$2:$I$205,$AH41))</f>
        <v/>
      </c>
      <c r="H41" s="213">
        <f>IF($AH41="","",INDEX('Roadmap Calc (Don’t Touch)'!$J$2:$J$205,$AH41))</f>
        <v/>
      </c>
      <c r="I41" s="214">
        <f>IF($AH41="","",IF(AND($E41&lt;&gt;"",$E41&lt;=EOMONTH(I$3,0),$F41&gt;=I$3),IF(AND($G41&lt;&gt;"",$G41&lt;=EOMONTH(I$3,0),$H41&gt;=I$3),"B","U"),IF(AND($G41&lt;&gt;"",$G41&lt;=EOMONTH(I$3,0),$H41&gt;=I$3),"D","")))</f>
        <v/>
      </c>
      <c r="J41" s="214">
        <f>IF($AH41="","",IF(AND($E41&lt;&gt;"",$E41&lt;=EOMONTH(J$3,0),$F41&gt;=J$3),IF(AND($G41&lt;&gt;"",$G41&lt;=EOMONTH(J$3,0),$H41&gt;=J$3),"B","U"),IF(AND($G41&lt;&gt;"",$G41&lt;=EOMONTH(J$3,0),$H41&gt;=J$3),"D","")))</f>
        <v/>
      </c>
      <c r="K41" s="214">
        <f>IF($AH41="","",IF(AND($E41&lt;&gt;"",$E41&lt;=EOMONTH(K$3,0),$F41&gt;=K$3),IF(AND($G41&lt;&gt;"",$G41&lt;=EOMONTH(K$3,0),$H41&gt;=K$3),"B","U"),IF(AND($G41&lt;&gt;"",$G41&lt;=EOMONTH(K$3,0),$H41&gt;=K$3),"D","")))</f>
        <v/>
      </c>
      <c r="L41" s="214">
        <f>IF($AH41="","",IF(AND($E41&lt;&gt;"",$E41&lt;=EOMONTH(L$3,0),$F41&gt;=L$3),IF(AND($G41&lt;&gt;"",$G41&lt;=EOMONTH(L$3,0),$H41&gt;=L$3),"B","U"),IF(AND($G41&lt;&gt;"",$G41&lt;=EOMONTH(L$3,0),$H41&gt;=L$3),"D","")))</f>
        <v/>
      </c>
      <c r="M41" s="214">
        <f>IF($AH41="","",IF(AND($E41&lt;&gt;"",$E41&lt;=EOMONTH(M$3,0),$F41&gt;=M$3),IF(AND($G41&lt;&gt;"",$G41&lt;=EOMONTH(M$3,0),$H41&gt;=M$3),"B","U"),IF(AND($G41&lt;&gt;"",$G41&lt;=EOMONTH(M$3,0),$H41&gt;=M$3),"D","")))</f>
        <v/>
      </c>
      <c r="N41" s="214">
        <f>IF($AH41="","",IF(AND($E41&lt;&gt;"",$E41&lt;=EOMONTH(N$3,0),$F41&gt;=N$3),IF(AND($G41&lt;&gt;"",$G41&lt;=EOMONTH(N$3,0),$H41&gt;=N$3),"B","U"),IF(AND($G41&lt;&gt;"",$G41&lt;=EOMONTH(N$3,0),$H41&gt;=N$3),"D","")))</f>
        <v/>
      </c>
      <c r="O41" s="214">
        <f>IF($AH41="","",IF(AND($E41&lt;&gt;"",$E41&lt;=EOMONTH(O$3,0),$F41&gt;=O$3),IF(AND($G41&lt;&gt;"",$G41&lt;=EOMONTH(O$3,0),$H41&gt;=O$3),"B","U"),IF(AND($G41&lt;&gt;"",$G41&lt;=EOMONTH(O$3,0),$H41&gt;=O$3),"D","")))</f>
        <v/>
      </c>
      <c r="P41" s="214">
        <f>IF($AH41="","",IF(AND($E41&lt;&gt;"",$E41&lt;=EOMONTH(P$3,0),$F41&gt;=P$3),IF(AND($G41&lt;&gt;"",$G41&lt;=EOMONTH(P$3,0),$H41&gt;=P$3),"B","U"),IF(AND($G41&lt;&gt;"",$G41&lt;=EOMONTH(P$3,0),$H41&gt;=P$3),"D","")))</f>
        <v/>
      </c>
      <c r="Q41" s="214">
        <f>IF($AH41="","",IF(AND($E41&lt;&gt;"",$E41&lt;=EOMONTH(Q$3,0),$F41&gt;=Q$3),IF(AND($G41&lt;&gt;"",$G41&lt;=EOMONTH(Q$3,0),$H41&gt;=Q$3),"B","U"),IF(AND($G41&lt;&gt;"",$G41&lt;=EOMONTH(Q$3,0),$H41&gt;=Q$3),"D","")))</f>
        <v/>
      </c>
      <c r="R41" s="214">
        <f>IF($AH41="","",IF(AND($E41&lt;&gt;"",$E41&lt;=EOMONTH(R$3,0),$F41&gt;=R$3),IF(AND($G41&lt;&gt;"",$G41&lt;=EOMONTH(R$3,0),$H41&gt;=R$3),"B","U"),IF(AND($G41&lt;&gt;"",$G41&lt;=EOMONTH(R$3,0),$H41&gt;=R$3),"D","")))</f>
        <v/>
      </c>
      <c r="S41" s="214">
        <f>IF($AH41="","",IF(AND($E41&lt;&gt;"",$E41&lt;=EOMONTH(S$3,0),$F41&gt;=S$3),IF(AND($G41&lt;&gt;"",$G41&lt;=EOMONTH(S$3,0),$H41&gt;=S$3),"B","U"),IF(AND($G41&lt;&gt;"",$G41&lt;=EOMONTH(S$3,0),$H41&gt;=S$3),"D","")))</f>
        <v/>
      </c>
      <c r="T41" s="214">
        <f>IF($AH41="","",IF(AND($E41&lt;&gt;"",$E41&lt;=EOMONTH(T$3,0),$F41&gt;=T$3),IF(AND($G41&lt;&gt;"",$G41&lt;=EOMONTH(T$3,0),$H41&gt;=T$3),"B","U"),IF(AND($G41&lt;&gt;"",$G41&lt;=EOMONTH(T$3,0),$H41&gt;=T$3),"D","")))</f>
        <v/>
      </c>
      <c r="U41" s="214">
        <f>IF($AH41="","",IF(AND($E41&lt;&gt;"",$E41&lt;=EOMONTH(U$3,0),$F41&gt;=U$3),IF(AND($G41&lt;&gt;"",$G41&lt;=EOMONTH(U$3,0),$H41&gt;=U$3),"B","U"),IF(AND($G41&lt;&gt;"",$G41&lt;=EOMONTH(U$3,0),$H41&gt;=U$3),"D","")))</f>
        <v/>
      </c>
      <c r="V41" s="214">
        <f>IF($AH41="","",IF(AND($E41&lt;&gt;"",$E41&lt;=EOMONTH(V$3,0),$F41&gt;=V$3),IF(AND($G41&lt;&gt;"",$G41&lt;=EOMONTH(V$3,0),$H41&gt;=V$3),"B","U"),IF(AND($G41&lt;&gt;"",$G41&lt;=EOMONTH(V$3,0),$H41&gt;=V$3),"D","")))</f>
        <v/>
      </c>
      <c r="W41" s="214">
        <f>IF($AH41="","",IF(AND($E41&lt;&gt;"",$E41&lt;=EOMONTH(W$3,0),$F41&gt;=W$3),IF(AND($G41&lt;&gt;"",$G41&lt;=EOMONTH(W$3,0),$H41&gt;=W$3),"B","U"),IF(AND($G41&lt;&gt;"",$G41&lt;=EOMONTH(W$3,0),$H41&gt;=W$3),"D","")))</f>
        <v/>
      </c>
      <c r="X41" s="214">
        <f>IF($AH41="","",IF(AND($E41&lt;&gt;"",$E41&lt;=EOMONTH(X$3,0),$F41&gt;=X$3),IF(AND($G41&lt;&gt;"",$G41&lt;=EOMONTH(X$3,0),$H41&gt;=X$3),"B","U"),IF(AND($G41&lt;&gt;"",$G41&lt;=EOMONTH(X$3,0),$H41&gt;=X$3),"D","")))</f>
        <v/>
      </c>
      <c r="Y41" s="214">
        <f>IF($AH41="","",IF(AND($E41&lt;&gt;"",$E41&lt;=EOMONTH(Y$3,0),$F41&gt;=Y$3),IF(AND($G41&lt;&gt;"",$G41&lt;=EOMONTH(Y$3,0),$H41&gt;=Y$3),"B","U"),IF(AND($G41&lt;&gt;"",$G41&lt;=EOMONTH(Y$3,0),$H41&gt;=Y$3),"D","")))</f>
        <v/>
      </c>
      <c r="Z41" s="214">
        <f>IF($AH41="","",IF(AND($E41&lt;&gt;"",$E41&lt;=EOMONTH(Z$3,0),$F41&gt;=Z$3),IF(AND($G41&lt;&gt;"",$G41&lt;=EOMONTH(Z$3,0),$H41&gt;=Z$3),"B","U"),IF(AND($G41&lt;&gt;"",$G41&lt;=EOMONTH(Z$3,0),$H41&gt;=Z$3),"D","")))</f>
        <v/>
      </c>
      <c r="AA41" s="214">
        <f>IF($AH41="","",IF(AND($E41&lt;&gt;"",$E41&lt;=EOMONTH(AA$3,0),$F41&gt;=AA$3),IF(AND($G41&lt;&gt;"",$G41&lt;=EOMONTH(AA$3,0),$H41&gt;=AA$3),"B","U"),IF(AND($G41&lt;&gt;"",$G41&lt;=EOMONTH(AA$3,0),$H41&gt;=AA$3),"D","")))</f>
        <v/>
      </c>
      <c r="AB41" s="214">
        <f>IF($AH41="","",IF(AND($E41&lt;&gt;"",$E41&lt;=EOMONTH(AB$3,0),$F41&gt;=AB$3),IF(AND($G41&lt;&gt;"",$G41&lt;=EOMONTH(AB$3,0),$H41&gt;=AB$3),"B","U"),IF(AND($G41&lt;&gt;"",$G41&lt;=EOMONTH(AB$3,0),$H41&gt;=AB$3),"D","")))</f>
        <v/>
      </c>
      <c r="AC41" s="214">
        <f>IF($AH41="","",IF(AND($E41&lt;&gt;"",$E41&lt;=EOMONTH(AC$3,0),$F41&gt;=AC$3),IF(AND($G41&lt;&gt;"",$G41&lt;=EOMONTH(AC$3,0),$H41&gt;=AC$3),"B","U"),IF(AND($G41&lt;&gt;"",$G41&lt;=EOMONTH(AC$3,0),$H41&gt;=AC$3),"D","")))</f>
        <v/>
      </c>
      <c r="AD41" s="214">
        <f>IF($AH41="","",IF(AND($E41&lt;&gt;"",$E41&lt;=EOMONTH(AD$3,0),$F41&gt;=AD$3),IF(AND($G41&lt;&gt;"",$G41&lt;=EOMONTH(AD$3,0),$H41&gt;=AD$3),"B","U"),IF(AND($G41&lt;&gt;"",$G41&lt;=EOMONTH(AD$3,0),$H41&gt;=AD$3),"D","")))</f>
        <v/>
      </c>
      <c r="AE41" s="214">
        <f>IF($AH41="","",IF(AND($E41&lt;&gt;"",$E41&lt;=EOMONTH(AE$3,0),$F41&gt;=AE$3),IF(AND($G41&lt;&gt;"",$G41&lt;=EOMONTH(AE$3,0),$H41&gt;=AE$3),"B","U"),IF(AND($G41&lt;&gt;"",$G41&lt;=EOMONTH(AE$3,0),$H41&gt;=AE$3),"D","")))</f>
        <v/>
      </c>
      <c r="AF41" s="214">
        <f>IF($AH41="","",IF(AND($E41&lt;&gt;"",$E41&lt;=EOMONTH(AF$3,0),$F41&gt;=AF$3),IF(AND($G41&lt;&gt;"",$G41&lt;=EOMONTH(AF$3,0),$H41&gt;=AF$3),"B","U"),IF(AND($G41&lt;&gt;"",$G41&lt;=EOMONTH(AF$3,0),$H41&gt;=AF$3),"D","")))</f>
        <v/>
      </c>
      <c r="AG41">
        <f>IF($AH41="","",INDEX('Roadmap Calc (Don’t Touch)'!$D$2:$D$205,$AH41))</f>
        <v/>
      </c>
      <c r="AH41">
        <f>IFERROR(MATCH(35,'Roadmap Calc (Don’t Touch)'!$O$2:$O$205,0),"")</f>
        <v/>
      </c>
    </row>
    <row r="42" ht="17" customHeight="1">
      <c r="A42" s="209">
        <f>IF($AH42="","",IF($AG42=$AG41,"",$AG42))</f>
        <v/>
      </c>
      <c r="B42" s="210">
        <f>IF($AH42="","",INDEX('Roadmap Calc (Don’t Touch)'!$B$2:$B$205,$AH42))</f>
        <v/>
      </c>
      <c r="C42" s="211">
        <f>IF($AH42="","",INDEX('Roadmap Calc (Don’t Touch)'!$E$2:$E$205,$AH42))</f>
        <v/>
      </c>
      <c r="D42" s="212">
        <f>IF($AH42="","",INDEX('Roadmap Calc (Don’t Touch)'!$F$2:$F$205,$AH42))</f>
        <v/>
      </c>
      <c r="E42" s="213">
        <f>IF($AH42="","",INDEX('Roadmap Calc (Don’t Touch)'!$G$2:$G$205,$AH42))</f>
        <v/>
      </c>
      <c r="F42" s="213">
        <f>IF($AH42="","",INDEX('Roadmap Calc (Don’t Touch)'!$H$2:$H$205,$AH42))</f>
        <v/>
      </c>
      <c r="G42" s="213">
        <f>IF($AH42="","",INDEX('Roadmap Calc (Don’t Touch)'!$I$2:$I$205,$AH42))</f>
        <v/>
      </c>
      <c r="H42" s="213">
        <f>IF($AH42="","",INDEX('Roadmap Calc (Don’t Touch)'!$J$2:$J$205,$AH42))</f>
        <v/>
      </c>
      <c r="I42" s="214">
        <f>IF($AH42="","",IF(AND($E42&lt;&gt;"",$E42&lt;=EOMONTH(I$3,0),$F42&gt;=I$3),IF(AND($G42&lt;&gt;"",$G42&lt;=EOMONTH(I$3,0),$H42&gt;=I$3),"B","U"),IF(AND($G42&lt;&gt;"",$G42&lt;=EOMONTH(I$3,0),$H42&gt;=I$3),"D","")))</f>
        <v/>
      </c>
      <c r="J42" s="214">
        <f>IF($AH42="","",IF(AND($E42&lt;&gt;"",$E42&lt;=EOMONTH(J$3,0),$F42&gt;=J$3),IF(AND($G42&lt;&gt;"",$G42&lt;=EOMONTH(J$3,0),$H42&gt;=J$3),"B","U"),IF(AND($G42&lt;&gt;"",$G42&lt;=EOMONTH(J$3,0),$H42&gt;=J$3),"D","")))</f>
        <v/>
      </c>
      <c r="K42" s="214">
        <f>IF($AH42="","",IF(AND($E42&lt;&gt;"",$E42&lt;=EOMONTH(K$3,0),$F42&gt;=K$3),IF(AND($G42&lt;&gt;"",$G42&lt;=EOMONTH(K$3,0),$H42&gt;=K$3),"B","U"),IF(AND($G42&lt;&gt;"",$G42&lt;=EOMONTH(K$3,0),$H42&gt;=K$3),"D","")))</f>
        <v/>
      </c>
      <c r="L42" s="214">
        <f>IF($AH42="","",IF(AND($E42&lt;&gt;"",$E42&lt;=EOMONTH(L$3,0),$F42&gt;=L$3),IF(AND($G42&lt;&gt;"",$G42&lt;=EOMONTH(L$3,0),$H42&gt;=L$3),"B","U"),IF(AND($G42&lt;&gt;"",$G42&lt;=EOMONTH(L$3,0),$H42&gt;=L$3),"D","")))</f>
        <v/>
      </c>
      <c r="M42" s="214">
        <f>IF($AH42="","",IF(AND($E42&lt;&gt;"",$E42&lt;=EOMONTH(M$3,0),$F42&gt;=M$3),IF(AND($G42&lt;&gt;"",$G42&lt;=EOMONTH(M$3,0),$H42&gt;=M$3),"B","U"),IF(AND($G42&lt;&gt;"",$G42&lt;=EOMONTH(M$3,0),$H42&gt;=M$3),"D","")))</f>
        <v/>
      </c>
      <c r="N42" s="214">
        <f>IF($AH42="","",IF(AND($E42&lt;&gt;"",$E42&lt;=EOMONTH(N$3,0),$F42&gt;=N$3),IF(AND($G42&lt;&gt;"",$G42&lt;=EOMONTH(N$3,0),$H42&gt;=N$3),"B","U"),IF(AND($G42&lt;&gt;"",$G42&lt;=EOMONTH(N$3,0),$H42&gt;=N$3),"D","")))</f>
        <v/>
      </c>
      <c r="O42" s="214">
        <f>IF($AH42="","",IF(AND($E42&lt;&gt;"",$E42&lt;=EOMONTH(O$3,0),$F42&gt;=O$3),IF(AND($G42&lt;&gt;"",$G42&lt;=EOMONTH(O$3,0),$H42&gt;=O$3),"B","U"),IF(AND($G42&lt;&gt;"",$G42&lt;=EOMONTH(O$3,0),$H42&gt;=O$3),"D","")))</f>
        <v/>
      </c>
      <c r="P42" s="214">
        <f>IF($AH42="","",IF(AND($E42&lt;&gt;"",$E42&lt;=EOMONTH(P$3,0),$F42&gt;=P$3),IF(AND($G42&lt;&gt;"",$G42&lt;=EOMONTH(P$3,0),$H42&gt;=P$3),"B","U"),IF(AND($G42&lt;&gt;"",$G42&lt;=EOMONTH(P$3,0),$H42&gt;=P$3),"D","")))</f>
        <v/>
      </c>
      <c r="Q42" s="214">
        <f>IF($AH42="","",IF(AND($E42&lt;&gt;"",$E42&lt;=EOMONTH(Q$3,0),$F42&gt;=Q$3),IF(AND($G42&lt;&gt;"",$G42&lt;=EOMONTH(Q$3,0),$H42&gt;=Q$3),"B","U"),IF(AND($G42&lt;&gt;"",$G42&lt;=EOMONTH(Q$3,0),$H42&gt;=Q$3),"D","")))</f>
        <v/>
      </c>
      <c r="R42" s="214">
        <f>IF($AH42="","",IF(AND($E42&lt;&gt;"",$E42&lt;=EOMONTH(R$3,0),$F42&gt;=R$3),IF(AND($G42&lt;&gt;"",$G42&lt;=EOMONTH(R$3,0),$H42&gt;=R$3),"B","U"),IF(AND($G42&lt;&gt;"",$G42&lt;=EOMONTH(R$3,0),$H42&gt;=R$3),"D","")))</f>
        <v/>
      </c>
      <c r="S42" s="214">
        <f>IF($AH42="","",IF(AND($E42&lt;&gt;"",$E42&lt;=EOMONTH(S$3,0),$F42&gt;=S$3),IF(AND($G42&lt;&gt;"",$G42&lt;=EOMONTH(S$3,0),$H42&gt;=S$3),"B","U"),IF(AND($G42&lt;&gt;"",$G42&lt;=EOMONTH(S$3,0),$H42&gt;=S$3),"D","")))</f>
        <v/>
      </c>
      <c r="T42" s="214">
        <f>IF($AH42="","",IF(AND($E42&lt;&gt;"",$E42&lt;=EOMONTH(T$3,0),$F42&gt;=T$3),IF(AND($G42&lt;&gt;"",$G42&lt;=EOMONTH(T$3,0),$H42&gt;=T$3),"B","U"),IF(AND($G42&lt;&gt;"",$G42&lt;=EOMONTH(T$3,0),$H42&gt;=T$3),"D","")))</f>
        <v/>
      </c>
      <c r="U42" s="214">
        <f>IF($AH42="","",IF(AND($E42&lt;&gt;"",$E42&lt;=EOMONTH(U$3,0),$F42&gt;=U$3),IF(AND($G42&lt;&gt;"",$G42&lt;=EOMONTH(U$3,0),$H42&gt;=U$3),"B","U"),IF(AND($G42&lt;&gt;"",$G42&lt;=EOMONTH(U$3,0),$H42&gt;=U$3),"D","")))</f>
        <v/>
      </c>
      <c r="V42" s="214">
        <f>IF($AH42="","",IF(AND($E42&lt;&gt;"",$E42&lt;=EOMONTH(V$3,0),$F42&gt;=V$3),IF(AND($G42&lt;&gt;"",$G42&lt;=EOMONTH(V$3,0),$H42&gt;=V$3),"B","U"),IF(AND($G42&lt;&gt;"",$G42&lt;=EOMONTH(V$3,0),$H42&gt;=V$3),"D","")))</f>
        <v/>
      </c>
      <c r="W42" s="214">
        <f>IF($AH42="","",IF(AND($E42&lt;&gt;"",$E42&lt;=EOMONTH(W$3,0),$F42&gt;=W$3),IF(AND($G42&lt;&gt;"",$G42&lt;=EOMONTH(W$3,0),$H42&gt;=W$3),"B","U"),IF(AND($G42&lt;&gt;"",$G42&lt;=EOMONTH(W$3,0),$H42&gt;=W$3),"D","")))</f>
        <v/>
      </c>
      <c r="X42" s="214">
        <f>IF($AH42="","",IF(AND($E42&lt;&gt;"",$E42&lt;=EOMONTH(X$3,0),$F42&gt;=X$3),IF(AND($G42&lt;&gt;"",$G42&lt;=EOMONTH(X$3,0),$H42&gt;=X$3),"B","U"),IF(AND($G42&lt;&gt;"",$G42&lt;=EOMONTH(X$3,0),$H42&gt;=X$3),"D","")))</f>
        <v/>
      </c>
      <c r="Y42" s="214">
        <f>IF($AH42="","",IF(AND($E42&lt;&gt;"",$E42&lt;=EOMONTH(Y$3,0),$F42&gt;=Y$3),IF(AND($G42&lt;&gt;"",$G42&lt;=EOMONTH(Y$3,0),$H42&gt;=Y$3),"B","U"),IF(AND($G42&lt;&gt;"",$G42&lt;=EOMONTH(Y$3,0),$H42&gt;=Y$3),"D","")))</f>
        <v/>
      </c>
      <c r="Z42" s="214">
        <f>IF($AH42="","",IF(AND($E42&lt;&gt;"",$E42&lt;=EOMONTH(Z$3,0),$F42&gt;=Z$3),IF(AND($G42&lt;&gt;"",$G42&lt;=EOMONTH(Z$3,0),$H42&gt;=Z$3),"B","U"),IF(AND($G42&lt;&gt;"",$G42&lt;=EOMONTH(Z$3,0),$H42&gt;=Z$3),"D","")))</f>
        <v/>
      </c>
      <c r="AA42" s="214">
        <f>IF($AH42="","",IF(AND($E42&lt;&gt;"",$E42&lt;=EOMONTH(AA$3,0),$F42&gt;=AA$3),IF(AND($G42&lt;&gt;"",$G42&lt;=EOMONTH(AA$3,0),$H42&gt;=AA$3),"B","U"),IF(AND($G42&lt;&gt;"",$G42&lt;=EOMONTH(AA$3,0),$H42&gt;=AA$3),"D","")))</f>
        <v/>
      </c>
      <c r="AB42" s="214">
        <f>IF($AH42="","",IF(AND($E42&lt;&gt;"",$E42&lt;=EOMONTH(AB$3,0),$F42&gt;=AB$3),IF(AND($G42&lt;&gt;"",$G42&lt;=EOMONTH(AB$3,0),$H42&gt;=AB$3),"B","U"),IF(AND($G42&lt;&gt;"",$G42&lt;=EOMONTH(AB$3,0),$H42&gt;=AB$3),"D","")))</f>
        <v/>
      </c>
      <c r="AC42" s="214">
        <f>IF($AH42="","",IF(AND($E42&lt;&gt;"",$E42&lt;=EOMONTH(AC$3,0),$F42&gt;=AC$3),IF(AND($G42&lt;&gt;"",$G42&lt;=EOMONTH(AC$3,0),$H42&gt;=AC$3),"B","U"),IF(AND($G42&lt;&gt;"",$G42&lt;=EOMONTH(AC$3,0),$H42&gt;=AC$3),"D","")))</f>
        <v/>
      </c>
      <c r="AD42" s="214">
        <f>IF($AH42="","",IF(AND($E42&lt;&gt;"",$E42&lt;=EOMONTH(AD$3,0),$F42&gt;=AD$3),IF(AND($G42&lt;&gt;"",$G42&lt;=EOMONTH(AD$3,0),$H42&gt;=AD$3),"B","U"),IF(AND($G42&lt;&gt;"",$G42&lt;=EOMONTH(AD$3,0),$H42&gt;=AD$3),"D","")))</f>
        <v/>
      </c>
      <c r="AE42" s="214">
        <f>IF($AH42="","",IF(AND($E42&lt;&gt;"",$E42&lt;=EOMONTH(AE$3,0),$F42&gt;=AE$3),IF(AND($G42&lt;&gt;"",$G42&lt;=EOMONTH(AE$3,0),$H42&gt;=AE$3),"B","U"),IF(AND($G42&lt;&gt;"",$G42&lt;=EOMONTH(AE$3,0),$H42&gt;=AE$3),"D","")))</f>
        <v/>
      </c>
      <c r="AF42" s="214">
        <f>IF($AH42="","",IF(AND($E42&lt;&gt;"",$E42&lt;=EOMONTH(AF$3,0),$F42&gt;=AF$3),IF(AND($G42&lt;&gt;"",$G42&lt;=EOMONTH(AF$3,0),$H42&gt;=AF$3),"B","U"),IF(AND($G42&lt;&gt;"",$G42&lt;=EOMONTH(AF$3,0),$H42&gt;=AF$3),"D","")))</f>
        <v/>
      </c>
      <c r="AG42">
        <f>IF($AH42="","",INDEX('Roadmap Calc (Don’t Touch)'!$D$2:$D$205,$AH42))</f>
        <v/>
      </c>
      <c r="AH42">
        <f>IFERROR(MATCH(36,'Roadmap Calc (Don’t Touch)'!$O$2:$O$205,0),"")</f>
        <v/>
      </c>
    </row>
    <row r="43" ht="17" customHeight="1">
      <c r="A43" s="209">
        <f>IF($AH43="","",IF($AG43=$AG42,"",$AG43))</f>
        <v/>
      </c>
      <c r="B43" s="210">
        <f>IF($AH43="","",INDEX('Roadmap Calc (Don’t Touch)'!$B$2:$B$205,$AH43))</f>
        <v/>
      </c>
      <c r="C43" s="211">
        <f>IF($AH43="","",INDEX('Roadmap Calc (Don’t Touch)'!$E$2:$E$205,$AH43))</f>
        <v/>
      </c>
      <c r="D43" s="212">
        <f>IF($AH43="","",INDEX('Roadmap Calc (Don’t Touch)'!$F$2:$F$205,$AH43))</f>
        <v/>
      </c>
      <c r="E43" s="213">
        <f>IF($AH43="","",INDEX('Roadmap Calc (Don’t Touch)'!$G$2:$G$205,$AH43))</f>
        <v/>
      </c>
      <c r="F43" s="213">
        <f>IF($AH43="","",INDEX('Roadmap Calc (Don’t Touch)'!$H$2:$H$205,$AH43))</f>
        <v/>
      </c>
      <c r="G43" s="213">
        <f>IF($AH43="","",INDEX('Roadmap Calc (Don’t Touch)'!$I$2:$I$205,$AH43))</f>
        <v/>
      </c>
      <c r="H43" s="213">
        <f>IF($AH43="","",INDEX('Roadmap Calc (Don’t Touch)'!$J$2:$J$205,$AH43))</f>
        <v/>
      </c>
      <c r="I43" s="214">
        <f>IF($AH43="","",IF(AND($E43&lt;&gt;"",$E43&lt;=EOMONTH(I$3,0),$F43&gt;=I$3),IF(AND($G43&lt;&gt;"",$G43&lt;=EOMONTH(I$3,0),$H43&gt;=I$3),"B","U"),IF(AND($G43&lt;&gt;"",$G43&lt;=EOMONTH(I$3,0),$H43&gt;=I$3),"D","")))</f>
        <v/>
      </c>
      <c r="J43" s="214">
        <f>IF($AH43="","",IF(AND($E43&lt;&gt;"",$E43&lt;=EOMONTH(J$3,0),$F43&gt;=J$3),IF(AND($G43&lt;&gt;"",$G43&lt;=EOMONTH(J$3,0),$H43&gt;=J$3),"B","U"),IF(AND($G43&lt;&gt;"",$G43&lt;=EOMONTH(J$3,0),$H43&gt;=J$3),"D","")))</f>
        <v/>
      </c>
      <c r="K43" s="214">
        <f>IF($AH43="","",IF(AND($E43&lt;&gt;"",$E43&lt;=EOMONTH(K$3,0),$F43&gt;=K$3),IF(AND($G43&lt;&gt;"",$G43&lt;=EOMONTH(K$3,0),$H43&gt;=K$3),"B","U"),IF(AND($G43&lt;&gt;"",$G43&lt;=EOMONTH(K$3,0),$H43&gt;=K$3),"D","")))</f>
        <v/>
      </c>
      <c r="L43" s="214">
        <f>IF($AH43="","",IF(AND($E43&lt;&gt;"",$E43&lt;=EOMONTH(L$3,0),$F43&gt;=L$3),IF(AND($G43&lt;&gt;"",$G43&lt;=EOMONTH(L$3,0),$H43&gt;=L$3),"B","U"),IF(AND($G43&lt;&gt;"",$G43&lt;=EOMONTH(L$3,0),$H43&gt;=L$3),"D","")))</f>
        <v/>
      </c>
      <c r="M43" s="214">
        <f>IF($AH43="","",IF(AND($E43&lt;&gt;"",$E43&lt;=EOMONTH(M$3,0),$F43&gt;=M$3),IF(AND($G43&lt;&gt;"",$G43&lt;=EOMONTH(M$3,0),$H43&gt;=M$3),"B","U"),IF(AND($G43&lt;&gt;"",$G43&lt;=EOMONTH(M$3,0),$H43&gt;=M$3),"D","")))</f>
        <v/>
      </c>
      <c r="N43" s="214">
        <f>IF($AH43="","",IF(AND($E43&lt;&gt;"",$E43&lt;=EOMONTH(N$3,0),$F43&gt;=N$3),IF(AND($G43&lt;&gt;"",$G43&lt;=EOMONTH(N$3,0),$H43&gt;=N$3),"B","U"),IF(AND($G43&lt;&gt;"",$G43&lt;=EOMONTH(N$3,0),$H43&gt;=N$3),"D","")))</f>
        <v/>
      </c>
      <c r="O43" s="214">
        <f>IF($AH43="","",IF(AND($E43&lt;&gt;"",$E43&lt;=EOMONTH(O$3,0),$F43&gt;=O$3),IF(AND($G43&lt;&gt;"",$G43&lt;=EOMONTH(O$3,0),$H43&gt;=O$3),"B","U"),IF(AND($G43&lt;&gt;"",$G43&lt;=EOMONTH(O$3,0),$H43&gt;=O$3),"D","")))</f>
        <v/>
      </c>
      <c r="P43" s="214">
        <f>IF($AH43="","",IF(AND($E43&lt;&gt;"",$E43&lt;=EOMONTH(P$3,0),$F43&gt;=P$3),IF(AND($G43&lt;&gt;"",$G43&lt;=EOMONTH(P$3,0),$H43&gt;=P$3),"B","U"),IF(AND($G43&lt;&gt;"",$G43&lt;=EOMONTH(P$3,0),$H43&gt;=P$3),"D","")))</f>
        <v/>
      </c>
      <c r="Q43" s="214">
        <f>IF($AH43="","",IF(AND($E43&lt;&gt;"",$E43&lt;=EOMONTH(Q$3,0),$F43&gt;=Q$3),IF(AND($G43&lt;&gt;"",$G43&lt;=EOMONTH(Q$3,0),$H43&gt;=Q$3),"B","U"),IF(AND($G43&lt;&gt;"",$G43&lt;=EOMONTH(Q$3,0),$H43&gt;=Q$3),"D","")))</f>
        <v/>
      </c>
      <c r="R43" s="214">
        <f>IF($AH43="","",IF(AND($E43&lt;&gt;"",$E43&lt;=EOMONTH(R$3,0),$F43&gt;=R$3),IF(AND($G43&lt;&gt;"",$G43&lt;=EOMONTH(R$3,0),$H43&gt;=R$3),"B","U"),IF(AND($G43&lt;&gt;"",$G43&lt;=EOMONTH(R$3,0),$H43&gt;=R$3),"D","")))</f>
        <v/>
      </c>
      <c r="S43" s="214">
        <f>IF($AH43="","",IF(AND($E43&lt;&gt;"",$E43&lt;=EOMONTH(S$3,0),$F43&gt;=S$3),IF(AND($G43&lt;&gt;"",$G43&lt;=EOMONTH(S$3,0),$H43&gt;=S$3),"B","U"),IF(AND($G43&lt;&gt;"",$G43&lt;=EOMONTH(S$3,0),$H43&gt;=S$3),"D","")))</f>
        <v/>
      </c>
      <c r="T43" s="214">
        <f>IF($AH43="","",IF(AND($E43&lt;&gt;"",$E43&lt;=EOMONTH(T$3,0),$F43&gt;=T$3),IF(AND($G43&lt;&gt;"",$G43&lt;=EOMONTH(T$3,0),$H43&gt;=T$3),"B","U"),IF(AND($G43&lt;&gt;"",$G43&lt;=EOMONTH(T$3,0),$H43&gt;=T$3),"D","")))</f>
        <v/>
      </c>
      <c r="U43" s="214">
        <f>IF($AH43="","",IF(AND($E43&lt;&gt;"",$E43&lt;=EOMONTH(U$3,0),$F43&gt;=U$3),IF(AND($G43&lt;&gt;"",$G43&lt;=EOMONTH(U$3,0),$H43&gt;=U$3),"B","U"),IF(AND($G43&lt;&gt;"",$G43&lt;=EOMONTH(U$3,0),$H43&gt;=U$3),"D","")))</f>
        <v/>
      </c>
      <c r="V43" s="214">
        <f>IF($AH43="","",IF(AND($E43&lt;&gt;"",$E43&lt;=EOMONTH(V$3,0),$F43&gt;=V$3),IF(AND($G43&lt;&gt;"",$G43&lt;=EOMONTH(V$3,0),$H43&gt;=V$3),"B","U"),IF(AND($G43&lt;&gt;"",$G43&lt;=EOMONTH(V$3,0),$H43&gt;=V$3),"D","")))</f>
        <v/>
      </c>
      <c r="W43" s="214">
        <f>IF($AH43="","",IF(AND($E43&lt;&gt;"",$E43&lt;=EOMONTH(W$3,0),$F43&gt;=W$3),IF(AND($G43&lt;&gt;"",$G43&lt;=EOMONTH(W$3,0),$H43&gt;=W$3),"B","U"),IF(AND($G43&lt;&gt;"",$G43&lt;=EOMONTH(W$3,0),$H43&gt;=W$3),"D","")))</f>
        <v/>
      </c>
      <c r="X43" s="214">
        <f>IF($AH43="","",IF(AND($E43&lt;&gt;"",$E43&lt;=EOMONTH(X$3,0),$F43&gt;=X$3),IF(AND($G43&lt;&gt;"",$G43&lt;=EOMONTH(X$3,0),$H43&gt;=X$3),"B","U"),IF(AND($G43&lt;&gt;"",$G43&lt;=EOMONTH(X$3,0),$H43&gt;=X$3),"D","")))</f>
        <v/>
      </c>
      <c r="Y43" s="214">
        <f>IF($AH43="","",IF(AND($E43&lt;&gt;"",$E43&lt;=EOMONTH(Y$3,0),$F43&gt;=Y$3),IF(AND($G43&lt;&gt;"",$G43&lt;=EOMONTH(Y$3,0),$H43&gt;=Y$3),"B","U"),IF(AND($G43&lt;&gt;"",$G43&lt;=EOMONTH(Y$3,0),$H43&gt;=Y$3),"D","")))</f>
        <v/>
      </c>
      <c r="Z43" s="214">
        <f>IF($AH43="","",IF(AND($E43&lt;&gt;"",$E43&lt;=EOMONTH(Z$3,0),$F43&gt;=Z$3),IF(AND($G43&lt;&gt;"",$G43&lt;=EOMONTH(Z$3,0),$H43&gt;=Z$3),"B","U"),IF(AND($G43&lt;&gt;"",$G43&lt;=EOMONTH(Z$3,0),$H43&gt;=Z$3),"D","")))</f>
        <v/>
      </c>
      <c r="AA43" s="214">
        <f>IF($AH43="","",IF(AND($E43&lt;&gt;"",$E43&lt;=EOMONTH(AA$3,0),$F43&gt;=AA$3),IF(AND($G43&lt;&gt;"",$G43&lt;=EOMONTH(AA$3,0),$H43&gt;=AA$3),"B","U"),IF(AND($G43&lt;&gt;"",$G43&lt;=EOMONTH(AA$3,0),$H43&gt;=AA$3),"D","")))</f>
        <v/>
      </c>
      <c r="AB43" s="214">
        <f>IF($AH43="","",IF(AND($E43&lt;&gt;"",$E43&lt;=EOMONTH(AB$3,0),$F43&gt;=AB$3),IF(AND($G43&lt;&gt;"",$G43&lt;=EOMONTH(AB$3,0),$H43&gt;=AB$3),"B","U"),IF(AND($G43&lt;&gt;"",$G43&lt;=EOMONTH(AB$3,0),$H43&gt;=AB$3),"D","")))</f>
        <v/>
      </c>
      <c r="AC43" s="214">
        <f>IF($AH43="","",IF(AND($E43&lt;&gt;"",$E43&lt;=EOMONTH(AC$3,0),$F43&gt;=AC$3),IF(AND($G43&lt;&gt;"",$G43&lt;=EOMONTH(AC$3,0),$H43&gt;=AC$3),"B","U"),IF(AND($G43&lt;&gt;"",$G43&lt;=EOMONTH(AC$3,0),$H43&gt;=AC$3),"D","")))</f>
        <v/>
      </c>
      <c r="AD43" s="214">
        <f>IF($AH43="","",IF(AND($E43&lt;&gt;"",$E43&lt;=EOMONTH(AD$3,0),$F43&gt;=AD$3),IF(AND($G43&lt;&gt;"",$G43&lt;=EOMONTH(AD$3,0),$H43&gt;=AD$3),"B","U"),IF(AND($G43&lt;&gt;"",$G43&lt;=EOMONTH(AD$3,0),$H43&gt;=AD$3),"D","")))</f>
        <v/>
      </c>
      <c r="AE43" s="214">
        <f>IF($AH43="","",IF(AND($E43&lt;&gt;"",$E43&lt;=EOMONTH(AE$3,0),$F43&gt;=AE$3),IF(AND($G43&lt;&gt;"",$G43&lt;=EOMONTH(AE$3,0),$H43&gt;=AE$3),"B","U"),IF(AND($G43&lt;&gt;"",$G43&lt;=EOMONTH(AE$3,0),$H43&gt;=AE$3),"D","")))</f>
        <v/>
      </c>
      <c r="AF43" s="214">
        <f>IF($AH43="","",IF(AND($E43&lt;&gt;"",$E43&lt;=EOMONTH(AF$3,0),$F43&gt;=AF$3),IF(AND($G43&lt;&gt;"",$G43&lt;=EOMONTH(AF$3,0),$H43&gt;=AF$3),"B","U"),IF(AND($G43&lt;&gt;"",$G43&lt;=EOMONTH(AF$3,0),$H43&gt;=AF$3),"D","")))</f>
        <v/>
      </c>
      <c r="AG43">
        <f>IF($AH43="","",INDEX('Roadmap Calc (Don’t Touch)'!$D$2:$D$205,$AH43))</f>
        <v/>
      </c>
      <c r="AH43">
        <f>IFERROR(MATCH(37,'Roadmap Calc (Don’t Touch)'!$O$2:$O$205,0),"")</f>
        <v/>
      </c>
    </row>
    <row r="44" ht="17" customHeight="1">
      <c r="A44" s="209">
        <f>IF($AH44="","",IF($AG44=$AG43,"",$AG44))</f>
        <v/>
      </c>
      <c r="B44" s="210">
        <f>IF($AH44="","",INDEX('Roadmap Calc (Don’t Touch)'!$B$2:$B$205,$AH44))</f>
        <v/>
      </c>
      <c r="C44" s="211">
        <f>IF($AH44="","",INDEX('Roadmap Calc (Don’t Touch)'!$E$2:$E$205,$AH44))</f>
        <v/>
      </c>
      <c r="D44" s="212">
        <f>IF($AH44="","",INDEX('Roadmap Calc (Don’t Touch)'!$F$2:$F$205,$AH44))</f>
        <v/>
      </c>
      <c r="E44" s="213">
        <f>IF($AH44="","",INDEX('Roadmap Calc (Don’t Touch)'!$G$2:$G$205,$AH44))</f>
        <v/>
      </c>
      <c r="F44" s="213">
        <f>IF($AH44="","",INDEX('Roadmap Calc (Don’t Touch)'!$H$2:$H$205,$AH44))</f>
        <v/>
      </c>
      <c r="G44" s="213">
        <f>IF($AH44="","",INDEX('Roadmap Calc (Don’t Touch)'!$I$2:$I$205,$AH44))</f>
        <v/>
      </c>
      <c r="H44" s="213">
        <f>IF($AH44="","",INDEX('Roadmap Calc (Don’t Touch)'!$J$2:$J$205,$AH44))</f>
        <v/>
      </c>
      <c r="I44" s="214">
        <f>IF($AH44="","",IF(AND($E44&lt;&gt;"",$E44&lt;=EOMONTH(I$3,0),$F44&gt;=I$3),IF(AND($G44&lt;&gt;"",$G44&lt;=EOMONTH(I$3,0),$H44&gt;=I$3),"B","U"),IF(AND($G44&lt;&gt;"",$G44&lt;=EOMONTH(I$3,0),$H44&gt;=I$3),"D","")))</f>
        <v/>
      </c>
      <c r="J44" s="214">
        <f>IF($AH44="","",IF(AND($E44&lt;&gt;"",$E44&lt;=EOMONTH(J$3,0),$F44&gt;=J$3),IF(AND($G44&lt;&gt;"",$G44&lt;=EOMONTH(J$3,0),$H44&gt;=J$3),"B","U"),IF(AND($G44&lt;&gt;"",$G44&lt;=EOMONTH(J$3,0),$H44&gt;=J$3),"D","")))</f>
        <v/>
      </c>
      <c r="K44" s="214">
        <f>IF($AH44="","",IF(AND($E44&lt;&gt;"",$E44&lt;=EOMONTH(K$3,0),$F44&gt;=K$3),IF(AND($G44&lt;&gt;"",$G44&lt;=EOMONTH(K$3,0),$H44&gt;=K$3),"B","U"),IF(AND($G44&lt;&gt;"",$G44&lt;=EOMONTH(K$3,0),$H44&gt;=K$3),"D","")))</f>
        <v/>
      </c>
      <c r="L44" s="214">
        <f>IF($AH44="","",IF(AND($E44&lt;&gt;"",$E44&lt;=EOMONTH(L$3,0),$F44&gt;=L$3),IF(AND($G44&lt;&gt;"",$G44&lt;=EOMONTH(L$3,0),$H44&gt;=L$3),"B","U"),IF(AND($G44&lt;&gt;"",$G44&lt;=EOMONTH(L$3,0),$H44&gt;=L$3),"D","")))</f>
        <v/>
      </c>
      <c r="M44" s="214">
        <f>IF($AH44="","",IF(AND($E44&lt;&gt;"",$E44&lt;=EOMONTH(M$3,0),$F44&gt;=M$3),IF(AND($G44&lt;&gt;"",$G44&lt;=EOMONTH(M$3,0),$H44&gt;=M$3),"B","U"),IF(AND($G44&lt;&gt;"",$G44&lt;=EOMONTH(M$3,0),$H44&gt;=M$3),"D","")))</f>
        <v/>
      </c>
      <c r="N44" s="214">
        <f>IF($AH44="","",IF(AND($E44&lt;&gt;"",$E44&lt;=EOMONTH(N$3,0),$F44&gt;=N$3),IF(AND($G44&lt;&gt;"",$G44&lt;=EOMONTH(N$3,0),$H44&gt;=N$3),"B","U"),IF(AND($G44&lt;&gt;"",$G44&lt;=EOMONTH(N$3,0),$H44&gt;=N$3),"D","")))</f>
        <v/>
      </c>
      <c r="O44" s="214">
        <f>IF($AH44="","",IF(AND($E44&lt;&gt;"",$E44&lt;=EOMONTH(O$3,0),$F44&gt;=O$3),IF(AND($G44&lt;&gt;"",$G44&lt;=EOMONTH(O$3,0),$H44&gt;=O$3),"B","U"),IF(AND($G44&lt;&gt;"",$G44&lt;=EOMONTH(O$3,0),$H44&gt;=O$3),"D","")))</f>
        <v/>
      </c>
      <c r="P44" s="214">
        <f>IF($AH44="","",IF(AND($E44&lt;&gt;"",$E44&lt;=EOMONTH(P$3,0),$F44&gt;=P$3),IF(AND($G44&lt;&gt;"",$G44&lt;=EOMONTH(P$3,0),$H44&gt;=P$3),"B","U"),IF(AND($G44&lt;&gt;"",$G44&lt;=EOMONTH(P$3,0),$H44&gt;=P$3),"D","")))</f>
        <v/>
      </c>
      <c r="Q44" s="214">
        <f>IF($AH44="","",IF(AND($E44&lt;&gt;"",$E44&lt;=EOMONTH(Q$3,0),$F44&gt;=Q$3),IF(AND($G44&lt;&gt;"",$G44&lt;=EOMONTH(Q$3,0),$H44&gt;=Q$3),"B","U"),IF(AND($G44&lt;&gt;"",$G44&lt;=EOMONTH(Q$3,0),$H44&gt;=Q$3),"D","")))</f>
        <v/>
      </c>
      <c r="R44" s="214">
        <f>IF($AH44="","",IF(AND($E44&lt;&gt;"",$E44&lt;=EOMONTH(R$3,0),$F44&gt;=R$3),IF(AND($G44&lt;&gt;"",$G44&lt;=EOMONTH(R$3,0),$H44&gt;=R$3),"B","U"),IF(AND($G44&lt;&gt;"",$G44&lt;=EOMONTH(R$3,0),$H44&gt;=R$3),"D","")))</f>
        <v/>
      </c>
      <c r="S44" s="214">
        <f>IF($AH44="","",IF(AND($E44&lt;&gt;"",$E44&lt;=EOMONTH(S$3,0),$F44&gt;=S$3),IF(AND($G44&lt;&gt;"",$G44&lt;=EOMONTH(S$3,0),$H44&gt;=S$3),"B","U"),IF(AND($G44&lt;&gt;"",$G44&lt;=EOMONTH(S$3,0),$H44&gt;=S$3),"D","")))</f>
        <v/>
      </c>
      <c r="T44" s="214">
        <f>IF($AH44="","",IF(AND($E44&lt;&gt;"",$E44&lt;=EOMONTH(T$3,0),$F44&gt;=T$3),IF(AND($G44&lt;&gt;"",$G44&lt;=EOMONTH(T$3,0),$H44&gt;=T$3),"B","U"),IF(AND($G44&lt;&gt;"",$G44&lt;=EOMONTH(T$3,0),$H44&gt;=T$3),"D","")))</f>
        <v/>
      </c>
      <c r="U44" s="214">
        <f>IF($AH44="","",IF(AND($E44&lt;&gt;"",$E44&lt;=EOMONTH(U$3,0),$F44&gt;=U$3),IF(AND($G44&lt;&gt;"",$G44&lt;=EOMONTH(U$3,0),$H44&gt;=U$3),"B","U"),IF(AND($G44&lt;&gt;"",$G44&lt;=EOMONTH(U$3,0),$H44&gt;=U$3),"D","")))</f>
        <v/>
      </c>
      <c r="V44" s="214">
        <f>IF($AH44="","",IF(AND($E44&lt;&gt;"",$E44&lt;=EOMONTH(V$3,0),$F44&gt;=V$3),IF(AND($G44&lt;&gt;"",$G44&lt;=EOMONTH(V$3,0),$H44&gt;=V$3),"B","U"),IF(AND($G44&lt;&gt;"",$G44&lt;=EOMONTH(V$3,0),$H44&gt;=V$3),"D","")))</f>
        <v/>
      </c>
      <c r="W44" s="214">
        <f>IF($AH44="","",IF(AND($E44&lt;&gt;"",$E44&lt;=EOMONTH(W$3,0),$F44&gt;=W$3),IF(AND($G44&lt;&gt;"",$G44&lt;=EOMONTH(W$3,0),$H44&gt;=W$3),"B","U"),IF(AND($G44&lt;&gt;"",$G44&lt;=EOMONTH(W$3,0),$H44&gt;=W$3),"D","")))</f>
        <v/>
      </c>
      <c r="X44" s="214">
        <f>IF($AH44="","",IF(AND($E44&lt;&gt;"",$E44&lt;=EOMONTH(X$3,0),$F44&gt;=X$3),IF(AND($G44&lt;&gt;"",$G44&lt;=EOMONTH(X$3,0),$H44&gt;=X$3),"B","U"),IF(AND($G44&lt;&gt;"",$G44&lt;=EOMONTH(X$3,0),$H44&gt;=X$3),"D","")))</f>
        <v/>
      </c>
      <c r="Y44" s="214">
        <f>IF($AH44="","",IF(AND($E44&lt;&gt;"",$E44&lt;=EOMONTH(Y$3,0),$F44&gt;=Y$3),IF(AND($G44&lt;&gt;"",$G44&lt;=EOMONTH(Y$3,0),$H44&gt;=Y$3),"B","U"),IF(AND($G44&lt;&gt;"",$G44&lt;=EOMONTH(Y$3,0),$H44&gt;=Y$3),"D","")))</f>
        <v/>
      </c>
      <c r="Z44" s="214">
        <f>IF($AH44="","",IF(AND($E44&lt;&gt;"",$E44&lt;=EOMONTH(Z$3,0),$F44&gt;=Z$3),IF(AND($G44&lt;&gt;"",$G44&lt;=EOMONTH(Z$3,0),$H44&gt;=Z$3),"B","U"),IF(AND($G44&lt;&gt;"",$G44&lt;=EOMONTH(Z$3,0),$H44&gt;=Z$3),"D","")))</f>
        <v/>
      </c>
      <c r="AA44" s="214">
        <f>IF($AH44="","",IF(AND($E44&lt;&gt;"",$E44&lt;=EOMONTH(AA$3,0),$F44&gt;=AA$3),IF(AND($G44&lt;&gt;"",$G44&lt;=EOMONTH(AA$3,0),$H44&gt;=AA$3),"B","U"),IF(AND($G44&lt;&gt;"",$G44&lt;=EOMONTH(AA$3,0),$H44&gt;=AA$3),"D","")))</f>
        <v/>
      </c>
      <c r="AB44" s="214">
        <f>IF($AH44="","",IF(AND($E44&lt;&gt;"",$E44&lt;=EOMONTH(AB$3,0),$F44&gt;=AB$3),IF(AND($G44&lt;&gt;"",$G44&lt;=EOMONTH(AB$3,0),$H44&gt;=AB$3),"B","U"),IF(AND($G44&lt;&gt;"",$G44&lt;=EOMONTH(AB$3,0),$H44&gt;=AB$3),"D","")))</f>
        <v/>
      </c>
      <c r="AC44" s="214">
        <f>IF($AH44="","",IF(AND($E44&lt;&gt;"",$E44&lt;=EOMONTH(AC$3,0),$F44&gt;=AC$3),IF(AND($G44&lt;&gt;"",$G44&lt;=EOMONTH(AC$3,0),$H44&gt;=AC$3),"B","U"),IF(AND($G44&lt;&gt;"",$G44&lt;=EOMONTH(AC$3,0),$H44&gt;=AC$3),"D","")))</f>
        <v/>
      </c>
      <c r="AD44" s="214">
        <f>IF($AH44="","",IF(AND($E44&lt;&gt;"",$E44&lt;=EOMONTH(AD$3,0),$F44&gt;=AD$3),IF(AND($G44&lt;&gt;"",$G44&lt;=EOMONTH(AD$3,0),$H44&gt;=AD$3),"B","U"),IF(AND($G44&lt;&gt;"",$G44&lt;=EOMONTH(AD$3,0),$H44&gt;=AD$3),"D","")))</f>
        <v/>
      </c>
      <c r="AE44" s="214">
        <f>IF($AH44="","",IF(AND($E44&lt;&gt;"",$E44&lt;=EOMONTH(AE$3,0),$F44&gt;=AE$3),IF(AND($G44&lt;&gt;"",$G44&lt;=EOMONTH(AE$3,0),$H44&gt;=AE$3),"B","U"),IF(AND($G44&lt;&gt;"",$G44&lt;=EOMONTH(AE$3,0),$H44&gt;=AE$3),"D","")))</f>
        <v/>
      </c>
      <c r="AF44" s="214">
        <f>IF($AH44="","",IF(AND($E44&lt;&gt;"",$E44&lt;=EOMONTH(AF$3,0),$F44&gt;=AF$3),IF(AND($G44&lt;&gt;"",$G44&lt;=EOMONTH(AF$3,0),$H44&gt;=AF$3),"B","U"),IF(AND($G44&lt;&gt;"",$G44&lt;=EOMONTH(AF$3,0),$H44&gt;=AF$3),"D","")))</f>
        <v/>
      </c>
      <c r="AG44">
        <f>IF($AH44="","",INDEX('Roadmap Calc (Don’t Touch)'!$D$2:$D$205,$AH44))</f>
        <v/>
      </c>
      <c r="AH44">
        <f>IFERROR(MATCH(38,'Roadmap Calc (Don’t Touch)'!$O$2:$O$205,0),"")</f>
        <v/>
      </c>
    </row>
    <row r="45" ht="17" customHeight="1">
      <c r="A45" s="209">
        <f>IF($AH45="","",IF($AG45=$AG44,"",$AG45))</f>
        <v/>
      </c>
      <c r="B45" s="210">
        <f>IF($AH45="","",INDEX('Roadmap Calc (Don’t Touch)'!$B$2:$B$205,$AH45))</f>
        <v/>
      </c>
      <c r="C45" s="211">
        <f>IF($AH45="","",INDEX('Roadmap Calc (Don’t Touch)'!$E$2:$E$205,$AH45))</f>
        <v/>
      </c>
      <c r="D45" s="212">
        <f>IF($AH45="","",INDEX('Roadmap Calc (Don’t Touch)'!$F$2:$F$205,$AH45))</f>
        <v/>
      </c>
      <c r="E45" s="213">
        <f>IF($AH45="","",INDEX('Roadmap Calc (Don’t Touch)'!$G$2:$G$205,$AH45))</f>
        <v/>
      </c>
      <c r="F45" s="213">
        <f>IF($AH45="","",INDEX('Roadmap Calc (Don’t Touch)'!$H$2:$H$205,$AH45))</f>
        <v/>
      </c>
      <c r="G45" s="213">
        <f>IF($AH45="","",INDEX('Roadmap Calc (Don’t Touch)'!$I$2:$I$205,$AH45))</f>
        <v/>
      </c>
      <c r="H45" s="213">
        <f>IF($AH45="","",INDEX('Roadmap Calc (Don’t Touch)'!$J$2:$J$205,$AH45))</f>
        <v/>
      </c>
      <c r="I45" s="214">
        <f>IF($AH45="","",IF(AND($E45&lt;&gt;"",$E45&lt;=EOMONTH(I$3,0),$F45&gt;=I$3),IF(AND($G45&lt;&gt;"",$G45&lt;=EOMONTH(I$3,0),$H45&gt;=I$3),"B","U"),IF(AND($G45&lt;&gt;"",$G45&lt;=EOMONTH(I$3,0),$H45&gt;=I$3),"D","")))</f>
        <v/>
      </c>
      <c r="J45" s="214">
        <f>IF($AH45="","",IF(AND($E45&lt;&gt;"",$E45&lt;=EOMONTH(J$3,0),$F45&gt;=J$3),IF(AND($G45&lt;&gt;"",$G45&lt;=EOMONTH(J$3,0),$H45&gt;=J$3),"B","U"),IF(AND($G45&lt;&gt;"",$G45&lt;=EOMONTH(J$3,0),$H45&gt;=J$3),"D","")))</f>
        <v/>
      </c>
      <c r="K45" s="214">
        <f>IF($AH45="","",IF(AND($E45&lt;&gt;"",$E45&lt;=EOMONTH(K$3,0),$F45&gt;=K$3),IF(AND($G45&lt;&gt;"",$G45&lt;=EOMONTH(K$3,0),$H45&gt;=K$3),"B","U"),IF(AND($G45&lt;&gt;"",$G45&lt;=EOMONTH(K$3,0),$H45&gt;=K$3),"D","")))</f>
        <v/>
      </c>
      <c r="L45" s="214">
        <f>IF($AH45="","",IF(AND($E45&lt;&gt;"",$E45&lt;=EOMONTH(L$3,0),$F45&gt;=L$3),IF(AND($G45&lt;&gt;"",$G45&lt;=EOMONTH(L$3,0),$H45&gt;=L$3),"B","U"),IF(AND($G45&lt;&gt;"",$G45&lt;=EOMONTH(L$3,0),$H45&gt;=L$3),"D","")))</f>
        <v/>
      </c>
      <c r="M45" s="214">
        <f>IF($AH45="","",IF(AND($E45&lt;&gt;"",$E45&lt;=EOMONTH(M$3,0),$F45&gt;=M$3),IF(AND($G45&lt;&gt;"",$G45&lt;=EOMONTH(M$3,0),$H45&gt;=M$3),"B","U"),IF(AND($G45&lt;&gt;"",$G45&lt;=EOMONTH(M$3,0),$H45&gt;=M$3),"D","")))</f>
        <v/>
      </c>
      <c r="N45" s="214">
        <f>IF($AH45="","",IF(AND($E45&lt;&gt;"",$E45&lt;=EOMONTH(N$3,0),$F45&gt;=N$3),IF(AND($G45&lt;&gt;"",$G45&lt;=EOMONTH(N$3,0),$H45&gt;=N$3),"B","U"),IF(AND($G45&lt;&gt;"",$G45&lt;=EOMONTH(N$3,0),$H45&gt;=N$3),"D","")))</f>
        <v/>
      </c>
      <c r="O45" s="214">
        <f>IF($AH45="","",IF(AND($E45&lt;&gt;"",$E45&lt;=EOMONTH(O$3,0),$F45&gt;=O$3),IF(AND($G45&lt;&gt;"",$G45&lt;=EOMONTH(O$3,0),$H45&gt;=O$3),"B","U"),IF(AND($G45&lt;&gt;"",$G45&lt;=EOMONTH(O$3,0),$H45&gt;=O$3),"D","")))</f>
        <v/>
      </c>
      <c r="P45" s="214">
        <f>IF($AH45="","",IF(AND($E45&lt;&gt;"",$E45&lt;=EOMONTH(P$3,0),$F45&gt;=P$3),IF(AND($G45&lt;&gt;"",$G45&lt;=EOMONTH(P$3,0),$H45&gt;=P$3),"B","U"),IF(AND($G45&lt;&gt;"",$G45&lt;=EOMONTH(P$3,0),$H45&gt;=P$3),"D","")))</f>
        <v/>
      </c>
      <c r="Q45" s="214">
        <f>IF($AH45="","",IF(AND($E45&lt;&gt;"",$E45&lt;=EOMONTH(Q$3,0),$F45&gt;=Q$3),IF(AND($G45&lt;&gt;"",$G45&lt;=EOMONTH(Q$3,0),$H45&gt;=Q$3),"B","U"),IF(AND($G45&lt;&gt;"",$G45&lt;=EOMONTH(Q$3,0),$H45&gt;=Q$3),"D","")))</f>
        <v/>
      </c>
      <c r="R45" s="214">
        <f>IF($AH45="","",IF(AND($E45&lt;&gt;"",$E45&lt;=EOMONTH(R$3,0),$F45&gt;=R$3),IF(AND($G45&lt;&gt;"",$G45&lt;=EOMONTH(R$3,0),$H45&gt;=R$3),"B","U"),IF(AND($G45&lt;&gt;"",$G45&lt;=EOMONTH(R$3,0),$H45&gt;=R$3),"D","")))</f>
        <v/>
      </c>
      <c r="S45" s="214">
        <f>IF($AH45="","",IF(AND($E45&lt;&gt;"",$E45&lt;=EOMONTH(S$3,0),$F45&gt;=S$3),IF(AND($G45&lt;&gt;"",$G45&lt;=EOMONTH(S$3,0),$H45&gt;=S$3),"B","U"),IF(AND($G45&lt;&gt;"",$G45&lt;=EOMONTH(S$3,0),$H45&gt;=S$3),"D","")))</f>
        <v/>
      </c>
      <c r="T45" s="214">
        <f>IF($AH45="","",IF(AND($E45&lt;&gt;"",$E45&lt;=EOMONTH(T$3,0),$F45&gt;=T$3),IF(AND($G45&lt;&gt;"",$G45&lt;=EOMONTH(T$3,0),$H45&gt;=T$3),"B","U"),IF(AND($G45&lt;&gt;"",$G45&lt;=EOMONTH(T$3,0),$H45&gt;=T$3),"D","")))</f>
        <v/>
      </c>
      <c r="U45" s="214">
        <f>IF($AH45="","",IF(AND($E45&lt;&gt;"",$E45&lt;=EOMONTH(U$3,0),$F45&gt;=U$3),IF(AND($G45&lt;&gt;"",$G45&lt;=EOMONTH(U$3,0),$H45&gt;=U$3),"B","U"),IF(AND($G45&lt;&gt;"",$G45&lt;=EOMONTH(U$3,0),$H45&gt;=U$3),"D","")))</f>
        <v/>
      </c>
      <c r="V45" s="214">
        <f>IF($AH45="","",IF(AND($E45&lt;&gt;"",$E45&lt;=EOMONTH(V$3,0),$F45&gt;=V$3),IF(AND($G45&lt;&gt;"",$G45&lt;=EOMONTH(V$3,0),$H45&gt;=V$3),"B","U"),IF(AND($G45&lt;&gt;"",$G45&lt;=EOMONTH(V$3,0),$H45&gt;=V$3),"D","")))</f>
        <v/>
      </c>
      <c r="W45" s="214">
        <f>IF($AH45="","",IF(AND($E45&lt;&gt;"",$E45&lt;=EOMONTH(W$3,0),$F45&gt;=W$3),IF(AND($G45&lt;&gt;"",$G45&lt;=EOMONTH(W$3,0),$H45&gt;=W$3),"B","U"),IF(AND($G45&lt;&gt;"",$G45&lt;=EOMONTH(W$3,0),$H45&gt;=W$3),"D","")))</f>
        <v/>
      </c>
      <c r="X45" s="214">
        <f>IF($AH45="","",IF(AND($E45&lt;&gt;"",$E45&lt;=EOMONTH(X$3,0),$F45&gt;=X$3),IF(AND($G45&lt;&gt;"",$G45&lt;=EOMONTH(X$3,0),$H45&gt;=X$3),"B","U"),IF(AND($G45&lt;&gt;"",$G45&lt;=EOMONTH(X$3,0),$H45&gt;=X$3),"D","")))</f>
        <v/>
      </c>
      <c r="Y45" s="214">
        <f>IF($AH45="","",IF(AND($E45&lt;&gt;"",$E45&lt;=EOMONTH(Y$3,0),$F45&gt;=Y$3),IF(AND($G45&lt;&gt;"",$G45&lt;=EOMONTH(Y$3,0),$H45&gt;=Y$3),"B","U"),IF(AND($G45&lt;&gt;"",$G45&lt;=EOMONTH(Y$3,0),$H45&gt;=Y$3),"D","")))</f>
        <v/>
      </c>
      <c r="Z45" s="214">
        <f>IF($AH45="","",IF(AND($E45&lt;&gt;"",$E45&lt;=EOMONTH(Z$3,0),$F45&gt;=Z$3),IF(AND($G45&lt;&gt;"",$G45&lt;=EOMONTH(Z$3,0),$H45&gt;=Z$3),"B","U"),IF(AND($G45&lt;&gt;"",$G45&lt;=EOMONTH(Z$3,0),$H45&gt;=Z$3),"D","")))</f>
        <v/>
      </c>
      <c r="AA45" s="214">
        <f>IF($AH45="","",IF(AND($E45&lt;&gt;"",$E45&lt;=EOMONTH(AA$3,0),$F45&gt;=AA$3),IF(AND($G45&lt;&gt;"",$G45&lt;=EOMONTH(AA$3,0),$H45&gt;=AA$3),"B","U"),IF(AND($G45&lt;&gt;"",$G45&lt;=EOMONTH(AA$3,0),$H45&gt;=AA$3),"D","")))</f>
        <v/>
      </c>
      <c r="AB45" s="214">
        <f>IF($AH45="","",IF(AND($E45&lt;&gt;"",$E45&lt;=EOMONTH(AB$3,0),$F45&gt;=AB$3),IF(AND($G45&lt;&gt;"",$G45&lt;=EOMONTH(AB$3,0),$H45&gt;=AB$3),"B","U"),IF(AND($G45&lt;&gt;"",$G45&lt;=EOMONTH(AB$3,0),$H45&gt;=AB$3),"D","")))</f>
        <v/>
      </c>
      <c r="AC45" s="214">
        <f>IF($AH45="","",IF(AND($E45&lt;&gt;"",$E45&lt;=EOMONTH(AC$3,0),$F45&gt;=AC$3),IF(AND($G45&lt;&gt;"",$G45&lt;=EOMONTH(AC$3,0),$H45&gt;=AC$3),"B","U"),IF(AND($G45&lt;&gt;"",$G45&lt;=EOMONTH(AC$3,0),$H45&gt;=AC$3),"D","")))</f>
        <v/>
      </c>
      <c r="AD45" s="214">
        <f>IF($AH45="","",IF(AND($E45&lt;&gt;"",$E45&lt;=EOMONTH(AD$3,0),$F45&gt;=AD$3),IF(AND($G45&lt;&gt;"",$G45&lt;=EOMONTH(AD$3,0),$H45&gt;=AD$3),"B","U"),IF(AND($G45&lt;&gt;"",$G45&lt;=EOMONTH(AD$3,0),$H45&gt;=AD$3),"D","")))</f>
        <v/>
      </c>
      <c r="AE45" s="214">
        <f>IF($AH45="","",IF(AND($E45&lt;&gt;"",$E45&lt;=EOMONTH(AE$3,0),$F45&gt;=AE$3),IF(AND($G45&lt;&gt;"",$G45&lt;=EOMONTH(AE$3,0),$H45&gt;=AE$3),"B","U"),IF(AND($G45&lt;&gt;"",$G45&lt;=EOMONTH(AE$3,0),$H45&gt;=AE$3),"D","")))</f>
        <v/>
      </c>
      <c r="AF45" s="214">
        <f>IF($AH45="","",IF(AND($E45&lt;&gt;"",$E45&lt;=EOMONTH(AF$3,0),$F45&gt;=AF$3),IF(AND($G45&lt;&gt;"",$G45&lt;=EOMONTH(AF$3,0),$H45&gt;=AF$3),"B","U"),IF(AND($G45&lt;&gt;"",$G45&lt;=EOMONTH(AF$3,0),$H45&gt;=AF$3),"D","")))</f>
        <v/>
      </c>
      <c r="AG45">
        <f>IF($AH45="","",INDEX('Roadmap Calc (Don’t Touch)'!$D$2:$D$205,$AH45))</f>
        <v/>
      </c>
      <c r="AH45">
        <f>IFERROR(MATCH(39,'Roadmap Calc (Don’t Touch)'!$O$2:$O$205,0),"")</f>
        <v/>
      </c>
    </row>
    <row r="46" ht="17" customHeight="1">
      <c r="A46" s="209">
        <f>IF($AH46="","",IF($AG46=$AG45,"",$AG46))</f>
        <v/>
      </c>
      <c r="B46" s="210">
        <f>IF($AH46="","",INDEX('Roadmap Calc (Don’t Touch)'!$B$2:$B$205,$AH46))</f>
        <v/>
      </c>
      <c r="C46" s="211">
        <f>IF($AH46="","",INDEX('Roadmap Calc (Don’t Touch)'!$E$2:$E$205,$AH46))</f>
        <v/>
      </c>
      <c r="D46" s="212">
        <f>IF($AH46="","",INDEX('Roadmap Calc (Don’t Touch)'!$F$2:$F$205,$AH46))</f>
        <v/>
      </c>
      <c r="E46" s="213">
        <f>IF($AH46="","",INDEX('Roadmap Calc (Don’t Touch)'!$G$2:$G$205,$AH46))</f>
        <v/>
      </c>
      <c r="F46" s="213">
        <f>IF($AH46="","",INDEX('Roadmap Calc (Don’t Touch)'!$H$2:$H$205,$AH46))</f>
        <v/>
      </c>
      <c r="G46" s="213">
        <f>IF($AH46="","",INDEX('Roadmap Calc (Don’t Touch)'!$I$2:$I$205,$AH46))</f>
        <v/>
      </c>
      <c r="H46" s="213">
        <f>IF($AH46="","",INDEX('Roadmap Calc (Don’t Touch)'!$J$2:$J$205,$AH46))</f>
        <v/>
      </c>
      <c r="I46" s="214">
        <f>IF($AH46="","",IF(AND($E46&lt;&gt;"",$E46&lt;=EOMONTH(I$3,0),$F46&gt;=I$3),IF(AND($G46&lt;&gt;"",$G46&lt;=EOMONTH(I$3,0),$H46&gt;=I$3),"B","U"),IF(AND($G46&lt;&gt;"",$G46&lt;=EOMONTH(I$3,0),$H46&gt;=I$3),"D","")))</f>
        <v/>
      </c>
      <c r="J46" s="214">
        <f>IF($AH46="","",IF(AND($E46&lt;&gt;"",$E46&lt;=EOMONTH(J$3,0),$F46&gt;=J$3),IF(AND($G46&lt;&gt;"",$G46&lt;=EOMONTH(J$3,0),$H46&gt;=J$3),"B","U"),IF(AND($G46&lt;&gt;"",$G46&lt;=EOMONTH(J$3,0),$H46&gt;=J$3),"D","")))</f>
        <v/>
      </c>
      <c r="K46" s="214">
        <f>IF($AH46="","",IF(AND($E46&lt;&gt;"",$E46&lt;=EOMONTH(K$3,0),$F46&gt;=K$3),IF(AND($G46&lt;&gt;"",$G46&lt;=EOMONTH(K$3,0),$H46&gt;=K$3),"B","U"),IF(AND($G46&lt;&gt;"",$G46&lt;=EOMONTH(K$3,0),$H46&gt;=K$3),"D","")))</f>
        <v/>
      </c>
      <c r="L46" s="214">
        <f>IF($AH46="","",IF(AND($E46&lt;&gt;"",$E46&lt;=EOMONTH(L$3,0),$F46&gt;=L$3),IF(AND($G46&lt;&gt;"",$G46&lt;=EOMONTH(L$3,0),$H46&gt;=L$3),"B","U"),IF(AND($G46&lt;&gt;"",$G46&lt;=EOMONTH(L$3,0),$H46&gt;=L$3),"D","")))</f>
        <v/>
      </c>
      <c r="M46" s="214">
        <f>IF($AH46="","",IF(AND($E46&lt;&gt;"",$E46&lt;=EOMONTH(M$3,0),$F46&gt;=M$3),IF(AND($G46&lt;&gt;"",$G46&lt;=EOMONTH(M$3,0),$H46&gt;=M$3),"B","U"),IF(AND($G46&lt;&gt;"",$G46&lt;=EOMONTH(M$3,0),$H46&gt;=M$3),"D","")))</f>
        <v/>
      </c>
      <c r="N46" s="214">
        <f>IF($AH46="","",IF(AND($E46&lt;&gt;"",$E46&lt;=EOMONTH(N$3,0),$F46&gt;=N$3),IF(AND($G46&lt;&gt;"",$G46&lt;=EOMONTH(N$3,0),$H46&gt;=N$3),"B","U"),IF(AND($G46&lt;&gt;"",$G46&lt;=EOMONTH(N$3,0),$H46&gt;=N$3),"D","")))</f>
        <v/>
      </c>
      <c r="O46" s="214">
        <f>IF($AH46="","",IF(AND($E46&lt;&gt;"",$E46&lt;=EOMONTH(O$3,0),$F46&gt;=O$3),IF(AND($G46&lt;&gt;"",$G46&lt;=EOMONTH(O$3,0),$H46&gt;=O$3),"B","U"),IF(AND($G46&lt;&gt;"",$G46&lt;=EOMONTH(O$3,0),$H46&gt;=O$3),"D","")))</f>
        <v/>
      </c>
      <c r="P46" s="214">
        <f>IF($AH46="","",IF(AND($E46&lt;&gt;"",$E46&lt;=EOMONTH(P$3,0),$F46&gt;=P$3),IF(AND($G46&lt;&gt;"",$G46&lt;=EOMONTH(P$3,0),$H46&gt;=P$3),"B","U"),IF(AND($G46&lt;&gt;"",$G46&lt;=EOMONTH(P$3,0),$H46&gt;=P$3),"D","")))</f>
        <v/>
      </c>
      <c r="Q46" s="214">
        <f>IF($AH46="","",IF(AND($E46&lt;&gt;"",$E46&lt;=EOMONTH(Q$3,0),$F46&gt;=Q$3),IF(AND($G46&lt;&gt;"",$G46&lt;=EOMONTH(Q$3,0),$H46&gt;=Q$3),"B","U"),IF(AND($G46&lt;&gt;"",$G46&lt;=EOMONTH(Q$3,0),$H46&gt;=Q$3),"D","")))</f>
        <v/>
      </c>
      <c r="R46" s="214">
        <f>IF($AH46="","",IF(AND($E46&lt;&gt;"",$E46&lt;=EOMONTH(R$3,0),$F46&gt;=R$3),IF(AND($G46&lt;&gt;"",$G46&lt;=EOMONTH(R$3,0),$H46&gt;=R$3),"B","U"),IF(AND($G46&lt;&gt;"",$G46&lt;=EOMONTH(R$3,0),$H46&gt;=R$3),"D","")))</f>
        <v/>
      </c>
      <c r="S46" s="214">
        <f>IF($AH46="","",IF(AND($E46&lt;&gt;"",$E46&lt;=EOMONTH(S$3,0),$F46&gt;=S$3),IF(AND($G46&lt;&gt;"",$G46&lt;=EOMONTH(S$3,0),$H46&gt;=S$3),"B","U"),IF(AND($G46&lt;&gt;"",$G46&lt;=EOMONTH(S$3,0),$H46&gt;=S$3),"D","")))</f>
        <v/>
      </c>
      <c r="T46" s="214">
        <f>IF($AH46="","",IF(AND($E46&lt;&gt;"",$E46&lt;=EOMONTH(T$3,0),$F46&gt;=T$3),IF(AND($G46&lt;&gt;"",$G46&lt;=EOMONTH(T$3,0),$H46&gt;=T$3),"B","U"),IF(AND($G46&lt;&gt;"",$G46&lt;=EOMONTH(T$3,0),$H46&gt;=T$3),"D","")))</f>
        <v/>
      </c>
      <c r="U46" s="214">
        <f>IF($AH46="","",IF(AND($E46&lt;&gt;"",$E46&lt;=EOMONTH(U$3,0),$F46&gt;=U$3),IF(AND($G46&lt;&gt;"",$G46&lt;=EOMONTH(U$3,0),$H46&gt;=U$3),"B","U"),IF(AND($G46&lt;&gt;"",$G46&lt;=EOMONTH(U$3,0),$H46&gt;=U$3),"D","")))</f>
        <v/>
      </c>
      <c r="V46" s="214">
        <f>IF($AH46="","",IF(AND($E46&lt;&gt;"",$E46&lt;=EOMONTH(V$3,0),$F46&gt;=V$3),IF(AND($G46&lt;&gt;"",$G46&lt;=EOMONTH(V$3,0),$H46&gt;=V$3),"B","U"),IF(AND($G46&lt;&gt;"",$G46&lt;=EOMONTH(V$3,0),$H46&gt;=V$3),"D","")))</f>
        <v/>
      </c>
      <c r="W46" s="214">
        <f>IF($AH46="","",IF(AND($E46&lt;&gt;"",$E46&lt;=EOMONTH(W$3,0),$F46&gt;=W$3),IF(AND($G46&lt;&gt;"",$G46&lt;=EOMONTH(W$3,0),$H46&gt;=W$3),"B","U"),IF(AND($G46&lt;&gt;"",$G46&lt;=EOMONTH(W$3,0),$H46&gt;=W$3),"D","")))</f>
        <v/>
      </c>
      <c r="X46" s="214">
        <f>IF($AH46="","",IF(AND($E46&lt;&gt;"",$E46&lt;=EOMONTH(X$3,0),$F46&gt;=X$3),IF(AND($G46&lt;&gt;"",$G46&lt;=EOMONTH(X$3,0),$H46&gt;=X$3),"B","U"),IF(AND($G46&lt;&gt;"",$G46&lt;=EOMONTH(X$3,0),$H46&gt;=X$3),"D","")))</f>
        <v/>
      </c>
      <c r="Y46" s="214">
        <f>IF($AH46="","",IF(AND($E46&lt;&gt;"",$E46&lt;=EOMONTH(Y$3,0),$F46&gt;=Y$3),IF(AND($G46&lt;&gt;"",$G46&lt;=EOMONTH(Y$3,0),$H46&gt;=Y$3),"B","U"),IF(AND($G46&lt;&gt;"",$G46&lt;=EOMONTH(Y$3,0),$H46&gt;=Y$3),"D","")))</f>
        <v/>
      </c>
      <c r="Z46" s="214">
        <f>IF($AH46="","",IF(AND($E46&lt;&gt;"",$E46&lt;=EOMONTH(Z$3,0),$F46&gt;=Z$3),IF(AND($G46&lt;&gt;"",$G46&lt;=EOMONTH(Z$3,0),$H46&gt;=Z$3),"B","U"),IF(AND($G46&lt;&gt;"",$G46&lt;=EOMONTH(Z$3,0),$H46&gt;=Z$3),"D","")))</f>
        <v/>
      </c>
      <c r="AA46" s="214">
        <f>IF($AH46="","",IF(AND($E46&lt;&gt;"",$E46&lt;=EOMONTH(AA$3,0),$F46&gt;=AA$3),IF(AND($G46&lt;&gt;"",$G46&lt;=EOMONTH(AA$3,0),$H46&gt;=AA$3),"B","U"),IF(AND($G46&lt;&gt;"",$G46&lt;=EOMONTH(AA$3,0),$H46&gt;=AA$3),"D","")))</f>
        <v/>
      </c>
      <c r="AB46" s="214">
        <f>IF($AH46="","",IF(AND($E46&lt;&gt;"",$E46&lt;=EOMONTH(AB$3,0),$F46&gt;=AB$3),IF(AND($G46&lt;&gt;"",$G46&lt;=EOMONTH(AB$3,0),$H46&gt;=AB$3),"B","U"),IF(AND($G46&lt;&gt;"",$G46&lt;=EOMONTH(AB$3,0),$H46&gt;=AB$3),"D","")))</f>
        <v/>
      </c>
      <c r="AC46" s="214">
        <f>IF($AH46="","",IF(AND($E46&lt;&gt;"",$E46&lt;=EOMONTH(AC$3,0),$F46&gt;=AC$3),IF(AND($G46&lt;&gt;"",$G46&lt;=EOMONTH(AC$3,0),$H46&gt;=AC$3),"B","U"),IF(AND($G46&lt;&gt;"",$G46&lt;=EOMONTH(AC$3,0),$H46&gt;=AC$3),"D","")))</f>
        <v/>
      </c>
      <c r="AD46" s="214">
        <f>IF($AH46="","",IF(AND($E46&lt;&gt;"",$E46&lt;=EOMONTH(AD$3,0),$F46&gt;=AD$3),IF(AND($G46&lt;&gt;"",$G46&lt;=EOMONTH(AD$3,0),$H46&gt;=AD$3),"B","U"),IF(AND($G46&lt;&gt;"",$G46&lt;=EOMONTH(AD$3,0),$H46&gt;=AD$3),"D","")))</f>
        <v/>
      </c>
      <c r="AE46" s="214">
        <f>IF($AH46="","",IF(AND($E46&lt;&gt;"",$E46&lt;=EOMONTH(AE$3,0),$F46&gt;=AE$3),IF(AND($G46&lt;&gt;"",$G46&lt;=EOMONTH(AE$3,0),$H46&gt;=AE$3),"B","U"),IF(AND($G46&lt;&gt;"",$G46&lt;=EOMONTH(AE$3,0),$H46&gt;=AE$3),"D","")))</f>
        <v/>
      </c>
      <c r="AF46" s="214">
        <f>IF($AH46="","",IF(AND($E46&lt;&gt;"",$E46&lt;=EOMONTH(AF$3,0),$F46&gt;=AF$3),IF(AND($G46&lt;&gt;"",$G46&lt;=EOMONTH(AF$3,0),$H46&gt;=AF$3),"B","U"),IF(AND($G46&lt;&gt;"",$G46&lt;=EOMONTH(AF$3,0),$H46&gt;=AF$3),"D","")))</f>
        <v/>
      </c>
      <c r="AG46">
        <f>IF($AH46="","",INDEX('Roadmap Calc (Don’t Touch)'!$D$2:$D$205,$AH46))</f>
        <v/>
      </c>
      <c r="AH46">
        <f>IFERROR(MATCH(40,'Roadmap Calc (Don’t Touch)'!$O$2:$O$205,0),"")</f>
        <v/>
      </c>
    </row>
    <row r="47" ht="17" customHeight="1">
      <c r="A47" s="209">
        <f>IF($AH47="","",IF($AG47=$AG46,"",$AG47))</f>
        <v/>
      </c>
      <c r="B47" s="210">
        <f>IF($AH47="","",INDEX('Roadmap Calc (Don’t Touch)'!$B$2:$B$205,$AH47))</f>
        <v/>
      </c>
      <c r="C47" s="211">
        <f>IF($AH47="","",INDEX('Roadmap Calc (Don’t Touch)'!$E$2:$E$205,$AH47))</f>
        <v/>
      </c>
      <c r="D47" s="212">
        <f>IF($AH47="","",INDEX('Roadmap Calc (Don’t Touch)'!$F$2:$F$205,$AH47))</f>
        <v/>
      </c>
      <c r="E47" s="213">
        <f>IF($AH47="","",INDEX('Roadmap Calc (Don’t Touch)'!$G$2:$G$205,$AH47))</f>
        <v/>
      </c>
      <c r="F47" s="213">
        <f>IF($AH47="","",INDEX('Roadmap Calc (Don’t Touch)'!$H$2:$H$205,$AH47))</f>
        <v/>
      </c>
      <c r="G47" s="213">
        <f>IF($AH47="","",INDEX('Roadmap Calc (Don’t Touch)'!$I$2:$I$205,$AH47))</f>
        <v/>
      </c>
      <c r="H47" s="213">
        <f>IF($AH47="","",INDEX('Roadmap Calc (Don’t Touch)'!$J$2:$J$205,$AH47))</f>
        <v/>
      </c>
      <c r="I47" s="214">
        <f>IF($AH47="","",IF(AND($E47&lt;&gt;"",$E47&lt;=EOMONTH(I$3,0),$F47&gt;=I$3),IF(AND($G47&lt;&gt;"",$G47&lt;=EOMONTH(I$3,0),$H47&gt;=I$3),"B","U"),IF(AND($G47&lt;&gt;"",$G47&lt;=EOMONTH(I$3,0),$H47&gt;=I$3),"D","")))</f>
        <v/>
      </c>
      <c r="J47" s="214">
        <f>IF($AH47="","",IF(AND($E47&lt;&gt;"",$E47&lt;=EOMONTH(J$3,0),$F47&gt;=J$3),IF(AND($G47&lt;&gt;"",$G47&lt;=EOMONTH(J$3,0),$H47&gt;=J$3),"B","U"),IF(AND($G47&lt;&gt;"",$G47&lt;=EOMONTH(J$3,0),$H47&gt;=J$3),"D","")))</f>
        <v/>
      </c>
      <c r="K47" s="214">
        <f>IF($AH47="","",IF(AND($E47&lt;&gt;"",$E47&lt;=EOMONTH(K$3,0),$F47&gt;=K$3),IF(AND($G47&lt;&gt;"",$G47&lt;=EOMONTH(K$3,0),$H47&gt;=K$3),"B","U"),IF(AND($G47&lt;&gt;"",$G47&lt;=EOMONTH(K$3,0),$H47&gt;=K$3),"D","")))</f>
        <v/>
      </c>
      <c r="L47" s="214">
        <f>IF($AH47="","",IF(AND($E47&lt;&gt;"",$E47&lt;=EOMONTH(L$3,0),$F47&gt;=L$3),IF(AND($G47&lt;&gt;"",$G47&lt;=EOMONTH(L$3,0),$H47&gt;=L$3),"B","U"),IF(AND($G47&lt;&gt;"",$G47&lt;=EOMONTH(L$3,0),$H47&gt;=L$3),"D","")))</f>
        <v/>
      </c>
      <c r="M47" s="214">
        <f>IF($AH47="","",IF(AND($E47&lt;&gt;"",$E47&lt;=EOMONTH(M$3,0),$F47&gt;=M$3),IF(AND($G47&lt;&gt;"",$G47&lt;=EOMONTH(M$3,0),$H47&gt;=M$3),"B","U"),IF(AND($G47&lt;&gt;"",$G47&lt;=EOMONTH(M$3,0),$H47&gt;=M$3),"D","")))</f>
        <v/>
      </c>
      <c r="N47" s="214">
        <f>IF($AH47="","",IF(AND($E47&lt;&gt;"",$E47&lt;=EOMONTH(N$3,0),$F47&gt;=N$3),IF(AND($G47&lt;&gt;"",$G47&lt;=EOMONTH(N$3,0),$H47&gt;=N$3),"B","U"),IF(AND($G47&lt;&gt;"",$G47&lt;=EOMONTH(N$3,0),$H47&gt;=N$3),"D","")))</f>
        <v/>
      </c>
      <c r="O47" s="214">
        <f>IF($AH47="","",IF(AND($E47&lt;&gt;"",$E47&lt;=EOMONTH(O$3,0),$F47&gt;=O$3),IF(AND($G47&lt;&gt;"",$G47&lt;=EOMONTH(O$3,0),$H47&gt;=O$3),"B","U"),IF(AND($G47&lt;&gt;"",$G47&lt;=EOMONTH(O$3,0),$H47&gt;=O$3),"D","")))</f>
        <v/>
      </c>
      <c r="P47" s="214">
        <f>IF($AH47="","",IF(AND($E47&lt;&gt;"",$E47&lt;=EOMONTH(P$3,0),$F47&gt;=P$3),IF(AND($G47&lt;&gt;"",$G47&lt;=EOMONTH(P$3,0),$H47&gt;=P$3),"B","U"),IF(AND($G47&lt;&gt;"",$G47&lt;=EOMONTH(P$3,0),$H47&gt;=P$3),"D","")))</f>
        <v/>
      </c>
      <c r="Q47" s="214">
        <f>IF($AH47="","",IF(AND($E47&lt;&gt;"",$E47&lt;=EOMONTH(Q$3,0),$F47&gt;=Q$3),IF(AND($G47&lt;&gt;"",$G47&lt;=EOMONTH(Q$3,0),$H47&gt;=Q$3),"B","U"),IF(AND($G47&lt;&gt;"",$G47&lt;=EOMONTH(Q$3,0),$H47&gt;=Q$3),"D","")))</f>
        <v/>
      </c>
      <c r="R47" s="214">
        <f>IF($AH47="","",IF(AND($E47&lt;&gt;"",$E47&lt;=EOMONTH(R$3,0),$F47&gt;=R$3),IF(AND($G47&lt;&gt;"",$G47&lt;=EOMONTH(R$3,0),$H47&gt;=R$3),"B","U"),IF(AND($G47&lt;&gt;"",$G47&lt;=EOMONTH(R$3,0),$H47&gt;=R$3),"D","")))</f>
        <v/>
      </c>
      <c r="S47" s="214">
        <f>IF($AH47="","",IF(AND($E47&lt;&gt;"",$E47&lt;=EOMONTH(S$3,0),$F47&gt;=S$3),IF(AND($G47&lt;&gt;"",$G47&lt;=EOMONTH(S$3,0),$H47&gt;=S$3),"B","U"),IF(AND($G47&lt;&gt;"",$G47&lt;=EOMONTH(S$3,0),$H47&gt;=S$3),"D","")))</f>
        <v/>
      </c>
      <c r="T47" s="214">
        <f>IF($AH47="","",IF(AND($E47&lt;&gt;"",$E47&lt;=EOMONTH(T$3,0),$F47&gt;=T$3),IF(AND($G47&lt;&gt;"",$G47&lt;=EOMONTH(T$3,0),$H47&gt;=T$3),"B","U"),IF(AND($G47&lt;&gt;"",$G47&lt;=EOMONTH(T$3,0),$H47&gt;=T$3),"D","")))</f>
        <v/>
      </c>
      <c r="U47" s="214">
        <f>IF($AH47="","",IF(AND($E47&lt;&gt;"",$E47&lt;=EOMONTH(U$3,0),$F47&gt;=U$3),IF(AND($G47&lt;&gt;"",$G47&lt;=EOMONTH(U$3,0),$H47&gt;=U$3),"B","U"),IF(AND($G47&lt;&gt;"",$G47&lt;=EOMONTH(U$3,0),$H47&gt;=U$3),"D","")))</f>
        <v/>
      </c>
      <c r="V47" s="214">
        <f>IF($AH47="","",IF(AND($E47&lt;&gt;"",$E47&lt;=EOMONTH(V$3,0),$F47&gt;=V$3),IF(AND($G47&lt;&gt;"",$G47&lt;=EOMONTH(V$3,0),$H47&gt;=V$3),"B","U"),IF(AND($G47&lt;&gt;"",$G47&lt;=EOMONTH(V$3,0),$H47&gt;=V$3),"D","")))</f>
        <v/>
      </c>
      <c r="W47" s="214">
        <f>IF($AH47="","",IF(AND($E47&lt;&gt;"",$E47&lt;=EOMONTH(W$3,0),$F47&gt;=W$3),IF(AND($G47&lt;&gt;"",$G47&lt;=EOMONTH(W$3,0),$H47&gt;=W$3),"B","U"),IF(AND($G47&lt;&gt;"",$G47&lt;=EOMONTH(W$3,0),$H47&gt;=W$3),"D","")))</f>
        <v/>
      </c>
      <c r="X47" s="214">
        <f>IF($AH47="","",IF(AND($E47&lt;&gt;"",$E47&lt;=EOMONTH(X$3,0),$F47&gt;=X$3),IF(AND($G47&lt;&gt;"",$G47&lt;=EOMONTH(X$3,0),$H47&gt;=X$3),"B","U"),IF(AND($G47&lt;&gt;"",$G47&lt;=EOMONTH(X$3,0),$H47&gt;=X$3),"D","")))</f>
        <v/>
      </c>
      <c r="Y47" s="214">
        <f>IF($AH47="","",IF(AND($E47&lt;&gt;"",$E47&lt;=EOMONTH(Y$3,0),$F47&gt;=Y$3),IF(AND($G47&lt;&gt;"",$G47&lt;=EOMONTH(Y$3,0),$H47&gt;=Y$3),"B","U"),IF(AND($G47&lt;&gt;"",$G47&lt;=EOMONTH(Y$3,0),$H47&gt;=Y$3),"D","")))</f>
        <v/>
      </c>
      <c r="Z47" s="214">
        <f>IF($AH47="","",IF(AND($E47&lt;&gt;"",$E47&lt;=EOMONTH(Z$3,0),$F47&gt;=Z$3),IF(AND($G47&lt;&gt;"",$G47&lt;=EOMONTH(Z$3,0),$H47&gt;=Z$3),"B","U"),IF(AND($G47&lt;&gt;"",$G47&lt;=EOMONTH(Z$3,0),$H47&gt;=Z$3),"D","")))</f>
        <v/>
      </c>
      <c r="AA47" s="214">
        <f>IF($AH47="","",IF(AND($E47&lt;&gt;"",$E47&lt;=EOMONTH(AA$3,0),$F47&gt;=AA$3),IF(AND($G47&lt;&gt;"",$G47&lt;=EOMONTH(AA$3,0),$H47&gt;=AA$3),"B","U"),IF(AND($G47&lt;&gt;"",$G47&lt;=EOMONTH(AA$3,0),$H47&gt;=AA$3),"D","")))</f>
        <v/>
      </c>
      <c r="AB47" s="214">
        <f>IF($AH47="","",IF(AND($E47&lt;&gt;"",$E47&lt;=EOMONTH(AB$3,0),$F47&gt;=AB$3),IF(AND($G47&lt;&gt;"",$G47&lt;=EOMONTH(AB$3,0),$H47&gt;=AB$3),"B","U"),IF(AND($G47&lt;&gt;"",$G47&lt;=EOMONTH(AB$3,0),$H47&gt;=AB$3),"D","")))</f>
        <v/>
      </c>
      <c r="AC47" s="214">
        <f>IF($AH47="","",IF(AND($E47&lt;&gt;"",$E47&lt;=EOMONTH(AC$3,0),$F47&gt;=AC$3),IF(AND($G47&lt;&gt;"",$G47&lt;=EOMONTH(AC$3,0),$H47&gt;=AC$3),"B","U"),IF(AND($G47&lt;&gt;"",$G47&lt;=EOMONTH(AC$3,0),$H47&gt;=AC$3),"D","")))</f>
        <v/>
      </c>
      <c r="AD47" s="214">
        <f>IF($AH47="","",IF(AND($E47&lt;&gt;"",$E47&lt;=EOMONTH(AD$3,0),$F47&gt;=AD$3),IF(AND($G47&lt;&gt;"",$G47&lt;=EOMONTH(AD$3,0),$H47&gt;=AD$3),"B","U"),IF(AND($G47&lt;&gt;"",$G47&lt;=EOMONTH(AD$3,0),$H47&gt;=AD$3),"D","")))</f>
        <v/>
      </c>
      <c r="AE47" s="214">
        <f>IF($AH47="","",IF(AND($E47&lt;&gt;"",$E47&lt;=EOMONTH(AE$3,0),$F47&gt;=AE$3),IF(AND($G47&lt;&gt;"",$G47&lt;=EOMONTH(AE$3,0),$H47&gt;=AE$3),"B","U"),IF(AND($G47&lt;&gt;"",$G47&lt;=EOMONTH(AE$3,0),$H47&gt;=AE$3),"D","")))</f>
        <v/>
      </c>
      <c r="AF47" s="214">
        <f>IF($AH47="","",IF(AND($E47&lt;&gt;"",$E47&lt;=EOMONTH(AF$3,0),$F47&gt;=AF$3),IF(AND($G47&lt;&gt;"",$G47&lt;=EOMONTH(AF$3,0),$H47&gt;=AF$3),"B","U"),IF(AND($G47&lt;&gt;"",$G47&lt;=EOMONTH(AF$3,0),$H47&gt;=AF$3),"D","")))</f>
        <v/>
      </c>
      <c r="AG47">
        <f>IF($AH47="","",INDEX('Roadmap Calc (Don’t Touch)'!$D$2:$D$205,$AH47))</f>
        <v/>
      </c>
      <c r="AH47">
        <f>IFERROR(MATCH(41,'Roadmap Calc (Don’t Touch)'!$O$2:$O$205,0),"")</f>
        <v/>
      </c>
    </row>
    <row r="48" ht="17" customHeight="1">
      <c r="A48" s="209">
        <f>IF($AH48="","",IF($AG48=$AG47,"",$AG48))</f>
        <v/>
      </c>
      <c r="B48" s="210">
        <f>IF($AH48="","",INDEX('Roadmap Calc (Don’t Touch)'!$B$2:$B$205,$AH48))</f>
        <v/>
      </c>
      <c r="C48" s="211">
        <f>IF($AH48="","",INDEX('Roadmap Calc (Don’t Touch)'!$E$2:$E$205,$AH48))</f>
        <v/>
      </c>
      <c r="D48" s="212">
        <f>IF($AH48="","",INDEX('Roadmap Calc (Don’t Touch)'!$F$2:$F$205,$AH48))</f>
        <v/>
      </c>
      <c r="E48" s="213">
        <f>IF($AH48="","",INDEX('Roadmap Calc (Don’t Touch)'!$G$2:$G$205,$AH48))</f>
        <v/>
      </c>
      <c r="F48" s="213">
        <f>IF($AH48="","",INDEX('Roadmap Calc (Don’t Touch)'!$H$2:$H$205,$AH48))</f>
        <v/>
      </c>
      <c r="G48" s="213">
        <f>IF($AH48="","",INDEX('Roadmap Calc (Don’t Touch)'!$I$2:$I$205,$AH48))</f>
        <v/>
      </c>
      <c r="H48" s="213">
        <f>IF($AH48="","",INDEX('Roadmap Calc (Don’t Touch)'!$J$2:$J$205,$AH48))</f>
        <v/>
      </c>
      <c r="I48" s="214">
        <f>IF($AH48="","",IF(AND($E48&lt;&gt;"",$E48&lt;=EOMONTH(I$3,0),$F48&gt;=I$3),IF(AND($G48&lt;&gt;"",$G48&lt;=EOMONTH(I$3,0),$H48&gt;=I$3),"B","U"),IF(AND($G48&lt;&gt;"",$G48&lt;=EOMONTH(I$3,0),$H48&gt;=I$3),"D","")))</f>
        <v/>
      </c>
      <c r="J48" s="214">
        <f>IF($AH48="","",IF(AND($E48&lt;&gt;"",$E48&lt;=EOMONTH(J$3,0),$F48&gt;=J$3),IF(AND($G48&lt;&gt;"",$G48&lt;=EOMONTH(J$3,0),$H48&gt;=J$3),"B","U"),IF(AND($G48&lt;&gt;"",$G48&lt;=EOMONTH(J$3,0),$H48&gt;=J$3),"D","")))</f>
        <v/>
      </c>
      <c r="K48" s="214">
        <f>IF($AH48="","",IF(AND($E48&lt;&gt;"",$E48&lt;=EOMONTH(K$3,0),$F48&gt;=K$3),IF(AND($G48&lt;&gt;"",$G48&lt;=EOMONTH(K$3,0),$H48&gt;=K$3),"B","U"),IF(AND($G48&lt;&gt;"",$G48&lt;=EOMONTH(K$3,0),$H48&gt;=K$3),"D","")))</f>
        <v/>
      </c>
      <c r="L48" s="214">
        <f>IF($AH48="","",IF(AND($E48&lt;&gt;"",$E48&lt;=EOMONTH(L$3,0),$F48&gt;=L$3),IF(AND($G48&lt;&gt;"",$G48&lt;=EOMONTH(L$3,0),$H48&gt;=L$3),"B","U"),IF(AND($G48&lt;&gt;"",$G48&lt;=EOMONTH(L$3,0),$H48&gt;=L$3),"D","")))</f>
        <v/>
      </c>
      <c r="M48" s="214">
        <f>IF($AH48="","",IF(AND($E48&lt;&gt;"",$E48&lt;=EOMONTH(M$3,0),$F48&gt;=M$3),IF(AND($G48&lt;&gt;"",$G48&lt;=EOMONTH(M$3,0),$H48&gt;=M$3),"B","U"),IF(AND($G48&lt;&gt;"",$G48&lt;=EOMONTH(M$3,0),$H48&gt;=M$3),"D","")))</f>
        <v/>
      </c>
      <c r="N48" s="214">
        <f>IF($AH48="","",IF(AND($E48&lt;&gt;"",$E48&lt;=EOMONTH(N$3,0),$F48&gt;=N$3),IF(AND($G48&lt;&gt;"",$G48&lt;=EOMONTH(N$3,0),$H48&gt;=N$3),"B","U"),IF(AND($G48&lt;&gt;"",$G48&lt;=EOMONTH(N$3,0),$H48&gt;=N$3),"D","")))</f>
        <v/>
      </c>
      <c r="O48" s="214">
        <f>IF($AH48="","",IF(AND($E48&lt;&gt;"",$E48&lt;=EOMONTH(O$3,0),$F48&gt;=O$3),IF(AND($G48&lt;&gt;"",$G48&lt;=EOMONTH(O$3,0),$H48&gt;=O$3),"B","U"),IF(AND($G48&lt;&gt;"",$G48&lt;=EOMONTH(O$3,0),$H48&gt;=O$3),"D","")))</f>
        <v/>
      </c>
      <c r="P48" s="214">
        <f>IF($AH48="","",IF(AND($E48&lt;&gt;"",$E48&lt;=EOMONTH(P$3,0),$F48&gt;=P$3),IF(AND($G48&lt;&gt;"",$G48&lt;=EOMONTH(P$3,0),$H48&gt;=P$3),"B","U"),IF(AND($G48&lt;&gt;"",$G48&lt;=EOMONTH(P$3,0),$H48&gt;=P$3),"D","")))</f>
        <v/>
      </c>
      <c r="Q48" s="214">
        <f>IF($AH48="","",IF(AND($E48&lt;&gt;"",$E48&lt;=EOMONTH(Q$3,0),$F48&gt;=Q$3),IF(AND($G48&lt;&gt;"",$G48&lt;=EOMONTH(Q$3,0),$H48&gt;=Q$3),"B","U"),IF(AND($G48&lt;&gt;"",$G48&lt;=EOMONTH(Q$3,0),$H48&gt;=Q$3),"D","")))</f>
        <v/>
      </c>
      <c r="R48" s="214">
        <f>IF($AH48="","",IF(AND($E48&lt;&gt;"",$E48&lt;=EOMONTH(R$3,0),$F48&gt;=R$3),IF(AND($G48&lt;&gt;"",$G48&lt;=EOMONTH(R$3,0),$H48&gt;=R$3),"B","U"),IF(AND($G48&lt;&gt;"",$G48&lt;=EOMONTH(R$3,0),$H48&gt;=R$3),"D","")))</f>
        <v/>
      </c>
      <c r="S48" s="214">
        <f>IF($AH48="","",IF(AND($E48&lt;&gt;"",$E48&lt;=EOMONTH(S$3,0),$F48&gt;=S$3),IF(AND($G48&lt;&gt;"",$G48&lt;=EOMONTH(S$3,0),$H48&gt;=S$3),"B","U"),IF(AND($G48&lt;&gt;"",$G48&lt;=EOMONTH(S$3,0),$H48&gt;=S$3),"D","")))</f>
        <v/>
      </c>
      <c r="T48" s="214">
        <f>IF($AH48="","",IF(AND($E48&lt;&gt;"",$E48&lt;=EOMONTH(T$3,0),$F48&gt;=T$3),IF(AND($G48&lt;&gt;"",$G48&lt;=EOMONTH(T$3,0),$H48&gt;=T$3),"B","U"),IF(AND($G48&lt;&gt;"",$G48&lt;=EOMONTH(T$3,0),$H48&gt;=T$3),"D","")))</f>
        <v/>
      </c>
      <c r="U48" s="214">
        <f>IF($AH48="","",IF(AND($E48&lt;&gt;"",$E48&lt;=EOMONTH(U$3,0),$F48&gt;=U$3),IF(AND($G48&lt;&gt;"",$G48&lt;=EOMONTH(U$3,0),$H48&gt;=U$3),"B","U"),IF(AND($G48&lt;&gt;"",$G48&lt;=EOMONTH(U$3,0),$H48&gt;=U$3),"D","")))</f>
        <v/>
      </c>
      <c r="V48" s="214">
        <f>IF($AH48="","",IF(AND($E48&lt;&gt;"",$E48&lt;=EOMONTH(V$3,0),$F48&gt;=V$3),IF(AND($G48&lt;&gt;"",$G48&lt;=EOMONTH(V$3,0),$H48&gt;=V$3),"B","U"),IF(AND($G48&lt;&gt;"",$G48&lt;=EOMONTH(V$3,0),$H48&gt;=V$3),"D","")))</f>
        <v/>
      </c>
      <c r="W48" s="214">
        <f>IF($AH48="","",IF(AND($E48&lt;&gt;"",$E48&lt;=EOMONTH(W$3,0),$F48&gt;=W$3),IF(AND($G48&lt;&gt;"",$G48&lt;=EOMONTH(W$3,0),$H48&gt;=W$3),"B","U"),IF(AND($G48&lt;&gt;"",$G48&lt;=EOMONTH(W$3,0),$H48&gt;=W$3),"D","")))</f>
        <v/>
      </c>
      <c r="X48" s="214">
        <f>IF($AH48="","",IF(AND($E48&lt;&gt;"",$E48&lt;=EOMONTH(X$3,0),$F48&gt;=X$3),IF(AND($G48&lt;&gt;"",$G48&lt;=EOMONTH(X$3,0),$H48&gt;=X$3),"B","U"),IF(AND($G48&lt;&gt;"",$G48&lt;=EOMONTH(X$3,0),$H48&gt;=X$3),"D","")))</f>
        <v/>
      </c>
      <c r="Y48" s="214">
        <f>IF($AH48="","",IF(AND($E48&lt;&gt;"",$E48&lt;=EOMONTH(Y$3,0),$F48&gt;=Y$3),IF(AND($G48&lt;&gt;"",$G48&lt;=EOMONTH(Y$3,0),$H48&gt;=Y$3),"B","U"),IF(AND($G48&lt;&gt;"",$G48&lt;=EOMONTH(Y$3,0),$H48&gt;=Y$3),"D","")))</f>
        <v/>
      </c>
      <c r="Z48" s="214">
        <f>IF($AH48="","",IF(AND($E48&lt;&gt;"",$E48&lt;=EOMONTH(Z$3,0),$F48&gt;=Z$3),IF(AND($G48&lt;&gt;"",$G48&lt;=EOMONTH(Z$3,0),$H48&gt;=Z$3),"B","U"),IF(AND($G48&lt;&gt;"",$G48&lt;=EOMONTH(Z$3,0),$H48&gt;=Z$3),"D","")))</f>
        <v/>
      </c>
      <c r="AA48" s="214">
        <f>IF($AH48="","",IF(AND($E48&lt;&gt;"",$E48&lt;=EOMONTH(AA$3,0),$F48&gt;=AA$3),IF(AND($G48&lt;&gt;"",$G48&lt;=EOMONTH(AA$3,0),$H48&gt;=AA$3),"B","U"),IF(AND($G48&lt;&gt;"",$G48&lt;=EOMONTH(AA$3,0),$H48&gt;=AA$3),"D","")))</f>
        <v/>
      </c>
      <c r="AB48" s="214">
        <f>IF($AH48="","",IF(AND($E48&lt;&gt;"",$E48&lt;=EOMONTH(AB$3,0),$F48&gt;=AB$3),IF(AND($G48&lt;&gt;"",$G48&lt;=EOMONTH(AB$3,0),$H48&gt;=AB$3),"B","U"),IF(AND($G48&lt;&gt;"",$G48&lt;=EOMONTH(AB$3,0),$H48&gt;=AB$3),"D","")))</f>
        <v/>
      </c>
      <c r="AC48" s="214">
        <f>IF($AH48="","",IF(AND($E48&lt;&gt;"",$E48&lt;=EOMONTH(AC$3,0),$F48&gt;=AC$3),IF(AND($G48&lt;&gt;"",$G48&lt;=EOMONTH(AC$3,0),$H48&gt;=AC$3),"B","U"),IF(AND($G48&lt;&gt;"",$G48&lt;=EOMONTH(AC$3,0),$H48&gt;=AC$3),"D","")))</f>
        <v/>
      </c>
      <c r="AD48" s="214">
        <f>IF($AH48="","",IF(AND($E48&lt;&gt;"",$E48&lt;=EOMONTH(AD$3,0),$F48&gt;=AD$3),IF(AND($G48&lt;&gt;"",$G48&lt;=EOMONTH(AD$3,0),$H48&gt;=AD$3),"B","U"),IF(AND($G48&lt;&gt;"",$G48&lt;=EOMONTH(AD$3,0),$H48&gt;=AD$3),"D","")))</f>
        <v/>
      </c>
      <c r="AE48" s="214">
        <f>IF($AH48="","",IF(AND($E48&lt;&gt;"",$E48&lt;=EOMONTH(AE$3,0),$F48&gt;=AE$3),IF(AND($G48&lt;&gt;"",$G48&lt;=EOMONTH(AE$3,0),$H48&gt;=AE$3),"B","U"),IF(AND($G48&lt;&gt;"",$G48&lt;=EOMONTH(AE$3,0),$H48&gt;=AE$3),"D","")))</f>
        <v/>
      </c>
      <c r="AF48" s="214">
        <f>IF($AH48="","",IF(AND($E48&lt;&gt;"",$E48&lt;=EOMONTH(AF$3,0),$F48&gt;=AF$3),IF(AND($G48&lt;&gt;"",$G48&lt;=EOMONTH(AF$3,0),$H48&gt;=AF$3),"B","U"),IF(AND($G48&lt;&gt;"",$G48&lt;=EOMONTH(AF$3,0),$H48&gt;=AF$3),"D","")))</f>
        <v/>
      </c>
      <c r="AG48">
        <f>IF($AH48="","",INDEX('Roadmap Calc (Don’t Touch)'!$D$2:$D$205,$AH48))</f>
        <v/>
      </c>
      <c r="AH48">
        <f>IFERROR(MATCH(42,'Roadmap Calc (Don’t Touch)'!$O$2:$O$205,0),"")</f>
        <v/>
      </c>
    </row>
    <row r="49" ht="17" customHeight="1">
      <c r="A49" s="209">
        <f>IF($AH49="","",IF($AG49=$AG48,"",$AG49))</f>
        <v/>
      </c>
      <c r="B49" s="210">
        <f>IF($AH49="","",INDEX('Roadmap Calc (Don’t Touch)'!$B$2:$B$205,$AH49))</f>
        <v/>
      </c>
      <c r="C49" s="211">
        <f>IF($AH49="","",INDEX('Roadmap Calc (Don’t Touch)'!$E$2:$E$205,$AH49))</f>
        <v/>
      </c>
      <c r="D49" s="212">
        <f>IF($AH49="","",INDEX('Roadmap Calc (Don’t Touch)'!$F$2:$F$205,$AH49))</f>
        <v/>
      </c>
      <c r="E49" s="213">
        <f>IF($AH49="","",INDEX('Roadmap Calc (Don’t Touch)'!$G$2:$G$205,$AH49))</f>
        <v/>
      </c>
      <c r="F49" s="213">
        <f>IF($AH49="","",INDEX('Roadmap Calc (Don’t Touch)'!$H$2:$H$205,$AH49))</f>
        <v/>
      </c>
      <c r="G49" s="213">
        <f>IF($AH49="","",INDEX('Roadmap Calc (Don’t Touch)'!$I$2:$I$205,$AH49))</f>
        <v/>
      </c>
      <c r="H49" s="213">
        <f>IF($AH49="","",INDEX('Roadmap Calc (Don’t Touch)'!$J$2:$J$205,$AH49))</f>
        <v/>
      </c>
      <c r="I49" s="214">
        <f>IF($AH49="","",IF(AND($E49&lt;&gt;"",$E49&lt;=EOMONTH(I$3,0),$F49&gt;=I$3),IF(AND($G49&lt;&gt;"",$G49&lt;=EOMONTH(I$3,0),$H49&gt;=I$3),"B","U"),IF(AND($G49&lt;&gt;"",$G49&lt;=EOMONTH(I$3,0),$H49&gt;=I$3),"D","")))</f>
        <v/>
      </c>
      <c r="J49" s="214">
        <f>IF($AH49="","",IF(AND($E49&lt;&gt;"",$E49&lt;=EOMONTH(J$3,0),$F49&gt;=J$3),IF(AND($G49&lt;&gt;"",$G49&lt;=EOMONTH(J$3,0),$H49&gt;=J$3),"B","U"),IF(AND($G49&lt;&gt;"",$G49&lt;=EOMONTH(J$3,0),$H49&gt;=J$3),"D","")))</f>
        <v/>
      </c>
      <c r="K49" s="214">
        <f>IF($AH49="","",IF(AND($E49&lt;&gt;"",$E49&lt;=EOMONTH(K$3,0),$F49&gt;=K$3),IF(AND($G49&lt;&gt;"",$G49&lt;=EOMONTH(K$3,0),$H49&gt;=K$3),"B","U"),IF(AND($G49&lt;&gt;"",$G49&lt;=EOMONTH(K$3,0),$H49&gt;=K$3),"D","")))</f>
        <v/>
      </c>
      <c r="L49" s="214">
        <f>IF($AH49="","",IF(AND($E49&lt;&gt;"",$E49&lt;=EOMONTH(L$3,0),$F49&gt;=L$3),IF(AND($G49&lt;&gt;"",$G49&lt;=EOMONTH(L$3,0),$H49&gt;=L$3),"B","U"),IF(AND($G49&lt;&gt;"",$G49&lt;=EOMONTH(L$3,0),$H49&gt;=L$3),"D","")))</f>
        <v/>
      </c>
      <c r="M49" s="214">
        <f>IF($AH49="","",IF(AND($E49&lt;&gt;"",$E49&lt;=EOMONTH(M$3,0),$F49&gt;=M$3),IF(AND($G49&lt;&gt;"",$G49&lt;=EOMONTH(M$3,0),$H49&gt;=M$3),"B","U"),IF(AND($G49&lt;&gt;"",$G49&lt;=EOMONTH(M$3,0),$H49&gt;=M$3),"D","")))</f>
        <v/>
      </c>
      <c r="N49" s="214">
        <f>IF($AH49="","",IF(AND($E49&lt;&gt;"",$E49&lt;=EOMONTH(N$3,0),$F49&gt;=N$3),IF(AND($G49&lt;&gt;"",$G49&lt;=EOMONTH(N$3,0),$H49&gt;=N$3),"B","U"),IF(AND($G49&lt;&gt;"",$G49&lt;=EOMONTH(N$3,0),$H49&gt;=N$3),"D","")))</f>
        <v/>
      </c>
      <c r="O49" s="214">
        <f>IF($AH49="","",IF(AND($E49&lt;&gt;"",$E49&lt;=EOMONTH(O$3,0),$F49&gt;=O$3),IF(AND($G49&lt;&gt;"",$G49&lt;=EOMONTH(O$3,0),$H49&gt;=O$3),"B","U"),IF(AND($G49&lt;&gt;"",$G49&lt;=EOMONTH(O$3,0),$H49&gt;=O$3),"D","")))</f>
        <v/>
      </c>
      <c r="P49" s="214">
        <f>IF($AH49="","",IF(AND($E49&lt;&gt;"",$E49&lt;=EOMONTH(P$3,0),$F49&gt;=P$3),IF(AND($G49&lt;&gt;"",$G49&lt;=EOMONTH(P$3,0),$H49&gt;=P$3),"B","U"),IF(AND($G49&lt;&gt;"",$G49&lt;=EOMONTH(P$3,0),$H49&gt;=P$3),"D","")))</f>
        <v/>
      </c>
      <c r="Q49" s="214">
        <f>IF($AH49="","",IF(AND($E49&lt;&gt;"",$E49&lt;=EOMONTH(Q$3,0),$F49&gt;=Q$3),IF(AND($G49&lt;&gt;"",$G49&lt;=EOMONTH(Q$3,0),$H49&gt;=Q$3),"B","U"),IF(AND($G49&lt;&gt;"",$G49&lt;=EOMONTH(Q$3,0),$H49&gt;=Q$3),"D","")))</f>
        <v/>
      </c>
      <c r="R49" s="214">
        <f>IF($AH49="","",IF(AND($E49&lt;&gt;"",$E49&lt;=EOMONTH(R$3,0),$F49&gt;=R$3),IF(AND($G49&lt;&gt;"",$G49&lt;=EOMONTH(R$3,0),$H49&gt;=R$3),"B","U"),IF(AND($G49&lt;&gt;"",$G49&lt;=EOMONTH(R$3,0),$H49&gt;=R$3),"D","")))</f>
        <v/>
      </c>
      <c r="S49" s="214">
        <f>IF($AH49="","",IF(AND($E49&lt;&gt;"",$E49&lt;=EOMONTH(S$3,0),$F49&gt;=S$3),IF(AND($G49&lt;&gt;"",$G49&lt;=EOMONTH(S$3,0),$H49&gt;=S$3),"B","U"),IF(AND($G49&lt;&gt;"",$G49&lt;=EOMONTH(S$3,0),$H49&gt;=S$3),"D","")))</f>
        <v/>
      </c>
      <c r="T49" s="214">
        <f>IF($AH49="","",IF(AND($E49&lt;&gt;"",$E49&lt;=EOMONTH(T$3,0),$F49&gt;=T$3),IF(AND($G49&lt;&gt;"",$G49&lt;=EOMONTH(T$3,0),$H49&gt;=T$3),"B","U"),IF(AND($G49&lt;&gt;"",$G49&lt;=EOMONTH(T$3,0),$H49&gt;=T$3),"D","")))</f>
        <v/>
      </c>
      <c r="U49" s="214">
        <f>IF($AH49="","",IF(AND($E49&lt;&gt;"",$E49&lt;=EOMONTH(U$3,0),$F49&gt;=U$3),IF(AND($G49&lt;&gt;"",$G49&lt;=EOMONTH(U$3,0),$H49&gt;=U$3),"B","U"),IF(AND($G49&lt;&gt;"",$G49&lt;=EOMONTH(U$3,0),$H49&gt;=U$3),"D","")))</f>
        <v/>
      </c>
      <c r="V49" s="214">
        <f>IF($AH49="","",IF(AND($E49&lt;&gt;"",$E49&lt;=EOMONTH(V$3,0),$F49&gt;=V$3),IF(AND($G49&lt;&gt;"",$G49&lt;=EOMONTH(V$3,0),$H49&gt;=V$3),"B","U"),IF(AND($G49&lt;&gt;"",$G49&lt;=EOMONTH(V$3,0),$H49&gt;=V$3),"D","")))</f>
        <v/>
      </c>
      <c r="W49" s="214">
        <f>IF($AH49="","",IF(AND($E49&lt;&gt;"",$E49&lt;=EOMONTH(W$3,0),$F49&gt;=W$3),IF(AND($G49&lt;&gt;"",$G49&lt;=EOMONTH(W$3,0),$H49&gt;=W$3),"B","U"),IF(AND($G49&lt;&gt;"",$G49&lt;=EOMONTH(W$3,0),$H49&gt;=W$3),"D","")))</f>
        <v/>
      </c>
      <c r="X49" s="214">
        <f>IF($AH49="","",IF(AND($E49&lt;&gt;"",$E49&lt;=EOMONTH(X$3,0),$F49&gt;=X$3),IF(AND($G49&lt;&gt;"",$G49&lt;=EOMONTH(X$3,0),$H49&gt;=X$3),"B","U"),IF(AND($G49&lt;&gt;"",$G49&lt;=EOMONTH(X$3,0),$H49&gt;=X$3),"D","")))</f>
        <v/>
      </c>
      <c r="Y49" s="214">
        <f>IF($AH49="","",IF(AND($E49&lt;&gt;"",$E49&lt;=EOMONTH(Y$3,0),$F49&gt;=Y$3),IF(AND($G49&lt;&gt;"",$G49&lt;=EOMONTH(Y$3,0),$H49&gt;=Y$3),"B","U"),IF(AND($G49&lt;&gt;"",$G49&lt;=EOMONTH(Y$3,0),$H49&gt;=Y$3),"D","")))</f>
        <v/>
      </c>
      <c r="Z49" s="214">
        <f>IF($AH49="","",IF(AND($E49&lt;&gt;"",$E49&lt;=EOMONTH(Z$3,0),$F49&gt;=Z$3),IF(AND($G49&lt;&gt;"",$G49&lt;=EOMONTH(Z$3,0),$H49&gt;=Z$3),"B","U"),IF(AND($G49&lt;&gt;"",$G49&lt;=EOMONTH(Z$3,0),$H49&gt;=Z$3),"D","")))</f>
        <v/>
      </c>
      <c r="AA49" s="214">
        <f>IF($AH49="","",IF(AND($E49&lt;&gt;"",$E49&lt;=EOMONTH(AA$3,0),$F49&gt;=AA$3),IF(AND($G49&lt;&gt;"",$G49&lt;=EOMONTH(AA$3,0),$H49&gt;=AA$3),"B","U"),IF(AND($G49&lt;&gt;"",$G49&lt;=EOMONTH(AA$3,0),$H49&gt;=AA$3),"D","")))</f>
        <v/>
      </c>
      <c r="AB49" s="214">
        <f>IF($AH49="","",IF(AND($E49&lt;&gt;"",$E49&lt;=EOMONTH(AB$3,0),$F49&gt;=AB$3),IF(AND($G49&lt;&gt;"",$G49&lt;=EOMONTH(AB$3,0),$H49&gt;=AB$3),"B","U"),IF(AND($G49&lt;&gt;"",$G49&lt;=EOMONTH(AB$3,0),$H49&gt;=AB$3),"D","")))</f>
        <v/>
      </c>
      <c r="AC49" s="214">
        <f>IF($AH49="","",IF(AND($E49&lt;&gt;"",$E49&lt;=EOMONTH(AC$3,0),$F49&gt;=AC$3),IF(AND($G49&lt;&gt;"",$G49&lt;=EOMONTH(AC$3,0),$H49&gt;=AC$3),"B","U"),IF(AND($G49&lt;&gt;"",$G49&lt;=EOMONTH(AC$3,0),$H49&gt;=AC$3),"D","")))</f>
        <v/>
      </c>
      <c r="AD49" s="214">
        <f>IF($AH49="","",IF(AND($E49&lt;&gt;"",$E49&lt;=EOMONTH(AD$3,0),$F49&gt;=AD$3),IF(AND($G49&lt;&gt;"",$G49&lt;=EOMONTH(AD$3,0),$H49&gt;=AD$3),"B","U"),IF(AND($G49&lt;&gt;"",$G49&lt;=EOMONTH(AD$3,0),$H49&gt;=AD$3),"D","")))</f>
        <v/>
      </c>
      <c r="AE49" s="214">
        <f>IF($AH49="","",IF(AND($E49&lt;&gt;"",$E49&lt;=EOMONTH(AE$3,0),$F49&gt;=AE$3),IF(AND($G49&lt;&gt;"",$G49&lt;=EOMONTH(AE$3,0),$H49&gt;=AE$3),"B","U"),IF(AND($G49&lt;&gt;"",$G49&lt;=EOMONTH(AE$3,0),$H49&gt;=AE$3),"D","")))</f>
        <v/>
      </c>
      <c r="AF49" s="214">
        <f>IF($AH49="","",IF(AND($E49&lt;&gt;"",$E49&lt;=EOMONTH(AF$3,0),$F49&gt;=AF$3),IF(AND($G49&lt;&gt;"",$G49&lt;=EOMONTH(AF$3,0),$H49&gt;=AF$3),"B","U"),IF(AND($G49&lt;&gt;"",$G49&lt;=EOMONTH(AF$3,0),$H49&gt;=AF$3),"D","")))</f>
        <v/>
      </c>
      <c r="AG49">
        <f>IF($AH49="","",INDEX('Roadmap Calc (Don’t Touch)'!$D$2:$D$205,$AH49))</f>
        <v/>
      </c>
      <c r="AH49">
        <f>IFERROR(MATCH(43,'Roadmap Calc (Don’t Touch)'!$O$2:$O$205,0),"")</f>
        <v/>
      </c>
    </row>
    <row r="50" ht="17" customHeight="1">
      <c r="A50" s="209">
        <f>IF($AH50="","",IF($AG50=$AG49,"",$AG50))</f>
        <v/>
      </c>
      <c r="B50" s="210">
        <f>IF($AH50="","",INDEX('Roadmap Calc (Don’t Touch)'!$B$2:$B$205,$AH50))</f>
        <v/>
      </c>
      <c r="C50" s="211">
        <f>IF($AH50="","",INDEX('Roadmap Calc (Don’t Touch)'!$E$2:$E$205,$AH50))</f>
        <v/>
      </c>
      <c r="D50" s="212">
        <f>IF($AH50="","",INDEX('Roadmap Calc (Don’t Touch)'!$F$2:$F$205,$AH50))</f>
        <v/>
      </c>
      <c r="E50" s="213">
        <f>IF($AH50="","",INDEX('Roadmap Calc (Don’t Touch)'!$G$2:$G$205,$AH50))</f>
        <v/>
      </c>
      <c r="F50" s="213">
        <f>IF($AH50="","",INDEX('Roadmap Calc (Don’t Touch)'!$H$2:$H$205,$AH50))</f>
        <v/>
      </c>
      <c r="G50" s="213">
        <f>IF($AH50="","",INDEX('Roadmap Calc (Don’t Touch)'!$I$2:$I$205,$AH50))</f>
        <v/>
      </c>
      <c r="H50" s="213">
        <f>IF($AH50="","",INDEX('Roadmap Calc (Don’t Touch)'!$J$2:$J$205,$AH50))</f>
        <v/>
      </c>
      <c r="I50" s="214">
        <f>IF($AH50="","",IF(AND($E50&lt;&gt;"",$E50&lt;=EOMONTH(I$3,0),$F50&gt;=I$3),IF(AND($G50&lt;&gt;"",$G50&lt;=EOMONTH(I$3,0),$H50&gt;=I$3),"B","U"),IF(AND($G50&lt;&gt;"",$G50&lt;=EOMONTH(I$3,0),$H50&gt;=I$3),"D","")))</f>
        <v/>
      </c>
      <c r="J50" s="214">
        <f>IF($AH50="","",IF(AND($E50&lt;&gt;"",$E50&lt;=EOMONTH(J$3,0),$F50&gt;=J$3),IF(AND($G50&lt;&gt;"",$G50&lt;=EOMONTH(J$3,0),$H50&gt;=J$3),"B","U"),IF(AND($G50&lt;&gt;"",$G50&lt;=EOMONTH(J$3,0),$H50&gt;=J$3),"D","")))</f>
        <v/>
      </c>
      <c r="K50" s="214">
        <f>IF($AH50="","",IF(AND($E50&lt;&gt;"",$E50&lt;=EOMONTH(K$3,0),$F50&gt;=K$3),IF(AND($G50&lt;&gt;"",$G50&lt;=EOMONTH(K$3,0),$H50&gt;=K$3),"B","U"),IF(AND($G50&lt;&gt;"",$G50&lt;=EOMONTH(K$3,0),$H50&gt;=K$3),"D","")))</f>
        <v/>
      </c>
      <c r="L50" s="214">
        <f>IF($AH50="","",IF(AND($E50&lt;&gt;"",$E50&lt;=EOMONTH(L$3,0),$F50&gt;=L$3),IF(AND($G50&lt;&gt;"",$G50&lt;=EOMONTH(L$3,0),$H50&gt;=L$3),"B","U"),IF(AND($G50&lt;&gt;"",$G50&lt;=EOMONTH(L$3,0),$H50&gt;=L$3),"D","")))</f>
        <v/>
      </c>
      <c r="M50" s="214">
        <f>IF($AH50="","",IF(AND($E50&lt;&gt;"",$E50&lt;=EOMONTH(M$3,0),$F50&gt;=M$3),IF(AND($G50&lt;&gt;"",$G50&lt;=EOMONTH(M$3,0),$H50&gt;=M$3),"B","U"),IF(AND($G50&lt;&gt;"",$G50&lt;=EOMONTH(M$3,0),$H50&gt;=M$3),"D","")))</f>
        <v/>
      </c>
      <c r="N50" s="214">
        <f>IF($AH50="","",IF(AND($E50&lt;&gt;"",$E50&lt;=EOMONTH(N$3,0),$F50&gt;=N$3),IF(AND($G50&lt;&gt;"",$G50&lt;=EOMONTH(N$3,0),$H50&gt;=N$3),"B","U"),IF(AND($G50&lt;&gt;"",$G50&lt;=EOMONTH(N$3,0),$H50&gt;=N$3),"D","")))</f>
        <v/>
      </c>
      <c r="O50" s="214">
        <f>IF($AH50="","",IF(AND($E50&lt;&gt;"",$E50&lt;=EOMONTH(O$3,0),$F50&gt;=O$3),IF(AND($G50&lt;&gt;"",$G50&lt;=EOMONTH(O$3,0),$H50&gt;=O$3),"B","U"),IF(AND($G50&lt;&gt;"",$G50&lt;=EOMONTH(O$3,0),$H50&gt;=O$3),"D","")))</f>
        <v/>
      </c>
      <c r="P50" s="214">
        <f>IF($AH50="","",IF(AND($E50&lt;&gt;"",$E50&lt;=EOMONTH(P$3,0),$F50&gt;=P$3),IF(AND($G50&lt;&gt;"",$G50&lt;=EOMONTH(P$3,0),$H50&gt;=P$3),"B","U"),IF(AND($G50&lt;&gt;"",$G50&lt;=EOMONTH(P$3,0),$H50&gt;=P$3),"D","")))</f>
        <v/>
      </c>
      <c r="Q50" s="214">
        <f>IF($AH50="","",IF(AND($E50&lt;&gt;"",$E50&lt;=EOMONTH(Q$3,0),$F50&gt;=Q$3),IF(AND($G50&lt;&gt;"",$G50&lt;=EOMONTH(Q$3,0),$H50&gt;=Q$3),"B","U"),IF(AND($G50&lt;&gt;"",$G50&lt;=EOMONTH(Q$3,0),$H50&gt;=Q$3),"D","")))</f>
        <v/>
      </c>
      <c r="R50" s="214">
        <f>IF($AH50="","",IF(AND($E50&lt;&gt;"",$E50&lt;=EOMONTH(R$3,0),$F50&gt;=R$3),IF(AND($G50&lt;&gt;"",$G50&lt;=EOMONTH(R$3,0),$H50&gt;=R$3),"B","U"),IF(AND($G50&lt;&gt;"",$G50&lt;=EOMONTH(R$3,0),$H50&gt;=R$3),"D","")))</f>
        <v/>
      </c>
      <c r="S50" s="214">
        <f>IF($AH50="","",IF(AND($E50&lt;&gt;"",$E50&lt;=EOMONTH(S$3,0),$F50&gt;=S$3),IF(AND($G50&lt;&gt;"",$G50&lt;=EOMONTH(S$3,0),$H50&gt;=S$3),"B","U"),IF(AND($G50&lt;&gt;"",$G50&lt;=EOMONTH(S$3,0),$H50&gt;=S$3),"D","")))</f>
        <v/>
      </c>
      <c r="T50" s="214">
        <f>IF($AH50="","",IF(AND($E50&lt;&gt;"",$E50&lt;=EOMONTH(T$3,0),$F50&gt;=T$3),IF(AND($G50&lt;&gt;"",$G50&lt;=EOMONTH(T$3,0),$H50&gt;=T$3),"B","U"),IF(AND($G50&lt;&gt;"",$G50&lt;=EOMONTH(T$3,0),$H50&gt;=T$3),"D","")))</f>
        <v/>
      </c>
      <c r="U50" s="214">
        <f>IF($AH50="","",IF(AND($E50&lt;&gt;"",$E50&lt;=EOMONTH(U$3,0),$F50&gt;=U$3),IF(AND($G50&lt;&gt;"",$G50&lt;=EOMONTH(U$3,0),$H50&gt;=U$3),"B","U"),IF(AND($G50&lt;&gt;"",$G50&lt;=EOMONTH(U$3,0),$H50&gt;=U$3),"D","")))</f>
        <v/>
      </c>
      <c r="V50" s="214">
        <f>IF($AH50="","",IF(AND($E50&lt;&gt;"",$E50&lt;=EOMONTH(V$3,0),$F50&gt;=V$3),IF(AND($G50&lt;&gt;"",$G50&lt;=EOMONTH(V$3,0),$H50&gt;=V$3),"B","U"),IF(AND($G50&lt;&gt;"",$G50&lt;=EOMONTH(V$3,0),$H50&gt;=V$3),"D","")))</f>
        <v/>
      </c>
      <c r="W50" s="214">
        <f>IF($AH50="","",IF(AND($E50&lt;&gt;"",$E50&lt;=EOMONTH(W$3,0),$F50&gt;=W$3),IF(AND($G50&lt;&gt;"",$G50&lt;=EOMONTH(W$3,0),$H50&gt;=W$3),"B","U"),IF(AND($G50&lt;&gt;"",$G50&lt;=EOMONTH(W$3,0),$H50&gt;=W$3),"D","")))</f>
        <v/>
      </c>
      <c r="X50" s="214">
        <f>IF($AH50="","",IF(AND($E50&lt;&gt;"",$E50&lt;=EOMONTH(X$3,0),$F50&gt;=X$3),IF(AND($G50&lt;&gt;"",$G50&lt;=EOMONTH(X$3,0),$H50&gt;=X$3),"B","U"),IF(AND($G50&lt;&gt;"",$G50&lt;=EOMONTH(X$3,0),$H50&gt;=X$3),"D","")))</f>
        <v/>
      </c>
      <c r="Y50" s="214">
        <f>IF($AH50="","",IF(AND($E50&lt;&gt;"",$E50&lt;=EOMONTH(Y$3,0),$F50&gt;=Y$3),IF(AND($G50&lt;&gt;"",$G50&lt;=EOMONTH(Y$3,0),$H50&gt;=Y$3),"B","U"),IF(AND($G50&lt;&gt;"",$G50&lt;=EOMONTH(Y$3,0),$H50&gt;=Y$3),"D","")))</f>
        <v/>
      </c>
      <c r="Z50" s="214">
        <f>IF($AH50="","",IF(AND($E50&lt;&gt;"",$E50&lt;=EOMONTH(Z$3,0),$F50&gt;=Z$3),IF(AND($G50&lt;&gt;"",$G50&lt;=EOMONTH(Z$3,0),$H50&gt;=Z$3),"B","U"),IF(AND($G50&lt;&gt;"",$G50&lt;=EOMONTH(Z$3,0),$H50&gt;=Z$3),"D","")))</f>
        <v/>
      </c>
      <c r="AA50" s="214">
        <f>IF($AH50="","",IF(AND($E50&lt;&gt;"",$E50&lt;=EOMONTH(AA$3,0),$F50&gt;=AA$3),IF(AND($G50&lt;&gt;"",$G50&lt;=EOMONTH(AA$3,0),$H50&gt;=AA$3),"B","U"),IF(AND($G50&lt;&gt;"",$G50&lt;=EOMONTH(AA$3,0),$H50&gt;=AA$3),"D","")))</f>
        <v/>
      </c>
      <c r="AB50" s="214">
        <f>IF($AH50="","",IF(AND($E50&lt;&gt;"",$E50&lt;=EOMONTH(AB$3,0),$F50&gt;=AB$3),IF(AND($G50&lt;&gt;"",$G50&lt;=EOMONTH(AB$3,0),$H50&gt;=AB$3),"B","U"),IF(AND($G50&lt;&gt;"",$G50&lt;=EOMONTH(AB$3,0),$H50&gt;=AB$3),"D","")))</f>
        <v/>
      </c>
      <c r="AC50" s="214">
        <f>IF($AH50="","",IF(AND($E50&lt;&gt;"",$E50&lt;=EOMONTH(AC$3,0),$F50&gt;=AC$3),IF(AND($G50&lt;&gt;"",$G50&lt;=EOMONTH(AC$3,0),$H50&gt;=AC$3),"B","U"),IF(AND($G50&lt;&gt;"",$G50&lt;=EOMONTH(AC$3,0),$H50&gt;=AC$3),"D","")))</f>
        <v/>
      </c>
      <c r="AD50" s="214">
        <f>IF($AH50="","",IF(AND($E50&lt;&gt;"",$E50&lt;=EOMONTH(AD$3,0),$F50&gt;=AD$3),IF(AND($G50&lt;&gt;"",$G50&lt;=EOMONTH(AD$3,0),$H50&gt;=AD$3),"B","U"),IF(AND($G50&lt;&gt;"",$G50&lt;=EOMONTH(AD$3,0),$H50&gt;=AD$3),"D","")))</f>
        <v/>
      </c>
      <c r="AE50" s="214">
        <f>IF($AH50="","",IF(AND($E50&lt;&gt;"",$E50&lt;=EOMONTH(AE$3,0),$F50&gt;=AE$3),IF(AND($G50&lt;&gt;"",$G50&lt;=EOMONTH(AE$3,0),$H50&gt;=AE$3),"B","U"),IF(AND($G50&lt;&gt;"",$G50&lt;=EOMONTH(AE$3,0),$H50&gt;=AE$3),"D","")))</f>
        <v/>
      </c>
      <c r="AF50" s="214">
        <f>IF($AH50="","",IF(AND($E50&lt;&gt;"",$E50&lt;=EOMONTH(AF$3,0),$F50&gt;=AF$3),IF(AND($G50&lt;&gt;"",$G50&lt;=EOMONTH(AF$3,0),$H50&gt;=AF$3),"B","U"),IF(AND($G50&lt;&gt;"",$G50&lt;=EOMONTH(AF$3,0),$H50&gt;=AF$3),"D","")))</f>
        <v/>
      </c>
      <c r="AG50">
        <f>IF($AH50="","",INDEX('Roadmap Calc (Don’t Touch)'!$D$2:$D$205,$AH50))</f>
        <v/>
      </c>
      <c r="AH50">
        <f>IFERROR(MATCH(44,'Roadmap Calc (Don’t Touch)'!$O$2:$O$205,0),"")</f>
        <v/>
      </c>
    </row>
    <row r="51" ht="17" customHeight="1">
      <c r="A51" s="209">
        <f>IF($AH51="","",IF($AG51=$AG50,"",$AG51))</f>
        <v/>
      </c>
      <c r="B51" s="210">
        <f>IF($AH51="","",INDEX('Roadmap Calc (Don’t Touch)'!$B$2:$B$205,$AH51))</f>
        <v/>
      </c>
      <c r="C51" s="211">
        <f>IF($AH51="","",INDEX('Roadmap Calc (Don’t Touch)'!$E$2:$E$205,$AH51))</f>
        <v/>
      </c>
      <c r="D51" s="212">
        <f>IF($AH51="","",INDEX('Roadmap Calc (Don’t Touch)'!$F$2:$F$205,$AH51))</f>
        <v/>
      </c>
      <c r="E51" s="213">
        <f>IF($AH51="","",INDEX('Roadmap Calc (Don’t Touch)'!$G$2:$G$205,$AH51))</f>
        <v/>
      </c>
      <c r="F51" s="213">
        <f>IF($AH51="","",INDEX('Roadmap Calc (Don’t Touch)'!$H$2:$H$205,$AH51))</f>
        <v/>
      </c>
      <c r="G51" s="213">
        <f>IF($AH51="","",INDEX('Roadmap Calc (Don’t Touch)'!$I$2:$I$205,$AH51))</f>
        <v/>
      </c>
      <c r="H51" s="213">
        <f>IF($AH51="","",INDEX('Roadmap Calc (Don’t Touch)'!$J$2:$J$205,$AH51))</f>
        <v/>
      </c>
      <c r="I51" s="214">
        <f>IF($AH51="","",IF(AND($E51&lt;&gt;"",$E51&lt;=EOMONTH(I$3,0),$F51&gt;=I$3),IF(AND($G51&lt;&gt;"",$G51&lt;=EOMONTH(I$3,0),$H51&gt;=I$3),"B","U"),IF(AND($G51&lt;&gt;"",$G51&lt;=EOMONTH(I$3,0),$H51&gt;=I$3),"D","")))</f>
        <v/>
      </c>
      <c r="J51" s="214">
        <f>IF($AH51="","",IF(AND($E51&lt;&gt;"",$E51&lt;=EOMONTH(J$3,0),$F51&gt;=J$3),IF(AND($G51&lt;&gt;"",$G51&lt;=EOMONTH(J$3,0),$H51&gt;=J$3),"B","U"),IF(AND($G51&lt;&gt;"",$G51&lt;=EOMONTH(J$3,0),$H51&gt;=J$3),"D","")))</f>
        <v/>
      </c>
      <c r="K51" s="214">
        <f>IF($AH51="","",IF(AND($E51&lt;&gt;"",$E51&lt;=EOMONTH(K$3,0),$F51&gt;=K$3),IF(AND($G51&lt;&gt;"",$G51&lt;=EOMONTH(K$3,0),$H51&gt;=K$3),"B","U"),IF(AND($G51&lt;&gt;"",$G51&lt;=EOMONTH(K$3,0),$H51&gt;=K$3),"D","")))</f>
        <v/>
      </c>
      <c r="L51" s="214">
        <f>IF($AH51="","",IF(AND($E51&lt;&gt;"",$E51&lt;=EOMONTH(L$3,0),$F51&gt;=L$3),IF(AND($G51&lt;&gt;"",$G51&lt;=EOMONTH(L$3,0),$H51&gt;=L$3),"B","U"),IF(AND($G51&lt;&gt;"",$G51&lt;=EOMONTH(L$3,0),$H51&gt;=L$3),"D","")))</f>
        <v/>
      </c>
      <c r="M51" s="214">
        <f>IF($AH51="","",IF(AND($E51&lt;&gt;"",$E51&lt;=EOMONTH(M$3,0),$F51&gt;=M$3),IF(AND($G51&lt;&gt;"",$G51&lt;=EOMONTH(M$3,0),$H51&gt;=M$3),"B","U"),IF(AND($G51&lt;&gt;"",$G51&lt;=EOMONTH(M$3,0),$H51&gt;=M$3),"D","")))</f>
        <v/>
      </c>
      <c r="N51" s="214">
        <f>IF($AH51="","",IF(AND($E51&lt;&gt;"",$E51&lt;=EOMONTH(N$3,0),$F51&gt;=N$3),IF(AND($G51&lt;&gt;"",$G51&lt;=EOMONTH(N$3,0),$H51&gt;=N$3),"B","U"),IF(AND($G51&lt;&gt;"",$G51&lt;=EOMONTH(N$3,0),$H51&gt;=N$3),"D","")))</f>
        <v/>
      </c>
      <c r="O51" s="214">
        <f>IF($AH51="","",IF(AND($E51&lt;&gt;"",$E51&lt;=EOMONTH(O$3,0),$F51&gt;=O$3),IF(AND($G51&lt;&gt;"",$G51&lt;=EOMONTH(O$3,0),$H51&gt;=O$3),"B","U"),IF(AND($G51&lt;&gt;"",$G51&lt;=EOMONTH(O$3,0),$H51&gt;=O$3),"D","")))</f>
        <v/>
      </c>
      <c r="P51" s="214">
        <f>IF($AH51="","",IF(AND($E51&lt;&gt;"",$E51&lt;=EOMONTH(P$3,0),$F51&gt;=P$3),IF(AND($G51&lt;&gt;"",$G51&lt;=EOMONTH(P$3,0),$H51&gt;=P$3),"B","U"),IF(AND($G51&lt;&gt;"",$G51&lt;=EOMONTH(P$3,0),$H51&gt;=P$3),"D","")))</f>
        <v/>
      </c>
      <c r="Q51" s="214">
        <f>IF($AH51="","",IF(AND($E51&lt;&gt;"",$E51&lt;=EOMONTH(Q$3,0),$F51&gt;=Q$3),IF(AND($G51&lt;&gt;"",$G51&lt;=EOMONTH(Q$3,0),$H51&gt;=Q$3),"B","U"),IF(AND($G51&lt;&gt;"",$G51&lt;=EOMONTH(Q$3,0),$H51&gt;=Q$3),"D","")))</f>
        <v/>
      </c>
      <c r="R51" s="214">
        <f>IF($AH51="","",IF(AND($E51&lt;&gt;"",$E51&lt;=EOMONTH(R$3,0),$F51&gt;=R$3),IF(AND($G51&lt;&gt;"",$G51&lt;=EOMONTH(R$3,0),$H51&gt;=R$3),"B","U"),IF(AND($G51&lt;&gt;"",$G51&lt;=EOMONTH(R$3,0),$H51&gt;=R$3),"D","")))</f>
        <v/>
      </c>
      <c r="S51" s="214">
        <f>IF($AH51="","",IF(AND($E51&lt;&gt;"",$E51&lt;=EOMONTH(S$3,0),$F51&gt;=S$3),IF(AND($G51&lt;&gt;"",$G51&lt;=EOMONTH(S$3,0),$H51&gt;=S$3),"B","U"),IF(AND($G51&lt;&gt;"",$G51&lt;=EOMONTH(S$3,0),$H51&gt;=S$3),"D","")))</f>
        <v/>
      </c>
      <c r="T51" s="214">
        <f>IF($AH51="","",IF(AND($E51&lt;&gt;"",$E51&lt;=EOMONTH(T$3,0),$F51&gt;=T$3),IF(AND($G51&lt;&gt;"",$G51&lt;=EOMONTH(T$3,0),$H51&gt;=T$3),"B","U"),IF(AND($G51&lt;&gt;"",$G51&lt;=EOMONTH(T$3,0),$H51&gt;=T$3),"D","")))</f>
        <v/>
      </c>
      <c r="U51" s="214">
        <f>IF($AH51="","",IF(AND($E51&lt;&gt;"",$E51&lt;=EOMONTH(U$3,0),$F51&gt;=U$3),IF(AND($G51&lt;&gt;"",$G51&lt;=EOMONTH(U$3,0),$H51&gt;=U$3),"B","U"),IF(AND($G51&lt;&gt;"",$G51&lt;=EOMONTH(U$3,0),$H51&gt;=U$3),"D","")))</f>
        <v/>
      </c>
      <c r="V51" s="214">
        <f>IF($AH51="","",IF(AND($E51&lt;&gt;"",$E51&lt;=EOMONTH(V$3,0),$F51&gt;=V$3),IF(AND($G51&lt;&gt;"",$G51&lt;=EOMONTH(V$3,0),$H51&gt;=V$3),"B","U"),IF(AND($G51&lt;&gt;"",$G51&lt;=EOMONTH(V$3,0),$H51&gt;=V$3),"D","")))</f>
        <v/>
      </c>
      <c r="W51" s="214">
        <f>IF($AH51="","",IF(AND($E51&lt;&gt;"",$E51&lt;=EOMONTH(W$3,0),$F51&gt;=W$3),IF(AND($G51&lt;&gt;"",$G51&lt;=EOMONTH(W$3,0),$H51&gt;=W$3),"B","U"),IF(AND($G51&lt;&gt;"",$G51&lt;=EOMONTH(W$3,0),$H51&gt;=W$3),"D","")))</f>
        <v/>
      </c>
      <c r="X51" s="214">
        <f>IF($AH51="","",IF(AND($E51&lt;&gt;"",$E51&lt;=EOMONTH(X$3,0),$F51&gt;=X$3),IF(AND($G51&lt;&gt;"",$G51&lt;=EOMONTH(X$3,0),$H51&gt;=X$3),"B","U"),IF(AND($G51&lt;&gt;"",$G51&lt;=EOMONTH(X$3,0),$H51&gt;=X$3),"D","")))</f>
        <v/>
      </c>
      <c r="Y51" s="214">
        <f>IF($AH51="","",IF(AND($E51&lt;&gt;"",$E51&lt;=EOMONTH(Y$3,0),$F51&gt;=Y$3),IF(AND($G51&lt;&gt;"",$G51&lt;=EOMONTH(Y$3,0),$H51&gt;=Y$3),"B","U"),IF(AND($G51&lt;&gt;"",$G51&lt;=EOMONTH(Y$3,0),$H51&gt;=Y$3),"D","")))</f>
        <v/>
      </c>
      <c r="Z51" s="214">
        <f>IF($AH51="","",IF(AND($E51&lt;&gt;"",$E51&lt;=EOMONTH(Z$3,0),$F51&gt;=Z$3),IF(AND($G51&lt;&gt;"",$G51&lt;=EOMONTH(Z$3,0),$H51&gt;=Z$3),"B","U"),IF(AND($G51&lt;&gt;"",$G51&lt;=EOMONTH(Z$3,0),$H51&gt;=Z$3),"D","")))</f>
        <v/>
      </c>
      <c r="AA51" s="214">
        <f>IF($AH51="","",IF(AND($E51&lt;&gt;"",$E51&lt;=EOMONTH(AA$3,0),$F51&gt;=AA$3),IF(AND($G51&lt;&gt;"",$G51&lt;=EOMONTH(AA$3,0),$H51&gt;=AA$3),"B","U"),IF(AND($G51&lt;&gt;"",$G51&lt;=EOMONTH(AA$3,0),$H51&gt;=AA$3),"D","")))</f>
        <v/>
      </c>
      <c r="AB51" s="214">
        <f>IF($AH51="","",IF(AND($E51&lt;&gt;"",$E51&lt;=EOMONTH(AB$3,0),$F51&gt;=AB$3),IF(AND($G51&lt;&gt;"",$G51&lt;=EOMONTH(AB$3,0),$H51&gt;=AB$3),"B","U"),IF(AND($G51&lt;&gt;"",$G51&lt;=EOMONTH(AB$3,0),$H51&gt;=AB$3),"D","")))</f>
        <v/>
      </c>
      <c r="AC51" s="214">
        <f>IF($AH51="","",IF(AND($E51&lt;&gt;"",$E51&lt;=EOMONTH(AC$3,0),$F51&gt;=AC$3),IF(AND($G51&lt;&gt;"",$G51&lt;=EOMONTH(AC$3,0),$H51&gt;=AC$3),"B","U"),IF(AND($G51&lt;&gt;"",$G51&lt;=EOMONTH(AC$3,0),$H51&gt;=AC$3),"D","")))</f>
        <v/>
      </c>
      <c r="AD51" s="214">
        <f>IF($AH51="","",IF(AND($E51&lt;&gt;"",$E51&lt;=EOMONTH(AD$3,0),$F51&gt;=AD$3),IF(AND($G51&lt;&gt;"",$G51&lt;=EOMONTH(AD$3,0),$H51&gt;=AD$3),"B","U"),IF(AND($G51&lt;&gt;"",$G51&lt;=EOMONTH(AD$3,0),$H51&gt;=AD$3),"D","")))</f>
        <v/>
      </c>
      <c r="AE51" s="214">
        <f>IF($AH51="","",IF(AND($E51&lt;&gt;"",$E51&lt;=EOMONTH(AE$3,0),$F51&gt;=AE$3),IF(AND($G51&lt;&gt;"",$G51&lt;=EOMONTH(AE$3,0),$H51&gt;=AE$3),"B","U"),IF(AND($G51&lt;&gt;"",$G51&lt;=EOMONTH(AE$3,0),$H51&gt;=AE$3),"D","")))</f>
        <v/>
      </c>
      <c r="AF51" s="214">
        <f>IF($AH51="","",IF(AND($E51&lt;&gt;"",$E51&lt;=EOMONTH(AF$3,0),$F51&gt;=AF$3),IF(AND($G51&lt;&gt;"",$G51&lt;=EOMONTH(AF$3,0),$H51&gt;=AF$3),"B","U"),IF(AND($G51&lt;&gt;"",$G51&lt;=EOMONTH(AF$3,0),$H51&gt;=AF$3),"D","")))</f>
        <v/>
      </c>
      <c r="AG51">
        <f>IF($AH51="","",INDEX('Roadmap Calc (Don’t Touch)'!$D$2:$D$205,$AH51))</f>
        <v/>
      </c>
      <c r="AH51">
        <f>IFERROR(MATCH(45,'Roadmap Calc (Don’t Touch)'!$O$2:$O$205,0),"")</f>
        <v/>
      </c>
    </row>
    <row r="52" ht="17" customHeight="1">
      <c r="A52" s="209">
        <f>IF($AH52="","",IF($AG52=$AG51,"",$AG52))</f>
        <v/>
      </c>
      <c r="B52" s="210">
        <f>IF($AH52="","",INDEX('Roadmap Calc (Don’t Touch)'!$B$2:$B$205,$AH52))</f>
        <v/>
      </c>
      <c r="C52" s="211">
        <f>IF($AH52="","",INDEX('Roadmap Calc (Don’t Touch)'!$E$2:$E$205,$AH52))</f>
        <v/>
      </c>
      <c r="D52" s="212">
        <f>IF($AH52="","",INDEX('Roadmap Calc (Don’t Touch)'!$F$2:$F$205,$AH52))</f>
        <v/>
      </c>
      <c r="E52" s="213">
        <f>IF($AH52="","",INDEX('Roadmap Calc (Don’t Touch)'!$G$2:$G$205,$AH52))</f>
        <v/>
      </c>
      <c r="F52" s="213">
        <f>IF($AH52="","",INDEX('Roadmap Calc (Don’t Touch)'!$H$2:$H$205,$AH52))</f>
        <v/>
      </c>
      <c r="G52" s="213">
        <f>IF($AH52="","",INDEX('Roadmap Calc (Don’t Touch)'!$I$2:$I$205,$AH52))</f>
        <v/>
      </c>
      <c r="H52" s="213">
        <f>IF($AH52="","",INDEX('Roadmap Calc (Don’t Touch)'!$J$2:$J$205,$AH52))</f>
        <v/>
      </c>
      <c r="I52" s="214">
        <f>IF($AH52="","",IF(AND($E52&lt;&gt;"",$E52&lt;=EOMONTH(I$3,0),$F52&gt;=I$3),IF(AND($G52&lt;&gt;"",$G52&lt;=EOMONTH(I$3,0),$H52&gt;=I$3),"B","U"),IF(AND($G52&lt;&gt;"",$G52&lt;=EOMONTH(I$3,0),$H52&gt;=I$3),"D","")))</f>
        <v/>
      </c>
      <c r="J52" s="214">
        <f>IF($AH52="","",IF(AND($E52&lt;&gt;"",$E52&lt;=EOMONTH(J$3,0),$F52&gt;=J$3),IF(AND($G52&lt;&gt;"",$G52&lt;=EOMONTH(J$3,0),$H52&gt;=J$3),"B","U"),IF(AND($G52&lt;&gt;"",$G52&lt;=EOMONTH(J$3,0),$H52&gt;=J$3),"D","")))</f>
        <v/>
      </c>
      <c r="K52" s="214">
        <f>IF($AH52="","",IF(AND($E52&lt;&gt;"",$E52&lt;=EOMONTH(K$3,0),$F52&gt;=K$3),IF(AND($G52&lt;&gt;"",$G52&lt;=EOMONTH(K$3,0),$H52&gt;=K$3),"B","U"),IF(AND($G52&lt;&gt;"",$G52&lt;=EOMONTH(K$3,0),$H52&gt;=K$3),"D","")))</f>
        <v/>
      </c>
      <c r="L52" s="214">
        <f>IF($AH52="","",IF(AND($E52&lt;&gt;"",$E52&lt;=EOMONTH(L$3,0),$F52&gt;=L$3),IF(AND($G52&lt;&gt;"",$G52&lt;=EOMONTH(L$3,0),$H52&gt;=L$3),"B","U"),IF(AND($G52&lt;&gt;"",$G52&lt;=EOMONTH(L$3,0),$H52&gt;=L$3),"D","")))</f>
        <v/>
      </c>
      <c r="M52" s="214">
        <f>IF($AH52="","",IF(AND($E52&lt;&gt;"",$E52&lt;=EOMONTH(M$3,0),$F52&gt;=M$3),IF(AND($G52&lt;&gt;"",$G52&lt;=EOMONTH(M$3,0),$H52&gt;=M$3),"B","U"),IF(AND($G52&lt;&gt;"",$G52&lt;=EOMONTH(M$3,0),$H52&gt;=M$3),"D","")))</f>
        <v/>
      </c>
      <c r="N52" s="214">
        <f>IF($AH52="","",IF(AND($E52&lt;&gt;"",$E52&lt;=EOMONTH(N$3,0),$F52&gt;=N$3),IF(AND($G52&lt;&gt;"",$G52&lt;=EOMONTH(N$3,0),$H52&gt;=N$3),"B","U"),IF(AND($G52&lt;&gt;"",$G52&lt;=EOMONTH(N$3,0),$H52&gt;=N$3),"D","")))</f>
        <v/>
      </c>
      <c r="O52" s="214">
        <f>IF($AH52="","",IF(AND($E52&lt;&gt;"",$E52&lt;=EOMONTH(O$3,0),$F52&gt;=O$3),IF(AND($G52&lt;&gt;"",$G52&lt;=EOMONTH(O$3,0),$H52&gt;=O$3),"B","U"),IF(AND($G52&lt;&gt;"",$G52&lt;=EOMONTH(O$3,0),$H52&gt;=O$3),"D","")))</f>
        <v/>
      </c>
      <c r="P52" s="214">
        <f>IF($AH52="","",IF(AND($E52&lt;&gt;"",$E52&lt;=EOMONTH(P$3,0),$F52&gt;=P$3),IF(AND($G52&lt;&gt;"",$G52&lt;=EOMONTH(P$3,0),$H52&gt;=P$3),"B","U"),IF(AND($G52&lt;&gt;"",$G52&lt;=EOMONTH(P$3,0),$H52&gt;=P$3),"D","")))</f>
        <v/>
      </c>
      <c r="Q52" s="214">
        <f>IF($AH52="","",IF(AND($E52&lt;&gt;"",$E52&lt;=EOMONTH(Q$3,0),$F52&gt;=Q$3),IF(AND($G52&lt;&gt;"",$G52&lt;=EOMONTH(Q$3,0),$H52&gt;=Q$3),"B","U"),IF(AND($G52&lt;&gt;"",$G52&lt;=EOMONTH(Q$3,0),$H52&gt;=Q$3),"D","")))</f>
        <v/>
      </c>
      <c r="R52" s="214">
        <f>IF($AH52="","",IF(AND($E52&lt;&gt;"",$E52&lt;=EOMONTH(R$3,0),$F52&gt;=R$3),IF(AND($G52&lt;&gt;"",$G52&lt;=EOMONTH(R$3,0),$H52&gt;=R$3),"B","U"),IF(AND($G52&lt;&gt;"",$G52&lt;=EOMONTH(R$3,0),$H52&gt;=R$3),"D","")))</f>
        <v/>
      </c>
      <c r="S52" s="214">
        <f>IF($AH52="","",IF(AND($E52&lt;&gt;"",$E52&lt;=EOMONTH(S$3,0),$F52&gt;=S$3),IF(AND($G52&lt;&gt;"",$G52&lt;=EOMONTH(S$3,0),$H52&gt;=S$3),"B","U"),IF(AND($G52&lt;&gt;"",$G52&lt;=EOMONTH(S$3,0),$H52&gt;=S$3),"D","")))</f>
        <v/>
      </c>
      <c r="T52" s="214">
        <f>IF($AH52="","",IF(AND($E52&lt;&gt;"",$E52&lt;=EOMONTH(T$3,0),$F52&gt;=T$3),IF(AND($G52&lt;&gt;"",$G52&lt;=EOMONTH(T$3,0),$H52&gt;=T$3),"B","U"),IF(AND($G52&lt;&gt;"",$G52&lt;=EOMONTH(T$3,0),$H52&gt;=T$3),"D","")))</f>
        <v/>
      </c>
      <c r="U52" s="214">
        <f>IF($AH52="","",IF(AND($E52&lt;&gt;"",$E52&lt;=EOMONTH(U$3,0),$F52&gt;=U$3),IF(AND($G52&lt;&gt;"",$G52&lt;=EOMONTH(U$3,0),$H52&gt;=U$3),"B","U"),IF(AND($G52&lt;&gt;"",$G52&lt;=EOMONTH(U$3,0),$H52&gt;=U$3),"D","")))</f>
        <v/>
      </c>
      <c r="V52" s="214">
        <f>IF($AH52="","",IF(AND($E52&lt;&gt;"",$E52&lt;=EOMONTH(V$3,0),$F52&gt;=V$3),IF(AND($G52&lt;&gt;"",$G52&lt;=EOMONTH(V$3,0),$H52&gt;=V$3),"B","U"),IF(AND($G52&lt;&gt;"",$G52&lt;=EOMONTH(V$3,0),$H52&gt;=V$3),"D","")))</f>
        <v/>
      </c>
      <c r="W52" s="214">
        <f>IF($AH52="","",IF(AND($E52&lt;&gt;"",$E52&lt;=EOMONTH(W$3,0),$F52&gt;=W$3),IF(AND($G52&lt;&gt;"",$G52&lt;=EOMONTH(W$3,0),$H52&gt;=W$3),"B","U"),IF(AND($G52&lt;&gt;"",$G52&lt;=EOMONTH(W$3,0),$H52&gt;=W$3),"D","")))</f>
        <v/>
      </c>
      <c r="X52" s="214">
        <f>IF($AH52="","",IF(AND($E52&lt;&gt;"",$E52&lt;=EOMONTH(X$3,0),$F52&gt;=X$3),IF(AND($G52&lt;&gt;"",$G52&lt;=EOMONTH(X$3,0),$H52&gt;=X$3),"B","U"),IF(AND($G52&lt;&gt;"",$G52&lt;=EOMONTH(X$3,0),$H52&gt;=X$3),"D","")))</f>
        <v/>
      </c>
      <c r="Y52" s="214">
        <f>IF($AH52="","",IF(AND($E52&lt;&gt;"",$E52&lt;=EOMONTH(Y$3,0),$F52&gt;=Y$3),IF(AND($G52&lt;&gt;"",$G52&lt;=EOMONTH(Y$3,0),$H52&gt;=Y$3),"B","U"),IF(AND($G52&lt;&gt;"",$G52&lt;=EOMONTH(Y$3,0),$H52&gt;=Y$3),"D","")))</f>
        <v/>
      </c>
      <c r="Z52" s="214">
        <f>IF($AH52="","",IF(AND($E52&lt;&gt;"",$E52&lt;=EOMONTH(Z$3,0),$F52&gt;=Z$3),IF(AND($G52&lt;&gt;"",$G52&lt;=EOMONTH(Z$3,0),$H52&gt;=Z$3),"B","U"),IF(AND($G52&lt;&gt;"",$G52&lt;=EOMONTH(Z$3,0),$H52&gt;=Z$3),"D","")))</f>
        <v/>
      </c>
      <c r="AA52" s="214">
        <f>IF($AH52="","",IF(AND($E52&lt;&gt;"",$E52&lt;=EOMONTH(AA$3,0),$F52&gt;=AA$3),IF(AND($G52&lt;&gt;"",$G52&lt;=EOMONTH(AA$3,0),$H52&gt;=AA$3),"B","U"),IF(AND($G52&lt;&gt;"",$G52&lt;=EOMONTH(AA$3,0),$H52&gt;=AA$3),"D","")))</f>
        <v/>
      </c>
      <c r="AB52" s="214">
        <f>IF($AH52="","",IF(AND($E52&lt;&gt;"",$E52&lt;=EOMONTH(AB$3,0),$F52&gt;=AB$3),IF(AND($G52&lt;&gt;"",$G52&lt;=EOMONTH(AB$3,0),$H52&gt;=AB$3),"B","U"),IF(AND($G52&lt;&gt;"",$G52&lt;=EOMONTH(AB$3,0),$H52&gt;=AB$3),"D","")))</f>
        <v/>
      </c>
      <c r="AC52" s="214">
        <f>IF($AH52="","",IF(AND($E52&lt;&gt;"",$E52&lt;=EOMONTH(AC$3,0),$F52&gt;=AC$3),IF(AND($G52&lt;&gt;"",$G52&lt;=EOMONTH(AC$3,0),$H52&gt;=AC$3),"B","U"),IF(AND($G52&lt;&gt;"",$G52&lt;=EOMONTH(AC$3,0),$H52&gt;=AC$3),"D","")))</f>
        <v/>
      </c>
      <c r="AD52" s="214">
        <f>IF($AH52="","",IF(AND($E52&lt;&gt;"",$E52&lt;=EOMONTH(AD$3,0),$F52&gt;=AD$3),IF(AND($G52&lt;&gt;"",$G52&lt;=EOMONTH(AD$3,0),$H52&gt;=AD$3),"B","U"),IF(AND($G52&lt;&gt;"",$G52&lt;=EOMONTH(AD$3,0),$H52&gt;=AD$3),"D","")))</f>
        <v/>
      </c>
      <c r="AE52" s="214">
        <f>IF($AH52="","",IF(AND($E52&lt;&gt;"",$E52&lt;=EOMONTH(AE$3,0),$F52&gt;=AE$3),IF(AND($G52&lt;&gt;"",$G52&lt;=EOMONTH(AE$3,0),$H52&gt;=AE$3),"B","U"),IF(AND($G52&lt;&gt;"",$G52&lt;=EOMONTH(AE$3,0),$H52&gt;=AE$3),"D","")))</f>
        <v/>
      </c>
      <c r="AF52" s="214">
        <f>IF($AH52="","",IF(AND($E52&lt;&gt;"",$E52&lt;=EOMONTH(AF$3,0),$F52&gt;=AF$3),IF(AND($G52&lt;&gt;"",$G52&lt;=EOMONTH(AF$3,0),$H52&gt;=AF$3),"B","U"),IF(AND($G52&lt;&gt;"",$G52&lt;=EOMONTH(AF$3,0),$H52&gt;=AF$3),"D","")))</f>
        <v/>
      </c>
      <c r="AG52">
        <f>IF($AH52="","",INDEX('Roadmap Calc (Don’t Touch)'!$D$2:$D$205,$AH52))</f>
        <v/>
      </c>
      <c r="AH52">
        <f>IFERROR(MATCH(46,'Roadmap Calc (Don’t Touch)'!$O$2:$O$205,0),"")</f>
        <v/>
      </c>
    </row>
    <row r="53" ht="17" customHeight="1">
      <c r="A53" s="209">
        <f>IF($AH53="","",IF($AG53=$AG52,"",$AG53))</f>
        <v/>
      </c>
      <c r="B53" s="210">
        <f>IF($AH53="","",INDEX('Roadmap Calc (Don’t Touch)'!$B$2:$B$205,$AH53))</f>
        <v/>
      </c>
      <c r="C53" s="211">
        <f>IF($AH53="","",INDEX('Roadmap Calc (Don’t Touch)'!$E$2:$E$205,$AH53))</f>
        <v/>
      </c>
      <c r="D53" s="212">
        <f>IF($AH53="","",INDEX('Roadmap Calc (Don’t Touch)'!$F$2:$F$205,$AH53))</f>
        <v/>
      </c>
      <c r="E53" s="213">
        <f>IF($AH53="","",INDEX('Roadmap Calc (Don’t Touch)'!$G$2:$G$205,$AH53))</f>
        <v/>
      </c>
      <c r="F53" s="213">
        <f>IF($AH53="","",INDEX('Roadmap Calc (Don’t Touch)'!$H$2:$H$205,$AH53))</f>
        <v/>
      </c>
      <c r="G53" s="213">
        <f>IF($AH53="","",INDEX('Roadmap Calc (Don’t Touch)'!$I$2:$I$205,$AH53))</f>
        <v/>
      </c>
      <c r="H53" s="213">
        <f>IF($AH53="","",INDEX('Roadmap Calc (Don’t Touch)'!$J$2:$J$205,$AH53))</f>
        <v/>
      </c>
      <c r="I53" s="214">
        <f>IF($AH53="","",IF(AND($E53&lt;&gt;"",$E53&lt;=EOMONTH(I$3,0),$F53&gt;=I$3),IF(AND($G53&lt;&gt;"",$G53&lt;=EOMONTH(I$3,0),$H53&gt;=I$3),"B","U"),IF(AND($G53&lt;&gt;"",$G53&lt;=EOMONTH(I$3,0),$H53&gt;=I$3),"D","")))</f>
        <v/>
      </c>
      <c r="J53" s="214">
        <f>IF($AH53="","",IF(AND($E53&lt;&gt;"",$E53&lt;=EOMONTH(J$3,0),$F53&gt;=J$3),IF(AND($G53&lt;&gt;"",$G53&lt;=EOMONTH(J$3,0),$H53&gt;=J$3),"B","U"),IF(AND($G53&lt;&gt;"",$G53&lt;=EOMONTH(J$3,0),$H53&gt;=J$3),"D","")))</f>
        <v/>
      </c>
      <c r="K53" s="214">
        <f>IF($AH53="","",IF(AND($E53&lt;&gt;"",$E53&lt;=EOMONTH(K$3,0),$F53&gt;=K$3),IF(AND($G53&lt;&gt;"",$G53&lt;=EOMONTH(K$3,0),$H53&gt;=K$3),"B","U"),IF(AND($G53&lt;&gt;"",$G53&lt;=EOMONTH(K$3,0),$H53&gt;=K$3),"D","")))</f>
        <v/>
      </c>
      <c r="L53" s="214">
        <f>IF($AH53="","",IF(AND($E53&lt;&gt;"",$E53&lt;=EOMONTH(L$3,0),$F53&gt;=L$3),IF(AND($G53&lt;&gt;"",$G53&lt;=EOMONTH(L$3,0),$H53&gt;=L$3),"B","U"),IF(AND($G53&lt;&gt;"",$G53&lt;=EOMONTH(L$3,0),$H53&gt;=L$3),"D","")))</f>
        <v/>
      </c>
      <c r="M53" s="214">
        <f>IF($AH53="","",IF(AND($E53&lt;&gt;"",$E53&lt;=EOMONTH(M$3,0),$F53&gt;=M$3),IF(AND($G53&lt;&gt;"",$G53&lt;=EOMONTH(M$3,0),$H53&gt;=M$3),"B","U"),IF(AND($G53&lt;&gt;"",$G53&lt;=EOMONTH(M$3,0),$H53&gt;=M$3),"D","")))</f>
        <v/>
      </c>
      <c r="N53" s="214">
        <f>IF($AH53="","",IF(AND($E53&lt;&gt;"",$E53&lt;=EOMONTH(N$3,0),$F53&gt;=N$3),IF(AND($G53&lt;&gt;"",$G53&lt;=EOMONTH(N$3,0),$H53&gt;=N$3),"B","U"),IF(AND($G53&lt;&gt;"",$G53&lt;=EOMONTH(N$3,0),$H53&gt;=N$3),"D","")))</f>
        <v/>
      </c>
      <c r="O53" s="214">
        <f>IF($AH53="","",IF(AND($E53&lt;&gt;"",$E53&lt;=EOMONTH(O$3,0),$F53&gt;=O$3),IF(AND($G53&lt;&gt;"",$G53&lt;=EOMONTH(O$3,0),$H53&gt;=O$3),"B","U"),IF(AND($G53&lt;&gt;"",$G53&lt;=EOMONTH(O$3,0),$H53&gt;=O$3),"D","")))</f>
        <v/>
      </c>
      <c r="P53" s="214">
        <f>IF($AH53="","",IF(AND($E53&lt;&gt;"",$E53&lt;=EOMONTH(P$3,0),$F53&gt;=P$3),IF(AND($G53&lt;&gt;"",$G53&lt;=EOMONTH(P$3,0),$H53&gt;=P$3),"B","U"),IF(AND($G53&lt;&gt;"",$G53&lt;=EOMONTH(P$3,0),$H53&gt;=P$3),"D","")))</f>
        <v/>
      </c>
      <c r="Q53" s="214">
        <f>IF($AH53="","",IF(AND($E53&lt;&gt;"",$E53&lt;=EOMONTH(Q$3,0),$F53&gt;=Q$3),IF(AND($G53&lt;&gt;"",$G53&lt;=EOMONTH(Q$3,0),$H53&gt;=Q$3),"B","U"),IF(AND($G53&lt;&gt;"",$G53&lt;=EOMONTH(Q$3,0),$H53&gt;=Q$3),"D","")))</f>
        <v/>
      </c>
      <c r="R53" s="214">
        <f>IF($AH53="","",IF(AND($E53&lt;&gt;"",$E53&lt;=EOMONTH(R$3,0),$F53&gt;=R$3),IF(AND($G53&lt;&gt;"",$G53&lt;=EOMONTH(R$3,0),$H53&gt;=R$3),"B","U"),IF(AND($G53&lt;&gt;"",$G53&lt;=EOMONTH(R$3,0),$H53&gt;=R$3),"D","")))</f>
        <v/>
      </c>
      <c r="S53" s="214">
        <f>IF($AH53="","",IF(AND($E53&lt;&gt;"",$E53&lt;=EOMONTH(S$3,0),$F53&gt;=S$3),IF(AND($G53&lt;&gt;"",$G53&lt;=EOMONTH(S$3,0),$H53&gt;=S$3),"B","U"),IF(AND($G53&lt;&gt;"",$G53&lt;=EOMONTH(S$3,0),$H53&gt;=S$3),"D","")))</f>
        <v/>
      </c>
      <c r="T53" s="214">
        <f>IF($AH53="","",IF(AND($E53&lt;&gt;"",$E53&lt;=EOMONTH(T$3,0),$F53&gt;=T$3),IF(AND($G53&lt;&gt;"",$G53&lt;=EOMONTH(T$3,0),$H53&gt;=T$3),"B","U"),IF(AND($G53&lt;&gt;"",$G53&lt;=EOMONTH(T$3,0),$H53&gt;=T$3),"D","")))</f>
        <v/>
      </c>
      <c r="U53" s="214">
        <f>IF($AH53="","",IF(AND($E53&lt;&gt;"",$E53&lt;=EOMONTH(U$3,0),$F53&gt;=U$3),IF(AND($G53&lt;&gt;"",$G53&lt;=EOMONTH(U$3,0),$H53&gt;=U$3),"B","U"),IF(AND($G53&lt;&gt;"",$G53&lt;=EOMONTH(U$3,0),$H53&gt;=U$3),"D","")))</f>
        <v/>
      </c>
      <c r="V53" s="214">
        <f>IF($AH53="","",IF(AND($E53&lt;&gt;"",$E53&lt;=EOMONTH(V$3,0),$F53&gt;=V$3),IF(AND($G53&lt;&gt;"",$G53&lt;=EOMONTH(V$3,0),$H53&gt;=V$3),"B","U"),IF(AND($G53&lt;&gt;"",$G53&lt;=EOMONTH(V$3,0),$H53&gt;=V$3),"D","")))</f>
        <v/>
      </c>
      <c r="W53" s="214">
        <f>IF($AH53="","",IF(AND($E53&lt;&gt;"",$E53&lt;=EOMONTH(W$3,0),$F53&gt;=W$3),IF(AND($G53&lt;&gt;"",$G53&lt;=EOMONTH(W$3,0),$H53&gt;=W$3),"B","U"),IF(AND($G53&lt;&gt;"",$G53&lt;=EOMONTH(W$3,0),$H53&gt;=W$3),"D","")))</f>
        <v/>
      </c>
      <c r="X53" s="214">
        <f>IF($AH53="","",IF(AND($E53&lt;&gt;"",$E53&lt;=EOMONTH(X$3,0),$F53&gt;=X$3),IF(AND($G53&lt;&gt;"",$G53&lt;=EOMONTH(X$3,0),$H53&gt;=X$3),"B","U"),IF(AND($G53&lt;&gt;"",$G53&lt;=EOMONTH(X$3,0),$H53&gt;=X$3),"D","")))</f>
        <v/>
      </c>
      <c r="Y53" s="214">
        <f>IF($AH53="","",IF(AND($E53&lt;&gt;"",$E53&lt;=EOMONTH(Y$3,0),$F53&gt;=Y$3),IF(AND($G53&lt;&gt;"",$G53&lt;=EOMONTH(Y$3,0),$H53&gt;=Y$3),"B","U"),IF(AND($G53&lt;&gt;"",$G53&lt;=EOMONTH(Y$3,0),$H53&gt;=Y$3),"D","")))</f>
        <v/>
      </c>
      <c r="Z53" s="214">
        <f>IF($AH53="","",IF(AND($E53&lt;&gt;"",$E53&lt;=EOMONTH(Z$3,0),$F53&gt;=Z$3),IF(AND($G53&lt;&gt;"",$G53&lt;=EOMONTH(Z$3,0),$H53&gt;=Z$3),"B","U"),IF(AND($G53&lt;&gt;"",$G53&lt;=EOMONTH(Z$3,0),$H53&gt;=Z$3),"D","")))</f>
        <v/>
      </c>
      <c r="AA53" s="214">
        <f>IF($AH53="","",IF(AND($E53&lt;&gt;"",$E53&lt;=EOMONTH(AA$3,0),$F53&gt;=AA$3),IF(AND($G53&lt;&gt;"",$G53&lt;=EOMONTH(AA$3,0),$H53&gt;=AA$3),"B","U"),IF(AND($G53&lt;&gt;"",$G53&lt;=EOMONTH(AA$3,0),$H53&gt;=AA$3),"D","")))</f>
        <v/>
      </c>
      <c r="AB53" s="214">
        <f>IF($AH53="","",IF(AND($E53&lt;&gt;"",$E53&lt;=EOMONTH(AB$3,0),$F53&gt;=AB$3),IF(AND($G53&lt;&gt;"",$G53&lt;=EOMONTH(AB$3,0),$H53&gt;=AB$3),"B","U"),IF(AND($G53&lt;&gt;"",$G53&lt;=EOMONTH(AB$3,0),$H53&gt;=AB$3),"D","")))</f>
        <v/>
      </c>
      <c r="AC53" s="214">
        <f>IF($AH53="","",IF(AND($E53&lt;&gt;"",$E53&lt;=EOMONTH(AC$3,0),$F53&gt;=AC$3),IF(AND($G53&lt;&gt;"",$G53&lt;=EOMONTH(AC$3,0),$H53&gt;=AC$3),"B","U"),IF(AND($G53&lt;&gt;"",$G53&lt;=EOMONTH(AC$3,0),$H53&gt;=AC$3),"D","")))</f>
        <v/>
      </c>
      <c r="AD53" s="214">
        <f>IF($AH53="","",IF(AND($E53&lt;&gt;"",$E53&lt;=EOMONTH(AD$3,0),$F53&gt;=AD$3),IF(AND($G53&lt;&gt;"",$G53&lt;=EOMONTH(AD$3,0),$H53&gt;=AD$3),"B","U"),IF(AND($G53&lt;&gt;"",$G53&lt;=EOMONTH(AD$3,0),$H53&gt;=AD$3),"D","")))</f>
        <v/>
      </c>
      <c r="AE53" s="214">
        <f>IF($AH53="","",IF(AND($E53&lt;&gt;"",$E53&lt;=EOMONTH(AE$3,0),$F53&gt;=AE$3),IF(AND($G53&lt;&gt;"",$G53&lt;=EOMONTH(AE$3,0),$H53&gt;=AE$3),"B","U"),IF(AND($G53&lt;&gt;"",$G53&lt;=EOMONTH(AE$3,0),$H53&gt;=AE$3),"D","")))</f>
        <v/>
      </c>
      <c r="AF53" s="214">
        <f>IF($AH53="","",IF(AND($E53&lt;&gt;"",$E53&lt;=EOMONTH(AF$3,0),$F53&gt;=AF$3),IF(AND($G53&lt;&gt;"",$G53&lt;=EOMONTH(AF$3,0),$H53&gt;=AF$3),"B","U"),IF(AND($G53&lt;&gt;"",$G53&lt;=EOMONTH(AF$3,0),$H53&gt;=AF$3),"D","")))</f>
        <v/>
      </c>
      <c r="AG53">
        <f>IF($AH53="","",INDEX('Roadmap Calc (Don’t Touch)'!$D$2:$D$205,$AH53))</f>
        <v/>
      </c>
      <c r="AH53">
        <f>IFERROR(MATCH(47,'Roadmap Calc (Don’t Touch)'!$O$2:$O$205,0),"")</f>
        <v/>
      </c>
    </row>
    <row r="54" ht="17" customHeight="1">
      <c r="A54" s="209">
        <f>IF($AH54="","",IF($AG54=$AG53,"",$AG54))</f>
        <v/>
      </c>
      <c r="B54" s="210">
        <f>IF($AH54="","",INDEX('Roadmap Calc (Don’t Touch)'!$B$2:$B$205,$AH54))</f>
        <v/>
      </c>
      <c r="C54" s="211">
        <f>IF($AH54="","",INDEX('Roadmap Calc (Don’t Touch)'!$E$2:$E$205,$AH54))</f>
        <v/>
      </c>
      <c r="D54" s="212">
        <f>IF($AH54="","",INDEX('Roadmap Calc (Don’t Touch)'!$F$2:$F$205,$AH54))</f>
        <v/>
      </c>
      <c r="E54" s="213">
        <f>IF($AH54="","",INDEX('Roadmap Calc (Don’t Touch)'!$G$2:$G$205,$AH54))</f>
        <v/>
      </c>
      <c r="F54" s="213">
        <f>IF($AH54="","",INDEX('Roadmap Calc (Don’t Touch)'!$H$2:$H$205,$AH54))</f>
        <v/>
      </c>
      <c r="G54" s="213">
        <f>IF($AH54="","",INDEX('Roadmap Calc (Don’t Touch)'!$I$2:$I$205,$AH54))</f>
        <v/>
      </c>
      <c r="H54" s="213">
        <f>IF($AH54="","",INDEX('Roadmap Calc (Don’t Touch)'!$J$2:$J$205,$AH54))</f>
        <v/>
      </c>
      <c r="I54" s="214">
        <f>IF($AH54="","",IF(AND($E54&lt;&gt;"",$E54&lt;=EOMONTH(I$3,0),$F54&gt;=I$3),IF(AND($G54&lt;&gt;"",$G54&lt;=EOMONTH(I$3,0),$H54&gt;=I$3),"B","U"),IF(AND($G54&lt;&gt;"",$G54&lt;=EOMONTH(I$3,0),$H54&gt;=I$3),"D","")))</f>
        <v/>
      </c>
      <c r="J54" s="214">
        <f>IF($AH54="","",IF(AND($E54&lt;&gt;"",$E54&lt;=EOMONTH(J$3,0),$F54&gt;=J$3),IF(AND($G54&lt;&gt;"",$G54&lt;=EOMONTH(J$3,0),$H54&gt;=J$3),"B","U"),IF(AND($G54&lt;&gt;"",$G54&lt;=EOMONTH(J$3,0),$H54&gt;=J$3),"D","")))</f>
        <v/>
      </c>
      <c r="K54" s="214">
        <f>IF($AH54="","",IF(AND($E54&lt;&gt;"",$E54&lt;=EOMONTH(K$3,0),$F54&gt;=K$3),IF(AND($G54&lt;&gt;"",$G54&lt;=EOMONTH(K$3,0),$H54&gt;=K$3),"B","U"),IF(AND($G54&lt;&gt;"",$G54&lt;=EOMONTH(K$3,0),$H54&gt;=K$3),"D","")))</f>
        <v/>
      </c>
      <c r="L54" s="214">
        <f>IF($AH54="","",IF(AND($E54&lt;&gt;"",$E54&lt;=EOMONTH(L$3,0),$F54&gt;=L$3),IF(AND($G54&lt;&gt;"",$G54&lt;=EOMONTH(L$3,0),$H54&gt;=L$3),"B","U"),IF(AND($G54&lt;&gt;"",$G54&lt;=EOMONTH(L$3,0),$H54&gt;=L$3),"D","")))</f>
        <v/>
      </c>
      <c r="M54" s="214">
        <f>IF($AH54="","",IF(AND($E54&lt;&gt;"",$E54&lt;=EOMONTH(M$3,0),$F54&gt;=M$3),IF(AND($G54&lt;&gt;"",$G54&lt;=EOMONTH(M$3,0),$H54&gt;=M$3),"B","U"),IF(AND($G54&lt;&gt;"",$G54&lt;=EOMONTH(M$3,0),$H54&gt;=M$3),"D","")))</f>
        <v/>
      </c>
      <c r="N54" s="214">
        <f>IF($AH54="","",IF(AND($E54&lt;&gt;"",$E54&lt;=EOMONTH(N$3,0),$F54&gt;=N$3),IF(AND($G54&lt;&gt;"",$G54&lt;=EOMONTH(N$3,0),$H54&gt;=N$3),"B","U"),IF(AND($G54&lt;&gt;"",$G54&lt;=EOMONTH(N$3,0),$H54&gt;=N$3),"D","")))</f>
        <v/>
      </c>
      <c r="O54" s="214">
        <f>IF($AH54="","",IF(AND($E54&lt;&gt;"",$E54&lt;=EOMONTH(O$3,0),$F54&gt;=O$3),IF(AND($G54&lt;&gt;"",$G54&lt;=EOMONTH(O$3,0),$H54&gt;=O$3),"B","U"),IF(AND($G54&lt;&gt;"",$G54&lt;=EOMONTH(O$3,0),$H54&gt;=O$3),"D","")))</f>
        <v/>
      </c>
      <c r="P54" s="214">
        <f>IF($AH54="","",IF(AND($E54&lt;&gt;"",$E54&lt;=EOMONTH(P$3,0),$F54&gt;=P$3),IF(AND($G54&lt;&gt;"",$G54&lt;=EOMONTH(P$3,0),$H54&gt;=P$3),"B","U"),IF(AND($G54&lt;&gt;"",$G54&lt;=EOMONTH(P$3,0),$H54&gt;=P$3),"D","")))</f>
        <v/>
      </c>
      <c r="Q54" s="214">
        <f>IF($AH54="","",IF(AND($E54&lt;&gt;"",$E54&lt;=EOMONTH(Q$3,0),$F54&gt;=Q$3),IF(AND($G54&lt;&gt;"",$G54&lt;=EOMONTH(Q$3,0),$H54&gt;=Q$3),"B","U"),IF(AND($G54&lt;&gt;"",$G54&lt;=EOMONTH(Q$3,0),$H54&gt;=Q$3),"D","")))</f>
        <v/>
      </c>
      <c r="R54" s="214">
        <f>IF($AH54="","",IF(AND($E54&lt;&gt;"",$E54&lt;=EOMONTH(R$3,0),$F54&gt;=R$3),IF(AND($G54&lt;&gt;"",$G54&lt;=EOMONTH(R$3,0),$H54&gt;=R$3),"B","U"),IF(AND($G54&lt;&gt;"",$G54&lt;=EOMONTH(R$3,0),$H54&gt;=R$3),"D","")))</f>
        <v/>
      </c>
      <c r="S54" s="214">
        <f>IF($AH54="","",IF(AND($E54&lt;&gt;"",$E54&lt;=EOMONTH(S$3,0),$F54&gt;=S$3),IF(AND($G54&lt;&gt;"",$G54&lt;=EOMONTH(S$3,0),$H54&gt;=S$3),"B","U"),IF(AND($G54&lt;&gt;"",$G54&lt;=EOMONTH(S$3,0),$H54&gt;=S$3),"D","")))</f>
        <v/>
      </c>
      <c r="T54" s="214">
        <f>IF($AH54="","",IF(AND($E54&lt;&gt;"",$E54&lt;=EOMONTH(T$3,0),$F54&gt;=T$3),IF(AND($G54&lt;&gt;"",$G54&lt;=EOMONTH(T$3,0),$H54&gt;=T$3),"B","U"),IF(AND($G54&lt;&gt;"",$G54&lt;=EOMONTH(T$3,0),$H54&gt;=T$3),"D","")))</f>
        <v/>
      </c>
      <c r="U54" s="214">
        <f>IF($AH54="","",IF(AND($E54&lt;&gt;"",$E54&lt;=EOMONTH(U$3,0),$F54&gt;=U$3),IF(AND($G54&lt;&gt;"",$G54&lt;=EOMONTH(U$3,0),$H54&gt;=U$3),"B","U"),IF(AND($G54&lt;&gt;"",$G54&lt;=EOMONTH(U$3,0),$H54&gt;=U$3),"D","")))</f>
        <v/>
      </c>
      <c r="V54" s="214">
        <f>IF($AH54="","",IF(AND($E54&lt;&gt;"",$E54&lt;=EOMONTH(V$3,0),$F54&gt;=V$3),IF(AND($G54&lt;&gt;"",$G54&lt;=EOMONTH(V$3,0),$H54&gt;=V$3),"B","U"),IF(AND($G54&lt;&gt;"",$G54&lt;=EOMONTH(V$3,0),$H54&gt;=V$3),"D","")))</f>
        <v/>
      </c>
      <c r="W54" s="214">
        <f>IF($AH54="","",IF(AND($E54&lt;&gt;"",$E54&lt;=EOMONTH(W$3,0),$F54&gt;=W$3),IF(AND($G54&lt;&gt;"",$G54&lt;=EOMONTH(W$3,0),$H54&gt;=W$3),"B","U"),IF(AND($G54&lt;&gt;"",$G54&lt;=EOMONTH(W$3,0),$H54&gt;=W$3),"D","")))</f>
        <v/>
      </c>
      <c r="X54" s="214">
        <f>IF($AH54="","",IF(AND($E54&lt;&gt;"",$E54&lt;=EOMONTH(X$3,0),$F54&gt;=X$3),IF(AND($G54&lt;&gt;"",$G54&lt;=EOMONTH(X$3,0),$H54&gt;=X$3),"B","U"),IF(AND($G54&lt;&gt;"",$G54&lt;=EOMONTH(X$3,0),$H54&gt;=X$3),"D","")))</f>
        <v/>
      </c>
      <c r="Y54" s="214">
        <f>IF($AH54="","",IF(AND($E54&lt;&gt;"",$E54&lt;=EOMONTH(Y$3,0),$F54&gt;=Y$3),IF(AND($G54&lt;&gt;"",$G54&lt;=EOMONTH(Y$3,0),$H54&gt;=Y$3),"B","U"),IF(AND($G54&lt;&gt;"",$G54&lt;=EOMONTH(Y$3,0),$H54&gt;=Y$3),"D","")))</f>
        <v/>
      </c>
      <c r="Z54" s="214">
        <f>IF($AH54="","",IF(AND($E54&lt;&gt;"",$E54&lt;=EOMONTH(Z$3,0),$F54&gt;=Z$3),IF(AND($G54&lt;&gt;"",$G54&lt;=EOMONTH(Z$3,0),$H54&gt;=Z$3),"B","U"),IF(AND($G54&lt;&gt;"",$G54&lt;=EOMONTH(Z$3,0),$H54&gt;=Z$3),"D","")))</f>
        <v/>
      </c>
      <c r="AA54" s="214">
        <f>IF($AH54="","",IF(AND($E54&lt;&gt;"",$E54&lt;=EOMONTH(AA$3,0),$F54&gt;=AA$3),IF(AND($G54&lt;&gt;"",$G54&lt;=EOMONTH(AA$3,0),$H54&gt;=AA$3),"B","U"),IF(AND($G54&lt;&gt;"",$G54&lt;=EOMONTH(AA$3,0),$H54&gt;=AA$3),"D","")))</f>
        <v/>
      </c>
      <c r="AB54" s="214">
        <f>IF($AH54="","",IF(AND($E54&lt;&gt;"",$E54&lt;=EOMONTH(AB$3,0),$F54&gt;=AB$3),IF(AND($G54&lt;&gt;"",$G54&lt;=EOMONTH(AB$3,0),$H54&gt;=AB$3),"B","U"),IF(AND($G54&lt;&gt;"",$G54&lt;=EOMONTH(AB$3,0),$H54&gt;=AB$3),"D","")))</f>
        <v/>
      </c>
      <c r="AC54" s="214">
        <f>IF($AH54="","",IF(AND($E54&lt;&gt;"",$E54&lt;=EOMONTH(AC$3,0),$F54&gt;=AC$3),IF(AND($G54&lt;&gt;"",$G54&lt;=EOMONTH(AC$3,0),$H54&gt;=AC$3),"B","U"),IF(AND($G54&lt;&gt;"",$G54&lt;=EOMONTH(AC$3,0),$H54&gt;=AC$3),"D","")))</f>
        <v/>
      </c>
      <c r="AD54" s="214">
        <f>IF($AH54="","",IF(AND($E54&lt;&gt;"",$E54&lt;=EOMONTH(AD$3,0),$F54&gt;=AD$3),IF(AND($G54&lt;&gt;"",$G54&lt;=EOMONTH(AD$3,0),$H54&gt;=AD$3),"B","U"),IF(AND($G54&lt;&gt;"",$G54&lt;=EOMONTH(AD$3,0),$H54&gt;=AD$3),"D","")))</f>
        <v/>
      </c>
      <c r="AE54" s="214">
        <f>IF($AH54="","",IF(AND($E54&lt;&gt;"",$E54&lt;=EOMONTH(AE$3,0),$F54&gt;=AE$3),IF(AND($G54&lt;&gt;"",$G54&lt;=EOMONTH(AE$3,0),$H54&gt;=AE$3),"B","U"),IF(AND($G54&lt;&gt;"",$G54&lt;=EOMONTH(AE$3,0),$H54&gt;=AE$3),"D","")))</f>
        <v/>
      </c>
      <c r="AF54" s="214">
        <f>IF($AH54="","",IF(AND($E54&lt;&gt;"",$E54&lt;=EOMONTH(AF$3,0),$F54&gt;=AF$3),IF(AND($G54&lt;&gt;"",$G54&lt;=EOMONTH(AF$3,0),$H54&gt;=AF$3),"B","U"),IF(AND($G54&lt;&gt;"",$G54&lt;=EOMONTH(AF$3,0),$H54&gt;=AF$3),"D","")))</f>
        <v/>
      </c>
      <c r="AG54">
        <f>IF($AH54="","",INDEX('Roadmap Calc (Don’t Touch)'!$D$2:$D$205,$AH54))</f>
        <v/>
      </c>
      <c r="AH54">
        <f>IFERROR(MATCH(48,'Roadmap Calc (Don’t Touch)'!$O$2:$O$205,0),"")</f>
        <v/>
      </c>
    </row>
    <row r="55" ht="17" customHeight="1">
      <c r="A55" s="209">
        <f>IF($AH55="","",IF($AG55=$AG54,"",$AG55))</f>
        <v/>
      </c>
      <c r="B55" s="210">
        <f>IF($AH55="","",INDEX('Roadmap Calc (Don’t Touch)'!$B$2:$B$205,$AH55))</f>
        <v/>
      </c>
      <c r="C55" s="211">
        <f>IF($AH55="","",INDEX('Roadmap Calc (Don’t Touch)'!$E$2:$E$205,$AH55))</f>
        <v/>
      </c>
      <c r="D55" s="212">
        <f>IF($AH55="","",INDEX('Roadmap Calc (Don’t Touch)'!$F$2:$F$205,$AH55))</f>
        <v/>
      </c>
      <c r="E55" s="213">
        <f>IF($AH55="","",INDEX('Roadmap Calc (Don’t Touch)'!$G$2:$G$205,$AH55))</f>
        <v/>
      </c>
      <c r="F55" s="213">
        <f>IF($AH55="","",INDEX('Roadmap Calc (Don’t Touch)'!$H$2:$H$205,$AH55))</f>
        <v/>
      </c>
      <c r="G55" s="213">
        <f>IF($AH55="","",INDEX('Roadmap Calc (Don’t Touch)'!$I$2:$I$205,$AH55))</f>
        <v/>
      </c>
      <c r="H55" s="213">
        <f>IF($AH55="","",INDEX('Roadmap Calc (Don’t Touch)'!$J$2:$J$205,$AH55))</f>
        <v/>
      </c>
      <c r="I55" s="214">
        <f>IF($AH55="","",IF(AND($E55&lt;&gt;"",$E55&lt;=EOMONTH(I$3,0),$F55&gt;=I$3),IF(AND($G55&lt;&gt;"",$G55&lt;=EOMONTH(I$3,0),$H55&gt;=I$3),"B","U"),IF(AND($G55&lt;&gt;"",$G55&lt;=EOMONTH(I$3,0),$H55&gt;=I$3),"D","")))</f>
        <v/>
      </c>
      <c r="J55" s="214">
        <f>IF($AH55="","",IF(AND($E55&lt;&gt;"",$E55&lt;=EOMONTH(J$3,0),$F55&gt;=J$3),IF(AND($G55&lt;&gt;"",$G55&lt;=EOMONTH(J$3,0),$H55&gt;=J$3),"B","U"),IF(AND($G55&lt;&gt;"",$G55&lt;=EOMONTH(J$3,0),$H55&gt;=J$3),"D","")))</f>
        <v/>
      </c>
      <c r="K55" s="214">
        <f>IF($AH55="","",IF(AND($E55&lt;&gt;"",$E55&lt;=EOMONTH(K$3,0),$F55&gt;=K$3),IF(AND($G55&lt;&gt;"",$G55&lt;=EOMONTH(K$3,0),$H55&gt;=K$3),"B","U"),IF(AND($G55&lt;&gt;"",$G55&lt;=EOMONTH(K$3,0),$H55&gt;=K$3),"D","")))</f>
        <v/>
      </c>
      <c r="L55" s="214">
        <f>IF($AH55="","",IF(AND($E55&lt;&gt;"",$E55&lt;=EOMONTH(L$3,0),$F55&gt;=L$3),IF(AND($G55&lt;&gt;"",$G55&lt;=EOMONTH(L$3,0),$H55&gt;=L$3),"B","U"),IF(AND($G55&lt;&gt;"",$G55&lt;=EOMONTH(L$3,0),$H55&gt;=L$3),"D","")))</f>
        <v/>
      </c>
      <c r="M55" s="214">
        <f>IF($AH55="","",IF(AND($E55&lt;&gt;"",$E55&lt;=EOMONTH(M$3,0),$F55&gt;=M$3),IF(AND($G55&lt;&gt;"",$G55&lt;=EOMONTH(M$3,0),$H55&gt;=M$3),"B","U"),IF(AND($G55&lt;&gt;"",$G55&lt;=EOMONTH(M$3,0),$H55&gt;=M$3),"D","")))</f>
        <v/>
      </c>
      <c r="N55" s="214">
        <f>IF($AH55="","",IF(AND($E55&lt;&gt;"",$E55&lt;=EOMONTH(N$3,0),$F55&gt;=N$3),IF(AND($G55&lt;&gt;"",$G55&lt;=EOMONTH(N$3,0),$H55&gt;=N$3),"B","U"),IF(AND($G55&lt;&gt;"",$G55&lt;=EOMONTH(N$3,0),$H55&gt;=N$3),"D","")))</f>
        <v/>
      </c>
      <c r="O55" s="214">
        <f>IF($AH55="","",IF(AND($E55&lt;&gt;"",$E55&lt;=EOMONTH(O$3,0),$F55&gt;=O$3),IF(AND($G55&lt;&gt;"",$G55&lt;=EOMONTH(O$3,0),$H55&gt;=O$3),"B","U"),IF(AND($G55&lt;&gt;"",$G55&lt;=EOMONTH(O$3,0),$H55&gt;=O$3),"D","")))</f>
        <v/>
      </c>
      <c r="P55" s="214">
        <f>IF($AH55="","",IF(AND($E55&lt;&gt;"",$E55&lt;=EOMONTH(P$3,0),$F55&gt;=P$3),IF(AND($G55&lt;&gt;"",$G55&lt;=EOMONTH(P$3,0),$H55&gt;=P$3),"B","U"),IF(AND($G55&lt;&gt;"",$G55&lt;=EOMONTH(P$3,0),$H55&gt;=P$3),"D","")))</f>
        <v/>
      </c>
      <c r="Q55" s="214">
        <f>IF($AH55="","",IF(AND($E55&lt;&gt;"",$E55&lt;=EOMONTH(Q$3,0),$F55&gt;=Q$3),IF(AND($G55&lt;&gt;"",$G55&lt;=EOMONTH(Q$3,0),$H55&gt;=Q$3),"B","U"),IF(AND($G55&lt;&gt;"",$G55&lt;=EOMONTH(Q$3,0),$H55&gt;=Q$3),"D","")))</f>
        <v/>
      </c>
      <c r="R55" s="214">
        <f>IF($AH55="","",IF(AND($E55&lt;&gt;"",$E55&lt;=EOMONTH(R$3,0),$F55&gt;=R$3),IF(AND($G55&lt;&gt;"",$G55&lt;=EOMONTH(R$3,0),$H55&gt;=R$3),"B","U"),IF(AND($G55&lt;&gt;"",$G55&lt;=EOMONTH(R$3,0),$H55&gt;=R$3),"D","")))</f>
        <v/>
      </c>
      <c r="S55" s="214">
        <f>IF($AH55="","",IF(AND($E55&lt;&gt;"",$E55&lt;=EOMONTH(S$3,0),$F55&gt;=S$3),IF(AND($G55&lt;&gt;"",$G55&lt;=EOMONTH(S$3,0),$H55&gt;=S$3),"B","U"),IF(AND($G55&lt;&gt;"",$G55&lt;=EOMONTH(S$3,0),$H55&gt;=S$3),"D","")))</f>
        <v/>
      </c>
      <c r="T55" s="214">
        <f>IF($AH55="","",IF(AND($E55&lt;&gt;"",$E55&lt;=EOMONTH(T$3,0),$F55&gt;=T$3),IF(AND($G55&lt;&gt;"",$G55&lt;=EOMONTH(T$3,0),$H55&gt;=T$3),"B","U"),IF(AND($G55&lt;&gt;"",$G55&lt;=EOMONTH(T$3,0),$H55&gt;=T$3),"D","")))</f>
        <v/>
      </c>
      <c r="U55" s="214">
        <f>IF($AH55="","",IF(AND($E55&lt;&gt;"",$E55&lt;=EOMONTH(U$3,0),$F55&gt;=U$3),IF(AND($G55&lt;&gt;"",$G55&lt;=EOMONTH(U$3,0),$H55&gt;=U$3),"B","U"),IF(AND($G55&lt;&gt;"",$G55&lt;=EOMONTH(U$3,0),$H55&gt;=U$3),"D","")))</f>
        <v/>
      </c>
      <c r="V55" s="214">
        <f>IF($AH55="","",IF(AND($E55&lt;&gt;"",$E55&lt;=EOMONTH(V$3,0),$F55&gt;=V$3),IF(AND($G55&lt;&gt;"",$G55&lt;=EOMONTH(V$3,0),$H55&gt;=V$3),"B","U"),IF(AND($G55&lt;&gt;"",$G55&lt;=EOMONTH(V$3,0),$H55&gt;=V$3),"D","")))</f>
        <v/>
      </c>
      <c r="W55" s="214">
        <f>IF($AH55="","",IF(AND($E55&lt;&gt;"",$E55&lt;=EOMONTH(W$3,0),$F55&gt;=W$3),IF(AND($G55&lt;&gt;"",$G55&lt;=EOMONTH(W$3,0),$H55&gt;=W$3),"B","U"),IF(AND($G55&lt;&gt;"",$G55&lt;=EOMONTH(W$3,0),$H55&gt;=W$3),"D","")))</f>
        <v/>
      </c>
      <c r="X55" s="214">
        <f>IF($AH55="","",IF(AND($E55&lt;&gt;"",$E55&lt;=EOMONTH(X$3,0),$F55&gt;=X$3),IF(AND($G55&lt;&gt;"",$G55&lt;=EOMONTH(X$3,0),$H55&gt;=X$3),"B","U"),IF(AND($G55&lt;&gt;"",$G55&lt;=EOMONTH(X$3,0),$H55&gt;=X$3),"D","")))</f>
        <v/>
      </c>
      <c r="Y55" s="214">
        <f>IF($AH55="","",IF(AND($E55&lt;&gt;"",$E55&lt;=EOMONTH(Y$3,0),$F55&gt;=Y$3),IF(AND($G55&lt;&gt;"",$G55&lt;=EOMONTH(Y$3,0),$H55&gt;=Y$3),"B","U"),IF(AND($G55&lt;&gt;"",$G55&lt;=EOMONTH(Y$3,0),$H55&gt;=Y$3),"D","")))</f>
        <v/>
      </c>
      <c r="Z55" s="214">
        <f>IF($AH55="","",IF(AND($E55&lt;&gt;"",$E55&lt;=EOMONTH(Z$3,0),$F55&gt;=Z$3),IF(AND($G55&lt;&gt;"",$G55&lt;=EOMONTH(Z$3,0),$H55&gt;=Z$3),"B","U"),IF(AND($G55&lt;&gt;"",$G55&lt;=EOMONTH(Z$3,0),$H55&gt;=Z$3),"D","")))</f>
        <v/>
      </c>
      <c r="AA55" s="214">
        <f>IF($AH55="","",IF(AND($E55&lt;&gt;"",$E55&lt;=EOMONTH(AA$3,0),$F55&gt;=AA$3),IF(AND($G55&lt;&gt;"",$G55&lt;=EOMONTH(AA$3,0),$H55&gt;=AA$3),"B","U"),IF(AND($G55&lt;&gt;"",$G55&lt;=EOMONTH(AA$3,0),$H55&gt;=AA$3),"D","")))</f>
        <v/>
      </c>
      <c r="AB55" s="214">
        <f>IF($AH55="","",IF(AND($E55&lt;&gt;"",$E55&lt;=EOMONTH(AB$3,0),$F55&gt;=AB$3),IF(AND($G55&lt;&gt;"",$G55&lt;=EOMONTH(AB$3,0),$H55&gt;=AB$3),"B","U"),IF(AND($G55&lt;&gt;"",$G55&lt;=EOMONTH(AB$3,0),$H55&gt;=AB$3),"D","")))</f>
        <v/>
      </c>
      <c r="AC55" s="214">
        <f>IF($AH55="","",IF(AND($E55&lt;&gt;"",$E55&lt;=EOMONTH(AC$3,0),$F55&gt;=AC$3),IF(AND($G55&lt;&gt;"",$G55&lt;=EOMONTH(AC$3,0),$H55&gt;=AC$3),"B","U"),IF(AND($G55&lt;&gt;"",$G55&lt;=EOMONTH(AC$3,0),$H55&gt;=AC$3),"D","")))</f>
        <v/>
      </c>
      <c r="AD55" s="214">
        <f>IF($AH55="","",IF(AND($E55&lt;&gt;"",$E55&lt;=EOMONTH(AD$3,0),$F55&gt;=AD$3),IF(AND($G55&lt;&gt;"",$G55&lt;=EOMONTH(AD$3,0),$H55&gt;=AD$3),"B","U"),IF(AND($G55&lt;&gt;"",$G55&lt;=EOMONTH(AD$3,0),$H55&gt;=AD$3),"D","")))</f>
        <v/>
      </c>
      <c r="AE55" s="214">
        <f>IF($AH55="","",IF(AND($E55&lt;&gt;"",$E55&lt;=EOMONTH(AE$3,0),$F55&gt;=AE$3),IF(AND($G55&lt;&gt;"",$G55&lt;=EOMONTH(AE$3,0),$H55&gt;=AE$3),"B","U"),IF(AND($G55&lt;&gt;"",$G55&lt;=EOMONTH(AE$3,0),$H55&gt;=AE$3),"D","")))</f>
        <v/>
      </c>
      <c r="AF55" s="214">
        <f>IF($AH55="","",IF(AND($E55&lt;&gt;"",$E55&lt;=EOMONTH(AF$3,0),$F55&gt;=AF$3),IF(AND($G55&lt;&gt;"",$G55&lt;=EOMONTH(AF$3,0),$H55&gt;=AF$3),"B","U"),IF(AND($G55&lt;&gt;"",$G55&lt;=EOMONTH(AF$3,0),$H55&gt;=AF$3),"D","")))</f>
        <v/>
      </c>
      <c r="AG55">
        <f>IF($AH55="","",INDEX('Roadmap Calc (Don’t Touch)'!$D$2:$D$205,$AH55))</f>
        <v/>
      </c>
      <c r="AH55">
        <f>IFERROR(MATCH(49,'Roadmap Calc (Don’t Touch)'!$O$2:$O$205,0),"")</f>
        <v/>
      </c>
    </row>
    <row r="56" ht="17" customHeight="1">
      <c r="A56" s="209">
        <f>IF($AH56="","",IF($AG56=$AG55,"",$AG56))</f>
        <v/>
      </c>
      <c r="B56" s="210">
        <f>IF($AH56="","",INDEX('Roadmap Calc (Don’t Touch)'!$B$2:$B$205,$AH56))</f>
        <v/>
      </c>
      <c r="C56" s="211">
        <f>IF($AH56="","",INDEX('Roadmap Calc (Don’t Touch)'!$E$2:$E$205,$AH56))</f>
        <v/>
      </c>
      <c r="D56" s="212">
        <f>IF($AH56="","",INDEX('Roadmap Calc (Don’t Touch)'!$F$2:$F$205,$AH56))</f>
        <v/>
      </c>
      <c r="E56" s="213">
        <f>IF($AH56="","",INDEX('Roadmap Calc (Don’t Touch)'!$G$2:$G$205,$AH56))</f>
        <v/>
      </c>
      <c r="F56" s="213">
        <f>IF($AH56="","",INDEX('Roadmap Calc (Don’t Touch)'!$H$2:$H$205,$AH56))</f>
        <v/>
      </c>
      <c r="G56" s="213">
        <f>IF($AH56="","",INDEX('Roadmap Calc (Don’t Touch)'!$I$2:$I$205,$AH56))</f>
        <v/>
      </c>
      <c r="H56" s="213">
        <f>IF($AH56="","",INDEX('Roadmap Calc (Don’t Touch)'!$J$2:$J$205,$AH56))</f>
        <v/>
      </c>
      <c r="I56" s="214">
        <f>IF($AH56="","",IF(AND($E56&lt;&gt;"",$E56&lt;=EOMONTH(I$3,0),$F56&gt;=I$3),IF(AND($G56&lt;&gt;"",$G56&lt;=EOMONTH(I$3,0),$H56&gt;=I$3),"B","U"),IF(AND($G56&lt;&gt;"",$G56&lt;=EOMONTH(I$3,0),$H56&gt;=I$3),"D","")))</f>
        <v/>
      </c>
      <c r="J56" s="214">
        <f>IF($AH56="","",IF(AND($E56&lt;&gt;"",$E56&lt;=EOMONTH(J$3,0),$F56&gt;=J$3),IF(AND($G56&lt;&gt;"",$G56&lt;=EOMONTH(J$3,0),$H56&gt;=J$3),"B","U"),IF(AND($G56&lt;&gt;"",$G56&lt;=EOMONTH(J$3,0),$H56&gt;=J$3),"D","")))</f>
        <v/>
      </c>
      <c r="K56" s="214">
        <f>IF($AH56="","",IF(AND($E56&lt;&gt;"",$E56&lt;=EOMONTH(K$3,0),$F56&gt;=K$3),IF(AND($G56&lt;&gt;"",$G56&lt;=EOMONTH(K$3,0),$H56&gt;=K$3),"B","U"),IF(AND($G56&lt;&gt;"",$G56&lt;=EOMONTH(K$3,0),$H56&gt;=K$3),"D","")))</f>
        <v/>
      </c>
      <c r="L56" s="214">
        <f>IF($AH56="","",IF(AND($E56&lt;&gt;"",$E56&lt;=EOMONTH(L$3,0),$F56&gt;=L$3),IF(AND($G56&lt;&gt;"",$G56&lt;=EOMONTH(L$3,0),$H56&gt;=L$3),"B","U"),IF(AND($G56&lt;&gt;"",$G56&lt;=EOMONTH(L$3,0),$H56&gt;=L$3),"D","")))</f>
        <v/>
      </c>
      <c r="M56" s="214">
        <f>IF($AH56="","",IF(AND($E56&lt;&gt;"",$E56&lt;=EOMONTH(M$3,0),$F56&gt;=M$3),IF(AND($G56&lt;&gt;"",$G56&lt;=EOMONTH(M$3,0),$H56&gt;=M$3),"B","U"),IF(AND($G56&lt;&gt;"",$G56&lt;=EOMONTH(M$3,0),$H56&gt;=M$3),"D","")))</f>
        <v/>
      </c>
      <c r="N56" s="214">
        <f>IF($AH56="","",IF(AND($E56&lt;&gt;"",$E56&lt;=EOMONTH(N$3,0),$F56&gt;=N$3),IF(AND($G56&lt;&gt;"",$G56&lt;=EOMONTH(N$3,0),$H56&gt;=N$3),"B","U"),IF(AND($G56&lt;&gt;"",$G56&lt;=EOMONTH(N$3,0),$H56&gt;=N$3),"D","")))</f>
        <v/>
      </c>
      <c r="O56" s="214">
        <f>IF($AH56="","",IF(AND($E56&lt;&gt;"",$E56&lt;=EOMONTH(O$3,0),$F56&gt;=O$3),IF(AND($G56&lt;&gt;"",$G56&lt;=EOMONTH(O$3,0),$H56&gt;=O$3),"B","U"),IF(AND($G56&lt;&gt;"",$G56&lt;=EOMONTH(O$3,0),$H56&gt;=O$3),"D","")))</f>
        <v/>
      </c>
      <c r="P56" s="214">
        <f>IF($AH56="","",IF(AND($E56&lt;&gt;"",$E56&lt;=EOMONTH(P$3,0),$F56&gt;=P$3),IF(AND($G56&lt;&gt;"",$G56&lt;=EOMONTH(P$3,0),$H56&gt;=P$3),"B","U"),IF(AND($G56&lt;&gt;"",$G56&lt;=EOMONTH(P$3,0),$H56&gt;=P$3),"D","")))</f>
        <v/>
      </c>
      <c r="Q56" s="214">
        <f>IF($AH56="","",IF(AND($E56&lt;&gt;"",$E56&lt;=EOMONTH(Q$3,0),$F56&gt;=Q$3),IF(AND($G56&lt;&gt;"",$G56&lt;=EOMONTH(Q$3,0),$H56&gt;=Q$3),"B","U"),IF(AND($G56&lt;&gt;"",$G56&lt;=EOMONTH(Q$3,0),$H56&gt;=Q$3),"D","")))</f>
        <v/>
      </c>
      <c r="R56" s="214">
        <f>IF($AH56="","",IF(AND($E56&lt;&gt;"",$E56&lt;=EOMONTH(R$3,0),$F56&gt;=R$3),IF(AND($G56&lt;&gt;"",$G56&lt;=EOMONTH(R$3,0),$H56&gt;=R$3),"B","U"),IF(AND($G56&lt;&gt;"",$G56&lt;=EOMONTH(R$3,0),$H56&gt;=R$3),"D","")))</f>
        <v/>
      </c>
      <c r="S56" s="214">
        <f>IF($AH56="","",IF(AND($E56&lt;&gt;"",$E56&lt;=EOMONTH(S$3,0),$F56&gt;=S$3),IF(AND($G56&lt;&gt;"",$G56&lt;=EOMONTH(S$3,0),$H56&gt;=S$3),"B","U"),IF(AND($G56&lt;&gt;"",$G56&lt;=EOMONTH(S$3,0),$H56&gt;=S$3),"D","")))</f>
        <v/>
      </c>
      <c r="T56" s="214">
        <f>IF($AH56="","",IF(AND($E56&lt;&gt;"",$E56&lt;=EOMONTH(T$3,0),$F56&gt;=T$3),IF(AND($G56&lt;&gt;"",$G56&lt;=EOMONTH(T$3,0),$H56&gt;=T$3),"B","U"),IF(AND($G56&lt;&gt;"",$G56&lt;=EOMONTH(T$3,0),$H56&gt;=T$3),"D","")))</f>
        <v/>
      </c>
      <c r="U56" s="214">
        <f>IF($AH56="","",IF(AND($E56&lt;&gt;"",$E56&lt;=EOMONTH(U$3,0),$F56&gt;=U$3),IF(AND($G56&lt;&gt;"",$G56&lt;=EOMONTH(U$3,0),$H56&gt;=U$3),"B","U"),IF(AND($G56&lt;&gt;"",$G56&lt;=EOMONTH(U$3,0),$H56&gt;=U$3),"D","")))</f>
        <v/>
      </c>
      <c r="V56" s="214">
        <f>IF($AH56="","",IF(AND($E56&lt;&gt;"",$E56&lt;=EOMONTH(V$3,0),$F56&gt;=V$3),IF(AND($G56&lt;&gt;"",$G56&lt;=EOMONTH(V$3,0),$H56&gt;=V$3),"B","U"),IF(AND($G56&lt;&gt;"",$G56&lt;=EOMONTH(V$3,0),$H56&gt;=V$3),"D","")))</f>
        <v/>
      </c>
      <c r="W56" s="214">
        <f>IF($AH56="","",IF(AND($E56&lt;&gt;"",$E56&lt;=EOMONTH(W$3,0),$F56&gt;=W$3),IF(AND($G56&lt;&gt;"",$G56&lt;=EOMONTH(W$3,0),$H56&gt;=W$3),"B","U"),IF(AND($G56&lt;&gt;"",$G56&lt;=EOMONTH(W$3,0),$H56&gt;=W$3),"D","")))</f>
        <v/>
      </c>
      <c r="X56" s="214">
        <f>IF($AH56="","",IF(AND($E56&lt;&gt;"",$E56&lt;=EOMONTH(X$3,0),$F56&gt;=X$3),IF(AND($G56&lt;&gt;"",$G56&lt;=EOMONTH(X$3,0),$H56&gt;=X$3),"B","U"),IF(AND($G56&lt;&gt;"",$G56&lt;=EOMONTH(X$3,0),$H56&gt;=X$3),"D","")))</f>
        <v/>
      </c>
      <c r="Y56" s="214">
        <f>IF($AH56="","",IF(AND($E56&lt;&gt;"",$E56&lt;=EOMONTH(Y$3,0),$F56&gt;=Y$3),IF(AND($G56&lt;&gt;"",$G56&lt;=EOMONTH(Y$3,0),$H56&gt;=Y$3),"B","U"),IF(AND($G56&lt;&gt;"",$G56&lt;=EOMONTH(Y$3,0),$H56&gt;=Y$3),"D","")))</f>
        <v/>
      </c>
      <c r="Z56" s="214">
        <f>IF($AH56="","",IF(AND($E56&lt;&gt;"",$E56&lt;=EOMONTH(Z$3,0),$F56&gt;=Z$3),IF(AND($G56&lt;&gt;"",$G56&lt;=EOMONTH(Z$3,0),$H56&gt;=Z$3),"B","U"),IF(AND($G56&lt;&gt;"",$G56&lt;=EOMONTH(Z$3,0),$H56&gt;=Z$3),"D","")))</f>
        <v/>
      </c>
      <c r="AA56" s="214">
        <f>IF($AH56="","",IF(AND($E56&lt;&gt;"",$E56&lt;=EOMONTH(AA$3,0),$F56&gt;=AA$3),IF(AND($G56&lt;&gt;"",$G56&lt;=EOMONTH(AA$3,0),$H56&gt;=AA$3),"B","U"),IF(AND($G56&lt;&gt;"",$G56&lt;=EOMONTH(AA$3,0),$H56&gt;=AA$3),"D","")))</f>
        <v/>
      </c>
      <c r="AB56" s="214">
        <f>IF($AH56="","",IF(AND($E56&lt;&gt;"",$E56&lt;=EOMONTH(AB$3,0),$F56&gt;=AB$3),IF(AND($G56&lt;&gt;"",$G56&lt;=EOMONTH(AB$3,0),$H56&gt;=AB$3),"B","U"),IF(AND($G56&lt;&gt;"",$G56&lt;=EOMONTH(AB$3,0),$H56&gt;=AB$3),"D","")))</f>
        <v/>
      </c>
      <c r="AC56" s="214">
        <f>IF($AH56="","",IF(AND($E56&lt;&gt;"",$E56&lt;=EOMONTH(AC$3,0),$F56&gt;=AC$3),IF(AND($G56&lt;&gt;"",$G56&lt;=EOMONTH(AC$3,0),$H56&gt;=AC$3),"B","U"),IF(AND($G56&lt;&gt;"",$G56&lt;=EOMONTH(AC$3,0),$H56&gt;=AC$3),"D","")))</f>
        <v/>
      </c>
      <c r="AD56" s="214">
        <f>IF($AH56="","",IF(AND($E56&lt;&gt;"",$E56&lt;=EOMONTH(AD$3,0),$F56&gt;=AD$3),IF(AND($G56&lt;&gt;"",$G56&lt;=EOMONTH(AD$3,0),$H56&gt;=AD$3),"B","U"),IF(AND($G56&lt;&gt;"",$G56&lt;=EOMONTH(AD$3,0),$H56&gt;=AD$3),"D","")))</f>
        <v/>
      </c>
      <c r="AE56" s="214">
        <f>IF($AH56="","",IF(AND($E56&lt;&gt;"",$E56&lt;=EOMONTH(AE$3,0),$F56&gt;=AE$3),IF(AND($G56&lt;&gt;"",$G56&lt;=EOMONTH(AE$3,0),$H56&gt;=AE$3),"B","U"),IF(AND($G56&lt;&gt;"",$G56&lt;=EOMONTH(AE$3,0),$H56&gt;=AE$3),"D","")))</f>
        <v/>
      </c>
      <c r="AF56" s="214">
        <f>IF($AH56="","",IF(AND($E56&lt;&gt;"",$E56&lt;=EOMONTH(AF$3,0),$F56&gt;=AF$3),IF(AND($G56&lt;&gt;"",$G56&lt;=EOMONTH(AF$3,0),$H56&gt;=AF$3),"B","U"),IF(AND($G56&lt;&gt;"",$G56&lt;=EOMONTH(AF$3,0),$H56&gt;=AF$3),"D","")))</f>
        <v/>
      </c>
      <c r="AG56">
        <f>IF($AH56="","",INDEX('Roadmap Calc (Don’t Touch)'!$D$2:$D$205,$AH56))</f>
        <v/>
      </c>
      <c r="AH56">
        <f>IFERROR(MATCH(50,'Roadmap Calc (Don’t Touch)'!$O$2:$O$205,0),"")</f>
        <v/>
      </c>
    </row>
    <row r="57" ht="17" customHeight="1">
      <c r="A57" s="209">
        <f>IF($AH57="","",IF($AG57=$AG56,"",$AG57))</f>
        <v/>
      </c>
      <c r="B57" s="210">
        <f>IF($AH57="","",INDEX('Roadmap Calc (Don’t Touch)'!$B$2:$B$205,$AH57))</f>
        <v/>
      </c>
      <c r="C57" s="211">
        <f>IF($AH57="","",INDEX('Roadmap Calc (Don’t Touch)'!$E$2:$E$205,$AH57))</f>
        <v/>
      </c>
      <c r="D57" s="212">
        <f>IF($AH57="","",INDEX('Roadmap Calc (Don’t Touch)'!$F$2:$F$205,$AH57))</f>
        <v/>
      </c>
      <c r="E57" s="213">
        <f>IF($AH57="","",INDEX('Roadmap Calc (Don’t Touch)'!$G$2:$G$205,$AH57))</f>
        <v/>
      </c>
      <c r="F57" s="213">
        <f>IF($AH57="","",INDEX('Roadmap Calc (Don’t Touch)'!$H$2:$H$205,$AH57))</f>
        <v/>
      </c>
      <c r="G57" s="213">
        <f>IF($AH57="","",INDEX('Roadmap Calc (Don’t Touch)'!$I$2:$I$205,$AH57))</f>
        <v/>
      </c>
      <c r="H57" s="213">
        <f>IF($AH57="","",INDEX('Roadmap Calc (Don’t Touch)'!$J$2:$J$205,$AH57))</f>
        <v/>
      </c>
      <c r="I57" s="214">
        <f>IF($AH57="","",IF(AND($E57&lt;&gt;"",$E57&lt;=EOMONTH(I$3,0),$F57&gt;=I$3),IF(AND($G57&lt;&gt;"",$G57&lt;=EOMONTH(I$3,0),$H57&gt;=I$3),"B","U"),IF(AND($G57&lt;&gt;"",$G57&lt;=EOMONTH(I$3,0),$H57&gt;=I$3),"D","")))</f>
        <v/>
      </c>
      <c r="J57" s="214">
        <f>IF($AH57="","",IF(AND($E57&lt;&gt;"",$E57&lt;=EOMONTH(J$3,0),$F57&gt;=J$3),IF(AND($G57&lt;&gt;"",$G57&lt;=EOMONTH(J$3,0),$H57&gt;=J$3),"B","U"),IF(AND($G57&lt;&gt;"",$G57&lt;=EOMONTH(J$3,0),$H57&gt;=J$3),"D","")))</f>
        <v/>
      </c>
      <c r="K57" s="214">
        <f>IF($AH57="","",IF(AND($E57&lt;&gt;"",$E57&lt;=EOMONTH(K$3,0),$F57&gt;=K$3),IF(AND($G57&lt;&gt;"",$G57&lt;=EOMONTH(K$3,0),$H57&gt;=K$3),"B","U"),IF(AND($G57&lt;&gt;"",$G57&lt;=EOMONTH(K$3,0),$H57&gt;=K$3),"D","")))</f>
        <v/>
      </c>
      <c r="L57" s="214">
        <f>IF($AH57="","",IF(AND($E57&lt;&gt;"",$E57&lt;=EOMONTH(L$3,0),$F57&gt;=L$3),IF(AND($G57&lt;&gt;"",$G57&lt;=EOMONTH(L$3,0),$H57&gt;=L$3),"B","U"),IF(AND($G57&lt;&gt;"",$G57&lt;=EOMONTH(L$3,0),$H57&gt;=L$3),"D","")))</f>
        <v/>
      </c>
      <c r="M57" s="214">
        <f>IF($AH57="","",IF(AND($E57&lt;&gt;"",$E57&lt;=EOMONTH(M$3,0),$F57&gt;=M$3),IF(AND($G57&lt;&gt;"",$G57&lt;=EOMONTH(M$3,0),$H57&gt;=M$3),"B","U"),IF(AND($G57&lt;&gt;"",$G57&lt;=EOMONTH(M$3,0),$H57&gt;=M$3),"D","")))</f>
        <v/>
      </c>
      <c r="N57" s="214">
        <f>IF($AH57="","",IF(AND($E57&lt;&gt;"",$E57&lt;=EOMONTH(N$3,0),$F57&gt;=N$3),IF(AND($G57&lt;&gt;"",$G57&lt;=EOMONTH(N$3,0),$H57&gt;=N$3),"B","U"),IF(AND($G57&lt;&gt;"",$G57&lt;=EOMONTH(N$3,0),$H57&gt;=N$3),"D","")))</f>
        <v/>
      </c>
      <c r="O57" s="214">
        <f>IF($AH57="","",IF(AND($E57&lt;&gt;"",$E57&lt;=EOMONTH(O$3,0),$F57&gt;=O$3),IF(AND($G57&lt;&gt;"",$G57&lt;=EOMONTH(O$3,0),$H57&gt;=O$3),"B","U"),IF(AND($G57&lt;&gt;"",$G57&lt;=EOMONTH(O$3,0),$H57&gt;=O$3),"D","")))</f>
        <v/>
      </c>
      <c r="P57" s="214">
        <f>IF($AH57="","",IF(AND($E57&lt;&gt;"",$E57&lt;=EOMONTH(P$3,0),$F57&gt;=P$3),IF(AND($G57&lt;&gt;"",$G57&lt;=EOMONTH(P$3,0),$H57&gt;=P$3),"B","U"),IF(AND($G57&lt;&gt;"",$G57&lt;=EOMONTH(P$3,0),$H57&gt;=P$3),"D","")))</f>
        <v/>
      </c>
      <c r="Q57" s="214">
        <f>IF($AH57="","",IF(AND($E57&lt;&gt;"",$E57&lt;=EOMONTH(Q$3,0),$F57&gt;=Q$3),IF(AND($G57&lt;&gt;"",$G57&lt;=EOMONTH(Q$3,0),$H57&gt;=Q$3),"B","U"),IF(AND($G57&lt;&gt;"",$G57&lt;=EOMONTH(Q$3,0),$H57&gt;=Q$3),"D","")))</f>
        <v/>
      </c>
      <c r="R57" s="214">
        <f>IF($AH57="","",IF(AND($E57&lt;&gt;"",$E57&lt;=EOMONTH(R$3,0),$F57&gt;=R$3),IF(AND($G57&lt;&gt;"",$G57&lt;=EOMONTH(R$3,0),$H57&gt;=R$3),"B","U"),IF(AND($G57&lt;&gt;"",$G57&lt;=EOMONTH(R$3,0),$H57&gt;=R$3),"D","")))</f>
        <v/>
      </c>
      <c r="S57" s="214">
        <f>IF($AH57="","",IF(AND($E57&lt;&gt;"",$E57&lt;=EOMONTH(S$3,0),$F57&gt;=S$3),IF(AND($G57&lt;&gt;"",$G57&lt;=EOMONTH(S$3,0),$H57&gt;=S$3),"B","U"),IF(AND($G57&lt;&gt;"",$G57&lt;=EOMONTH(S$3,0),$H57&gt;=S$3),"D","")))</f>
        <v/>
      </c>
      <c r="T57" s="214">
        <f>IF($AH57="","",IF(AND($E57&lt;&gt;"",$E57&lt;=EOMONTH(T$3,0),$F57&gt;=T$3),IF(AND($G57&lt;&gt;"",$G57&lt;=EOMONTH(T$3,0),$H57&gt;=T$3),"B","U"),IF(AND($G57&lt;&gt;"",$G57&lt;=EOMONTH(T$3,0),$H57&gt;=T$3),"D","")))</f>
        <v/>
      </c>
      <c r="U57" s="214">
        <f>IF($AH57="","",IF(AND($E57&lt;&gt;"",$E57&lt;=EOMONTH(U$3,0),$F57&gt;=U$3),IF(AND($G57&lt;&gt;"",$G57&lt;=EOMONTH(U$3,0),$H57&gt;=U$3),"B","U"),IF(AND($G57&lt;&gt;"",$G57&lt;=EOMONTH(U$3,0),$H57&gt;=U$3),"D","")))</f>
        <v/>
      </c>
      <c r="V57" s="214">
        <f>IF($AH57="","",IF(AND($E57&lt;&gt;"",$E57&lt;=EOMONTH(V$3,0),$F57&gt;=V$3),IF(AND($G57&lt;&gt;"",$G57&lt;=EOMONTH(V$3,0),$H57&gt;=V$3),"B","U"),IF(AND($G57&lt;&gt;"",$G57&lt;=EOMONTH(V$3,0),$H57&gt;=V$3),"D","")))</f>
        <v/>
      </c>
      <c r="W57" s="214">
        <f>IF($AH57="","",IF(AND($E57&lt;&gt;"",$E57&lt;=EOMONTH(W$3,0),$F57&gt;=W$3),IF(AND($G57&lt;&gt;"",$G57&lt;=EOMONTH(W$3,0),$H57&gt;=W$3),"B","U"),IF(AND($G57&lt;&gt;"",$G57&lt;=EOMONTH(W$3,0),$H57&gt;=W$3),"D","")))</f>
        <v/>
      </c>
      <c r="X57" s="214">
        <f>IF($AH57="","",IF(AND($E57&lt;&gt;"",$E57&lt;=EOMONTH(X$3,0),$F57&gt;=X$3),IF(AND($G57&lt;&gt;"",$G57&lt;=EOMONTH(X$3,0),$H57&gt;=X$3),"B","U"),IF(AND($G57&lt;&gt;"",$G57&lt;=EOMONTH(X$3,0),$H57&gt;=X$3),"D","")))</f>
        <v/>
      </c>
      <c r="Y57" s="214">
        <f>IF($AH57="","",IF(AND($E57&lt;&gt;"",$E57&lt;=EOMONTH(Y$3,0),$F57&gt;=Y$3),IF(AND($G57&lt;&gt;"",$G57&lt;=EOMONTH(Y$3,0),$H57&gt;=Y$3),"B","U"),IF(AND($G57&lt;&gt;"",$G57&lt;=EOMONTH(Y$3,0),$H57&gt;=Y$3),"D","")))</f>
        <v/>
      </c>
      <c r="Z57" s="214">
        <f>IF($AH57="","",IF(AND($E57&lt;&gt;"",$E57&lt;=EOMONTH(Z$3,0),$F57&gt;=Z$3),IF(AND($G57&lt;&gt;"",$G57&lt;=EOMONTH(Z$3,0),$H57&gt;=Z$3),"B","U"),IF(AND($G57&lt;&gt;"",$G57&lt;=EOMONTH(Z$3,0),$H57&gt;=Z$3),"D","")))</f>
        <v/>
      </c>
      <c r="AA57" s="214">
        <f>IF($AH57="","",IF(AND($E57&lt;&gt;"",$E57&lt;=EOMONTH(AA$3,0),$F57&gt;=AA$3),IF(AND($G57&lt;&gt;"",$G57&lt;=EOMONTH(AA$3,0),$H57&gt;=AA$3),"B","U"),IF(AND($G57&lt;&gt;"",$G57&lt;=EOMONTH(AA$3,0),$H57&gt;=AA$3),"D","")))</f>
        <v/>
      </c>
      <c r="AB57" s="214">
        <f>IF($AH57="","",IF(AND($E57&lt;&gt;"",$E57&lt;=EOMONTH(AB$3,0),$F57&gt;=AB$3),IF(AND($G57&lt;&gt;"",$G57&lt;=EOMONTH(AB$3,0),$H57&gt;=AB$3),"B","U"),IF(AND($G57&lt;&gt;"",$G57&lt;=EOMONTH(AB$3,0),$H57&gt;=AB$3),"D","")))</f>
        <v/>
      </c>
      <c r="AC57" s="214">
        <f>IF($AH57="","",IF(AND($E57&lt;&gt;"",$E57&lt;=EOMONTH(AC$3,0),$F57&gt;=AC$3),IF(AND($G57&lt;&gt;"",$G57&lt;=EOMONTH(AC$3,0),$H57&gt;=AC$3),"B","U"),IF(AND($G57&lt;&gt;"",$G57&lt;=EOMONTH(AC$3,0),$H57&gt;=AC$3),"D","")))</f>
        <v/>
      </c>
      <c r="AD57" s="214">
        <f>IF($AH57="","",IF(AND($E57&lt;&gt;"",$E57&lt;=EOMONTH(AD$3,0),$F57&gt;=AD$3),IF(AND($G57&lt;&gt;"",$G57&lt;=EOMONTH(AD$3,0),$H57&gt;=AD$3),"B","U"),IF(AND($G57&lt;&gt;"",$G57&lt;=EOMONTH(AD$3,0),$H57&gt;=AD$3),"D","")))</f>
        <v/>
      </c>
      <c r="AE57" s="214">
        <f>IF($AH57="","",IF(AND($E57&lt;&gt;"",$E57&lt;=EOMONTH(AE$3,0),$F57&gt;=AE$3),IF(AND($G57&lt;&gt;"",$G57&lt;=EOMONTH(AE$3,0),$H57&gt;=AE$3),"B","U"),IF(AND($G57&lt;&gt;"",$G57&lt;=EOMONTH(AE$3,0),$H57&gt;=AE$3),"D","")))</f>
        <v/>
      </c>
      <c r="AF57" s="214">
        <f>IF($AH57="","",IF(AND($E57&lt;&gt;"",$E57&lt;=EOMONTH(AF$3,0),$F57&gt;=AF$3),IF(AND($G57&lt;&gt;"",$G57&lt;=EOMONTH(AF$3,0),$H57&gt;=AF$3),"B","U"),IF(AND($G57&lt;&gt;"",$G57&lt;=EOMONTH(AF$3,0),$H57&gt;=AF$3),"D","")))</f>
        <v/>
      </c>
      <c r="AG57">
        <f>IF($AH57="","",INDEX('Roadmap Calc (Don’t Touch)'!$D$2:$D$205,$AH57))</f>
        <v/>
      </c>
      <c r="AH57">
        <f>IFERROR(MATCH(51,'Roadmap Calc (Don’t Touch)'!$O$2:$O$205,0),"")</f>
        <v/>
      </c>
    </row>
    <row r="58" ht="17" customHeight="1">
      <c r="A58" s="209">
        <f>IF($AH58="","",IF($AG58=$AG57,"",$AG58))</f>
        <v/>
      </c>
      <c r="B58" s="210">
        <f>IF($AH58="","",INDEX('Roadmap Calc (Don’t Touch)'!$B$2:$B$205,$AH58))</f>
        <v/>
      </c>
      <c r="C58" s="211">
        <f>IF($AH58="","",INDEX('Roadmap Calc (Don’t Touch)'!$E$2:$E$205,$AH58))</f>
        <v/>
      </c>
      <c r="D58" s="212">
        <f>IF($AH58="","",INDEX('Roadmap Calc (Don’t Touch)'!$F$2:$F$205,$AH58))</f>
        <v/>
      </c>
      <c r="E58" s="213">
        <f>IF($AH58="","",INDEX('Roadmap Calc (Don’t Touch)'!$G$2:$G$205,$AH58))</f>
        <v/>
      </c>
      <c r="F58" s="213">
        <f>IF($AH58="","",INDEX('Roadmap Calc (Don’t Touch)'!$H$2:$H$205,$AH58))</f>
        <v/>
      </c>
      <c r="G58" s="213">
        <f>IF($AH58="","",INDEX('Roadmap Calc (Don’t Touch)'!$I$2:$I$205,$AH58))</f>
        <v/>
      </c>
      <c r="H58" s="213">
        <f>IF($AH58="","",INDEX('Roadmap Calc (Don’t Touch)'!$J$2:$J$205,$AH58))</f>
        <v/>
      </c>
      <c r="I58" s="214">
        <f>IF($AH58="","",IF(AND($E58&lt;&gt;"",$E58&lt;=EOMONTH(I$3,0),$F58&gt;=I$3),IF(AND($G58&lt;&gt;"",$G58&lt;=EOMONTH(I$3,0),$H58&gt;=I$3),"B","U"),IF(AND($G58&lt;&gt;"",$G58&lt;=EOMONTH(I$3,0),$H58&gt;=I$3),"D","")))</f>
        <v/>
      </c>
      <c r="J58" s="214">
        <f>IF($AH58="","",IF(AND($E58&lt;&gt;"",$E58&lt;=EOMONTH(J$3,0),$F58&gt;=J$3),IF(AND($G58&lt;&gt;"",$G58&lt;=EOMONTH(J$3,0),$H58&gt;=J$3),"B","U"),IF(AND($G58&lt;&gt;"",$G58&lt;=EOMONTH(J$3,0),$H58&gt;=J$3),"D","")))</f>
        <v/>
      </c>
      <c r="K58" s="214">
        <f>IF($AH58="","",IF(AND($E58&lt;&gt;"",$E58&lt;=EOMONTH(K$3,0),$F58&gt;=K$3),IF(AND($G58&lt;&gt;"",$G58&lt;=EOMONTH(K$3,0),$H58&gt;=K$3),"B","U"),IF(AND($G58&lt;&gt;"",$G58&lt;=EOMONTH(K$3,0),$H58&gt;=K$3),"D","")))</f>
        <v/>
      </c>
      <c r="L58" s="214">
        <f>IF($AH58="","",IF(AND($E58&lt;&gt;"",$E58&lt;=EOMONTH(L$3,0),$F58&gt;=L$3),IF(AND($G58&lt;&gt;"",$G58&lt;=EOMONTH(L$3,0),$H58&gt;=L$3),"B","U"),IF(AND($G58&lt;&gt;"",$G58&lt;=EOMONTH(L$3,0),$H58&gt;=L$3),"D","")))</f>
        <v/>
      </c>
      <c r="M58" s="214">
        <f>IF($AH58="","",IF(AND($E58&lt;&gt;"",$E58&lt;=EOMONTH(M$3,0),$F58&gt;=M$3),IF(AND($G58&lt;&gt;"",$G58&lt;=EOMONTH(M$3,0),$H58&gt;=M$3),"B","U"),IF(AND($G58&lt;&gt;"",$G58&lt;=EOMONTH(M$3,0),$H58&gt;=M$3),"D","")))</f>
        <v/>
      </c>
      <c r="N58" s="214">
        <f>IF($AH58="","",IF(AND($E58&lt;&gt;"",$E58&lt;=EOMONTH(N$3,0),$F58&gt;=N$3),IF(AND($G58&lt;&gt;"",$G58&lt;=EOMONTH(N$3,0),$H58&gt;=N$3),"B","U"),IF(AND($G58&lt;&gt;"",$G58&lt;=EOMONTH(N$3,0),$H58&gt;=N$3),"D","")))</f>
        <v/>
      </c>
      <c r="O58" s="214">
        <f>IF($AH58="","",IF(AND($E58&lt;&gt;"",$E58&lt;=EOMONTH(O$3,0),$F58&gt;=O$3),IF(AND($G58&lt;&gt;"",$G58&lt;=EOMONTH(O$3,0),$H58&gt;=O$3),"B","U"),IF(AND($G58&lt;&gt;"",$G58&lt;=EOMONTH(O$3,0),$H58&gt;=O$3),"D","")))</f>
        <v/>
      </c>
      <c r="P58" s="214">
        <f>IF($AH58="","",IF(AND($E58&lt;&gt;"",$E58&lt;=EOMONTH(P$3,0),$F58&gt;=P$3),IF(AND($G58&lt;&gt;"",$G58&lt;=EOMONTH(P$3,0),$H58&gt;=P$3),"B","U"),IF(AND($G58&lt;&gt;"",$G58&lt;=EOMONTH(P$3,0),$H58&gt;=P$3),"D","")))</f>
        <v/>
      </c>
      <c r="Q58" s="214">
        <f>IF($AH58="","",IF(AND($E58&lt;&gt;"",$E58&lt;=EOMONTH(Q$3,0),$F58&gt;=Q$3),IF(AND($G58&lt;&gt;"",$G58&lt;=EOMONTH(Q$3,0),$H58&gt;=Q$3),"B","U"),IF(AND($G58&lt;&gt;"",$G58&lt;=EOMONTH(Q$3,0),$H58&gt;=Q$3),"D","")))</f>
        <v/>
      </c>
      <c r="R58" s="214">
        <f>IF($AH58="","",IF(AND($E58&lt;&gt;"",$E58&lt;=EOMONTH(R$3,0),$F58&gt;=R$3),IF(AND($G58&lt;&gt;"",$G58&lt;=EOMONTH(R$3,0),$H58&gt;=R$3),"B","U"),IF(AND($G58&lt;&gt;"",$G58&lt;=EOMONTH(R$3,0),$H58&gt;=R$3),"D","")))</f>
        <v/>
      </c>
      <c r="S58" s="214">
        <f>IF($AH58="","",IF(AND($E58&lt;&gt;"",$E58&lt;=EOMONTH(S$3,0),$F58&gt;=S$3),IF(AND($G58&lt;&gt;"",$G58&lt;=EOMONTH(S$3,0),$H58&gt;=S$3),"B","U"),IF(AND($G58&lt;&gt;"",$G58&lt;=EOMONTH(S$3,0),$H58&gt;=S$3),"D","")))</f>
        <v/>
      </c>
      <c r="T58" s="214">
        <f>IF($AH58="","",IF(AND($E58&lt;&gt;"",$E58&lt;=EOMONTH(T$3,0),$F58&gt;=T$3),IF(AND($G58&lt;&gt;"",$G58&lt;=EOMONTH(T$3,0),$H58&gt;=T$3),"B","U"),IF(AND($G58&lt;&gt;"",$G58&lt;=EOMONTH(T$3,0),$H58&gt;=T$3),"D","")))</f>
        <v/>
      </c>
      <c r="U58" s="214">
        <f>IF($AH58="","",IF(AND($E58&lt;&gt;"",$E58&lt;=EOMONTH(U$3,0),$F58&gt;=U$3),IF(AND($G58&lt;&gt;"",$G58&lt;=EOMONTH(U$3,0),$H58&gt;=U$3),"B","U"),IF(AND($G58&lt;&gt;"",$G58&lt;=EOMONTH(U$3,0),$H58&gt;=U$3),"D","")))</f>
        <v/>
      </c>
      <c r="V58" s="214">
        <f>IF($AH58="","",IF(AND($E58&lt;&gt;"",$E58&lt;=EOMONTH(V$3,0),$F58&gt;=V$3),IF(AND($G58&lt;&gt;"",$G58&lt;=EOMONTH(V$3,0),$H58&gt;=V$3),"B","U"),IF(AND($G58&lt;&gt;"",$G58&lt;=EOMONTH(V$3,0),$H58&gt;=V$3),"D","")))</f>
        <v/>
      </c>
      <c r="W58" s="214">
        <f>IF($AH58="","",IF(AND($E58&lt;&gt;"",$E58&lt;=EOMONTH(W$3,0),$F58&gt;=W$3),IF(AND($G58&lt;&gt;"",$G58&lt;=EOMONTH(W$3,0),$H58&gt;=W$3),"B","U"),IF(AND($G58&lt;&gt;"",$G58&lt;=EOMONTH(W$3,0),$H58&gt;=W$3),"D","")))</f>
        <v/>
      </c>
      <c r="X58" s="214">
        <f>IF($AH58="","",IF(AND($E58&lt;&gt;"",$E58&lt;=EOMONTH(X$3,0),$F58&gt;=X$3),IF(AND($G58&lt;&gt;"",$G58&lt;=EOMONTH(X$3,0),$H58&gt;=X$3),"B","U"),IF(AND($G58&lt;&gt;"",$G58&lt;=EOMONTH(X$3,0),$H58&gt;=X$3),"D","")))</f>
        <v/>
      </c>
      <c r="Y58" s="214">
        <f>IF($AH58="","",IF(AND($E58&lt;&gt;"",$E58&lt;=EOMONTH(Y$3,0),$F58&gt;=Y$3),IF(AND($G58&lt;&gt;"",$G58&lt;=EOMONTH(Y$3,0),$H58&gt;=Y$3),"B","U"),IF(AND($G58&lt;&gt;"",$G58&lt;=EOMONTH(Y$3,0),$H58&gt;=Y$3),"D","")))</f>
        <v/>
      </c>
      <c r="Z58" s="214">
        <f>IF($AH58="","",IF(AND($E58&lt;&gt;"",$E58&lt;=EOMONTH(Z$3,0),$F58&gt;=Z$3),IF(AND($G58&lt;&gt;"",$G58&lt;=EOMONTH(Z$3,0),$H58&gt;=Z$3),"B","U"),IF(AND($G58&lt;&gt;"",$G58&lt;=EOMONTH(Z$3,0),$H58&gt;=Z$3),"D","")))</f>
        <v/>
      </c>
      <c r="AA58" s="214">
        <f>IF($AH58="","",IF(AND($E58&lt;&gt;"",$E58&lt;=EOMONTH(AA$3,0),$F58&gt;=AA$3),IF(AND($G58&lt;&gt;"",$G58&lt;=EOMONTH(AA$3,0),$H58&gt;=AA$3),"B","U"),IF(AND($G58&lt;&gt;"",$G58&lt;=EOMONTH(AA$3,0),$H58&gt;=AA$3),"D","")))</f>
        <v/>
      </c>
      <c r="AB58" s="214">
        <f>IF($AH58="","",IF(AND($E58&lt;&gt;"",$E58&lt;=EOMONTH(AB$3,0),$F58&gt;=AB$3),IF(AND($G58&lt;&gt;"",$G58&lt;=EOMONTH(AB$3,0),$H58&gt;=AB$3),"B","U"),IF(AND($G58&lt;&gt;"",$G58&lt;=EOMONTH(AB$3,0),$H58&gt;=AB$3),"D","")))</f>
        <v/>
      </c>
      <c r="AC58" s="214">
        <f>IF($AH58="","",IF(AND($E58&lt;&gt;"",$E58&lt;=EOMONTH(AC$3,0),$F58&gt;=AC$3),IF(AND($G58&lt;&gt;"",$G58&lt;=EOMONTH(AC$3,0),$H58&gt;=AC$3),"B","U"),IF(AND($G58&lt;&gt;"",$G58&lt;=EOMONTH(AC$3,0),$H58&gt;=AC$3),"D","")))</f>
        <v/>
      </c>
      <c r="AD58" s="214">
        <f>IF($AH58="","",IF(AND($E58&lt;&gt;"",$E58&lt;=EOMONTH(AD$3,0),$F58&gt;=AD$3),IF(AND($G58&lt;&gt;"",$G58&lt;=EOMONTH(AD$3,0),$H58&gt;=AD$3),"B","U"),IF(AND($G58&lt;&gt;"",$G58&lt;=EOMONTH(AD$3,0),$H58&gt;=AD$3),"D","")))</f>
        <v/>
      </c>
      <c r="AE58" s="214">
        <f>IF($AH58="","",IF(AND($E58&lt;&gt;"",$E58&lt;=EOMONTH(AE$3,0),$F58&gt;=AE$3),IF(AND($G58&lt;&gt;"",$G58&lt;=EOMONTH(AE$3,0),$H58&gt;=AE$3),"B","U"),IF(AND($G58&lt;&gt;"",$G58&lt;=EOMONTH(AE$3,0),$H58&gt;=AE$3),"D","")))</f>
        <v/>
      </c>
      <c r="AF58" s="214">
        <f>IF($AH58="","",IF(AND($E58&lt;&gt;"",$E58&lt;=EOMONTH(AF$3,0),$F58&gt;=AF$3),IF(AND($G58&lt;&gt;"",$G58&lt;=EOMONTH(AF$3,0),$H58&gt;=AF$3),"B","U"),IF(AND($G58&lt;&gt;"",$G58&lt;=EOMONTH(AF$3,0),$H58&gt;=AF$3),"D","")))</f>
        <v/>
      </c>
      <c r="AG58">
        <f>IF($AH58="","",INDEX('Roadmap Calc (Don’t Touch)'!$D$2:$D$205,$AH58))</f>
        <v/>
      </c>
      <c r="AH58">
        <f>IFERROR(MATCH(52,'Roadmap Calc (Don’t Touch)'!$O$2:$O$205,0),"")</f>
        <v/>
      </c>
    </row>
    <row r="59" ht="17" customHeight="1">
      <c r="A59" s="209">
        <f>IF($AH59="","",IF($AG59=$AG58,"",$AG59))</f>
        <v/>
      </c>
      <c r="B59" s="210">
        <f>IF($AH59="","",INDEX('Roadmap Calc (Don’t Touch)'!$B$2:$B$205,$AH59))</f>
        <v/>
      </c>
      <c r="C59" s="211">
        <f>IF($AH59="","",INDEX('Roadmap Calc (Don’t Touch)'!$E$2:$E$205,$AH59))</f>
        <v/>
      </c>
      <c r="D59" s="212">
        <f>IF($AH59="","",INDEX('Roadmap Calc (Don’t Touch)'!$F$2:$F$205,$AH59))</f>
        <v/>
      </c>
      <c r="E59" s="213">
        <f>IF($AH59="","",INDEX('Roadmap Calc (Don’t Touch)'!$G$2:$G$205,$AH59))</f>
        <v/>
      </c>
      <c r="F59" s="213">
        <f>IF($AH59="","",INDEX('Roadmap Calc (Don’t Touch)'!$H$2:$H$205,$AH59))</f>
        <v/>
      </c>
      <c r="G59" s="213">
        <f>IF($AH59="","",INDEX('Roadmap Calc (Don’t Touch)'!$I$2:$I$205,$AH59))</f>
        <v/>
      </c>
      <c r="H59" s="213">
        <f>IF($AH59="","",INDEX('Roadmap Calc (Don’t Touch)'!$J$2:$J$205,$AH59))</f>
        <v/>
      </c>
      <c r="I59" s="214">
        <f>IF($AH59="","",IF(AND($E59&lt;&gt;"",$E59&lt;=EOMONTH(I$3,0),$F59&gt;=I$3),IF(AND($G59&lt;&gt;"",$G59&lt;=EOMONTH(I$3,0),$H59&gt;=I$3),"B","U"),IF(AND($G59&lt;&gt;"",$G59&lt;=EOMONTH(I$3,0),$H59&gt;=I$3),"D","")))</f>
        <v/>
      </c>
      <c r="J59" s="214">
        <f>IF($AH59="","",IF(AND($E59&lt;&gt;"",$E59&lt;=EOMONTH(J$3,0),$F59&gt;=J$3),IF(AND($G59&lt;&gt;"",$G59&lt;=EOMONTH(J$3,0),$H59&gt;=J$3),"B","U"),IF(AND($G59&lt;&gt;"",$G59&lt;=EOMONTH(J$3,0),$H59&gt;=J$3),"D","")))</f>
        <v/>
      </c>
      <c r="K59" s="214">
        <f>IF($AH59="","",IF(AND($E59&lt;&gt;"",$E59&lt;=EOMONTH(K$3,0),$F59&gt;=K$3),IF(AND($G59&lt;&gt;"",$G59&lt;=EOMONTH(K$3,0),$H59&gt;=K$3),"B","U"),IF(AND($G59&lt;&gt;"",$G59&lt;=EOMONTH(K$3,0),$H59&gt;=K$3),"D","")))</f>
        <v/>
      </c>
      <c r="L59" s="214">
        <f>IF($AH59="","",IF(AND($E59&lt;&gt;"",$E59&lt;=EOMONTH(L$3,0),$F59&gt;=L$3),IF(AND($G59&lt;&gt;"",$G59&lt;=EOMONTH(L$3,0),$H59&gt;=L$3),"B","U"),IF(AND($G59&lt;&gt;"",$G59&lt;=EOMONTH(L$3,0),$H59&gt;=L$3),"D","")))</f>
        <v/>
      </c>
      <c r="M59" s="214">
        <f>IF($AH59="","",IF(AND($E59&lt;&gt;"",$E59&lt;=EOMONTH(M$3,0),$F59&gt;=M$3),IF(AND($G59&lt;&gt;"",$G59&lt;=EOMONTH(M$3,0),$H59&gt;=M$3),"B","U"),IF(AND($G59&lt;&gt;"",$G59&lt;=EOMONTH(M$3,0),$H59&gt;=M$3),"D","")))</f>
        <v/>
      </c>
      <c r="N59" s="214">
        <f>IF($AH59="","",IF(AND($E59&lt;&gt;"",$E59&lt;=EOMONTH(N$3,0),$F59&gt;=N$3),IF(AND($G59&lt;&gt;"",$G59&lt;=EOMONTH(N$3,0),$H59&gt;=N$3),"B","U"),IF(AND($G59&lt;&gt;"",$G59&lt;=EOMONTH(N$3,0),$H59&gt;=N$3),"D","")))</f>
        <v/>
      </c>
      <c r="O59" s="214">
        <f>IF($AH59="","",IF(AND($E59&lt;&gt;"",$E59&lt;=EOMONTH(O$3,0),$F59&gt;=O$3),IF(AND($G59&lt;&gt;"",$G59&lt;=EOMONTH(O$3,0),$H59&gt;=O$3),"B","U"),IF(AND($G59&lt;&gt;"",$G59&lt;=EOMONTH(O$3,0),$H59&gt;=O$3),"D","")))</f>
        <v/>
      </c>
      <c r="P59" s="214">
        <f>IF($AH59="","",IF(AND($E59&lt;&gt;"",$E59&lt;=EOMONTH(P$3,0),$F59&gt;=P$3),IF(AND($G59&lt;&gt;"",$G59&lt;=EOMONTH(P$3,0),$H59&gt;=P$3),"B","U"),IF(AND($G59&lt;&gt;"",$G59&lt;=EOMONTH(P$3,0),$H59&gt;=P$3),"D","")))</f>
        <v/>
      </c>
      <c r="Q59" s="214">
        <f>IF($AH59="","",IF(AND($E59&lt;&gt;"",$E59&lt;=EOMONTH(Q$3,0),$F59&gt;=Q$3),IF(AND($G59&lt;&gt;"",$G59&lt;=EOMONTH(Q$3,0),$H59&gt;=Q$3),"B","U"),IF(AND($G59&lt;&gt;"",$G59&lt;=EOMONTH(Q$3,0),$H59&gt;=Q$3),"D","")))</f>
        <v/>
      </c>
      <c r="R59" s="214">
        <f>IF($AH59="","",IF(AND($E59&lt;&gt;"",$E59&lt;=EOMONTH(R$3,0),$F59&gt;=R$3),IF(AND($G59&lt;&gt;"",$G59&lt;=EOMONTH(R$3,0),$H59&gt;=R$3),"B","U"),IF(AND($G59&lt;&gt;"",$G59&lt;=EOMONTH(R$3,0),$H59&gt;=R$3),"D","")))</f>
        <v/>
      </c>
      <c r="S59" s="214">
        <f>IF($AH59="","",IF(AND($E59&lt;&gt;"",$E59&lt;=EOMONTH(S$3,0),$F59&gt;=S$3),IF(AND($G59&lt;&gt;"",$G59&lt;=EOMONTH(S$3,0),$H59&gt;=S$3),"B","U"),IF(AND($G59&lt;&gt;"",$G59&lt;=EOMONTH(S$3,0),$H59&gt;=S$3),"D","")))</f>
        <v/>
      </c>
      <c r="T59" s="214">
        <f>IF($AH59="","",IF(AND($E59&lt;&gt;"",$E59&lt;=EOMONTH(T$3,0),$F59&gt;=T$3),IF(AND($G59&lt;&gt;"",$G59&lt;=EOMONTH(T$3,0),$H59&gt;=T$3),"B","U"),IF(AND($G59&lt;&gt;"",$G59&lt;=EOMONTH(T$3,0),$H59&gt;=T$3),"D","")))</f>
        <v/>
      </c>
      <c r="U59" s="214">
        <f>IF($AH59="","",IF(AND($E59&lt;&gt;"",$E59&lt;=EOMONTH(U$3,0),$F59&gt;=U$3),IF(AND($G59&lt;&gt;"",$G59&lt;=EOMONTH(U$3,0),$H59&gt;=U$3),"B","U"),IF(AND($G59&lt;&gt;"",$G59&lt;=EOMONTH(U$3,0),$H59&gt;=U$3),"D","")))</f>
        <v/>
      </c>
      <c r="V59" s="214">
        <f>IF($AH59="","",IF(AND($E59&lt;&gt;"",$E59&lt;=EOMONTH(V$3,0),$F59&gt;=V$3),IF(AND($G59&lt;&gt;"",$G59&lt;=EOMONTH(V$3,0),$H59&gt;=V$3),"B","U"),IF(AND($G59&lt;&gt;"",$G59&lt;=EOMONTH(V$3,0),$H59&gt;=V$3),"D","")))</f>
        <v/>
      </c>
      <c r="W59" s="214">
        <f>IF($AH59="","",IF(AND($E59&lt;&gt;"",$E59&lt;=EOMONTH(W$3,0),$F59&gt;=W$3),IF(AND($G59&lt;&gt;"",$G59&lt;=EOMONTH(W$3,0),$H59&gt;=W$3),"B","U"),IF(AND($G59&lt;&gt;"",$G59&lt;=EOMONTH(W$3,0),$H59&gt;=W$3),"D","")))</f>
        <v/>
      </c>
      <c r="X59" s="214">
        <f>IF($AH59="","",IF(AND($E59&lt;&gt;"",$E59&lt;=EOMONTH(X$3,0),$F59&gt;=X$3),IF(AND($G59&lt;&gt;"",$G59&lt;=EOMONTH(X$3,0),$H59&gt;=X$3),"B","U"),IF(AND($G59&lt;&gt;"",$G59&lt;=EOMONTH(X$3,0),$H59&gt;=X$3),"D","")))</f>
        <v/>
      </c>
      <c r="Y59" s="214">
        <f>IF($AH59="","",IF(AND($E59&lt;&gt;"",$E59&lt;=EOMONTH(Y$3,0),$F59&gt;=Y$3),IF(AND($G59&lt;&gt;"",$G59&lt;=EOMONTH(Y$3,0),$H59&gt;=Y$3),"B","U"),IF(AND($G59&lt;&gt;"",$G59&lt;=EOMONTH(Y$3,0),$H59&gt;=Y$3),"D","")))</f>
        <v/>
      </c>
      <c r="Z59" s="214">
        <f>IF($AH59="","",IF(AND($E59&lt;&gt;"",$E59&lt;=EOMONTH(Z$3,0),$F59&gt;=Z$3),IF(AND($G59&lt;&gt;"",$G59&lt;=EOMONTH(Z$3,0),$H59&gt;=Z$3),"B","U"),IF(AND($G59&lt;&gt;"",$G59&lt;=EOMONTH(Z$3,0),$H59&gt;=Z$3),"D","")))</f>
        <v/>
      </c>
      <c r="AA59" s="214">
        <f>IF($AH59="","",IF(AND($E59&lt;&gt;"",$E59&lt;=EOMONTH(AA$3,0),$F59&gt;=AA$3),IF(AND($G59&lt;&gt;"",$G59&lt;=EOMONTH(AA$3,0),$H59&gt;=AA$3),"B","U"),IF(AND($G59&lt;&gt;"",$G59&lt;=EOMONTH(AA$3,0),$H59&gt;=AA$3),"D","")))</f>
        <v/>
      </c>
      <c r="AB59" s="214">
        <f>IF($AH59="","",IF(AND($E59&lt;&gt;"",$E59&lt;=EOMONTH(AB$3,0),$F59&gt;=AB$3),IF(AND($G59&lt;&gt;"",$G59&lt;=EOMONTH(AB$3,0),$H59&gt;=AB$3),"B","U"),IF(AND($G59&lt;&gt;"",$G59&lt;=EOMONTH(AB$3,0),$H59&gt;=AB$3),"D","")))</f>
        <v/>
      </c>
      <c r="AC59" s="214">
        <f>IF($AH59="","",IF(AND($E59&lt;&gt;"",$E59&lt;=EOMONTH(AC$3,0),$F59&gt;=AC$3),IF(AND($G59&lt;&gt;"",$G59&lt;=EOMONTH(AC$3,0),$H59&gt;=AC$3),"B","U"),IF(AND($G59&lt;&gt;"",$G59&lt;=EOMONTH(AC$3,0),$H59&gt;=AC$3),"D","")))</f>
        <v/>
      </c>
      <c r="AD59" s="214">
        <f>IF($AH59="","",IF(AND($E59&lt;&gt;"",$E59&lt;=EOMONTH(AD$3,0),$F59&gt;=AD$3),IF(AND($G59&lt;&gt;"",$G59&lt;=EOMONTH(AD$3,0),$H59&gt;=AD$3),"B","U"),IF(AND($G59&lt;&gt;"",$G59&lt;=EOMONTH(AD$3,0),$H59&gt;=AD$3),"D","")))</f>
        <v/>
      </c>
      <c r="AE59" s="214">
        <f>IF($AH59="","",IF(AND($E59&lt;&gt;"",$E59&lt;=EOMONTH(AE$3,0),$F59&gt;=AE$3),IF(AND($G59&lt;&gt;"",$G59&lt;=EOMONTH(AE$3,0),$H59&gt;=AE$3),"B","U"),IF(AND($G59&lt;&gt;"",$G59&lt;=EOMONTH(AE$3,0),$H59&gt;=AE$3),"D","")))</f>
        <v/>
      </c>
      <c r="AF59" s="214">
        <f>IF($AH59="","",IF(AND($E59&lt;&gt;"",$E59&lt;=EOMONTH(AF$3,0),$F59&gt;=AF$3),IF(AND($G59&lt;&gt;"",$G59&lt;=EOMONTH(AF$3,0),$H59&gt;=AF$3),"B","U"),IF(AND($G59&lt;&gt;"",$G59&lt;=EOMONTH(AF$3,0),$H59&gt;=AF$3),"D","")))</f>
        <v/>
      </c>
      <c r="AG59">
        <f>IF($AH59="","",INDEX('Roadmap Calc (Don’t Touch)'!$D$2:$D$205,$AH59))</f>
        <v/>
      </c>
      <c r="AH59">
        <f>IFERROR(MATCH(53,'Roadmap Calc (Don’t Touch)'!$O$2:$O$205,0),"")</f>
        <v/>
      </c>
    </row>
    <row r="60" ht="17" customHeight="1">
      <c r="A60" s="209">
        <f>IF($AH60="","",IF($AG60=$AG59,"",$AG60))</f>
        <v/>
      </c>
      <c r="B60" s="210">
        <f>IF($AH60="","",INDEX('Roadmap Calc (Don’t Touch)'!$B$2:$B$205,$AH60))</f>
        <v/>
      </c>
      <c r="C60" s="211">
        <f>IF($AH60="","",INDEX('Roadmap Calc (Don’t Touch)'!$E$2:$E$205,$AH60))</f>
        <v/>
      </c>
      <c r="D60" s="212">
        <f>IF($AH60="","",INDEX('Roadmap Calc (Don’t Touch)'!$F$2:$F$205,$AH60))</f>
        <v/>
      </c>
      <c r="E60" s="213">
        <f>IF($AH60="","",INDEX('Roadmap Calc (Don’t Touch)'!$G$2:$G$205,$AH60))</f>
        <v/>
      </c>
      <c r="F60" s="213">
        <f>IF($AH60="","",INDEX('Roadmap Calc (Don’t Touch)'!$H$2:$H$205,$AH60))</f>
        <v/>
      </c>
      <c r="G60" s="213">
        <f>IF($AH60="","",INDEX('Roadmap Calc (Don’t Touch)'!$I$2:$I$205,$AH60))</f>
        <v/>
      </c>
      <c r="H60" s="213">
        <f>IF($AH60="","",INDEX('Roadmap Calc (Don’t Touch)'!$J$2:$J$205,$AH60))</f>
        <v/>
      </c>
      <c r="I60" s="214">
        <f>IF($AH60="","",IF(AND($E60&lt;&gt;"",$E60&lt;=EOMONTH(I$3,0),$F60&gt;=I$3),IF(AND($G60&lt;&gt;"",$G60&lt;=EOMONTH(I$3,0),$H60&gt;=I$3),"B","U"),IF(AND($G60&lt;&gt;"",$G60&lt;=EOMONTH(I$3,0),$H60&gt;=I$3),"D","")))</f>
        <v/>
      </c>
      <c r="J60" s="214">
        <f>IF($AH60="","",IF(AND($E60&lt;&gt;"",$E60&lt;=EOMONTH(J$3,0),$F60&gt;=J$3),IF(AND($G60&lt;&gt;"",$G60&lt;=EOMONTH(J$3,0),$H60&gt;=J$3),"B","U"),IF(AND($G60&lt;&gt;"",$G60&lt;=EOMONTH(J$3,0),$H60&gt;=J$3),"D","")))</f>
        <v/>
      </c>
      <c r="K60" s="214">
        <f>IF($AH60="","",IF(AND($E60&lt;&gt;"",$E60&lt;=EOMONTH(K$3,0),$F60&gt;=K$3),IF(AND($G60&lt;&gt;"",$G60&lt;=EOMONTH(K$3,0),$H60&gt;=K$3),"B","U"),IF(AND($G60&lt;&gt;"",$G60&lt;=EOMONTH(K$3,0),$H60&gt;=K$3),"D","")))</f>
        <v/>
      </c>
      <c r="L60" s="214">
        <f>IF($AH60="","",IF(AND($E60&lt;&gt;"",$E60&lt;=EOMONTH(L$3,0),$F60&gt;=L$3),IF(AND($G60&lt;&gt;"",$G60&lt;=EOMONTH(L$3,0),$H60&gt;=L$3),"B","U"),IF(AND($G60&lt;&gt;"",$G60&lt;=EOMONTH(L$3,0),$H60&gt;=L$3),"D","")))</f>
        <v/>
      </c>
      <c r="M60" s="214">
        <f>IF($AH60="","",IF(AND($E60&lt;&gt;"",$E60&lt;=EOMONTH(M$3,0),$F60&gt;=M$3),IF(AND($G60&lt;&gt;"",$G60&lt;=EOMONTH(M$3,0),$H60&gt;=M$3),"B","U"),IF(AND($G60&lt;&gt;"",$G60&lt;=EOMONTH(M$3,0),$H60&gt;=M$3),"D","")))</f>
        <v/>
      </c>
      <c r="N60" s="214">
        <f>IF($AH60="","",IF(AND($E60&lt;&gt;"",$E60&lt;=EOMONTH(N$3,0),$F60&gt;=N$3),IF(AND($G60&lt;&gt;"",$G60&lt;=EOMONTH(N$3,0),$H60&gt;=N$3),"B","U"),IF(AND($G60&lt;&gt;"",$G60&lt;=EOMONTH(N$3,0),$H60&gt;=N$3),"D","")))</f>
        <v/>
      </c>
      <c r="O60" s="214">
        <f>IF($AH60="","",IF(AND($E60&lt;&gt;"",$E60&lt;=EOMONTH(O$3,0),$F60&gt;=O$3),IF(AND($G60&lt;&gt;"",$G60&lt;=EOMONTH(O$3,0),$H60&gt;=O$3),"B","U"),IF(AND($G60&lt;&gt;"",$G60&lt;=EOMONTH(O$3,0),$H60&gt;=O$3),"D","")))</f>
        <v/>
      </c>
      <c r="P60" s="214">
        <f>IF($AH60="","",IF(AND($E60&lt;&gt;"",$E60&lt;=EOMONTH(P$3,0),$F60&gt;=P$3),IF(AND($G60&lt;&gt;"",$G60&lt;=EOMONTH(P$3,0),$H60&gt;=P$3),"B","U"),IF(AND($G60&lt;&gt;"",$G60&lt;=EOMONTH(P$3,0),$H60&gt;=P$3),"D","")))</f>
        <v/>
      </c>
      <c r="Q60" s="214">
        <f>IF($AH60="","",IF(AND($E60&lt;&gt;"",$E60&lt;=EOMONTH(Q$3,0),$F60&gt;=Q$3),IF(AND($G60&lt;&gt;"",$G60&lt;=EOMONTH(Q$3,0),$H60&gt;=Q$3),"B","U"),IF(AND($G60&lt;&gt;"",$G60&lt;=EOMONTH(Q$3,0),$H60&gt;=Q$3),"D","")))</f>
        <v/>
      </c>
      <c r="R60" s="214">
        <f>IF($AH60="","",IF(AND($E60&lt;&gt;"",$E60&lt;=EOMONTH(R$3,0),$F60&gt;=R$3),IF(AND($G60&lt;&gt;"",$G60&lt;=EOMONTH(R$3,0),$H60&gt;=R$3),"B","U"),IF(AND($G60&lt;&gt;"",$G60&lt;=EOMONTH(R$3,0),$H60&gt;=R$3),"D","")))</f>
        <v/>
      </c>
      <c r="S60" s="214">
        <f>IF($AH60="","",IF(AND($E60&lt;&gt;"",$E60&lt;=EOMONTH(S$3,0),$F60&gt;=S$3),IF(AND($G60&lt;&gt;"",$G60&lt;=EOMONTH(S$3,0),$H60&gt;=S$3),"B","U"),IF(AND($G60&lt;&gt;"",$G60&lt;=EOMONTH(S$3,0),$H60&gt;=S$3),"D","")))</f>
        <v/>
      </c>
      <c r="T60" s="214">
        <f>IF($AH60="","",IF(AND($E60&lt;&gt;"",$E60&lt;=EOMONTH(T$3,0),$F60&gt;=T$3),IF(AND($G60&lt;&gt;"",$G60&lt;=EOMONTH(T$3,0),$H60&gt;=T$3),"B","U"),IF(AND($G60&lt;&gt;"",$G60&lt;=EOMONTH(T$3,0),$H60&gt;=T$3),"D","")))</f>
        <v/>
      </c>
      <c r="U60" s="214">
        <f>IF($AH60="","",IF(AND($E60&lt;&gt;"",$E60&lt;=EOMONTH(U$3,0),$F60&gt;=U$3),IF(AND($G60&lt;&gt;"",$G60&lt;=EOMONTH(U$3,0),$H60&gt;=U$3),"B","U"),IF(AND($G60&lt;&gt;"",$G60&lt;=EOMONTH(U$3,0),$H60&gt;=U$3),"D","")))</f>
        <v/>
      </c>
      <c r="V60" s="214">
        <f>IF($AH60="","",IF(AND($E60&lt;&gt;"",$E60&lt;=EOMONTH(V$3,0),$F60&gt;=V$3),IF(AND($G60&lt;&gt;"",$G60&lt;=EOMONTH(V$3,0),$H60&gt;=V$3),"B","U"),IF(AND($G60&lt;&gt;"",$G60&lt;=EOMONTH(V$3,0),$H60&gt;=V$3),"D","")))</f>
        <v/>
      </c>
      <c r="W60" s="214">
        <f>IF($AH60="","",IF(AND($E60&lt;&gt;"",$E60&lt;=EOMONTH(W$3,0),$F60&gt;=W$3),IF(AND($G60&lt;&gt;"",$G60&lt;=EOMONTH(W$3,0),$H60&gt;=W$3),"B","U"),IF(AND($G60&lt;&gt;"",$G60&lt;=EOMONTH(W$3,0),$H60&gt;=W$3),"D","")))</f>
        <v/>
      </c>
      <c r="X60" s="214">
        <f>IF($AH60="","",IF(AND($E60&lt;&gt;"",$E60&lt;=EOMONTH(X$3,0),$F60&gt;=X$3),IF(AND($G60&lt;&gt;"",$G60&lt;=EOMONTH(X$3,0),$H60&gt;=X$3),"B","U"),IF(AND($G60&lt;&gt;"",$G60&lt;=EOMONTH(X$3,0),$H60&gt;=X$3),"D","")))</f>
        <v/>
      </c>
      <c r="Y60" s="214">
        <f>IF($AH60="","",IF(AND($E60&lt;&gt;"",$E60&lt;=EOMONTH(Y$3,0),$F60&gt;=Y$3),IF(AND($G60&lt;&gt;"",$G60&lt;=EOMONTH(Y$3,0),$H60&gt;=Y$3),"B","U"),IF(AND($G60&lt;&gt;"",$G60&lt;=EOMONTH(Y$3,0),$H60&gt;=Y$3),"D","")))</f>
        <v/>
      </c>
      <c r="Z60" s="214">
        <f>IF($AH60="","",IF(AND($E60&lt;&gt;"",$E60&lt;=EOMONTH(Z$3,0),$F60&gt;=Z$3),IF(AND($G60&lt;&gt;"",$G60&lt;=EOMONTH(Z$3,0),$H60&gt;=Z$3),"B","U"),IF(AND($G60&lt;&gt;"",$G60&lt;=EOMONTH(Z$3,0),$H60&gt;=Z$3),"D","")))</f>
        <v/>
      </c>
      <c r="AA60" s="214">
        <f>IF($AH60="","",IF(AND($E60&lt;&gt;"",$E60&lt;=EOMONTH(AA$3,0),$F60&gt;=AA$3),IF(AND($G60&lt;&gt;"",$G60&lt;=EOMONTH(AA$3,0),$H60&gt;=AA$3),"B","U"),IF(AND($G60&lt;&gt;"",$G60&lt;=EOMONTH(AA$3,0),$H60&gt;=AA$3),"D","")))</f>
        <v/>
      </c>
      <c r="AB60" s="214">
        <f>IF($AH60="","",IF(AND($E60&lt;&gt;"",$E60&lt;=EOMONTH(AB$3,0),$F60&gt;=AB$3),IF(AND($G60&lt;&gt;"",$G60&lt;=EOMONTH(AB$3,0),$H60&gt;=AB$3),"B","U"),IF(AND($G60&lt;&gt;"",$G60&lt;=EOMONTH(AB$3,0),$H60&gt;=AB$3),"D","")))</f>
        <v/>
      </c>
      <c r="AC60" s="214">
        <f>IF($AH60="","",IF(AND($E60&lt;&gt;"",$E60&lt;=EOMONTH(AC$3,0),$F60&gt;=AC$3),IF(AND($G60&lt;&gt;"",$G60&lt;=EOMONTH(AC$3,0),$H60&gt;=AC$3),"B","U"),IF(AND($G60&lt;&gt;"",$G60&lt;=EOMONTH(AC$3,0),$H60&gt;=AC$3),"D","")))</f>
        <v/>
      </c>
      <c r="AD60" s="214">
        <f>IF($AH60="","",IF(AND($E60&lt;&gt;"",$E60&lt;=EOMONTH(AD$3,0),$F60&gt;=AD$3),IF(AND($G60&lt;&gt;"",$G60&lt;=EOMONTH(AD$3,0),$H60&gt;=AD$3),"B","U"),IF(AND($G60&lt;&gt;"",$G60&lt;=EOMONTH(AD$3,0),$H60&gt;=AD$3),"D","")))</f>
        <v/>
      </c>
      <c r="AE60" s="214">
        <f>IF($AH60="","",IF(AND($E60&lt;&gt;"",$E60&lt;=EOMONTH(AE$3,0),$F60&gt;=AE$3),IF(AND($G60&lt;&gt;"",$G60&lt;=EOMONTH(AE$3,0),$H60&gt;=AE$3),"B","U"),IF(AND($G60&lt;&gt;"",$G60&lt;=EOMONTH(AE$3,0),$H60&gt;=AE$3),"D","")))</f>
        <v/>
      </c>
      <c r="AF60" s="214">
        <f>IF($AH60="","",IF(AND($E60&lt;&gt;"",$E60&lt;=EOMONTH(AF$3,0),$F60&gt;=AF$3),IF(AND($G60&lt;&gt;"",$G60&lt;=EOMONTH(AF$3,0),$H60&gt;=AF$3),"B","U"),IF(AND($G60&lt;&gt;"",$G60&lt;=EOMONTH(AF$3,0),$H60&gt;=AF$3),"D","")))</f>
        <v/>
      </c>
      <c r="AG60">
        <f>IF($AH60="","",INDEX('Roadmap Calc (Don’t Touch)'!$D$2:$D$205,$AH60))</f>
        <v/>
      </c>
      <c r="AH60">
        <f>IFERROR(MATCH(54,'Roadmap Calc (Don’t Touch)'!$O$2:$O$205,0),"")</f>
        <v/>
      </c>
    </row>
    <row r="61" ht="17" customHeight="1">
      <c r="A61" s="209">
        <f>IF($AH61="","",IF($AG61=$AG60,"",$AG61))</f>
        <v/>
      </c>
      <c r="B61" s="210">
        <f>IF($AH61="","",INDEX('Roadmap Calc (Don’t Touch)'!$B$2:$B$205,$AH61))</f>
        <v/>
      </c>
      <c r="C61" s="211">
        <f>IF($AH61="","",INDEX('Roadmap Calc (Don’t Touch)'!$E$2:$E$205,$AH61))</f>
        <v/>
      </c>
      <c r="D61" s="212">
        <f>IF($AH61="","",INDEX('Roadmap Calc (Don’t Touch)'!$F$2:$F$205,$AH61))</f>
        <v/>
      </c>
      <c r="E61" s="213">
        <f>IF($AH61="","",INDEX('Roadmap Calc (Don’t Touch)'!$G$2:$G$205,$AH61))</f>
        <v/>
      </c>
      <c r="F61" s="213">
        <f>IF($AH61="","",INDEX('Roadmap Calc (Don’t Touch)'!$H$2:$H$205,$AH61))</f>
        <v/>
      </c>
      <c r="G61" s="213">
        <f>IF($AH61="","",INDEX('Roadmap Calc (Don’t Touch)'!$I$2:$I$205,$AH61))</f>
        <v/>
      </c>
      <c r="H61" s="213">
        <f>IF($AH61="","",INDEX('Roadmap Calc (Don’t Touch)'!$J$2:$J$205,$AH61))</f>
        <v/>
      </c>
      <c r="I61" s="214">
        <f>IF($AH61="","",IF(AND($E61&lt;&gt;"",$E61&lt;=EOMONTH(I$3,0),$F61&gt;=I$3),IF(AND($G61&lt;&gt;"",$G61&lt;=EOMONTH(I$3,0),$H61&gt;=I$3),"B","U"),IF(AND($G61&lt;&gt;"",$G61&lt;=EOMONTH(I$3,0),$H61&gt;=I$3),"D","")))</f>
        <v/>
      </c>
      <c r="J61" s="214">
        <f>IF($AH61="","",IF(AND($E61&lt;&gt;"",$E61&lt;=EOMONTH(J$3,0),$F61&gt;=J$3),IF(AND($G61&lt;&gt;"",$G61&lt;=EOMONTH(J$3,0),$H61&gt;=J$3),"B","U"),IF(AND($G61&lt;&gt;"",$G61&lt;=EOMONTH(J$3,0),$H61&gt;=J$3),"D","")))</f>
        <v/>
      </c>
      <c r="K61" s="214">
        <f>IF($AH61="","",IF(AND($E61&lt;&gt;"",$E61&lt;=EOMONTH(K$3,0),$F61&gt;=K$3),IF(AND($G61&lt;&gt;"",$G61&lt;=EOMONTH(K$3,0),$H61&gt;=K$3),"B","U"),IF(AND($G61&lt;&gt;"",$G61&lt;=EOMONTH(K$3,0),$H61&gt;=K$3),"D","")))</f>
        <v/>
      </c>
      <c r="L61" s="214">
        <f>IF($AH61="","",IF(AND($E61&lt;&gt;"",$E61&lt;=EOMONTH(L$3,0),$F61&gt;=L$3),IF(AND($G61&lt;&gt;"",$G61&lt;=EOMONTH(L$3,0),$H61&gt;=L$3),"B","U"),IF(AND($G61&lt;&gt;"",$G61&lt;=EOMONTH(L$3,0),$H61&gt;=L$3),"D","")))</f>
        <v/>
      </c>
      <c r="M61" s="214">
        <f>IF($AH61="","",IF(AND($E61&lt;&gt;"",$E61&lt;=EOMONTH(M$3,0),$F61&gt;=M$3),IF(AND($G61&lt;&gt;"",$G61&lt;=EOMONTH(M$3,0),$H61&gt;=M$3),"B","U"),IF(AND($G61&lt;&gt;"",$G61&lt;=EOMONTH(M$3,0),$H61&gt;=M$3),"D","")))</f>
        <v/>
      </c>
      <c r="N61" s="214">
        <f>IF($AH61="","",IF(AND($E61&lt;&gt;"",$E61&lt;=EOMONTH(N$3,0),$F61&gt;=N$3),IF(AND($G61&lt;&gt;"",$G61&lt;=EOMONTH(N$3,0),$H61&gt;=N$3),"B","U"),IF(AND($G61&lt;&gt;"",$G61&lt;=EOMONTH(N$3,0),$H61&gt;=N$3),"D","")))</f>
        <v/>
      </c>
      <c r="O61" s="214">
        <f>IF($AH61="","",IF(AND($E61&lt;&gt;"",$E61&lt;=EOMONTH(O$3,0),$F61&gt;=O$3),IF(AND($G61&lt;&gt;"",$G61&lt;=EOMONTH(O$3,0),$H61&gt;=O$3),"B","U"),IF(AND($G61&lt;&gt;"",$G61&lt;=EOMONTH(O$3,0),$H61&gt;=O$3),"D","")))</f>
        <v/>
      </c>
      <c r="P61" s="214">
        <f>IF($AH61="","",IF(AND($E61&lt;&gt;"",$E61&lt;=EOMONTH(P$3,0),$F61&gt;=P$3),IF(AND($G61&lt;&gt;"",$G61&lt;=EOMONTH(P$3,0),$H61&gt;=P$3),"B","U"),IF(AND($G61&lt;&gt;"",$G61&lt;=EOMONTH(P$3,0),$H61&gt;=P$3),"D","")))</f>
        <v/>
      </c>
      <c r="Q61" s="214">
        <f>IF($AH61="","",IF(AND($E61&lt;&gt;"",$E61&lt;=EOMONTH(Q$3,0),$F61&gt;=Q$3),IF(AND($G61&lt;&gt;"",$G61&lt;=EOMONTH(Q$3,0),$H61&gt;=Q$3),"B","U"),IF(AND($G61&lt;&gt;"",$G61&lt;=EOMONTH(Q$3,0),$H61&gt;=Q$3),"D","")))</f>
        <v/>
      </c>
      <c r="R61" s="214">
        <f>IF($AH61="","",IF(AND($E61&lt;&gt;"",$E61&lt;=EOMONTH(R$3,0),$F61&gt;=R$3),IF(AND($G61&lt;&gt;"",$G61&lt;=EOMONTH(R$3,0),$H61&gt;=R$3),"B","U"),IF(AND($G61&lt;&gt;"",$G61&lt;=EOMONTH(R$3,0),$H61&gt;=R$3),"D","")))</f>
        <v/>
      </c>
      <c r="S61" s="214">
        <f>IF($AH61="","",IF(AND($E61&lt;&gt;"",$E61&lt;=EOMONTH(S$3,0),$F61&gt;=S$3),IF(AND($G61&lt;&gt;"",$G61&lt;=EOMONTH(S$3,0),$H61&gt;=S$3),"B","U"),IF(AND($G61&lt;&gt;"",$G61&lt;=EOMONTH(S$3,0),$H61&gt;=S$3),"D","")))</f>
        <v/>
      </c>
      <c r="T61" s="214">
        <f>IF($AH61="","",IF(AND($E61&lt;&gt;"",$E61&lt;=EOMONTH(T$3,0),$F61&gt;=T$3),IF(AND($G61&lt;&gt;"",$G61&lt;=EOMONTH(T$3,0),$H61&gt;=T$3),"B","U"),IF(AND($G61&lt;&gt;"",$G61&lt;=EOMONTH(T$3,0),$H61&gt;=T$3),"D","")))</f>
        <v/>
      </c>
      <c r="U61" s="214">
        <f>IF($AH61="","",IF(AND($E61&lt;&gt;"",$E61&lt;=EOMONTH(U$3,0),$F61&gt;=U$3),IF(AND($G61&lt;&gt;"",$G61&lt;=EOMONTH(U$3,0),$H61&gt;=U$3),"B","U"),IF(AND($G61&lt;&gt;"",$G61&lt;=EOMONTH(U$3,0),$H61&gt;=U$3),"D","")))</f>
        <v/>
      </c>
      <c r="V61" s="214">
        <f>IF($AH61="","",IF(AND($E61&lt;&gt;"",$E61&lt;=EOMONTH(V$3,0),$F61&gt;=V$3),IF(AND($G61&lt;&gt;"",$G61&lt;=EOMONTH(V$3,0),$H61&gt;=V$3),"B","U"),IF(AND($G61&lt;&gt;"",$G61&lt;=EOMONTH(V$3,0),$H61&gt;=V$3),"D","")))</f>
        <v/>
      </c>
      <c r="W61" s="214">
        <f>IF($AH61="","",IF(AND($E61&lt;&gt;"",$E61&lt;=EOMONTH(W$3,0),$F61&gt;=W$3),IF(AND($G61&lt;&gt;"",$G61&lt;=EOMONTH(W$3,0),$H61&gt;=W$3),"B","U"),IF(AND($G61&lt;&gt;"",$G61&lt;=EOMONTH(W$3,0),$H61&gt;=W$3),"D","")))</f>
        <v/>
      </c>
      <c r="X61" s="214">
        <f>IF($AH61="","",IF(AND($E61&lt;&gt;"",$E61&lt;=EOMONTH(X$3,0),$F61&gt;=X$3),IF(AND($G61&lt;&gt;"",$G61&lt;=EOMONTH(X$3,0),$H61&gt;=X$3),"B","U"),IF(AND($G61&lt;&gt;"",$G61&lt;=EOMONTH(X$3,0),$H61&gt;=X$3),"D","")))</f>
        <v/>
      </c>
      <c r="Y61" s="214">
        <f>IF($AH61="","",IF(AND($E61&lt;&gt;"",$E61&lt;=EOMONTH(Y$3,0),$F61&gt;=Y$3),IF(AND($G61&lt;&gt;"",$G61&lt;=EOMONTH(Y$3,0),$H61&gt;=Y$3),"B","U"),IF(AND($G61&lt;&gt;"",$G61&lt;=EOMONTH(Y$3,0),$H61&gt;=Y$3),"D","")))</f>
        <v/>
      </c>
      <c r="Z61" s="214">
        <f>IF($AH61="","",IF(AND($E61&lt;&gt;"",$E61&lt;=EOMONTH(Z$3,0),$F61&gt;=Z$3),IF(AND($G61&lt;&gt;"",$G61&lt;=EOMONTH(Z$3,0),$H61&gt;=Z$3),"B","U"),IF(AND($G61&lt;&gt;"",$G61&lt;=EOMONTH(Z$3,0),$H61&gt;=Z$3),"D","")))</f>
        <v/>
      </c>
      <c r="AA61" s="214">
        <f>IF($AH61="","",IF(AND($E61&lt;&gt;"",$E61&lt;=EOMONTH(AA$3,0),$F61&gt;=AA$3),IF(AND($G61&lt;&gt;"",$G61&lt;=EOMONTH(AA$3,0),$H61&gt;=AA$3),"B","U"),IF(AND($G61&lt;&gt;"",$G61&lt;=EOMONTH(AA$3,0),$H61&gt;=AA$3),"D","")))</f>
        <v/>
      </c>
      <c r="AB61" s="214">
        <f>IF($AH61="","",IF(AND($E61&lt;&gt;"",$E61&lt;=EOMONTH(AB$3,0),$F61&gt;=AB$3),IF(AND($G61&lt;&gt;"",$G61&lt;=EOMONTH(AB$3,0),$H61&gt;=AB$3),"B","U"),IF(AND($G61&lt;&gt;"",$G61&lt;=EOMONTH(AB$3,0),$H61&gt;=AB$3),"D","")))</f>
        <v/>
      </c>
      <c r="AC61" s="214">
        <f>IF($AH61="","",IF(AND($E61&lt;&gt;"",$E61&lt;=EOMONTH(AC$3,0),$F61&gt;=AC$3),IF(AND($G61&lt;&gt;"",$G61&lt;=EOMONTH(AC$3,0),$H61&gt;=AC$3),"B","U"),IF(AND($G61&lt;&gt;"",$G61&lt;=EOMONTH(AC$3,0),$H61&gt;=AC$3),"D","")))</f>
        <v/>
      </c>
      <c r="AD61" s="214">
        <f>IF($AH61="","",IF(AND($E61&lt;&gt;"",$E61&lt;=EOMONTH(AD$3,0),$F61&gt;=AD$3),IF(AND($G61&lt;&gt;"",$G61&lt;=EOMONTH(AD$3,0),$H61&gt;=AD$3),"B","U"),IF(AND($G61&lt;&gt;"",$G61&lt;=EOMONTH(AD$3,0),$H61&gt;=AD$3),"D","")))</f>
        <v/>
      </c>
      <c r="AE61" s="214">
        <f>IF($AH61="","",IF(AND($E61&lt;&gt;"",$E61&lt;=EOMONTH(AE$3,0),$F61&gt;=AE$3),IF(AND($G61&lt;&gt;"",$G61&lt;=EOMONTH(AE$3,0),$H61&gt;=AE$3),"B","U"),IF(AND($G61&lt;&gt;"",$G61&lt;=EOMONTH(AE$3,0),$H61&gt;=AE$3),"D","")))</f>
        <v/>
      </c>
      <c r="AF61" s="214">
        <f>IF($AH61="","",IF(AND($E61&lt;&gt;"",$E61&lt;=EOMONTH(AF$3,0),$F61&gt;=AF$3),IF(AND($G61&lt;&gt;"",$G61&lt;=EOMONTH(AF$3,0),$H61&gt;=AF$3),"B","U"),IF(AND($G61&lt;&gt;"",$G61&lt;=EOMONTH(AF$3,0),$H61&gt;=AF$3),"D","")))</f>
        <v/>
      </c>
      <c r="AG61">
        <f>IF($AH61="","",INDEX('Roadmap Calc (Don’t Touch)'!$D$2:$D$205,$AH61))</f>
        <v/>
      </c>
      <c r="AH61">
        <f>IFERROR(MATCH(55,'Roadmap Calc (Don’t Touch)'!$O$2:$O$205,0),"")</f>
        <v/>
      </c>
    </row>
    <row r="62" ht="17" customHeight="1">
      <c r="A62" s="209">
        <f>IF($AH62="","",IF($AG62=$AG61,"",$AG62))</f>
        <v/>
      </c>
      <c r="B62" s="210">
        <f>IF($AH62="","",INDEX('Roadmap Calc (Don’t Touch)'!$B$2:$B$205,$AH62))</f>
        <v/>
      </c>
      <c r="C62" s="211">
        <f>IF($AH62="","",INDEX('Roadmap Calc (Don’t Touch)'!$E$2:$E$205,$AH62))</f>
        <v/>
      </c>
      <c r="D62" s="212">
        <f>IF($AH62="","",INDEX('Roadmap Calc (Don’t Touch)'!$F$2:$F$205,$AH62))</f>
        <v/>
      </c>
      <c r="E62" s="213">
        <f>IF($AH62="","",INDEX('Roadmap Calc (Don’t Touch)'!$G$2:$G$205,$AH62))</f>
        <v/>
      </c>
      <c r="F62" s="213">
        <f>IF($AH62="","",INDEX('Roadmap Calc (Don’t Touch)'!$H$2:$H$205,$AH62))</f>
        <v/>
      </c>
      <c r="G62" s="213">
        <f>IF($AH62="","",INDEX('Roadmap Calc (Don’t Touch)'!$I$2:$I$205,$AH62))</f>
        <v/>
      </c>
      <c r="H62" s="213">
        <f>IF($AH62="","",INDEX('Roadmap Calc (Don’t Touch)'!$J$2:$J$205,$AH62))</f>
        <v/>
      </c>
      <c r="I62" s="214">
        <f>IF($AH62="","",IF(AND($E62&lt;&gt;"",$E62&lt;=EOMONTH(I$3,0),$F62&gt;=I$3),IF(AND($G62&lt;&gt;"",$G62&lt;=EOMONTH(I$3,0),$H62&gt;=I$3),"B","U"),IF(AND($G62&lt;&gt;"",$G62&lt;=EOMONTH(I$3,0),$H62&gt;=I$3),"D","")))</f>
        <v/>
      </c>
      <c r="J62" s="214">
        <f>IF($AH62="","",IF(AND($E62&lt;&gt;"",$E62&lt;=EOMONTH(J$3,0),$F62&gt;=J$3),IF(AND($G62&lt;&gt;"",$G62&lt;=EOMONTH(J$3,0),$H62&gt;=J$3),"B","U"),IF(AND($G62&lt;&gt;"",$G62&lt;=EOMONTH(J$3,0),$H62&gt;=J$3),"D","")))</f>
        <v/>
      </c>
      <c r="K62" s="214">
        <f>IF($AH62="","",IF(AND($E62&lt;&gt;"",$E62&lt;=EOMONTH(K$3,0),$F62&gt;=K$3),IF(AND($G62&lt;&gt;"",$G62&lt;=EOMONTH(K$3,0),$H62&gt;=K$3),"B","U"),IF(AND($G62&lt;&gt;"",$G62&lt;=EOMONTH(K$3,0),$H62&gt;=K$3),"D","")))</f>
        <v/>
      </c>
      <c r="L62" s="214">
        <f>IF($AH62="","",IF(AND($E62&lt;&gt;"",$E62&lt;=EOMONTH(L$3,0),$F62&gt;=L$3),IF(AND($G62&lt;&gt;"",$G62&lt;=EOMONTH(L$3,0),$H62&gt;=L$3),"B","U"),IF(AND($G62&lt;&gt;"",$G62&lt;=EOMONTH(L$3,0),$H62&gt;=L$3),"D","")))</f>
        <v/>
      </c>
      <c r="M62" s="214">
        <f>IF($AH62="","",IF(AND($E62&lt;&gt;"",$E62&lt;=EOMONTH(M$3,0),$F62&gt;=M$3),IF(AND($G62&lt;&gt;"",$G62&lt;=EOMONTH(M$3,0),$H62&gt;=M$3),"B","U"),IF(AND($G62&lt;&gt;"",$G62&lt;=EOMONTH(M$3,0),$H62&gt;=M$3),"D","")))</f>
        <v/>
      </c>
      <c r="N62" s="214">
        <f>IF($AH62="","",IF(AND($E62&lt;&gt;"",$E62&lt;=EOMONTH(N$3,0),$F62&gt;=N$3),IF(AND($G62&lt;&gt;"",$G62&lt;=EOMONTH(N$3,0),$H62&gt;=N$3),"B","U"),IF(AND($G62&lt;&gt;"",$G62&lt;=EOMONTH(N$3,0),$H62&gt;=N$3),"D","")))</f>
        <v/>
      </c>
      <c r="O62" s="214">
        <f>IF($AH62="","",IF(AND($E62&lt;&gt;"",$E62&lt;=EOMONTH(O$3,0),$F62&gt;=O$3),IF(AND($G62&lt;&gt;"",$G62&lt;=EOMONTH(O$3,0),$H62&gt;=O$3),"B","U"),IF(AND($G62&lt;&gt;"",$G62&lt;=EOMONTH(O$3,0),$H62&gt;=O$3),"D","")))</f>
        <v/>
      </c>
      <c r="P62" s="214">
        <f>IF($AH62="","",IF(AND($E62&lt;&gt;"",$E62&lt;=EOMONTH(P$3,0),$F62&gt;=P$3),IF(AND($G62&lt;&gt;"",$G62&lt;=EOMONTH(P$3,0),$H62&gt;=P$3),"B","U"),IF(AND($G62&lt;&gt;"",$G62&lt;=EOMONTH(P$3,0),$H62&gt;=P$3),"D","")))</f>
        <v/>
      </c>
      <c r="Q62" s="214">
        <f>IF($AH62="","",IF(AND($E62&lt;&gt;"",$E62&lt;=EOMONTH(Q$3,0),$F62&gt;=Q$3),IF(AND($G62&lt;&gt;"",$G62&lt;=EOMONTH(Q$3,0),$H62&gt;=Q$3),"B","U"),IF(AND($G62&lt;&gt;"",$G62&lt;=EOMONTH(Q$3,0),$H62&gt;=Q$3),"D","")))</f>
        <v/>
      </c>
      <c r="R62" s="214">
        <f>IF($AH62="","",IF(AND($E62&lt;&gt;"",$E62&lt;=EOMONTH(R$3,0),$F62&gt;=R$3),IF(AND($G62&lt;&gt;"",$G62&lt;=EOMONTH(R$3,0),$H62&gt;=R$3),"B","U"),IF(AND($G62&lt;&gt;"",$G62&lt;=EOMONTH(R$3,0),$H62&gt;=R$3),"D","")))</f>
        <v/>
      </c>
      <c r="S62" s="214">
        <f>IF($AH62="","",IF(AND($E62&lt;&gt;"",$E62&lt;=EOMONTH(S$3,0),$F62&gt;=S$3),IF(AND($G62&lt;&gt;"",$G62&lt;=EOMONTH(S$3,0),$H62&gt;=S$3),"B","U"),IF(AND($G62&lt;&gt;"",$G62&lt;=EOMONTH(S$3,0),$H62&gt;=S$3),"D","")))</f>
        <v/>
      </c>
      <c r="T62" s="214">
        <f>IF($AH62="","",IF(AND($E62&lt;&gt;"",$E62&lt;=EOMONTH(T$3,0),$F62&gt;=T$3),IF(AND($G62&lt;&gt;"",$G62&lt;=EOMONTH(T$3,0),$H62&gt;=T$3),"B","U"),IF(AND($G62&lt;&gt;"",$G62&lt;=EOMONTH(T$3,0),$H62&gt;=T$3),"D","")))</f>
        <v/>
      </c>
      <c r="U62" s="214">
        <f>IF($AH62="","",IF(AND($E62&lt;&gt;"",$E62&lt;=EOMONTH(U$3,0),$F62&gt;=U$3),IF(AND($G62&lt;&gt;"",$G62&lt;=EOMONTH(U$3,0),$H62&gt;=U$3),"B","U"),IF(AND($G62&lt;&gt;"",$G62&lt;=EOMONTH(U$3,0),$H62&gt;=U$3),"D","")))</f>
        <v/>
      </c>
      <c r="V62" s="214">
        <f>IF($AH62="","",IF(AND($E62&lt;&gt;"",$E62&lt;=EOMONTH(V$3,0),$F62&gt;=V$3),IF(AND($G62&lt;&gt;"",$G62&lt;=EOMONTH(V$3,0),$H62&gt;=V$3),"B","U"),IF(AND($G62&lt;&gt;"",$G62&lt;=EOMONTH(V$3,0),$H62&gt;=V$3),"D","")))</f>
        <v/>
      </c>
      <c r="W62" s="214">
        <f>IF($AH62="","",IF(AND($E62&lt;&gt;"",$E62&lt;=EOMONTH(W$3,0),$F62&gt;=W$3),IF(AND($G62&lt;&gt;"",$G62&lt;=EOMONTH(W$3,0),$H62&gt;=W$3),"B","U"),IF(AND($G62&lt;&gt;"",$G62&lt;=EOMONTH(W$3,0),$H62&gt;=W$3),"D","")))</f>
        <v/>
      </c>
      <c r="X62" s="214">
        <f>IF($AH62="","",IF(AND($E62&lt;&gt;"",$E62&lt;=EOMONTH(X$3,0),$F62&gt;=X$3),IF(AND($G62&lt;&gt;"",$G62&lt;=EOMONTH(X$3,0),$H62&gt;=X$3),"B","U"),IF(AND($G62&lt;&gt;"",$G62&lt;=EOMONTH(X$3,0),$H62&gt;=X$3),"D","")))</f>
        <v/>
      </c>
      <c r="Y62" s="214">
        <f>IF($AH62="","",IF(AND($E62&lt;&gt;"",$E62&lt;=EOMONTH(Y$3,0),$F62&gt;=Y$3),IF(AND($G62&lt;&gt;"",$G62&lt;=EOMONTH(Y$3,0),$H62&gt;=Y$3),"B","U"),IF(AND($G62&lt;&gt;"",$G62&lt;=EOMONTH(Y$3,0),$H62&gt;=Y$3),"D","")))</f>
        <v/>
      </c>
      <c r="Z62" s="214">
        <f>IF($AH62="","",IF(AND($E62&lt;&gt;"",$E62&lt;=EOMONTH(Z$3,0),$F62&gt;=Z$3),IF(AND($G62&lt;&gt;"",$G62&lt;=EOMONTH(Z$3,0),$H62&gt;=Z$3),"B","U"),IF(AND($G62&lt;&gt;"",$G62&lt;=EOMONTH(Z$3,0),$H62&gt;=Z$3),"D","")))</f>
        <v/>
      </c>
      <c r="AA62" s="214">
        <f>IF($AH62="","",IF(AND($E62&lt;&gt;"",$E62&lt;=EOMONTH(AA$3,0),$F62&gt;=AA$3),IF(AND($G62&lt;&gt;"",$G62&lt;=EOMONTH(AA$3,0),$H62&gt;=AA$3),"B","U"),IF(AND($G62&lt;&gt;"",$G62&lt;=EOMONTH(AA$3,0),$H62&gt;=AA$3),"D","")))</f>
        <v/>
      </c>
      <c r="AB62" s="214">
        <f>IF($AH62="","",IF(AND($E62&lt;&gt;"",$E62&lt;=EOMONTH(AB$3,0),$F62&gt;=AB$3),IF(AND($G62&lt;&gt;"",$G62&lt;=EOMONTH(AB$3,0),$H62&gt;=AB$3),"B","U"),IF(AND($G62&lt;&gt;"",$G62&lt;=EOMONTH(AB$3,0),$H62&gt;=AB$3),"D","")))</f>
        <v/>
      </c>
      <c r="AC62" s="214">
        <f>IF($AH62="","",IF(AND($E62&lt;&gt;"",$E62&lt;=EOMONTH(AC$3,0),$F62&gt;=AC$3),IF(AND($G62&lt;&gt;"",$G62&lt;=EOMONTH(AC$3,0),$H62&gt;=AC$3),"B","U"),IF(AND($G62&lt;&gt;"",$G62&lt;=EOMONTH(AC$3,0),$H62&gt;=AC$3),"D","")))</f>
        <v/>
      </c>
      <c r="AD62" s="214">
        <f>IF($AH62="","",IF(AND($E62&lt;&gt;"",$E62&lt;=EOMONTH(AD$3,0),$F62&gt;=AD$3),IF(AND($G62&lt;&gt;"",$G62&lt;=EOMONTH(AD$3,0),$H62&gt;=AD$3),"B","U"),IF(AND($G62&lt;&gt;"",$G62&lt;=EOMONTH(AD$3,0),$H62&gt;=AD$3),"D","")))</f>
        <v/>
      </c>
      <c r="AE62" s="214">
        <f>IF($AH62="","",IF(AND($E62&lt;&gt;"",$E62&lt;=EOMONTH(AE$3,0),$F62&gt;=AE$3),IF(AND($G62&lt;&gt;"",$G62&lt;=EOMONTH(AE$3,0),$H62&gt;=AE$3),"B","U"),IF(AND($G62&lt;&gt;"",$G62&lt;=EOMONTH(AE$3,0),$H62&gt;=AE$3),"D","")))</f>
        <v/>
      </c>
      <c r="AF62" s="214">
        <f>IF($AH62="","",IF(AND($E62&lt;&gt;"",$E62&lt;=EOMONTH(AF$3,0),$F62&gt;=AF$3),IF(AND($G62&lt;&gt;"",$G62&lt;=EOMONTH(AF$3,0),$H62&gt;=AF$3),"B","U"),IF(AND($G62&lt;&gt;"",$G62&lt;=EOMONTH(AF$3,0),$H62&gt;=AF$3),"D","")))</f>
        <v/>
      </c>
      <c r="AG62">
        <f>IF($AH62="","",INDEX('Roadmap Calc (Don’t Touch)'!$D$2:$D$205,$AH62))</f>
        <v/>
      </c>
      <c r="AH62">
        <f>IFERROR(MATCH(56,'Roadmap Calc (Don’t Touch)'!$O$2:$O$205,0),"")</f>
        <v/>
      </c>
    </row>
    <row r="63" ht="17" customHeight="1">
      <c r="A63" s="209">
        <f>IF($AH63="","",IF($AG63=$AG62,"",$AG63))</f>
        <v/>
      </c>
      <c r="B63" s="210">
        <f>IF($AH63="","",INDEX('Roadmap Calc (Don’t Touch)'!$B$2:$B$205,$AH63))</f>
        <v/>
      </c>
      <c r="C63" s="211">
        <f>IF($AH63="","",INDEX('Roadmap Calc (Don’t Touch)'!$E$2:$E$205,$AH63))</f>
        <v/>
      </c>
      <c r="D63" s="212">
        <f>IF($AH63="","",INDEX('Roadmap Calc (Don’t Touch)'!$F$2:$F$205,$AH63))</f>
        <v/>
      </c>
      <c r="E63" s="213">
        <f>IF($AH63="","",INDEX('Roadmap Calc (Don’t Touch)'!$G$2:$G$205,$AH63))</f>
        <v/>
      </c>
      <c r="F63" s="213">
        <f>IF($AH63="","",INDEX('Roadmap Calc (Don’t Touch)'!$H$2:$H$205,$AH63))</f>
        <v/>
      </c>
      <c r="G63" s="213">
        <f>IF($AH63="","",INDEX('Roadmap Calc (Don’t Touch)'!$I$2:$I$205,$AH63))</f>
        <v/>
      </c>
      <c r="H63" s="213">
        <f>IF($AH63="","",INDEX('Roadmap Calc (Don’t Touch)'!$J$2:$J$205,$AH63))</f>
        <v/>
      </c>
      <c r="I63" s="214">
        <f>IF($AH63="","",IF(AND($E63&lt;&gt;"",$E63&lt;=EOMONTH(I$3,0),$F63&gt;=I$3),IF(AND($G63&lt;&gt;"",$G63&lt;=EOMONTH(I$3,0),$H63&gt;=I$3),"B","U"),IF(AND($G63&lt;&gt;"",$G63&lt;=EOMONTH(I$3,0),$H63&gt;=I$3),"D","")))</f>
        <v/>
      </c>
      <c r="J63" s="214">
        <f>IF($AH63="","",IF(AND($E63&lt;&gt;"",$E63&lt;=EOMONTH(J$3,0),$F63&gt;=J$3),IF(AND($G63&lt;&gt;"",$G63&lt;=EOMONTH(J$3,0),$H63&gt;=J$3),"B","U"),IF(AND($G63&lt;&gt;"",$G63&lt;=EOMONTH(J$3,0),$H63&gt;=J$3),"D","")))</f>
        <v/>
      </c>
      <c r="K63" s="214">
        <f>IF($AH63="","",IF(AND($E63&lt;&gt;"",$E63&lt;=EOMONTH(K$3,0),$F63&gt;=K$3),IF(AND($G63&lt;&gt;"",$G63&lt;=EOMONTH(K$3,0),$H63&gt;=K$3),"B","U"),IF(AND($G63&lt;&gt;"",$G63&lt;=EOMONTH(K$3,0),$H63&gt;=K$3),"D","")))</f>
        <v/>
      </c>
      <c r="L63" s="214">
        <f>IF($AH63="","",IF(AND($E63&lt;&gt;"",$E63&lt;=EOMONTH(L$3,0),$F63&gt;=L$3),IF(AND($G63&lt;&gt;"",$G63&lt;=EOMONTH(L$3,0),$H63&gt;=L$3),"B","U"),IF(AND($G63&lt;&gt;"",$G63&lt;=EOMONTH(L$3,0),$H63&gt;=L$3),"D","")))</f>
        <v/>
      </c>
      <c r="M63" s="214">
        <f>IF($AH63="","",IF(AND($E63&lt;&gt;"",$E63&lt;=EOMONTH(M$3,0),$F63&gt;=M$3),IF(AND($G63&lt;&gt;"",$G63&lt;=EOMONTH(M$3,0),$H63&gt;=M$3),"B","U"),IF(AND($G63&lt;&gt;"",$G63&lt;=EOMONTH(M$3,0),$H63&gt;=M$3),"D","")))</f>
        <v/>
      </c>
      <c r="N63" s="214">
        <f>IF($AH63="","",IF(AND($E63&lt;&gt;"",$E63&lt;=EOMONTH(N$3,0),$F63&gt;=N$3),IF(AND($G63&lt;&gt;"",$G63&lt;=EOMONTH(N$3,0),$H63&gt;=N$3),"B","U"),IF(AND($G63&lt;&gt;"",$G63&lt;=EOMONTH(N$3,0),$H63&gt;=N$3),"D","")))</f>
        <v/>
      </c>
      <c r="O63" s="214">
        <f>IF($AH63="","",IF(AND($E63&lt;&gt;"",$E63&lt;=EOMONTH(O$3,0),$F63&gt;=O$3),IF(AND($G63&lt;&gt;"",$G63&lt;=EOMONTH(O$3,0),$H63&gt;=O$3),"B","U"),IF(AND($G63&lt;&gt;"",$G63&lt;=EOMONTH(O$3,0),$H63&gt;=O$3),"D","")))</f>
        <v/>
      </c>
      <c r="P63" s="214">
        <f>IF($AH63="","",IF(AND($E63&lt;&gt;"",$E63&lt;=EOMONTH(P$3,0),$F63&gt;=P$3),IF(AND($G63&lt;&gt;"",$G63&lt;=EOMONTH(P$3,0),$H63&gt;=P$3),"B","U"),IF(AND($G63&lt;&gt;"",$G63&lt;=EOMONTH(P$3,0),$H63&gt;=P$3),"D","")))</f>
        <v/>
      </c>
      <c r="Q63" s="214">
        <f>IF($AH63="","",IF(AND($E63&lt;&gt;"",$E63&lt;=EOMONTH(Q$3,0),$F63&gt;=Q$3),IF(AND($G63&lt;&gt;"",$G63&lt;=EOMONTH(Q$3,0),$H63&gt;=Q$3),"B","U"),IF(AND($G63&lt;&gt;"",$G63&lt;=EOMONTH(Q$3,0),$H63&gt;=Q$3),"D","")))</f>
        <v/>
      </c>
      <c r="R63" s="214">
        <f>IF($AH63="","",IF(AND($E63&lt;&gt;"",$E63&lt;=EOMONTH(R$3,0),$F63&gt;=R$3),IF(AND($G63&lt;&gt;"",$G63&lt;=EOMONTH(R$3,0),$H63&gt;=R$3),"B","U"),IF(AND($G63&lt;&gt;"",$G63&lt;=EOMONTH(R$3,0),$H63&gt;=R$3),"D","")))</f>
        <v/>
      </c>
      <c r="S63" s="214">
        <f>IF($AH63="","",IF(AND($E63&lt;&gt;"",$E63&lt;=EOMONTH(S$3,0),$F63&gt;=S$3),IF(AND($G63&lt;&gt;"",$G63&lt;=EOMONTH(S$3,0),$H63&gt;=S$3),"B","U"),IF(AND($G63&lt;&gt;"",$G63&lt;=EOMONTH(S$3,0),$H63&gt;=S$3),"D","")))</f>
        <v/>
      </c>
      <c r="T63" s="214">
        <f>IF($AH63="","",IF(AND($E63&lt;&gt;"",$E63&lt;=EOMONTH(T$3,0),$F63&gt;=T$3),IF(AND($G63&lt;&gt;"",$G63&lt;=EOMONTH(T$3,0),$H63&gt;=T$3),"B","U"),IF(AND($G63&lt;&gt;"",$G63&lt;=EOMONTH(T$3,0),$H63&gt;=T$3),"D","")))</f>
        <v/>
      </c>
      <c r="U63" s="214">
        <f>IF($AH63="","",IF(AND($E63&lt;&gt;"",$E63&lt;=EOMONTH(U$3,0),$F63&gt;=U$3),IF(AND($G63&lt;&gt;"",$G63&lt;=EOMONTH(U$3,0),$H63&gt;=U$3),"B","U"),IF(AND($G63&lt;&gt;"",$G63&lt;=EOMONTH(U$3,0),$H63&gt;=U$3),"D","")))</f>
        <v/>
      </c>
      <c r="V63" s="214">
        <f>IF($AH63="","",IF(AND($E63&lt;&gt;"",$E63&lt;=EOMONTH(V$3,0),$F63&gt;=V$3),IF(AND($G63&lt;&gt;"",$G63&lt;=EOMONTH(V$3,0),$H63&gt;=V$3),"B","U"),IF(AND($G63&lt;&gt;"",$G63&lt;=EOMONTH(V$3,0),$H63&gt;=V$3),"D","")))</f>
        <v/>
      </c>
      <c r="W63" s="214">
        <f>IF($AH63="","",IF(AND($E63&lt;&gt;"",$E63&lt;=EOMONTH(W$3,0),$F63&gt;=W$3),IF(AND($G63&lt;&gt;"",$G63&lt;=EOMONTH(W$3,0),$H63&gt;=W$3),"B","U"),IF(AND($G63&lt;&gt;"",$G63&lt;=EOMONTH(W$3,0),$H63&gt;=W$3),"D","")))</f>
        <v/>
      </c>
      <c r="X63" s="214">
        <f>IF($AH63="","",IF(AND($E63&lt;&gt;"",$E63&lt;=EOMONTH(X$3,0),$F63&gt;=X$3),IF(AND($G63&lt;&gt;"",$G63&lt;=EOMONTH(X$3,0),$H63&gt;=X$3),"B","U"),IF(AND($G63&lt;&gt;"",$G63&lt;=EOMONTH(X$3,0),$H63&gt;=X$3),"D","")))</f>
        <v/>
      </c>
      <c r="Y63" s="214">
        <f>IF($AH63="","",IF(AND($E63&lt;&gt;"",$E63&lt;=EOMONTH(Y$3,0),$F63&gt;=Y$3),IF(AND($G63&lt;&gt;"",$G63&lt;=EOMONTH(Y$3,0),$H63&gt;=Y$3),"B","U"),IF(AND($G63&lt;&gt;"",$G63&lt;=EOMONTH(Y$3,0),$H63&gt;=Y$3),"D","")))</f>
        <v/>
      </c>
      <c r="Z63" s="214">
        <f>IF($AH63="","",IF(AND($E63&lt;&gt;"",$E63&lt;=EOMONTH(Z$3,0),$F63&gt;=Z$3),IF(AND($G63&lt;&gt;"",$G63&lt;=EOMONTH(Z$3,0),$H63&gt;=Z$3),"B","U"),IF(AND($G63&lt;&gt;"",$G63&lt;=EOMONTH(Z$3,0),$H63&gt;=Z$3),"D","")))</f>
        <v/>
      </c>
      <c r="AA63" s="214">
        <f>IF($AH63="","",IF(AND($E63&lt;&gt;"",$E63&lt;=EOMONTH(AA$3,0),$F63&gt;=AA$3),IF(AND($G63&lt;&gt;"",$G63&lt;=EOMONTH(AA$3,0),$H63&gt;=AA$3),"B","U"),IF(AND($G63&lt;&gt;"",$G63&lt;=EOMONTH(AA$3,0),$H63&gt;=AA$3),"D","")))</f>
        <v/>
      </c>
      <c r="AB63" s="214">
        <f>IF($AH63="","",IF(AND($E63&lt;&gt;"",$E63&lt;=EOMONTH(AB$3,0),$F63&gt;=AB$3),IF(AND($G63&lt;&gt;"",$G63&lt;=EOMONTH(AB$3,0),$H63&gt;=AB$3),"B","U"),IF(AND($G63&lt;&gt;"",$G63&lt;=EOMONTH(AB$3,0),$H63&gt;=AB$3),"D","")))</f>
        <v/>
      </c>
      <c r="AC63" s="214">
        <f>IF($AH63="","",IF(AND($E63&lt;&gt;"",$E63&lt;=EOMONTH(AC$3,0),$F63&gt;=AC$3),IF(AND($G63&lt;&gt;"",$G63&lt;=EOMONTH(AC$3,0),$H63&gt;=AC$3),"B","U"),IF(AND($G63&lt;&gt;"",$G63&lt;=EOMONTH(AC$3,0),$H63&gt;=AC$3),"D","")))</f>
        <v/>
      </c>
      <c r="AD63" s="214">
        <f>IF($AH63="","",IF(AND($E63&lt;&gt;"",$E63&lt;=EOMONTH(AD$3,0),$F63&gt;=AD$3),IF(AND($G63&lt;&gt;"",$G63&lt;=EOMONTH(AD$3,0),$H63&gt;=AD$3),"B","U"),IF(AND($G63&lt;&gt;"",$G63&lt;=EOMONTH(AD$3,0),$H63&gt;=AD$3),"D","")))</f>
        <v/>
      </c>
      <c r="AE63" s="214">
        <f>IF($AH63="","",IF(AND($E63&lt;&gt;"",$E63&lt;=EOMONTH(AE$3,0),$F63&gt;=AE$3),IF(AND($G63&lt;&gt;"",$G63&lt;=EOMONTH(AE$3,0),$H63&gt;=AE$3),"B","U"),IF(AND($G63&lt;&gt;"",$G63&lt;=EOMONTH(AE$3,0),$H63&gt;=AE$3),"D","")))</f>
        <v/>
      </c>
      <c r="AF63" s="214">
        <f>IF($AH63="","",IF(AND($E63&lt;&gt;"",$E63&lt;=EOMONTH(AF$3,0),$F63&gt;=AF$3),IF(AND($G63&lt;&gt;"",$G63&lt;=EOMONTH(AF$3,0),$H63&gt;=AF$3),"B","U"),IF(AND($G63&lt;&gt;"",$G63&lt;=EOMONTH(AF$3,0),$H63&gt;=AF$3),"D","")))</f>
        <v/>
      </c>
      <c r="AG63">
        <f>IF($AH63="","",INDEX('Roadmap Calc (Don’t Touch)'!$D$2:$D$205,$AH63))</f>
        <v/>
      </c>
      <c r="AH63">
        <f>IFERROR(MATCH(57,'Roadmap Calc (Don’t Touch)'!$O$2:$O$205,0),"")</f>
        <v/>
      </c>
    </row>
    <row r="64" ht="17" customHeight="1">
      <c r="A64" s="209">
        <f>IF($AH64="","",IF($AG64=$AG63,"",$AG64))</f>
        <v/>
      </c>
      <c r="B64" s="210">
        <f>IF($AH64="","",INDEX('Roadmap Calc (Don’t Touch)'!$B$2:$B$205,$AH64))</f>
        <v/>
      </c>
      <c r="C64" s="211">
        <f>IF($AH64="","",INDEX('Roadmap Calc (Don’t Touch)'!$E$2:$E$205,$AH64))</f>
        <v/>
      </c>
      <c r="D64" s="212">
        <f>IF($AH64="","",INDEX('Roadmap Calc (Don’t Touch)'!$F$2:$F$205,$AH64))</f>
        <v/>
      </c>
      <c r="E64" s="213">
        <f>IF($AH64="","",INDEX('Roadmap Calc (Don’t Touch)'!$G$2:$G$205,$AH64))</f>
        <v/>
      </c>
      <c r="F64" s="213">
        <f>IF($AH64="","",INDEX('Roadmap Calc (Don’t Touch)'!$H$2:$H$205,$AH64))</f>
        <v/>
      </c>
      <c r="G64" s="213">
        <f>IF($AH64="","",INDEX('Roadmap Calc (Don’t Touch)'!$I$2:$I$205,$AH64))</f>
        <v/>
      </c>
      <c r="H64" s="213">
        <f>IF($AH64="","",INDEX('Roadmap Calc (Don’t Touch)'!$J$2:$J$205,$AH64))</f>
        <v/>
      </c>
      <c r="I64" s="214">
        <f>IF($AH64="","",IF(AND($E64&lt;&gt;"",$E64&lt;=EOMONTH(I$3,0),$F64&gt;=I$3),IF(AND($G64&lt;&gt;"",$G64&lt;=EOMONTH(I$3,0),$H64&gt;=I$3),"B","U"),IF(AND($G64&lt;&gt;"",$G64&lt;=EOMONTH(I$3,0),$H64&gt;=I$3),"D","")))</f>
        <v/>
      </c>
      <c r="J64" s="214">
        <f>IF($AH64="","",IF(AND($E64&lt;&gt;"",$E64&lt;=EOMONTH(J$3,0),$F64&gt;=J$3),IF(AND($G64&lt;&gt;"",$G64&lt;=EOMONTH(J$3,0),$H64&gt;=J$3),"B","U"),IF(AND($G64&lt;&gt;"",$G64&lt;=EOMONTH(J$3,0),$H64&gt;=J$3),"D","")))</f>
        <v/>
      </c>
      <c r="K64" s="214">
        <f>IF($AH64="","",IF(AND($E64&lt;&gt;"",$E64&lt;=EOMONTH(K$3,0),$F64&gt;=K$3),IF(AND($G64&lt;&gt;"",$G64&lt;=EOMONTH(K$3,0),$H64&gt;=K$3),"B","U"),IF(AND($G64&lt;&gt;"",$G64&lt;=EOMONTH(K$3,0),$H64&gt;=K$3),"D","")))</f>
        <v/>
      </c>
      <c r="L64" s="214">
        <f>IF($AH64="","",IF(AND($E64&lt;&gt;"",$E64&lt;=EOMONTH(L$3,0),$F64&gt;=L$3),IF(AND($G64&lt;&gt;"",$G64&lt;=EOMONTH(L$3,0),$H64&gt;=L$3),"B","U"),IF(AND($G64&lt;&gt;"",$G64&lt;=EOMONTH(L$3,0),$H64&gt;=L$3),"D","")))</f>
        <v/>
      </c>
      <c r="M64" s="214">
        <f>IF($AH64="","",IF(AND($E64&lt;&gt;"",$E64&lt;=EOMONTH(M$3,0),$F64&gt;=M$3),IF(AND($G64&lt;&gt;"",$G64&lt;=EOMONTH(M$3,0),$H64&gt;=M$3),"B","U"),IF(AND($G64&lt;&gt;"",$G64&lt;=EOMONTH(M$3,0),$H64&gt;=M$3),"D","")))</f>
        <v/>
      </c>
      <c r="N64" s="214">
        <f>IF($AH64="","",IF(AND($E64&lt;&gt;"",$E64&lt;=EOMONTH(N$3,0),$F64&gt;=N$3),IF(AND($G64&lt;&gt;"",$G64&lt;=EOMONTH(N$3,0),$H64&gt;=N$3),"B","U"),IF(AND($G64&lt;&gt;"",$G64&lt;=EOMONTH(N$3,0),$H64&gt;=N$3),"D","")))</f>
        <v/>
      </c>
      <c r="O64" s="214">
        <f>IF($AH64="","",IF(AND($E64&lt;&gt;"",$E64&lt;=EOMONTH(O$3,0),$F64&gt;=O$3),IF(AND($G64&lt;&gt;"",$G64&lt;=EOMONTH(O$3,0),$H64&gt;=O$3),"B","U"),IF(AND($G64&lt;&gt;"",$G64&lt;=EOMONTH(O$3,0),$H64&gt;=O$3),"D","")))</f>
        <v/>
      </c>
      <c r="P64" s="214">
        <f>IF($AH64="","",IF(AND($E64&lt;&gt;"",$E64&lt;=EOMONTH(P$3,0),$F64&gt;=P$3),IF(AND($G64&lt;&gt;"",$G64&lt;=EOMONTH(P$3,0),$H64&gt;=P$3),"B","U"),IF(AND($G64&lt;&gt;"",$G64&lt;=EOMONTH(P$3,0),$H64&gt;=P$3),"D","")))</f>
        <v/>
      </c>
      <c r="Q64" s="214">
        <f>IF($AH64="","",IF(AND($E64&lt;&gt;"",$E64&lt;=EOMONTH(Q$3,0),$F64&gt;=Q$3),IF(AND($G64&lt;&gt;"",$G64&lt;=EOMONTH(Q$3,0),$H64&gt;=Q$3),"B","U"),IF(AND($G64&lt;&gt;"",$G64&lt;=EOMONTH(Q$3,0),$H64&gt;=Q$3),"D","")))</f>
        <v/>
      </c>
      <c r="R64" s="214">
        <f>IF($AH64="","",IF(AND($E64&lt;&gt;"",$E64&lt;=EOMONTH(R$3,0),$F64&gt;=R$3),IF(AND($G64&lt;&gt;"",$G64&lt;=EOMONTH(R$3,0),$H64&gt;=R$3),"B","U"),IF(AND($G64&lt;&gt;"",$G64&lt;=EOMONTH(R$3,0),$H64&gt;=R$3),"D","")))</f>
        <v/>
      </c>
      <c r="S64" s="214">
        <f>IF($AH64="","",IF(AND($E64&lt;&gt;"",$E64&lt;=EOMONTH(S$3,0),$F64&gt;=S$3),IF(AND($G64&lt;&gt;"",$G64&lt;=EOMONTH(S$3,0),$H64&gt;=S$3),"B","U"),IF(AND($G64&lt;&gt;"",$G64&lt;=EOMONTH(S$3,0),$H64&gt;=S$3),"D","")))</f>
        <v/>
      </c>
      <c r="T64" s="214">
        <f>IF($AH64="","",IF(AND($E64&lt;&gt;"",$E64&lt;=EOMONTH(T$3,0),$F64&gt;=T$3),IF(AND($G64&lt;&gt;"",$G64&lt;=EOMONTH(T$3,0),$H64&gt;=T$3),"B","U"),IF(AND($G64&lt;&gt;"",$G64&lt;=EOMONTH(T$3,0),$H64&gt;=T$3),"D","")))</f>
        <v/>
      </c>
      <c r="U64" s="214">
        <f>IF($AH64="","",IF(AND($E64&lt;&gt;"",$E64&lt;=EOMONTH(U$3,0),$F64&gt;=U$3),IF(AND($G64&lt;&gt;"",$G64&lt;=EOMONTH(U$3,0),$H64&gt;=U$3),"B","U"),IF(AND($G64&lt;&gt;"",$G64&lt;=EOMONTH(U$3,0),$H64&gt;=U$3),"D","")))</f>
        <v/>
      </c>
      <c r="V64" s="214">
        <f>IF($AH64="","",IF(AND($E64&lt;&gt;"",$E64&lt;=EOMONTH(V$3,0),$F64&gt;=V$3),IF(AND($G64&lt;&gt;"",$G64&lt;=EOMONTH(V$3,0),$H64&gt;=V$3),"B","U"),IF(AND($G64&lt;&gt;"",$G64&lt;=EOMONTH(V$3,0),$H64&gt;=V$3),"D","")))</f>
        <v/>
      </c>
      <c r="W64" s="214">
        <f>IF($AH64="","",IF(AND($E64&lt;&gt;"",$E64&lt;=EOMONTH(W$3,0),$F64&gt;=W$3),IF(AND($G64&lt;&gt;"",$G64&lt;=EOMONTH(W$3,0),$H64&gt;=W$3),"B","U"),IF(AND($G64&lt;&gt;"",$G64&lt;=EOMONTH(W$3,0),$H64&gt;=W$3),"D","")))</f>
        <v/>
      </c>
      <c r="X64" s="214">
        <f>IF($AH64="","",IF(AND($E64&lt;&gt;"",$E64&lt;=EOMONTH(X$3,0),$F64&gt;=X$3),IF(AND($G64&lt;&gt;"",$G64&lt;=EOMONTH(X$3,0),$H64&gt;=X$3),"B","U"),IF(AND($G64&lt;&gt;"",$G64&lt;=EOMONTH(X$3,0),$H64&gt;=X$3),"D","")))</f>
        <v/>
      </c>
      <c r="Y64" s="214">
        <f>IF($AH64="","",IF(AND($E64&lt;&gt;"",$E64&lt;=EOMONTH(Y$3,0),$F64&gt;=Y$3),IF(AND($G64&lt;&gt;"",$G64&lt;=EOMONTH(Y$3,0),$H64&gt;=Y$3),"B","U"),IF(AND($G64&lt;&gt;"",$G64&lt;=EOMONTH(Y$3,0),$H64&gt;=Y$3),"D","")))</f>
        <v/>
      </c>
      <c r="Z64" s="214">
        <f>IF($AH64="","",IF(AND($E64&lt;&gt;"",$E64&lt;=EOMONTH(Z$3,0),$F64&gt;=Z$3),IF(AND($G64&lt;&gt;"",$G64&lt;=EOMONTH(Z$3,0),$H64&gt;=Z$3),"B","U"),IF(AND($G64&lt;&gt;"",$G64&lt;=EOMONTH(Z$3,0),$H64&gt;=Z$3),"D","")))</f>
        <v/>
      </c>
      <c r="AA64" s="214">
        <f>IF($AH64="","",IF(AND($E64&lt;&gt;"",$E64&lt;=EOMONTH(AA$3,0),$F64&gt;=AA$3),IF(AND($G64&lt;&gt;"",$G64&lt;=EOMONTH(AA$3,0),$H64&gt;=AA$3),"B","U"),IF(AND($G64&lt;&gt;"",$G64&lt;=EOMONTH(AA$3,0),$H64&gt;=AA$3),"D","")))</f>
        <v/>
      </c>
      <c r="AB64" s="214">
        <f>IF($AH64="","",IF(AND($E64&lt;&gt;"",$E64&lt;=EOMONTH(AB$3,0),$F64&gt;=AB$3),IF(AND($G64&lt;&gt;"",$G64&lt;=EOMONTH(AB$3,0),$H64&gt;=AB$3),"B","U"),IF(AND($G64&lt;&gt;"",$G64&lt;=EOMONTH(AB$3,0),$H64&gt;=AB$3),"D","")))</f>
        <v/>
      </c>
      <c r="AC64" s="214">
        <f>IF($AH64="","",IF(AND($E64&lt;&gt;"",$E64&lt;=EOMONTH(AC$3,0),$F64&gt;=AC$3),IF(AND($G64&lt;&gt;"",$G64&lt;=EOMONTH(AC$3,0),$H64&gt;=AC$3),"B","U"),IF(AND($G64&lt;&gt;"",$G64&lt;=EOMONTH(AC$3,0),$H64&gt;=AC$3),"D","")))</f>
        <v/>
      </c>
      <c r="AD64" s="214">
        <f>IF($AH64="","",IF(AND($E64&lt;&gt;"",$E64&lt;=EOMONTH(AD$3,0),$F64&gt;=AD$3),IF(AND($G64&lt;&gt;"",$G64&lt;=EOMONTH(AD$3,0),$H64&gt;=AD$3),"B","U"),IF(AND($G64&lt;&gt;"",$G64&lt;=EOMONTH(AD$3,0),$H64&gt;=AD$3),"D","")))</f>
        <v/>
      </c>
      <c r="AE64" s="214">
        <f>IF($AH64="","",IF(AND($E64&lt;&gt;"",$E64&lt;=EOMONTH(AE$3,0),$F64&gt;=AE$3),IF(AND($G64&lt;&gt;"",$G64&lt;=EOMONTH(AE$3,0),$H64&gt;=AE$3),"B","U"),IF(AND($G64&lt;&gt;"",$G64&lt;=EOMONTH(AE$3,0),$H64&gt;=AE$3),"D","")))</f>
        <v/>
      </c>
      <c r="AF64" s="214">
        <f>IF($AH64="","",IF(AND($E64&lt;&gt;"",$E64&lt;=EOMONTH(AF$3,0),$F64&gt;=AF$3),IF(AND($G64&lt;&gt;"",$G64&lt;=EOMONTH(AF$3,0),$H64&gt;=AF$3),"B","U"),IF(AND($G64&lt;&gt;"",$G64&lt;=EOMONTH(AF$3,0),$H64&gt;=AF$3),"D","")))</f>
        <v/>
      </c>
      <c r="AG64">
        <f>IF($AH64="","",INDEX('Roadmap Calc (Don’t Touch)'!$D$2:$D$205,$AH64))</f>
        <v/>
      </c>
      <c r="AH64">
        <f>IFERROR(MATCH(58,'Roadmap Calc (Don’t Touch)'!$O$2:$O$205,0),"")</f>
        <v/>
      </c>
    </row>
    <row r="65" ht="17" customHeight="1">
      <c r="A65" s="209">
        <f>IF($AH65="","",IF($AG65=$AG64,"",$AG65))</f>
        <v/>
      </c>
      <c r="B65" s="210">
        <f>IF($AH65="","",INDEX('Roadmap Calc (Don’t Touch)'!$B$2:$B$205,$AH65))</f>
        <v/>
      </c>
      <c r="C65" s="211">
        <f>IF($AH65="","",INDEX('Roadmap Calc (Don’t Touch)'!$E$2:$E$205,$AH65))</f>
        <v/>
      </c>
      <c r="D65" s="212">
        <f>IF($AH65="","",INDEX('Roadmap Calc (Don’t Touch)'!$F$2:$F$205,$AH65))</f>
        <v/>
      </c>
      <c r="E65" s="213">
        <f>IF($AH65="","",INDEX('Roadmap Calc (Don’t Touch)'!$G$2:$G$205,$AH65))</f>
        <v/>
      </c>
      <c r="F65" s="213">
        <f>IF($AH65="","",INDEX('Roadmap Calc (Don’t Touch)'!$H$2:$H$205,$AH65))</f>
        <v/>
      </c>
      <c r="G65" s="213">
        <f>IF($AH65="","",INDEX('Roadmap Calc (Don’t Touch)'!$I$2:$I$205,$AH65))</f>
        <v/>
      </c>
      <c r="H65" s="213">
        <f>IF($AH65="","",INDEX('Roadmap Calc (Don’t Touch)'!$J$2:$J$205,$AH65))</f>
        <v/>
      </c>
      <c r="I65" s="214">
        <f>IF($AH65="","",IF(AND($E65&lt;&gt;"",$E65&lt;=EOMONTH(I$3,0),$F65&gt;=I$3),IF(AND($G65&lt;&gt;"",$G65&lt;=EOMONTH(I$3,0),$H65&gt;=I$3),"B","U"),IF(AND($G65&lt;&gt;"",$G65&lt;=EOMONTH(I$3,0),$H65&gt;=I$3),"D","")))</f>
        <v/>
      </c>
      <c r="J65" s="214">
        <f>IF($AH65="","",IF(AND($E65&lt;&gt;"",$E65&lt;=EOMONTH(J$3,0),$F65&gt;=J$3),IF(AND($G65&lt;&gt;"",$G65&lt;=EOMONTH(J$3,0),$H65&gt;=J$3),"B","U"),IF(AND($G65&lt;&gt;"",$G65&lt;=EOMONTH(J$3,0),$H65&gt;=J$3),"D","")))</f>
        <v/>
      </c>
      <c r="K65" s="214">
        <f>IF($AH65="","",IF(AND($E65&lt;&gt;"",$E65&lt;=EOMONTH(K$3,0),$F65&gt;=K$3),IF(AND($G65&lt;&gt;"",$G65&lt;=EOMONTH(K$3,0),$H65&gt;=K$3),"B","U"),IF(AND($G65&lt;&gt;"",$G65&lt;=EOMONTH(K$3,0),$H65&gt;=K$3),"D","")))</f>
        <v/>
      </c>
      <c r="L65" s="214">
        <f>IF($AH65="","",IF(AND($E65&lt;&gt;"",$E65&lt;=EOMONTH(L$3,0),$F65&gt;=L$3),IF(AND($G65&lt;&gt;"",$G65&lt;=EOMONTH(L$3,0),$H65&gt;=L$3),"B","U"),IF(AND($G65&lt;&gt;"",$G65&lt;=EOMONTH(L$3,0),$H65&gt;=L$3),"D","")))</f>
        <v/>
      </c>
      <c r="M65" s="214">
        <f>IF($AH65="","",IF(AND($E65&lt;&gt;"",$E65&lt;=EOMONTH(M$3,0),$F65&gt;=M$3),IF(AND($G65&lt;&gt;"",$G65&lt;=EOMONTH(M$3,0),$H65&gt;=M$3),"B","U"),IF(AND($G65&lt;&gt;"",$G65&lt;=EOMONTH(M$3,0),$H65&gt;=M$3),"D","")))</f>
        <v/>
      </c>
      <c r="N65" s="214">
        <f>IF($AH65="","",IF(AND($E65&lt;&gt;"",$E65&lt;=EOMONTH(N$3,0),$F65&gt;=N$3),IF(AND($G65&lt;&gt;"",$G65&lt;=EOMONTH(N$3,0),$H65&gt;=N$3),"B","U"),IF(AND($G65&lt;&gt;"",$G65&lt;=EOMONTH(N$3,0),$H65&gt;=N$3),"D","")))</f>
        <v/>
      </c>
      <c r="O65" s="214">
        <f>IF($AH65="","",IF(AND($E65&lt;&gt;"",$E65&lt;=EOMONTH(O$3,0),$F65&gt;=O$3),IF(AND($G65&lt;&gt;"",$G65&lt;=EOMONTH(O$3,0),$H65&gt;=O$3),"B","U"),IF(AND($G65&lt;&gt;"",$G65&lt;=EOMONTH(O$3,0),$H65&gt;=O$3),"D","")))</f>
        <v/>
      </c>
      <c r="P65" s="214">
        <f>IF($AH65="","",IF(AND($E65&lt;&gt;"",$E65&lt;=EOMONTH(P$3,0),$F65&gt;=P$3),IF(AND($G65&lt;&gt;"",$G65&lt;=EOMONTH(P$3,0),$H65&gt;=P$3),"B","U"),IF(AND($G65&lt;&gt;"",$G65&lt;=EOMONTH(P$3,0),$H65&gt;=P$3),"D","")))</f>
        <v/>
      </c>
      <c r="Q65" s="214">
        <f>IF($AH65="","",IF(AND($E65&lt;&gt;"",$E65&lt;=EOMONTH(Q$3,0),$F65&gt;=Q$3),IF(AND($G65&lt;&gt;"",$G65&lt;=EOMONTH(Q$3,0),$H65&gt;=Q$3),"B","U"),IF(AND($G65&lt;&gt;"",$G65&lt;=EOMONTH(Q$3,0),$H65&gt;=Q$3),"D","")))</f>
        <v/>
      </c>
      <c r="R65" s="214">
        <f>IF($AH65="","",IF(AND($E65&lt;&gt;"",$E65&lt;=EOMONTH(R$3,0),$F65&gt;=R$3),IF(AND($G65&lt;&gt;"",$G65&lt;=EOMONTH(R$3,0),$H65&gt;=R$3),"B","U"),IF(AND($G65&lt;&gt;"",$G65&lt;=EOMONTH(R$3,0),$H65&gt;=R$3),"D","")))</f>
        <v/>
      </c>
      <c r="S65" s="214">
        <f>IF($AH65="","",IF(AND($E65&lt;&gt;"",$E65&lt;=EOMONTH(S$3,0),$F65&gt;=S$3),IF(AND($G65&lt;&gt;"",$G65&lt;=EOMONTH(S$3,0),$H65&gt;=S$3),"B","U"),IF(AND($G65&lt;&gt;"",$G65&lt;=EOMONTH(S$3,0),$H65&gt;=S$3),"D","")))</f>
        <v/>
      </c>
      <c r="T65" s="214">
        <f>IF($AH65="","",IF(AND($E65&lt;&gt;"",$E65&lt;=EOMONTH(T$3,0),$F65&gt;=T$3),IF(AND($G65&lt;&gt;"",$G65&lt;=EOMONTH(T$3,0),$H65&gt;=T$3),"B","U"),IF(AND($G65&lt;&gt;"",$G65&lt;=EOMONTH(T$3,0),$H65&gt;=T$3),"D","")))</f>
        <v/>
      </c>
      <c r="U65" s="214">
        <f>IF($AH65="","",IF(AND($E65&lt;&gt;"",$E65&lt;=EOMONTH(U$3,0),$F65&gt;=U$3),IF(AND($G65&lt;&gt;"",$G65&lt;=EOMONTH(U$3,0),$H65&gt;=U$3),"B","U"),IF(AND($G65&lt;&gt;"",$G65&lt;=EOMONTH(U$3,0),$H65&gt;=U$3),"D","")))</f>
        <v/>
      </c>
      <c r="V65" s="214">
        <f>IF($AH65="","",IF(AND($E65&lt;&gt;"",$E65&lt;=EOMONTH(V$3,0),$F65&gt;=V$3),IF(AND($G65&lt;&gt;"",$G65&lt;=EOMONTH(V$3,0),$H65&gt;=V$3),"B","U"),IF(AND($G65&lt;&gt;"",$G65&lt;=EOMONTH(V$3,0),$H65&gt;=V$3),"D","")))</f>
        <v/>
      </c>
      <c r="W65" s="214">
        <f>IF($AH65="","",IF(AND($E65&lt;&gt;"",$E65&lt;=EOMONTH(W$3,0),$F65&gt;=W$3),IF(AND($G65&lt;&gt;"",$G65&lt;=EOMONTH(W$3,0),$H65&gt;=W$3),"B","U"),IF(AND($G65&lt;&gt;"",$G65&lt;=EOMONTH(W$3,0),$H65&gt;=W$3),"D","")))</f>
        <v/>
      </c>
      <c r="X65" s="214">
        <f>IF($AH65="","",IF(AND($E65&lt;&gt;"",$E65&lt;=EOMONTH(X$3,0),$F65&gt;=X$3),IF(AND($G65&lt;&gt;"",$G65&lt;=EOMONTH(X$3,0),$H65&gt;=X$3),"B","U"),IF(AND($G65&lt;&gt;"",$G65&lt;=EOMONTH(X$3,0),$H65&gt;=X$3),"D","")))</f>
        <v/>
      </c>
      <c r="Y65" s="214">
        <f>IF($AH65="","",IF(AND($E65&lt;&gt;"",$E65&lt;=EOMONTH(Y$3,0),$F65&gt;=Y$3),IF(AND($G65&lt;&gt;"",$G65&lt;=EOMONTH(Y$3,0),$H65&gt;=Y$3),"B","U"),IF(AND($G65&lt;&gt;"",$G65&lt;=EOMONTH(Y$3,0),$H65&gt;=Y$3),"D","")))</f>
        <v/>
      </c>
      <c r="Z65" s="214">
        <f>IF($AH65="","",IF(AND($E65&lt;&gt;"",$E65&lt;=EOMONTH(Z$3,0),$F65&gt;=Z$3),IF(AND($G65&lt;&gt;"",$G65&lt;=EOMONTH(Z$3,0),$H65&gt;=Z$3),"B","U"),IF(AND($G65&lt;&gt;"",$G65&lt;=EOMONTH(Z$3,0),$H65&gt;=Z$3),"D","")))</f>
        <v/>
      </c>
      <c r="AA65" s="214">
        <f>IF($AH65="","",IF(AND($E65&lt;&gt;"",$E65&lt;=EOMONTH(AA$3,0),$F65&gt;=AA$3),IF(AND($G65&lt;&gt;"",$G65&lt;=EOMONTH(AA$3,0),$H65&gt;=AA$3),"B","U"),IF(AND($G65&lt;&gt;"",$G65&lt;=EOMONTH(AA$3,0),$H65&gt;=AA$3),"D","")))</f>
        <v/>
      </c>
      <c r="AB65" s="214">
        <f>IF($AH65="","",IF(AND($E65&lt;&gt;"",$E65&lt;=EOMONTH(AB$3,0),$F65&gt;=AB$3),IF(AND($G65&lt;&gt;"",$G65&lt;=EOMONTH(AB$3,0),$H65&gt;=AB$3),"B","U"),IF(AND($G65&lt;&gt;"",$G65&lt;=EOMONTH(AB$3,0),$H65&gt;=AB$3),"D","")))</f>
        <v/>
      </c>
      <c r="AC65" s="214">
        <f>IF($AH65="","",IF(AND($E65&lt;&gt;"",$E65&lt;=EOMONTH(AC$3,0),$F65&gt;=AC$3),IF(AND($G65&lt;&gt;"",$G65&lt;=EOMONTH(AC$3,0),$H65&gt;=AC$3),"B","U"),IF(AND($G65&lt;&gt;"",$G65&lt;=EOMONTH(AC$3,0),$H65&gt;=AC$3),"D","")))</f>
        <v/>
      </c>
      <c r="AD65" s="214">
        <f>IF($AH65="","",IF(AND($E65&lt;&gt;"",$E65&lt;=EOMONTH(AD$3,0),$F65&gt;=AD$3),IF(AND($G65&lt;&gt;"",$G65&lt;=EOMONTH(AD$3,0),$H65&gt;=AD$3),"B","U"),IF(AND($G65&lt;&gt;"",$G65&lt;=EOMONTH(AD$3,0),$H65&gt;=AD$3),"D","")))</f>
        <v/>
      </c>
      <c r="AE65" s="214">
        <f>IF($AH65="","",IF(AND($E65&lt;&gt;"",$E65&lt;=EOMONTH(AE$3,0),$F65&gt;=AE$3),IF(AND($G65&lt;&gt;"",$G65&lt;=EOMONTH(AE$3,0),$H65&gt;=AE$3),"B","U"),IF(AND($G65&lt;&gt;"",$G65&lt;=EOMONTH(AE$3,0),$H65&gt;=AE$3),"D","")))</f>
        <v/>
      </c>
      <c r="AF65" s="214">
        <f>IF($AH65="","",IF(AND($E65&lt;&gt;"",$E65&lt;=EOMONTH(AF$3,0),$F65&gt;=AF$3),IF(AND($G65&lt;&gt;"",$G65&lt;=EOMONTH(AF$3,0),$H65&gt;=AF$3),"B","U"),IF(AND($G65&lt;&gt;"",$G65&lt;=EOMONTH(AF$3,0),$H65&gt;=AF$3),"D","")))</f>
        <v/>
      </c>
      <c r="AG65">
        <f>IF($AH65="","",INDEX('Roadmap Calc (Don’t Touch)'!$D$2:$D$205,$AH65))</f>
        <v/>
      </c>
      <c r="AH65">
        <f>IFERROR(MATCH(59,'Roadmap Calc (Don’t Touch)'!$O$2:$O$205,0),"")</f>
        <v/>
      </c>
    </row>
    <row r="66" ht="17" customHeight="1">
      <c r="A66" s="209">
        <f>IF($AH66="","",IF($AG66=$AG65,"",$AG66))</f>
        <v/>
      </c>
      <c r="B66" s="210">
        <f>IF($AH66="","",INDEX('Roadmap Calc (Don’t Touch)'!$B$2:$B$205,$AH66))</f>
        <v/>
      </c>
      <c r="C66" s="211">
        <f>IF($AH66="","",INDEX('Roadmap Calc (Don’t Touch)'!$E$2:$E$205,$AH66))</f>
        <v/>
      </c>
      <c r="D66" s="212">
        <f>IF($AH66="","",INDEX('Roadmap Calc (Don’t Touch)'!$F$2:$F$205,$AH66))</f>
        <v/>
      </c>
      <c r="E66" s="213">
        <f>IF($AH66="","",INDEX('Roadmap Calc (Don’t Touch)'!$G$2:$G$205,$AH66))</f>
        <v/>
      </c>
      <c r="F66" s="213">
        <f>IF($AH66="","",INDEX('Roadmap Calc (Don’t Touch)'!$H$2:$H$205,$AH66))</f>
        <v/>
      </c>
      <c r="G66" s="213">
        <f>IF($AH66="","",INDEX('Roadmap Calc (Don’t Touch)'!$I$2:$I$205,$AH66))</f>
        <v/>
      </c>
      <c r="H66" s="213">
        <f>IF($AH66="","",INDEX('Roadmap Calc (Don’t Touch)'!$J$2:$J$205,$AH66))</f>
        <v/>
      </c>
      <c r="I66" s="214">
        <f>IF($AH66="","",IF(AND($E66&lt;&gt;"",$E66&lt;=EOMONTH(I$3,0),$F66&gt;=I$3),IF(AND($G66&lt;&gt;"",$G66&lt;=EOMONTH(I$3,0),$H66&gt;=I$3),"B","U"),IF(AND($G66&lt;&gt;"",$G66&lt;=EOMONTH(I$3,0),$H66&gt;=I$3),"D","")))</f>
        <v/>
      </c>
      <c r="J66" s="214">
        <f>IF($AH66="","",IF(AND($E66&lt;&gt;"",$E66&lt;=EOMONTH(J$3,0),$F66&gt;=J$3),IF(AND($G66&lt;&gt;"",$G66&lt;=EOMONTH(J$3,0),$H66&gt;=J$3),"B","U"),IF(AND($G66&lt;&gt;"",$G66&lt;=EOMONTH(J$3,0),$H66&gt;=J$3),"D","")))</f>
        <v/>
      </c>
      <c r="K66" s="214">
        <f>IF($AH66="","",IF(AND($E66&lt;&gt;"",$E66&lt;=EOMONTH(K$3,0),$F66&gt;=K$3),IF(AND($G66&lt;&gt;"",$G66&lt;=EOMONTH(K$3,0),$H66&gt;=K$3),"B","U"),IF(AND($G66&lt;&gt;"",$G66&lt;=EOMONTH(K$3,0),$H66&gt;=K$3),"D","")))</f>
        <v/>
      </c>
      <c r="L66" s="214">
        <f>IF($AH66="","",IF(AND($E66&lt;&gt;"",$E66&lt;=EOMONTH(L$3,0),$F66&gt;=L$3),IF(AND($G66&lt;&gt;"",$G66&lt;=EOMONTH(L$3,0),$H66&gt;=L$3),"B","U"),IF(AND($G66&lt;&gt;"",$G66&lt;=EOMONTH(L$3,0),$H66&gt;=L$3),"D","")))</f>
        <v/>
      </c>
      <c r="M66" s="214">
        <f>IF($AH66="","",IF(AND($E66&lt;&gt;"",$E66&lt;=EOMONTH(M$3,0),$F66&gt;=M$3),IF(AND($G66&lt;&gt;"",$G66&lt;=EOMONTH(M$3,0),$H66&gt;=M$3),"B","U"),IF(AND($G66&lt;&gt;"",$G66&lt;=EOMONTH(M$3,0),$H66&gt;=M$3),"D","")))</f>
        <v/>
      </c>
      <c r="N66" s="214">
        <f>IF($AH66="","",IF(AND($E66&lt;&gt;"",$E66&lt;=EOMONTH(N$3,0),$F66&gt;=N$3),IF(AND($G66&lt;&gt;"",$G66&lt;=EOMONTH(N$3,0),$H66&gt;=N$3),"B","U"),IF(AND($G66&lt;&gt;"",$G66&lt;=EOMONTH(N$3,0),$H66&gt;=N$3),"D","")))</f>
        <v/>
      </c>
      <c r="O66" s="214">
        <f>IF($AH66="","",IF(AND($E66&lt;&gt;"",$E66&lt;=EOMONTH(O$3,0),$F66&gt;=O$3),IF(AND($G66&lt;&gt;"",$G66&lt;=EOMONTH(O$3,0),$H66&gt;=O$3),"B","U"),IF(AND($G66&lt;&gt;"",$G66&lt;=EOMONTH(O$3,0),$H66&gt;=O$3),"D","")))</f>
        <v/>
      </c>
      <c r="P66" s="214">
        <f>IF($AH66="","",IF(AND($E66&lt;&gt;"",$E66&lt;=EOMONTH(P$3,0),$F66&gt;=P$3),IF(AND($G66&lt;&gt;"",$G66&lt;=EOMONTH(P$3,0),$H66&gt;=P$3),"B","U"),IF(AND($G66&lt;&gt;"",$G66&lt;=EOMONTH(P$3,0),$H66&gt;=P$3),"D","")))</f>
        <v/>
      </c>
      <c r="Q66" s="214">
        <f>IF($AH66="","",IF(AND($E66&lt;&gt;"",$E66&lt;=EOMONTH(Q$3,0),$F66&gt;=Q$3),IF(AND($G66&lt;&gt;"",$G66&lt;=EOMONTH(Q$3,0),$H66&gt;=Q$3),"B","U"),IF(AND($G66&lt;&gt;"",$G66&lt;=EOMONTH(Q$3,0),$H66&gt;=Q$3),"D","")))</f>
        <v/>
      </c>
      <c r="R66" s="214">
        <f>IF($AH66="","",IF(AND($E66&lt;&gt;"",$E66&lt;=EOMONTH(R$3,0),$F66&gt;=R$3),IF(AND($G66&lt;&gt;"",$G66&lt;=EOMONTH(R$3,0),$H66&gt;=R$3),"B","U"),IF(AND($G66&lt;&gt;"",$G66&lt;=EOMONTH(R$3,0),$H66&gt;=R$3),"D","")))</f>
        <v/>
      </c>
      <c r="S66" s="214">
        <f>IF($AH66="","",IF(AND($E66&lt;&gt;"",$E66&lt;=EOMONTH(S$3,0),$F66&gt;=S$3),IF(AND($G66&lt;&gt;"",$G66&lt;=EOMONTH(S$3,0),$H66&gt;=S$3),"B","U"),IF(AND($G66&lt;&gt;"",$G66&lt;=EOMONTH(S$3,0),$H66&gt;=S$3),"D","")))</f>
        <v/>
      </c>
      <c r="T66" s="214">
        <f>IF($AH66="","",IF(AND($E66&lt;&gt;"",$E66&lt;=EOMONTH(T$3,0),$F66&gt;=T$3),IF(AND($G66&lt;&gt;"",$G66&lt;=EOMONTH(T$3,0),$H66&gt;=T$3),"B","U"),IF(AND($G66&lt;&gt;"",$G66&lt;=EOMONTH(T$3,0),$H66&gt;=T$3),"D","")))</f>
        <v/>
      </c>
      <c r="U66" s="214">
        <f>IF($AH66="","",IF(AND($E66&lt;&gt;"",$E66&lt;=EOMONTH(U$3,0),$F66&gt;=U$3),IF(AND($G66&lt;&gt;"",$G66&lt;=EOMONTH(U$3,0),$H66&gt;=U$3),"B","U"),IF(AND($G66&lt;&gt;"",$G66&lt;=EOMONTH(U$3,0),$H66&gt;=U$3),"D","")))</f>
        <v/>
      </c>
      <c r="V66" s="214">
        <f>IF($AH66="","",IF(AND($E66&lt;&gt;"",$E66&lt;=EOMONTH(V$3,0),$F66&gt;=V$3),IF(AND($G66&lt;&gt;"",$G66&lt;=EOMONTH(V$3,0),$H66&gt;=V$3),"B","U"),IF(AND($G66&lt;&gt;"",$G66&lt;=EOMONTH(V$3,0),$H66&gt;=V$3),"D","")))</f>
        <v/>
      </c>
      <c r="W66" s="214">
        <f>IF($AH66="","",IF(AND($E66&lt;&gt;"",$E66&lt;=EOMONTH(W$3,0),$F66&gt;=W$3),IF(AND($G66&lt;&gt;"",$G66&lt;=EOMONTH(W$3,0),$H66&gt;=W$3),"B","U"),IF(AND($G66&lt;&gt;"",$G66&lt;=EOMONTH(W$3,0),$H66&gt;=W$3),"D","")))</f>
        <v/>
      </c>
      <c r="X66" s="214">
        <f>IF($AH66="","",IF(AND($E66&lt;&gt;"",$E66&lt;=EOMONTH(X$3,0),$F66&gt;=X$3),IF(AND($G66&lt;&gt;"",$G66&lt;=EOMONTH(X$3,0),$H66&gt;=X$3),"B","U"),IF(AND($G66&lt;&gt;"",$G66&lt;=EOMONTH(X$3,0),$H66&gt;=X$3),"D","")))</f>
        <v/>
      </c>
      <c r="Y66" s="214">
        <f>IF($AH66="","",IF(AND($E66&lt;&gt;"",$E66&lt;=EOMONTH(Y$3,0),$F66&gt;=Y$3),IF(AND($G66&lt;&gt;"",$G66&lt;=EOMONTH(Y$3,0),$H66&gt;=Y$3),"B","U"),IF(AND($G66&lt;&gt;"",$G66&lt;=EOMONTH(Y$3,0),$H66&gt;=Y$3),"D","")))</f>
        <v/>
      </c>
      <c r="Z66" s="214">
        <f>IF($AH66="","",IF(AND($E66&lt;&gt;"",$E66&lt;=EOMONTH(Z$3,0),$F66&gt;=Z$3),IF(AND($G66&lt;&gt;"",$G66&lt;=EOMONTH(Z$3,0),$H66&gt;=Z$3),"B","U"),IF(AND($G66&lt;&gt;"",$G66&lt;=EOMONTH(Z$3,0),$H66&gt;=Z$3),"D","")))</f>
        <v/>
      </c>
      <c r="AA66" s="214">
        <f>IF($AH66="","",IF(AND($E66&lt;&gt;"",$E66&lt;=EOMONTH(AA$3,0),$F66&gt;=AA$3),IF(AND($G66&lt;&gt;"",$G66&lt;=EOMONTH(AA$3,0),$H66&gt;=AA$3),"B","U"),IF(AND($G66&lt;&gt;"",$G66&lt;=EOMONTH(AA$3,0),$H66&gt;=AA$3),"D","")))</f>
        <v/>
      </c>
      <c r="AB66" s="214">
        <f>IF($AH66="","",IF(AND($E66&lt;&gt;"",$E66&lt;=EOMONTH(AB$3,0),$F66&gt;=AB$3),IF(AND($G66&lt;&gt;"",$G66&lt;=EOMONTH(AB$3,0),$H66&gt;=AB$3),"B","U"),IF(AND($G66&lt;&gt;"",$G66&lt;=EOMONTH(AB$3,0),$H66&gt;=AB$3),"D","")))</f>
        <v/>
      </c>
      <c r="AC66" s="214">
        <f>IF($AH66="","",IF(AND($E66&lt;&gt;"",$E66&lt;=EOMONTH(AC$3,0),$F66&gt;=AC$3),IF(AND($G66&lt;&gt;"",$G66&lt;=EOMONTH(AC$3,0),$H66&gt;=AC$3),"B","U"),IF(AND($G66&lt;&gt;"",$G66&lt;=EOMONTH(AC$3,0),$H66&gt;=AC$3),"D","")))</f>
        <v/>
      </c>
      <c r="AD66" s="214">
        <f>IF($AH66="","",IF(AND($E66&lt;&gt;"",$E66&lt;=EOMONTH(AD$3,0),$F66&gt;=AD$3),IF(AND($G66&lt;&gt;"",$G66&lt;=EOMONTH(AD$3,0),$H66&gt;=AD$3),"B","U"),IF(AND($G66&lt;&gt;"",$G66&lt;=EOMONTH(AD$3,0),$H66&gt;=AD$3),"D","")))</f>
        <v/>
      </c>
      <c r="AE66" s="214">
        <f>IF($AH66="","",IF(AND($E66&lt;&gt;"",$E66&lt;=EOMONTH(AE$3,0),$F66&gt;=AE$3),IF(AND($G66&lt;&gt;"",$G66&lt;=EOMONTH(AE$3,0),$H66&gt;=AE$3),"B","U"),IF(AND($G66&lt;&gt;"",$G66&lt;=EOMONTH(AE$3,0),$H66&gt;=AE$3),"D","")))</f>
        <v/>
      </c>
      <c r="AF66" s="214">
        <f>IF($AH66="","",IF(AND($E66&lt;&gt;"",$E66&lt;=EOMONTH(AF$3,0),$F66&gt;=AF$3),IF(AND($G66&lt;&gt;"",$G66&lt;=EOMONTH(AF$3,0),$H66&gt;=AF$3),"B","U"),IF(AND($G66&lt;&gt;"",$G66&lt;=EOMONTH(AF$3,0),$H66&gt;=AF$3),"D","")))</f>
        <v/>
      </c>
      <c r="AG66">
        <f>IF($AH66="","",INDEX('Roadmap Calc (Don’t Touch)'!$D$2:$D$205,$AH66))</f>
        <v/>
      </c>
      <c r="AH66">
        <f>IFERROR(MATCH(60,'Roadmap Calc (Don’t Touch)'!$O$2:$O$205,0),"")</f>
        <v/>
      </c>
    </row>
    <row r="67" ht="17" customHeight="1">
      <c r="A67" s="209">
        <f>IF($AH67="","",IF($AG67=$AG66,"",$AG67))</f>
        <v/>
      </c>
      <c r="B67" s="210">
        <f>IF($AH67="","",INDEX('Roadmap Calc (Don’t Touch)'!$B$2:$B$205,$AH67))</f>
        <v/>
      </c>
      <c r="C67" s="211">
        <f>IF($AH67="","",INDEX('Roadmap Calc (Don’t Touch)'!$E$2:$E$205,$AH67))</f>
        <v/>
      </c>
      <c r="D67" s="212">
        <f>IF($AH67="","",INDEX('Roadmap Calc (Don’t Touch)'!$F$2:$F$205,$AH67))</f>
        <v/>
      </c>
      <c r="E67" s="213">
        <f>IF($AH67="","",INDEX('Roadmap Calc (Don’t Touch)'!$G$2:$G$205,$AH67))</f>
        <v/>
      </c>
      <c r="F67" s="213">
        <f>IF($AH67="","",INDEX('Roadmap Calc (Don’t Touch)'!$H$2:$H$205,$AH67))</f>
        <v/>
      </c>
      <c r="G67" s="213">
        <f>IF($AH67="","",INDEX('Roadmap Calc (Don’t Touch)'!$I$2:$I$205,$AH67))</f>
        <v/>
      </c>
      <c r="H67" s="213">
        <f>IF($AH67="","",INDEX('Roadmap Calc (Don’t Touch)'!$J$2:$J$205,$AH67))</f>
        <v/>
      </c>
      <c r="I67" s="214">
        <f>IF($AH67="","",IF(AND($E67&lt;&gt;"",$E67&lt;=EOMONTH(I$3,0),$F67&gt;=I$3),IF(AND($G67&lt;&gt;"",$G67&lt;=EOMONTH(I$3,0),$H67&gt;=I$3),"B","U"),IF(AND($G67&lt;&gt;"",$G67&lt;=EOMONTH(I$3,0),$H67&gt;=I$3),"D","")))</f>
        <v/>
      </c>
      <c r="J67" s="214">
        <f>IF($AH67="","",IF(AND($E67&lt;&gt;"",$E67&lt;=EOMONTH(J$3,0),$F67&gt;=J$3),IF(AND($G67&lt;&gt;"",$G67&lt;=EOMONTH(J$3,0),$H67&gt;=J$3),"B","U"),IF(AND($G67&lt;&gt;"",$G67&lt;=EOMONTH(J$3,0),$H67&gt;=J$3),"D","")))</f>
        <v/>
      </c>
      <c r="K67" s="214">
        <f>IF($AH67="","",IF(AND($E67&lt;&gt;"",$E67&lt;=EOMONTH(K$3,0),$F67&gt;=K$3),IF(AND($G67&lt;&gt;"",$G67&lt;=EOMONTH(K$3,0),$H67&gt;=K$3),"B","U"),IF(AND($G67&lt;&gt;"",$G67&lt;=EOMONTH(K$3,0),$H67&gt;=K$3),"D","")))</f>
        <v/>
      </c>
      <c r="L67" s="214">
        <f>IF($AH67="","",IF(AND($E67&lt;&gt;"",$E67&lt;=EOMONTH(L$3,0),$F67&gt;=L$3),IF(AND($G67&lt;&gt;"",$G67&lt;=EOMONTH(L$3,0),$H67&gt;=L$3),"B","U"),IF(AND($G67&lt;&gt;"",$G67&lt;=EOMONTH(L$3,0),$H67&gt;=L$3),"D","")))</f>
        <v/>
      </c>
      <c r="M67" s="214">
        <f>IF($AH67="","",IF(AND($E67&lt;&gt;"",$E67&lt;=EOMONTH(M$3,0),$F67&gt;=M$3),IF(AND($G67&lt;&gt;"",$G67&lt;=EOMONTH(M$3,0),$H67&gt;=M$3),"B","U"),IF(AND($G67&lt;&gt;"",$G67&lt;=EOMONTH(M$3,0),$H67&gt;=M$3),"D","")))</f>
        <v/>
      </c>
      <c r="N67" s="214">
        <f>IF($AH67="","",IF(AND($E67&lt;&gt;"",$E67&lt;=EOMONTH(N$3,0),$F67&gt;=N$3),IF(AND($G67&lt;&gt;"",$G67&lt;=EOMONTH(N$3,0),$H67&gt;=N$3),"B","U"),IF(AND($G67&lt;&gt;"",$G67&lt;=EOMONTH(N$3,0),$H67&gt;=N$3),"D","")))</f>
        <v/>
      </c>
      <c r="O67" s="214">
        <f>IF($AH67="","",IF(AND($E67&lt;&gt;"",$E67&lt;=EOMONTH(O$3,0),$F67&gt;=O$3),IF(AND($G67&lt;&gt;"",$G67&lt;=EOMONTH(O$3,0),$H67&gt;=O$3),"B","U"),IF(AND($G67&lt;&gt;"",$G67&lt;=EOMONTH(O$3,0),$H67&gt;=O$3),"D","")))</f>
        <v/>
      </c>
      <c r="P67" s="214">
        <f>IF($AH67="","",IF(AND($E67&lt;&gt;"",$E67&lt;=EOMONTH(P$3,0),$F67&gt;=P$3),IF(AND($G67&lt;&gt;"",$G67&lt;=EOMONTH(P$3,0),$H67&gt;=P$3),"B","U"),IF(AND($G67&lt;&gt;"",$G67&lt;=EOMONTH(P$3,0),$H67&gt;=P$3),"D","")))</f>
        <v/>
      </c>
      <c r="Q67" s="214">
        <f>IF($AH67="","",IF(AND($E67&lt;&gt;"",$E67&lt;=EOMONTH(Q$3,0),$F67&gt;=Q$3),IF(AND($G67&lt;&gt;"",$G67&lt;=EOMONTH(Q$3,0),$H67&gt;=Q$3),"B","U"),IF(AND($G67&lt;&gt;"",$G67&lt;=EOMONTH(Q$3,0),$H67&gt;=Q$3),"D","")))</f>
        <v/>
      </c>
      <c r="R67" s="214">
        <f>IF($AH67="","",IF(AND($E67&lt;&gt;"",$E67&lt;=EOMONTH(R$3,0),$F67&gt;=R$3),IF(AND($G67&lt;&gt;"",$G67&lt;=EOMONTH(R$3,0),$H67&gt;=R$3),"B","U"),IF(AND($G67&lt;&gt;"",$G67&lt;=EOMONTH(R$3,0),$H67&gt;=R$3),"D","")))</f>
        <v/>
      </c>
      <c r="S67" s="214">
        <f>IF($AH67="","",IF(AND($E67&lt;&gt;"",$E67&lt;=EOMONTH(S$3,0),$F67&gt;=S$3),IF(AND($G67&lt;&gt;"",$G67&lt;=EOMONTH(S$3,0),$H67&gt;=S$3),"B","U"),IF(AND($G67&lt;&gt;"",$G67&lt;=EOMONTH(S$3,0),$H67&gt;=S$3),"D","")))</f>
        <v/>
      </c>
      <c r="T67" s="214">
        <f>IF($AH67="","",IF(AND($E67&lt;&gt;"",$E67&lt;=EOMONTH(T$3,0),$F67&gt;=T$3),IF(AND($G67&lt;&gt;"",$G67&lt;=EOMONTH(T$3,0),$H67&gt;=T$3),"B","U"),IF(AND($G67&lt;&gt;"",$G67&lt;=EOMONTH(T$3,0),$H67&gt;=T$3),"D","")))</f>
        <v/>
      </c>
      <c r="U67" s="214">
        <f>IF($AH67="","",IF(AND($E67&lt;&gt;"",$E67&lt;=EOMONTH(U$3,0),$F67&gt;=U$3),IF(AND($G67&lt;&gt;"",$G67&lt;=EOMONTH(U$3,0),$H67&gt;=U$3),"B","U"),IF(AND($G67&lt;&gt;"",$G67&lt;=EOMONTH(U$3,0),$H67&gt;=U$3),"D","")))</f>
        <v/>
      </c>
      <c r="V67" s="214">
        <f>IF($AH67="","",IF(AND($E67&lt;&gt;"",$E67&lt;=EOMONTH(V$3,0),$F67&gt;=V$3),IF(AND($G67&lt;&gt;"",$G67&lt;=EOMONTH(V$3,0),$H67&gt;=V$3),"B","U"),IF(AND($G67&lt;&gt;"",$G67&lt;=EOMONTH(V$3,0),$H67&gt;=V$3),"D","")))</f>
        <v/>
      </c>
      <c r="W67" s="214">
        <f>IF($AH67="","",IF(AND($E67&lt;&gt;"",$E67&lt;=EOMONTH(W$3,0),$F67&gt;=W$3),IF(AND($G67&lt;&gt;"",$G67&lt;=EOMONTH(W$3,0),$H67&gt;=W$3),"B","U"),IF(AND($G67&lt;&gt;"",$G67&lt;=EOMONTH(W$3,0),$H67&gt;=W$3),"D","")))</f>
        <v/>
      </c>
      <c r="X67" s="214">
        <f>IF($AH67="","",IF(AND($E67&lt;&gt;"",$E67&lt;=EOMONTH(X$3,0),$F67&gt;=X$3),IF(AND($G67&lt;&gt;"",$G67&lt;=EOMONTH(X$3,0),$H67&gt;=X$3),"B","U"),IF(AND($G67&lt;&gt;"",$G67&lt;=EOMONTH(X$3,0),$H67&gt;=X$3),"D","")))</f>
        <v/>
      </c>
      <c r="Y67" s="214">
        <f>IF($AH67="","",IF(AND($E67&lt;&gt;"",$E67&lt;=EOMONTH(Y$3,0),$F67&gt;=Y$3),IF(AND($G67&lt;&gt;"",$G67&lt;=EOMONTH(Y$3,0),$H67&gt;=Y$3),"B","U"),IF(AND($G67&lt;&gt;"",$G67&lt;=EOMONTH(Y$3,0),$H67&gt;=Y$3),"D","")))</f>
        <v/>
      </c>
      <c r="Z67" s="214">
        <f>IF($AH67="","",IF(AND($E67&lt;&gt;"",$E67&lt;=EOMONTH(Z$3,0),$F67&gt;=Z$3),IF(AND($G67&lt;&gt;"",$G67&lt;=EOMONTH(Z$3,0),$H67&gt;=Z$3),"B","U"),IF(AND($G67&lt;&gt;"",$G67&lt;=EOMONTH(Z$3,0),$H67&gt;=Z$3),"D","")))</f>
        <v/>
      </c>
      <c r="AA67" s="214">
        <f>IF($AH67="","",IF(AND($E67&lt;&gt;"",$E67&lt;=EOMONTH(AA$3,0),$F67&gt;=AA$3),IF(AND($G67&lt;&gt;"",$G67&lt;=EOMONTH(AA$3,0),$H67&gt;=AA$3),"B","U"),IF(AND($G67&lt;&gt;"",$G67&lt;=EOMONTH(AA$3,0),$H67&gt;=AA$3),"D","")))</f>
        <v/>
      </c>
      <c r="AB67" s="214">
        <f>IF($AH67="","",IF(AND($E67&lt;&gt;"",$E67&lt;=EOMONTH(AB$3,0),$F67&gt;=AB$3),IF(AND($G67&lt;&gt;"",$G67&lt;=EOMONTH(AB$3,0),$H67&gt;=AB$3),"B","U"),IF(AND($G67&lt;&gt;"",$G67&lt;=EOMONTH(AB$3,0),$H67&gt;=AB$3),"D","")))</f>
        <v/>
      </c>
      <c r="AC67" s="214">
        <f>IF($AH67="","",IF(AND($E67&lt;&gt;"",$E67&lt;=EOMONTH(AC$3,0),$F67&gt;=AC$3),IF(AND($G67&lt;&gt;"",$G67&lt;=EOMONTH(AC$3,0),$H67&gt;=AC$3),"B","U"),IF(AND($G67&lt;&gt;"",$G67&lt;=EOMONTH(AC$3,0),$H67&gt;=AC$3),"D","")))</f>
        <v/>
      </c>
      <c r="AD67" s="214">
        <f>IF($AH67="","",IF(AND($E67&lt;&gt;"",$E67&lt;=EOMONTH(AD$3,0),$F67&gt;=AD$3),IF(AND($G67&lt;&gt;"",$G67&lt;=EOMONTH(AD$3,0),$H67&gt;=AD$3),"B","U"),IF(AND($G67&lt;&gt;"",$G67&lt;=EOMONTH(AD$3,0),$H67&gt;=AD$3),"D","")))</f>
        <v/>
      </c>
      <c r="AE67" s="214">
        <f>IF($AH67="","",IF(AND($E67&lt;&gt;"",$E67&lt;=EOMONTH(AE$3,0),$F67&gt;=AE$3),IF(AND($G67&lt;&gt;"",$G67&lt;=EOMONTH(AE$3,0),$H67&gt;=AE$3),"B","U"),IF(AND($G67&lt;&gt;"",$G67&lt;=EOMONTH(AE$3,0),$H67&gt;=AE$3),"D","")))</f>
        <v/>
      </c>
      <c r="AF67" s="214">
        <f>IF($AH67="","",IF(AND($E67&lt;&gt;"",$E67&lt;=EOMONTH(AF$3,0),$F67&gt;=AF$3),IF(AND($G67&lt;&gt;"",$G67&lt;=EOMONTH(AF$3,0),$H67&gt;=AF$3),"B","U"),IF(AND($G67&lt;&gt;"",$G67&lt;=EOMONTH(AF$3,0),$H67&gt;=AF$3),"D","")))</f>
        <v/>
      </c>
      <c r="AG67">
        <f>IF($AH67="","",INDEX('Roadmap Calc (Don’t Touch)'!$D$2:$D$205,$AH67))</f>
        <v/>
      </c>
      <c r="AH67">
        <f>IFERROR(MATCH(61,'Roadmap Calc (Don’t Touch)'!$O$2:$O$205,0),"")</f>
        <v/>
      </c>
    </row>
    <row r="68" ht="17" customHeight="1">
      <c r="A68" s="209">
        <f>IF($AH68="","",IF($AG68=$AG67,"",$AG68))</f>
        <v/>
      </c>
      <c r="B68" s="210">
        <f>IF($AH68="","",INDEX('Roadmap Calc (Don’t Touch)'!$B$2:$B$205,$AH68))</f>
        <v/>
      </c>
      <c r="C68" s="211">
        <f>IF($AH68="","",INDEX('Roadmap Calc (Don’t Touch)'!$E$2:$E$205,$AH68))</f>
        <v/>
      </c>
      <c r="D68" s="212">
        <f>IF($AH68="","",INDEX('Roadmap Calc (Don’t Touch)'!$F$2:$F$205,$AH68))</f>
        <v/>
      </c>
      <c r="E68" s="213">
        <f>IF($AH68="","",INDEX('Roadmap Calc (Don’t Touch)'!$G$2:$G$205,$AH68))</f>
        <v/>
      </c>
      <c r="F68" s="213">
        <f>IF($AH68="","",INDEX('Roadmap Calc (Don’t Touch)'!$H$2:$H$205,$AH68))</f>
        <v/>
      </c>
      <c r="G68" s="213">
        <f>IF($AH68="","",INDEX('Roadmap Calc (Don’t Touch)'!$I$2:$I$205,$AH68))</f>
        <v/>
      </c>
      <c r="H68" s="213">
        <f>IF($AH68="","",INDEX('Roadmap Calc (Don’t Touch)'!$J$2:$J$205,$AH68))</f>
        <v/>
      </c>
      <c r="I68" s="214">
        <f>IF($AH68="","",IF(AND($E68&lt;&gt;"",$E68&lt;=EOMONTH(I$3,0),$F68&gt;=I$3),IF(AND($G68&lt;&gt;"",$G68&lt;=EOMONTH(I$3,0),$H68&gt;=I$3),"B","U"),IF(AND($G68&lt;&gt;"",$G68&lt;=EOMONTH(I$3,0),$H68&gt;=I$3),"D","")))</f>
        <v/>
      </c>
      <c r="J68" s="214">
        <f>IF($AH68="","",IF(AND($E68&lt;&gt;"",$E68&lt;=EOMONTH(J$3,0),$F68&gt;=J$3),IF(AND($G68&lt;&gt;"",$G68&lt;=EOMONTH(J$3,0),$H68&gt;=J$3),"B","U"),IF(AND($G68&lt;&gt;"",$G68&lt;=EOMONTH(J$3,0),$H68&gt;=J$3),"D","")))</f>
        <v/>
      </c>
      <c r="K68" s="214">
        <f>IF($AH68="","",IF(AND($E68&lt;&gt;"",$E68&lt;=EOMONTH(K$3,0),$F68&gt;=K$3),IF(AND($G68&lt;&gt;"",$G68&lt;=EOMONTH(K$3,0),$H68&gt;=K$3),"B","U"),IF(AND($G68&lt;&gt;"",$G68&lt;=EOMONTH(K$3,0),$H68&gt;=K$3),"D","")))</f>
        <v/>
      </c>
      <c r="L68" s="214">
        <f>IF($AH68="","",IF(AND($E68&lt;&gt;"",$E68&lt;=EOMONTH(L$3,0),$F68&gt;=L$3),IF(AND($G68&lt;&gt;"",$G68&lt;=EOMONTH(L$3,0),$H68&gt;=L$3),"B","U"),IF(AND($G68&lt;&gt;"",$G68&lt;=EOMONTH(L$3,0),$H68&gt;=L$3),"D","")))</f>
        <v/>
      </c>
      <c r="M68" s="214">
        <f>IF($AH68="","",IF(AND($E68&lt;&gt;"",$E68&lt;=EOMONTH(M$3,0),$F68&gt;=M$3),IF(AND($G68&lt;&gt;"",$G68&lt;=EOMONTH(M$3,0),$H68&gt;=M$3),"B","U"),IF(AND($G68&lt;&gt;"",$G68&lt;=EOMONTH(M$3,0),$H68&gt;=M$3),"D","")))</f>
        <v/>
      </c>
      <c r="N68" s="214">
        <f>IF($AH68="","",IF(AND($E68&lt;&gt;"",$E68&lt;=EOMONTH(N$3,0),$F68&gt;=N$3),IF(AND($G68&lt;&gt;"",$G68&lt;=EOMONTH(N$3,0),$H68&gt;=N$3),"B","U"),IF(AND($G68&lt;&gt;"",$G68&lt;=EOMONTH(N$3,0),$H68&gt;=N$3),"D","")))</f>
        <v/>
      </c>
      <c r="O68" s="214">
        <f>IF($AH68="","",IF(AND($E68&lt;&gt;"",$E68&lt;=EOMONTH(O$3,0),$F68&gt;=O$3),IF(AND($G68&lt;&gt;"",$G68&lt;=EOMONTH(O$3,0),$H68&gt;=O$3),"B","U"),IF(AND($G68&lt;&gt;"",$G68&lt;=EOMONTH(O$3,0),$H68&gt;=O$3),"D","")))</f>
        <v/>
      </c>
      <c r="P68" s="214">
        <f>IF($AH68="","",IF(AND($E68&lt;&gt;"",$E68&lt;=EOMONTH(P$3,0),$F68&gt;=P$3),IF(AND($G68&lt;&gt;"",$G68&lt;=EOMONTH(P$3,0),$H68&gt;=P$3),"B","U"),IF(AND($G68&lt;&gt;"",$G68&lt;=EOMONTH(P$3,0),$H68&gt;=P$3),"D","")))</f>
        <v/>
      </c>
      <c r="Q68" s="214">
        <f>IF($AH68="","",IF(AND($E68&lt;&gt;"",$E68&lt;=EOMONTH(Q$3,0),$F68&gt;=Q$3),IF(AND($G68&lt;&gt;"",$G68&lt;=EOMONTH(Q$3,0),$H68&gt;=Q$3),"B","U"),IF(AND($G68&lt;&gt;"",$G68&lt;=EOMONTH(Q$3,0),$H68&gt;=Q$3),"D","")))</f>
        <v/>
      </c>
      <c r="R68" s="214">
        <f>IF($AH68="","",IF(AND($E68&lt;&gt;"",$E68&lt;=EOMONTH(R$3,0),$F68&gt;=R$3),IF(AND($G68&lt;&gt;"",$G68&lt;=EOMONTH(R$3,0),$H68&gt;=R$3),"B","U"),IF(AND($G68&lt;&gt;"",$G68&lt;=EOMONTH(R$3,0),$H68&gt;=R$3),"D","")))</f>
        <v/>
      </c>
      <c r="S68" s="214">
        <f>IF($AH68="","",IF(AND($E68&lt;&gt;"",$E68&lt;=EOMONTH(S$3,0),$F68&gt;=S$3),IF(AND($G68&lt;&gt;"",$G68&lt;=EOMONTH(S$3,0),$H68&gt;=S$3),"B","U"),IF(AND($G68&lt;&gt;"",$G68&lt;=EOMONTH(S$3,0),$H68&gt;=S$3),"D","")))</f>
        <v/>
      </c>
      <c r="T68" s="214">
        <f>IF($AH68="","",IF(AND($E68&lt;&gt;"",$E68&lt;=EOMONTH(T$3,0),$F68&gt;=T$3),IF(AND($G68&lt;&gt;"",$G68&lt;=EOMONTH(T$3,0),$H68&gt;=T$3),"B","U"),IF(AND($G68&lt;&gt;"",$G68&lt;=EOMONTH(T$3,0),$H68&gt;=T$3),"D","")))</f>
        <v/>
      </c>
      <c r="U68" s="214">
        <f>IF($AH68="","",IF(AND($E68&lt;&gt;"",$E68&lt;=EOMONTH(U$3,0),$F68&gt;=U$3),IF(AND($G68&lt;&gt;"",$G68&lt;=EOMONTH(U$3,0),$H68&gt;=U$3),"B","U"),IF(AND($G68&lt;&gt;"",$G68&lt;=EOMONTH(U$3,0),$H68&gt;=U$3),"D","")))</f>
        <v/>
      </c>
      <c r="V68" s="214">
        <f>IF($AH68="","",IF(AND($E68&lt;&gt;"",$E68&lt;=EOMONTH(V$3,0),$F68&gt;=V$3),IF(AND($G68&lt;&gt;"",$G68&lt;=EOMONTH(V$3,0),$H68&gt;=V$3),"B","U"),IF(AND($G68&lt;&gt;"",$G68&lt;=EOMONTH(V$3,0),$H68&gt;=V$3),"D","")))</f>
        <v/>
      </c>
      <c r="W68" s="214">
        <f>IF($AH68="","",IF(AND($E68&lt;&gt;"",$E68&lt;=EOMONTH(W$3,0),$F68&gt;=W$3),IF(AND($G68&lt;&gt;"",$G68&lt;=EOMONTH(W$3,0),$H68&gt;=W$3),"B","U"),IF(AND($G68&lt;&gt;"",$G68&lt;=EOMONTH(W$3,0),$H68&gt;=W$3),"D","")))</f>
        <v/>
      </c>
      <c r="X68" s="214">
        <f>IF($AH68="","",IF(AND($E68&lt;&gt;"",$E68&lt;=EOMONTH(X$3,0),$F68&gt;=X$3),IF(AND($G68&lt;&gt;"",$G68&lt;=EOMONTH(X$3,0),$H68&gt;=X$3),"B","U"),IF(AND($G68&lt;&gt;"",$G68&lt;=EOMONTH(X$3,0),$H68&gt;=X$3),"D","")))</f>
        <v/>
      </c>
      <c r="Y68" s="214">
        <f>IF($AH68="","",IF(AND($E68&lt;&gt;"",$E68&lt;=EOMONTH(Y$3,0),$F68&gt;=Y$3),IF(AND($G68&lt;&gt;"",$G68&lt;=EOMONTH(Y$3,0),$H68&gt;=Y$3),"B","U"),IF(AND($G68&lt;&gt;"",$G68&lt;=EOMONTH(Y$3,0),$H68&gt;=Y$3),"D","")))</f>
        <v/>
      </c>
      <c r="Z68" s="214">
        <f>IF($AH68="","",IF(AND($E68&lt;&gt;"",$E68&lt;=EOMONTH(Z$3,0),$F68&gt;=Z$3),IF(AND($G68&lt;&gt;"",$G68&lt;=EOMONTH(Z$3,0),$H68&gt;=Z$3),"B","U"),IF(AND($G68&lt;&gt;"",$G68&lt;=EOMONTH(Z$3,0),$H68&gt;=Z$3),"D","")))</f>
        <v/>
      </c>
      <c r="AA68" s="214">
        <f>IF($AH68="","",IF(AND($E68&lt;&gt;"",$E68&lt;=EOMONTH(AA$3,0),$F68&gt;=AA$3),IF(AND($G68&lt;&gt;"",$G68&lt;=EOMONTH(AA$3,0),$H68&gt;=AA$3),"B","U"),IF(AND($G68&lt;&gt;"",$G68&lt;=EOMONTH(AA$3,0),$H68&gt;=AA$3),"D","")))</f>
        <v/>
      </c>
      <c r="AB68" s="214">
        <f>IF($AH68="","",IF(AND($E68&lt;&gt;"",$E68&lt;=EOMONTH(AB$3,0),$F68&gt;=AB$3),IF(AND($G68&lt;&gt;"",$G68&lt;=EOMONTH(AB$3,0),$H68&gt;=AB$3),"B","U"),IF(AND($G68&lt;&gt;"",$G68&lt;=EOMONTH(AB$3,0),$H68&gt;=AB$3),"D","")))</f>
        <v/>
      </c>
      <c r="AC68" s="214">
        <f>IF($AH68="","",IF(AND($E68&lt;&gt;"",$E68&lt;=EOMONTH(AC$3,0),$F68&gt;=AC$3),IF(AND($G68&lt;&gt;"",$G68&lt;=EOMONTH(AC$3,0),$H68&gt;=AC$3),"B","U"),IF(AND($G68&lt;&gt;"",$G68&lt;=EOMONTH(AC$3,0),$H68&gt;=AC$3),"D","")))</f>
        <v/>
      </c>
      <c r="AD68" s="214">
        <f>IF($AH68="","",IF(AND($E68&lt;&gt;"",$E68&lt;=EOMONTH(AD$3,0),$F68&gt;=AD$3),IF(AND($G68&lt;&gt;"",$G68&lt;=EOMONTH(AD$3,0),$H68&gt;=AD$3),"B","U"),IF(AND($G68&lt;&gt;"",$G68&lt;=EOMONTH(AD$3,0),$H68&gt;=AD$3),"D","")))</f>
        <v/>
      </c>
      <c r="AE68" s="214">
        <f>IF($AH68="","",IF(AND($E68&lt;&gt;"",$E68&lt;=EOMONTH(AE$3,0),$F68&gt;=AE$3),IF(AND($G68&lt;&gt;"",$G68&lt;=EOMONTH(AE$3,0),$H68&gt;=AE$3),"B","U"),IF(AND($G68&lt;&gt;"",$G68&lt;=EOMONTH(AE$3,0),$H68&gt;=AE$3),"D","")))</f>
        <v/>
      </c>
      <c r="AF68" s="214">
        <f>IF($AH68="","",IF(AND($E68&lt;&gt;"",$E68&lt;=EOMONTH(AF$3,0),$F68&gt;=AF$3),IF(AND($G68&lt;&gt;"",$G68&lt;=EOMONTH(AF$3,0),$H68&gt;=AF$3),"B","U"),IF(AND($G68&lt;&gt;"",$G68&lt;=EOMONTH(AF$3,0),$H68&gt;=AF$3),"D","")))</f>
        <v/>
      </c>
      <c r="AG68">
        <f>IF($AH68="","",INDEX('Roadmap Calc (Don’t Touch)'!$D$2:$D$205,$AH68))</f>
        <v/>
      </c>
      <c r="AH68">
        <f>IFERROR(MATCH(62,'Roadmap Calc (Don’t Touch)'!$O$2:$O$205,0),"")</f>
        <v/>
      </c>
    </row>
    <row r="69" ht="17" customHeight="1">
      <c r="A69" s="209">
        <f>IF($AH69="","",IF($AG69=$AG68,"",$AG69))</f>
        <v/>
      </c>
      <c r="B69" s="210">
        <f>IF($AH69="","",INDEX('Roadmap Calc (Don’t Touch)'!$B$2:$B$205,$AH69))</f>
        <v/>
      </c>
      <c r="C69" s="211">
        <f>IF($AH69="","",INDEX('Roadmap Calc (Don’t Touch)'!$E$2:$E$205,$AH69))</f>
        <v/>
      </c>
      <c r="D69" s="212">
        <f>IF($AH69="","",INDEX('Roadmap Calc (Don’t Touch)'!$F$2:$F$205,$AH69))</f>
        <v/>
      </c>
      <c r="E69" s="213">
        <f>IF($AH69="","",INDEX('Roadmap Calc (Don’t Touch)'!$G$2:$G$205,$AH69))</f>
        <v/>
      </c>
      <c r="F69" s="213">
        <f>IF($AH69="","",INDEX('Roadmap Calc (Don’t Touch)'!$H$2:$H$205,$AH69))</f>
        <v/>
      </c>
      <c r="G69" s="213">
        <f>IF($AH69="","",INDEX('Roadmap Calc (Don’t Touch)'!$I$2:$I$205,$AH69))</f>
        <v/>
      </c>
      <c r="H69" s="213">
        <f>IF($AH69="","",INDEX('Roadmap Calc (Don’t Touch)'!$J$2:$J$205,$AH69))</f>
        <v/>
      </c>
      <c r="I69" s="214">
        <f>IF($AH69="","",IF(AND($E69&lt;&gt;"",$E69&lt;=EOMONTH(I$3,0),$F69&gt;=I$3),IF(AND($G69&lt;&gt;"",$G69&lt;=EOMONTH(I$3,0),$H69&gt;=I$3),"B","U"),IF(AND($G69&lt;&gt;"",$G69&lt;=EOMONTH(I$3,0),$H69&gt;=I$3),"D","")))</f>
        <v/>
      </c>
      <c r="J69" s="214">
        <f>IF($AH69="","",IF(AND($E69&lt;&gt;"",$E69&lt;=EOMONTH(J$3,0),$F69&gt;=J$3),IF(AND($G69&lt;&gt;"",$G69&lt;=EOMONTH(J$3,0),$H69&gt;=J$3),"B","U"),IF(AND($G69&lt;&gt;"",$G69&lt;=EOMONTH(J$3,0),$H69&gt;=J$3),"D","")))</f>
        <v/>
      </c>
      <c r="K69" s="214">
        <f>IF($AH69="","",IF(AND($E69&lt;&gt;"",$E69&lt;=EOMONTH(K$3,0),$F69&gt;=K$3),IF(AND($G69&lt;&gt;"",$G69&lt;=EOMONTH(K$3,0),$H69&gt;=K$3),"B","U"),IF(AND($G69&lt;&gt;"",$G69&lt;=EOMONTH(K$3,0),$H69&gt;=K$3),"D","")))</f>
        <v/>
      </c>
      <c r="L69" s="214">
        <f>IF($AH69="","",IF(AND($E69&lt;&gt;"",$E69&lt;=EOMONTH(L$3,0),$F69&gt;=L$3),IF(AND($G69&lt;&gt;"",$G69&lt;=EOMONTH(L$3,0),$H69&gt;=L$3),"B","U"),IF(AND($G69&lt;&gt;"",$G69&lt;=EOMONTH(L$3,0),$H69&gt;=L$3),"D","")))</f>
        <v/>
      </c>
      <c r="M69" s="214">
        <f>IF($AH69="","",IF(AND($E69&lt;&gt;"",$E69&lt;=EOMONTH(M$3,0),$F69&gt;=M$3),IF(AND($G69&lt;&gt;"",$G69&lt;=EOMONTH(M$3,0),$H69&gt;=M$3),"B","U"),IF(AND($G69&lt;&gt;"",$G69&lt;=EOMONTH(M$3,0),$H69&gt;=M$3),"D","")))</f>
        <v/>
      </c>
      <c r="N69" s="214">
        <f>IF($AH69="","",IF(AND($E69&lt;&gt;"",$E69&lt;=EOMONTH(N$3,0),$F69&gt;=N$3),IF(AND($G69&lt;&gt;"",$G69&lt;=EOMONTH(N$3,0),$H69&gt;=N$3),"B","U"),IF(AND($G69&lt;&gt;"",$G69&lt;=EOMONTH(N$3,0),$H69&gt;=N$3),"D","")))</f>
        <v/>
      </c>
      <c r="O69" s="214">
        <f>IF($AH69="","",IF(AND($E69&lt;&gt;"",$E69&lt;=EOMONTH(O$3,0),$F69&gt;=O$3),IF(AND($G69&lt;&gt;"",$G69&lt;=EOMONTH(O$3,0),$H69&gt;=O$3),"B","U"),IF(AND($G69&lt;&gt;"",$G69&lt;=EOMONTH(O$3,0),$H69&gt;=O$3),"D","")))</f>
        <v/>
      </c>
      <c r="P69" s="214">
        <f>IF($AH69="","",IF(AND($E69&lt;&gt;"",$E69&lt;=EOMONTH(P$3,0),$F69&gt;=P$3),IF(AND($G69&lt;&gt;"",$G69&lt;=EOMONTH(P$3,0),$H69&gt;=P$3),"B","U"),IF(AND($G69&lt;&gt;"",$G69&lt;=EOMONTH(P$3,0),$H69&gt;=P$3),"D","")))</f>
        <v/>
      </c>
      <c r="Q69" s="214">
        <f>IF($AH69="","",IF(AND($E69&lt;&gt;"",$E69&lt;=EOMONTH(Q$3,0),$F69&gt;=Q$3),IF(AND($G69&lt;&gt;"",$G69&lt;=EOMONTH(Q$3,0),$H69&gt;=Q$3),"B","U"),IF(AND($G69&lt;&gt;"",$G69&lt;=EOMONTH(Q$3,0),$H69&gt;=Q$3),"D","")))</f>
        <v/>
      </c>
      <c r="R69" s="214">
        <f>IF($AH69="","",IF(AND($E69&lt;&gt;"",$E69&lt;=EOMONTH(R$3,0),$F69&gt;=R$3),IF(AND($G69&lt;&gt;"",$G69&lt;=EOMONTH(R$3,0),$H69&gt;=R$3),"B","U"),IF(AND($G69&lt;&gt;"",$G69&lt;=EOMONTH(R$3,0),$H69&gt;=R$3),"D","")))</f>
        <v/>
      </c>
      <c r="S69" s="214">
        <f>IF($AH69="","",IF(AND($E69&lt;&gt;"",$E69&lt;=EOMONTH(S$3,0),$F69&gt;=S$3),IF(AND($G69&lt;&gt;"",$G69&lt;=EOMONTH(S$3,0),$H69&gt;=S$3),"B","U"),IF(AND($G69&lt;&gt;"",$G69&lt;=EOMONTH(S$3,0),$H69&gt;=S$3),"D","")))</f>
        <v/>
      </c>
      <c r="T69" s="214">
        <f>IF($AH69="","",IF(AND($E69&lt;&gt;"",$E69&lt;=EOMONTH(T$3,0),$F69&gt;=T$3),IF(AND($G69&lt;&gt;"",$G69&lt;=EOMONTH(T$3,0),$H69&gt;=T$3),"B","U"),IF(AND($G69&lt;&gt;"",$G69&lt;=EOMONTH(T$3,0),$H69&gt;=T$3),"D","")))</f>
        <v/>
      </c>
      <c r="U69" s="214">
        <f>IF($AH69="","",IF(AND($E69&lt;&gt;"",$E69&lt;=EOMONTH(U$3,0),$F69&gt;=U$3),IF(AND($G69&lt;&gt;"",$G69&lt;=EOMONTH(U$3,0),$H69&gt;=U$3),"B","U"),IF(AND($G69&lt;&gt;"",$G69&lt;=EOMONTH(U$3,0),$H69&gt;=U$3),"D","")))</f>
        <v/>
      </c>
      <c r="V69" s="214">
        <f>IF($AH69="","",IF(AND($E69&lt;&gt;"",$E69&lt;=EOMONTH(V$3,0),$F69&gt;=V$3),IF(AND($G69&lt;&gt;"",$G69&lt;=EOMONTH(V$3,0),$H69&gt;=V$3),"B","U"),IF(AND($G69&lt;&gt;"",$G69&lt;=EOMONTH(V$3,0),$H69&gt;=V$3),"D","")))</f>
        <v/>
      </c>
      <c r="W69" s="214">
        <f>IF($AH69="","",IF(AND($E69&lt;&gt;"",$E69&lt;=EOMONTH(W$3,0),$F69&gt;=W$3),IF(AND($G69&lt;&gt;"",$G69&lt;=EOMONTH(W$3,0),$H69&gt;=W$3),"B","U"),IF(AND($G69&lt;&gt;"",$G69&lt;=EOMONTH(W$3,0),$H69&gt;=W$3),"D","")))</f>
        <v/>
      </c>
      <c r="X69" s="214">
        <f>IF($AH69="","",IF(AND($E69&lt;&gt;"",$E69&lt;=EOMONTH(X$3,0),$F69&gt;=X$3),IF(AND($G69&lt;&gt;"",$G69&lt;=EOMONTH(X$3,0),$H69&gt;=X$3),"B","U"),IF(AND($G69&lt;&gt;"",$G69&lt;=EOMONTH(X$3,0),$H69&gt;=X$3),"D","")))</f>
        <v/>
      </c>
      <c r="Y69" s="214">
        <f>IF($AH69="","",IF(AND($E69&lt;&gt;"",$E69&lt;=EOMONTH(Y$3,0),$F69&gt;=Y$3),IF(AND($G69&lt;&gt;"",$G69&lt;=EOMONTH(Y$3,0),$H69&gt;=Y$3),"B","U"),IF(AND($G69&lt;&gt;"",$G69&lt;=EOMONTH(Y$3,0),$H69&gt;=Y$3),"D","")))</f>
        <v/>
      </c>
      <c r="Z69" s="214">
        <f>IF($AH69="","",IF(AND($E69&lt;&gt;"",$E69&lt;=EOMONTH(Z$3,0),$F69&gt;=Z$3),IF(AND($G69&lt;&gt;"",$G69&lt;=EOMONTH(Z$3,0),$H69&gt;=Z$3),"B","U"),IF(AND($G69&lt;&gt;"",$G69&lt;=EOMONTH(Z$3,0),$H69&gt;=Z$3),"D","")))</f>
        <v/>
      </c>
      <c r="AA69" s="214">
        <f>IF($AH69="","",IF(AND($E69&lt;&gt;"",$E69&lt;=EOMONTH(AA$3,0),$F69&gt;=AA$3),IF(AND($G69&lt;&gt;"",$G69&lt;=EOMONTH(AA$3,0),$H69&gt;=AA$3),"B","U"),IF(AND($G69&lt;&gt;"",$G69&lt;=EOMONTH(AA$3,0),$H69&gt;=AA$3),"D","")))</f>
        <v/>
      </c>
      <c r="AB69" s="214">
        <f>IF($AH69="","",IF(AND($E69&lt;&gt;"",$E69&lt;=EOMONTH(AB$3,0),$F69&gt;=AB$3),IF(AND($G69&lt;&gt;"",$G69&lt;=EOMONTH(AB$3,0),$H69&gt;=AB$3),"B","U"),IF(AND($G69&lt;&gt;"",$G69&lt;=EOMONTH(AB$3,0),$H69&gt;=AB$3),"D","")))</f>
        <v/>
      </c>
      <c r="AC69" s="214">
        <f>IF($AH69="","",IF(AND($E69&lt;&gt;"",$E69&lt;=EOMONTH(AC$3,0),$F69&gt;=AC$3),IF(AND($G69&lt;&gt;"",$G69&lt;=EOMONTH(AC$3,0),$H69&gt;=AC$3),"B","U"),IF(AND($G69&lt;&gt;"",$G69&lt;=EOMONTH(AC$3,0),$H69&gt;=AC$3),"D","")))</f>
        <v/>
      </c>
      <c r="AD69" s="214">
        <f>IF($AH69="","",IF(AND($E69&lt;&gt;"",$E69&lt;=EOMONTH(AD$3,0),$F69&gt;=AD$3),IF(AND($G69&lt;&gt;"",$G69&lt;=EOMONTH(AD$3,0),$H69&gt;=AD$3),"B","U"),IF(AND($G69&lt;&gt;"",$G69&lt;=EOMONTH(AD$3,0),$H69&gt;=AD$3),"D","")))</f>
        <v/>
      </c>
      <c r="AE69" s="214">
        <f>IF($AH69="","",IF(AND($E69&lt;&gt;"",$E69&lt;=EOMONTH(AE$3,0),$F69&gt;=AE$3),IF(AND($G69&lt;&gt;"",$G69&lt;=EOMONTH(AE$3,0),$H69&gt;=AE$3),"B","U"),IF(AND($G69&lt;&gt;"",$G69&lt;=EOMONTH(AE$3,0),$H69&gt;=AE$3),"D","")))</f>
        <v/>
      </c>
      <c r="AF69" s="214">
        <f>IF($AH69="","",IF(AND($E69&lt;&gt;"",$E69&lt;=EOMONTH(AF$3,0),$F69&gt;=AF$3),IF(AND($G69&lt;&gt;"",$G69&lt;=EOMONTH(AF$3,0),$H69&gt;=AF$3),"B","U"),IF(AND($G69&lt;&gt;"",$G69&lt;=EOMONTH(AF$3,0),$H69&gt;=AF$3),"D","")))</f>
        <v/>
      </c>
      <c r="AG69">
        <f>IF($AH69="","",INDEX('Roadmap Calc (Don’t Touch)'!$D$2:$D$205,$AH69))</f>
        <v/>
      </c>
      <c r="AH69">
        <f>IFERROR(MATCH(63,'Roadmap Calc (Don’t Touch)'!$O$2:$O$205,0),"")</f>
        <v/>
      </c>
    </row>
    <row r="70" ht="17" customHeight="1">
      <c r="A70" s="209">
        <f>IF($AH70="","",IF($AG70=$AG69,"",$AG70))</f>
        <v/>
      </c>
      <c r="B70" s="210">
        <f>IF($AH70="","",INDEX('Roadmap Calc (Don’t Touch)'!$B$2:$B$205,$AH70))</f>
        <v/>
      </c>
      <c r="C70" s="211">
        <f>IF($AH70="","",INDEX('Roadmap Calc (Don’t Touch)'!$E$2:$E$205,$AH70))</f>
        <v/>
      </c>
      <c r="D70" s="212">
        <f>IF($AH70="","",INDEX('Roadmap Calc (Don’t Touch)'!$F$2:$F$205,$AH70))</f>
        <v/>
      </c>
      <c r="E70" s="213">
        <f>IF($AH70="","",INDEX('Roadmap Calc (Don’t Touch)'!$G$2:$G$205,$AH70))</f>
        <v/>
      </c>
      <c r="F70" s="213">
        <f>IF($AH70="","",INDEX('Roadmap Calc (Don’t Touch)'!$H$2:$H$205,$AH70))</f>
        <v/>
      </c>
      <c r="G70" s="213">
        <f>IF($AH70="","",INDEX('Roadmap Calc (Don’t Touch)'!$I$2:$I$205,$AH70))</f>
        <v/>
      </c>
      <c r="H70" s="213">
        <f>IF($AH70="","",INDEX('Roadmap Calc (Don’t Touch)'!$J$2:$J$205,$AH70))</f>
        <v/>
      </c>
      <c r="I70" s="214">
        <f>IF($AH70="","",IF(AND($E70&lt;&gt;"",$E70&lt;=EOMONTH(I$3,0),$F70&gt;=I$3),IF(AND($G70&lt;&gt;"",$G70&lt;=EOMONTH(I$3,0),$H70&gt;=I$3),"B","U"),IF(AND($G70&lt;&gt;"",$G70&lt;=EOMONTH(I$3,0),$H70&gt;=I$3),"D","")))</f>
        <v/>
      </c>
      <c r="J70" s="214">
        <f>IF($AH70="","",IF(AND($E70&lt;&gt;"",$E70&lt;=EOMONTH(J$3,0),$F70&gt;=J$3),IF(AND($G70&lt;&gt;"",$G70&lt;=EOMONTH(J$3,0),$H70&gt;=J$3),"B","U"),IF(AND($G70&lt;&gt;"",$G70&lt;=EOMONTH(J$3,0),$H70&gt;=J$3),"D","")))</f>
        <v/>
      </c>
      <c r="K70" s="214">
        <f>IF($AH70="","",IF(AND($E70&lt;&gt;"",$E70&lt;=EOMONTH(K$3,0),$F70&gt;=K$3),IF(AND($G70&lt;&gt;"",$G70&lt;=EOMONTH(K$3,0),$H70&gt;=K$3),"B","U"),IF(AND($G70&lt;&gt;"",$G70&lt;=EOMONTH(K$3,0),$H70&gt;=K$3),"D","")))</f>
        <v/>
      </c>
      <c r="L70" s="214">
        <f>IF($AH70="","",IF(AND($E70&lt;&gt;"",$E70&lt;=EOMONTH(L$3,0),$F70&gt;=L$3),IF(AND($G70&lt;&gt;"",$G70&lt;=EOMONTH(L$3,0),$H70&gt;=L$3),"B","U"),IF(AND($G70&lt;&gt;"",$G70&lt;=EOMONTH(L$3,0),$H70&gt;=L$3),"D","")))</f>
        <v/>
      </c>
      <c r="M70" s="214">
        <f>IF($AH70="","",IF(AND($E70&lt;&gt;"",$E70&lt;=EOMONTH(M$3,0),$F70&gt;=M$3),IF(AND($G70&lt;&gt;"",$G70&lt;=EOMONTH(M$3,0),$H70&gt;=M$3),"B","U"),IF(AND($G70&lt;&gt;"",$G70&lt;=EOMONTH(M$3,0),$H70&gt;=M$3),"D","")))</f>
        <v/>
      </c>
      <c r="N70" s="214">
        <f>IF($AH70="","",IF(AND($E70&lt;&gt;"",$E70&lt;=EOMONTH(N$3,0),$F70&gt;=N$3),IF(AND($G70&lt;&gt;"",$G70&lt;=EOMONTH(N$3,0),$H70&gt;=N$3),"B","U"),IF(AND($G70&lt;&gt;"",$G70&lt;=EOMONTH(N$3,0),$H70&gt;=N$3),"D","")))</f>
        <v/>
      </c>
      <c r="O70" s="214">
        <f>IF($AH70="","",IF(AND($E70&lt;&gt;"",$E70&lt;=EOMONTH(O$3,0),$F70&gt;=O$3),IF(AND($G70&lt;&gt;"",$G70&lt;=EOMONTH(O$3,0),$H70&gt;=O$3),"B","U"),IF(AND($G70&lt;&gt;"",$G70&lt;=EOMONTH(O$3,0),$H70&gt;=O$3),"D","")))</f>
        <v/>
      </c>
      <c r="P70" s="214">
        <f>IF($AH70="","",IF(AND($E70&lt;&gt;"",$E70&lt;=EOMONTH(P$3,0),$F70&gt;=P$3),IF(AND($G70&lt;&gt;"",$G70&lt;=EOMONTH(P$3,0),$H70&gt;=P$3),"B","U"),IF(AND($G70&lt;&gt;"",$G70&lt;=EOMONTH(P$3,0),$H70&gt;=P$3),"D","")))</f>
        <v/>
      </c>
      <c r="Q70" s="214">
        <f>IF($AH70="","",IF(AND($E70&lt;&gt;"",$E70&lt;=EOMONTH(Q$3,0),$F70&gt;=Q$3),IF(AND($G70&lt;&gt;"",$G70&lt;=EOMONTH(Q$3,0),$H70&gt;=Q$3),"B","U"),IF(AND($G70&lt;&gt;"",$G70&lt;=EOMONTH(Q$3,0),$H70&gt;=Q$3),"D","")))</f>
        <v/>
      </c>
      <c r="R70" s="214">
        <f>IF($AH70="","",IF(AND($E70&lt;&gt;"",$E70&lt;=EOMONTH(R$3,0),$F70&gt;=R$3),IF(AND($G70&lt;&gt;"",$G70&lt;=EOMONTH(R$3,0),$H70&gt;=R$3),"B","U"),IF(AND($G70&lt;&gt;"",$G70&lt;=EOMONTH(R$3,0),$H70&gt;=R$3),"D","")))</f>
        <v/>
      </c>
      <c r="S70" s="214">
        <f>IF($AH70="","",IF(AND($E70&lt;&gt;"",$E70&lt;=EOMONTH(S$3,0),$F70&gt;=S$3),IF(AND($G70&lt;&gt;"",$G70&lt;=EOMONTH(S$3,0),$H70&gt;=S$3),"B","U"),IF(AND($G70&lt;&gt;"",$G70&lt;=EOMONTH(S$3,0),$H70&gt;=S$3),"D","")))</f>
        <v/>
      </c>
      <c r="T70" s="214">
        <f>IF($AH70="","",IF(AND($E70&lt;&gt;"",$E70&lt;=EOMONTH(T$3,0),$F70&gt;=T$3),IF(AND($G70&lt;&gt;"",$G70&lt;=EOMONTH(T$3,0),$H70&gt;=T$3),"B","U"),IF(AND($G70&lt;&gt;"",$G70&lt;=EOMONTH(T$3,0),$H70&gt;=T$3),"D","")))</f>
        <v/>
      </c>
      <c r="U70" s="214">
        <f>IF($AH70="","",IF(AND($E70&lt;&gt;"",$E70&lt;=EOMONTH(U$3,0),$F70&gt;=U$3),IF(AND($G70&lt;&gt;"",$G70&lt;=EOMONTH(U$3,0),$H70&gt;=U$3),"B","U"),IF(AND($G70&lt;&gt;"",$G70&lt;=EOMONTH(U$3,0),$H70&gt;=U$3),"D","")))</f>
        <v/>
      </c>
      <c r="V70" s="214">
        <f>IF($AH70="","",IF(AND($E70&lt;&gt;"",$E70&lt;=EOMONTH(V$3,0),$F70&gt;=V$3),IF(AND($G70&lt;&gt;"",$G70&lt;=EOMONTH(V$3,0),$H70&gt;=V$3),"B","U"),IF(AND($G70&lt;&gt;"",$G70&lt;=EOMONTH(V$3,0),$H70&gt;=V$3),"D","")))</f>
        <v/>
      </c>
      <c r="W70" s="214">
        <f>IF($AH70="","",IF(AND($E70&lt;&gt;"",$E70&lt;=EOMONTH(W$3,0),$F70&gt;=W$3),IF(AND($G70&lt;&gt;"",$G70&lt;=EOMONTH(W$3,0),$H70&gt;=W$3),"B","U"),IF(AND($G70&lt;&gt;"",$G70&lt;=EOMONTH(W$3,0),$H70&gt;=W$3),"D","")))</f>
        <v/>
      </c>
      <c r="X70" s="214">
        <f>IF($AH70="","",IF(AND($E70&lt;&gt;"",$E70&lt;=EOMONTH(X$3,0),$F70&gt;=X$3),IF(AND($G70&lt;&gt;"",$G70&lt;=EOMONTH(X$3,0),$H70&gt;=X$3),"B","U"),IF(AND($G70&lt;&gt;"",$G70&lt;=EOMONTH(X$3,0),$H70&gt;=X$3),"D","")))</f>
        <v/>
      </c>
      <c r="Y70" s="214">
        <f>IF($AH70="","",IF(AND($E70&lt;&gt;"",$E70&lt;=EOMONTH(Y$3,0),$F70&gt;=Y$3),IF(AND($G70&lt;&gt;"",$G70&lt;=EOMONTH(Y$3,0),$H70&gt;=Y$3),"B","U"),IF(AND($G70&lt;&gt;"",$G70&lt;=EOMONTH(Y$3,0),$H70&gt;=Y$3),"D","")))</f>
        <v/>
      </c>
      <c r="Z70" s="214">
        <f>IF($AH70="","",IF(AND($E70&lt;&gt;"",$E70&lt;=EOMONTH(Z$3,0),$F70&gt;=Z$3),IF(AND($G70&lt;&gt;"",$G70&lt;=EOMONTH(Z$3,0),$H70&gt;=Z$3),"B","U"),IF(AND($G70&lt;&gt;"",$G70&lt;=EOMONTH(Z$3,0),$H70&gt;=Z$3),"D","")))</f>
        <v/>
      </c>
      <c r="AA70" s="214">
        <f>IF($AH70="","",IF(AND($E70&lt;&gt;"",$E70&lt;=EOMONTH(AA$3,0),$F70&gt;=AA$3),IF(AND($G70&lt;&gt;"",$G70&lt;=EOMONTH(AA$3,0),$H70&gt;=AA$3),"B","U"),IF(AND($G70&lt;&gt;"",$G70&lt;=EOMONTH(AA$3,0),$H70&gt;=AA$3),"D","")))</f>
        <v/>
      </c>
      <c r="AB70" s="214">
        <f>IF($AH70="","",IF(AND($E70&lt;&gt;"",$E70&lt;=EOMONTH(AB$3,0),$F70&gt;=AB$3),IF(AND($G70&lt;&gt;"",$G70&lt;=EOMONTH(AB$3,0),$H70&gt;=AB$3),"B","U"),IF(AND($G70&lt;&gt;"",$G70&lt;=EOMONTH(AB$3,0),$H70&gt;=AB$3),"D","")))</f>
        <v/>
      </c>
      <c r="AC70" s="214">
        <f>IF($AH70="","",IF(AND($E70&lt;&gt;"",$E70&lt;=EOMONTH(AC$3,0),$F70&gt;=AC$3),IF(AND($G70&lt;&gt;"",$G70&lt;=EOMONTH(AC$3,0),$H70&gt;=AC$3),"B","U"),IF(AND($G70&lt;&gt;"",$G70&lt;=EOMONTH(AC$3,0),$H70&gt;=AC$3),"D","")))</f>
        <v/>
      </c>
      <c r="AD70" s="214">
        <f>IF($AH70="","",IF(AND($E70&lt;&gt;"",$E70&lt;=EOMONTH(AD$3,0),$F70&gt;=AD$3),IF(AND($G70&lt;&gt;"",$G70&lt;=EOMONTH(AD$3,0),$H70&gt;=AD$3),"B","U"),IF(AND($G70&lt;&gt;"",$G70&lt;=EOMONTH(AD$3,0),$H70&gt;=AD$3),"D","")))</f>
        <v/>
      </c>
      <c r="AE70" s="214">
        <f>IF($AH70="","",IF(AND($E70&lt;&gt;"",$E70&lt;=EOMONTH(AE$3,0),$F70&gt;=AE$3),IF(AND($G70&lt;&gt;"",$G70&lt;=EOMONTH(AE$3,0),$H70&gt;=AE$3),"B","U"),IF(AND($G70&lt;&gt;"",$G70&lt;=EOMONTH(AE$3,0),$H70&gt;=AE$3),"D","")))</f>
        <v/>
      </c>
      <c r="AF70" s="214">
        <f>IF($AH70="","",IF(AND($E70&lt;&gt;"",$E70&lt;=EOMONTH(AF$3,0),$F70&gt;=AF$3),IF(AND($G70&lt;&gt;"",$G70&lt;=EOMONTH(AF$3,0),$H70&gt;=AF$3),"B","U"),IF(AND($G70&lt;&gt;"",$G70&lt;=EOMONTH(AF$3,0),$H70&gt;=AF$3),"D","")))</f>
        <v/>
      </c>
      <c r="AG70">
        <f>IF($AH70="","",INDEX('Roadmap Calc (Don’t Touch)'!$D$2:$D$205,$AH70))</f>
        <v/>
      </c>
      <c r="AH70">
        <f>IFERROR(MATCH(64,'Roadmap Calc (Don’t Touch)'!$O$2:$O$205,0),"")</f>
        <v/>
      </c>
    </row>
    <row r="71" ht="17" customHeight="1">
      <c r="A71" s="209">
        <f>IF($AH71="","",IF($AG71=$AG70,"",$AG71))</f>
        <v/>
      </c>
      <c r="B71" s="210">
        <f>IF($AH71="","",INDEX('Roadmap Calc (Don’t Touch)'!$B$2:$B$205,$AH71))</f>
        <v/>
      </c>
      <c r="C71" s="211">
        <f>IF($AH71="","",INDEX('Roadmap Calc (Don’t Touch)'!$E$2:$E$205,$AH71))</f>
        <v/>
      </c>
      <c r="D71" s="212">
        <f>IF($AH71="","",INDEX('Roadmap Calc (Don’t Touch)'!$F$2:$F$205,$AH71))</f>
        <v/>
      </c>
      <c r="E71" s="213">
        <f>IF($AH71="","",INDEX('Roadmap Calc (Don’t Touch)'!$G$2:$G$205,$AH71))</f>
        <v/>
      </c>
      <c r="F71" s="213">
        <f>IF($AH71="","",INDEX('Roadmap Calc (Don’t Touch)'!$H$2:$H$205,$AH71))</f>
        <v/>
      </c>
      <c r="G71" s="213">
        <f>IF($AH71="","",INDEX('Roadmap Calc (Don’t Touch)'!$I$2:$I$205,$AH71))</f>
        <v/>
      </c>
      <c r="H71" s="213">
        <f>IF($AH71="","",INDEX('Roadmap Calc (Don’t Touch)'!$J$2:$J$205,$AH71))</f>
        <v/>
      </c>
      <c r="I71" s="214">
        <f>IF($AH71="","",IF(AND($E71&lt;&gt;"",$E71&lt;=EOMONTH(I$3,0),$F71&gt;=I$3),IF(AND($G71&lt;&gt;"",$G71&lt;=EOMONTH(I$3,0),$H71&gt;=I$3),"B","U"),IF(AND($G71&lt;&gt;"",$G71&lt;=EOMONTH(I$3,0),$H71&gt;=I$3),"D","")))</f>
        <v/>
      </c>
      <c r="J71" s="214">
        <f>IF($AH71="","",IF(AND($E71&lt;&gt;"",$E71&lt;=EOMONTH(J$3,0),$F71&gt;=J$3),IF(AND($G71&lt;&gt;"",$G71&lt;=EOMONTH(J$3,0),$H71&gt;=J$3),"B","U"),IF(AND($G71&lt;&gt;"",$G71&lt;=EOMONTH(J$3,0),$H71&gt;=J$3),"D","")))</f>
        <v/>
      </c>
      <c r="K71" s="214">
        <f>IF($AH71="","",IF(AND($E71&lt;&gt;"",$E71&lt;=EOMONTH(K$3,0),$F71&gt;=K$3),IF(AND($G71&lt;&gt;"",$G71&lt;=EOMONTH(K$3,0),$H71&gt;=K$3),"B","U"),IF(AND($G71&lt;&gt;"",$G71&lt;=EOMONTH(K$3,0),$H71&gt;=K$3),"D","")))</f>
        <v/>
      </c>
      <c r="L71" s="214">
        <f>IF($AH71="","",IF(AND($E71&lt;&gt;"",$E71&lt;=EOMONTH(L$3,0),$F71&gt;=L$3),IF(AND($G71&lt;&gt;"",$G71&lt;=EOMONTH(L$3,0),$H71&gt;=L$3),"B","U"),IF(AND($G71&lt;&gt;"",$G71&lt;=EOMONTH(L$3,0),$H71&gt;=L$3),"D","")))</f>
        <v/>
      </c>
      <c r="M71" s="214">
        <f>IF($AH71="","",IF(AND($E71&lt;&gt;"",$E71&lt;=EOMONTH(M$3,0),$F71&gt;=M$3),IF(AND($G71&lt;&gt;"",$G71&lt;=EOMONTH(M$3,0),$H71&gt;=M$3),"B","U"),IF(AND($G71&lt;&gt;"",$G71&lt;=EOMONTH(M$3,0),$H71&gt;=M$3),"D","")))</f>
        <v/>
      </c>
      <c r="N71" s="214">
        <f>IF($AH71="","",IF(AND($E71&lt;&gt;"",$E71&lt;=EOMONTH(N$3,0),$F71&gt;=N$3),IF(AND($G71&lt;&gt;"",$G71&lt;=EOMONTH(N$3,0),$H71&gt;=N$3),"B","U"),IF(AND($G71&lt;&gt;"",$G71&lt;=EOMONTH(N$3,0),$H71&gt;=N$3),"D","")))</f>
        <v/>
      </c>
      <c r="O71" s="214">
        <f>IF($AH71="","",IF(AND($E71&lt;&gt;"",$E71&lt;=EOMONTH(O$3,0),$F71&gt;=O$3),IF(AND($G71&lt;&gt;"",$G71&lt;=EOMONTH(O$3,0),$H71&gt;=O$3),"B","U"),IF(AND($G71&lt;&gt;"",$G71&lt;=EOMONTH(O$3,0),$H71&gt;=O$3),"D","")))</f>
        <v/>
      </c>
      <c r="P71" s="214">
        <f>IF($AH71="","",IF(AND($E71&lt;&gt;"",$E71&lt;=EOMONTH(P$3,0),$F71&gt;=P$3),IF(AND($G71&lt;&gt;"",$G71&lt;=EOMONTH(P$3,0),$H71&gt;=P$3),"B","U"),IF(AND($G71&lt;&gt;"",$G71&lt;=EOMONTH(P$3,0),$H71&gt;=P$3),"D","")))</f>
        <v/>
      </c>
      <c r="Q71" s="214">
        <f>IF($AH71="","",IF(AND($E71&lt;&gt;"",$E71&lt;=EOMONTH(Q$3,0),$F71&gt;=Q$3),IF(AND($G71&lt;&gt;"",$G71&lt;=EOMONTH(Q$3,0),$H71&gt;=Q$3),"B","U"),IF(AND($G71&lt;&gt;"",$G71&lt;=EOMONTH(Q$3,0),$H71&gt;=Q$3),"D","")))</f>
        <v/>
      </c>
      <c r="R71" s="214">
        <f>IF($AH71="","",IF(AND($E71&lt;&gt;"",$E71&lt;=EOMONTH(R$3,0),$F71&gt;=R$3),IF(AND($G71&lt;&gt;"",$G71&lt;=EOMONTH(R$3,0),$H71&gt;=R$3),"B","U"),IF(AND($G71&lt;&gt;"",$G71&lt;=EOMONTH(R$3,0),$H71&gt;=R$3),"D","")))</f>
        <v/>
      </c>
      <c r="S71" s="214">
        <f>IF($AH71="","",IF(AND($E71&lt;&gt;"",$E71&lt;=EOMONTH(S$3,0),$F71&gt;=S$3),IF(AND($G71&lt;&gt;"",$G71&lt;=EOMONTH(S$3,0),$H71&gt;=S$3),"B","U"),IF(AND($G71&lt;&gt;"",$G71&lt;=EOMONTH(S$3,0),$H71&gt;=S$3),"D","")))</f>
        <v/>
      </c>
      <c r="T71" s="214">
        <f>IF($AH71="","",IF(AND($E71&lt;&gt;"",$E71&lt;=EOMONTH(T$3,0),$F71&gt;=T$3),IF(AND($G71&lt;&gt;"",$G71&lt;=EOMONTH(T$3,0),$H71&gt;=T$3),"B","U"),IF(AND($G71&lt;&gt;"",$G71&lt;=EOMONTH(T$3,0),$H71&gt;=T$3),"D","")))</f>
        <v/>
      </c>
      <c r="U71" s="214">
        <f>IF($AH71="","",IF(AND($E71&lt;&gt;"",$E71&lt;=EOMONTH(U$3,0),$F71&gt;=U$3),IF(AND($G71&lt;&gt;"",$G71&lt;=EOMONTH(U$3,0),$H71&gt;=U$3),"B","U"),IF(AND($G71&lt;&gt;"",$G71&lt;=EOMONTH(U$3,0),$H71&gt;=U$3),"D","")))</f>
        <v/>
      </c>
      <c r="V71" s="214">
        <f>IF($AH71="","",IF(AND($E71&lt;&gt;"",$E71&lt;=EOMONTH(V$3,0),$F71&gt;=V$3),IF(AND($G71&lt;&gt;"",$G71&lt;=EOMONTH(V$3,0),$H71&gt;=V$3),"B","U"),IF(AND($G71&lt;&gt;"",$G71&lt;=EOMONTH(V$3,0),$H71&gt;=V$3),"D","")))</f>
        <v/>
      </c>
      <c r="W71" s="214">
        <f>IF($AH71="","",IF(AND($E71&lt;&gt;"",$E71&lt;=EOMONTH(W$3,0),$F71&gt;=W$3),IF(AND($G71&lt;&gt;"",$G71&lt;=EOMONTH(W$3,0),$H71&gt;=W$3),"B","U"),IF(AND($G71&lt;&gt;"",$G71&lt;=EOMONTH(W$3,0),$H71&gt;=W$3),"D","")))</f>
        <v/>
      </c>
      <c r="X71" s="214">
        <f>IF($AH71="","",IF(AND($E71&lt;&gt;"",$E71&lt;=EOMONTH(X$3,0),$F71&gt;=X$3),IF(AND($G71&lt;&gt;"",$G71&lt;=EOMONTH(X$3,0),$H71&gt;=X$3),"B","U"),IF(AND($G71&lt;&gt;"",$G71&lt;=EOMONTH(X$3,0),$H71&gt;=X$3),"D","")))</f>
        <v/>
      </c>
      <c r="Y71" s="214">
        <f>IF($AH71="","",IF(AND($E71&lt;&gt;"",$E71&lt;=EOMONTH(Y$3,0),$F71&gt;=Y$3),IF(AND($G71&lt;&gt;"",$G71&lt;=EOMONTH(Y$3,0),$H71&gt;=Y$3),"B","U"),IF(AND($G71&lt;&gt;"",$G71&lt;=EOMONTH(Y$3,0),$H71&gt;=Y$3),"D","")))</f>
        <v/>
      </c>
      <c r="Z71" s="214">
        <f>IF($AH71="","",IF(AND($E71&lt;&gt;"",$E71&lt;=EOMONTH(Z$3,0),$F71&gt;=Z$3),IF(AND($G71&lt;&gt;"",$G71&lt;=EOMONTH(Z$3,0),$H71&gt;=Z$3),"B","U"),IF(AND($G71&lt;&gt;"",$G71&lt;=EOMONTH(Z$3,0),$H71&gt;=Z$3),"D","")))</f>
        <v/>
      </c>
      <c r="AA71" s="214">
        <f>IF($AH71="","",IF(AND($E71&lt;&gt;"",$E71&lt;=EOMONTH(AA$3,0),$F71&gt;=AA$3),IF(AND($G71&lt;&gt;"",$G71&lt;=EOMONTH(AA$3,0),$H71&gt;=AA$3),"B","U"),IF(AND($G71&lt;&gt;"",$G71&lt;=EOMONTH(AA$3,0),$H71&gt;=AA$3),"D","")))</f>
        <v/>
      </c>
      <c r="AB71" s="214">
        <f>IF($AH71="","",IF(AND($E71&lt;&gt;"",$E71&lt;=EOMONTH(AB$3,0),$F71&gt;=AB$3),IF(AND($G71&lt;&gt;"",$G71&lt;=EOMONTH(AB$3,0),$H71&gt;=AB$3),"B","U"),IF(AND($G71&lt;&gt;"",$G71&lt;=EOMONTH(AB$3,0),$H71&gt;=AB$3),"D","")))</f>
        <v/>
      </c>
      <c r="AC71" s="214">
        <f>IF($AH71="","",IF(AND($E71&lt;&gt;"",$E71&lt;=EOMONTH(AC$3,0),$F71&gt;=AC$3),IF(AND($G71&lt;&gt;"",$G71&lt;=EOMONTH(AC$3,0),$H71&gt;=AC$3),"B","U"),IF(AND($G71&lt;&gt;"",$G71&lt;=EOMONTH(AC$3,0),$H71&gt;=AC$3),"D","")))</f>
        <v/>
      </c>
      <c r="AD71" s="214">
        <f>IF($AH71="","",IF(AND($E71&lt;&gt;"",$E71&lt;=EOMONTH(AD$3,0),$F71&gt;=AD$3),IF(AND($G71&lt;&gt;"",$G71&lt;=EOMONTH(AD$3,0),$H71&gt;=AD$3),"B","U"),IF(AND($G71&lt;&gt;"",$G71&lt;=EOMONTH(AD$3,0),$H71&gt;=AD$3),"D","")))</f>
        <v/>
      </c>
      <c r="AE71" s="214">
        <f>IF($AH71="","",IF(AND($E71&lt;&gt;"",$E71&lt;=EOMONTH(AE$3,0),$F71&gt;=AE$3),IF(AND($G71&lt;&gt;"",$G71&lt;=EOMONTH(AE$3,0),$H71&gt;=AE$3),"B","U"),IF(AND($G71&lt;&gt;"",$G71&lt;=EOMONTH(AE$3,0),$H71&gt;=AE$3),"D","")))</f>
        <v/>
      </c>
      <c r="AF71" s="214">
        <f>IF($AH71="","",IF(AND($E71&lt;&gt;"",$E71&lt;=EOMONTH(AF$3,0),$F71&gt;=AF$3),IF(AND($G71&lt;&gt;"",$G71&lt;=EOMONTH(AF$3,0),$H71&gt;=AF$3),"B","U"),IF(AND($G71&lt;&gt;"",$G71&lt;=EOMONTH(AF$3,0),$H71&gt;=AF$3),"D","")))</f>
        <v/>
      </c>
      <c r="AG71">
        <f>IF($AH71="","",INDEX('Roadmap Calc (Don’t Touch)'!$D$2:$D$205,$AH71))</f>
        <v/>
      </c>
      <c r="AH71">
        <f>IFERROR(MATCH(65,'Roadmap Calc (Don’t Touch)'!$O$2:$O$205,0),"")</f>
        <v/>
      </c>
    </row>
    <row r="72" ht="17" customHeight="1">
      <c r="A72" s="209">
        <f>IF($AH72="","",IF($AG72=$AG71,"",$AG72))</f>
        <v/>
      </c>
      <c r="B72" s="210">
        <f>IF($AH72="","",INDEX('Roadmap Calc (Don’t Touch)'!$B$2:$B$205,$AH72))</f>
        <v/>
      </c>
      <c r="C72" s="211">
        <f>IF($AH72="","",INDEX('Roadmap Calc (Don’t Touch)'!$E$2:$E$205,$AH72))</f>
        <v/>
      </c>
      <c r="D72" s="212">
        <f>IF($AH72="","",INDEX('Roadmap Calc (Don’t Touch)'!$F$2:$F$205,$AH72))</f>
        <v/>
      </c>
      <c r="E72" s="213">
        <f>IF($AH72="","",INDEX('Roadmap Calc (Don’t Touch)'!$G$2:$G$205,$AH72))</f>
        <v/>
      </c>
      <c r="F72" s="213">
        <f>IF($AH72="","",INDEX('Roadmap Calc (Don’t Touch)'!$H$2:$H$205,$AH72))</f>
        <v/>
      </c>
      <c r="G72" s="213">
        <f>IF($AH72="","",INDEX('Roadmap Calc (Don’t Touch)'!$I$2:$I$205,$AH72))</f>
        <v/>
      </c>
      <c r="H72" s="213">
        <f>IF($AH72="","",INDEX('Roadmap Calc (Don’t Touch)'!$J$2:$J$205,$AH72))</f>
        <v/>
      </c>
      <c r="I72" s="214">
        <f>IF($AH72="","",IF(AND($E72&lt;&gt;"",$E72&lt;=EOMONTH(I$3,0),$F72&gt;=I$3),IF(AND($G72&lt;&gt;"",$G72&lt;=EOMONTH(I$3,0),$H72&gt;=I$3),"B","U"),IF(AND($G72&lt;&gt;"",$G72&lt;=EOMONTH(I$3,0),$H72&gt;=I$3),"D","")))</f>
        <v/>
      </c>
      <c r="J72" s="214">
        <f>IF($AH72="","",IF(AND($E72&lt;&gt;"",$E72&lt;=EOMONTH(J$3,0),$F72&gt;=J$3),IF(AND($G72&lt;&gt;"",$G72&lt;=EOMONTH(J$3,0),$H72&gt;=J$3),"B","U"),IF(AND($G72&lt;&gt;"",$G72&lt;=EOMONTH(J$3,0),$H72&gt;=J$3),"D","")))</f>
        <v/>
      </c>
      <c r="K72" s="214">
        <f>IF($AH72="","",IF(AND($E72&lt;&gt;"",$E72&lt;=EOMONTH(K$3,0),$F72&gt;=K$3),IF(AND($G72&lt;&gt;"",$G72&lt;=EOMONTH(K$3,0),$H72&gt;=K$3),"B","U"),IF(AND($G72&lt;&gt;"",$G72&lt;=EOMONTH(K$3,0),$H72&gt;=K$3),"D","")))</f>
        <v/>
      </c>
      <c r="L72" s="214">
        <f>IF($AH72="","",IF(AND($E72&lt;&gt;"",$E72&lt;=EOMONTH(L$3,0),$F72&gt;=L$3),IF(AND($G72&lt;&gt;"",$G72&lt;=EOMONTH(L$3,0),$H72&gt;=L$3),"B","U"),IF(AND($G72&lt;&gt;"",$G72&lt;=EOMONTH(L$3,0),$H72&gt;=L$3),"D","")))</f>
        <v/>
      </c>
      <c r="M72" s="214">
        <f>IF($AH72="","",IF(AND($E72&lt;&gt;"",$E72&lt;=EOMONTH(M$3,0),$F72&gt;=M$3),IF(AND($G72&lt;&gt;"",$G72&lt;=EOMONTH(M$3,0),$H72&gt;=M$3),"B","U"),IF(AND($G72&lt;&gt;"",$G72&lt;=EOMONTH(M$3,0),$H72&gt;=M$3),"D","")))</f>
        <v/>
      </c>
      <c r="N72" s="214">
        <f>IF($AH72="","",IF(AND($E72&lt;&gt;"",$E72&lt;=EOMONTH(N$3,0),$F72&gt;=N$3),IF(AND($G72&lt;&gt;"",$G72&lt;=EOMONTH(N$3,0),$H72&gt;=N$3),"B","U"),IF(AND($G72&lt;&gt;"",$G72&lt;=EOMONTH(N$3,0),$H72&gt;=N$3),"D","")))</f>
        <v/>
      </c>
      <c r="O72" s="214">
        <f>IF($AH72="","",IF(AND($E72&lt;&gt;"",$E72&lt;=EOMONTH(O$3,0),$F72&gt;=O$3),IF(AND($G72&lt;&gt;"",$G72&lt;=EOMONTH(O$3,0),$H72&gt;=O$3),"B","U"),IF(AND($G72&lt;&gt;"",$G72&lt;=EOMONTH(O$3,0),$H72&gt;=O$3),"D","")))</f>
        <v/>
      </c>
      <c r="P72" s="214">
        <f>IF($AH72="","",IF(AND($E72&lt;&gt;"",$E72&lt;=EOMONTH(P$3,0),$F72&gt;=P$3),IF(AND($G72&lt;&gt;"",$G72&lt;=EOMONTH(P$3,0),$H72&gt;=P$3),"B","U"),IF(AND($G72&lt;&gt;"",$G72&lt;=EOMONTH(P$3,0),$H72&gt;=P$3),"D","")))</f>
        <v/>
      </c>
      <c r="Q72" s="214">
        <f>IF($AH72="","",IF(AND($E72&lt;&gt;"",$E72&lt;=EOMONTH(Q$3,0),$F72&gt;=Q$3),IF(AND($G72&lt;&gt;"",$G72&lt;=EOMONTH(Q$3,0),$H72&gt;=Q$3),"B","U"),IF(AND($G72&lt;&gt;"",$G72&lt;=EOMONTH(Q$3,0),$H72&gt;=Q$3),"D","")))</f>
        <v/>
      </c>
      <c r="R72" s="214">
        <f>IF($AH72="","",IF(AND($E72&lt;&gt;"",$E72&lt;=EOMONTH(R$3,0),$F72&gt;=R$3),IF(AND($G72&lt;&gt;"",$G72&lt;=EOMONTH(R$3,0),$H72&gt;=R$3),"B","U"),IF(AND($G72&lt;&gt;"",$G72&lt;=EOMONTH(R$3,0),$H72&gt;=R$3),"D","")))</f>
        <v/>
      </c>
      <c r="S72" s="214">
        <f>IF($AH72="","",IF(AND($E72&lt;&gt;"",$E72&lt;=EOMONTH(S$3,0),$F72&gt;=S$3),IF(AND($G72&lt;&gt;"",$G72&lt;=EOMONTH(S$3,0),$H72&gt;=S$3),"B","U"),IF(AND($G72&lt;&gt;"",$G72&lt;=EOMONTH(S$3,0),$H72&gt;=S$3),"D","")))</f>
        <v/>
      </c>
      <c r="T72" s="214">
        <f>IF($AH72="","",IF(AND($E72&lt;&gt;"",$E72&lt;=EOMONTH(T$3,0),$F72&gt;=T$3),IF(AND($G72&lt;&gt;"",$G72&lt;=EOMONTH(T$3,0),$H72&gt;=T$3),"B","U"),IF(AND($G72&lt;&gt;"",$G72&lt;=EOMONTH(T$3,0),$H72&gt;=T$3),"D","")))</f>
        <v/>
      </c>
      <c r="U72" s="214">
        <f>IF($AH72="","",IF(AND($E72&lt;&gt;"",$E72&lt;=EOMONTH(U$3,0),$F72&gt;=U$3),IF(AND($G72&lt;&gt;"",$G72&lt;=EOMONTH(U$3,0),$H72&gt;=U$3),"B","U"),IF(AND($G72&lt;&gt;"",$G72&lt;=EOMONTH(U$3,0),$H72&gt;=U$3),"D","")))</f>
        <v/>
      </c>
      <c r="V72" s="214">
        <f>IF($AH72="","",IF(AND($E72&lt;&gt;"",$E72&lt;=EOMONTH(V$3,0),$F72&gt;=V$3),IF(AND($G72&lt;&gt;"",$G72&lt;=EOMONTH(V$3,0),$H72&gt;=V$3),"B","U"),IF(AND($G72&lt;&gt;"",$G72&lt;=EOMONTH(V$3,0),$H72&gt;=V$3),"D","")))</f>
        <v/>
      </c>
      <c r="W72" s="214">
        <f>IF($AH72="","",IF(AND($E72&lt;&gt;"",$E72&lt;=EOMONTH(W$3,0),$F72&gt;=W$3),IF(AND($G72&lt;&gt;"",$G72&lt;=EOMONTH(W$3,0),$H72&gt;=W$3),"B","U"),IF(AND($G72&lt;&gt;"",$G72&lt;=EOMONTH(W$3,0),$H72&gt;=W$3),"D","")))</f>
        <v/>
      </c>
      <c r="X72" s="214">
        <f>IF($AH72="","",IF(AND($E72&lt;&gt;"",$E72&lt;=EOMONTH(X$3,0),$F72&gt;=X$3),IF(AND($G72&lt;&gt;"",$G72&lt;=EOMONTH(X$3,0),$H72&gt;=X$3),"B","U"),IF(AND($G72&lt;&gt;"",$G72&lt;=EOMONTH(X$3,0),$H72&gt;=X$3),"D","")))</f>
        <v/>
      </c>
      <c r="Y72" s="214">
        <f>IF($AH72="","",IF(AND($E72&lt;&gt;"",$E72&lt;=EOMONTH(Y$3,0),$F72&gt;=Y$3),IF(AND($G72&lt;&gt;"",$G72&lt;=EOMONTH(Y$3,0),$H72&gt;=Y$3),"B","U"),IF(AND($G72&lt;&gt;"",$G72&lt;=EOMONTH(Y$3,0),$H72&gt;=Y$3),"D","")))</f>
        <v/>
      </c>
      <c r="Z72" s="214">
        <f>IF($AH72="","",IF(AND($E72&lt;&gt;"",$E72&lt;=EOMONTH(Z$3,0),$F72&gt;=Z$3),IF(AND($G72&lt;&gt;"",$G72&lt;=EOMONTH(Z$3,0),$H72&gt;=Z$3),"B","U"),IF(AND($G72&lt;&gt;"",$G72&lt;=EOMONTH(Z$3,0),$H72&gt;=Z$3),"D","")))</f>
        <v/>
      </c>
      <c r="AA72" s="214">
        <f>IF($AH72="","",IF(AND($E72&lt;&gt;"",$E72&lt;=EOMONTH(AA$3,0),$F72&gt;=AA$3),IF(AND($G72&lt;&gt;"",$G72&lt;=EOMONTH(AA$3,0),$H72&gt;=AA$3),"B","U"),IF(AND($G72&lt;&gt;"",$G72&lt;=EOMONTH(AA$3,0),$H72&gt;=AA$3),"D","")))</f>
        <v/>
      </c>
      <c r="AB72" s="214">
        <f>IF($AH72="","",IF(AND($E72&lt;&gt;"",$E72&lt;=EOMONTH(AB$3,0),$F72&gt;=AB$3),IF(AND($G72&lt;&gt;"",$G72&lt;=EOMONTH(AB$3,0),$H72&gt;=AB$3),"B","U"),IF(AND($G72&lt;&gt;"",$G72&lt;=EOMONTH(AB$3,0),$H72&gt;=AB$3),"D","")))</f>
        <v/>
      </c>
      <c r="AC72" s="214">
        <f>IF($AH72="","",IF(AND($E72&lt;&gt;"",$E72&lt;=EOMONTH(AC$3,0),$F72&gt;=AC$3),IF(AND($G72&lt;&gt;"",$G72&lt;=EOMONTH(AC$3,0),$H72&gt;=AC$3),"B","U"),IF(AND($G72&lt;&gt;"",$G72&lt;=EOMONTH(AC$3,0),$H72&gt;=AC$3),"D","")))</f>
        <v/>
      </c>
      <c r="AD72" s="214">
        <f>IF($AH72="","",IF(AND($E72&lt;&gt;"",$E72&lt;=EOMONTH(AD$3,0),$F72&gt;=AD$3),IF(AND($G72&lt;&gt;"",$G72&lt;=EOMONTH(AD$3,0),$H72&gt;=AD$3),"B","U"),IF(AND($G72&lt;&gt;"",$G72&lt;=EOMONTH(AD$3,0),$H72&gt;=AD$3),"D","")))</f>
        <v/>
      </c>
      <c r="AE72" s="214">
        <f>IF($AH72="","",IF(AND($E72&lt;&gt;"",$E72&lt;=EOMONTH(AE$3,0),$F72&gt;=AE$3),IF(AND($G72&lt;&gt;"",$G72&lt;=EOMONTH(AE$3,0),$H72&gt;=AE$3),"B","U"),IF(AND($G72&lt;&gt;"",$G72&lt;=EOMONTH(AE$3,0),$H72&gt;=AE$3),"D","")))</f>
        <v/>
      </c>
      <c r="AF72" s="214">
        <f>IF($AH72="","",IF(AND($E72&lt;&gt;"",$E72&lt;=EOMONTH(AF$3,0),$F72&gt;=AF$3),IF(AND($G72&lt;&gt;"",$G72&lt;=EOMONTH(AF$3,0),$H72&gt;=AF$3),"B","U"),IF(AND($G72&lt;&gt;"",$G72&lt;=EOMONTH(AF$3,0),$H72&gt;=AF$3),"D","")))</f>
        <v/>
      </c>
      <c r="AG72">
        <f>IF($AH72="","",INDEX('Roadmap Calc (Don’t Touch)'!$D$2:$D$205,$AH72))</f>
        <v/>
      </c>
      <c r="AH72">
        <f>IFERROR(MATCH(66,'Roadmap Calc (Don’t Touch)'!$O$2:$O$205,0),"")</f>
        <v/>
      </c>
    </row>
    <row r="73" ht="17" customHeight="1">
      <c r="A73" s="209">
        <f>IF($AH73="","",IF($AG73=$AG72,"",$AG73))</f>
        <v/>
      </c>
      <c r="B73" s="210">
        <f>IF($AH73="","",INDEX('Roadmap Calc (Don’t Touch)'!$B$2:$B$205,$AH73))</f>
        <v/>
      </c>
      <c r="C73" s="211">
        <f>IF($AH73="","",INDEX('Roadmap Calc (Don’t Touch)'!$E$2:$E$205,$AH73))</f>
        <v/>
      </c>
      <c r="D73" s="212">
        <f>IF($AH73="","",INDEX('Roadmap Calc (Don’t Touch)'!$F$2:$F$205,$AH73))</f>
        <v/>
      </c>
      <c r="E73" s="213">
        <f>IF($AH73="","",INDEX('Roadmap Calc (Don’t Touch)'!$G$2:$G$205,$AH73))</f>
        <v/>
      </c>
      <c r="F73" s="213">
        <f>IF($AH73="","",INDEX('Roadmap Calc (Don’t Touch)'!$H$2:$H$205,$AH73))</f>
        <v/>
      </c>
      <c r="G73" s="213">
        <f>IF($AH73="","",INDEX('Roadmap Calc (Don’t Touch)'!$I$2:$I$205,$AH73))</f>
        <v/>
      </c>
      <c r="H73" s="213">
        <f>IF($AH73="","",INDEX('Roadmap Calc (Don’t Touch)'!$J$2:$J$205,$AH73))</f>
        <v/>
      </c>
      <c r="I73" s="214">
        <f>IF($AH73="","",IF(AND($E73&lt;&gt;"",$E73&lt;=EOMONTH(I$3,0),$F73&gt;=I$3),IF(AND($G73&lt;&gt;"",$G73&lt;=EOMONTH(I$3,0),$H73&gt;=I$3),"B","U"),IF(AND($G73&lt;&gt;"",$G73&lt;=EOMONTH(I$3,0),$H73&gt;=I$3),"D","")))</f>
        <v/>
      </c>
      <c r="J73" s="214">
        <f>IF($AH73="","",IF(AND($E73&lt;&gt;"",$E73&lt;=EOMONTH(J$3,0),$F73&gt;=J$3),IF(AND($G73&lt;&gt;"",$G73&lt;=EOMONTH(J$3,0),$H73&gt;=J$3),"B","U"),IF(AND($G73&lt;&gt;"",$G73&lt;=EOMONTH(J$3,0),$H73&gt;=J$3),"D","")))</f>
        <v/>
      </c>
      <c r="K73" s="214">
        <f>IF($AH73="","",IF(AND($E73&lt;&gt;"",$E73&lt;=EOMONTH(K$3,0),$F73&gt;=K$3),IF(AND($G73&lt;&gt;"",$G73&lt;=EOMONTH(K$3,0),$H73&gt;=K$3),"B","U"),IF(AND($G73&lt;&gt;"",$G73&lt;=EOMONTH(K$3,0),$H73&gt;=K$3),"D","")))</f>
        <v/>
      </c>
      <c r="L73" s="214">
        <f>IF($AH73="","",IF(AND($E73&lt;&gt;"",$E73&lt;=EOMONTH(L$3,0),$F73&gt;=L$3),IF(AND($G73&lt;&gt;"",$G73&lt;=EOMONTH(L$3,0),$H73&gt;=L$3),"B","U"),IF(AND($G73&lt;&gt;"",$G73&lt;=EOMONTH(L$3,0),$H73&gt;=L$3),"D","")))</f>
        <v/>
      </c>
      <c r="M73" s="214">
        <f>IF($AH73="","",IF(AND($E73&lt;&gt;"",$E73&lt;=EOMONTH(M$3,0),$F73&gt;=M$3),IF(AND($G73&lt;&gt;"",$G73&lt;=EOMONTH(M$3,0),$H73&gt;=M$3),"B","U"),IF(AND($G73&lt;&gt;"",$G73&lt;=EOMONTH(M$3,0),$H73&gt;=M$3),"D","")))</f>
        <v/>
      </c>
      <c r="N73" s="214">
        <f>IF($AH73="","",IF(AND($E73&lt;&gt;"",$E73&lt;=EOMONTH(N$3,0),$F73&gt;=N$3),IF(AND($G73&lt;&gt;"",$G73&lt;=EOMONTH(N$3,0),$H73&gt;=N$3),"B","U"),IF(AND($G73&lt;&gt;"",$G73&lt;=EOMONTH(N$3,0),$H73&gt;=N$3),"D","")))</f>
        <v/>
      </c>
      <c r="O73" s="214">
        <f>IF($AH73="","",IF(AND($E73&lt;&gt;"",$E73&lt;=EOMONTH(O$3,0),$F73&gt;=O$3),IF(AND($G73&lt;&gt;"",$G73&lt;=EOMONTH(O$3,0),$H73&gt;=O$3),"B","U"),IF(AND($G73&lt;&gt;"",$G73&lt;=EOMONTH(O$3,0),$H73&gt;=O$3),"D","")))</f>
        <v/>
      </c>
      <c r="P73" s="214">
        <f>IF($AH73="","",IF(AND($E73&lt;&gt;"",$E73&lt;=EOMONTH(P$3,0),$F73&gt;=P$3),IF(AND($G73&lt;&gt;"",$G73&lt;=EOMONTH(P$3,0),$H73&gt;=P$3),"B","U"),IF(AND($G73&lt;&gt;"",$G73&lt;=EOMONTH(P$3,0),$H73&gt;=P$3),"D","")))</f>
        <v/>
      </c>
      <c r="Q73" s="214">
        <f>IF($AH73="","",IF(AND($E73&lt;&gt;"",$E73&lt;=EOMONTH(Q$3,0),$F73&gt;=Q$3),IF(AND($G73&lt;&gt;"",$G73&lt;=EOMONTH(Q$3,0),$H73&gt;=Q$3),"B","U"),IF(AND($G73&lt;&gt;"",$G73&lt;=EOMONTH(Q$3,0),$H73&gt;=Q$3),"D","")))</f>
        <v/>
      </c>
      <c r="R73" s="214">
        <f>IF($AH73="","",IF(AND($E73&lt;&gt;"",$E73&lt;=EOMONTH(R$3,0),$F73&gt;=R$3),IF(AND($G73&lt;&gt;"",$G73&lt;=EOMONTH(R$3,0),$H73&gt;=R$3),"B","U"),IF(AND($G73&lt;&gt;"",$G73&lt;=EOMONTH(R$3,0),$H73&gt;=R$3),"D","")))</f>
        <v/>
      </c>
      <c r="S73" s="214">
        <f>IF($AH73="","",IF(AND($E73&lt;&gt;"",$E73&lt;=EOMONTH(S$3,0),$F73&gt;=S$3),IF(AND($G73&lt;&gt;"",$G73&lt;=EOMONTH(S$3,0),$H73&gt;=S$3),"B","U"),IF(AND($G73&lt;&gt;"",$G73&lt;=EOMONTH(S$3,0),$H73&gt;=S$3),"D","")))</f>
        <v/>
      </c>
      <c r="T73" s="214">
        <f>IF($AH73="","",IF(AND($E73&lt;&gt;"",$E73&lt;=EOMONTH(T$3,0),$F73&gt;=T$3),IF(AND($G73&lt;&gt;"",$G73&lt;=EOMONTH(T$3,0),$H73&gt;=T$3),"B","U"),IF(AND($G73&lt;&gt;"",$G73&lt;=EOMONTH(T$3,0),$H73&gt;=T$3),"D","")))</f>
        <v/>
      </c>
      <c r="U73" s="214">
        <f>IF($AH73="","",IF(AND($E73&lt;&gt;"",$E73&lt;=EOMONTH(U$3,0),$F73&gt;=U$3),IF(AND($G73&lt;&gt;"",$G73&lt;=EOMONTH(U$3,0),$H73&gt;=U$3),"B","U"),IF(AND($G73&lt;&gt;"",$G73&lt;=EOMONTH(U$3,0),$H73&gt;=U$3),"D","")))</f>
        <v/>
      </c>
      <c r="V73" s="214">
        <f>IF($AH73="","",IF(AND($E73&lt;&gt;"",$E73&lt;=EOMONTH(V$3,0),$F73&gt;=V$3),IF(AND($G73&lt;&gt;"",$G73&lt;=EOMONTH(V$3,0),$H73&gt;=V$3),"B","U"),IF(AND($G73&lt;&gt;"",$G73&lt;=EOMONTH(V$3,0),$H73&gt;=V$3),"D","")))</f>
        <v/>
      </c>
      <c r="W73" s="214">
        <f>IF($AH73="","",IF(AND($E73&lt;&gt;"",$E73&lt;=EOMONTH(W$3,0),$F73&gt;=W$3),IF(AND($G73&lt;&gt;"",$G73&lt;=EOMONTH(W$3,0),$H73&gt;=W$3),"B","U"),IF(AND($G73&lt;&gt;"",$G73&lt;=EOMONTH(W$3,0),$H73&gt;=W$3),"D","")))</f>
        <v/>
      </c>
      <c r="X73" s="214">
        <f>IF($AH73="","",IF(AND($E73&lt;&gt;"",$E73&lt;=EOMONTH(X$3,0),$F73&gt;=X$3),IF(AND($G73&lt;&gt;"",$G73&lt;=EOMONTH(X$3,0),$H73&gt;=X$3),"B","U"),IF(AND($G73&lt;&gt;"",$G73&lt;=EOMONTH(X$3,0),$H73&gt;=X$3),"D","")))</f>
        <v/>
      </c>
      <c r="Y73" s="214">
        <f>IF($AH73="","",IF(AND($E73&lt;&gt;"",$E73&lt;=EOMONTH(Y$3,0),$F73&gt;=Y$3),IF(AND($G73&lt;&gt;"",$G73&lt;=EOMONTH(Y$3,0),$H73&gt;=Y$3),"B","U"),IF(AND($G73&lt;&gt;"",$G73&lt;=EOMONTH(Y$3,0),$H73&gt;=Y$3),"D","")))</f>
        <v/>
      </c>
      <c r="Z73" s="214">
        <f>IF($AH73="","",IF(AND($E73&lt;&gt;"",$E73&lt;=EOMONTH(Z$3,0),$F73&gt;=Z$3),IF(AND($G73&lt;&gt;"",$G73&lt;=EOMONTH(Z$3,0),$H73&gt;=Z$3),"B","U"),IF(AND($G73&lt;&gt;"",$G73&lt;=EOMONTH(Z$3,0),$H73&gt;=Z$3),"D","")))</f>
        <v/>
      </c>
      <c r="AA73" s="214">
        <f>IF($AH73="","",IF(AND($E73&lt;&gt;"",$E73&lt;=EOMONTH(AA$3,0),$F73&gt;=AA$3),IF(AND($G73&lt;&gt;"",$G73&lt;=EOMONTH(AA$3,0),$H73&gt;=AA$3),"B","U"),IF(AND($G73&lt;&gt;"",$G73&lt;=EOMONTH(AA$3,0),$H73&gt;=AA$3),"D","")))</f>
        <v/>
      </c>
      <c r="AB73" s="214">
        <f>IF($AH73="","",IF(AND($E73&lt;&gt;"",$E73&lt;=EOMONTH(AB$3,0),$F73&gt;=AB$3),IF(AND($G73&lt;&gt;"",$G73&lt;=EOMONTH(AB$3,0),$H73&gt;=AB$3),"B","U"),IF(AND($G73&lt;&gt;"",$G73&lt;=EOMONTH(AB$3,0),$H73&gt;=AB$3),"D","")))</f>
        <v/>
      </c>
      <c r="AC73" s="214">
        <f>IF($AH73="","",IF(AND($E73&lt;&gt;"",$E73&lt;=EOMONTH(AC$3,0),$F73&gt;=AC$3),IF(AND($G73&lt;&gt;"",$G73&lt;=EOMONTH(AC$3,0),$H73&gt;=AC$3),"B","U"),IF(AND($G73&lt;&gt;"",$G73&lt;=EOMONTH(AC$3,0),$H73&gt;=AC$3),"D","")))</f>
        <v/>
      </c>
      <c r="AD73" s="214">
        <f>IF($AH73="","",IF(AND($E73&lt;&gt;"",$E73&lt;=EOMONTH(AD$3,0),$F73&gt;=AD$3),IF(AND($G73&lt;&gt;"",$G73&lt;=EOMONTH(AD$3,0),$H73&gt;=AD$3),"B","U"),IF(AND($G73&lt;&gt;"",$G73&lt;=EOMONTH(AD$3,0),$H73&gt;=AD$3),"D","")))</f>
        <v/>
      </c>
      <c r="AE73" s="214">
        <f>IF($AH73="","",IF(AND($E73&lt;&gt;"",$E73&lt;=EOMONTH(AE$3,0),$F73&gt;=AE$3),IF(AND($G73&lt;&gt;"",$G73&lt;=EOMONTH(AE$3,0),$H73&gt;=AE$3),"B","U"),IF(AND($G73&lt;&gt;"",$G73&lt;=EOMONTH(AE$3,0),$H73&gt;=AE$3),"D","")))</f>
        <v/>
      </c>
      <c r="AF73" s="214">
        <f>IF($AH73="","",IF(AND($E73&lt;&gt;"",$E73&lt;=EOMONTH(AF$3,0),$F73&gt;=AF$3),IF(AND($G73&lt;&gt;"",$G73&lt;=EOMONTH(AF$3,0),$H73&gt;=AF$3),"B","U"),IF(AND($G73&lt;&gt;"",$G73&lt;=EOMONTH(AF$3,0),$H73&gt;=AF$3),"D","")))</f>
        <v/>
      </c>
      <c r="AG73">
        <f>IF($AH73="","",INDEX('Roadmap Calc (Don’t Touch)'!$D$2:$D$205,$AH73))</f>
        <v/>
      </c>
      <c r="AH73">
        <f>IFERROR(MATCH(67,'Roadmap Calc (Don’t Touch)'!$O$2:$O$205,0),"")</f>
        <v/>
      </c>
    </row>
    <row r="74" ht="17" customHeight="1">
      <c r="A74" s="209">
        <f>IF($AH74="","",IF($AG74=$AG73,"",$AG74))</f>
        <v/>
      </c>
      <c r="B74" s="210">
        <f>IF($AH74="","",INDEX('Roadmap Calc (Don’t Touch)'!$B$2:$B$205,$AH74))</f>
        <v/>
      </c>
      <c r="C74" s="211">
        <f>IF($AH74="","",INDEX('Roadmap Calc (Don’t Touch)'!$E$2:$E$205,$AH74))</f>
        <v/>
      </c>
      <c r="D74" s="212">
        <f>IF($AH74="","",INDEX('Roadmap Calc (Don’t Touch)'!$F$2:$F$205,$AH74))</f>
        <v/>
      </c>
      <c r="E74" s="213">
        <f>IF($AH74="","",INDEX('Roadmap Calc (Don’t Touch)'!$G$2:$G$205,$AH74))</f>
        <v/>
      </c>
      <c r="F74" s="213">
        <f>IF($AH74="","",INDEX('Roadmap Calc (Don’t Touch)'!$H$2:$H$205,$AH74))</f>
        <v/>
      </c>
      <c r="G74" s="213">
        <f>IF($AH74="","",INDEX('Roadmap Calc (Don’t Touch)'!$I$2:$I$205,$AH74))</f>
        <v/>
      </c>
      <c r="H74" s="213">
        <f>IF($AH74="","",INDEX('Roadmap Calc (Don’t Touch)'!$J$2:$J$205,$AH74))</f>
        <v/>
      </c>
      <c r="I74" s="214">
        <f>IF($AH74="","",IF(AND($E74&lt;&gt;"",$E74&lt;=EOMONTH(I$3,0),$F74&gt;=I$3),IF(AND($G74&lt;&gt;"",$G74&lt;=EOMONTH(I$3,0),$H74&gt;=I$3),"B","U"),IF(AND($G74&lt;&gt;"",$G74&lt;=EOMONTH(I$3,0),$H74&gt;=I$3),"D","")))</f>
        <v/>
      </c>
      <c r="J74" s="214">
        <f>IF($AH74="","",IF(AND($E74&lt;&gt;"",$E74&lt;=EOMONTH(J$3,0),$F74&gt;=J$3),IF(AND($G74&lt;&gt;"",$G74&lt;=EOMONTH(J$3,0),$H74&gt;=J$3),"B","U"),IF(AND($G74&lt;&gt;"",$G74&lt;=EOMONTH(J$3,0),$H74&gt;=J$3),"D","")))</f>
        <v/>
      </c>
      <c r="K74" s="214">
        <f>IF($AH74="","",IF(AND($E74&lt;&gt;"",$E74&lt;=EOMONTH(K$3,0),$F74&gt;=K$3),IF(AND($G74&lt;&gt;"",$G74&lt;=EOMONTH(K$3,0),$H74&gt;=K$3),"B","U"),IF(AND($G74&lt;&gt;"",$G74&lt;=EOMONTH(K$3,0),$H74&gt;=K$3),"D","")))</f>
        <v/>
      </c>
      <c r="L74" s="214">
        <f>IF($AH74="","",IF(AND($E74&lt;&gt;"",$E74&lt;=EOMONTH(L$3,0),$F74&gt;=L$3),IF(AND($G74&lt;&gt;"",$G74&lt;=EOMONTH(L$3,0),$H74&gt;=L$3),"B","U"),IF(AND($G74&lt;&gt;"",$G74&lt;=EOMONTH(L$3,0),$H74&gt;=L$3),"D","")))</f>
        <v/>
      </c>
      <c r="M74" s="214">
        <f>IF($AH74="","",IF(AND($E74&lt;&gt;"",$E74&lt;=EOMONTH(M$3,0),$F74&gt;=M$3),IF(AND($G74&lt;&gt;"",$G74&lt;=EOMONTH(M$3,0),$H74&gt;=M$3),"B","U"),IF(AND($G74&lt;&gt;"",$G74&lt;=EOMONTH(M$3,0),$H74&gt;=M$3),"D","")))</f>
        <v/>
      </c>
      <c r="N74" s="214">
        <f>IF($AH74="","",IF(AND($E74&lt;&gt;"",$E74&lt;=EOMONTH(N$3,0),$F74&gt;=N$3),IF(AND($G74&lt;&gt;"",$G74&lt;=EOMONTH(N$3,0),$H74&gt;=N$3),"B","U"),IF(AND($G74&lt;&gt;"",$G74&lt;=EOMONTH(N$3,0),$H74&gt;=N$3),"D","")))</f>
        <v/>
      </c>
      <c r="O74" s="214">
        <f>IF($AH74="","",IF(AND($E74&lt;&gt;"",$E74&lt;=EOMONTH(O$3,0),$F74&gt;=O$3),IF(AND($G74&lt;&gt;"",$G74&lt;=EOMONTH(O$3,0),$H74&gt;=O$3),"B","U"),IF(AND($G74&lt;&gt;"",$G74&lt;=EOMONTH(O$3,0),$H74&gt;=O$3),"D","")))</f>
        <v/>
      </c>
      <c r="P74" s="214">
        <f>IF($AH74="","",IF(AND($E74&lt;&gt;"",$E74&lt;=EOMONTH(P$3,0),$F74&gt;=P$3),IF(AND($G74&lt;&gt;"",$G74&lt;=EOMONTH(P$3,0),$H74&gt;=P$3),"B","U"),IF(AND($G74&lt;&gt;"",$G74&lt;=EOMONTH(P$3,0),$H74&gt;=P$3),"D","")))</f>
        <v/>
      </c>
      <c r="Q74" s="214">
        <f>IF($AH74="","",IF(AND($E74&lt;&gt;"",$E74&lt;=EOMONTH(Q$3,0),$F74&gt;=Q$3),IF(AND($G74&lt;&gt;"",$G74&lt;=EOMONTH(Q$3,0),$H74&gt;=Q$3),"B","U"),IF(AND($G74&lt;&gt;"",$G74&lt;=EOMONTH(Q$3,0),$H74&gt;=Q$3),"D","")))</f>
        <v/>
      </c>
      <c r="R74" s="214">
        <f>IF($AH74="","",IF(AND($E74&lt;&gt;"",$E74&lt;=EOMONTH(R$3,0),$F74&gt;=R$3),IF(AND($G74&lt;&gt;"",$G74&lt;=EOMONTH(R$3,0),$H74&gt;=R$3),"B","U"),IF(AND($G74&lt;&gt;"",$G74&lt;=EOMONTH(R$3,0),$H74&gt;=R$3),"D","")))</f>
        <v/>
      </c>
      <c r="S74" s="214">
        <f>IF($AH74="","",IF(AND($E74&lt;&gt;"",$E74&lt;=EOMONTH(S$3,0),$F74&gt;=S$3),IF(AND($G74&lt;&gt;"",$G74&lt;=EOMONTH(S$3,0),$H74&gt;=S$3),"B","U"),IF(AND($G74&lt;&gt;"",$G74&lt;=EOMONTH(S$3,0),$H74&gt;=S$3),"D","")))</f>
        <v/>
      </c>
      <c r="T74" s="214">
        <f>IF($AH74="","",IF(AND($E74&lt;&gt;"",$E74&lt;=EOMONTH(T$3,0),$F74&gt;=T$3),IF(AND($G74&lt;&gt;"",$G74&lt;=EOMONTH(T$3,0),$H74&gt;=T$3),"B","U"),IF(AND($G74&lt;&gt;"",$G74&lt;=EOMONTH(T$3,0),$H74&gt;=T$3),"D","")))</f>
        <v/>
      </c>
      <c r="U74" s="214">
        <f>IF($AH74="","",IF(AND($E74&lt;&gt;"",$E74&lt;=EOMONTH(U$3,0),$F74&gt;=U$3),IF(AND($G74&lt;&gt;"",$G74&lt;=EOMONTH(U$3,0),$H74&gt;=U$3),"B","U"),IF(AND($G74&lt;&gt;"",$G74&lt;=EOMONTH(U$3,0),$H74&gt;=U$3),"D","")))</f>
        <v/>
      </c>
      <c r="V74" s="214">
        <f>IF($AH74="","",IF(AND($E74&lt;&gt;"",$E74&lt;=EOMONTH(V$3,0),$F74&gt;=V$3),IF(AND($G74&lt;&gt;"",$G74&lt;=EOMONTH(V$3,0),$H74&gt;=V$3),"B","U"),IF(AND($G74&lt;&gt;"",$G74&lt;=EOMONTH(V$3,0),$H74&gt;=V$3),"D","")))</f>
        <v/>
      </c>
      <c r="W74" s="214">
        <f>IF($AH74="","",IF(AND($E74&lt;&gt;"",$E74&lt;=EOMONTH(W$3,0),$F74&gt;=W$3),IF(AND($G74&lt;&gt;"",$G74&lt;=EOMONTH(W$3,0),$H74&gt;=W$3),"B","U"),IF(AND($G74&lt;&gt;"",$G74&lt;=EOMONTH(W$3,0),$H74&gt;=W$3),"D","")))</f>
        <v/>
      </c>
      <c r="X74" s="214">
        <f>IF($AH74="","",IF(AND($E74&lt;&gt;"",$E74&lt;=EOMONTH(X$3,0),$F74&gt;=X$3),IF(AND($G74&lt;&gt;"",$G74&lt;=EOMONTH(X$3,0),$H74&gt;=X$3),"B","U"),IF(AND($G74&lt;&gt;"",$G74&lt;=EOMONTH(X$3,0),$H74&gt;=X$3),"D","")))</f>
        <v/>
      </c>
      <c r="Y74" s="214">
        <f>IF($AH74="","",IF(AND($E74&lt;&gt;"",$E74&lt;=EOMONTH(Y$3,0),$F74&gt;=Y$3),IF(AND($G74&lt;&gt;"",$G74&lt;=EOMONTH(Y$3,0),$H74&gt;=Y$3),"B","U"),IF(AND($G74&lt;&gt;"",$G74&lt;=EOMONTH(Y$3,0),$H74&gt;=Y$3),"D","")))</f>
        <v/>
      </c>
      <c r="Z74" s="214">
        <f>IF($AH74="","",IF(AND($E74&lt;&gt;"",$E74&lt;=EOMONTH(Z$3,0),$F74&gt;=Z$3),IF(AND($G74&lt;&gt;"",$G74&lt;=EOMONTH(Z$3,0),$H74&gt;=Z$3),"B","U"),IF(AND($G74&lt;&gt;"",$G74&lt;=EOMONTH(Z$3,0),$H74&gt;=Z$3),"D","")))</f>
        <v/>
      </c>
      <c r="AA74" s="214">
        <f>IF($AH74="","",IF(AND($E74&lt;&gt;"",$E74&lt;=EOMONTH(AA$3,0),$F74&gt;=AA$3),IF(AND($G74&lt;&gt;"",$G74&lt;=EOMONTH(AA$3,0),$H74&gt;=AA$3),"B","U"),IF(AND($G74&lt;&gt;"",$G74&lt;=EOMONTH(AA$3,0),$H74&gt;=AA$3),"D","")))</f>
        <v/>
      </c>
      <c r="AB74" s="214">
        <f>IF($AH74="","",IF(AND($E74&lt;&gt;"",$E74&lt;=EOMONTH(AB$3,0),$F74&gt;=AB$3),IF(AND($G74&lt;&gt;"",$G74&lt;=EOMONTH(AB$3,0),$H74&gt;=AB$3),"B","U"),IF(AND($G74&lt;&gt;"",$G74&lt;=EOMONTH(AB$3,0),$H74&gt;=AB$3),"D","")))</f>
        <v/>
      </c>
      <c r="AC74" s="214">
        <f>IF($AH74="","",IF(AND($E74&lt;&gt;"",$E74&lt;=EOMONTH(AC$3,0),$F74&gt;=AC$3),IF(AND($G74&lt;&gt;"",$G74&lt;=EOMONTH(AC$3,0),$H74&gt;=AC$3),"B","U"),IF(AND($G74&lt;&gt;"",$G74&lt;=EOMONTH(AC$3,0),$H74&gt;=AC$3),"D","")))</f>
        <v/>
      </c>
      <c r="AD74" s="214">
        <f>IF($AH74="","",IF(AND($E74&lt;&gt;"",$E74&lt;=EOMONTH(AD$3,0),$F74&gt;=AD$3),IF(AND($G74&lt;&gt;"",$G74&lt;=EOMONTH(AD$3,0),$H74&gt;=AD$3),"B","U"),IF(AND($G74&lt;&gt;"",$G74&lt;=EOMONTH(AD$3,0),$H74&gt;=AD$3),"D","")))</f>
        <v/>
      </c>
      <c r="AE74" s="214">
        <f>IF($AH74="","",IF(AND($E74&lt;&gt;"",$E74&lt;=EOMONTH(AE$3,0),$F74&gt;=AE$3),IF(AND($G74&lt;&gt;"",$G74&lt;=EOMONTH(AE$3,0),$H74&gt;=AE$3),"B","U"),IF(AND($G74&lt;&gt;"",$G74&lt;=EOMONTH(AE$3,0),$H74&gt;=AE$3),"D","")))</f>
        <v/>
      </c>
      <c r="AF74" s="214">
        <f>IF($AH74="","",IF(AND($E74&lt;&gt;"",$E74&lt;=EOMONTH(AF$3,0),$F74&gt;=AF$3),IF(AND($G74&lt;&gt;"",$G74&lt;=EOMONTH(AF$3,0),$H74&gt;=AF$3),"B","U"),IF(AND($G74&lt;&gt;"",$G74&lt;=EOMONTH(AF$3,0),$H74&gt;=AF$3),"D","")))</f>
        <v/>
      </c>
      <c r="AG74">
        <f>IF($AH74="","",INDEX('Roadmap Calc (Don’t Touch)'!$D$2:$D$205,$AH74))</f>
        <v/>
      </c>
      <c r="AH74">
        <f>IFERROR(MATCH(68,'Roadmap Calc (Don’t Touch)'!$O$2:$O$205,0),"")</f>
        <v/>
      </c>
    </row>
    <row r="75" ht="17" customHeight="1">
      <c r="A75" s="209">
        <f>IF($AH75="","",IF($AG75=$AG74,"",$AG75))</f>
        <v/>
      </c>
      <c r="B75" s="210">
        <f>IF($AH75="","",INDEX('Roadmap Calc (Don’t Touch)'!$B$2:$B$205,$AH75))</f>
        <v/>
      </c>
      <c r="C75" s="211">
        <f>IF($AH75="","",INDEX('Roadmap Calc (Don’t Touch)'!$E$2:$E$205,$AH75))</f>
        <v/>
      </c>
      <c r="D75" s="212">
        <f>IF($AH75="","",INDEX('Roadmap Calc (Don’t Touch)'!$F$2:$F$205,$AH75))</f>
        <v/>
      </c>
      <c r="E75" s="213">
        <f>IF($AH75="","",INDEX('Roadmap Calc (Don’t Touch)'!$G$2:$G$205,$AH75))</f>
        <v/>
      </c>
      <c r="F75" s="213">
        <f>IF($AH75="","",INDEX('Roadmap Calc (Don’t Touch)'!$H$2:$H$205,$AH75))</f>
        <v/>
      </c>
      <c r="G75" s="213">
        <f>IF($AH75="","",INDEX('Roadmap Calc (Don’t Touch)'!$I$2:$I$205,$AH75))</f>
        <v/>
      </c>
      <c r="H75" s="213">
        <f>IF($AH75="","",INDEX('Roadmap Calc (Don’t Touch)'!$J$2:$J$205,$AH75))</f>
        <v/>
      </c>
      <c r="I75" s="214">
        <f>IF($AH75="","",IF(AND($E75&lt;&gt;"",$E75&lt;=EOMONTH(I$3,0),$F75&gt;=I$3),IF(AND($G75&lt;&gt;"",$G75&lt;=EOMONTH(I$3,0),$H75&gt;=I$3),"B","U"),IF(AND($G75&lt;&gt;"",$G75&lt;=EOMONTH(I$3,0),$H75&gt;=I$3),"D","")))</f>
        <v/>
      </c>
      <c r="J75" s="214">
        <f>IF($AH75="","",IF(AND($E75&lt;&gt;"",$E75&lt;=EOMONTH(J$3,0),$F75&gt;=J$3),IF(AND($G75&lt;&gt;"",$G75&lt;=EOMONTH(J$3,0),$H75&gt;=J$3),"B","U"),IF(AND($G75&lt;&gt;"",$G75&lt;=EOMONTH(J$3,0),$H75&gt;=J$3),"D","")))</f>
        <v/>
      </c>
      <c r="K75" s="214">
        <f>IF($AH75="","",IF(AND($E75&lt;&gt;"",$E75&lt;=EOMONTH(K$3,0),$F75&gt;=K$3),IF(AND($G75&lt;&gt;"",$G75&lt;=EOMONTH(K$3,0),$H75&gt;=K$3),"B","U"),IF(AND($G75&lt;&gt;"",$G75&lt;=EOMONTH(K$3,0),$H75&gt;=K$3),"D","")))</f>
        <v/>
      </c>
      <c r="L75" s="214">
        <f>IF($AH75="","",IF(AND($E75&lt;&gt;"",$E75&lt;=EOMONTH(L$3,0),$F75&gt;=L$3),IF(AND($G75&lt;&gt;"",$G75&lt;=EOMONTH(L$3,0),$H75&gt;=L$3),"B","U"),IF(AND($G75&lt;&gt;"",$G75&lt;=EOMONTH(L$3,0),$H75&gt;=L$3),"D","")))</f>
        <v/>
      </c>
      <c r="M75" s="214">
        <f>IF($AH75="","",IF(AND($E75&lt;&gt;"",$E75&lt;=EOMONTH(M$3,0),$F75&gt;=M$3),IF(AND($G75&lt;&gt;"",$G75&lt;=EOMONTH(M$3,0),$H75&gt;=M$3),"B","U"),IF(AND($G75&lt;&gt;"",$G75&lt;=EOMONTH(M$3,0),$H75&gt;=M$3),"D","")))</f>
        <v/>
      </c>
      <c r="N75" s="214">
        <f>IF($AH75="","",IF(AND($E75&lt;&gt;"",$E75&lt;=EOMONTH(N$3,0),$F75&gt;=N$3),IF(AND($G75&lt;&gt;"",$G75&lt;=EOMONTH(N$3,0),$H75&gt;=N$3),"B","U"),IF(AND($G75&lt;&gt;"",$G75&lt;=EOMONTH(N$3,0),$H75&gt;=N$3),"D","")))</f>
        <v/>
      </c>
      <c r="O75" s="214">
        <f>IF($AH75="","",IF(AND($E75&lt;&gt;"",$E75&lt;=EOMONTH(O$3,0),$F75&gt;=O$3),IF(AND($G75&lt;&gt;"",$G75&lt;=EOMONTH(O$3,0),$H75&gt;=O$3),"B","U"),IF(AND($G75&lt;&gt;"",$G75&lt;=EOMONTH(O$3,0),$H75&gt;=O$3),"D","")))</f>
        <v/>
      </c>
      <c r="P75" s="214">
        <f>IF($AH75="","",IF(AND($E75&lt;&gt;"",$E75&lt;=EOMONTH(P$3,0),$F75&gt;=P$3),IF(AND($G75&lt;&gt;"",$G75&lt;=EOMONTH(P$3,0),$H75&gt;=P$3),"B","U"),IF(AND($G75&lt;&gt;"",$G75&lt;=EOMONTH(P$3,0),$H75&gt;=P$3),"D","")))</f>
        <v/>
      </c>
      <c r="Q75" s="214">
        <f>IF($AH75="","",IF(AND($E75&lt;&gt;"",$E75&lt;=EOMONTH(Q$3,0),$F75&gt;=Q$3),IF(AND($G75&lt;&gt;"",$G75&lt;=EOMONTH(Q$3,0),$H75&gt;=Q$3),"B","U"),IF(AND($G75&lt;&gt;"",$G75&lt;=EOMONTH(Q$3,0),$H75&gt;=Q$3),"D","")))</f>
        <v/>
      </c>
      <c r="R75" s="214">
        <f>IF($AH75="","",IF(AND($E75&lt;&gt;"",$E75&lt;=EOMONTH(R$3,0),$F75&gt;=R$3),IF(AND($G75&lt;&gt;"",$G75&lt;=EOMONTH(R$3,0),$H75&gt;=R$3),"B","U"),IF(AND($G75&lt;&gt;"",$G75&lt;=EOMONTH(R$3,0),$H75&gt;=R$3),"D","")))</f>
        <v/>
      </c>
      <c r="S75" s="214">
        <f>IF($AH75="","",IF(AND($E75&lt;&gt;"",$E75&lt;=EOMONTH(S$3,0),$F75&gt;=S$3),IF(AND($G75&lt;&gt;"",$G75&lt;=EOMONTH(S$3,0),$H75&gt;=S$3),"B","U"),IF(AND($G75&lt;&gt;"",$G75&lt;=EOMONTH(S$3,0),$H75&gt;=S$3),"D","")))</f>
        <v/>
      </c>
      <c r="T75" s="214">
        <f>IF($AH75="","",IF(AND($E75&lt;&gt;"",$E75&lt;=EOMONTH(T$3,0),$F75&gt;=T$3),IF(AND($G75&lt;&gt;"",$G75&lt;=EOMONTH(T$3,0),$H75&gt;=T$3),"B","U"),IF(AND($G75&lt;&gt;"",$G75&lt;=EOMONTH(T$3,0),$H75&gt;=T$3),"D","")))</f>
        <v/>
      </c>
      <c r="U75" s="214">
        <f>IF($AH75="","",IF(AND($E75&lt;&gt;"",$E75&lt;=EOMONTH(U$3,0),$F75&gt;=U$3),IF(AND($G75&lt;&gt;"",$G75&lt;=EOMONTH(U$3,0),$H75&gt;=U$3),"B","U"),IF(AND($G75&lt;&gt;"",$G75&lt;=EOMONTH(U$3,0),$H75&gt;=U$3),"D","")))</f>
        <v/>
      </c>
      <c r="V75" s="214">
        <f>IF($AH75="","",IF(AND($E75&lt;&gt;"",$E75&lt;=EOMONTH(V$3,0),$F75&gt;=V$3),IF(AND($G75&lt;&gt;"",$G75&lt;=EOMONTH(V$3,0),$H75&gt;=V$3),"B","U"),IF(AND($G75&lt;&gt;"",$G75&lt;=EOMONTH(V$3,0),$H75&gt;=V$3),"D","")))</f>
        <v/>
      </c>
      <c r="W75" s="214">
        <f>IF($AH75="","",IF(AND($E75&lt;&gt;"",$E75&lt;=EOMONTH(W$3,0),$F75&gt;=W$3),IF(AND($G75&lt;&gt;"",$G75&lt;=EOMONTH(W$3,0),$H75&gt;=W$3),"B","U"),IF(AND($G75&lt;&gt;"",$G75&lt;=EOMONTH(W$3,0),$H75&gt;=W$3),"D","")))</f>
        <v/>
      </c>
      <c r="X75" s="214">
        <f>IF($AH75="","",IF(AND($E75&lt;&gt;"",$E75&lt;=EOMONTH(X$3,0),$F75&gt;=X$3),IF(AND($G75&lt;&gt;"",$G75&lt;=EOMONTH(X$3,0),$H75&gt;=X$3),"B","U"),IF(AND($G75&lt;&gt;"",$G75&lt;=EOMONTH(X$3,0),$H75&gt;=X$3),"D","")))</f>
        <v/>
      </c>
      <c r="Y75" s="214">
        <f>IF($AH75="","",IF(AND($E75&lt;&gt;"",$E75&lt;=EOMONTH(Y$3,0),$F75&gt;=Y$3),IF(AND($G75&lt;&gt;"",$G75&lt;=EOMONTH(Y$3,0),$H75&gt;=Y$3),"B","U"),IF(AND($G75&lt;&gt;"",$G75&lt;=EOMONTH(Y$3,0),$H75&gt;=Y$3),"D","")))</f>
        <v/>
      </c>
      <c r="Z75" s="214">
        <f>IF($AH75="","",IF(AND($E75&lt;&gt;"",$E75&lt;=EOMONTH(Z$3,0),$F75&gt;=Z$3),IF(AND($G75&lt;&gt;"",$G75&lt;=EOMONTH(Z$3,0),$H75&gt;=Z$3),"B","U"),IF(AND($G75&lt;&gt;"",$G75&lt;=EOMONTH(Z$3,0),$H75&gt;=Z$3),"D","")))</f>
        <v/>
      </c>
      <c r="AA75" s="214">
        <f>IF($AH75="","",IF(AND($E75&lt;&gt;"",$E75&lt;=EOMONTH(AA$3,0),$F75&gt;=AA$3),IF(AND($G75&lt;&gt;"",$G75&lt;=EOMONTH(AA$3,0),$H75&gt;=AA$3),"B","U"),IF(AND($G75&lt;&gt;"",$G75&lt;=EOMONTH(AA$3,0),$H75&gt;=AA$3),"D","")))</f>
        <v/>
      </c>
      <c r="AB75" s="214">
        <f>IF($AH75="","",IF(AND($E75&lt;&gt;"",$E75&lt;=EOMONTH(AB$3,0),$F75&gt;=AB$3),IF(AND($G75&lt;&gt;"",$G75&lt;=EOMONTH(AB$3,0),$H75&gt;=AB$3),"B","U"),IF(AND($G75&lt;&gt;"",$G75&lt;=EOMONTH(AB$3,0),$H75&gt;=AB$3),"D","")))</f>
        <v/>
      </c>
      <c r="AC75" s="214">
        <f>IF($AH75="","",IF(AND($E75&lt;&gt;"",$E75&lt;=EOMONTH(AC$3,0),$F75&gt;=AC$3),IF(AND($G75&lt;&gt;"",$G75&lt;=EOMONTH(AC$3,0),$H75&gt;=AC$3),"B","U"),IF(AND($G75&lt;&gt;"",$G75&lt;=EOMONTH(AC$3,0),$H75&gt;=AC$3),"D","")))</f>
        <v/>
      </c>
      <c r="AD75" s="214">
        <f>IF($AH75="","",IF(AND($E75&lt;&gt;"",$E75&lt;=EOMONTH(AD$3,0),$F75&gt;=AD$3),IF(AND($G75&lt;&gt;"",$G75&lt;=EOMONTH(AD$3,0),$H75&gt;=AD$3),"B","U"),IF(AND($G75&lt;&gt;"",$G75&lt;=EOMONTH(AD$3,0),$H75&gt;=AD$3),"D","")))</f>
        <v/>
      </c>
      <c r="AE75" s="214">
        <f>IF($AH75="","",IF(AND($E75&lt;&gt;"",$E75&lt;=EOMONTH(AE$3,0),$F75&gt;=AE$3),IF(AND($G75&lt;&gt;"",$G75&lt;=EOMONTH(AE$3,0),$H75&gt;=AE$3),"B","U"),IF(AND($G75&lt;&gt;"",$G75&lt;=EOMONTH(AE$3,0),$H75&gt;=AE$3),"D","")))</f>
        <v/>
      </c>
      <c r="AF75" s="214">
        <f>IF($AH75="","",IF(AND($E75&lt;&gt;"",$E75&lt;=EOMONTH(AF$3,0),$F75&gt;=AF$3),IF(AND($G75&lt;&gt;"",$G75&lt;=EOMONTH(AF$3,0),$H75&gt;=AF$3),"B","U"),IF(AND($G75&lt;&gt;"",$G75&lt;=EOMONTH(AF$3,0),$H75&gt;=AF$3),"D","")))</f>
        <v/>
      </c>
      <c r="AG75">
        <f>IF($AH75="","",INDEX('Roadmap Calc (Don’t Touch)'!$D$2:$D$205,$AH75))</f>
        <v/>
      </c>
      <c r="AH75">
        <f>IFERROR(MATCH(69,'Roadmap Calc (Don’t Touch)'!$O$2:$O$205,0),"")</f>
        <v/>
      </c>
    </row>
    <row r="76" ht="17" customHeight="1">
      <c r="A76" s="209">
        <f>IF($AH76="","",IF($AG76=$AG75,"",$AG76))</f>
        <v/>
      </c>
      <c r="B76" s="210">
        <f>IF($AH76="","",INDEX('Roadmap Calc (Don’t Touch)'!$B$2:$B$205,$AH76))</f>
        <v/>
      </c>
      <c r="C76" s="211">
        <f>IF($AH76="","",INDEX('Roadmap Calc (Don’t Touch)'!$E$2:$E$205,$AH76))</f>
        <v/>
      </c>
      <c r="D76" s="212">
        <f>IF($AH76="","",INDEX('Roadmap Calc (Don’t Touch)'!$F$2:$F$205,$AH76))</f>
        <v/>
      </c>
      <c r="E76" s="213">
        <f>IF($AH76="","",INDEX('Roadmap Calc (Don’t Touch)'!$G$2:$G$205,$AH76))</f>
        <v/>
      </c>
      <c r="F76" s="213">
        <f>IF($AH76="","",INDEX('Roadmap Calc (Don’t Touch)'!$H$2:$H$205,$AH76))</f>
        <v/>
      </c>
      <c r="G76" s="213">
        <f>IF($AH76="","",INDEX('Roadmap Calc (Don’t Touch)'!$I$2:$I$205,$AH76))</f>
        <v/>
      </c>
      <c r="H76" s="213">
        <f>IF($AH76="","",INDEX('Roadmap Calc (Don’t Touch)'!$J$2:$J$205,$AH76))</f>
        <v/>
      </c>
      <c r="I76" s="214">
        <f>IF($AH76="","",IF(AND($E76&lt;&gt;"",$E76&lt;=EOMONTH(I$3,0),$F76&gt;=I$3),IF(AND($G76&lt;&gt;"",$G76&lt;=EOMONTH(I$3,0),$H76&gt;=I$3),"B","U"),IF(AND($G76&lt;&gt;"",$G76&lt;=EOMONTH(I$3,0),$H76&gt;=I$3),"D","")))</f>
        <v/>
      </c>
      <c r="J76" s="214">
        <f>IF($AH76="","",IF(AND($E76&lt;&gt;"",$E76&lt;=EOMONTH(J$3,0),$F76&gt;=J$3),IF(AND($G76&lt;&gt;"",$G76&lt;=EOMONTH(J$3,0),$H76&gt;=J$3),"B","U"),IF(AND($G76&lt;&gt;"",$G76&lt;=EOMONTH(J$3,0),$H76&gt;=J$3),"D","")))</f>
        <v/>
      </c>
      <c r="K76" s="214">
        <f>IF($AH76="","",IF(AND($E76&lt;&gt;"",$E76&lt;=EOMONTH(K$3,0),$F76&gt;=K$3),IF(AND($G76&lt;&gt;"",$G76&lt;=EOMONTH(K$3,0),$H76&gt;=K$3),"B","U"),IF(AND($G76&lt;&gt;"",$G76&lt;=EOMONTH(K$3,0),$H76&gt;=K$3),"D","")))</f>
        <v/>
      </c>
      <c r="L76" s="214">
        <f>IF($AH76="","",IF(AND($E76&lt;&gt;"",$E76&lt;=EOMONTH(L$3,0),$F76&gt;=L$3),IF(AND($G76&lt;&gt;"",$G76&lt;=EOMONTH(L$3,0),$H76&gt;=L$3),"B","U"),IF(AND($G76&lt;&gt;"",$G76&lt;=EOMONTH(L$3,0),$H76&gt;=L$3),"D","")))</f>
        <v/>
      </c>
      <c r="M76" s="214">
        <f>IF($AH76="","",IF(AND($E76&lt;&gt;"",$E76&lt;=EOMONTH(M$3,0),$F76&gt;=M$3),IF(AND($G76&lt;&gt;"",$G76&lt;=EOMONTH(M$3,0),$H76&gt;=M$3),"B","U"),IF(AND($G76&lt;&gt;"",$G76&lt;=EOMONTH(M$3,0),$H76&gt;=M$3),"D","")))</f>
        <v/>
      </c>
      <c r="N76" s="214">
        <f>IF($AH76="","",IF(AND($E76&lt;&gt;"",$E76&lt;=EOMONTH(N$3,0),$F76&gt;=N$3),IF(AND($G76&lt;&gt;"",$G76&lt;=EOMONTH(N$3,0),$H76&gt;=N$3),"B","U"),IF(AND($G76&lt;&gt;"",$G76&lt;=EOMONTH(N$3,0),$H76&gt;=N$3),"D","")))</f>
        <v/>
      </c>
      <c r="O76" s="214">
        <f>IF($AH76="","",IF(AND($E76&lt;&gt;"",$E76&lt;=EOMONTH(O$3,0),$F76&gt;=O$3),IF(AND($G76&lt;&gt;"",$G76&lt;=EOMONTH(O$3,0),$H76&gt;=O$3),"B","U"),IF(AND($G76&lt;&gt;"",$G76&lt;=EOMONTH(O$3,0),$H76&gt;=O$3),"D","")))</f>
        <v/>
      </c>
      <c r="P76" s="214">
        <f>IF($AH76="","",IF(AND($E76&lt;&gt;"",$E76&lt;=EOMONTH(P$3,0),$F76&gt;=P$3),IF(AND($G76&lt;&gt;"",$G76&lt;=EOMONTH(P$3,0),$H76&gt;=P$3),"B","U"),IF(AND($G76&lt;&gt;"",$G76&lt;=EOMONTH(P$3,0),$H76&gt;=P$3),"D","")))</f>
        <v/>
      </c>
      <c r="Q76" s="214">
        <f>IF($AH76="","",IF(AND($E76&lt;&gt;"",$E76&lt;=EOMONTH(Q$3,0),$F76&gt;=Q$3),IF(AND($G76&lt;&gt;"",$G76&lt;=EOMONTH(Q$3,0),$H76&gt;=Q$3),"B","U"),IF(AND($G76&lt;&gt;"",$G76&lt;=EOMONTH(Q$3,0),$H76&gt;=Q$3),"D","")))</f>
        <v/>
      </c>
      <c r="R76" s="214">
        <f>IF($AH76="","",IF(AND($E76&lt;&gt;"",$E76&lt;=EOMONTH(R$3,0),$F76&gt;=R$3),IF(AND($G76&lt;&gt;"",$G76&lt;=EOMONTH(R$3,0),$H76&gt;=R$3),"B","U"),IF(AND($G76&lt;&gt;"",$G76&lt;=EOMONTH(R$3,0),$H76&gt;=R$3),"D","")))</f>
        <v/>
      </c>
      <c r="S76" s="214">
        <f>IF($AH76="","",IF(AND($E76&lt;&gt;"",$E76&lt;=EOMONTH(S$3,0),$F76&gt;=S$3),IF(AND($G76&lt;&gt;"",$G76&lt;=EOMONTH(S$3,0),$H76&gt;=S$3),"B","U"),IF(AND($G76&lt;&gt;"",$G76&lt;=EOMONTH(S$3,0),$H76&gt;=S$3),"D","")))</f>
        <v/>
      </c>
      <c r="T76" s="214">
        <f>IF($AH76="","",IF(AND($E76&lt;&gt;"",$E76&lt;=EOMONTH(T$3,0),$F76&gt;=T$3),IF(AND($G76&lt;&gt;"",$G76&lt;=EOMONTH(T$3,0),$H76&gt;=T$3),"B","U"),IF(AND($G76&lt;&gt;"",$G76&lt;=EOMONTH(T$3,0),$H76&gt;=T$3),"D","")))</f>
        <v/>
      </c>
      <c r="U76" s="214">
        <f>IF($AH76="","",IF(AND($E76&lt;&gt;"",$E76&lt;=EOMONTH(U$3,0),$F76&gt;=U$3),IF(AND($G76&lt;&gt;"",$G76&lt;=EOMONTH(U$3,0),$H76&gt;=U$3),"B","U"),IF(AND($G76&lt;&gt;"",$G76&lt;=EOMONTH(U$3,0),$H76&gt;=U$3),"D","")))</f>
        <v/>
      </c>
      <c r="V76" s="214">
        <f>IF($AH76="","",IF(AND($E76&lt;&gt;"",$E76&lt;=EOMONTH(V$3,0),$F76&gt;=V$3),IF(AND($G76&lt;&gt;"",$G76&lt;=EOMONTH(V$3,0),$H76&gt;=V$3),"B","U"),IF(AND($G76&lt;&gt;"",$G76&lt;=EOMONTH(V$3,0),$H76&gt;=V$3),"D","")))</f>
        <v/>
      </c>
      <c r="W76" s="214">
        <f>IF($AH76="","",IF(AND($E76&lt;&gt;"",$E76&lt;=EOMONTH(W$3,0),$F76&gt;=W$3),IF(AND($G76&lt;&gt;"",$G76&lt;=EOMONTH(W$3,0),$H76&gt;=W$3),"B","U"),IF(AND($G76&lt;&gt;"",$G76&lt;=EOMONTH(W$3,0),$H76&gt;=W$3),"D","")))</f>
        <v/>
      </c>
      <c r="X76" s="214">
        <f>IF($AH76="","",IF(AND($E76&lt;&gt;"",$E76&lt;=EOMONTH(X$3,0),$F76&gt;=X$3),IF(AND($G76&lt;&gt;"",$G76&lt;=EOMONTH(X$3,0),$H76&gt;=X$3),"B","U"),IF(AND($G76&lt;&gt;"",$G76&lt;=EOMONTH(X$3,0),$H76&gt;=X$3),"D","")))</f>
        <v/>
      </c>
      <c r="Y76" s="214">
        <f>IF($AH76="","",IF(AND($E76&lt;&gt;"",$E76&lt;=EOMONTH(Y$3,0),$F76&gt;=Y$3),IF(AND($G76&lt;&gt;"",$G76&lt;=EOMONTH(Y$3,0),$H76&gt;=Y$3),"B","U"),IF(AND($G76&lt;&gt;"",$G76&lt;=EOMONTH(Y$3,0),$H76&gt;=Y$3),"D","")))</f>
        <v/>
      </c>
      <c r="Z76" s="214">
        <f>IF($AH76="","",IF(AND($E76&lt;&gt;"",$E76&lt;=EOMONTH(Z$3,0),$F76&gt;=Z$3),IF(AND($G76&lt;&gt;"",$G76&lt;=EOMONTH(Z$3,0),$H76&gt;=Z$3),"B","U"),IF(AND($G76&lt;&gt;"",$G76&lt;=EOMONTH(Z$3,0),$H76&gt;=Z$3),"D","")))</f>
        <v/>
      </c>
      <c r="AA76" s="214">
        <f>IF($AH76="","",IF(AND($E76&lt;&gt;"",$E76&lt;=EOMONTH(AA$3,0),$F76&gt;=AA$3),IF(AND($G76&lt;&gt;"",$G76&lt;=EOMONTH(AA$3,0),$H76&gt;=AA$3),"B","U"),IF(AND($G76&lt;&gt;"",$G76&lt;=EOMONTH(AA$3,0),$H76&gt;=AA$3),"D","")))</f>
        <v/>
      </c>
      <c r="AB76" s="214">
        <f>IF($AH76="","",IF(AND($E76&lt;&gt;"",$E76&lt;=EOMONTH(AB$3,0),$F76&gt;=AB$3),IF(AND($G76&lt;&gt;"",$G76&lt;=EOMONTH(AB$3,0),$H76&gt;=AB$3),"B","U"),IF(AND($G76&lt;&gt;"",$G76&lt;=EOMONTH(AB$3,0),$H76&gt;=AB$3),"D","")))</f>
        <v/>
      </c>
      <c r="AC76" s="214">
        <f>IF($AH76="","",IF(AND($E76&lt;&gt;"",$E76&lt;=EOMONTH(AC$3,0),$F76&gt;=AC$3),IF(AND($G76&lt;&gt;"",$G76&lt;=EOMONTH(AC$3,0),$H76&gt;=AC$3),"B","U"),IF(AND($G76&lt;&gt;"",$G76&lt;=EOMONTH(AC$3,0),$H76&gt;=AC$3),"D","")))</f>
        <v/>
      </c>
      <c r="AD76" s="214">
        <f>IF($AH76="","",IF(AND($E76&lt;&gt;"",$E76&lt;=EOMONTH(AD$3,0),$F76&gt;=AD$3),IF(AND($G76&lt;&gt;"",$G76&lt;=EOMONTH(AD$3,0),$H76&gt;=AD$3),"B","U"),IF(AND($G76&lt;&gt;"",$G76&lt;=EOMONTH(AD$3,0),$H76&gt;=AD$3),"D","")))</f>
        <v/>
      </c>
      <c r="AE76" s="214">
        <f>IF($AH76="","",IF(AND($E76&lt;&gt;"",$E76&lt;=EOMONTH(AE$3,0),$F76&gt;=AE$3),IF(AND($G76&lt;&gt;"",$G76&lt;=EOMONTH(AE$3,0),$H76&gt;=AE$3),"B","U"),IF(AND($G76&lt;&gt;"",$G76&lt;=EOMONTH(AE$3,0),$H76&gt;=AE$3),"D","")))</f>
        <v/>
      </c>
      <c r="AF76" s="214">
        <f>IF($AH76="","",IF(AND($E76&lt;&gt;"",$E76&lt;=EOMONTH(AF$3,0),$F76&gt;=AF$3),IF(AND($G76&lt;&gt;"",$G76&lt;=EOMONTH(AF$3,0),$H76&gt;=AF$3),"B","U"),IF(AND($G76&lt;&gt;"",$G76&lt;=EOMONTH(AF$3,0),$H76&gt;=AF$3),"D","")))</f>
        <v/>
      </c>
      <c r="AG76">
        <f>IF($AH76="","",INDEX('Roadmap Calc (Don’t Touch)'!$D$2:$D$205,$AH76))</f>
        <v/>
      </c>
      <c r="AH76">
        <f>IFERROR(MATCH(70,'Roadmap Calc (Don’t Touch)'!$O$2:$O$205,0),"")</f>
        <v/>
      </c>
    </row>
    <row r="77" ht="17" customHeight="1">
      <c r="A77" s="209">
        <f>IF($AH77="","",IF($AG77=$AG76,"",$AG77))</f>
        <v/>
      </c>
      <c r="B77" s="210">
        <f>IF($AH77="","",INDEX('Roadmap Calc (Don’t Touch)'!$B$2:$B$205,$AH77))</f>
        <v/>
      </c>
      <c r="C77" s="211">
        <f>IF($AH77="","",INDEX('Roadmap Calc (Don’t Touch)'!$E$2:$E$205,$AH77))</f>
        <v/>
      </c>
      <c r="D77" s="212">
        <f>IF($AH77="","",INDEX('Roadmap Calc (Don’t Touch)'!$F$2:$F$205,$AH77))</f>
        <v/>
      </c>
      <c r="E77" s="213">
        <f>IF($AH77="","",INDEX('Roadmap Calc (Don’t Touch)'!$G$2:$G$205,$AH77))</f>
        <v/>
      </c>
      <c r="F77" s="213">
        <f>IF($AH77="","",INDEX('Roadmap Calc (Don’t Touch)'!$H$2:$H$205,$AH77))</f>
        <v/>
      </c>
      <c r="G77" s="213">
        <f>IF($AH77="","",INDEX('Roadmap Calc (Don’t Touch)'!$I$2:$I$205,$AH77))</f>
        <v/>
      </c>
      <c r="H77" s="213">
        <f>IF($AH77="","",INDEX('Roadmap Calc (Don’t Touch)'!$J$2:$J$205,$AH77))</f>
        <v/>
      </c>
      <c r="I77" s="214">
        <f>IF($AH77="","",IF(AND($E77&lt;&gt;"",$E77&lt;=EOMONTH(I$3,0),$F77&gt;=I$3),IF(AND($G77&lt;&gt;"",$G77&lt;=EOMONTH(I$3,0),$H77&gt;=I$3),"B","U"),IF(AND($G77&lt;&gt;"",$G77&lt;=EOMONTH(I$3,0),$H77&gt;=I$3),"D","")))</f>
        <v/>
      </c>
      <c r="J77" s="214">
        <f>IF($AH77="","",IF(AND($E77&lt;&gt;"",$E77&lt;=EOMONTH(J$3,0),$F77&gt;=J$3),IF(AND($G77&lt;&gt;"",$G77&lt;=EOMONTH(J$3,0),$H77&gt;=J$3),"B","U"),IF(AND($G77&lt;&gt;"",$G77&lt;=EOMONTH(J$3,0),$H77&gt;=J$3),"D","")))</f>
        <v/>
      </c>
      <c r="K77" s="214">
        <f>IF($AH77="","",IF(AND($E77&lt;&gt;"",$E77&lt;=EOMONTH(K$3,0),$F77&gt;=K$3),IF(AND($G77&lt;&gt;"",$G77&lt;=EOMONTH(K$3,0),$H77&gt;=K$3),"B","U"),IF(AND($G77&lt;&gt;"",$G77&lt;=EOMONTH(K$3,0),$H77&gt;=K$3),"D","")))</f>
        <v/>
      </c>
      <c r="L77" s="214">
        <f>IF($AH77="","",IF(AND($E77&lt;&gt;"",$E77&lt;=EOMONTH(L$3,0),$F77&gt;=L$3),IF(AND($G77&lt;&gt;"",$G77&lt;=EOMONTH(L$3,0),$H77&gt;=L$3),"B","U"),IF(AND($G77&lt;&gt;"",$G77&lt;=EOMONTH(L$3,0),$H77&gt;=L$3),"D","")))</f>
        <v/>
      </c>
      <c r="M77" s="214">
        <f>IF($AH77="","",IF(AND($E77&lt;&gt;"",$E77&lt;=EOMONTH(M$3,0),$F77&gt;=M$3),IF(AND($G77&lt;&gt;"",$G77&lt;=EOMONTH(M$3,0),$H77&gt;=M$3),"B","U"),IF(AND($G77&lt;&gt;"",$G77&lt;=EOMONTH(M$3,0),$H77&gt;=M$3),"D","")))</f>
        <v/>
      </c>
      <c r="N77" s="214">
        <f>IF($AH77="","",IF(AND($E77&lt;&gt;"",$E77&lt;=EOMONTH(N$3,0),$F77&gt;=N$3),IF(AND($G77&lt;&gt;"",$G77&lt;=EOMONTH(N$3,0),$H77&gt;=N$3),"B","U"),IF(AND($G77&lt;&gt;"",$G77&lt;=EOMONTH(N$3,0),$H77&gt;=N$3),"D","")))</f>
        <v/>
      </c>
      <c r="O77" s="214">
        <f>IF($AH77="","",IF(AND($E77&lt;&gt;"",$E77&lt;=EOMONTH(O$3,0),$F77&gt;=O$3),IF(AND($G77&lt;&gt;"",$G77&lt;=EOMONTH(O$3,0),$H77&gt;=O$3),"B","U"),IF(AND($G77&lt;&gt;"",$G77&lt;=EOMONTH(O$3,0),$H77&gt;=O$3),"D","")))</f>
        <v/>
      </c>
      <c r="P77" s="214">
        <f>IF($AH77="","",IF(AND($E77&lt;&gt;"",$E77&lt;=EOMONTH(P$3,0),$F77&gt;=P$3),IF(AND($G77&lt;&gt;"",$G77&lt;=EOMONTH(P$3,0),$H77&gt;=P$3),"B","U"),IF(AND($G77&lt;&gt;"",$G77&lt;=EOMONTH(P$3,0),$H77&gt;=P$3),"D","")))</f>
        <v/>
      </c>
      <c r="Q77" s="214">
        <f>IF($AH77="","",IF(AND($E77&lt;&gt;"",$E77&lt;=EOMONTH(Q$3,0),$F77&gt;=Q$3),IF(AND($G77&lt;&gt;"",$G77&lt;=EOMONTH(Q$3,0),$H77&gt;=Q$3),"B","U"),IF(AND($G77&lt;&gt;"",$G77&lt;=EOMONTH(Q$3,0),$H77&gt;=Q$3),"D","")))</f>
        <v/>
      </c>
      <c r="R77" s="214">
        <f>IF($AH77="","",IF(AND($E77&lt;&gt;"",$E77&lt;=EOMONTH(R$3,0),$F77&gt;=R$3),IF(AND($G77&lt;&gt;"",$G77&lt;=EOMONTH(R$3,0),$H77&gt;=R$3),"B","U"),IF(AND($G77&lt;&gt;"",$G77&lt;=EOMONTH(R$3,0),$H77&gt;=R$3),"D","")))</f>
        <v/>
      </c>
      <c r="S77" s="214">
        <f>IF($AH77="","",IF(AND($E77&lt;&gt;"",$E77&lt;=EOMONTH(S$3,0),$F77&gt;=S$3),IF(AND($G77&lt;&gt;"",$G77&lt;=EOMONTH(S$3,0),$H77&gt;=S$3),"B","U"),IF(AND($G77&lt;&gt;"",$G77&lt;=EOMONTH(S$3,0),$H77&gt;=S$3),"D","")))</f>
        <v/>
      </c>
      <c r="T77" s="214">
        <f>IF($AH77="","",IF(AND($E77&lt;&gt;"",$E77&lt;=EOMONTH(T$3,0),$F77&gt;=T$3),IF(AND($G77&lt;&gt;"",$G77&lt;=EOMONTH(T$3,0),$H77&gt;=T$3),"B","U"),IF(AND($G77&lt;&gt;"",$G77&lt;=EOMONTH(T$3,0),$H77&gt;=T$3),"D","")))</f>
        <v/>
      </c>
      <c r="U77" s="214">
        <f>IF($AH77="","",IF(AND($E77&lt;&gt;"",$E77&lt;=EOMONTH(U$3,0),$F77&gt;=U$3),IF(AND($G77&lt;&gt;"",$G77&lt;=EOMONTH(U$3,0),$H77&gt;=U$3),"B","U"),IF(AND($G77&lt;&gt;"",$G77&lt;=EOMONTH(U$3,0),$H77&gt;=U$3),"D","")))</f>
        <v/>
      </c>
      <c r="V77" s="214">
        <f>IF($AH77="","",IF(AND($E77&lt;&gt;"",$E77&lt;=EOMONTH(V$3,0),$F77&gt;=V$3),IF(AND($G77&lt;&gt;"",$G77&lt;=EOMONTH(V$3,0),$H77&gt;=V$3),"B","U"),IF(AND($G77&lt;&gt;"",$G77&lt;=EOMONTH(V$3,0),$H77&gt;=V$3),"D","")))</f>
        <v/>
      </c>
      <c r="W77" s="214">
        <f>IF($AH77="","",IF(AND($E77&lt;&gt;"",$E77&lt;=EOMONTH(W$3,0),$F77&gt;=W$3),IF(AND($G77&lt;&gt;"",$G77&lt;=EOMONTH(W$3,0),$H77&gt;=W$3),"B","U"),IF(AND($G77&lt;&gt;"",$G77&lt;=EOMONTH(W$3,0),$H77&gt;=W$3),"D","")))</f>
        <v/>
      </c>
      <c r="X77" s="214">
        <f>IF($AH77="","",IF(AND($E77&lt;&gt;"",$E77&lt;=EOMONTH(X$3,0),$F77&gt;=X$3),IF(AND($G77&lt;&gt;"",$G77&lt;=EOMONTH(X$3,0),$H77&gt;=X$3),"B","U"),IF(AND($G77&lt;&gt;"",$G77&lt;=EOMONTH(X$3,0),$H77&gt;=X$3),"D","")))</f>
        <v/>
      </c>
      <c r="Y77" s="214">
        <f>IF($AH77="","",IF(AND($E77&lt;&gt;"",$E77&lt;=EOMONTH(Y$3,0),$F77&gt;=Y$3),IF(AND($G77&lt;&gt;"",$G77&lt;=EOMONTH(Y$3,0),$H77&gt;=Y$3),"B","U"),IF(AND($G77&lt;&gt;"",$G77&lt;=EOMONTH(Y$3,0),$H77&gt;=Y$3),"D","")))</f>
        <v/>
      </c>
      <c r="Z77" s="214">
        <f>IF($AH77="","",IF(AND($E77&lt;&gt;"",$E77&lt;=EOMONTH(Z$3,0),$F77&gt;=Z$3),IF(AND($G77&lt;&gt;"",$G77&lt;=EOMONTH(Z$3,0),$H77&gt;=Z$3),"B","U"),IF(AND($G77&lt;&gt;"",$G77&lt;=EOMONTH(Z$3,0),$H77&gt;=Z$3),"D","")))</f>
        <v/>
      </c>
      <c r="AA77" s="214">
        <f>IF($AH77="","",IF(AND($E77&lt;&gt;"",$E77&lt;=EOMONTH(AA$3,0),$F77&gt;=AA$3),IF(AND($G77&lt;&gt;"",$G77&lt;=EOMONTH(AA$3,0),$H77&gt;=AA$3),"B","U"),IF(AND($G77&lt;&gt;"",$G77&lt;=EOMONTH(AA$3,0),$H77&gt;=AA$3),"D","")))</f>
        <v/>
      </c>
      <c r="AB77" s="214">
        <f>IF($AH77="","",IF(AND($E77&lt;&gt;"",$E77&lt;=EOMONTH(AB$3,0),$F77&gt;=AB$3),IF(AND($G77&lt;&gt;"",$G77&lt;=EOMONTH(AB$3,0),$H77&gt;=AB$3),"B","U"),IF(AND($G77&lt;&gt;"",$G77&lt;=EOMONTH(AB$3,0),$H77&gt;=AB$3),"D","")))</f>
        <v/>
      </c>
      <c r="AC77" s="214">
        <f>IF($AH77="","",IF(AND($E77&lt;&gt;"",$E77&lt;=EOMONTH(AC$3,0),$F77&gt;=AC$3),IF(AND($G77&lt;&gt;"",$G77&lt;=EOMONTH(AC$3,0),$H77&gt;=AC$3),"B","U"),IF(AND($G77&lt;&gt;"",$G77&lt;=EOMONTH(AC$3,0),$H77&gt;=AC$3),"D","")))</f>
        <v/>
      </c>
      <c r="AD77" s="214">
        <f>IF($AH77="","",IF(AND($E77&lt;&gt;"",$E77&lt;=EOMONTH(AD$3,0),$F77&gt;=AD$3),IF(AND($G77&lt;&gt;"",$G77&lt;=EOMONTH(AD$3,0),$H77&gt;=AD$3),"B","U"),IF(AND($G77&lt;&gt;"",$G77&lt;=EOMONTH(AD$3,0),$H77&gt;=AD$3),"D","")))</f>
        <v/>
      </c>
      <c r="AE77" s="214">
        <f>IF($AH77="","",IF(AND($E77&lt;&gt;"",$E77&lt;=EOMONTH(AE$3,0),$F77&gt;=AE$3),IF(AND($G77&lt;&gt;"",$G77&lt;=EOMONTH(AE$3,0),$H77&gt;=AE$3),"B","U"),IF(AND($G77&lt;&gt;"",$G77&lt;=EOMONTH(AE$3,0),$H77&gt;=AE$3),"D","")))</f>
        <v/>
      </c>
      <c r="AF77" s="214">
        <f>IF($AH77="","",IF(AND($E77&lt;&gt;"",$E77&lt;=EOMONTH(AF$3,0),$F77&gt;=AF$3),IF(AND($G77&lt;&gt;"",$G77&lt;=EOMONTH(AF$3,0),$H77&gt;=AF$3),"B","U"),IF(AND($G77&lt;&gt;"",$G77&lt;=EOMONTH(AF$3,0),$H77&gt;=AF$3),"D","")))</f>
        <v/>
      </c>
      <c r="AG77">
        <f>IF($AH77="","",INDEX('Roadmap Calc (Don’t Touch)'!$D$2:$D$205,$AH77))</f>
        <v/>
      </c>
      <c r="AH77">
        <f>IFERROR(MATCH(71,'Roadmap Calc (Don’t Touch)'!$O$2:$O$205,0),"")</f>
        <v/>
      </c>
    </row>
    <row r="78" ht="17" customHeight="1">
      <c r="A78" s="209">
        <f>IF($AH78="","",IF($AG78=$AG77,"",$AG78))</f>
        <v/>
      </c>
      <c r="B78" s="210">
        <f>IF($AH78="","",INDEX('Roadmap Calc (Don’t Touch)'!$B$2:$B$205,$AH78))</f>
        <v/>
      </c>
      <c r="C78" s="211">
        <f>IF($AH78="","",INDEX('Roadmap Calc (Don’t Touch)'!$E$2:$E$205,$AH78))</f>
        <v/>
      </c>
      <c r="D78" s="212">
        <f>IF($AH78="","",INDEX('Roadmap Calc (Don’t Touch)'!$F$2:$F$205,$AH78))</f>
        <v/>
      </c>
      <c r="E78" s="213">
        <f>IF($AH78="","",INDEX('Roadmap Calc (Don’t Touch)'!$G$2:$G$205,$AH78))</f>
        <v/>
      </c>
      <c r="F78" s="213">
        <f>IF($AH78="","",INDEX('Roadmap Calc (Don’t Touch)'!$H$2:$H$205,$AH78))</f>
        <v/>
      </c>
      <c r="G78" s="213">
        <f>IF($AH78="","",INDEX('Roadmap Calc (Don’t Touch)'!$I$2:$I$205,$AH78))</f>
        <v/>
      </c>
      <c r="H78" s="213">
        <f>IF($AH78="","",INDEX('Roadmap Calc (Don’t Touch)'!$J$2:$J$205,$AH78))</f>
        <v/>
      </c>
      <c r="I78" s="214">
        <f>IF($AH78="","",IF(AND($E78&lt;&gt;"",$E78&lt;=EOMONTH(I$3,0),$F78&gt;=I$3),IF(AND($G78&lt;&gt;"",$G78&lt;=EOMONTH(I$3,0),$H78&gt;=I$3),"B","U"),IF(AND($G78&lt;&gt;"",$G78&lt;=EOMONTH(I$3,0),$H78&gt;=I$3),"D","")))</f>
        <v/>
      </c>
      <c r="J78" s="214">
        <f>IF($AH78="","",IF(AND($E78&lt;&gt;"",$E78&lt;=EOMONTH(J$3,0),$F78&gt;=J$3),IF(AND($G78&lt;&gt;"",$G78&lt;=EOMONTH(J$3,0),$H78&gt;=J$3),"B","U"),IF(AND($G78&lt;&gt;"",$G78&lt;=EOMONTH(J$3,0),$H78&gt;=J$3),"D","")))</f>
        <v/>
      </c>
      <c r="K78" s="214">
        <f>IF($AH78="","",IF(AND($E78&lt;&gt;"",$E78&lt;=EOMONTH(K$3,0),$F78&gt;=K$3),IF(AND($G78&lt;&gt;"",$G78&lt;=EOMONTH(K$3,0),$H78&gt;=K$3),"B","U"),IF(AND($G78&lt;&gt;"",$G78&lt;=EOMONTH(K$3,0),$H78&gt;=K$3),"D","")))</f>
        <v/>
      </c>
      <c r="L78" s="214">
        <f>IF($AH78="","",IF(AND($E78&lt;&gt;"",$E78&lt;=EOMONTH(L$3,0),$F78&gt;=L$3),IF(AND($G78&lt;&gt;"",$G78&lt;=EOMONTH(L$3,0),$H78&gt;=L$3),"B","U"),IF(AND($G78&lt;&gt;"",$G78&lt;=EOMONTH(L$3,0),$H78&gt;=L$3),"D","")))</f>
        <v/>
      </c>
      <c r="M78" s="214">
        <f>IF($AH78="","",IF(AND($E78&lt;&gt;"",$E78&lt;=EOMONTH(M$3,0),$F78&gt;=M$3),IF(AND($G78&lt;&gt;"",$G78&lt;=EOMONTH(M$3,0),$H78&gt;=M$3),"B","U"),IF(AND($G78&lt;&gt;"",$G78&lt;=EOMONTH(M$3,0),$H78&gt;=M$3),"D","")))</f>
        <v/>
      </c>
      <c r="N78" s="214">
        <f>IF($AH78="","",IF(AND($E78&lt;&gt;"",$E78&lt;=EOMONTH(N$3,0),$F78&gt;=N$3),IF(AND($G78&lt;&gt;"",$G78&lt;=EOMONTH(N$3,0),$H78&gt;=N$3),"B","U"),IF(AND($G78&lt;&gt;"",$G78&lt;=EOMONTH(N$3,0),$H78&gt;=N$3),"D","")))</f>
        <v/>
      </c>
      <c r="O78" s="214">
        <f>IF($AH78="","",IF(AND($E78&lt;&gt;"",$E78&lt;=EOMONTH(O$3,0),$F78&gt;=O$3),IF(AND($G78&lt;&gt;"",$G78&lt;=EOMONTH(O$3,0),$H78&gt;=O$3),"B","U"),IF(AND($G78&lt;&gt;"",$G78&lt;=EOMONTH(O$3,0),$H78&gt;=O$3),"D","")))</f>
        <v/>
      </c>
      <c r="P78" s="214">
        <f>IF($AH78="","",IF(AND($E78&lt;&gt;"",$E78&lt;=EOMONTH(P$3,0),$F78&gt;=P$3),IF(AND($G78&lt;&gt;"",$G78&lt;=EOMONTH(P$3,0),$H78&gt;=P$3),"B","U"),IF(AND($G78&lt;&gt;"",$G78&lt;=EOMONTH(P$3,0),$H78&gt;=P$3),"D","")))</f>
        <v/>
      </c>
      <c r="Q78" s="214">
        <f>IF($AH78="","",IF(AND($E78&lt;&gt;"",$E78&lt;=EOMONTH(Q$3,0),$F78&gt;=Q$3),IF(AND($G78&lt;&gt;"",$G78&lt;=EOMONTH(Q$3,0),$H78&gt;=Q$3),"B","U"),IF(AND($G78&lt;&gt;"",$G78&lt;=EOMONTH(Q$3,0),$H78&gt;=Q$3),"D","")))</f>
        <v/>
      </c>
      <c r="R78" s="214">
        <f>IF($AH78="","",IF(AND($E78&lt;&gt;"",$E78&lt;=EOMONTH(R$3,0),$F78&gt;=R$3),IF(AND($G78&lt;&gt;"",$G78&lt;=EOMONTH(R$3,0),$H78&gt;=R$3),"B","U"),IF(AND($G78&lt;&gt;"",$G78&lt;=EOMONTH(R$3,0),$H78&gt;=R$3),"D","")))</f>
        <v/>
      </c>
      <c r="S78" s="214">
        <f>IF($AH78="","",IF(AND($E78&lt;&gt;"",$E78&lt;=EOMONTH(S$3,0),$F78&gt;=S$3),IF(AND($G78&lt;&gt;"",$G78&lt;=EOMONTH(S$3,0),$H78&gt;=S$3),"B","U"),IF(AND($G78&lt;&gt;"",$G78&lt;=EOMONTH(S$3,0),$H78&gt;=S$3),"D","")))</f>
        <v/>
      </c>
      <c r="T78" s="214">
        <f>IF($AH78="","",IF(AND($E78&lt;&gt;"",$E78&lt;=EOMONTH(T$3,0),$F78&gt;=T$3),IF(AND($G78&lt;&gt;"",$G78&lt;=EOMONTH(T$3,0),$H78&gt;=T$3),"B","U"),IF(AND($G78&lt;&gt;"",$G78&lt;=EOMONTH(T$3,0),$H78&gt;=T$3),"D","")))</f>
        <v/>
      </c>
      <c r="U78" s="214">
        <f>IF($AH78="","",IF(AND($E78&lt;&gt;"",$E78&lt;=EOMONTH(U$3,0),$F78&gt;=U$3),IF(AND($G78&lt;&gt;"",$G78&lt;=EOMONTH(U$3,0),$H78&gt;=U$3),"B","U"),IF(AND($G78&lt;&gt;"",$G78&lt;=EOMONTH(U$3,0),$H78&gt;=U$3),"D","")))</f>
        <v/>
      </c>
      <c r="V78" s="214">
        <f>IF($AH78="","",IF(AND($E78&lt;&gt;"",$E78&lt;=EOMONTH(V$3,0),$F78&gt;=V$3),IF(AND($G78&lt;&gt;"",$G78&lt;=EOMONTH(V$3,0),$H78&gt;=V$3),"B","U"),IF(AND($G78&lt;&gt;"",$G78&lt;=EOMONTH(V$3,0),$H78&gt;=V$3),"D","")))</f>
        <v/>
      </c>
      <c r="W78" s="214">
        <f>IF($AH78="","",IF(AND($E78&lt;&gt;"",$E78&lt;=EOMONTH(W$3,0),$F78&gt;=W$3),IF(AND($G78&lt;&gt;"",$G78&lt;=EOMONTH(W$3,0),$H78&gt;=W$3),"B","U"),IF(AND($G78&lt;&gt;"",$G78&lt;=EOMONTH(W$3,0),$H78&gt;=W$3),"D","")))</f>
        <v/>
      </c>
      <c r="X78" s="214">
        <f>IF($AH78="","",IF(AND($E78&lt;&gt;"",$E78&lt;=EOMONTH(X$3,0),$F78&gt;=X$3),IF(AND($G78&lt;&gt;"",$G78&lt;=EOMONTH(X$3,0),$H78&gt;=X$3),"B","U"),IF(AND($G78&lt;&gt;"",$G78&lt;=EOMONTH(X$3,0),$H78&gt;=X$3),"D","")))</f>
        <v/>
      </c>
      <c r="Y78" s="214">
        <f>IF($AH78="","",IF(AND($E78&lt;&gt;"",$E78&lt;=EOMONTH(Y$3,0),$F78&gt;=Y$3),IF(AND($G78&lt;&gt;"",$G78&lt;=EOMONTH(Y$3,0),$H78&gt;=Y$3),"B","U"),IF(AND($G78&lt;&gt;"",$G78&lt;=EOMONTH(Y$3,0),$H78&gt;=Y$3),"D","")))</f>
        <v/>
      </c>
      <c r="Z78" s="214">
        <f>IF($AH78="","",IF(AND($E78&lt;&gt;"",$E78&lt;=EOMONTH(Z$3,0),$F78&gt;=Z$3),IF(AND($G78&lt;&gt;"",$G78&lt;=EOMONTH(Z$3,0),$H78&gt;=Z$3),"B","U"),IF(AND($G78&lt;&gt;"",$G78&lt;=EOMONTH(Z$3,0),$H78&gt;=Z$3),"D","")))</f>
        <v/>
      </c>
      <c r="AA78" s="214">
        <f>IF($AH78="","",IF(AND($E78&lt;&gt;"",$E78&lt;=EOMONTH(AA$3,0),$F78&gt;=AA$3),IF(AND($G78&lt;&gt;"",$G78&lt;=EOMONTH(AA$3,0),$H78&gt;=AA$3),"B","U"),IF(AND($G78&lt;&gt;"",$G78&lt;=EOMONTH(AA$3,0),$H78&gt;=AA$3),"D","")))</f>
        <v/>
      </c>
      <c r="AB78" s="214">
        <f>IF($AH78="","",IF(AND($E78&lt;&gt;"",$E78&lt;=EOMONTH(AB$3,0),$F78&gt;=AB$3),IF(AND($G78&lt;&gt;"",$G78&lt;=EOMONTH(AB$3,0),$H78&gt;=AB$3),"B","U"),IF(AND($G78&lt;&gt;"",$G78&lt;=EOMONTH(AB$3,0),$H78&gt;=AB$3),"D","")))</f>
        <v/>
      </c>
      <c r="AC78" s="214">
        <f>IF($AH78="","",IF(AND($E78&lt;&gt;"",$E78&lt;=EOMONTH(AC$3,0),$F78&gt;=AC$3),IF(AND($G78&lt;&gt;"",$G78&lt;=EOMONTH(AC$3,0),$H78&gt;=AC$3),"B","U"),IF(AND($G78&lt;&gt;"",$G78&lt;=EOMONTH(AC$3,0),$H78&gt;=AC$3),"D","")))</f>
        <v/>
      </c>
      <c r="AD78" s="214">
        <f>IF($AH78="","",IF(AND($E78&lt;&gt;"",$E78&lt;=EOMONTH(AD$3,0),$F78&gt;=AD$3),IF(AND($G78&lt;&gt;"",$G78&lt;=EOMONTH(AD$3,0),$H78&gt;=AD$3),"B","U"),IF(AND($G78&lt;&gt;"",$G78&lt;=EOMONTH(AD$3,0),$H78&gt;=AD$3),"D","")))</f>
        <v/>
      </c>
      <c r="AE78" s="214">
        <f>IF($AH78="","",IF(AND($E78&lt;&gt;"",$E78&lt;=EOMONTH(AE$3,0),$F78&gt;=AE$3),IF(AND($G78&lt;&gt;"",$G78&lt;=EOMONTH(AE$3,0),$H78&gt;=AE$3),"B","U"),IF(AND($G78&lt;&gt;"",$G78&lt;=EOMONTH(AE$3,0),$H78&gt;=AE$3),"D","")))</f>
        <v/>
      </c>
      <c r="AF78" s="214">
        <f>IF($AH78="","",IF(AND($E78&lt;&gt;"",$E78&lt;=EOMONTH(AF$3,0),$F78&gt;=AF$3),IF(AND($G78&lt;&gt;"",$G78&lt;=EOMONTH(AF$3,0),$H78&gt;=AF$3),"B","U"),IF(AND($G78&lt;&gt;"",$G78&lt;=EOMONTH(AF$3,0),$H78&gt;=AF$3),"D","")))</f>
        <v/>
      </c>
      <c r="AG78">
        <f>IF($AH78="","",INDEX('Roadmap Calc (Don’t Touch)'!$D$2:$D$205,$AH78))</f>
        <v/>
      </c>
      <c r="AH78">
        <f>IFERROR(MATCH(72,'Roadmap Calc (Don’t Touch)'!$O$2:$O$205,0),"")</f>
        <v/>
      </c>
    </row>
    <row r="79" ht="17" customHeight="1">
      <c r="A79" s="209">
        <f>IF($AH79="","",IF($AG79=$AG78,"",$AG79))</f>
        <v/>
      </c>
      <c r="B79" s="210">
        <f>IF($AH79="","",INDEX('Roadmap Calc (Don’t Touch)'!$B$2:$B$205,$AH79))</f>
        <v/>
      </c>
      <c r="C79" s="211">
        <f>IF($AH79="","",INDEX('Roadmap Calc (Don’t Touch)'!$E$2:$E$205,$AH79))</f>
        <v/>
      </c>
      <c r="D79" s="212">
        <f>IF($AH79="","",INDEX('Roadmap Calc (Don’t Touch)'!$F$2:$F$205,$AH79))</f>
        <v/>
      </c>
      <c r="E79" s="213">
        <f>IF($AH79="","",INDEX('Roadmap Calc (Don’t Touch)'!$G$2:$G$205,$AH79))</f>
        <v/>
      </c>
      <c r="F79" s="213">
        <f>IF($AH79="","",INDEX('Roadmap Calc (Don’t Touch)'!$H$2:$H$205,$AH79))</f>
        <v/>
      </c>
      <c r="G79" s="213">
        <f>IF($AH79="","",INDEX('Roadmap Calc (Don’t Touch)'!$I$2:$I$205,$AH79))</f>
        <v/>
      </c>
      <c r="H79" s="213">
        <f>IF($AH79="","",INDEX('Roadmap Calc (Don’t Touch)'!$J$2:$J$205,$AH79))</f>
        <v/>
      </c>
      <c r="I79" s="214">
        <f>IF($AH79="","",IF(AND($E79&lt;&gt;"",$E79&lt;=EOMONTH(I$3,0),$F79&gt;=I$3),IF(AND($G79&lt;&gt;"",$G79&lt;=EOMONTH(I$3,0),$H79&gt;=I$3),"B","U"),IF(AND($G79&lt;&gt;"",$G79&lt;=EOMONTH(I$3,0),$H79&gt;=I$3),"D","")))</f>
        <v/>
      </c>
      <c r="J79" s="214">
        <f>IF($AH79="","",IF(AND($E79&lt;&gt;"",$E79&lt;=EOMONTH(J$3,0),$F79&gt;=J$3),IF(AND($G79&lt;&gt;"",$G79&lt;=EOMONTH(J$3,0),$H79&gt;=J$3),"B","U"),IF(AND($G79&lt;&gt;"",$G79&lt;=EOMONTH(J$3,0),$H79&gt;=J$3),"D","")))</f>
        <v/>
      </c>
      <c r="K79" s="214">
        <f>IF($AH79="","",IF(AND($E79&lt;&gt;"",$E79&lt;=EOMONTH(K$3,0),$F79&gt;=K$3),IF(AND($G79&lt;&gt;"",$G79&lt;=EOMONTH(K$3,0),$H79&gt;=K$3),"B","U"),IF(AND($G79&lt;&gt;"",$G79&lt;=EOMONTH(K$3,0),$H79&gt;=K$3),"D","")))</f>
        <v/>
      </c>
      <c r="L79" s="214">
        <f>IF($AH79="","",IF(AND($E79&lt;&gt;"",$E79&lt;=EOMONTH(L$3,0),$F79&gt;=L$3),IF(AND($G79&lt;&gt;"",$G79&lt;=EOMONTH(L$3,0),$H79&gt;=L$3),"B","U"),IF(AND($G79&lt;&gt;"",$G79&lt;=EOMONTH(L$3,0),$H79&gt;=L$3),"D","")))</f>
        <v/>
      </c>
      <c r="M79" s="214">
        <f>IF($AH79="","",IF(AND($E79&lt;&gt;"",$E79&lt;=EOMONTH(M$3,0),$F79&gt;=M$3),IF(AND($G79&lt;&gt;"",$G79&lt;=EOMONTH(M$3,0),$H79&gt;=M$3),"B","U"),IF(AND($G79&lt;&gt;"",$G79&lt;=EOMONTH(M$3,0),$H79&gt;=M$3),"D","")))</f>
        <v/>
      </c>
      <c r="N79" s="214">
        <f>IF($AH79="","",IF(AND($E79&lt;&gt;"",$E79&lt;=EOMONTH(N$3,0),$F79&gt;=N$3),IF(AND($G79&lt;&gt;"",$G79&lt;=EOMONTH(N$3,0),$H79&gt;=N$3),"B","U"),IF(AND($G79&lt;&gt;"",$G79&lt;=EOMONTH(N$3,0),$H79&gt;=N$3),"D","")))</f>
        <v/>
      </c>
      <c r="O79" s="214">
        <f>IF($AH79="","",IF(AND($E79&lt;&gt;"",$E79&lt;=EOMONTH(O$3,0),$F79&gt;=O$3),IF(AND($G79&lt;&gt;"",$G79&lt;=EOMONTH(O$3,0),$H79&gt;=O$3),"B","U"),IF(AND($G79&lt;&gt;"",$G79&lt;=EOMONTH(O$3,0),$H79&gt;=O$3),"D","")))</f>
        <v/>
      </c>
      <c r="P79" s="214">
        <f>IF($AH79="","",IF(AND($E79&lt;&gt;"",$E79&lt;=EOMONTH(P$3,0),$F79&gt;=P$3),IF(AND($G79&lt;&gt;"",$G79&lt;=EOMONTH(P$3,0),$H79&gt;=P$3),"B","U"),IF(AND($G79&lt;&gt;"",$G79&lt;=EOMONTH(P$3,0),$H79&gt;=P$3),"D","")))</f>
        <v/>
      </c>
      <c r="Q79" s="214">
        <f>IF($AH79="","",IF(AND($E79&lt;&gt;"",$E79&lt;=EOMONTH(Q$3,0),$F79&gt;=Q$3),IF(AND($G79&lt;&gt;"",$G79&lt;=EOMONTH(Q$3,0),$H79&gt;=Q$3),"B","U"),IF(AND($G79&lt;&gt;"",$G79&lt;=EOMONTH(Q$3,0),$H79&gt;=Q$3),"D","")))</f>
        <v/>
      </c>
      <c r="R79" s="214">
        <f>IF($AH79="","",IF(AND($E79&lt;&gt;"",$E79&lt;=EOMONTH(R$3,0),$F79&gt;=R$3),IF(AND($G79&lt;&gt;"",$G79&lt;=EOMONTH(R$3,0),$H79&gt;=R$3),"B","U"),IF(AND($G79&lt;&gt;"",$G79&lt;=EOMONTH(R$3,0),$H79&gt;=R$3),"D","")))</f>
        <v/>
      </c>
      <c r="S79" s="214">
        <f>IF($AH79="","",IF(AND($E79&lt;&gt;"",$E79&lt;=EOMONTH(S$3,0),$F79&gt;=S$3),IF(AND($G79&lt;&gt;"",$G79&lt;=EOMONTH(S$3,0),$H79&gt;=S$3),"B","U"),IF(AND($G79&lt;&gt;"",$G79&lt;=EOMONTH(S$3,0),$H79&gt;=S$3),"D","")))</f>
        <v/>
      </c>
      <c r="T79" s="214">
        <f>IF($AH79="","",IF(AND($E79&lt;&gt;"",$E79&lt;=EOMONTH(T$3,0),$F79&gt;=T$3),IF(AND($G79&lt;&gt;"",$G79&lt;=EOMONTH(T$3,0),$H79&gt;=T$3),"B","U"),IF(AND($G79&lt;&gt;"",$G79&lt;=EOMONTH(T$3,0),$H79&gt;=T$3),"D","")))</f>
        <v/>
      </c>
      <c r="U79" s="214">
        <f>IF($AH79="","",IF(AND($E79&lt;&gt;"",$E79&lt;=EOMONTH(U$3,0),$F79&gt;=U$3),IF(AND($G79&lt;&gt;"",$G79&lt;=EOMONTH(U$3,0),$H79&gt;=U$3),"B","U"),IF(AND($G79&lt;&gt;"",$G79&lt;=EOMONTH(U$3,0),$H79&gt;=U$3),"D","")))</f>
        <v/>
      </c>
      <c r="V79" s="214">
        <f>IF($AH79="","",IF(AND($E79&lt;&gt;"",$E79&lt;=EOMONTH(V$3,0),$F79&gt;=V$3),IF(AND($G79&lt;&gt;"",$G79&lt;=EOMONTH(V$3,0),$H79&gt;=V$3),"B","U"),IF(AND($G79&lt;&gt;"",$G79&lt;=EOMONTH(V$3,0),$H79&gt;=V$3),"D","")))</f>
        <v/>
      </c>
      <c r="W79" s="214">
        <f>IF($AH79="","",IF(AND($E79&lt;&gt;"",$E79&lt;=EOMONTH(W$3,0),$F79&gt;=W$3),IF(AND($G79&lt;&gt;"",$G79&lt;=EOMONTH(W$3,0),$H79&gt;=W$3),"B","U"),IF(AND($G79&lt;&gt;"",$G79&lt;=EOMONTH(W$3,0),$H79&gt;=W$3),"D","")))</f>
        <v/>
      </c>
      <c r="X79" s="214">
        <f>IF($AH79="","",IF(AND($E79&lt;&gt;"",$E79&lt;=EOMONTH(X$3,0),$F79&gt;=X$3),IF(AND($G79&lt;&gt;"",$G79&lt;=EOMONTH(X$3,0),$H79&gt;=X$3),"B","U"),IF(AND($G79&lt;&gt;"",$G79&lt;=EOMONTH(X$3,0),$H79&gt;=X$3),"D","")))</f>
        <v/>
      </c>
      <c r="Y79" s="214">
        <f>IF($AH79="","",IF(AND($E79&lt;&gt;"",$E79&lt;=EOMONTH(Y$3,0),$F79&gt;=Y$3),IF(AND($G79&lt;&gt;"",$G79&lt;=EOMONTH(Y$3,0),$H79&gt;=Y$3),"B","U"),IF(AND($G79&lt;&gt;"",$G79&lt;=EOMONTH(Y$3,0),$H79&gt;=Y$3),"D","")))</f>
        <v/>
      </c>
      <c r="Z79" s="214">
        <f>IF($AH79="","",IF(AND($E79&lt;&gt;"",$E79&lt;=EOMONTH(Z$3,0),$F79&gt;=Z$3),IF(AND($G79&lt;&gt;"",$G79&lt;=EOMONTH(Z$3,0),$H79&gt;=Z$3),"B","U"),IF(AND($G79&lt;&gt;"",$G79&lt;=EOMONTH(Z$3,0),$H79&gt;=Z$3),"D","")))</f>
        <v/>
      </c>
      <c r="AA79" s="214">
        <f>IF($AH79="","",IF(AND($E79&lt;&gt;"",$E79&lt;=EOMONTH(AA$3,0),$F79&gt;=AA$3),IF(AND($G79&lt;&gt;"",$G79&lt;=EOMONTH(AA$3,0),$H79&gt;=AA$3),"B","U"),IF(AND($G79&lt;&gt;"",$G79&lt;=EOMONTH(AA$3,0),$H79&gt;=AA$3),"D","")))</f>
        <v/>
      </c>
      <c r="AB79" s="214">
        <f>IF($AH79="","",IF(AND($E79&lt;&gt;"",$E79&lt;=EOMONTH(AB$3,0),$F79&gt;=AB$3),IF(AND($G79&lt;&gt;"",$G79&lt;=EOMONTH(AB$3,0),$H79&gt;=AB$3),"B","U"),IF(AND($G79&lt;&gt;"",$G79&lt;=EOMONTH(AB$3,0),$H79&gt;=AB$3),"D","")))</f>
        <v/>
      </c>
      <c r="AC79" s="214">
        <f>IF($AH79="","",IF(AND($E79&lt;&gt;"",$E79&lt;=EOMONTH(AC$3,0),$F79&gt;=AC$3),IF(AND($G79&lt;&gt;"",$G79&lt;=EOMONTH(AC$3,0),$H79&gt;=AC$3),"B","U"),IF(AND($G79&lt;&gt;"",$G79&lt;=EOMONTH(AC$3,0),$H79&gt;=AC$3),"D","")))</f>
        <v/>
      </c>
      <c r="AD79" s="214">
        <f>IF($AH79="","",IF(AND($E79&lt;&gt;"",$E79&lt;=EOMONTH(AD$3,0),$F79&gt;=AD$3),IF(AND($G79&lt;&gt;"",$G79&lt;=EOMONTH(AD$3,0),$H79&gt;=AD$3),"B","U"),IF(AND($G79&lt;&gt;"",$G79&lt;=EOMONTH(AD$3,0),$H79&gt;=AD$3),"D","")))</f>
        <v/>
      </c>
      <c r="AE79" s="214">
        <f>IF($AH79="","",IF(AND($E79&lt;&gt;"",$E79&lt;=EOMONTH(AE$3,0),$F79&gt;=AE$3),IF(AND($G79&lt;&gt;"",$G79&lt;=EOMONTH(AE$3,0),$H79&gt;=AE$3),"B","U"),IF(AND($G79&lt;&gt;"",$G79&lt;=EOMONTH(AE$3,0),$H79&gt;=AE$3),"D","")))</f>
        <v/>
      </c>
      <c r="AF79" s="214">
        <f>IF($AH79="","",IF(AND($E79&lt;&gt;"",$E79&lt;=EOMONTH(AF$3,0),$F79&gt;=AF$3),IF(AND($G79&lt;&gt;"",$G79&lt;=EOMONTH(AF$3,0),$H79&gt;=AF$3),"B","U"),IF(AND($G79&lt;&gt;"",$G79&lt;=EOMONTH(AF$3,0),$H79&gt;=AF$3),"D","")))</f>
        <v/>
      </c>
      <c r="AG79">
        <f>IF($AH79="","",INDEX('Roadmap Calc (Don’t Touch)'!$D$2:$D$205,$AH79))</f>
        <v/>
      </c>
      <c r="AH79">
        <f>IFERROR(MATCH(73,'Roadmap Calc (Don’t Touch)'!$O$2:$O$205,0),"")</f>
        <v/>
      </c>
    </row>
    <row r="80" ht="17" customHeight="1">
      <c r="A80" s="209">
        <f>IF($AH80="","",IF($AG80=$AG79,"",$AG80))</f>
        <v/>
      </c>
      <c r="B80" s="210">
        <f>IF($AH80="","",INDEX('Roadmap Calc (Don’t Touch)'!$B$2:$B$205,$AH80))</f>
        <v/>
      </c>
      <c r="C80" s="211">
        <f>IF($AH80="","",INDEX('Roadmap Calc (Don’t Touch)'!$E$2:$E$205,$AH80))</f>
        <v/>
      </c>
      <c r="D80" s="212">
        <f>IF($AH80="","",INDEX('Roadmap Calc (Don’t Touch)'!$F$2:$F$205,$AH80))</f>
        <v/>
      </c>
      <c r="E80" s="213">
        <f>IF($AH80="","",INDEX('Roadmap Calc (Don’t Touch)'!$G$2:$G$205,$AH80))</f>
        <v/>
      </c>
      <c r="F80" s="213">
        <f>IF($AH80="","",INDEX('Roadmap Calc (Don’t Touch)'!$H$2:$H$205,$AH80))</f>
        <v/>
      </c>
      <c r="G80" s="213">
        <f>IF($AH80="","",INDEX('Roadmap Calc (Don’t Touch)'!$I$2:$I$205,$AH80))</f>
        <v/>
      </c>
      <c r="H80" s="213">
        <f>IF($AH80="","",INDEX('Roadmap Calc (Don’t Touch)'!$J$2:$J$205,$AH80))</f>
        <v/>
      </c>
      <c r="I80" s="214">
        <f>IF($AH80="","",IF(AND($E80&lt;&gt;"",$E80&lt;=EOMONTH(I$3,0),$F80&gt;=I$3),IF(AND($G80&lt;&gt;"",$G80&lt;=EOMONTH(I$3,0),$H80&gt;=I$3),"B","U"),IF(AND($G80&lt;&gt;"",$G80&lt;=EOMONTH(I$3,0),$H80&gt;=I$3),"D","")))</f>
        <v/>
      </c>
      <c r="J80" s="214">
        <f>IF($AH80="","",IF(AND($E80&lt;&gt;"",$E80&lt;=EOMONTH(J$3,0),$F80&gt;=J$3),IF(AND($G80&lt;&gt;"",$G80&lt;=EOMONTH(J$3,0),$H80&gt;=J$3),"B","U"),IF(AND($G80&lt;&gt;"",$G80&lt;=EOMONTH(J$3,0),$H80&gt;=J$3),"D","")))</f>
        <v/>
      </c>
      <c r="K80" s="214">
        <f>IF($AH80="","",IF(AND($E80&lt;&gt;"",$E80&lt;=EOMONTH(K$3,0),$F80&gt;=K$3),IF(AND($G80&lt;&gt;"",$G80&lt;=EOMONTH(K$3,0),$H80&gt;=K$3),"B","U"),IF(AND($G80&lt;&gt;"",$G80&lt;=EOMONTH(K$3,0),$H80&gt;=K$3),"D","")))</f>
        <v/>
      </c>
      <c r="L80" s="214">
        <f>IF($AH80="","",IF(AND($E80&lt;&gt;"",$E80&lt;=EOMONTH(L$3,0),$F80&gt;=L$3),IF(AND($G80&lt;&gt;"",$G80&lt;=EOMONTH(L$3,0),$H80&gt;=L$3),"B","U"),IF(AND($G80&lt;&gt;"",$G80&lt;=EOMONTH(L$3,0),$H80&gt;=L$3),"D","")))</f>
        <v/>
      </c>
      <c r="M80" s="214">
        <f>IF($AH80="","",IF(AND($E80&lt;&gt;"",$E80&lt;=EOMONTH(M$3,0),$F80&gt;=M$3),IF(AND($G80&lt;&gt;"",$G80&lt;=EOMONTH(M$3,0),$H80&gt;=M$3),"B","U"),IF(AND($G80&lt;&gt;"",$G80&lt;=EOMONTH(M$3,0),$H80&gt;=M$3),"D","")))</f>
        <v/>
      </c>
      <c r="N80" s="214">
        <f>IF($AH80="","",IF(AND($E80&lt;&gt;"",$E80&lt;=EOMONTH(N$3,0),$F80&gt;=N$3),IF(AND($G80&lt;&gt;"",$G80&lt;=EOMONTH(N$3,0),$H80&gt;=N$3),"B","U"),IF(AND($G80&lt;&gt;"",$G80&lt;=EOMONTH(N$3,0),$H80&gt;=N$3),"D","")))</f>
        <v/>
      </c>
      <c r="O80" s="214">
        <f>IF($AH80="","",IF(AND($E80&lt;&gt;"",$E80&lt;=EOMONTH(O$3,0),$F80&gt;=O$3),IF(AND($G80&lt;&gt;"",$G80&lt;=EOMONTH(O$3,0),$H80&gt;=O$3),"B","U"),IF(AND($G80&lt;&gt;"",$G80&lt;=EOMONTH(O$3,0),$H80&gt;=O$3),"D","")))</f>
        <v/>
      </c>
      <c r="P80" s="214">
        <f>IF($AH80="","",IF(AND($E80&lt;&gt;"",$E80&lt;=EOMONTH(P$3,0),$F80&gt;=P$3),IF(AND($G80&lt;&gt;"",$G80&lt;=EOMONTH(P$3,0),$H80&gt;=P$3),"B","U"),IF(AND($G80&lt;&gt;"",$G80&lt;=EOMONTH(P$3,0),$H80&gt;=P$3),"D","")))</f>
        <v/>
      </c>
      <c r="Q80" s="214">
        <f>IF($AH80="","",IF(AND($E80&lt;&gt;"",$E80&lt;=EOMONTH(Q$3,0),$F80&gt;=Q$3),IF(AND($G80&lt;&gt;"",$G80&lt;=EOMONTH(Q$3,0),$H80&gt;=Q$3),"B","U"),IF(AND($G80&lt;&gt;"",$G80&lt;=EOMONTH(Q$3,0),$H80&gt;=Q$3),"D","")))</f>
        <v/>
      </c>
      <c r="R80" s="214">
        <f>IF($AH80="","",IF(AND($E80&lt;&gt;"",$E80&lt;=EOMONTH(R$3,0),$F80&gt;=R$3),IF(AND($G80&lt;&gt;"",$G80&lt;=EOMONTH(R$3,0),$H80&gt;=R$3),"B","U"),IF(AND($G80&lt;&gt;"",$G80&lt;=EOMONTH(R$3,0),$H80&gt;=R$3),"D","")))</f>
        <v/>
      </c>
      <c r="S80" s="214">
        <f>IF($AH80="","",IF(AND($E80&lt;&gt;"",$E80&lt;=EOMONTH(S$3,0),$F80&gt;=S$3),IF(AND($G80&lt;&gt;"",$G80&lt;=EOMONTH(S$3,0),$H80&gt;=S$3),"B","U"),IF(AND($G80&lt;&gt;"",$G80&lt;=EOMONTH(S$3,0),$H80&gt;=S$3),"D","")))</f>
        <v/>
      </c>
      <c r="T80" s="214">
        <f>IF($AH80="","",IF(AND($E80&lt;&gt;"",$E80&lt;=EOMONTH(T$3,0),$F80&gt;=T$3),IF(AND($G80&lt;&gt;"",$G80&lt;=EOMONTH(T$3,0),$H80&gt;=T$3),"B","U"),IF(AND($G80&lt;&gt;"",$G80&lt;=EOMONTH(T$3,0),$H80&gt;=T$3),"D","")))</f>
        <v/>
      </c>
      <c r="U80" s="214">
        <f>IF($AH80="","",IF(AND($E80&lt;&gt;"",$E80&lt;=EOMONTH(U$3,0),$F80&gt;=U$3),IF(AND($G80&lt;&gt;"",$G80&lt;=EOMONTH(U$3,0),$H80&gt;=U$3),"B","U"),IF(AND($G80&lt;&gt;"",$G80&lt;=EOMONTH(U$3,0),$H80&gt;=U$3),"D","")))</f>
        <v/>
      </c>
      <c r="V80" s="214">
        <f>IF($AH80="","",IF(AND($E80&lt;&gt;"",$E80&lt;=EOMONTH(V$3,0),$F80&gt;=V$3),IF(AND($G80&lt;&gt;"",$G80&lt;=EOMONTH(V$3,0),$H80&gt;=V$3),"B","U"),IF(AND($G80&lt;&gt;"",$G80&lt;=EOMONTH(V$3,0),$H80&gt;=V$3),"D","")))</f>
        <v/>
      </c>
      <c r="W80" s="214">
        <f>IF($AH80="","",IF(AND($E80&lt;&gt;"",$E80&lt;=EOMONTH(W$3,0),$F80&gt;=W$3),IF(AND($G80&lt;&gt;"",$G80&lt;=EOMONTH(W$3,0),$H80&gt;=W$3),"B","U"),IF(AND($G80&lt;&gt;"",$G80&lt;=EOMONTH(W$3,0),$H80&gt;=W$3),"D","")))</f>
        <v/>
      </c>
      <c r="X80" s="214">
        <f>IF($AH80="","",IF(AND($E80&lt;&gt;"",$E80&lt;=EOMONTH(X$3,0),$F80&gt;=X$3),IF(AND($G80&lt;&gt;"",$G80&lt;=EOMONTH(X$3,0),$H80&gt;=X$3),"B","U"),IF(AND($G80&lt;&gt;"",$G80&lt;=EOMONTH(X$3,0),$H80&gt;=X$3),"D","")))</f>
        <v/>
      </c>
      <c r="Y80" s="214">
        <f>IF($AH80="","",IF(AND($E80&lt;&gt;"",$E80&lt;=EOMONTH(Y$3,0),$F80&gt;=Y$3),IF(AND($G80&lt;&gt;"",$G80&lt;=EOMONTH(Y$3,0),$H80&gt;=Y$3),"B","U"),IF(AND($G80&lt;&gt;"",$G80&lt;=EOMONTH(Y$3,0),$H80&gt;=Y$3),"D","")))</f>
        <v/>
      </c>
      <c r="Z80" s="214">
        <f>IF($AH80="","",IF(AND($E80&lt;&gt;"",$E80&lt;=EOMONTH(Z$3,0),$F80&gt;=Z$3),IF(AND($G80&lt;&gt;"",$G80&lt;=EOMONTH(Z$3,0),$H80&gt;=Z$3),"B","U"),IF(AND($G80&lt;&gt;"",$G80&lt;=EOMONTH(Z$3,0),$H80&gt;=Z$3),"D","")))</f>
        <v/>
      </c>
      <c r="AA80" s="214">
        <f>IF($AH80="","",IF(AND($E80&lt;&gt;"",$E80&lt;=EOMONTH(AA$3,0),$F80&gt;=AA$3),IF(AND($G80&lt;&gt;"",$G80&lt;=EOMONTH(AA$3,0),$H80&gt;=AA$3),"B","U"),IF(AND($G80&lt;&gt;"",$G80&lt;=EOMONTH(AA$3,0),$H80&gt;=AA$3),"D","")))</f>
        <v/>
      </c>
      <c r="AB80" s="214">
        <f>IF($AH80="","",IF(AND($E80&lt;&gt;"",$E80&lt;=EOMONTH(AB$3,0),$F80&gt;=AB$3),IF(AND($G80&lt;&gt;"",$G80&lt;=EOMONTH(AB$3,0),$H80&gt;=AB$3),"B","U"),IF(AND($G80&lt;&gt;"",$G80&lt;=EOMONTH(AB$3,0),$H80&gt;=AB$3),"D","")))</f>
        <v/>
      </c>
      <c r="AC80" s="214">
        <f>IF($AH80="","",IF(AND($E80&lt;&gt;"",$E80&lt;=EOMONTH(AC$3,0),$F80&gt;=AC$3),IF(AND($G80&lt;&gt;"",$G80&lt;=EOMONTH(AC$3,0),$H80&gt;=AC$3),"B","U"),IF(AND($G80&lt;&gt;"",$G80&lt;=EOMONTH(AC$3,0),$H80&gt;=AC$3),"D","")))</f>
        <v/>
      </c>
      <c r="AD80" s="214">
        <f>IF($AH80="","",IF(AND($E80&lt;&gt;"",$E80&lt;=EOMONTH(AD$3,0),$F80&gt;=AD$3),IF(AND($G80&lt;&gt;"",$G80&lt;=EOMONTH(AD$3,0),$H80&gt;=AD$3),"B","U"),IF(AND($G80&lt;&gt;"",$G80&lt;=EOMONTH(AD$3,0),$H80&gt;=AD$3),"D","")))</f>
        <v/>
      </c>
      <c r="AE80" s="214">
        <f>IF($AH80="","",IF(AND($E80&lt;&gt;"",$E80&lt;=EOMONTH(AE$3,0),$F80&gt;=AE$3),IF(AND($G80&lt;&gt;"",$G80&lt;=EOMONTH(AE$3,0),$H80&gt;=AE$3),"B","U"),IF(AND($G80&lt;&gt;"",$G80&lt;=EOMONTH(AE$3,0),$H80&gt;=AE$3),"D","")))</f>
        <v/>
      </c>
      <c r="AF80" s="214">
        <f>IF($AH80="","",IF(AND($E80&lt;&gt;"",$E80&lt;=EOMONTH(AF$3,0),$F80&gt;=AF$3),IF(AND($G80&lt;&gt;"",$G80&lt;=EOMONTH(AF$3,0),$H80&gt;=AF$3),"B","U"),IF(AND($G80&lt;&gt;"",$G80&lt;=EOMONTH(AF$3,0),$H80&gt;=AF$3),"D","")))</f>
        <v/>
      </c>
      <c r="AG80">
        <f>IF($AH80="","",INDEX('Roadmap Calc (Don’t Touch)'!$D$2:$D$205,$AH80))</f>
        <v/>
      </c>
      <c r="AH80">
        <f>IFERROR(MATCH(74,'Roadmap Calc (Don’t Touch)'!$O$2:$O$205,0),"")</f>
        <v/>
      </c>
    </row>
    <row r="82" ht="14" customHeight="1">
      <c r="A82" s="215" t="inlineStr">
        <is>
          <t>How this tab works</t>
        </is>
      </c>
    </row>
    <row r="83" ht="14" customHeight="1">
      <c r="A83" s="216" t="inlineStr">
        <is>
          <t>• Every row is generated from the Weekly tab. Add, edit or delete a row there (Theme #1, Title, Jira, Status, and the weekly resourcing cells) and this roadmap redraws itself — nothing here is typed by hand.</t>
        </is>
      </c>
    </row>
    <row r="84" ht="14" customHeight="1">
      <c r="A84" s="216" t="inlineStr">
        <is>
          <t>• Swim lanes = Theme #1 on the Weekly tab, ordered by the Theme list on the Control tab. Rows sort by Theme, then by Status. A deliverable with no Theme #1 falls into a “(No theme assigned)” lane at the bottom.</t>
        </is>
      </c>
    </row>
    <row r="85" ht="14" customHeight="1">
      <c r="A85" s="216" t="inlineStr">
        <is>
          <t>• Blue “U” bar = UX / design window, derived from the first and last resourced week on the Weekly tab. Green “D” bar = dev sprint window, from Start Sprint / End Sprint on the Initiative Tracker. Purple “B” = both fall in that month.</t>
        </is>
      </c>
    </row>
    <row r="86" ht="14" customHeight="1">
      <c r="A86" s="216" t="inlineStr">
        <is>
          <t>• Weekly and the Initiative Tracker are matched on Deliverable title first, then Jira number. Tracker rows that match nothing in Weekly still appear, in a “(Tracker only — no Weekly row)” lane at the bottom, so no initiative is silently dropped. Align the title in Weekly and the row merges into its proper theme lane.</t>
        </is>
      </c>
    </row>
    <row r="87" ht="14" customHeight="1">
      <c r="A87" s="216" t="inlineStr">
        <is>
          <t>• The amber column is the current month. Rows 7–80 are pre-wired, so up to 74 deliverables are supported without touching a formula. Dates are read as “Mmm yyyy” text; a Start/End Sprint with no year is assumed to be the current year.</t>
        </is>
      </c>
    </row>
    <row r="88" ht="14" customHeight="1">
      <c r="A88" s="216" t="inlineStr">
        <is>
          <t>• Hidden tab “Roadmap Calc (Don’t Touch)” does the lookup and sorting. Unhide it to audit; don’t edit it.</t>
        </is>
      </c>
    </row>
  </sheetData>
  <mergeCells count="14">
    <mergeCell ref="AA2:AF2"/>
    <mergeCell ref="O5:Q5"/>
    <mergeCell ref="AA5:AC5"/>
    <mergeCell ref="U5:W5"/>
    <mergeCell ref="AD5:AF5"/>
    <mergeCell ref="X5:Z5"/>
    <mergeCell ref="V2:Z2"/>
    <mergeCell ref="I5:K5"/>
    <mergeCell ref="R5:T5"/>
    <mergeCell ref="L5:N5"/>
    <mergeCell ref="J2:N2"/>
    <mergeCell ref="P2:T2"/>
    <mergeCell ref="U4:AF4"/>
    <mergeCell ref="I4:T4"/>
  </mergeCells>
  <conditionalFormatting sqref="I7:AF80">
    <cfRule type="expression" priority="1" dxfId="49" stopIfTrue="0">
      <formula>I7="U"</formula>
    </cfRule>
    <cfRule type="expression" priority="2" dxfId="50" stopIfTrue="0">
      <formula>I7="D"</formula>
    </cfRule>
    <cfRule type="expression" priority="3" dxfId="51" stopIfTrue="0">
      <formula>I7="B"</formula>
    </cfRule>
    <cfRule type="expression" priority="4" dxfId="52" stopIfTrue="0">
      <formula>AND($B7&lt;&gt;"",I$3&lt;=TODAY(),EOMONTH(I$3,0)&gt;=TODAY())</formula>
    </cfRule>
    <cfRule type="expression" priority="5" dxfId="53" stopIfTrue="0">
      <formula>AND($AG7&lt;&gt;"",$AG7&lt;&gt;$AG6)</formula>
    </cfRule>
    <cfRule type="expression" priority="6" dxfId="54" stopIfTrue="0">
      <formula>$B7&lt;&gt;""</formula>
    </cfRule>
  </conditionalFormatting>
  <conditionalFormatting sqref="D7:D80">
    <cfRule type="expression" priority="7" dxfId="55" stopIfTrue="0">
      <formula>OR(LEFT($D7,2)="13",LEFT($D7,2)="7.")</formula>
    </cfRule>
    <cfRule type="expression" priority="8" dxfId="56" stopIfTrue="0">
      <formula>OR(LEFT($D7,2)="09",LEFT($D7,2)="10",LEFT($D7,2)="11",LEFT($D7,2)="12",LEFT($D7,2)="4.",LEFT($D7,2)="5.")</formula>
    </cfRule>
    <cfRule type="expression" priority="9" dxfId="57" stopIfTrue="0">
      <formula>OR(LEFT($D7,2)="00",LEFT($D7,2)="99")</formula>
    </cfRule>
    <cfRule type="expression" priority="10" dxfId="58" stopIfTrue="0">
      <formula>$D7&lt;&gt;""</formula>
    </cfRule>
    <cfRule type="expression" priority="11" dxfId="53" stopIfTrue="0">
      <formula>AND($AG7&lt;&gt;"",$AG7&lt;&gt;$AG6)</formula>
    </cfRule>
    <cfRule type="expression" priority="12" dxfId="54" stopIfTrue="0">
      <formula>$B7&lt;&gt;""</formula>
    </cfRule>
  </conditionalFormatting>
  <conditionalFormatting sqref="A7:C80">
    <cfRule type="expression" priority="13" dxfId="53" stopIfTrue="0">
      <formula>AND($AG7&lt;&gt;"",$AG7&lt;&gt;$AG6)</formula>
    </cfRule>
    <cfRule type="expression" priority="14" dxfId="54" stopIfTrue="0">
      <formula>$B7&lt;&gt;""</formula>
    </cfRule>
  </conditionalFormatting>
  <conditionalFormatting sqref="E7:H80">
    <cfRule type="expression" priority="15" dxfId="53" stopIfTrue="0">
      <formula>AND($AG7&lt;&gt;"",$AG7&lt;&gt;$AG6)</formula>
    </cfRule>
    <cfRule type="expression" priority="16" dxfId="54" stopIfTrue="0">
      <formula>$B7&lt;&gt;""</formula>
    </cfRule>
  </conditionalFormatting>
  <conditionalFormatting sqref="I6:AF6">
    <cfRule type="expression" priority="17" dxfId="59" stopIfTrue="0">
      <formula>AND(I$3&lt;=TODAY(),EOMONTH(I$3,0)&gt;=TODAY())</formula>
    </cfRule>
  </conditionalFormatting>
  <pageMargins left="0.75" right="0.75" top="1" bottom="1" header="0.5" footer="0.5"/>
  <pageSetup orientation="landscape" fitToHeight="0" fitToWidth="1"/>
</worksheet>
</file>

<file path=xl/worksheets/sheet901.xml><?xml version="1.0" encoding="utf-8"?>
<worksheet xmlns="http://schemas.openxmlformats.org/spreadsheetml/2006/main">
  <sheetPr>
    <tabColor rgb="009AA5B1"/>
    <outlinePr summaryBelow="1" summaryRight="1"/>
    <pageSetUpPr/>
  </sheetPr>
  <dimension ref="A1:W2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14" customWidth="1" min="3" max="3"/>
    <col width="34" customWidth="1" min="4" max="4"/>
    <col width="14" customWidth="1" min="5" max="5"/>
    <col width="2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7" customWidth="1" min="12" max="12"/>
    <col width="7" customWidth="1" min="13" max="13"/>
    <col width="12" customWidth="1" min="14" max="14"/>
    <col width="7" customWidth="1" min="15" max="15"/>
    <col width="11" customWidth="1" min="16" max="16"/>
    <col width="11" customWidth="1" min="17" max="17"/>
    <col width="3" customWidth="1" min="18" max="18"/>
    <col width="3" customWidth="1" min="19" max="19"/>
    <col width="3" customWidth="1" min="20" max="20"/>
    <col width="7" customWidth="1" min="21" max="21"/>
  </cols>
  <sheetData>
    <row r="1" ht="28" customHeight="1">
      <c r="A1" s="217" t="inlineStr">
        <is>
          <t>Weekly Row</t>
        </is>
      </c>
      <c r="B1" s="217" t="inlineStr">
        <is>
          <t>Title</t>
        </is>
      </c>
      <c r="C1" s="217" t="inlineStr">
        <is>
          <t>Portfolio</t>
        </is>
      </c>
      <c r="D1" s="217" t="inlineStr">
        <is>
          <t>Theme</t>
        </is>
      </c>
      <c r="E1" s="217" t="inlineStr">
        <is>
          <t>Jira</t>
        </is>
      </c>
      <c r="F1" s="217" t="inlineStr">
        <is>
          <t>Status</t>
        </is>
      </c>
      <c r="G1" s="217" t="inlineStr">
        <is>
          <t>UX Start</t>
        </is>
      </c>
      <c r="H1" s="217" t="inlineStr">
        <is>
          <t>UX End</t>
        </is>
      </c>
      <c r="I1" s="217" t="inlineStr">
        <is>
          <t>Dev Start</t>
        </is>
      </c>
      <c r="J1" s="217" t="inlineStr">
        <is>
          <t>Dev End</t>
        </is>
      </c>
      <c r="K1" s="217" t="inlineStr">
        <is>
          <t>Tracker Row</t>
        </is>
      </c>
      <c r="L1" s="217" t="inlineStr">
        <is>
          <t>Theme Rank</t>
        </is>
      </c>
      <c r="M1" s="217" t="inlineStr">
        <is>
          <t>Status Rank</t>
        </is>
      </c>
      <c r="N1" s="217" t="inlineStr">
        <is>
          <t>Sort Key</t>
        </is>
      </c>
      <c r="O1" s="217" t="inlineStr">
        <is>
          <t>Rank</t>
        </is>
      </c>
      <c r="P1" s="217" t="inlineStr">
        <is>
          <t>Dev Start Raw</t>
        </is>
      </c>
      <c r="Q1" s="217" t="inlineStr">
        <is>
          <t>Dev End Raw</t>
        </is>
      </c>
      <c r="U1" s="218" t="inlineStr">
        <is>
          <t>Month key</t>
        </is>
      </c>
      <c r="W1" s="219" t="inlineStr">
        <is>
          <t>AUTO-GENERATED HELPER — do not edit. Rows 2-151 read the Weekly tab; rows 155-205 pick up Initiative Tracker rows that have no matching Weekly row. The Roadmap (Auto) tab depends on it.</t>
        </is>
      </c>
    </row>
    <row r="2">
      <c r="A2" s="220" t="n">
        <v>2</v>
      </c>
      <c r="B2" s="220">
        <f>IF(TRIM(Weekly!E2)="","",TRIM(Weekly!E2))</f>
        <v/>
      </c>
      <c r="C2" s="220">
        <f>IF($B2="","",Weekly!B2)</f>
        <v/>
      </c>
      <c r="D2" s="220">
        <f>IF($B2="","",IF(TRIM(Weekly!C2)="","(No theme assigned)",TRIM(Weekly!C2)))</f>
        <v/>
      </c>
      <c r="E2" s="220">
        <f>IF($B2="","",TRIM(Weekly!F2))</f>
        <v/>
      </c>
      <c r="F2" s="220">
        <f>IF($B2="","",Weekly!G2)</f>
        <v/>
      </c>
      <c r="G2" s="221">
        <f>IF($B2="","",IF(COUNTA(Weekly!$H2:$CT2)=0,"",SUMPRODUCT(MIN(IF(Weekly!$H2:$CT2&lt;&gt;"",Weekly!$H$1:$CT$1)))))</f>
        <v/>
      </c>
      <c r="H2" s="221">
        <f>IF($B2="","",IF(COUNTA(Weekly!$H2:$CT2)=0,"",SUMPRODUCT(MAX(IF(Weekly!$H2:$CT2&lt;&gt;"",Weekly!$H$1:$CT$1)))))</f>
        <v/>
      </c>
      <c r="I2" s="221">
        <f>IF($Q2&lt;&gt;"",IF($P2&lt;&gt;"",$P2,$Q2),IF($P2&lt;&gt;"",$P2,""))</f>
        <v/>
      </c>
      <c r="J2" s="221">
        <f>IF($Q2&lt;&gt;"",EOMONTH($Q2,0),IF($P2&lt;&gt;"",EOMONTH($P2,0),""))</f>
        <v/>
      </c>
      <c r="K2" s="220">
        <f>IF($B2="","",IFERROR(MATCH($B2,'Initiative Tracker'!$A$5:$A$200,0),IF($E2="","",IFERROR(MATCH($E2,'Initiative Tracker'!$B$5:$B$200,0),""))))</f>
        <v/>
      </c>
      <c r="L2" s="220">
        <f>IF($B2="","",IFERROR(MATCH($D2,'Control (Don’t Touch)'!$E$4:$E$30,0),99))</f>
        <v/>
      </c>
      <c r="M2" s="220">
        <f>IF($B2="","",IFERROR(MATCH($F2,'Control (Don’t Touch)'!$B$4:$B$30,0),99))</f>
        <v/>
      </c>
      <c r="N2" s="220">
        <f>IF($B2="","",$L2*1000000+$M2*10000+ROW())</f>
        <v/>
      </c>
      <c r="O2" s="220">
        <f>IF($B2="","",COUNTIF($N$2:$N$205,"&lt;"&amp;$N2)+1)</f>
        <v/>
      </c>
      <c r="P2" s="221">
        <f>IF($K2="","",IFERROR(DATE(IFERROR(VALUE(RIGHT(TRIM(INDEX('Initiative Tracker'!$G$5:$G$200,$K2)),4)),YEAR(TODAY())),MATCH(LEFT(TRIM(INDEX('Initiative Tracker'!$G$5:$G$200,$K2)),3),$U$2:$U$13,0),1),""))</f>
        <v/>
      </c>
      <c r="Q2" s="221">
        <f>IF($K2="","",IFERROR(DATE(IFERROR(VALUE(RIGHT(TRIM(INDEX('Initiative Tracker'!$H$5:$H$200,$K2)),4)),YEAR(TODAY())),MATCH(LEFT(TRIM(INDEX('Initiative Tracker'!$H$5:$H$200,$K2)),3),$U$2:$U$13,0),1),""))</f>
        <v/>
      </c>
      <c r="U2" s="195" t="inlineStr">
        <is>
          <t>Jan</t>
        </is>
      </c>
    </row>
    <row r="3">
      <c r="A3" s="220" t="n">
        <v>3</v>
      </c>
      <c r="B3" s="220">
        <f>IF(TRIM(Weekly!E3)="","",TRIM(Weekly!E3))</f>
        <v/>
      </c>
      <c r="C3" s="220">
        <f>IF($B3="","",Weekly!B3)</f>
        <v/>
      </c>
      <c r="D3" s="220">
        <f>IF($B3="","",IF(TRIM(Weekly!C3)="","(No theme assigned)",TRIM(Weekly!C3)))</f>
        <v/>
      </c>
      <c r="E3" s="220">
        <f>IF($B3="","",TRIM(Weekly!F3))</f>
        <v/>
      </c>
      <c r="F3" s="220">
        <f>IF($B3="","",Weekly!G3)</f>
        <v/>
      </c>
      <c r="G3" s="221">
        <f>IF($B3="","",IF(COUNTA(Weekly!$H3:$CT3)=0,"",SUMPRODUCT(MIN(IF(Weekly!$H3:$CT3&lt;&gt;"",Weekly!$H$1:$CT$1)))))</f>
        <v/>
      </c>
      <c r="H3" s="221">
        <f>IF($B3="","",IF(COUNTA(Weekly!$H3:$CT3)=0,"",SUMPRODUCT(MAX(IF(Weekly!$H3:$CT3&lt;&gt;"",Weekly!$H$1:$CT$1)))))</f>
        <v/>
      </c>
      <c r="I3" s="221">
        <f>IF($Q3&lt;&gt;"",IF($P3&lt;&gt;"",$P3,$Q3),IF($P3&lt;&gt;"",$P3,""))</f>
        <v/>
      </c>
      <c r="J3" s="221">
        <f>IF($Q3&lt;&gt;"",EOMONTH($Q3,0),IF($P3&lt;&gt;"",EOMONTH($P3,0),""))</f>
        <v/>
      </c>
      <c r="K3" s="220">
        <f>IF($B3="","",IFERROR(MATCH($B3,'Initiative Tracker'!$A$5:$A$200,0),IF($E3="","",IFERROR(MATCH($E3,'Initiative Tracker'!$B$5:$B$200,0),""))))</f>
        <v/>
      </c>
      <c r="L3" s="220">
        <f>IF($B3="","",IFERROR(MATCH($D3,'Control (Don’t Touch)'!$E$4:$E$30,0),99))</f>
        <v/>
      </c>
      <c r="M3" s="220">
        <f>IF($B3="","",IFERROR(MATCH($F3,'Control (Don’t Touch)'!$B$4:$B$30,0),99))</f>
        <v/>
      </c>
      <c r="N3" s="220">
        <f>IF($B3="","",$L3*1000000+$M3*10000+ROW())</f>
        <v/>
      </c>
      <c r="O3" s="220">
        <f>IF($B3="","",COUNTIF($N$2:$N$205,"&lt;"&amp;$N3)+1)</f>
        <v/>
      </c>
      <c r="P3" s="221">
        <f>IF($K3="","",IFERROR(DATE(IFERROR(VALUE(RIGHT(TRIM(INDEX('Initiative Tracker'!$G$5:$G$200,$K3)),4)),YEAR(TODAY())),MATCH(LEFT(TRIM(INDEX('Initiative Tracker'!$G$5:$G$200,$K3)),3),$U$2:$U$13,0),1),""))</f>
        <v/>
      </c>
      <c r="Q3" s="221">
        <f>IF($K3="","",IFERROR(DATE(IFERROR(VALUE(RIGHT(TRIM(INDEX('Initiative Tracker'!$H$5:$H$200,$K3)),4)),YEAR(TODAY())),MATCH(LEFT(TRIM(INDEX('Initiative Tracker'!$H$5:$H$200,$K3)),3),$U$2:$U$13,0),1),""))</f>
        <v/>
      </c>
      <c r="U3" s="195" t="inlineStr">
        <is>
          <t>Feb</t>
        </is>
      </c>
    </row>
    <row r="4">
      <c r="A4" s="220" t="n">
        <v>4</v>
      </c>
      <c r="B4" s="220">
        <f>IF(TRIM(Weekly!E4)="","",TRIM(Weekly!E4))</f>
        <v/>
      </c>
      <c r="C4" s="220">
        <f>IF($B4="","",Weekly!B4)</f>
        <v/>
      </c>
      <c r="D4" s="220">
        <f>IF($B4="","",IF(TRIM(Weekly!C4)="","(No theme assigned)",TRIM(Weekly!C4)))</f>
        <v/>
      </c>
      <c r="E4" s="220">
        <f>IF($B4="","",TRIM(Weekly!F4))</f>
        <v/>
      </c>
      <c r="F4" s="220">
        <f>IF($B4="","",Weekly!G4)</f>
        <v/>
      </c>
      <c r="G4" s="221">
        <f>IF($B4="","",IF(COUNTA(Weekly!$H4:$CT4)=0,"",SUMPRODUCT(MIN(IF(Weekly!$H4:$CT4&lt;&gt;"",Weekly!$H$1:$CT$1)))))</f>
        <v/>
      </c>
      <c r="H4" s="221">
        <f>IF($B4="","",IF(COUNTA(Weekly!$H4:$CT4)=0,"",SUMPRODUCT(MAX(IF(Weekly!$H4:$CT4&lt;&gt;"",Weekly!$H$1:$CT$1)))))</f>
        <v/>
      </c>
      <c r="I4" s="221">
        <f>IF($Q4&lt;&gt;"",IF($P4&lt;&gt;"",$P4,$Q4),IF($P4&lt;&gt;"",$P4,""))</f>
        <v/>
      </c>
      <c r="J4" s="221">
        <f>IF($Q4&lt;&gt;"",EOMONTH($Q4,0),IF($P4&lt;&gt;"",EOMONTH($P4,0),""))</f>
        <v/>
      </c>
      <c r="K4" s="220">
        <f>IF($B4="","",IFERROR(MATCH($B4,'Initiative Tracker'!$A$5:$A$200,0),IF($E4="","",IFERROR(MATCH($E4,'Initiative Tracker'!$B$5:$B$200,0),""))))</f>
        <v/>
      </c>
      <c r="L4" s="220">
        <f>IF($B4="","",IFERROR(MATCH($D4,'Control (Don’t Touch)'!$E$4:$E$30,0),99))</f>
        <v/>
      </c>
      <c r="M4" s="220">
        <f>IF($B4="","",IFERROR(MATCH($F4,'Control (Don’t Touch)'!$B$4:$B$30,0),99))</f>
        <v/>
      </c>
      <c r="N4" s="220">
        <f>IF($B4="","",$L4*1000000+$M4*10000+ROW())</f>
        <v/>
      </c>
      <c r="O4" s="220">
        <f>IF($B4="","",COUNTIF($N$2:$N$205,"&lt;"&amp;$N4)+1)</f>
        <v/>
      </c>
      <c r="P4" s="221">
        <f>IF($K4="","",IFERROR(DATE(IFERROR(VALUE(RIGHT(TRIM(INDEX('Initiative Tracker'!$G$5:$G$200,$K4)),4)),YEAR(TODAY())),MATCH(LEFT(TRIM(INDEX('Initiative Tracker'!$G$5:$G$200,$K4)),3),$U$2:$U$13,0),1),""))</f>
        <v/>
      </c>
      <c r="Q4" s="221">
        <f>IF($K4="","",IFERROR(DATE(IFERROR(VALUE(RIGHT(TRIM(INDEX('Initiative Tracker'!$H$5:$H$200,$K4)),4)),YEAR(TODAY())),MATCH(LEFT(TRIM(INDEX('Initiative Tracker'!$H$5:$H$200,$K4)),3),$U$2:$U$13,0),1),""))</f>
        <v/>
      </c>
      <c r="U4" s="195" t="inlineStr">
        <is>
          <t>Mar</t>
        </is>
      </c>
    </row>
    <row r="5">
      <c r="A5" s="220" t="n">
        <v>5</v>
      </c>
      <c r="B5" s="220">
        <f>IF(TRIM(Weekly!E5)="","",TRIM(Weekly!E5))</f>
        <v/>
      </c>
      <c r="C5" s="220">
        <f>IF($B5="","",Weekly!B5)</f>
        <v/>
      </c>
      <c r="D5" s="220">
        <f>IF($B5="","",IF(TRIM(Weekly!C5)="","(No theme assigned)",TRIM(Weekly!C5)))</f>
        <v/>
      </c>
      <c r="E5" s="220">
        <f>IF($B5="","",TRIM(Weekly!F5))</f>
        <v/>
      </c>
      <c r="F5" s="220">
        <f>IF($B5="","",Weekly!G5)</f>
        <v/>
      </c>
      <c r="G5" s="221">
        <f>IF($B5="","",IF(COUNTA(Weekly!$H5:$CT5)=0,"",SUMPRODUCT(MIN(IF(Weekly!$H5:$CT5&lt;&gt;"",Weekly!$H$1:$CT$1)))))</f>
        <v/>
      </c>
      <c r="H5" s="221">
        <f>IF($B5="","",IF(COUNTA(Weekly!$H5:$CT5)=0,"",SUMPRODUCT(MAX(IF(Weekly!$H5:$CT5&lt;&gt;"",Weekly!$H$1:$CT$1)))))</f>
        <v/>
      </c>
      <c r="I5" s="221">
        <f>IF($Q5&lt;&gt;"",IF($P5&lt;&gt;"",$P5,$Q5),IF($P5&lt;&gt;"",$P5,""))</f>
        <v/>
      </c>
      <c r="J5" s="221">
        <f>IF($Q5&lt;&gt;"",EOMONTH($Q5,0),IF($P5&lt;&gt;"",EOMONTH($P5,0),""))</f>
        <v/>
      </c>
      <c r="K5" s="220">
        <f>IF($B5="","",IFERROR(MATCH($B5,'Initiative Tracker'!$A$5:$A$200,0),IF($E5="","",IFERROR(MATCH($E5,'Initiative Tracker'!$B$5:$B$200,0),""))))</f>
        <v/>
      </c>
      <c r="L5" s="220">
        <f>IF($B5="","",IFERROR(MATCH($D5,'Control (Don’t Touch)'!$E$4:$E$30,0),99))</f>
        <v/>
      </c>
      <c r="M5" s="220">
        <f>IF($B5="","",IFERROR(MATCH($F5,'Control (Don’t Touch)'!$B$4:$B$30,0),99))</f>
        <v/>
      </c>
      <c r="N5" s="220">
        <f>IF($B5="","",$L5*1000000+$M5*10000+ROW())</f>
        <v/>
      </c>
      <c r="O5" s="220">
        <f>IF($B5="","",COUNTIF($N$2:$N$205,"&lt;"&amp;$N5)+1)</f>
        <v/>
      </c>
      <c r="P5" s="221">
        <f>IF($K5="","",IFERROR(DATE(IFERROR(VALUE(RIGHT(TRIM(INDEX('Initiative Tracker'!$G$5:$G$200,$K5)),4)),YEAR(TODAY())),MATCH(LEFT(TRIM(INDEX('Initiative Tracker'!$G$5:$G$200,$K5)),3),$U$2:$U$13,0),1),""))</f>
        <v/>
      </c>
      <c r="Q5" s="221">
        <f>IF($K5="","",IFERROR(DATE(IFERROR(VALUE(RIGHT(TRIM(INDEX('Initiative Tracker'!$H$5:$H$200,$K5)),4)),YEAR(TODAY())),MATCH(LEFT(TRIM(INDEX('Initiative Tracker'!$H$5:$H$200,$K5)),3),$U$2:$U$13,0),1),""))</f>
        <v/>
      </c>
      <c r="U5" s="195" t="inlineStr">
        <is>
          <t>Apr</t>
        </is>
      </c>
    </row>
    <row r="6">
      <c r="A6" s="220" t="n">
        <v>6</v>
      </c>
      <c r="B6" s="220">
        <f>IF(TRIM(Weekly!E6)="","",TRIM(Weekly!E6))</f>
        <v/>
      </c>
      <c r="C6" s="220">
        <f>IF($B6="","",Weekly!B6)</f>
        <v/>
      </c>
      <c r="D6" s="220">
        <f>IF($B6="","",IF(TRIM(Weekly!C6)="","(No theme assigned)",TRIM(Weekly!C6)))</f>
        <v/>
      </c>
      <c r="E6" s="220">
        <f>IF($B6="","",TRIM(Weekly!F6))</f>
        <v/>
      </c>
      <c r="F6" s="220">
        <f>IF($B6="","",Weekly!G6)</f>
        <v/>
      </c>
      <c r="G6" s="221">
        <f>IF($B6="","",IF(COUNTA(Weekly!$H6:$CT6)=0,"",SUMPRODUCT(MIN(IF(Weekly!$H6:$CT6&lt;&gt;"",Weekly!$H$1:$CT$1)))))</f>
        <v/>
      </c>
      <c r="H6" s="221">
        <f>IF($B6="","",IF(COUNTA(Weekly!$H6:$CT6)=0,"",SUMPRODUCT(MAX(IF(Weekly!$H6:$CT6&lt;&gt;"",Weekly!$H$1:$CT$1)))))</f>
        <v/>
      </c>
      <c r="I6" s="221">
        <f>IF($Q6&lt;&gt;"",IF($P6&lt;&gt;"",$P6,$Q6),IF($P6&lt;&gt;"",$P6,""))</f>
        <v/>
      </c>
      <c r="J6" s="221">
        <f>IF($Q6&lt;&gt;"",EOMONTH($Q6,0),IF($P6&lt;&gt;"",EOMONTH($P6,0),""))</f>
        <v/>
      </c>
      <c r="K6" s="220">
        <f>IF($B6="","",IFERROR(MATCH($B6,'Initiative Tracker'!$A$5:$A$200,0),IF($E6="","",IFERROR(MATCH($E6,'Initiative Tracker'!$B$5:$B$200,0),""))))</f>
        <v/>
      </c>
      <c r="L6" s="220">
        <f>IF($B6="","",IFERROR(MATCH($D6,'Control (Don’t Touch)'!$E$4:$E$30,0),99))</f>
        <v/>
      </c>
      <c r="M6" s="220">
        <f>IF($B6="","",IFERROR(MATCH($F6,'Control (Don’t Touch)'!$B$4:$B$30,0),99))</f>
        <v/>
      </c>
      <c r="N6" s="220">
        <f>IF($B6="","",$L6*1000000+$M6*10000+ROW())</f>
        <v/>
      </c>
      <c r="O6" s="220">
        <f>IF($B6="","",COUNTIF($N$2:$N$205,"&lt;"&amp;$N6)+1)</f>
        <v/>
      </c>
      <c r="P6" s="221">
        <f>IF($K6="","",IFERROR(DATE(IFERROR(VALUE(RIGHT(TRIM(INDEX('Initiative Tracker'!$G$5:$G$200,$K6)),4)),YEAR(TODAY())),MATCH(LEFT(TRIM(INDEX('Initiative Tracker'!$G$5:$G$200,$K6)),3),$U$2:$U$13,0),1),""))</f>
        <v/>
      </c>
      <c r="Q6" s="221">
        <f>IF($K6="","",IFERROR(DATE(IFERROR(VALUE(RIGHT(TRIM(INDEX('Initiative Tracker'!$H$5:$H$200,$K6)),4)),YEAR(TODAY())),MATCH(LEFT(TRIM(INDEX('Initiative Tracker'!$H$5:$H$200,$K6)),3),$U$2:$U$13,0),1),""))</f>
        <v/>
      </c>
      <c r="U6" s="195" t="inlineStr">
        <is>
          <t>May</t>
        </is>
      </c>
    </row>
    <row r="7">
      <c r="A7" s="220" t="n">
        <v>7</v>
      </c>
      <c r="B7" s="220">
        <f>IF(TRIM(Weekly!E7)="","",TRIM(Weekly!E7))</f>
        <v/>
      </c>
      <c r="C7" s="220">
        <f>IF($B7="","",Weekly!B7)</f>
        <v/>
      </c>
      <c r="D7" s="220">
        <f>IF($B7="","",IF(TRIM(Weekly!C7)="","(No theme assigned)",TRIM(Weekly!C7)))</f>
        <v/>
      </c>
      <c r="E7" s="220">
        <f>IF($B7="","",TRIM(Weekly!F7))</f>
        <v/>
      </c>
      <c r="F7" s="220">
        <f>IF($B7="","",Weekly!G7)</f>
        <v/>
      </c>
      <c r="G7" s="221">
        <f>IF($B7="","",IF(COUNTA(Weekly!$H7:$CT7)=0,"",SUMPRODUCT(MIN(IF(Weekly!$H7:$CT7&lt;&gt;"",Weekly!$H$1:$CT$1)))))</f>
        <v/>
      </c>
      <c r="H7" s="221">
        <f>IF($B7="","",IF(COUNTA(Weekly!$H7:$CT7)=0,"",SUMPRODUCT(MAX(IF(Weekly!$H7:$CT7&lt;&gt;"",Weekly!$H$1:$CT$1)))))</f>
        <v/>
      </c>
      <c r="I7" s="221">
        <f>IF($Q7&lt;&gt;"",IF($P7&lt;&gt;"",$P7,$Q7),IF($P7&lt;&gt;"",$P7,""))</f>
        <v/>
      </c>
      <c r="J7" s="221">
        <f>IF($Q7&lt;&gt;"",EOMONTH($Q7,0),IF($P7&lt;&gt;"",EOMONTH($P7,0),""))</f>
        <v/>
      </c>
      <c r="K7" s="220">
        <f>IF($B7="","",IFERROR(MATCH($B7,'Initiative Tracker'!$A$5:$A$200,0),IF($E7="","",IFERROR(MATCH($E7,'Initiative Tracker'!$B$5:$B$200,0),""))))</f>
        <v/>
      </c>
      <c r="L7" s="220">
        <f>IF($B7="","",IFERROR(MATCH($D7,'Control (Don’t Touch)'!$E$4:$E$30,0),99))</f>
        <v/>
      </c>
      <c r="M7" s="220">
        <f>IF($B7="","",IFERROR(MATCH($F7,'Control (Don’t Touch)'!$B$4:$B$30,0),99))</f>
        <v/>
      </c>
      <c r="N7" s="220">
        <f>IF($B7="","",$L7*1000000+$M7*10000+ROW())</f>
        <v/>
      </c>
      <c r="O7" s="220">
        <f>IF($B7="","",COUNTIF($N$2:$N$205,"&lt;"&amp;$N7)+1)</f>
        <v/>
      </c>
      <c r="P7" s="221">
        <f>IF($K7="","",IFERROR(DATE(IFERROR(VALUE(RIGHT(TRIM(INDEX('Initiative Tracker'!$G$5:$G$200,$K7)),4)),YEAR(TODAY())),MATCH(LEFT(TRIM(INDEX('Initiative Tracker'!$G$5:$G$200,$K7)),3),$U$2:$U$13,0),1),""))</f>
        <v/>
      </c>
      <c r="Q7" s="221">
        <f>IF($K7="","",IFERROR(DATE(IFERROR(VALUE(RIGHT(TRIM(INDEX('Initiative Tracker'!$H$5:$H$200,$K7)),4)),YEAR(TODAY())),MATCH(LEFT(TRIM(INDEX('Initiative Tracker'!$H$5:$H$200,$K7)),3),$U$2:$U$13,0),1),""))</f>
        <v/>
      </c>
      <c r="U7" s="195" t="inlineStr">
        <is>
          <t>Jun</t>
        </is>
      </c>
    </row>
    <row r="8">
      <c r="A8" s="220" t="n">
        <v>8</v>
      </c>
      <c r="B8" s="220">
        <f>IF(TRIM(Weekly!E8)="","",TRIM(Weekly!E8))</f>
        <v/>
      </c>
      <c r="C8" s="220">
        <f>IF($B8="","",Weekly!B8)</f>
        <v/>
      </c>
      <c r="D8" s="220">
        <f>IF($B8="","",IF(TRIM(Weekly!C8)="","(No theme assigned)",TRIM(Weekly!C8)))</f>
        <v/>
      </c>
      <c r="E8" s="220">
        <f>IF($B8="","",TRIM(Weekly!F8))</f>
        <v/>
      </c>
      <c r="F8" s="220">
        <f>IF($B8="","",Weekly!G8)</f>
        <v/>
      </c>
      <c r="G8" s="221">
        <f>IF($B8="","",IF(COUNTA(Weekly!$H8:$CT8)=0,"",SUMPRODUCT(MIN(IF(Weekly!$H8:$CT8&lt;&gt;"",Weekly!$H$1:$CT$1)))))</f>
        <v/>
      </c>
      <c r="H8" s="221">
        <f>IF($B8="","",IF(COUNTA(Weekly!$H8:$CT8)=0,"",SUMPRODUCT(MAX(IF(Weekly!$H8:$CT8&lt;&gt;"",Weekly!$H$1:$CT$1)))))</f>
        <v/>
      </c>
      <c r="I8" s="221">
        <f>IF($Q8&lt;&gt;"",IF($P8&lt;&gt;"",$P8,$Q8),IF($P8&lt;&gt;"",$P8,""))</f>
        <v/>
      </c>
      <c r="J8" s="221">
        <f>IF($Q8&lt;&gt;"",EOMONTH($Q8,0),IF($P8&lt;&gt;"",EOMONTH($P8,0),""))</f>
        <v/>
      </c>
      <c r="K8" s="220">
        <f>IF($B8="","",IFERROR(MATCH($B8,'Initiative Tracker'!$A$5:$A$200,0),IF($E8="","",IFERROR(MATCH($E8,'Initiative Tracker'!$B$5:$B$200,0),""))))</f>
        <v/>
      </c>
      <c r="L8" s="220">
        <f>IF($B8="","",IFERROR(MATCH($D8,'Control (Don’t Touch)'!$E$4:$E$30,0),99))</f>
        <v/>
      </c>
      <c r="M8" s="220">
        <f>IF($B8="","",IFERROR(MATCH($F8,'Control (Don’t Touch)'!$B$4:$B$30,0),99))</f>
        <v/>
      </c>
      <c r="N8" s="220">
        <f>IF($B8="","",$L8*1000000+$M8*10000+ROW())</f>
        <v/>
      </c>
      <c r="O8" s="220">
        <f>IF($B8="","",COUNTIF($N$2:$N$205,"&lt;"&amp;$N8)+1)</f>
        <v/>
      </c>
      <c r="P8" s="221">
        <f>IF($K8="","",IFERROR(DATE(IFERROR(VALUE(RIGHT(TRIM(INDEX('Initiative Tracker'!$G$5:$G$200,$K8)),4)),YEAR(TODAY())),MATCH(LEFT(TRIM(INDEX('Initiative Tracker'!$G$5:$G$200,$K8)),3),$U$2:$U$13,0),1),""))</f>
        <v/>
      </c>
      <c r="Q8" s="221">
        <f>IF($K8="","",IFERROR(DATE(IFERROR(VALUE(RIGHT(TRIM(INDEX('Initiative Tracker'!$H$5:$H$200,$K8)),4)),YEAR(TODAY())),MATCH(LEFT(TRIM(INDEX('Initiative Tracker'!$H$5:$H$200,$K8)),3),$U$2:$U$13,0),1),""))</f>
        <v/>
      </c>
      <c r="U8" s="195" t="inlineStr">
        <is>
          <t>Jul</t>
        </is>
      </c>
    </row>
    <row r="9">
      <c r="A9" s="220" t="n">
        <v>9</v>
      </c>
      <c r="B9" s="220">
        <f>IF(TRIM(Weekly!E9)="","",TRIM(Weekly!E9))</f>
        <v/>
      </c>
      <c r="C9" s="220">
        <f>IF($B9="","",Weekly!B9)</f>
        <v/>
      </c>
      <c r="D9" s="220">
        <f>IF($B9="","",IF(TRIM(Weekly!C9)="","(No theme assigned)",TRIM(Weekly!C9)))</f>
        <v/>
      </c>
      <c r="E9" s="220">
        <f>IF($B9="","",TRIM(Weekly!F9))</f>
        <v/>
      </c>
      <c r="F9" s="220">
        <f>IF($B9="","",Weekly!G9)</f>
        <v/>
      </c>
      <c r="G9" s="221">
        <f>IF($B9="","",IF(COUNTA(Weekly!$H9:$CT9)=0,"",SUMPRODUCT(MIN(IF(Weekly!$H9:$CT9&lt;&gt;"",Weekly!$H$1:$CT$1)))))</f>
        <v/>
      </c>
      <c r="H9" s="221">
        <f>IF($B9="","",IF(COUNTA(Weekly!$H9:$CT9)=0,"",SUMPRODUCT(MAX(IF(Weekly!$H9:$CT9&lt;&gt;"",Weekly!$H$1:$CT$1)))))</f>
        <v/>
      </c>
      <c r="I9" s="221">
        <f>IF($Q9&lt;&gt;"",IF($P9&lt;&gt;"",$P9,$Q9),IF($P9&lt;&gt;"",$P9,""))</f>
        <v/>
      </c>
      <c r="J9" s="221">
        <f>IF($Q9&lt;&gt;"",EOMONTH($Q9,0),IF($P9&lt;&gt;"",EOMONTH($P9,0),""))</f>
        <v/>
      </c>
      <c r="K9" s="220">
        <f>IF($B9="","",IFERROR(MATCH($B9,'Initiative Tracker'!$A$5:$A$200,0),IF($E9="","",IFERROR(MATCH($E9,'Initiative Tracker'!$B$5:$B$200,0),""))))</f>
        <v/>
      </c>
      <c r="L9" s="220">
        <f>IF($B9="","",IFERROR(MATCH($D9,'Control (Don’t Touch)'!$E$4:$E$30,0),99))</f>
        <v/>
      </c>
      <c r="M9" s="220">
        <f>IF($B9="","",IFERROR(MATCH($F9,'Control (Don’t Touch)'!$B$4:$B$30,0),99))</f>
        <v/>
      </c>
      <c r="N9" s="220">
        <f>IF($B9="","",$L9*1000000+$M9*10000+ROW())</f>
        <v/>
      </c>
      <c r="O9" s="220">
        <f>IF($B9="","",COUNTIF($N$2:$N$205,"&lt;"&amp;$N9)+1)</f>
        <v/>
      </c>
      <c r="P9" s="221">
        <f>IF($K9="","",IFERROR(DATE(IFERROR(VALUE(RIGHT(TRIM(INDEX('Initiative Tracker'!$G$5:$G$200,$K9)),4)),YEAR(TODAY())),MATCH(LEFT(TRIM(INDEX('Initiative Tracker'!$G$5:$G$200,$K9)),3),$U$2:$U$13,0),1),""))</f>
        <v/>
      </c>
      <c r="Q9" s="221">
        <f>IF($K9="","",IFERROR(DATE(IFERROR(VALUE(RIGHT(TRIM(INDEX('Initiative Tracker'!$H$5:$H$200,$K9)),4)),YEAR(TODAY())),MATCH(LEFT(TRIM(INDEX('Initiative Tracker'!$H$5:$H$200,$K9)),3),$U$2:$U$13,0),1),""))</f>
        <v/>
      </c>
      <c r="U9" s="195" t="inlineStr">
        <is>
          <t>Aug</t>
        </is>
      </c>
    </row>
    <row r="10">
      <c r="A10" s="220" t="n">
        <v>10</v>
      </c>
      <c r="B10" s="220">
        <f>IF(TRIM(Weekly!E10)="","",TRIM(Weekly!E10))</f>
        <v/>
      </c>
      <c r="C10" s="220">
        <f>IF($B10="","",Weekly!B10)</f>
        <v/>
      </c>
      <c r="D10" s="220">
        <f>IF($B10="","",IF(TRIM(Weekly!C10)="","(No theme assigned)",TRIM(Weekly!C10)))</f>
        <v/>
      </c>
      <c r="E10" s="220">
        <f>IF($B10="","",TRIM(Weekly!F10))</f>
        <v/>
      </c>
      <c r="F10" s="220">
        <f>IF($B10="","",Weekly!G10)</f>
        <v/>
      </c>
      <c r="G10" s="221">
        <f>IF($B10="","",IF(COUNTA(Weekly!$H10:$CT10)=0,"",SUMPRODUCT(MIN(IF(Weekly!$H10:$CT10&lt;&gt;"",Weekly!$H$1:$CT$1)))))</f>
        <v/>
      </c>
      <c r="H10" s="221">
        <f>IF($B10="","",IF(COUNTA(Weekly!$H10:$CT10)=0,"",SUMPRODUCT(MAX(IF(Weekly!$H10:$CT10&lt;&gt;"",Weekly!$H$1:$CT$1)))))</f>
        <v/>
      </c>
      <c r="I10" s="221">
        <f>IF($Q10&lt;&gt;"",IF($P10&lt;&gt;"",$P10,$Q10),IF($P10&lt;&gt;"",$P10,""))</f>
        <v/>
      </c>
      <c r="J10" s="221">
        <f>IF($Q10&lt;&gt;"",EOMONTH($Q10,0),IF($P10&lt;&gt;"",EOMONTH($P10,0),""))</f>
        <v/>
      </c>
      <c r="K10" s="220">
        <f>IF($B10="","",IFERROR(MATCH($B10,'Initiative Tracker'!$A$5:$A$200,0),IF($E10="","",IFERROR(MATCH($E10,'Initiative Tracker'!$B$5:$B$200,0),""))))</f>
        <v/>
      </c>
      <c r="L10" s="220">
        <f>IF($B10="","",IFERROR(MATCH($D10,'Control (Don’t Touch)'!$E$4:$E$30,0),99))</f>
        <v/>
      </c>
      <c r="M10" s="220">
        <f>IF($B10="","",IFERROR(MATCH($F10,'Control (Don’t Touch)'!$B$4:$B$30,0),99))</f>
        <v/>
      </c>
      <c r="N10" s="220">
        <f>IF($B10="","",$L10*1000000+$M10*10000+ROW())</f>
        <v/>
      </c>
      <c r="O10" s="220">
        <f>IF($B10="","",COUNTIF($N$2:$N$205,"&lt;"&amp;$N10)+1)</f>
        <v/>
      </c>
      <c r="P10" s="221">
        <f>IF($K10="","",IFERROR(DATE(IFERROR(VALUE(RIGHT(TRIM(INDEX('Initiative Tracker'!$G$5:$G$200,$K10)),4)),YEAR(TODAY())),MATCH(LEFT(TRIM(INDEX('Initiative Tracker'!$G$5:$G$200,$K10)),3),$U$2:$U$13,0),1),""))</f>
        <v/>
      </c>
      <c r="Q10" s="221">
        <f>IF($K10="","",IFERROR(DATE(IFERROR(VALUE(RIGHT(TRIM(INDEX('Initiative Tracker'!$H$5:$H$200,$K10)),4)),YEAR(TODAY())),MATCH(LEFT(TRIM(INDEX('Initiative Tracker'!$H$5:$H$200,$K10)),3),$U$2:$U$13,0),1),""))</f>
        <v/>
      </c>
      <c r="U10" s="195" t="inlineStr">
        <is>
          <t>Sep</t>
        </is>
      </c>
    </row>
    <row r="11">
      <c r="A11" s="220" t="n">
        <v>11</v>
      </c>
      <c r="B11" s="220">
        <f>IF(TRIM(Weekly!E11)="","",TRIM(Weekly!E11))</f>
        <v/>
      </c>
      <c r="C11" s="220">
        <f>IF($B11="","",Weekly!B11)</f>
        <v/>
      </c>
      <c r="D11" s="220">
        <f>IF($B11="","",IF(TRIM(Weekly!C11)="","(No theme assigned)",TRIM(Weekly!C11)))</f>
        <v/>
      </c>
      <c r="E11" s="220">
        <f>IF($B11="","",TRIM(Weekly!F11))</f>
        <v/>
      </c>
      <c r="F11" s="220">
        <f>IF($B11="","",Weekly!G11)</f>
        <v/>
      </c>
      <c r="G11" s="221">
        <f>IF($B11="","",IF(COUNTA(Weekly!$H11:$CT11)=0,"",SUMPRODUCT(MIN(IF(Weekly!$H11:$CT11&lt;&gt;"",Weekly!$H$1:$CT$1)))))</f>
        <v/>
      </c>
      <c r="H11" s="221">
        <f>IF($B11="","",IF(COUNTA(Weekly!$H11:$CT11)=0,"",SUMPRODUCT(MAX(IF(Weekly!$H11:$CT11&lt;&gt;"",Weekly!$H$1:$CT$1)))))</f>
        <v/>
      </c>
      <c r="I11" s="221">
        <f>IF($Q11&lt;&gt;"",IF($P11&lt;&gt;"",$P11,$Q11),IF($P11&lt;&gt;"",$P11,""))</f>
        <v/>
      </c>
      <c r="J11" s="221">
        <f>IF($Q11&lt;&gt;"",EOMONTH($Q11,0),IF($P11&lt;&gt;"",EOMONTH($P11,0),""))</f>
        <v/>
      </c>
      <c r="K11" s="220">
        <f>IF($B11="","",IFERROR(MATCH($B11,'Initiative Tracker'!$A$5:$A$200,0),IF($E11="","",IFERROR(MATCH($E11,'Initiative Tracker'!$B$5:$B$200,0),""))))</f>
        <v/>
      </c>
      <c r="L11" s="220">
        <f>IF($B11="","",IFERROR(MATCH($D11,'Control (Don’t Touch)'!$E$4:$E$30,0),99))</f>
        <v/>
      </c>
      <c r="M11" s="220">
        <f>IF($B11="","",IFERROR(MATCH($F11,'Control (Don’t Touch)'!$B$4:$B$30,0),99))</f>
        <v/>
      </c>
      <c r="N11" s="220">
        <f>IF($B11="","",$L11*1000000+$M11*10000+ROW())</f>
        <v/>
      </c>
      <c r="O11" s="220">
        <f>IF($B11="","",COUNTIF($N$2:$N$205,"&lt;"&amp;$N11)+1)</f>
        <v/>
      </c>
      <c r="P11" s="221">
        <f>IF($K11="","",IFERROR(DATE(IFERROR(VALUE(RIGHT(TRIM(INDEX('Initiative Tracker'!$G$5:$G$200,$K11)),4)),YEAR(TODAY())),MATCH(LEFT(TRIM(INDEX('Initiative Tracker'!$G$5:$G$200,$K11)),3),$U$2:$U$13,0),1),""))</f>
        <v/>
      </c>
      <c r="Q11" s="221">
        <f>IF($K11="","",IFERROR(DATE(IFERROR(VALUE(RIGHT(TRIM(INDEX('Initiative Tracker'!$H$5:$H$200,$K11)),4)),YEAR(TODAY())),MATCH(LEFT(TRIM(INDEX('Initiative Tracker'!$H$5:$H$200,$K11)),3),$U$2:$U$13,0),1),""))</f>
        <v/>
      </c>
      <c r="U11" s="195" t="inlineStr">
        <is>
          <t>Oct</t>
        </is>
      </c>
    </row>
    <row r="12">
      <c r="A12" s="220" t="n">
        <v>12</v>
      </c>
      <c r="B12" s="220">
        <f>IF(TRIM(Weekly!E12)="","",TRIM(Weekly!E12))</f>
        <v/>
      </c>
      <c r="C12" s="220">
        <f>IF($B12="","",Weekly!B12)</f>
        <v/>
      </c>
      <c r="D12" s="220">
        <f>IF($B12="","",IF(TRIM(Weekly!C12)="","(No theme assigned)",TRIM(Weekly!C12)))</f>
        <v/>
      </c>
      <c r="E12" s="220">
        <f>IF($B12="","",TRIM(Weekly!F12))</f>
        <v/>
      </c>
      <c r="F12" s="220">
        <f>IF($B12="","",Weekly!G12)</f>
        <v/>
      </c>
      <c r="G12" s="221">
        <f>IF($B12="","",IF(COUNTA(Weekly!$H12:$CT12)=0,"",SUMPRODUCT(MIN(IF(Weekly!$H12:$CT12&lt;&gt;"",Weekly!$H$1:$CT$1)))))</f>
        <v/>
      </c>
      <c r="H12" s="221">
        <f>IF($B12="","",IF(COUNTA(Weekly!$H12:$CT12)=0,"",SUMPRODUCT(MAX(IF(Weekly!$H12:$CT12&lt;&gt;"",Weekly!$H$1:$CT$1)))))</f>
        <v/>
      </c>
      <c r="I12" s="221">
        <f>IF($Q12&lt;&gt;"",IF($P12&lt;&gt;"",$P12,$Q12),IF($P12&lt;&gt;"",$P12,""))</f>
        <v/>
      </c>
      <c r="J12" s="221">
        <f>IF($Q12&lt;&gt;"",EOMONTH($Q12,0),IF($P12&lt;&gt;"",EOMONTH($P12,0),""))</f>
        <v/>
      </c>
      <c r="K12" s="220">
        <f>IF($B12="","",IFERROR(MATCH($B12,'Initiative Tracker'!$A$5:$A$200,0),IF($E12="","",IFERROR(MATCH($E12,'Initiative Tracker'!$B$5:$B$200,0),""))))</f>
        <v/>
      </c>
      <c r="L12" s="220">
        <f>IF($B12="","",IFERROR(MATCH($D12,'Control (Don’t Touch)'!$E$4:$E$30,0),99))</f>
        <v/>
      </c>
      <c r="M12" s="220">
        <f>IF($B12="","",IFERROR(MATCH($F12,'Control (Don’t Touch)'!$B$4:$B$30,0),99))</f>
        <v/>
      </c>
      <c r="N12" s="220">
        <f>IF($B12="","",$L12*1000000+$M12*10000+ROW())</f>
        <v/>
      </c>
      <c r="O12" s="220">
        <f>IF($B12="","",COUNTIF($N$2:$N$205,"&lt;"&amp;$N12)+1)</f>
        <v/>
      </c>
      <c r="P12" s="221">
        <f>IF($K12="","",IFERROR(DATE(IFERROR(VALUE(RIGHT(TRIM(INDEX('Initiative Tracker'!$G$5:$G$200,$K12)),4)),YEAR(TODAY())),MATCH(LEFT(TRIM(INDEX('Initiative Tracker'!$G$5:$G$200,$K12)),3),$U$2:$U$13,0),1),""))</f>
        <v/>
      </c>
      <c r="Q12" s="221">
        <f>IF($K12="","",IFERROR(DATE(IFERROR(VALUE(RIGHT(TRIM(INDEX('Initiative Tracker'!$H$5:$H$200,$K12)),4)),YEAR(TODAY())),MATCH(LEFT(TRIM(INDEX('Initiative Tracker'!$H$5:$H$200,$K12)),3),$U$2:$U$13,0),1),""))</f>
        <v/>
      </c>
      <c r="U12" s="195" t="inlineStr">
        <is>
          <t>Nov</t>
        </is>
      </c>
    </row>
    <row r="13">
      <c r="A13" s="220" t="n">
        <v>13</v>
      </c>
      <c r="B13" s="220">
        <f>IF(TRIM(Weekly!E13)="","",TRIM(Weekly!E13))</f>
        <v/>
      </c>
      <c r="C13" s="220">
        <f>IF($B13="","",Weekly!B13)</f>
        <v/>
      </c>
      <c r="D13" s="220">
        <f>IF($B13="","",IF(TRIM(Weekly!C13)="","(No theme assigned)",TRIM(Weekly!C13)))</f>
        <v/>
      </c>
      <c r="E13" s="220">
        <f>IF($B13="","",TRIM(Weekly!F13))</f>
        <v/>
      </c>
      <c r="F13" s="220">
        <f>IF($B13="","",Weekly!G13)</f>
        <v/>
      </c>
      <c r="G13" s="221">
        <f>IF($B13="","",IF(COUNTA(Weekly!$H13:$CT13)=0,"",SUMPRODUCT(MIN(IF(Weekly!$H13:$CT13&lt;&gt;"",Weekly!$H$1:$CT$1)))))</f>
        <v/>
      </c>
      <c r="H13" s="221">
        <f>IF($B13="","",IF(COUNTA(Weekly!$H13:$CT13)=0,"",SUMPRODUCT(MAX(IF(Weekly!$H13:$CT13&lt;&gt;"",Weekly!$H$1:$CT$1)))))</f>
        <v/>
      </c>
      <c r="I13" s="221">
        <f>IF($Q13&lt;&gt;"",IF($P13&lt;&gt;"",$P13,$Q13),IF($P13&lt;&gt;"",$P13,""))</f>
        <v/>
      </c>
      <c r="J13" s="221">
        <f>IF($Q13&lt;&gt;"",EOMONTH($Q13,0),IF($P13&lt;&gt;"",EOMONTH($P13,0),""))</f>
        <v/>
      </c>
      <c r="K13" s="220">
        <f>IF($B13="","",IFERROR(MATCH($B13,'Initiative Tracker'!$A$5:$A$200,0),IF($E13="","",IFERROR(MATCH($E13,'Initiative Tracker'!$B$5:$B$200,0),""))))</f>
        <v/>
      </c>
      <c r="L13" s="220">
        <f>IF($B13="","",IFERROR(MATCH($D13,'Control (Don’t Touch)'!$E$4:$E$30,0),99))</f>
        <v/>
      </c>
      <c r="M13" s="220">
        <f>IF($B13="","",IFERROR(MATCH($F13,'Control (Don’t Touch)'!$B$4:$B$30,0),99))</f>
        <v/>
      </c>
      <c r="N13" s="220">
        <f>IF($B13="","",$L13*1000000+$M13*10000+ROW())</f>
        <v/>
      </c>
      <c r="O13" s="220">
        <f>IF($B13="","",COUNTIF($N$2:$N$205,"&lt;"&amp;$N13)+1)</f>
        <v/>
      </c>
      <c r="P13" s="221">
        <f>IF($K13="","",IFERROR(DATE(IFERROR(VALUE(RIGHT(TRIM(INDEX('Initiative Tracker'!$G$5:$G$200,$K13)),4)),YEAR(TODAY())),MATCH(LEFT(TRIM(INDEX('Initiative Tracker'!$G$5:$G$200,$K13)),3),$U$2:$U$13,0),1),""))</f>
        <v/>
      </c>
      <c r="Q13" s="221">
        <f>IF($K13="","",IFERROR(DATE(IFERROR(VALUE(RIGHT(TRIM(INDEX('Initiative Tracker'!$H$5:$H$200,$K13)),4)),YEAR(TODAY())),MATCH(LEFT(TRIM(INDEX('Initiative Tracker'!$H$5:$H$200,$K13)),3),$U$2:$U$13,0),1),""))</f>
        <v/>
      </c>
      <c r="U13" s="195" t="inlineStr">
        <is>
          <t>Dec</t>
        </is>
      </c>
    </row>
    <row r="14">
      <c r="A14" s="220" t="n">
        <v>14</v>
      </c>
      <c r="B14" s="220">
        <f>IF(TRIM(Weekly!E14)="","",TRIM(Weekly!E14))</f>
        <v/>
      </c>
      <c r="C14" s="220">
        <f>IF($B14="","",Weekly!B14)</f>
        <v/>
      </c>
      <c r="D14" s="220">
        <f>IF($B14="","",IF(TRIM(Weekly!C14)="","(No theme assigned)",TRIM(Weekly!C14)))</f>
        <v/>
      </c>
      <c r="E14" s="220">
        <f>IF($B14="","",TRIM(Weekly!F14))</f>
        <v/>
      </c>
      <c r="F14" s="220">
        <f>IF($B14="","",Weekly!G14)</f>
        <v/>
      </c>
      <c r="G14" s="221">
        <f>IF($B14="","",IF(COUNTA(Weekly!$H14:$CT14)=0,"",SUMPRODUCT(MIN(IF(Weekly!$H14:$CT14&lt;&gt;"",Weekly!$H$1:$CT$1)))))</f>
        <v/>
      </c>
      <c r="H14" s="221">
        <f>IF($B14="","",IF(COUNTA(Weekly!$H14:$CT14)=0,"",SUMPRODUCT(MAX(IF(Weekly!$H14:$CT14&lt;&gt;"",Weekly!$H$1:$CT$1)))))</f>
        <v/>
      </c>
      <c r="I14" s="221">
        <f>IF($Q14&lt;&gt;"",IF($P14&lt;&gt;"",$P14,$Q14),IF($P14&lt;&gt;"",$P14,""))</f>
        <v/>
      </c>
      <c r="J14" s="221">
        <f>IF($Q14&lt;&gt;"",EOMONTH($Q14,0),IF($P14&lt;&gt;"",EOMONTH($P14,0),""))</f>
        <v/>
      </c>
      <c r="K14" s="220">
        <f>IF($B14="","",IFERROR(MATCH($B14,'Initiative Tracker'!$A$5:$A$200,0),IF($E14="","",IFERROR(MATCH($E14,'Initiative Tracker'!$B$5:$B$200,0),""))))</f>
        <v/>
      </c>
      <c r="L14" s="220">
        <f>IF($B14="","",IFERROR(MATCH($D14,'Control (Don’t Touch)'!$E$4:$E$30,0),99))</f>
        <v/>
      </c>
      <c r="M14" s="220">
        <f>IF($B14="","",IFERROR(MATCH($F14,'Control (Don’t Touch)'!$B$4:$B$30,0),99))</f>
        <v/>
      </c>
      <c r="N14" s="220">
        <f>IF($B14="","",$L14*1000000+$M14*10000+ROW())</f>
        <v/>
      </c>
      <c r="O14" s="220">
        <f>IF($B14="","",COUNTIF($N$2:$N$205,"&lt;"&amp;$N14)+1)</f>
        <v/>
      </c>
      <c r="P14" s="221">
        <f>IF($K14="","",IFERROR(DATE(IFERROR(VALUE(RIGHT(TRIM(INDEX('Initiative Tracker'!$G$5:$G$200,$K14)),4)),YEAR(TODAY())),MATCH(LEFT(TRIM(INDEX('Initiative Tracker'!$G$5:$G$200,$K14)),3),$U$2:$U$13,0),1),""))</f>
        <v/>
      </c>
      <c r="Q14" s="221">
        <f>IF($K14="","",IFERROR(DATE(IFERROR(VALUE(RIGHT(TRIM(INDEX('Initiative Tracker'!$H$5:$H$200,$K14)),4)),YEAR(TODAY())),MATCH(LEFT(TRIM(INDEX('Initiative Tracker'!$H$5:$H$200,$K14)),3),$U$2:$U$13,0),1),""))</f>
        <v/>
      </c>
    </row>
    <row r="15">
      <c r="A15" s="220" t="n">
        <v>15</v>
      </c>
      <c r="B15" s="220">
        <f>IF(TRIM(Weekly!E15)="","",TRIM(Weekly!E15))</f>
        <v/>
      </c>
      <c r="C15" s="220">
        <f>IF($B15="","",Weekly!B15)</f>
        <v/>
      </c>
      <c r="D15" s="220">
        <f>IF($B15="","",IF(TRIM(Weekly!C15)="","(No theme assigned)",TRIM(Weekly!C15)))</f>
        <v/>
      </c>
      <c r="E15" s="220">
        <f>IF($B15="","",TRIM(Weekly!F15))</f>
        <v/>
      </c>
      <c r="F15" s="220">
        <f>IF($B15="","",Weekly!G15)</f>
        <v/>
      </c>
      <c r="G15" s="221">
        <f>IF($B15="","",IF(COUNTA(Weekly!$H15:$CT15)=0,"",SUMPRODUCT(MIN(IF(Weekly!$H15:$CT15&lt;&gt;"",Weekly!$H$1:$CT$1)))))</f>
        <v/>
      </c>
      <c r="H15" s="221">
        <f>IF($B15="","",IF(COUNTA(Weekly!$H15:$CT15)=0,"",SUMPRODUCT(MAX(IF(Weekly!$H15:$CT15&lt;&gt;"",Weekly!$H$1:$CT$1)))))</f>
        <v/>
      </c>
      <c r="I15" s="221">
        <f>IF($Q15&lt;&gt;"",IF($P15&lt;&gt;"",$P15,$Q15),IF($P15&lt;&gt;"",$P15,""))</f>
        <v/>
      </c>
      <c r="J15" s="221">
        <f>IF($Q15&lt;&gt;"",EOMONTH($Q15,0),IF($P15&lt;&gt;"",EOMONTH($P15,0),""))</f>
        <v/>
      </c>
      <c r="K15" s="220">
        <f>IF($B15="","",IFERROR(MATCH($B15,'Initiative Tracker'!$A$5:$A$200,0),IF($E15="","",IFERROR(MATCH($E15,'Initiative Tracker'!$B$5:$B$200,0),""))))</f>
        <v/>
      </c>
      <c r="L15" s="220">
        <f>IF($B15="","",IFERROR(MATCH($D15,'Control (Don’t Touch)'!$E$4:$E$30,0),99))</f>
        <v/>
      </c>
      <c r="M15" s="220">
        <f>IF($B15="","",IFERROR(MATCH($F15,'Control (Don’t Touch)'!$B$4:$B$30,0),99))</f>
        <v/>
      </c>
      <c r="N15" s="220">
        <f>IF($B15="","",$L15*1000000+$M15*10000+ROW())</f>
        <v/>
      </c>
      <c r="O15" s="220">
        <f>IF($B15="","",COUNTIF($N$2:$N$205,"&lt;"&amp;$N15)+1)</f>
        <v/>
      </c>
      <c r="P15" s="221">
        <f>IF($K15="","",IFERROR(DATE(IFERROR(VALUE(RIGHT(TRIM(INDEX('Initiative Tracker'!$G$5:$G$200,$K15)),4)),YEAR(TODAY())),MATCH(LEFT(TRIM(INDEX('Initiative Tracker'!$G$5:$G$200,$K15)),3),$U$2:$U$13,0),1),""))</f>
        <v/>
      </c>
      <c r="Q15" s="221">
        <f>IF($K15="","",IFERROR(DATE(IFERROR(VALUE(RIGHT(TRIM(INDEX('Initiative Tracker'!$H$5:$H$200,$K15)),4)),YEAR(TODAY())),MATCH(LEFT(TRIM(INDEX('Initiative Tracker'!$H$5:$H$200,$K15)),3),$U$2:$U$13,0),1),""))</f>
        <v/>
      </c>
    </row>
    <row r="16">
      <c r="A16" s="220" t="n">
        <v>16</v>
      </c>
      <c r="B16" s="220">
        <f>IF(TRIM(Weekly!E16)="","",TRIM(Weekly!E16))</f>
        <v/>
      </c>
      <c r="C16" s="220">
        <f>IF($B16="","",Weekly!B16)</f>
        <v/>
      </c>
      <c r="D16" s="220">
        <f>IF($B16="","",IF(TRIM(Weekly!C16)="","(No theme assigned)",TRIM(Weekly!C16)))</f>
        <v/>
      </c>
      <c r="E16" s="220">
        <f>IF($B16="","",TRIM(Weekly!F16))</f>
        <v/>
      </c>
      <c r="F16" s="220">
        <f>IF($B16="","",Weekly!G16)</f>
        <v/>
      </c>
      <c r="G16" s="221">
        <f>IF($B16="","",IF(COUNTA(Weekly!$H16:$CT16)=0,"",SUMPRODUCT(MIN(IF(Weekly!$H16:$CT16&lt;&gt;"",Weekly!$H$1:$CT$1)))))</f>
        <v/>
      </c>
      <c r="H16" s="221">
        <f>IF($B16="","",IF(COUNTA(Weekly!$H16:$CT16)=0,"",SUMPRODUCT(MAX(IF(Weekly!$H16:$CT16&lt;&gt;"",Weekly!$H$1:$CT$1)))))</f>
        <v/>
      </c>
      <c r="I16" s="221">
        <f>IF($Q16&lt;&gt;"",IF($P16&lt;&gt;"",$P16,$Q16),IF($P16&lt;&gt;"",$P16,""))</f>
        <v/>
      </c>
      <c r="J16" s="221">
        <f>IF($Q16&lt;&gt;"",EOMONTH($Q16,0),IF($P16&lt;&gt;"",EOMONTH($P16,0),""))</f>
        <v/>
      </c>
      <c r="K16" s="220">
        <f>IF($B16="","",IFERROR(MATCH($B16,'Initiative Tracker'!$A$5:$A$200,0),IF($E16="","",IFERROR(MATCH($E16,'Initiative Tracker'!$B$5:$B$200,0),""))))</f>
        <v/>
      </c>
      <c r="L16" s="220">
        <f>IF($B16="","",IFERROR(MATCH($D16,'Control (Don’t Touch)'!$E$4:$E$30,0),99))</f>
        <v/>
      </c>
      <c r="M16" s="220">
        <f>IF($B16="","",IFERROR(MATCH($F16,'Control (Don’t Touch)'!$B$4:$B$30,0),99))</f>
        <v/>
      </c>
      <c r="N16" s="220">
        <f>IF($B16="","",$L16*1000000+$M16*10000+ROW())</f>
        <v/>
      </c>
      <c r="O16" s="220">
        <f>IF($B16="","",COUNTIF($N$2:$N$205,"&lt;"&amp;$N16)+1)</f>
        <v/>
      </c>
      <c r="P16" s="221">
        <f>IF($K16="","",IFERROR(DATE(IFERROR(VALUE(RIGHT(TRIM(INDEX('Initiative Tracker'!$G$5:$G$200,$K16)),4)),YEAR(TODAY())),MATCH(LEFT(TRIM(INDEX('Initiative Tracker'!$G$5:$G$200,$K16)),3),$U$2:$U$13,0),1),""))</f>
        <v/>
      </c>
      <c r="Q16" s="221">
        <f>IF($K16="","",IFERROR(DATE(IFERROR(VALUE(RIGHT(TRIM(INDEX('Initiative Tracker'!$H$5:$H$200,$K16)),4)),YEAR(TODAY())),MATCH(LEFT(TRIM(INDEX('Initiative Tracker'!$H$5:$H$200,$K16)),3),$U$2:$U$13,0),1),""))</f>
        <v/>
      </c>
    </row>
    <row r="17">
      <c r="A17" s="220" t="n">
        <v>17</v>
      </c>
      <c r="B17" s="220">
        <f>IF(TRIM(Weekly!E17)="","",TRIM(Weekly!E17))</f>
        <v/>
      </c>
      <c r="C17" s="220">
        <f>IF($B17="","",Weekly!B17)</f>
        <v/>
      </c>
      <c r="D17" s="220">
        <f>IF($B17="","",IF(TRIM(Weekly!C17)="","(No theme assigned)",TRIM(Weekly!C17)))</f>
        <v/>
      </c>
      <c r="E17" s="220">
        <f>IF($B17="","",TRIM(Weekly!F17))</f>
        <v/>
      </c>
      <c r="F17" s="220">
        <f>IF($B17="","",Weekly!G17)</f>
        <v/>
      </c>
      <c r="G17" s="221">
        <f>IF($B17="","",IF(COUNTA(Weekly!$H17:$CT17)=0,"",SUMPRODUCT(MIN(IF(Weekly!$H17:$CT17&lt;&gt;"",Weekly!$H$1:$CT$1)))))</f>
        <v/>
      </c>
      <c r="H17" s="221">
        <f>IF($B17="","",IF(COUNTA(Weekly!$H17:$CT17)=0,"",SUMPRODUCT(MAX(IF(Weekly!$H17:$CT17&lt;&gt;"",Weekly!$H$1:$CT$1)))))</f>
        <v/>
      </c>
      <c r="I17" s="221">
        <f>IF($Q17&lt;&gt;"",IF($P17&lt;&gt;"",$P17,$Q17),IF($P17&lt;&gt;"",$P17,""))</f>
        <v/>
      </c>
      <c r="J17" s="221">
        <f>IF($Q17&lt;&gt;"",EOMONTH($Q17,0),IF($P17&lt;&gt;"",EOMONTH($P17,0),""))</f>
        <v/>
      </c>
      <c r="K17" s="220">
        <f>IF($B17="","",IFERROR(MATCH($B17,'Initiative Tracker'!$A$5:$A$200,0),IF($E17="","",IFERROR(MATCH($E17,'Initiative Tracker'!$B$5:$B$200,0),""))))</f>
        <v/>
      </c>
      <c r="L17" s="220">
        <f>IF($B17="","",IFERROR(MATCH($D17,'Control (Don’t Touch)'!$E$4:$E$30,0),99))</f>
        <v/>
      </c>
      <c r="M17" s="220">
        <f>IF($B17="","",IFERROR(MATCH($F17,'Control (Don’t Touch)'!$B$4:$B$30,0),99))</f>
        <v/>
      </c>
      <c r="N17" s="220">
        <f>IF($B17="","",$L17*1000000+$M17*10000+ROW())</f>
        <v/>
      </c>
      <c r="O17" s="220">
        <f>IF($B17="","",COUNTIF($N$2:$N$205,"&lt;"&amp;$N17)+1)</f>
        <v/>
      </c>
      <c r="P17" s="221">
        <f>IF($K17="","",IFERROR(DATE(IFERROR(VALUE(RIGHT(TRIM(INDEX('Initiative Tracker'!$G$5:$G$200,$K17)),4)),YEAR(TODAY())),MATCH(LEFT(TRIM(INDEX('Initiative Tracker'!$G$5:$G$200,$K17)),3),$U$2:$U$13,0),1),""))</f>
        <v/>
      </c>
      <c r="Q17" s="221">
        <f>IF($K17="","",IFERROR(DATE(IFERROR(VALUE(RIGHT(TRIM(INDEX('Initiative Tracker'!$H$5:$H$200,$K17)),4)),YEAR(TODAY())),MATCH(LEFT(TRIM(INDEX('Initiative Tracker'!$H$5:$H$200,$K17)),3),$U$2:$U$13,0),1),""))</f>
        <v/>
      </c>
    </row>
    <row r="18">
      <c r="A18" s="220" t="n">
        <v>18</v>
      </c>
      <c r="B18" s="220">
        <f>IF(TRIM(Weekly!E18)="","",TRIM(Weekly!E18))</f>
        <v/>
      </c>
      <c r="C18" s="220">
        <f>IF($B18="","",Weekly!B18)</f>
        <v/>
      </c>
      <c r="D18" s="220">
        <f>IF($B18="","",IF(TRIM(Weekly!C18)="","(No theme assigned)",TRIM(Weekly!C18)))</f>
        <v/>
      </c>
      <c r="E18" s="220">
        <f>IF($B18="","",TRIM(Weekly!F18))</f>
        <v/>
      </c>
      <c r="F18" s="220">
        <f>IF($B18="","",Weekly!G18)</f>
        <v/>
      </c>
      <c r="G18" s="221">
        <f>IF($B18="","",IF(COUNTA(Weekly!$H18:$CT18)=0,"",SUMPRODUCT(MIN(IF(Weekly!$H18:$CT18&lt;&gt;"",Weekly!$H$1:$CT$1)))))</f>
        <v/>
      </c>
      <c r="H18" s="221">
        <f>IF($B18="","",IF(COUNTA(Weekly!$H18:$CT18)=0,"",SUMPRODUCT(MAX(IF(Weekly!$H18:$CT18&lt;&gt;"",Weekly!$H$1:$CT$1)))))</f>
        <v/>
      </c>
      <c r="I18" s="221">
        <f>IF($Q18&lt;&gt;"",IF($P18&lt;&gt;"",$P18,$Q18),IF($P18&lt;&gt;"",$P18,""))</f>
        <v/>
      </c>
      <c r="J18" s="221">
        <f>IF($Q18&lt;&gt;"",EOMONTH($Q18,0),IF($P18&lt;&gt;"",EOMONTH($P18,0),""))</f>
        <v/>
      </c>
      <c r="K18" s="220">
        <f>IF($B18="","",IFERROR(MATCH($B18,'Initiative Tracker'!$A$5:$A$200,0),IF($E18="","",IFERROR(MATCH($E18,'Initiative Tracker'!$B$5:$B$200,0),""))))</f>
        <v/>
      </c>
      <c r="L18" s="220">
        <f>IF($B18="","",IFERROR(MATCH($D18,'Control (Don’t Touch)'!$E$4:$E$30,0),99))</f>
        <v/>
      </c>
      <c r="M18" s="220">
        <f>IF($B18="","",IFERROR(MATCH($F18,'Control (Don’t Touch)'!$B$4:$B$30,0),99))</f>
        <v/>
      </c>
      <c r="N18" s="220">
        <f>IF($B18="","",$L18*1000000+$M18*10000+ROW())</f>
        <v/>
      </c>
      <c r="O18" s="220">
        <f>IF($B18="","",COUNTIF($N$2:$N$205,"&lt;"&amp;$N18)+1)</f>
        <v/>
      </c>
      <c r="P18" s="221">
        <f>IF($K18="","",IFERROR(DATE(IFERROR(VALUE(RIGHT(TRIM(INDEX('Initiative Tracker'!$G$5:$G$200,$K18)),4)),YEAR(TODAY())),MATCH(LEFT(TRIM(INDEX('Initiative Tracker'!$G$5:$G$200,$K18)),3),$U$2:$U$13,0),1),""))</f>
        <v/>
      </c>
      <c r="Q18" s="221">
        <f>IF($K18="","",IFERROR(DATE(IFERROR(VALUE(RIGHT(TRIM(INDEX('Initiative Tracker'!$H$5:$H$200,$K18)),4)),YEAR(TODAY())),MATCH(LEFT(TRIM(INDEX('Initiative Tracker'!$H$5:$H$200,$K18)),3),$U$2:$U$13,0),1),""))</f>
        <v/>
      </c>
    </row>
    <row r="19">
      <c r="A19" s="220" t="n">
        <v>19</v>
      </c>
      <c r="B19" s="220">
        <f>IF(TRIM(Weekly!E19)="","",TRIM(Weekly!E19))</f>
        <v/>
      </c>
      <c r="C19" s="220">
        <f>IF($B19="","",Weekly!B19)</f>
        <v/>
      </c>
      <c r="D19" s="220">
        <f>IF($B19="","",IF(TRIM(Weekly!C19)="","(No theme assigned)",TRIM(Weekly!C19)))</f>
        <v/>
      </c>
      <c r="E19" s="220">
        <f>IF($B19="","",TRIM(Weekly!F19))</f>
        <v/>
      </c>
      <c r="F19" s="220">
        <f>IF($B19="","",Weekly!G19)</f>
        <v/>
      </c>
      <c r="G19" s="221">
        <f>IF($B19="","",IF(COUNTA(Weekly!$H19:$CT19)=0,"",SUMPRODUCT(MIN(IF(Weekly!$H19:$CT19&lt;&gt;"",Weekly!$H$1:$CT$1)))))</f>
        <v/>
      </c>
      <c r="H19" s="221">
        <f>IF($B19="","",IF(COUNTA(Weekly!$H19:$CT19)=0,"",SUMPRODUCT(MAX(IF(Weekly!$H19:$CT19&lt;&gt;"",Weekly!$H$1:$CT$1)))))</f>
        <v/>
      </c>
      <c r="I19" s="221">
        <f>IF($Q19&lt;&gt;"",IF($P19&lt;&gt;"",$P19,$Q19),IF($P19&lt;&gt;"",$P19,""))</f>
        <v/>
      </c>
      <c r="J19" s="221">
        <f>IF($Q19&lt;&gt;"",EOMONTH($Q19,0),IF($P19&lt;&gt;"",EOMONTH($P19,0),""))</f>
        <v/>
      </c>
      <c r="K19" s="220">
        <f>IF($B19="","",IFERROR(MATCH($B19,'Initiative Tracker'!$A$5:$A$200,0),IF($E19="","",IFERROR(MATCH($E19,'Initiative Tracker'!$B$5:$B$200,0),""))))</f>
        <v/>
      </c>
      <c r="L19" s="220">
        <f>IF($B19="","",IFERROR(MATCH($D19,'Control (Don’t Touch)'!$E$4:$E$30,0),99))</f>
        <v/>
      </c>
      <c r="M19" s="220">
        <f>IF($B19="","",IFERROR(MATCH($F19,'Control (Don’t Touch)'!$B$4:$B$30,0),99))</f>
        <v/>
      </c>
      <c r="N19" s="220">
        <f>IF($B19="","",$L19*1000000+$M19*10000+ROW())</f>
        <v/>
      </c>
      <c r="O19" s="220">
        <f>IF($B19="","",COUNTIF($N$2:$N$205,"&lt;"&amp;$N19)+1)</f>
        <v/>
      </c>
      <c r="P19" s="221">
        <f>IF($K19="","",IFERROR(DATE(IFERROR(VALUE(RIGHT(TRIM(INDEX('Initiative Tracker'!$G$5:$G$200,$K19)),4)),YEAR(TODAY())),MATCH(LEFT(TRIM(INDEX('Initiative Tracker'!$G$5:$G$200,$K19)),3),$U$2:$U$13,0),1),""))</f>
        <v/>
      </c>
      <c r="Q19" s="221">
        <f>IF($K19="","",IFERROR(DATE(IFERROR(VALUE(RIGHT(TRIM(INDEX('Initiative Tracker'!$H$5:$H$200,$K19)),4)),YEAR(TODAY())),MATCH(LEFT(TRIM(INDEX('Initiative Tracker'!$H$5:$H$200,$K19)),3),$U$2:$U$13,0),1),""))</f>
        <v/>
      </c>
    </row>
    <row r="20">
      <c r="A20" s="220" t="n">
        <v>20</v>
      </c>
      <c r="B20" s="220">
        <f>IF(TRIM(Weekly!E20)="","",TRIM(Weekly!E20))</f>
        <v/>
      </c>
      <c r="C20" s="220">
        <f>IF($B20="","",Weekly!B20)</f>
        <v/>
      </c>
      <c r="D20" s="220">
        <f>IF($B20="","",IF(TRIM(Weekly!C20)="","(No theme assigned)",TRIM(Weekly!C20)))</f>
        <v/>
      </c>
      <c r="E20" s="220">
        <f>IF($B20="","",TRIM(Weekly!F20))</f>
        <v/>
      </c>
      <c r="F20" s="220">
        <f>IF($B20="","",Weekly!G20)</f>
        <v/>
      </c>
      <c r="G20" s="221">
        <f>IF($B20="","",IF(COUNTA(Weekly!$H20:$CT20)=0,"",SUMPRODUCT(MIN(IF(Weekly!$H20:$CT20&lt;&gt;"",Weekly!$H$1:$CT$1)))))</f>
        <v/>
      </c>
      <c r="H20" s="221">
        <f>IF($B20="","",IF(COUNTA(Weekly!$H20:$CT20)=0,"",SUMPRODUCT(MAX(IF(Weekly!$H20:$CT20&lt;&gt;"",Weekly!$H$1:$CT$1)))))</f>
        <v/>
      </c>
      <c r="I20" s="221">
        <f>IF($Q20&lt;&gt;"",IF($P20&lt;&gt;"",$P20,$Q20),IF($P20&lt;&gt;"",$P20,""))</f>
        <v/>
      </c>
      <c r="J20" s="221">
        <f>IF($Q20&lt;&gt;"",EOMONTH($Q20,0),IF($P20&lt;&gt;"",EOMONTH($P20,0),""))</f>
        <v/>
      </c>
      <c r="K20" s="220">
        <f>IF($B20="","",IFERROR(MATCH($B20,'Initiative Tracker'!$A$5:$A$200,0),IF($E20="","",IFERROR(MATCH($E20,'Initiative Tracker'!$B$5:$B$200,0),""))))</f>
        <v/>
      </c>
      <c r="L20" s="220">
        <f>IF($B20="","",IFERROR(MATCH($D20,'Control (Don’t Touch)'!$E$4:$E$30,0),99))</f>
        <v/>
      </c>
      <c r="M20" s="220">
        <f>IF($B20="","",IFERROR(MATCH($F20,'Control (Don’t Touch)'!$B$4:$B$30,0),99))</f>
        <v/>
      </c>
      <c r="N20" s="220">
        <f>IF($B20="","",$L20*1000000+$M20*10000+ROW())</f>
        <v/>
      </c>
      <c r="O20" s="220">
        <f>IF($B20="","",COUNTIF($N$2:$N$205,"&lt;"&amp;$N20)+1)</f>
        <v/>
      </c>
      <c r="P20" s="221">
        <f>IF($K20="","",IFERROR(DATE(IFERROR(VALUE(RIGHT(TRIM(INDEX('Initiative Tracker'!$G$5:$G$200,$K20)),4)),YEAR(TODAY())),MATCH(LEFT(TRIM(INDEX('Initiative Tracker'!$G$5:$G$200,$K20)),3),$U$2:$U$13,0),1),""))</f>
        <v/>
      </c>
      <c r="Q20" s="221">
        <f>IF($K20="","",IFERROR(DATE(IFERROR(VALUE(RIGHT(TRIM(INDEX('Initiative Tracker'!$H$5:$H$200,$K20)),4)),YEAR(TODAY())),MATCH(LEFT(TRIM(INDEX('Initiative Tracker'!$H$5:$H$200,$K20)),3),$U$2:$U$13,0),1),""))</f>
        <v/>
      </c>
    </row>
    <row r="21">
      <c r="A21" s="220" t="n">
        <v>21</v>
      </c>
      <c r="B21" s="220">
        <f>IF(TRIM(Weekly!E21)="","",TRIM(Weekly!E21))</f>
        <v/>
      </c>
      <c r="C21" s="220">
        <f>IF($B21="","",Weekly!B21)</f>
        <v/>
      </c>
      <c r="D21" s="220">
        <f>IF($B21="","",IF(TRIM(Weekly!C21)="","(No theme assigned)",TRIM(Weekly!C21)))</f>
        <v/>
      </c>
      <c r="E21" s="220">
        <f>IF($B21="","",TRIM(Weekly!F21))</f>
        <v/>
      </c>
      <c r="F21" s="220">
        <f>IF($B21="","",Weekly!G21)</f>
        <v/>
      </c>
      <c r="G21" s="221">
        <f>IF($B21="","",IF(COUNTA(Weekly!$H21:$CT21)=0,"",SUMPRODUCT(MIN(IF(Weekly!$H21:$CT21&lt;&gt;"",Weekly!$H$1:$CT$1)))))</f>
        <v/>
      </c>
      <c r="H21" s="221">
        <f>IF($B21="","",IF(COUNTA(Weekly!$H21:$CT21)=0,"",SUMPRODUCT(MAX(IF(Weekly!$H21:$CT21&lt;&gt;"",Weekly!$H$1:$CT$1)))))</f>
        <v/>
      </c>
      <c r="I21" s="221">
        <f>IF($Q21&lt;&gt;"",IF($P21&lt;&gt;"",$P21,$Q21),IF($P21&lt;&gt;"",$P21,""))</f>
        <v/>
      </c>
      <c r="J21" s="221">
        <f>IF($Q21&lt;&gt;"",EOMONTH($Q21,0),IF($P21&lt;&gt;"",EOMONTH($P21,0),""))</f>
        <v/>
      </c>
      <c r="K21" s="220">
        <f>IF($B21="","",IFERROR(MATCH($B21,'Initiative Tracker'!$A$5:$A$200,0),IF($E21="","",IFERROR(MATCH($E21,'Initiative Tracker'!$B$5:$B$200,0),""))))</f>
        <v/>
      </c>
      <c r="L21" s="220">
        <f>IF($B21="","",IFERROR(MATCH($D21,'Control (Don’t Touch)'!$E$4:$E$30,0),99))</f>
        <v/>
      </c>
      <c r="M21" s="220">
        <f>IF($B21="","",IFERROR(MATCH($F21,'Control (Don’t Touch)'!$B$4:$B$30,0),99))</f>
        <v/>
      </c>
      <c r="N21" s="220">
        <f>IF($B21="","",$L21*1000000+$M21*10000+ROW())</f>
        <v/>
      </c>
      <c r="O21" s="220">
        <f>IF($B21="","",COUNTIF($N$2:$N$205,"&lt;"&amp;$N21)+1)</f>
        <v/>
      </c>
      <c r="P21" s="221">
        <f>IF($K21="","",IFERROR(DATE(IFERROR(VALUE(RIGHT(TRIM(INDEX('Initiative Tracker'!$G$5:$G$200,$K21)),4)),YEAR(TODAY())),MATCH(LEFT(TRIM(INDEX('Initiative Tracker'!$G$5:$G$200,$K21)),3),$U$2:$U$13,0),1),""))</f>
        <v/>
      </c>
      <c r="Q21" s="221">
        <f>IF($K21="","",IFERROR(DATE(IFERROR(VALUE(RIGHT(TRIM(INDEX('Initiative Tracker'!$H$5:$H$200,$K21)),4)),YEAR(TODAY())),MATCH(LEFT(TRIM(INDEX('Initiative Tracker'!$H$5:$H$200,$K21)),3),$U$2:$U$13,0),1),""))</f>
        <v/>
      </c>
    </row>
    <row r="22">
      <c r="A22" s="220" t="n">
        <v>22</v>
      </c>
      <c r="B22" s="220">
        <f>IF(TRIM(Weekly!E22)="","",TRIM(Weekly!E22))</f>
        <v/>
      </c>
      <c r="C22" s="220">
        <f>IF($B22="","",Weekly!B22)</f>
        <v/>
      </c>
      <c r="D22" s="220">
        <f>IF($B22="","",IF(TRIM(Weekly!C22)="","(No theme assigned)",TRIM(Weekly!C22)))</f>
        <v/>
      </c>
      <c r="E22" s="220">
        <f>IF($B22="","",TRIM(Weekly!F22))</f>
        <v/>
      </c>
      <c r="F22" s="220">
        <f>IF($B22="","",Weekly!G22)</f>
        <v/>
      </c>
      <c r="G22" s="221">
        <f>IF($B22="","",IF(COUNTA(Weekly!$H22:$CT22)=0,"",SUMPRODUCT(MIN(IF(Weekly!$H22:$CT22&lt;&gt;"",Weekly!$H$1:$CT$1)))))</f>
        <v/>
      </c>
      <c r="H22" s="221">
        <f>IF($B22="","",IF(COUNTA(Weekly!$H22:$CT22)=0,"",SUMPRODUCT(MAX(IF(Weekly!$H22:$CT22&lt;&gt;"",Weekly!$H$1:$CT$1)))))</f>
        <v/>
      </c>
      <c r="I22" s="221">
        <f>IF($Q22&lt;&gt;"",IF($P22&lt;&gt;"",$P22,$Q22),IF($P22&lt;&gt;"",$P22,""))</f>
        <v/>
      </c>
      <c r="J22" s="221">
        <f>IF($Q22&lt;&gt;"",EOMONTH($Q22,0),IF($P22&lt;&gt;"",EOMONTH($P22,0),""))</f>
        <v/>
      </c>
      <c r="K22" s="220">
        <f>IF($B22="","",IFERROR(MATCH($B22,'Initiative Tracker'!$A$5:$A$200,0),IF($E22="","",IFERROR(MATCH($E22,'Initiative Tracker'!$B$5:$B$200,0),""))))</f>
        <v/>
      </c>
      <c r="L22" s="220">
        <f>IF($B22="","",IFERROR(MATCH($D22,'Control (Don’t Touch)'!$E$4:$E$30,0),99))</f>
        <v/>
      </c>
      <c r="M22" s="220">
        <f>IF($B22="","",IFERROR(MATCH($F22,'Control (Don’t Touch)'!$B$4:$B$30,0),99))</f>
        <v/>
      </c>
      <c r="N22" s="220">
        <f>IF($B22="","",$L22*1000000+$M22*10000+ROW())</f>
        <v/>
      </c>
      <c r="O22" s="220">
        <f>IF($B22="","",COUNTIF($N$2:$N$205,"&lt;"&amp;$N22)+1)</f>
        <v/>
      </c>
      <c r="P22" s="221">
        <f>IF($K22="","",IFERROR(DATE(IFERROR(VALUE(RIGHT(TRIM(INDEX('Initiative Tracker'!$G$5:$G$200,$K22)),4)),YEAR(TODAY())),MATCH(LEFT(TRIM(INDEX('Initiative Tracker'!$G$5:$G$200,$K22)),3),$U$2:$U$13,0),1),""))</f>
        <v/>
      </c>
      <c r="Q22" s="221">
        <f>IF($K22="","",IFERROR(DATE(IFERROR(VALUE(RIGHT(TRIM(INDEX('Initiative Tracker'!$H$5:$H$200,$K22)),4)),YEAR(TODAY())),MATCH(LEFT(TRIM(INDEX('Initiative Tracker'!$H$5:$H$200,$K22)),3),$U$2:$U$13,0),1),""))</f>
        <v/>
      </c>
    </row>
    <row r="23">
      <c r="A23" s="220" t="n">
        <v>23</v>
      </c>
      <c r="B23" s="220">
        <f>IF(TRIM(Weekly!E23)="","",TRIM(Weekly!E23))</f>
        <v/>
      </c>
      <c r="C23" s="220">
        <f>IF($B23="","",Weekly!B23)</f>
        <v/>
      </c>
      <c r="D23" s="220">
        <f>IF($B23="","",IF(TRIM(Weekly!C23)="","(No theme assigned)",TRIM(Weekly!C23)))</f>
        <v/>
      </c>
      <c r="E23" s="220">
        <f>IF($B23="","",TRIM(Weekly!F23))</f>
        <v/>
      </c>
      <c r="F23" s="220">
        <f>IF($B23="","",Weekly!G23)</f>
        <v/>
      </c>
      <c r="G23" s="221">
        <f>IF($B23="","",IF(COUNTA(Weekly!$H23:$CT23)=0,"",SUMPRODUCT(MIN(IF(Weekly!$H23:$CT23&lt;&gt;"",Weekly!$H$1:$CT$1)))))</f>
        <v/>
      </c>
      <c r="H23" s="221">
        <f>IF($B23="","",IF(COUNTA(Weekly!$H23:$CT23)=0,"",SUMPRODUCT(MAX(IF(Weekly!$H23:$CT23&lt;&gt;"",Weekly!$H$1:$CT$1)))))</f>
        <v/>
      </c>
      <c r="I23" s="221">
        <f>IF($Q23&lt;&gt;"",IF($P23&lt;&gt;"",$P23,$Q23),IF($P23&lt;&gt;"",$P23,""))</f>
        <v/>
      </c>
      <c r="J23" s="221">
        <f>IF($Q23&lt;&gt;"",EOMONTH($Q23,0),IF($P23&lt;&gt;"",EOMONTH($P23,0),""))</f>
        <v/>
      </c>
      <c r="K23" s="220">
        <f>IF($B23="","",IFERROR(MATCH($B23,'Initiative Tracker'!$A$5:$A$200,0),IF($E23="","",IFERROR(MATCH($E23,'Initiative Tracker'!$B$5:$B$200,0),""))))</f>
        <v/>
      </c>
      <c r="L23" s="220">
        <f>IF($B23="","",IFERROR(MATCH($D23,'Control (Don’t Touch)'!$E$4:$E$30,0),99))</f>
        <v/>
      </c>
      <c r="M23" s="220">
        <f>IF($B23="","",IFERROR(MATCH($F23,'Control (Don’t Touch)'!$B$4:$B$30,0),99))</f>
        <v/>
      </c>
      <c r="N23" s="220">
        <f>IF($B23="","",$L23*1000000+$M23*10000+ROW())</f>
        <v/>
      </c>
      <c r="O23" s="220">
        <f>IF($B23="","",COUNTIF($N$2:$N$205,"&lt;"&amp;$N23)+1)</f>
        <v/>
      </c>
      <c r="P23" s="221">
        <f>IF($K23="","",IFERROR(DATE(IFERROR(VALUE(RIGHT(TRIM(INDEX('Initiative Tracker'!$G$5:$G$200,$K23)),4)),YEAR(TODAY())),MATCH(LEFT(TRIM(INDEX('Initiative Tracker'!$G$5:$G$200,$K23)),3),$U$2:$U$13,0),1),""))</f>
        <v/>
      </c>
      <c r="Q23" s="221">
        <f>IF($K23="","",IFERROR(DATE(IFERROR(VALUE(RIGHT(TRIM(INDEX('Initiative Tracker'!$H$5:$H$200,$K23)),4)),YEAR(TODAY())),MATCH(LEFT(TRIM(INDEX('Initiative Tracker'!$H$5:$H$200,$K23)),3),$U$2:$U$13,0),1),""))</f>
        <v/>
      </c>
    </row>
    <row r="24">
      <c r="A24" s="220" t="n">
        <v>24</v>
      </c>
      <c r="B24" s="220">
        <f>IF(TRIM(Weekly!E24)="","",TRIM(Weekly!E24))</f>
        <v/>
      </c>
      <c r="C24" s="220">
        <f>IF($B24="","",Weekly!B24)</f>
        <v/>
      </c>
      <c r="D24" s="220">
        <f>IF($B24="","",IF(TRIM(Weekly!C24)="","(No theme assigned)",TRIM(Weekly!C24)))</f>
        <v/>
      </c>
      <c r="E24" s="220">
        <f>IF($B24="","",TRIM(Weekly!F24))</f>
        <v/>
      </c>
      <c r="F24" s="220">
        <f>IF($B24="","",Weekly!G24)</f>
        <v/>
      </c>
      <c r="G24" s="221">
        <f>IF($B24="","",IF(COUNTA(Weekly!$H24:$CT24)=0,"",SUMPRODUCT(MIN(IF(Weekly!$H24:$CT24&lt;&gt;"",Weekly!$H$1:$CT$1)))))</f>
        <v/>
      </c>
      <c r="H24" s="221">
        <f>IF($B24="","",IF(COUNTA(Weekly!$H24:$CT24)=0,"",SUMPRODUCT(MAX(IF(Weekly!$H24:$CT24&lt;&gt;"",Weekly!$H$1:$CT$1)))))</f>
        <v/>
      </c>
      <c r="I24" s="221">
        <f>IF($Q24&lt;&gt;"",IF($P24&lt;&gt;"",$P24,$Q24),IF($P24&lt;&gt;"",$P24,""))</f>
        <v/>
      </c>
      <c r="J24" s="221">
        <f>IF($Q24&lt;&gt;"",EOMONTH($Q24,0),IF($P24&lt;&gt;"",EOMONTH($P24,0),""))</f>
        <v/>
      </c>
      <c r="K24" s="220">
        <f>IF($B24="","",IFERROR(MATCH($B24,'Initiative Tracker'!$A$5:$A$200,0),IF($E24="","",IFERROR(MATCH($E24,'Initiative Tracker'!$B$5:$B$200,0),""))))</f>
        <v/>
      </c>
      <c r="L24" s="220">
        <f>IF($B24="","",IFERROR(MATCH($D24,'Control (Don’t Touch)'!$E$4:$E$30,0),99))</f>
        <v/>
      </c>
      <c r="M24" s="220">
        <f>IF($B24="","",IFERROR(MATCH($F24,'Control (Don’t Touch)'!$B$4:$B$30,0),99))</f>
        <v/>
      </c>
      <c r="N24" s="220">
        <f>IF($B24="","",$L24*1000000+$M24*10000+ROW())</f>
        <v/>
      </c>
      <c r="O24" s="220">
        <f>IF($B24="","",COUNTIF($N$2:$N$205,"&lt;"&amp;$N24)+1)</f>
        <v/>
      </c>
      <c r="P24" s="221">
        <f>IF($K24="","",IFERROR(DATE(IFERROR(VALUE(RIGHT(TRIM(INDEX('Initiative Tracker'!$G$5:$G$200,$K24)),4)),YEAR(TODAY())),MATCH(LEFT(TRIM(INDEX('Initiative Tracker'!$G$5:$G$200,$K24)),3),$U$2:$U$13,0),1),""))</f>
        <v/>
      </c>
      <c r="Q24" s="221">
        <f>IF($K24="","",IFERROR(DATE(IFERROR(VALUE(RIGHT(TRIM(INDEX('Initiative Tracker'!$H$5:$H$200,$K24)),4)),YEAR(TODAY())),MATCH(LEFT(TRIM(INDEX('Initiative Tracker'!$H$5:$H$200,$K24)),3),$U$2:$U$13,0),1),""))</f>
        <v/>
      </c>
    </row>
    <row r="25">
      <c r="A25" s="220" t="n">
        <v>25</v>
      </c>
      <c r="B25" s="220">
        <f>IF(TRIM(Weekly!E25)="","",TRIM(Weekly!E25))</f>
        <v/>
      </c>
      <c r="C25" s="220">
        <f>IF($B25="","",Weekly!B25)</f>
        <v/>
      </c>
      <c r="D25" s="220">
        <f>IF($B25="","",IF(TRIM(Weekly!C25)="","(No theme assigned)",TRIM(Weekly!C25)))</f>
        <v/>
      </c>
      <c r="E25" s="220">
        <f>IF($B25="","",TRIM(Weekly!F25))</f>
        <v/>
      </c>
      <c r="F25" s="220">
        <f>IF($B25="","",Weekly!G25)</f>
        <v/>
      </c>
      <c r="G25" s="221">
        <f>IF($B25="","",IF(COUNTA(Weekly!$H25:$CT25)=0,"",SUMPRODUCT(MIN(IF(Weekly!$H25:$CT25&lt;&gt;"",Weekly!$H$1:$CT$1)))))</f>
        <v/>
      </c>
      <c r="H25" s="221">
        <f>IF($B25="","",IF(COUNTA(Weekly!$H25:$CT25)=0,"",SUMPRODUCT(MAX(IF(Weekly!$H25:$CT25&lt;&gt;"",Weekly!$H$1:$CT$1)))))</f>
        <v/>
      </c>
      <c r="I25" s="221">
        <f>IF($Q25&lt;&gt;"",IF($P25&lt;&gt;"",$P25,$Q25),IF($P25&lt;&gt;"",$P25,""))</f>
        <v/>
      </c>
      <c r="J25" s="221">
        <f>IF($Q25&lt;&gt;"",EOMONTH($Q25,0),IF($P25&lt;&gt;"",EOMONTH($P25,0),""))</f>
        <v/>
      </c>
      <c r="K25" s="220">
        <f>IF($B25="","",IFERROR(MATCH($B25,'Initiative Tracker'!$A$5:$A$200,0),IF($E25="","",IFERROR(MATCH($E25,'Initiative Tracker'!$B$5:$B$200,0),""))))</f>
        <v/>
      </c>
      <c r="L25" s="220">
        <f>IF($B25="","",IFERROR(MATCH($D25,'Control (Don’t Touch)'!$E$4:$E$30,0),99))</f>
        <v/>
      </c>
      <c r="M25" s="220">
        <f>IF($B25="","",IFERROR(MATCH($F25,'Control (Don’t Touch)'!$B$4:$B$30,0),99))</f>
        <v/>
      </c>
      <c r="N25" s="220">
        <f>IF($B25="","",$L25*1000000+$M25*10000+ROW())</f>
        <v/>
      </c>
      <c r="O25" s="220">
        <f>IF($B25="","",COUNTIF($N$2:$N$205,"&lt;"&amp;$N25)+1)</f>
        <v/>
      </c>
      <c r="P25" s="221">
        <f>IF($K25="","",IFERROR(DATE(IFERROR(VALUE(RIGHT(TRIM(INDEX('Initiative Tracker'!$G$5:$G$200,$K25)),4)),YEAR(TODAY())),MATCH(LEFT(TRIM(INDEX('Initiative Tracker'!$G$5:$G$200,$K25)),3),$U$2:$U$13,0),1),""))</f>
        <v/>
      </c>
      <c r="Q25" s="221">
        <f>IF($K25="","",IFERROR(DATE(IFERROR(VALUE(RIGHT(TRIM(INDEX('Initiative Tracker'!$H$5:$H$200,$K25)),4)),YEAR(TODAY())),MATCH(LEFT(TRIM(INDEX('Initiative Tracker'!$H$5:$H$200,$K25)),3),$U$2:$U$13,0),1),""))</f>
        <v/>
      </c>
    </row>
    <row r="26">
      <c r="A26" s="220" t="n">
        <v>26</v>
      </c>
      <c r="B26" s="220">
        <f>IF(TRIM(Weekly!E26)="","",TRIM(Weekly!E26))</f>
        <v/>
      </c>
      <c r="C26" s="220">
        <f>IF($B26="","",Weekly!B26)</f>
        <v/>
      </c>
      <c r="D26" s="220">
        <f>IF($B26="","",IF(TRIM(Weekly!C26)="","(No theme assigned)",TRIM(Weekly!C26)))</f>
        <v/>
      </c>
      <c r="E26" s="220">
        <f>IF($B26="","",TRIM(Weekly!F26))</f>
        <v/>
      </c>
      <c r="F26" s="220">
        <f>IF($B26="","",Weekly!G26)</f>
        <v/>
      </c>
      <c r="G26" s="221">
        <f>IF($B26="","",IF(COUNTA(Weekly!$H26:$CT26)=0,"",SUMPRODUCT(MIN(IF(Weekly!$H26:$CT26&lt;&gt;"",Weekly!$H$1:$CT$1)))))</f>
        <v/>
      </c>
      <c r="H26" s="221">
        <f>IF($B26="","",IF(COUNTA(Weekly!$H26:$CT26)=0,"",SUMPRODUCT(MAX(IF(Weekly!$H26:$CT26&lt;&gt;"",Weekly!$H$1:$CT$1)))))</f>
        <v/>
      </c>
      <c r="I26" s="221">
        <f>IF($Q26&lt;&gt;"",IF($P26&lt;&gt;"",$P26,$Q26),IF($P26&lt;&gt;"",$P26,""))</f>
        <v/>
      </c>
      <c r="J26" s="221">
        <f>IF($Q26&lt;&gt;"",EOMONTH($Q26,0),IF($P26&lt;&gt;"",EOMONTH($P26,0),""))</f>
        <v/>
      </c>
      <c r="K26" s="220">
        <f>IF($B26="","",IFERROR(MATCH($B26,'Initiative Tracker'!$A$5:$A$200,0),IF($E26="","",IFERROR(MATCH($E26,'Initiative Tracker'!$B$5:$B$200,0),""))))</f>
        <v/>
      </c>
      <c r="L26" s="220">
        <f>IF($B26="","",IFERROR(MATCH($D26,'Control (Don’t Touch)'!$E$4:$E$30,0),99))</f>
        <v/>
      </c>
      <c r="M26" s="220">
        <f>IF($B26="","",IFERROR(MATCH($F26,'Control (Don’t Touch)'!$B$4:$B$30,0),99))</f>
        <v/>
      </c>
      <c r="N26" s="220">
        <f>IF($B26="","",$L26*1000000+$M26*10000+ROW())</f>
        <v/>
      </c>
      <c r="O26" s="220">
        <f>IF($B26="","",COUNTIF($N$2:$N$205,"&lt;"&amp;$N26)+1)</f>
        <v/>
      </c>
      <c r="P26" s="221">
        <f>IF($K26="","",IFERROR(DATE(IFERROR(VALUE(RIGHT(TRIM(INDEX('Initiative Tracker'!$G$5:$G$200,$K26)),4)),YEAR(TODAY())),MATCH(LEFT(TRIM(INDEX('Initiative Tracker'!$G$5:$G$200,$K26)),3),$U$2:$U$13,0),1),""))</f>
        <v/>
      </c>
      <c r="Q26" s="221">
        <f>IF($K26="","",IFERROR(DATE(IFERROR(VALUE(RIGHT(TRIM(INDEX('Initiative Tracker'!$H$5:$H$200,$K26)),4)),YEAR(TODAY())),MATCH(LEFT(TRIM(INDEX('Initiative Tracker'!$H$5:$H$200,$K26)),3),$U$2:$U$13,0),1),""))</f>
        <v/>
      </c>
    </row>
    <row r="27">
      <c r="A27" s="220" t="n">
        <v>27</v>
      </c>
      <c r="B27" s="220">
        <f>IF(TRIM(Weekly!E27)="","",TRIM(Weekly!E27))</f>
        <v/>
      </c>
      <c r="C27" s="220">
        <f>IF($B27="","",Weekly!B27)</f>
        <v/>
      </c>
      <c r="D27" s="220">
        <f>IF($B27="","",IF(TRIM(Weekly!C27)="","(No theme assigned)",TRIM(Weekly!C27)))</f>
        <v/>
      </c>
      <c r="E27" s="220">
        <f>IF($B27="","",TRIM(Weekly!F27))</f>
        <v/>
      </c>
      <c r="F27" s="220">
        <f>IF($B27="","",Weekly!G27)</f>
        <v/>
      </c>
      <c r="G27" s="221">
        <f>IF($B27="","",IF(COUNTA(Weekly!$H27:$CT27)=0,"",SUMPRODUCT(MIN(IF(Weekly!$H27:$CT27&lt;&gt;"",Weekly!$H$1:$CT$1)))))</f>
        <v/>
      </c>
      <c r="H27" s="221">
        <f>IF($B27="","",IF(COUNTA(Weekly!$H27:$CT27)=0,"",SUMPRODUCT(MAX(IF(Weekly!$H27:$CT27&lt;&gt;"",Weekly!$H$1:$CT$1)))))</f>
        <v/>
      </c>
      <c r="I27" s="221">
        <f>IF($Q27&lt;&gt;"",IF($P27&lt;&gt;"",$P27,$Q27),IF($P27&lt;&gt;"",$P27,""))</f>
        <v/>
      </c>
      <c r="J27" s="221">
        <f>IF($Q27&lt;&gt;"",EOMONTH($Q27,0),IF($P27&lt;&gt;"",EOMONTH($P27,0),""))</f>
        <v/>
      </c>
      <c r="K27" s="220">
        <f>IF($B27="","",IFERROR(MATCH($B27,'Initiative Tracker'!$A$5:$A$200,0),IF($E27="","",IFERROR(MATCH($E27,'Initiative Tracker'!$B$5:$B$200,0),""))))</f>
        <v/>
      </c>
      <c r="L27" s="220">
        <f>IF($B27="","",IFERROR(MATCH($D27,'Control (Don’t Touch)'!$E$4:$E$30,0),99))</f>
        <v/>
      </c>
      <c r="M27" s="220">
        <f>IF($B27="","",IFERROR(MATCH($F27,'Control (Don’t Touch)'!$B$4:$B$30,0),99))</f>
        <v/>
      </c>
      <c r="N27" s="220">
        <f>IF($B27="","",$L27*1000000+$M27*10000+ROW())</f>
        <v/>
      </c>
      <c r="O27" s="220">
        <f>IF($B27="","",COUNTIF($N$2:$N$205,"&lt;"&amp;$N27)+1)</f>
        <v/>
      </c>
      <c r="P27" s="221">
        <f>IF($K27="","",IFERROR(DATE(IFERROR(VALUE(RIGHT(TRIM(INDEX('Initiative Tracker'!$G$5:$G$200,$K27)),4)),YEAR(TODAY())),MATCH(LEFT(TRIM(INDEX('Initiative Tracker'!$G$5:$G$200,$K27)),3),$U$2:$U$13,0),1),""))</f>
        <v/>
      </c>
      <c r="Q27" s="221">
        <f>IF($K27="","",IFERROR(DATE(IFERROR(VALUE(RIGHT(TRIM(INDEX('Initiative Tracker'!$H$5:$H$200,$K27)),4)),YEAR(TODAY())),MATCH(LEFT(TRIM(INDEX('Initiative Tracker'!$H$5:$H$200,$K27)),3),$U$2:$U$13,0),1),""))</f>
        <v/>
      </c>
    </row>
    <row r="28">
      <c r="A28" s="220" t="n">
        <v>28</v>
      </c>
      <c r="B28" s="220">
        <f>IF(TRIM(Weekly!E28)="","",TRIM(Weekly!E28))</f>
        <v/>
      </c>
      <c r="C28" s="220">
        <f>IF($B28="","",Weekly!B28)</f>
        <v/>
      </c>
      <c r="D28" s="220">
        <f>IF($B28="","",IF(TRIM(Weekly!C28)="","(No theme assigned)",TRIM(Weekly!C28)))</f>
        <v/>
      </c>
      <c r="E28" s="220">
        <f>IF($B28="","",TRIM(Weekly!F28))</f>
        <v/>
      </c>
      <c r="F28" s="220">
        <f>IF($B28="","",Weekly!G28)</f>
        <v/>
      </c>
      <c r="G28" s="221">
        <f>IF($B28="","",IF(COUNTA(Weekly!$H28:$CT28)=0,"",SUMPRODUCT(MIN(IF(Weekly!$H28:$CT28&lt;&gt;"",Weekly!$H$1:$CT$1)))))</f>
        <v/>
      </c>
      <c r="H28" s="221">
        <f>IF($B28="","",IF(COUNTA(Weekly!$H28:$CT28)=0,"",SUMPRODUCT(MAX(IF(Weekly!$H28:$CT28&lt;&gt;"",Weekly!$H$1:$CT$1)))))</f>
        <v/>
      </c>
      <c r="I28" s="221">
        <f>IF($Q28&lt;&gt;"",IF($P28&lt;&gt;"",$P28,$Q28),IF($P28&lt;&gt;"",$P28,""))</f>
        <v/>
      </c>
      <c r="J28" s="221">
        <f>IF($Q28&lt;&gt;"",EOMONTH($Q28,0),IF($P28&lt;&gt;"",EOMONTH($P28,0),""))</f>
        <v/>
      </c>
      <c r="K28" s="220">
        <f>IF($B28="","",IFERROR(MATCH($B28,'Initiative Tracker'!$A$5:$A$200,0),IF($E28="","",IFERROR(MATCH($E28,'Initiative Tracker'!$B$5:$B$200,0),""))))</f>
        <v/>
      </c>
      <c r="L28" s="220">
        <f>IF($B28="","",IFERROR(MATCH($D28,'Control (Don’t Touch)'!$E$4:$E$30,0),99))</f>
        <v/>
      </c>
      <c r="M28" s="220">
        <f>IF($B28="","",IFERROR(MATCH($F28,'Control (Don’t Touch)'!$B$4:$B$30,0),99))</f>
        <v/>
      </c>
      <c r="N28" s="220">
        <f>IF($B28="","",$L28*1000000+$M28*10000+ROW())</f>
        <v/>
      </c>
      <c r="O28" s="220">
        <f>IF($B28="","",COUNTIF($N$2:$N$205,"&lt;"&amp;$N28)+1)</f>
        <v/>
      </c>
      <c r="P28" s="221">
        <f>IF($K28="","",IFERROR(DATE(IFERROR(VALUE(RIGHT(TRIM(INDEX('Initiative Tracker'!$G$5:$G$200,$K28)),4)),YEAR(TODAY())),MATCH(LEFT(TRIM(INDEX('Initiative Tracker'!$G$5:$G$200,$K28)),3),$U$2:$U$13,0),1),""))</f>
        <v/>
      </c>
      <c r="Q28" s="221">
        <f>IF($K28="","",IFERROR(DATE(IFERROR(VALUE(RIGHT(TRIM(INDEX('Initiative Tracker'!$H$5:$H$200,$K28)),4)),YEAR(TODAY())),MATCH(LEFT(TRIM(INDEX('Initiative Tracker'!$H$5:$H$200,$K28)),3),$U$2:$U$13,0),1),""))</f>
        <v/>
      </c>
    </row>
    <row r="29">
      <c r="A29" s="220" t="n">
        <v>29</v>
      </c>
      <c r="B29" s="220">
        <f>IF(TRIM(Weekly!E29)="","",TRIM(Weekly!E29))</f>
        <v/>
      </c>
      <c r="C29" s="220">
        <f>IF($B29="","",Weekly!B29)</f>
        <v/>
      </c>
      <c r="D29" s="220">
        <f>IF($B29="","",IF(TRIM(Weekly!C29)="","(No theme assigned)",TRIM(Weekly!C29)))</f>
        <v/>
      </c>
      <c r="E29" s="220">
        <f>IF($B29="","",TRIM(Weekly!F29))</f>
        <v/>
      </c>
      <c r="F29" s="220">
        <f>IF($B29="","",Weekly!G29)</f>
        <v/>
      </c>
      <c r="G29" s="221">
        <f>IF($B29="","",IF(COUNTA(Weekly!$H29:$CT29)=0,"",SUMPRODUCT(MIN(IF(Weekly!$H29:$CT29&lt;&gt;"",Weekly!$H$1:$CT$1)))))</f>
        <v/>
      </c>
      <c r="H29" s="221">
        <f>IF($B29="","",IF(COUNTA(Weekly!$H29:$CT29)=0,"",SUMPRODUCT(MAX(IF(Weekly!$H29:$CT29&lt;&gt;"",Weekly!$H$1:$CT$1)))))</f>
        <v/>
      </c>
      <c r="I29" s="221">
        <f>IF($Q29&lt;&gt;"",IF($P29&lt;&gt;"",$P29,$Q29),IF($P29&lt;&gt;"",$P29,""))</f>
        <v/>
      </c>
      <c r="J29" s="221">
        <f>IF($Q29&lt;&gt;"",EOMONTH($Q29,0),IF($P29&lt;&gt;"",EOMONTH($P29,0),""))</f>
        <v/>
      </c>
      <c r="K29" s="220">
        <f>IF($B29="","",IFERROR(MATCH($B29,'Initiative Tracker'!$A$5:$A$200,0),IF($E29="","",IFERROR(MATCH($E29,'Initiative Tracker'!$B$5:$B$200,0),""))))</f>
        <v/>
      </c>
      <c r="L29" s="220">
        <f>IF($B29="","",IFERROR(MATCH($D29,'Control (Don’t Touch)'!$E$4:$E$30,0),99))</f>
        <v/>
      </c>
      <c r="M29" s="220">
        <f>IF($B29="","",IFERROR(MATCH($F29,'Control (Don’t Touch)'!$B$4:$B$30,0),99))</f>
        <v/>
      </c>
      <c r="N29" s="220">
        <f>IF($B29="","",$L29*1000000+$M29*10000+ROW())</f>
        <v/>
      </c>
      <c r="O29" s="220">
        <f>IF($B29="","",COUNTIF($N$2:$N$205,"&lt;"&amp;$N29)+1)</f>
        <v/>
      </c>
      <c r="P29" s="221">
        <f>IF($K29="","",IFERROR(DATE(IFERROR(VALUE(RIGHT(TRIM(INDEX('Initiative Tracker'!$G$5:$G$200,$K29)),4)),YEAR(TODAY())),MATCH(LEFT(TRIM(INDEX('Initiative Tracker'!$G$5:$G$200,$K29)),3),$U$2:$U$13,0),1),""))</f>
        <v/>
      </c>
      <c r="Q29" s="221">
        <f>IF($K29="","",IFERROR(DATE(IFERROR(VALUE(RIGHT(TRIM(INDEX('Initiative Tracker'!$H$5:$H$200,$K29)),4)),YEAR(TODAY())),MATCH(LEFT(TRIM(INDEX('Initiative Tracker'!$H$5:$H$200,$K29)),3),$U$2:$U$13,0),1),""))</f>
        <v/>
      </c>
    </row>
    <row r="30">
      <c r="A30" s="220" t="n">
        <v>30</v>
      </c>
      <c r="B30" s="220">
        <f>IF(TRIM(Weekly!E30)="","",TRIM(Weekly!E30))</f>
        <v/>
      </c>
      <c r="C30" s="220">
        <f>IF($B30="","",Weekly!B30)</f>
        <v/>
      </c>
      <c r="D30" s="220">
        <f>IF($B30="","",IF(TRIM(Weekly!C30)="","(No theme assigned)",TRIM(Weekly!C30)))</f>
        <v/>
      </c>
      <c r="E30" s="220">
        <f>IF($B30="","",TRIM(Weekly!F30))</f>
        <v/>
      </c>
      <c r="F30" s="220">
        <f>IF($B30="","",Weekly!G30)</f>
        <v/>
      </c>
      <c r="G30" s="221">
        <f>IF($B30="","",IF(COUNTA(Weekly!$H30:$CT30)=0,"",SUMPRODUCT(MIN(IF(Weekly!$H30:$CT30&lt;&gt;"",Weekly!$H$1:$CT$1)))))</f>
        <v/>
      </c>
      <c r="H30" s="221">
        <f>IF($B30="","",IF(COUNTA(Weekly!$H30:$CT30)=0,"",SUMPRODUCT(MAX(IF(Weekly!$H30:$CT30&lt;&gt;"",Weekly!$H$1:$CT$1)))))</f>
        <v/>
      </c>
      <c r="I30" s="221">
        <f>IF($Q30&lt;&gt;"",IF($P30&lt;&gt;"",$P30,$Q30),IF($P30&lt;&gt;"",$P30,""))</f>
        <v/>
      </c>
      <c r="J30" s="221">
        <f>IF($Q30&lt;&gt;"",EOMONTH($Q30,0),IF($P30&lt;&gt;"",EOMONTH($P30,0),""))</f>
        <v/>
      </c>
      <c r="K30" s="220">
        <f>IF($B30="","",IFERROR(MATCH($B30,'Initiative Tracker'!$A$5:$A$200,0),IF($E30="","",IFERROR(MATCH($E30,'Initiative Tracker'!$B$5:$B$200,0),""))))</f>
        <v/>
      </c>
      <c r="L30" s="220">
        <f>IF($B30="","",IFERROR(MATCH($D30,'Control (Don’t Touch)'!$E$4:$E$30,0),99))</f>
        <v/>
      </c>
      <c r="M30" s="220">
        <f>IF($B30="","",IFERROR(MATCH($F30,'Control (Don’t Touch)'!$B$4:$B$30,0),99))</f>
        <v/>
      </c>
      <c r="N30" s="220">
        <f>IF($B30="","",$L30*1000000+$M30*10000+ROW())</f>
        <v/>
      </c>
      <c r="O30" s="220">
        <f>IF($B30="","",COUNTIF($N$2:$N$205,"&lt;"&amp;$N30)+1)</f>
        <v/>
      </c>
      <c r="P30" s="221">
        <f>IF($K30="","",IFERROR(DATE(IFERROR(VALUE(RIGHT(TRIM(INDEX('Initiative Tracker'!$G$5:$G$200,$K30)),4)),YEAR(TODAY())),MATCH(LEFT(TRIM(INDEX('Initiative Tracker'!$G$5:$G$200,$K30)),3),$U$2:$U$13,0),1),""))</f>
        <v/>
      </c>
      <c r="Q30" s="221">
        <f>IF($K30="","",IFERROR(DATE(IFERROR(VALUE(RIGHT(TRIM(INDEX('Initiative Tracker'!$H$5:$H$200,$K30)),4)),YEAR(TODAY())),MATCH(LEFT(TRIM(INDEX('Initiative Tracker'!$H$5:$H$200,$K30)),3),$U$2:$U$13,0),1),""))</f>
        <v/>
      </c>
    </row>
    <row r="31">
      <c r="A31" s="220" t="n">
        <v>31</v>
      </c>
      <c r="B31" s="220">
        <f>IF(TRIM(Weekly!E31)="","",TRIM(Weekly!E31))</f>
        <v/>
      </c>
      <c r="C31" s="220">
        <f>IF($B31="","",Weekly!B31)</f>
        <v/>
      </c>
      <c r="D31" s="220">
        <f>IF($B31="","",IF(TRIM(Weekly!C31)="","(No theme assigned)",TRIM(Weekly!C31)))</f>
        <v/>
      </c>
      <c r="E31" s="220">
        <f>IF($B31="","",TRIM(Weekly!F31))</f>
        <v/>
      </c>
      <c r="F31" s="220">
        <f>IF($B31="","",Weekly!G31)</f>
        <v/>
      </c>
      <c r="G31" s="221">
        <f>IF($B31="","",IF(COUNTA(Weekly!$H31:$CT31)=0,"",SUMPRODUCT(MIN(IF(Weekly!$H31:$CT31&lt;&gt;"",Weekly!$H$1:$CT$1)))))</f>
        <v/>
      </c>
      <c r="H31" s="221">
        <f>IF($B31="","",IF(COUNTA(Weekly!$H31:$CT31)=0,"",SUMPRODUCT(MAX(IF(Weekly!$H31:$CT31&lt;&gt;"",Weekly!$H$1:$CT$1)))))</f>
        <v/>
      </c>
      <c r="I31" s="221">
        <f>IF($Q31&lt;&gt;"",IF($P31&lt;&gt;"",$P31,$Q31),IF($P31&lt;&gt;"",$P31,""))</f>
        <v/>
      </c>
      <c r="J31" s="221">
        <f>IF($Q31&lt;&gt;"",EOMONTH($Q31,0),IF($P31&lt;&gt;"",EOMONTH($P31,0),""))</f>
        <v/>
      </c>
      <c r="K31" s="220">
        <f>IF($B31="","",IFERROR(MATCH($B31,'Initiative Tracker'!$A$5:$A$200,0),IF($E31="","",IFERROR(MATCH($E31,'Initiative Tracker'!$B$5:$B$200,0),""))))</f>
        <v/>
      </c>
      <c r="L31" s="220">
        <f>IF($B31="","",IFERROR(MATCH($D31,'Control (Don’t Touch)'!$E$4:$E$30,0),99))</f>
        <v/>
      </c>
      <c r="M31" s="220">
        <f>IF($B31="","",IFERROR(MATCH($F31,'Control (Don’t Touch)'!$B$4:$B$30,0),99))</f>
        <v/>
      </c>
      <c r="N31" s="220">
        <f>IF($B31="","",$L31*1000000+$M31*10000+ROW())</f>
        <v/>
      </c>
      <c r="O31" s="220">
        <f>IF($B31="","",COUNTIF($N$2:$N$205,"&lt;"&amp;$N31)+1)</f>
        <v/>
      </c>
      <c r="P31" s="221">
        <f>IF($K31="","",IFERROR(DATE(IFERROR(VALUE(RIGHT(TRIM(INDEX('Initiative Tracker'!$G$5:$G$200,$K31)),4)),YEAR(TODAY())),MATCH(LEFT(TRIM(INDEX('Initiative Tracker'!$G$5:$G$200,$K31)),3),$U$2:$U$13,0),1),""))</f>
        <v/>
      </c>
      <c r="Q31" s="221">
        <f>IF($K31="","",IFERROR(DATE(IFERROR(VALUE(RIGHT(TRIM(INDEX('Initiative Tracker'!$H$5:$H$200,$K31)),4)),YEAR(TODAY())),MATCH(LEFT(TRIM(INDEX('Initiative Tracker'!$H$5:$H$200,$K31)),3),$U$2:$U$13,0),1),""))</f>
        <v/>
      </c>
    </row>
    <row r="32">
      <c r="A32" s="220" t="n">
        <v>32</v>
      </c>
      <c r="B32" s="220">
        <f>IF(TRIM(Weekly!E32)="","",TRIM(Weekly!E32))</f>
        <v/>
      </c>
      <c r="C32" s="220">
        <f>IF($B32="","",Weekly!B32)</f>
        <v/>
      </c>
      <c r="D32" s="220">
        <f>IF($B32="","",IF(TRIM(Weekly!C32)="","(No theme assigned)",TRIM(Weekly!C32)))</f>
        <v/>
      </c>
      <c r="E32" s="220">
        <f>IF($B32="","",TRIM(Weekly!F32))</f>
        <v/>
      </c>
      <c r="F32" s="220">
        <f>IF($B32="","",Weekly!G32)</f>
        <v/>
      </c>
      <c r="G32" s="221">
        <f>IF($B32="","",IF(COUNTA(Weekly!$H32:$CT32)=0,"",SUMPRODUCT(MIN(IF(Weekly!$H32:$CT32&lt;&gt;"",Weekly!$H$1:$CT$1)))))</f>
        <v/>
      </c>
      <c r="H32" s="221">
        <f>IF($B32="","",IF(COUNTA(Weekly!$H32:$CT32)=0,"",SUMPRODUCT(MAX(IF(Weekly!$H32:$CT32&lt;&gt;"",Weekly!$H$1:$CT$1)))))</f>
        <v/>
      </c>
      <c r="I32" s="221">
        <f>IF($Q32&lt;&gt;"",IF($P32&lt;&gt;"",$P32,$Q32),IF($P32&lt;&gt;"",$P32,""))</f>
        <v/>
      </c>
      <c r="J32" s="221">
        <f>IF($Q32&lt;&gt;"",EOMONTH($Q32,0),IF($P32&lt;&gt;"",EOMONTH($P32,0),""))</f>
        <v/>
      </c>
      <c r="K32" s="220">
        <f>IF($B32="","",IFERROR(MATCH($B32,'Initiative Tracker'!$A$5:$A$200,0),IF($E32="","",IFERROR(MATCH($E32,'Initiative Tracker'!$B$5:$B$200,0),""))))</f>
        <v/>
      </c>
      <c r="L32" s="220">
        <f>IF($B32="","",IFERROR(MATCH($D32,'Control (Don’t Touch)'!$E$4:$E$30,0),99))</f>
        <v/>
      </c>
      <c r="M32" s="220">
        <f>IF($B32="","",IFERROR(MATCH($F32,'Control (Don’t Touch)'!$B$4:$B$30,0),99))</f>
        <v/>
      </c>
      <c r="N32" s="220">
        <f>IF($B32="","",$L32*1000000+$M32*10000+ROW())</f>
        <v/>
      </c>
      <c r="O32" s="220">
        <f>IF($B32="","",COUNTIF($N$2:$N$205,"&lt;"&amp;$N32)+1)</f>
        <v/>
      </c>
      <c r="P32" s="221">
        <f>IF($K32="","",IFERROR(DATE(IFERROR(VALUE(RIGHT(TRIM(INDEX('Initiative Tracker'!$G$5:$G$200,$K32)),4)),YEAR(TODAY())),MATCH(LEFT(TRIM(INDEX('Initiative Tracker'!$G$5:$G$200,$K32)),3),$U$2:$U$13,0),1),""))</f>
        <v/>
      </c>
      <c r="Q32" s="221">
        <f>IF($K32="","",IFERROR(DATE(IFERROR(VALUE(RIGHT(TRIM(INDEX('Initiative Tracker'!$H$5:$H$200,$K32)),4)),YEAR(TODAY())),MATCH(LEFT(TRIM(INDEX('Initiative Tracker'!$H$5:$H$200,$K32)),3),$U$2:$U$13,0),1),""))</f>
        <v/>
      </c>
    </row>
    <row r="33">
      <c r="A33" s="220" t="n">
        <v>33</v>
      </c>
      <c r="B33" s="220">
        <f>IF(TRIM(Weekly!E33)="","",TRIM(Weekly!E33))</f>
        <v/>
      </c>
      <c r="C33" s="220">
        <f>IF($B33="","",Weekly!B33)</f>
        <v/>
      </c>
      <c r="D33" s="220">
        <f>IF($B33="","",IF(TRIM(Weekly!C33)="","(No theme assigned)",TRIM(Weekly!C33)))</f>
        <v/>
      </c>
      <c r="E33" s="220">
        <f>IF($B33="","",TRIM(Weekly!F33))</f>
        <v/>
      </c>
      <c r="F33" s="220">
        <f>IF($B33="","",Weekly!G33)</f>
        <v/>
      </c>
      <c r="G33" s="221">
        <f>IF($B33="","",IF(COUNTA(Weekly!$H33:$CT33)=0,"",SUMPRODUCT(MIN(IF(Weekly!$H33:$CT33&lt;&gt;"",Weekly!$H$1:$CT$1)))))</f>
        <v/>
      </c>
      <c r="H33" s="221">
        <f>IF($B33="","",IF(COUNTA(Weekly!$H33:$CT33)=0,"",SUMPRODUCT(MAX(IF(Weekly!$H33:$CT33&lt;&gt;"",Weekly!$H$1:$CT$1)))))</f>
        <v/>
      </c>
      <c r="I33" s="221">
        <f>IF($Q33&lt;&gt;"",IF($P33&lt;&gt;"",$P33,$Q33),IF($P33&lt;&gt;"",$P33,""))</f>
        <v/>
      </c>
      <c r="J33" s="221">
        <f>IF($Q33&lt;&gt;"",EOMONTH($Q33,0),IF($P33&lt;&gt;"",EOMONTH($P33,0),""))</f>
        <v/>
      </c>
      <c r="K33" s="220">
        <f>IF($B33="","",IFERROR(MATCH($B33,'Initiative Tracker'!$A$5:$A$200,0),IF($E33="","",IFERROR(MATCH($E33,'Initiative Tracker'!$B$5:$B$200,0),""))))</f>
        <v/>
      </c>
      <c r="L33" s="220">
        <f>IF($B33="","",IFERROR(MATCH($D33,'Control (Don’t Touch)'!$E$4:$E$30,0),99))</f>
        <v/>
      </c>
      <c r="M33" s="220">
        <f>IF($B33="","",IFERROR(MATCH($F33,'Control (Don’t Touch)'!$B$4:$B$30,0),99))</f>
        <v/>
      </c>
      <c r="N33" s="220">
        <f>IF($B33="","",$L33*1000000+$M33*10000+ROW())</f>
        <v/>
      </c>
      <c r="O33" s="220">
        <f>IF($B33="","",COUNTIF($N$2:$N$205,"&lt;"&amp;$N33)+1)</f>
        <v/>
      </c>
      <c r="P33" s="221">
        <f>IF($K33="","",IFERROR(DATE(IFERROR(VALUE(RIGHT(TRIM(INDEX('Initiative Tracker'!$G$5:$G$200,$K33)),4)),YEAR(TODAY())),MATCH(LEFT(TRIM(INDEX('Initiative Tracker'!$G$5:$G$200,$K33)),3),$U$2:$U$13,0),1),""))</f>
        <v/>
      </c>
      <c r="Q33" s="221">
        <f>IF($K33="","",IFERROR(DATE(IFERROR(VALUE(RIGHT(TRIM(INDEX('Initiative Tracker'!$H$5:$H$200,$K33)),4)),YEAR(TODAY())),MATCH(LEFT(TRIM(INDEX('Initiative Tracker'!$H$5:$H$200,$K33)),3),$U$2:$U$13,0),1),""))</f>
        <v/>
      </c>
    </row>
    <row r="34">
      <c r="A34" s="220" t="n">
        <v>34</v>
      </c>
      <c r="B34" s="220">
        <f>IF(TRIM(Weekly!E34)="","",TRIM(Weekly!E34))</f>
        <v/>
      </c>
      <c r="C34" s="220">
        <f>IF($B34="","",Weekly!B34)</f>
        <v/>
      </c>
      <c r="D34" s="220">
        <f>IF($B34="","",IF(TRIM(Weekly!C34)="","(No theme assigned)",TRIM(Weekly!C34)))</f>
        <v/>
      </c>
      <c r="E34" s="220">
        <f>IF($B34="","",TRIM(Weekly!F34))</f>
        <v/>
      </c>
      <c r="F34" s="220">
        <f>IF($B34="","",Weekly!G34)</f>
        <v/>
      </c>
      <c r="G34" s="221">
        <f>IF($B34="","",IF(COUNTA(Weekly!$H34:$CT34)=0,"",SUMPRODUCT(MIN(IF(Weekly!$H34:$CT34&lt;&gt;"",Weekly!$H$1:$CT$1)))))</f>
        <v/>
      </c>
      <c r="H34" s="221">
        <f>IF($B34="","",IF(COUNTA(Weekly!$H34:$CT34)=0,"",SUMPRODUCT(MAX(IF(Weekly!$H34:$CT34&lt;&gt;"",Weekly!$H$1:$CT$1)))))</f>
        <v/>
      </c>
      <c r="I34" s="221">
        <f>IF($Q34&lt;&gt;"",IF($P34&lt;&gt;"",$P34,$Q34),IF($P34&lt;&gt;"",$P34,""))</f>
        <v/>
      </c>
      <c r="J34" s="221">
        <f>IF($Q34&lt;&gt;"",EOMONTH($Q34,0),IF($P34&lt;&gt;"",EOMONTH($P34,0),""))</f>
        <v/>
      </c>
      <c r="K34" s="220">
        <f>IF($B34="","",IFERROR(MATCH($B34,'Initiative Tracker'!$A$5:$A$200,0),IF($E34="","",IFERROR(MATCH($E34,'Initiative Tracker'!$B$5:$B$200,0),""))))</f>
        <v/>
      </c>
      <c r="L34" s="220">
        <f>IF($B34="","",IFERROR(MATCH($D34,'Control (Don’t Touch)'!$E$4:$E$30,0),99))</f>
        <v/>
      </c>
      <c r="M34" s="220">
        <f>IF($B34="","",IFERROR(MATCH($F34,'Control (Don’t Touch)'!$B$4:$B$30,0),99))</f>
        <v/>
      </c>
      <c r="N34" s="220">
        <f>IF($B34="","",$L34*1000000+$M34*10000+ROW())</f>
        <v/>
      </c>
      <c r="O34" s="220">
        <f>IF($B34="","",COUNTIF($N$2:$N$205,"&lt;"&amp;$N34)+1)</f>
        <v/>
      </c>
      <c r="P34" s="221">
        <f>IF($K34="","",IFERROR(DATE(IFERROR(VALUE(RIGHT(TRIM(INDEX('Initiative Tracker'!$G$5:$G$200,$K34)),4)),YEAR(TODAY())),MATCH(LEFT(TRIM(INDEX('Initiative Tracker'!$G$5:$G$200,$K34)),3),$U$2:$U$13,0),1),""))</f>
        <v/>
      </c>
      <c r="Q34" s="221">
        <f>IF($K34="","",IFERROR(DATE(IFERROR(VALUE(RIGHT(TRIM(INDEX('Initiative Tracker'!$H$5:$H$200,$K34)),4)),YEAR(TODAY())),MATCH(LEFT(TRIM(INDEX('Initiative Tracker'!$H$5:$H$200,$K34)),3),$U$2:$U$13,0),1),""))</f>
        <v/>
      </c>
    </row>
    <row r="35">
      <c r="A35" s="220" t="n">
        <v>35</v>
      </c>
      <c r="B35" s="220">
        <f>IF(TRIM(Weekly!E35)="","",TRIM(Weekly!E35))</f>
        <v/>
      </c>
      <c r="C35" s="220">
        <f>IF($B35="","",Weekly!B35)</f>
        <v/>
      </c>
      <c r="D35" s="220">
        <f>IF($B35="","",IF(TRIM(Weekly!C35)="","(No theme assigned)",TRIM(Weekly!C35)))</f>
        <v/>
      </c>
      <c r="E35" s="220">
        <f>IF($B35="","",TRIM(Weekly!F35))</f>
        <v/>
      </c>
      <c r="F35" s="220">
        <f>IF($B35="","",Weekly!G35)</f>
        <v/>
      </c>
      <c r="G35" s="221">
        <f>IF($B35="","",IF(COUNTA(Weekly!$H35:$CT35)=0,"",SUMPRODUCT(MIN(IF(Weekly!$H35:$CT35&lt;&gt;"",Weekly!$H$1:$CT$1)))))</f>
        <v/>
      </c>
      <c r="H35" s="221">
        <f>IF($B35="","",IF(COUNTA(Weekly!$H35:$CT35)=0,"",SUMPRODUCT(MAX(IF(Weekly!$H35:$CT35&lt;&gt;"",Weekly!$H$1:$CT$1)))))</f>
        <v/>
      </c>
      <c r="I35" s="221">
        <f>IF($Q35&lt;&gt;"",IF($P35&lt;&gt;"",$P35,$Q35),IF($P35&lt;&gt;"",$P35,""))</f>
        <v/>
      </c>
      <c r="J35" s="221">
        <f>IF($Q35&lt;&gt;"",EOMONTH($Q35,0),IF($P35&lt;&gt;"",EOMONTH($P35,0),""))</f>
        <v/>
      </c>
      <c r="K35" s="220">
        <f>IF($B35="","",IFERROR(MATCH($B35,'Initiative Tracker'!$A$5:$A$200,0),IF($E35="","",IFERROR(MATCH($E35,'Initiative Tracker'!$B$5:$B$200,0),""))))</f>
        <v/>
      </c>
      <c r="L35" s="220">
        <f>IF($B35="","",IFERROR(MATCH($D35,'Control (Don’t Touch)'!$E$4:$E$30,0),99))</f>
        <v/>
      </c>
      <c r="M35" s="220">
        <f>IF($B35="","",IFERROR(MATCH($F35,'Control (Don’t Touch)'!$B$4:$B$30,0),99))</f>
        <v/>
      </c>
      <c r="N35" s="220">
        <f>IF($B35="","",$L35*1000000+$M35*10000+ROW())</f>
        <v/>
      </c>
      <c r="O35" s="220">
        <f>IF($B35="","",COUNTIF($N$2:$N$205,"&lt;"&amp;$N35)+1)</f>
        <v/>
      </c>
      <c r="P35" s="221">
        <f>IF($K35="","",IFERROR(DATE(IFERROR(VALUE(RIGHT(TRIM(INDEX('Initiative Tracker'!$G$5:$G$200,$K35)),4)),YEAR(TODAY())),MATCH(LEFT(TRIM(INDEX('Initiative Tracker'!$G$5:$G$200,$K35)),3),$U$2:$U$13,0),1),""))</f>
        <v/>
      </c>
      <c r="Q35" s="221">
        <f>IF($K35="","",IFERROR(DATE(IFERROR(VALUE(RIGHT(TRIM(INDEX('Initiative Tracker'!$H$5:$H$200,$K35)),4)),YEAR(TODAY())),MATCH(LEFT(TRIM(INDEX('Initiative Tracker'!$H$5:$H$200,$K35)),3),$U$2:$U$13,0),1),""))</f>
        <v/>
      </c>
    </row>
    <row r="36">
      <c r="A36" s="220" t="n">
        <v>36</v>
      </c>
      <c r="B36" s="220">
        <f>IF(TRIM(Weekly!E36)="","",TRIM(Weekly!E36))</f>
        <v/>
      </c>
      <c r="C36" s="220">
        <f>IF($B36="","",Weekly!B36)</f>
        <v/>
      </c>
      <c r="D36" s="220">
        <f>IF($B36="","",IF(TRIM(Weekly!C36)="","(No theme assigned)",TRIM(Weekly!C36)))</f>
        <v/>
      </c>
      <c r="E36" s="220">
        <f>IF($B36="","",TRIM(Weekly!F36))</f>
        <v/>
      </c>
      <c r="F36" s="220">
        <f>IF($B36="","",Weekly!G36)</f>
        <v/>
      </c>
      <c r="G36" s="221">
        <f>IF($B36="","",IF(COUNTA(Weekly!$H36:$CT36)=0,"",SUMPRODUCT(MIN(IF(Weekly!$H36:$CT36&lt;&gt;"",Weekly!$H$1:$CT$1)))))</f>
        <v/>
      </c>
      <c r="H36" s="221">
        <f>IF($B36="","",IF(COUNTA(Weekly!$H36:$CT36)=0,"",SUMPRODUCT(MAX(IF(Weekly!$H36:$CT36&lt;&gt;"",Weekly!$H$1:$CT$1)))))</f>
        <v/>
      </c>
      <c r="I36" s="221">
        <f>IF($Q36&lt;&gt;"",IF($P36&lt;&gt;"",$P36,$Q36),IF($P36&lt;&gt;"",$P36,""))</f>
        <v/>
      </c>
      <c r="J36" s="221">
        <f>IF($Q36&lt;&gt;"",EOMONTH($Q36,0),IF($P36&lt;&gt;"",EOMONTH($P36,0),""))</f>
        <v/>
      </c>
      <c r="K36" s="220">
        <f>IF($B36="","",IFERROR(MATCH($B36,'Initiative Tracker'!$A$5:$A$200,0),IF($E36="","",IFERROR(MATCH($E36,'Initiative Tracker'!$B$5:$B$200,0),""))))</f>
        <v/>
      </c>
      <c r="L36" s="220">
        <f>IF($B36="","",IFERROR(MATCH($D36,'Control (Don’t Touch)'!$E$4:$E$30,0),99))</f>
        <v/>
      </c>
      <c r="M36" s="220">
        <f>IF($B36="","",IFERROR(MATCH($F36,'Control (Don’t Touch)'!$B$4:$B$30,0),99))</f>
        <v/>
      </c>
      <c r="N36" s="220">
        <f>IF($B36="","",$L36*1000000+$M36*10000+ROW())</f>
        <v/>
      </c>
      <c r="O36" s="220">
        <f>IF($B36="","",COUNTIF($N$2:$N$205,"&lt;"&amp;$N36)+1)</f>
        <v/>
      </c>
      <c r="P36" s="221">
        <f>IF($K36="","",IFERROR(DATE(IFERROR(VALUE(RIGHT(TRIM(INDEX('Initiative Tracker'!$G$5:$G$200,$K36)),4)),YEAR(TODAY())),MATCH(LEFT(TRIM(INDEX('Initiative Tracker'!$G$5:$G$200,$K36)),3),$U$2:$U$13,0),1),""))</f>
        <v/>
      </c>
      <c r="Q36" s="221">
        <f>IF($K36="","",IFERROR(DATE(IFERROR(VALUE(RIGHT(TRIM(INDEX('Initiative Tracker'!$H$5:$H$200,$K36)),4)),YEAR(TODAY())),MATCH(LEFT(TRIM(INDEX('Initiative Tracker'!$H$5:$H$200,$K36)),3),$U$2:$U$13,0),1),""))</f>
        <v/>
      </c>
    </row>
    <row r="37">
      <c r="A37" s="220" t="n">
        <v>37</v>
      </c>
      <c r="B37" s="220">
        <f>IF(TRIM(Weekly!E37)="","",TRIM(Weekly!E37))</f>
        <v/>
      </c>
      <c r="C37" s="220">
        <f>IF($B37="","",Weekly!B37)</f>
        <v/>
      </c>
      <c r="D37" s="220">
        <f>IF($B37="","",IF(TRIM(Weekly!C37)="","(No theme assigned)",TRIM(Weekly!C37)))</f>
        <v/>
      </c>
      <c r="E37" s="220">
        <f>IF($B37="","",TRIM(Weekly!F37))</f>
        <v/>
      </c>
      <c r="F37" s="220">
        <f>IF($B37="","",Weekly!G37)</f>
        <v/>
      </c>
      <c r="G37" s="221">
        <f>IF($B37="","",IF(COUNTA(Weekly!$H37:$CT37)=0,"",SUMPRODUCT(MIN(IF(Weekly!$H37:$CT37&lt;&gt;"",Weekly!$H$1:$CT$1)))))</f>
        <v/>
      </c>
      <c r="H37" s="221">
        <f>IF($B37="","",IF(COUNTA(Weekly!$H37:$CT37)=0,"",SUMPRODUCT(MAX(IF(Weekly!$H37:$CT37&lt;&gt;"",Weekly!$H$1:$CT$1)))))</f>
        <v/>
      </c>
      <c r="I37" s="221">
        <f>IF($Q37&lt;&gt;"",IF($P37&lt;&gt;"",$P37,$Q37),IF($P37&lt;&gt;"",$P37,""))</f>
        <v/>
      </c>
      <c r="J37" s="221">
        <f>IF($Q37&lt;&gt;"",EOMONTH($Q37,0),IF($P37&lt;&gt;"",EOMONTH($P37,0),""))</f>
        <v/>
      </c>
      <c r="K37" s="220">
        <f>IF($B37="","",IFERROR(MATCH($B37,'Initiative Tracker'!$A$5:$A$200,0),IF($E37="","",IFERROR(MATCH($E37,'Initiative Tracker'!$B$5:$B$200,0),""))))</f>
        <v/>
      </c>
      <c r="L37" s="220">
        <f>IF($B37="","",IFERROR(MATCH($D37,'Control (Don’t Touch)'!$E$4:$E$30,0),99))</f>
        <v/>
      </c>
      <c r="M37" s="220">
        <f>IF($B37="","",IFERROR(MATCH($F37,'Control (Don’t Touch)'!$B$4:$B$30,0),99))</f>
        <v/>
      </c>
      <c r="N37" s="220">
        <f>IF($B37="","",$L37*1000000+$M37*10000+ROW())</f>
        <v/>
      </c>
      <c r="O37" s="220">
        <f>IF($B37="","",COUNTIF($N$2:$N$205,"&lt;"&amp;$N37)+1)</f>
        <v/>
      </c>
      <c r="P37" s="221">
        <f>IF($K37="","",IFERROR(DATE(IFERROR(VALUE(RIGHT(TRIM(INDEX('Initiative Tracker'!$G$5:$G$200,$K37)),4)),YEAR(TODAY())),MATCH(LEFT(TRIM(INDEX('Initiative Tracker'!$G$5:$G$200,$K37)),3),$U$2:$U$13,0),1),""))</f>
        <v/>
      </c>
      <c r="Q37" s="221">
        <f>IF($K37="","",IFERROR(DATE(IFERROR(VALUE(RIGHT(TRIM(INDEX('Initiative Tracker'!$H$5:$H$200,$K37)),4)),YEAR(TODAY())),MATCH(LEFT(TRIM(INDEX('Initiative Tracker'!$H$5:$H$200,$K37)),3),$U$2:$U$13,0),1),""))</f>
        <v/>
      </c>
    </row>
    <row r="38">
      <c r="A38" s="220" t="n">
        <v>38</v>
      </c>
      <c r="B38" s="220">
        <f>IF(TRIM(Weekly!E38)="","",TRIM(Weekly!E38))</f>
        <v/>
      </c>
      <c r="C38" s="220">
        <f>IF($B38="","",Weekly!B38)</f>
        <v/>
      </c>
      <c r="D38" s="220">
        <f>IF($B38="","",IF(TRIM(Weekly!C38)="","(No theme assigned)",TRIM(Weekly!C38)))</f>
        <v/>
      </c>
      <c r="E38" s="220">
        <f>IF($B38="","",TRIM(Weekly!F38))</f>
        <v/>
      </c>
      <c r="F38" s="220">
        <f>IF($B38="","",Weekly!G38)</f>
        <v/>
      </c>
      <c r="G38" s="221">
        <f>IF($B38="","",IF(COUNTA(Weekly!$H38:$CT38)=0,"",SUMPRODUCT(MIN(IF(Weekly!$H38:$CT38&lt;&gt;"",Weekly!$H$1:$CT$1)))))</f>
        <v/>
      </c>
      <c r="H38" s="221">
        <f>IF($B38="","",IF(COUNTA(Weekly!$H38:$CT38)=0,"",SUMPRODUCT(MAX(IF(Weekly!$H38:$CT38&lt;&gt;"",Weekly!$H$1:$CT$1)))))</f>
        <v/>
      </c>
      <c r="I38" s="221">
        <f>IF($Q38&lt;&gt;"",IF($P38&lt;&gt;"",$P38,$Q38),IF($P38&lt;&gt;"",$P38,""))</f>
        <v/>
      </c>
      <c r="J38" s="221">
        <f>IF($Q38&lt;&gt;"",EOMONTH($Q38,0),IF($P38&lt;&gt;"",EOMONTH($P38,0),""))</f>
        <v/>
      </c>
      <c r="K38" s="220">
        <f>IF($B38="","",IFERROR(MATCH($B38,'Initiative Tracker'!$A$5:$A$200,0),IF($E38="","",IFERROR(MATCH($E38,'Initiative Tracker'!$B$5:$B$200,0),""))))</f>
        <v/>
      </c>
      <c r="L38" s="220">
        <f>IF($B38="","",IFERROR(MATCH($D38,'Control (Don’t Touch)'!$E$4:$E$30,0),99))</f>
        <v/>
      </c>
      <c r="M38" s="220">
        <f>IF($B38="","",IFERROR(MATCH($F38,'Control (Don’t Touch)'!$B$4:$B$30,0),99))</f>
        <v/>
      </c>
      <c r="N38" s="220">
        <f>IF($B38="","",$L38*1000000+$M38*10000+ROW())</f>
        <v/>
      </c>
      <c r="O38" s="220">
        <f>IF($B38="","",COUNTIF($N$2:$N$205,"&lt;"&amp;$N38)+1)</f>
        <v/>
      </c>
      <c r="P38" s="221">
        <f>IF($K38="","",IFERROR(DATE(IFERROR(VALUE(RIGHT(TRIM(INDEX('Initiative Tracker'!$G$5:$G$200,$K38)),4)),YEAR(TODAY())),MATCH(LEFT(TRIM(INDEX('Initiative Tracker'!$G$5:$G$200,$K38)),3),$U$2:$U$13,0),1),""))</f>
        <v/>
      </c>
      <c r="Q38" s="221">
        <f>IF($K38="","",IFERROR(DATE(IFERROR(VALUE(RIGHT(TRIM(INDEX('Initiative Tracker'!$H$5:$H$200,$K38)),4)),YEAR(TODAY())),MATCH(LEFT(TRIM(INDEX('Initiative Tracker'!$H$5:$H$200,$K38)),3),$U$2:$U$13,0),1),""))</f>
        <v/>
      </c>
    </row>
    <row r="39">
      <c r="A39" s="220" t="n">
        <v>39</v>
      </c>
      <c r="B39" s="220">
        <f>IF(TRIM(Weekly!E39)="","",TRIM(Weekly!E39))</f>
        <v/>
      </c>
      <c r="C39" s="220">
        <f>IF($B39="","",Weekly!B39)</f>
        <v/>
      </c>
      <c r="D39" s="220">
        <f>IF($B39="","",IF(TRIM(Weekly!C39)="","(No theme assigned)",TRIM(Weekly!C39)))</f>
        <v/>
      </c>
      <c r="E39" s="220">
        <f>IF($B39="","",TRIM(Weekly!F39))</f>
        <v/>
      </c>
      <c r="F39" s="220">
        <f>IF($B39="","",Weekly!G39)</f>
        <v/>
      </c>
      <c r="G39" s="221">
        <f>IF($B39="","",IF(COUNTA(Weekly!$H39:$CT39)=0,"",SUMPRODUCT(MIN(IF(Weekly!$H39:$CT39&lt;&gt;"",Weekly!$H$1:$CT$1)))))</f>
        <v/>
      </c>
      <c r="H39" s="221">
        <f>IF($B39="","",IF(COUNTA(Weekly!$H39:$CT39)=0,"",SUMPRODUCT(MAX(IF(Weekly!$H39:$CT39&lt;&gt;"",Weekly!$H$1:$CT$1)))))</f>
        <v/>
      </c>
      <c r="I39" s="221">
        <f>IF($Q39&lt;&gt;"",IF($P39&lt;&gt;"",$P39,$Q39),IF($P39&lt;&gt;"",$P39,""))</f>
        <v/>
      </c>
      <c r="J39" s="221">
        <f>IF($Q39&lt;&gt;"",EOMONTH($Q39,0),IF($P39&lt;&gt;"",EOMONTH($P39,0),""))</f>
        <v/>
      </c>
      <c r="K39" s="220">
        <f>IF($B39="","",IFERROR(MATCH($B39,'Initiative Tracker'!$A$5:$A$200,0),IF($E39="","",IFERROR(MATCH($E39,'Initiative Tracker'!$B$5:$B$200,0),""))))</f>
        <v/>
      </c>
      <c r="L39" s="220">
        <f>IF($B39="","",IFERROR(MATCH($D39,'Control (Don’t Touch)'!$E$4:$E$30,0),99))</f>
        <v/>
      </c>
      <c r="M39" s="220">
        <f>IF($B39="","",IFERROR(MATCH($F39,'Control (Don’t Touch)'!$B$4:$B$30,0),99))</f>
        <v/>
      </c>
      <c r="N39" s="220">
        <f>IF($B39="","",$L39*1000000+$M39*10000+ROW())</f>
        <v/>
      </c>
      <c r="O39" s="220">
        <f>IF($B39="","",COUNTIF($N$2:$N$205,"&lt;"&amp;$N39)+1)</f>
        <v/>
      </c>
      <c r="P39" s="221">
        <f>IF($K39="","",IFERROR(DATE(IFERROR(VALUE(RIGHT(TRIM(INDEX('Initiative Tracker'!$G$5:$G$200,$K39)),4)),YEAR(TODAY())),MATCH(LEFT(TRIM(INDEX('Initiative Tracker'!$G$5:$G$200,$K39)),3),$U$2:$U$13,0),1),""))</f>
        <v/>
      </c>
      <c r="Q39" s="221">
        <f>IF($K39="","",IFERROR(DATE(IFERROR(VALUE(RIGHT(TRIM(INDEX('Initiative Tracker'!$H$5:$H$200,$K39)),4)),YEAR(TODAY())),MATCH(LEFT(TRIM(INDEX('Initiative Tracker'!$H$5:$H$200,$K39)),3),$U$2:$U$13,0),1),""))</f>
        <v/>
      </c>
    </row>
    <row r="40">
      <c r="A40" s="220" t="n">
        <v>40</v>
      </c>
      <c r="B40" s="220">
        <f>IF(TRIM(Weekly!E40)="","",TRIM(Weekly!E40))</f>
        <v/>
      </c>
      <c r="C40" s="220">
        <f>IF($B40="","",Weekly!B40)</f>
        <v/>
      </c>
      <c r="D40" s="220">
        <f>IF($B40="","",IF(TRIM(Weekly!C40)="","(No theme assigned)",TRIM(Weekly!C40)))</f>
        <v/>
      </c>
      <c r="E40" s="220">
        <f>IF($B40="","",TRIM(Weekly!F40))</f>
        <v/>
      </c>
      <c r="F40" s="220">
        <f>IF($B40="","",Weekly!G40)</f>
        <v/>
      </c>
      <c r="G40" s="221">
        <f>IF($B40="","",IF(COUNTA(Weekly!$H40:$CT40)=0,"",SUMPRODUCT(MIN(IF(Weekly!$H40:$CT40&lt;&gt;"",Weekly!$H$1:$CT$1)))))</f>
        <v/>
      </c>
      <c r="H40" s="221">
        <f>IF($B40="","",IF(COUNTA(Weekly!$H40:$CT40)=0,"",SUMPRODUCT(MAX(IF(Weekly!$H40:$CT40&lt;&gt;"",Weekly!$H$1:$CT$1)))))</f>
        <v/>
      </c>
      <c r="I40" s="221">
        <f>IF($Q40&lt;&gt;"",IF($P40&lt;&gt;"",$P40,$Q40),IF($P40&lt;&gt;"",$P40,""))</f>
        <v/>
      </c>
      <c r="J40" s="221">
        <f>IF($Q40&lt;&gt;"",EOMONTH($Q40,0),IF($P40&lt;&gt;"",EOMONTH($P40,0),""))</f>
        <v/>
      </c>
      <c r="K40" s="220">
        <f>IF($B40="","",IFERROR(MATCH($B40,'Initiative Tracker'!$A$5:$A$200,0),IF($E40="","",IFERROR(MATCH($E40,'Initiative Tracker'!$B$5:$B$200,0),""))))</f>
        <v/>
      </c>
      <c r="L40" s="220">
        <f>IF($B40="","",IFERROR(MATCH($D40,'Control (Don’t Touch)'!$E$4:$E$30,0),99))</f>
        <v/>
      </c>
      <c r="M40" s="220">
        <f>IF($B40="","",IFERROR(MATCH($F40,'Control (Don’t Touch)'!$B$4:$B$30,0),99))</f>
        <v/>
      </c>
      <c r="N40" s="220">
        <f>IF($B40="","",$L40*1000000+$M40*10000+ROW())</f>
        <v/>
      </c>
      <c r="O40" s="220">
        <f>IF($B40="","",COUNTIF($N$2:$N$205,"&lt;"&amp;$N40)+1)</f>
        <v/>
      </c>
      <c r="P40" s="221">
        <f>IF($K40="","",IFERROR(DATE(IFERROR(VALUE(RIGHT(TRIM(INDEX('Initiative Tracker'!$G$5:$G$200,$K40)),4)),YEAR(TODAY())),MATCH(LEFT(TRIM(INDEX('Initiative Tracker'!$G$5:$G$200,$K40)),3),$U$2:$U$13,0),1),""))</f>
        <v/>
      </c>
      <c r="Q40" s="221">
        <f>IF($K40="","",IFERROR(DATE(IFERROR(VALUE(RIGHT(TRIM(INDEX('Initiative Tracker'!$H$5:$H$200,$K40)),4)),YEAR(TODAY())),MATCH(LEFT(TRIM(INDEX('Initiative Tracker'!$H$5:$H$200,$K40)),3),$U$2:$U$13,0),1),""))</f>
        <v/>
      </c>
    </row>
    <row r="41">
      <c r="A41" s="220" t="n">
        <v>41</v>
      </c>
      <c r="B41" s="220">
        <f>IF(TRIM(Weekly!E41)="","",TRIM(Weekly!E41))</f>
        <v/>
      </c>
      <c r="C41" s="220">
        <f>IF($B41="","",Weekly!B41)</f>
        <v/>
      </c>
      <c r="D41" s="220">
        <f>IF($B41="","",IF(TRIM(Weekly!C41)="","(No theme assigned)",TRIM(Weekly!C41)))</f>
        <v/>
      </c>
      <c r="E41" s="220">
        <f>IF($B41="","",TRIM(Weekly!F41))</f>
        <v/>
      </c>
      <c r="F41" s="220">
        <f>IF($B41="","",Weekly!G41)</f>
        <v/>
      </c>
      <c r="G41" s="221">
        <f>IF($B41="","",IF(COUNTA(Weekly!$H41:$CT41)=0,"",SUMPRODUCT(MIN(IF(Weekly!$H41:$CT41&lt;&gt;"",Weekly!$H$1:$CT$1)))))</f>
        <v/>
      </c>
      <c r="H41" s="221">
        <f>IF($B41="","",IF(COUNTA(Weekly!$H41:$CT41)=0,"",SUMPRODUCT(MAX(IF(Weekly!$H41:$CT41&lt;&gt;"",Weekly!$H$1:$CT$1)))))</f>
        <v/>
      </c>
      <c r="I41" s="221">
        <f>IF($Q41&lt;&gt;"",IF($P41&lt;&gt;"",$P41,$Q41),IF($P41&lt;&gt;"",$P41,""))</f>
        <v/>
      </c>
      <c r="J41" s="221">
        <f>IF($Q41&lt;&gt;"",EOMONTH($Q41,0),IF($P41&lt;&gt;"",EOMONTH($P41,0),""))</f>
        <v/>
      </c>
      <c r="K41" s="220">
        <f>IF($B41="","",IFERROR(MATCH($B41,'Initiative Tracker'!$A$5:$A$200,0),IF($E41="","",IFERROR(MATCH($E41,'Initiative Tracker'!$B$5:$B$200,0),""))))</f>
        <v/>
      </c>
      <c r="L41" s="220">
        <f>IF($B41="","",IFERROR(MATCH($D41,'Control (Don’t Touch)'!$E$4:$E$30,0),99))</f>
        <v/>
      </c>
      <c r="M41" s="220">
        <f>IF($B41="","",IFERROR(MATCH($F41,'Control (Don’t Touch)'!$B$4:$B$30,0),99))</f>
        <v/>
      </c>
      <c r="N41" s="220">
        <f>IF($B41="","",$L41*1000000+$M41*10000+ROW())</f>
        <v/>
      </c>
      <c r="O41" s="220">
        <f>IF($B41="","",COUNTIF($N$2:$N$205,"&lt;"&amp;$N41)+1)</f>
        <v/>
      </c>
      <c r="P41" s="221">
        <f>IF($K41="","",IFERROR(DATE(IFERROR(VALUE(RIGHT(TRIM(INDEX('Initiative Tracker'!$G$5:$G$200,$K41)),4)),YEAR(TODAY())),MATCH(LEFT(TRIM(INDEX('Initiative Tracker'!$G$5:$G$200,$K41)),3),$U$2:$U$13,0),1),""))</f>
        <v/>
      </c>
      <c r="Q41" s="221">
        <f>IF($K41="","",IFERROR(DATE(IFERROR(VALUE(RIGHT(TRIM(INDEX('Initiative Tracker'!$H$5:$H$200,$K41)),4)),YEAR(TODAY())),MATCH(LEFT(TRIM(INDEX('Initiative Tracker'!$H$5:$H$200,$K41)),3),$U$2:$U$13,0),1),""))</f>
        <v/>
      </c>
    </row>
    <row r="42">
      <c r="A42" s="220" t="n">
        <v>42</v>
      </c>
      <c r="B42" s="220">
        <f>IF(TRIM(Weekly!E42)="","",TRIM(Weekly!E42))</f>
        <v/>
      </c>
      <c r="C42" s="220">
        <f>IF($B42="","",Weekly!B42)</f>
        <v/>
      </c>
      <c r="D42" s="220">
        <f>IF($B42="","",IF(TRIM(Weekly!C42)="","(No theme assigned)",TRIM(Weekly!C42)))</f>
        <v/>
      </c>
      <c r="E42" s="220">
        <f>IF($B42="","",TRIM(Weekly!F42))</f>
        <v/>
      </c>
      <c r="F42" s="220">
        <f>IF($B42="","",Weekly!G42)</f>
        <v/>
      </c>
      <c r="G42" s="221">
        <f>IF($B42="","",IF(COUNTA(Weekly!$H42:$CT42)=0,"",SUMPRODUCT(MIN(IF(Weekly!$H42:$CT42&lt;&gt;"",Weekly!$H$1:$CT$1)))))</f>
        <v/>
      </c>
      <c r="H42" s="221">
        <f>IF($B42="","",IF(COUNTA(Weekly!$H42:$CT42)=0,"",SUMPRODUCT(MAX(IF(Weekly!$H42:$CT42&lt;&gt;"",Weekly!$H$1:$CT$1)))))</f>
        <v/>
      </c>
      <c r="I42" s="221">
        <f>IF($Q42&lt;&gt;"",IF($P42&lt;&gt;"",$P42,$Q42),IF($P42&lt;&gt;"",$P42,""))</f>
        <v/>
      </c>
      <c r="J42" s="221">
        <f>IF($Q42&lt;&gt;"",EOMONTH($Q42,0),IF($P42&lt;&gt;"",EOMONTH($P42,0),""))</f>
        <v/>
      </c>
      <c r="K42" s="220">
        <f>IF($B42="","",IFERROR(MATCH($B42,'Initiative Tracker'!$A$5:$A$200,0),IF($E42="","",IFERROR(MATCH($E42,'Initiative Tracker'!$B$5:$B$200,0),""))))</f>
        <v/>
      </c>
      <c r="L42" s="220">
        <f>IF($B42="","",IFERROR(MATCH($D42,'Control (Don’t Touch)'!$E$4:$E$30,0),99))</f>
        <v/>
      </c>
      <c r="M42" s="220">
        <f>IF($B42="","",IFERROR(MATCH($F42,'Control (Don’t Touch)'!$B$4:$B$30,0),99))</f>
        <v/>
      </c>
      <c r="N42" s="220">
        <f>IF($B42="","",$L42*1000000+$M42*10000+ROW())</f>
        <v/>
      </c>
      <c r="O42" s="220">
        <f>IF($B42="","",COUNTIF($N$2:$N$205,"&lt;"&amp;$N42)+1)</f>
        <v/>
      </c>
      <c r="P42" s="221">
        <f>IF($K42="","",IFERROR(DATE(IFERROR(VALUE(RIGHT(TRIM(INDEX('Initiative Tracker'!$G$5:$G$200,$K42)),4)),YEAR(TODAY())),MATCH(LEFT(TRIM(INDEX('Initiative Tracker'!$G$5:$G$200,$K42)),3),$U$2:$U$13,0),1),""))</f>
        <v/>
      </c>
      <c r="Q42" s="221">
        <f>IF($K42="","",IFERROR(DATE(IFERROR(VALUE(RIGHT(TRIM(INDEX('Initiative Tracker'!$H$5:$H$200,$K42)),4)),YEAR(TODAY())),MATCH(LEFT(TRIM(INDEX('Initiative Tracker'!$H$5:$H$200,$K42)),3),$U$2:$U$13,0),1),""))</f>
        <v/>
      </c>
    </row>
    <row r="43">
      <c r="A43" s="220" t="n">
        <v>43</v>
      </c>
      <c r="B43" s="220">
        <f>IF(TRIM(Weekly!E43)="","",TRIM(Weekly!E43))</f>
        <v/>
      </c>
      <c r="C43" s="220">
        <f>IF($B43="","",Weekly!B43)</f>
        <v/>
      </c>
      <c r="D43" s="220">
        <f>IF($B43="","",IF(TRIM(Weekly!C43)="","(No theme assigned)",TRIM(Weekly!C43)))</f>
        <v/>
      </c>
      <c r="E43" s="220">
        <f>IF($B43="","",TRIM(Weekly!F43))</f>
        <v/>
      </c>
      <c r="F43" s="220">
        <f>IF($B43="","",Weekly!G43)</f>
        <v/>
      </c>
      <c r="G43" s="221">
        <f>IF($B43="","",IF(COUNTA(Weekly!$H43:$CT43)=0,"",SUMPRODUCT(MIN(IF(Weekly!$H43:$CT43&lt;&gt;"",Weekly!$H$1:$CT$1)))))</f>
        <v/>
      </c>
      <c r="H43" s="221">
        <f>IF($B43="","",IF(COUNTA(Weekly!$H43:$CT43)=0,"",SUMPRODUCT(MAX(IF(Weekly!$H43:$CT43&lt;&gt;"",Weekly!$H$1:$CT$1)))))</f>
        <v/>
      </c>
      <c r="I43" s="221">
        <f>IF($Q43&lt;&gt;"",IF($P43&lt;&gt;"",$P43,$Q43),IF($P43&lt;&gt;"",$P43,""))</f>
        <v/>
      </c>
      <c r="J43" s="221">
        <f>IF($Q43&lt;&gt;"",EOMONTH($Q43,0),IF($P43&lt;&gt;"",EOMONTH($P43,0),""))</f>
        <v/>
      </c>
      <c r="K43" s="220">
        <f>IF($B43="","",IFERROR(MATCH($B43,'Initiative Tracker'!$A$5:$A$200,0),IF($E43="","",IFERROR(MATCH($E43,'Initiative Tracker'!$B$5:$B$200,0),""))))</f>
        <v/>
      </c>
      <c r="L43" s="220">
        <f>IF($B43="","",IFERROR(MATCH($D43,'Control (Don’t Touch)'!$E$4:$E$30,0),99))</f>
        <v/>
      </c>
      <c r="M43" s="220">
        <f>IF($B43="","",IFERROR(MATCH($F43,'Control (Don’t Touch)'!$B$4:$B$30,0),99))</f>
        <v/>
      </c>
      <c r="N43" s="220">
        <f>IF($B43="","",$L43*1000000+$M43*10000+ROW())</f>
        <v/>
      </c>
      <c r="O43" s="220">
        <f>IF($B43="","",COUNTIF($N$2:$N$205,"&lt;"&amp;$N43)+1)</f>
        <v/>
      </c>
      <c r="P43" s="221">
        <f>IF($K43="","",IFERROR(DATE(IFERROR(VALUE(RIGHT(TRIM(INDEX('Initiative Tracker'!$G$5:$G$200,$K43)),4)),YEAR(TODAY())),MATCH(LEFT(TRIM(INDEX('Initiative Tracker'!$G$5:$G$200,$K43)),3),$U$2:$U$13,0),1),""))</f>
        <v/>
      </c>
      <c r="Q43" s="221">
        <f>IF($K43="","",IFERROR(DATE(IFERROR(VALUE(RIGHT(TRIM(INDEX('Initiative Tracker'!$H$5:$H$200,$K43)),4)),YEAR(TODAY())),MATCH(LEFT(TRIM(INDEX('Initiative Tracker'!$H$5:$H$200,$K43)),3),$U$2:$U$13,0),1),""))</f>
        <v/>
      </c>
    </row>
    <row r="44">
      <c r="A44" s="220" t="n">
        <v>44</v>
      </c>
      <c r="B44" s="220">
        <f>IF(TRIM(Weekly!E44)="","",TRIM(Weekly!E44))</f>
        <v/>
      </c>
      <c r="C44" s="220">
        <f>IF($B44="","",Weekly!B44)</f>
        <v/>
      </c>
      <c r="D44" s="220">
        <f>IF($B44="","",IF(TRIM(Weekly!C44)="","(No theme assigned)",TRIM(Weekly!C44)))</f>
        <v/>
      </c>
      <c r="E44" s="220">
        <f>IF($B44="","",TRIM(Weekly!F44))</f>
        <v/>
      </c>
      <c r="F44" s="220">
        <f>IF($B44="","",Weekly!G44)</f>
        <v/>
      </c>
      <c r="G44" s="221">
        <f>IF($B44="","",IF(COUNTA(Weekly!$H44:$CT44)=0,"",SUMPRODUCT(MIN(IF(Weekly!$H44:$CT44&lt;&gt;"",Weekly!$H$1:$CT$1)))))</f>
        <v/>
      </c>
      <c r="H44" s="221">
        <f>IF($B44="","",IF(COUNTA(Weekly!$H44:$CT44)=0,"",SUMPRODUCT(MAX(IF(Weekly!$H44:$CT44&lt;&gt;"",Weekly!$H$1:$CT$1)))))</f>
        <v/>
      </c>
      <c r="I44" s="221">
        <f>IF($Q44&lt;&gt;"",IF($P44&lt;&gt;"",$P44,$Q44),IF($P44&lt;&gt;"",$P44,""))</f>
        <v/>
      </c>
      <c r="J44" s="221">
        <f>IF($Q44&lt;&gt;"",EOMONTH($Q44,0),IF($P44&lt;&gt;"",EOMONTH($P44,0),""))</f>
        <v/>
      </c>
      <c r="K44" s="220">
        <f>IF($B44="","",IFERROR(MATCH($B44,'Initiative Tracker'!$A$5:$A$200,0),IF($E44="","",IFERROR(MATCH($E44,'Initiative Tracker'!$B$5:$B$200,0),""))))</f>
        <v/>
      </c>
      <c r="L44" s="220">
        <f>IF($B44="","",IFERROR(MATCH($D44,'Control (Don’t Touch)'!$E$4:$E$30,0),99))</f>
        <v/>
      </c>
      <c r="M44" s="220">
        <f>IF($B44="","",IFERROR(MATCH($F44,'Control (Don’t Touch)'!$B$4:$B$30,0),99))</f>
        <v/>
      </c>
      <c r="N44" s="220">
        <f>IF($B44="","",$L44*1000000+$M44*10000+ROW())</f>
        <v/>
      </c>
      <c r="O44" s="220">
        <f>IF($B44="","",COUNTIF($N$2:$N$205,"&lt;"&amp;$N44)+1)</f>
        <v/>
      </c>
      <c r="P44" s="221">
        <f>IF($K44="","",IFERROR(DATE(IFERROR(VALUE(RIGHT(TRIM(INDEX('Initiative Tracker'!$G$5:$G$200,$K44)),4)),YEAR(TODAY())),MATCH(LEFT(TRIM(INDEX('Initiative Tracker'!$G$5:$G$200,$K44)),3),$U$2:$U$13,0),1),""))</f>
        <v/>
      </c>
      <c r="Q44" s="221">
        <f>IF($K44="","",IFERROR(DATE(IFERROR(VALUE(RIGHT(TRIM(INDEX('Initiative Tracker'!$H$5:$H$200,$K44)),4)),YEAR(TODAY())),MATCH(LEFT(TRIM(INDEX('Initiative Tracker'!$H$5:$H$200,$K44)),3),$U$2:$U$13,0),1),""))</f>
        <v/>
      </c>
    </row>
    <row r="45">
      <c r="A45" s="220" t="n">
        <v>45</v>
      </c>
      <c r="B45" s="220">
        <f>IF(TRIM(Weekly!E45)="","",TRIM(Weekly!E45))</f>
        <v/>
      </c>
      <c r="C45" s="220">
        <f>IF($B45="","",Weekly!B45)</f>
        <v/>
      </c>
      <c r="D45" s="220">
        <f>IF($B45="","",IF(TRIM(Weekly!C45)="","(No theme assigned)",TRIM(Weekly!C45)))</f>
        <v/>
      </c>
      <c r="E45" s="220">
        <f>IF($B45="","",TRIM(Weekly!F45))</f>
        <v/>
      </c>
      <c r="F45" s="220">
        <f>IF($B45="","",Weekly!G45)</f>
        <v/>
      </c>
      <c r="G45" s="221">
        <f>IF($B45="","",IF(COUNTA(Weekly!$H45:$CT45)=0,"",SUMPRODUCT(MIN(IF(Weekly!$H45:$CT45&lt;&gt;"",Weekly!$H$1:$CT$1)))))</f>
        <v/>
      </c>
      <c r="H45" s="221">
        <f>IF($B45="","",IF(COUNTA(Weekly!$H45:$CT45)=0,"",SUMPRODUCT(MAX(IF(Weekly!$H45:$CT45&lt;&gt;"",Weekly!$H$1:$CT$1)))))</f>
        <v/>
      </c>
      <c r="I45" s="221">
        <f>IF($Q45&lt;&gt;"",IF($P45&lt;&gt;"",$P45,$Q45),IF($P45&lt;&gt;"",$P45,""))</f>
        <v/>
      </c>
      <c r="J45" s="221">
        <f>IF($Q45&lt;&gt;"",EOMONTH($Q45,0),IF($P45&lt;&gt;"",EOMONTH($P45,0),""))</f>
        <v/>
      </c>
      <c r="K45" s="220">
        <f>IF($B45="","",IFERROR(MATCH($B45,'Initiative Tracker'!$A$5:$A$200,0),IF($E45="","",IFERROR(MATCH($E45,'Initiative Tracker'!$B$5:$B$200,0),""))))</f>
        <v/>
      </c>
      <c r="L45" s="220">
        <f>IF($B45="","",IFERROR(MATCH($D45,'Control (Don’t Touch)'!$E$4:$E$30,0),99))</f>
        <v/>
      </c>
      <c r="M45" s="220">
        <f>IF($B45="","",IFERROR(MATCH($F45,'Control (Don’t Touch)'!$B$4:$B$30,0),99))</f>
        <v/>
      </c>
      <c r="N45" s="220">
        <f>IF($B45="","",$L45*1000000+$M45*10000+ROW())</f>
        <v/>
      </c>
      <c r="O45" s="220">
        <f>IF($B45="","",COUNTIF($N$2:$N$205,"&lt;"&amp;$N45)+1)</f>
        <v/>
      </c>
      <c r="P45" s="221">
        <f>IF($K45="","",IFERROR(DATE(IFERROR(VALUE(RIGHT(TRIM(INDEX('Initiative Tracker'!$G$5:$G$200,$K45)),4)),YEAR(TODAY())),MATCH(LEFT(TRIM(INDEX('Initiative Tracker'!$G$5:$G$200,$K45)),3),$U$2:$U$13,0),1),""))</f>
        <v/>
      </c>
      <c r="Q45" s="221">
        <f>IF($K45="","",IFERROR(DATE(IFERROR(VALUE(RIGHT(TRIM(INDEX('Initiative Tracker'!$H$5:$H$200,$K45)),4)),YEAR(TODAY())),MATCH(LEFT(TRIM(INDEX('Initiative Tracker'!$H$5:$H$200,$K45)),3),$U$2:$U$13,0),1),""))</f>
        <v/>
      </c>
    </row>
    <row r="46">
      <c r="A46" s="220" t="n">
        <v>46</v>
      </c>
      <c r="B46" s="220">
        <f>IF(TRIM(Weekly!E46)="","",TRIM(Weekly!E46))</f>
        <v/>
      </c>
      <c r="C46" s="220">
        <f>IF($B46="","",Weekly!B46)</f>
        <v/>
      </c>
      <c r="D46" s="220">
        <f>IF($B46="","",IF(TRIM(Weekly!C46)="","(No theme assigned)",TRIM(Weekly!C46)))</f>
        <v/>
      </c>
      <c r="E46" s="220">
        <f>IF($B46="","",TRIM(Weekly!F46))</f>
        <v/>
      </c>
      <c r="F46" s="220">
        <f>IF($B46="","",Weekly!G46)</f>
        <v/>
      </c>
      <c r="G46" s="221">
        <f>IF($B46="","",IF(COUNTA(Weekly!$H46:$CT46)=0,"",SUMPRODUCT(MIN(IF(Weekly!$H46:$CT46&lt;&gt;"",Weekly!$H$1:$CT$1)))))</f>
        <v/>
      </c>
      <c r="H46" s="221">
        <f>IF($B46="","",IF(COUNTA(Weekly!$H46:$CT46)=0,"",SUMPRODUCT(MAX(IF(Weekly!$H46:$CT46&lt;&gt;"",Weekly!$H$1:$CT$1)))))</f>
        <v/>
      </c>
      <c r="I46" s="221">
        <f>IF($Q46&lt;&gt;"",IF($P46&lt;&gt;"",$P46,$Q46),IF($P46&lt;&gt;"",$P46,""))</f>
        <v/>
      </c>
      <c r="J46" s="221">
        <f>IF($Q46&lt;&gt;"",EOMONTH($Q46,0),IF($P46&lt;&gt;"",EOMONTH($P46,0),""))</f>
        <v/>
      </c>
      <c r="K46" s="220">
        <f>IF($B46="","",IFERROR(MATCH($B46,'Initiative Tracker'!$A$5:$A$200,0),IF($E46="","",IFERROR(MATCH($E46,'Initiative Tracker'!$B$5:$B$200,0),""))))</f>
        <v/>
      </c>
      <c r="L46" s="220">
        <f>IF($B46="","",IFERROR(MATCH($D46,'Control (Don’t Touch)'!$E$4:$E$30,0),99))</f>
        <v/>
      </c>
      <c r="M46" s="220">
        <f>IF($B46="","",IFERROR(MATCH($F46,'Control (Don’t Touch)'!$B$4:$B$30,0),99))</f>
        <v/>
      </c>
      <c r="N46" s="220">
        <f>IF($B46="","",$L46*1000000+$M46*10000+ROW())</f>
        <v/>
      </c>
      <c r="O46" s="220">
        <f>IF($B46="","",COUNTIF($N$2:$N$205,"&lt;"&amp;$N46)+1)</f>
        <v/>
      </c>
      <c r="P46" s="221">
        <f>IF($K46="","",IFERROR(DATE(IFERROR(VALUE(RIGHT(TRIM(INDEX('Initiative Tracker'!$G$5:$G$200,$K46)),4)),YEAR(TODAY())),MATCH(LEFT(TRIM(INDEX('Initiative Tracker'!$G$5:$G$200,$K46)),3),$U$2:$U$13,0),1),""))</f>
        <v/>
      </c>
      <c r="Q46" s="221">
        <f>IF($K46="","",IFERROR(DATE(IFERROR(VALUE(RIGHT(TRIM(INDEX('Initiative Tracker'!$H$5:$H$200,$K46)),4)),YEAR(TODAY())),MATCH(LEFT(TRIM(INDEX('Initiative Tracker'!$H$5:$H$200,$K46)),3),$U$2:$U$13,0),1),""))</f>
        <v/>
      </c>
    </row>
    <row r="47">
      <c r="A47" s="220" t="n">
        <v>47</v>
      </c>
      <c r="B47" s="220">
        <f>IF(TRIM(Weekly!E47)="","",TRIM(Weekly!E47))</f>
        <v/>
      </c>
      <c r="C47" s="220">
        <f>IF($B47="","",Weekly!B47)</f>
        <v/>
      </c>
      <c r="D47" s="220">
        <f>IF($B47="","",IF(TRIM(Weekly!C47)="","(No theme assigned)",TRIM(Weekly!C47)))</f>
        <v/>
      </c>
      <c r="E47" s="220">
        <f>IF($B47="","",TRIM(Weekly!F47))</f>
        <v/>
      </c>
      <c r="F47" s="220">
        <f>IF($B47="","",Weekly!G47)</f>
        <v/>
      </c>
      <c r="G47" s="221">
        <f>IF($B47="","",IF(COUNTA(Weekly!$H47:$CT47)=0,"",SUMPRODUCT(MIN(IF(Weekly!$H47:$CT47&lt;&gt;"",Weekly!$H$1:$CT$1)))))</f>
        <v/>
      </c>
      <c r="H47" s="221">
        <f>IF($B47="","",IF(COUNTA(Weekly!$H47:$CT47)=0,"",SUMPRODUCT(MAX(IF(Weekly!$H47:$CT47&lt;&gt;"",Weekly!$H$1:$CT$1)))))</f>
        <v/>
      </c>
      <c r="I47" s="221">
        <f>IF($Q47&lt;&gt;"",IF($P47&lt;&gt;"",$P47,$Q47),IF($P47&lt;&gt;"",$P47,""))</f>
        <v/>
      </c>
      <c r="J47" s="221">
        <f>IF($Q47&lt;&gt;"",EOMONTH($Q47,0),IF($P47&lt;&gt;"",EOMONTH($P47,0),""))</f>
        <v/>
      </c>
      <c r="K47" s="220">
        <f>IF($B47="","",IFERROR(MATCH($B47,'Initiative Tracker'!$A$5:$A$200,0),IF($E47="","",IFERROR(MATCH($E47,'Initiative Tracker'!$B$5:$B$200,0),""))))</f>
        <v/>
      </c>
      <c r="L47" s="220">
        <f>IF($B47="","",IFERROR(MATCH($D47,'Control (Don’t Touch)'!$E$4:$E$30,0),99))</f>
        <v/>
      </c>
      <c r="M47" s="220">
        <f>IF($B47="","",IFERROR(MATCH($F47,'Control (Don’t Touch)'!$B$4:$B$30,0),99))</f>
        <v/>
      </c>
      <c r="N47" s="220">
        <f>IF($B47="","",$L47*1000000+$M47*10000+ROW())</f>
        <v/>
      </c>
      <c r="O47" s="220">
        <f>IF($B47="","",COUNTIF($N$2:$N$205,"&lt;"&amp;$N47)+1)</f>
        <v/>
      </c>
      <c r="P47" s="221">
        <f>IF($K47="","",IFERROR(DATE(IFERROR(VALUE(RIGHT(TRIM(INDEX('Initiative Tracker'!$G$5:$G$200,$K47)),4)),YEAR(TODAY())),MATCH(LEFT(TRIM(INDEX('Initiative Tracker'!$G$5:$G$200,$K47)),3),$U$2:$U$13,0),1),""))</f>
        <v/>
      </c>
      <c r="Q47" s="221">
        <f>IF($K47="","",IFERROR(DATE(IFERROR(VALUE(RIGHT(TRIM(INDEX('Initiative Tracker'!$H$5:$H$200,$K47)),4)),YEAR(TODAY())),MATCH(LEFT(TRIM(INDEX('Initiative Tracker'!$H$5:$H$200,$K47)),3),$U$2:$U$13,0),1),""))</f>
        <v/>
      </c>
    </row>
    <row r="48">
      <c r="A48" s="220" t="n">
        <v>48</v>
      </c>
      <c r="B48" s="220">
        <f>IF(TRIM(Weekly!E48)="","",TRIM(Weekly!E48))</f>
        <v/>
      </c>
      <c r="C48" s="220">
        <f>IF($B48="","",Weekly!B48)</f>
        <v/>
      </c>
      <c r="D48" s="220">
        <f>IF($B48="","",IF(TRIM(Weekly!C48)="","(No theme assigned)",TRIM(Weekly!C48)))</f>
        <v/>
      </c>
      <c r="E48" s="220">
        <f>IF($B48="","",TRIM(Weekly!F48))</f>
        <v/>
      </c>
      <c r="F48" s="220">
        <f>IF($B48="","",Weekly!G48)</f>
        <v/>
      </c>
      <c r="G48" s="221">
        <f>IF($B48="","",IF(COUNTA(Weekly!$H48:$CT48)=0,"",SUMPRODUCT(MIN(IF(Weekly!$H48:$CT48&lt;&gt;"",Weekly!$H$1:$CT$1)))))</f>
        <v/>
      </c>
      <c r="H48" s="221">
        <f>IF($B48="","",IF(COUNTA(Weekly!$H48:$CT48)=0,"",SUMPRODUCT(MAX(IF(Weekly!$H48:$CT48&lt;&gt;"",Weekly!$H$1:$CT$1)))))</f>
        <v/>
      </c>
      <c r="I48" s="221">
        <f>IF($Q48&lt;&gt;"",IF($P48&lt;&gt;"",$P48,$Q48),IF($P48&lt;&gt;"",$P48,""))</f>
        <v/>
      </c>
      <c r="J48" s="221">
        <f>IF($Q48&lt;&gt;"",EOMONTH($Q48,0),IF($P48&lt;&gt;"",EOMONTH($P48,0),""))</f>
        <v/>
      </c>
      <c r="K48" s="220">
        <f>IF($B48="","",IFERROR(MATCH($B48,'Initiative Tracker'!$A$5:$A$200,0),IF($E48="","",IFERROR(MATCH($E48,'Initiative Tracker'!$B$5:$B$200,0),""))))</f>
        <v/>
      </c>
      <c r="L48" s="220">
        <f>IF($B48="","",IFERROR(MATCH($D48,'Control (Don’t Touch)'!$E$4:$E$30,0),99))</f>
        <v/>
      </c>
      <c r="M48" s="220">
        <f>IF($B48="","",IFERROR(MATCH($F48,'Control (Don’t Touch)'!$B$4:$B$30,0),99))</f>
        <v/>
      </c>
      <c r="N48" s="220">
        <f>IF($B48="","",$L48*1000000+$M48*10000+ROW())</f>
        <v/>
      </c>
      <c r="O48" s="220">
        <f>IF($B48="","",COUNTIF($N$2:$N$205,"&lt;"&amp;$N48)+1)</f>
        <v/>
      </c>
      <c r="P48" s="221">
        <f>IF($K48="","",IFERROR(DATE(IFERROR(VALUE(RIGHT(TRIM(INDEX('Initiative Tracker'!$G$5:$G$200,$K48)),4)),YEAR(TODAY())),MATCH(LEFT(TRIM(INDEX('Initiative Tracker'!$G$5:$G$200,$K48)),3),$U$2:$U$13,0),1),""))</f>
        <v/>
      </c>
      <c r="Q48" s="221">
        <f>IF($K48="","",IFERROR(DATE(IFERROR(VALUE(RIGHT(TRIM(INDEX('Initiative Tracker'!$H$5:$H$200,$K48)),4)),YEAR(TODAY())),MATCH(LEFT(TRIM(INDEX('Initiative Tracker'!$H$5:$H$200,$K48)),3),$U$2:$U$13,0),1),""))</f>
        <v/>
      </c>
    </row>
    <row r="49">
      <c r="A49" s="220" t="n">
        <v>49</v>
      </c>
      <c r="B49" s="220">
        <f>IF(TRIM(Weekly!E49)="","",TRIM(Weekly!E49))</f>
        <v/>
      </c>
      <c r="C49" s="220">
        <f>IF($B49="","",Weekly!B49)</f>
        <v/>
      </c>
      <c r="D49" s="220">
        <f>IF($B49="","",IF(TRIM(Weekly!C49)="","(No theme assigned)",TRIM(Weekly!C49)))</f>
        <v/>
      </c>
      <c r="E49" s="220">
        <f>IF($B49="","",TRIM(Weekly!F49))</f>
        <v/>
      </c>
      <c r="F49" s="220">
        <f>IF($B49="","",Weekly!G49)</f>
        <v/>
      </c>
      <c r="G49" s="221">
        <f>IF($B49="","",IF(COUNTA(Weekly!$H49:$CT49)=0,"",SUMPRODUCT(MIN(IF(Weekly!$H49:$CT49&lt;&gt;"",Weekly!$H$1:$CT$1)))))</f>
        <v/>
      </c>
      <c r="H49" s="221">
        <f>IF($B49="","",IF(COUNTA(Weekly!$H49:$CT49)=0,"",SUMPRODUCT(MAX(IF(Weekly!$H49:$CT49&lt;&gt;"",Weekly!$H$1:$CT$1)))))</f>
        <v/>
      </c>
      <c r="I49" s="221">
        <f>IF($Q49&lt;&gt;"",IF($P49&lt;&gt;"",$P49,$Q49),IF($P49&lt;&gt;"",$P49,""))</f>
        <v/>
      </c>
      <c r="J49" s="221">
        <f>IF($Q49&lt;&gt;"",EOMONTH($Q49,0),IF($P49&lt;&gt;"",EOMONTH($P49,0),""))</f>
        <v/>
      </c>
      <c r="K49" s="220">
        <f>IF($B49="","",IFERROR(MATCH($B49,'Initiative Tracker'!$A$5:$A$200,0),IF($E49="","",IFERROR(MATCH($E49,'Initiative Tracker'!$B$5:$B$200,0),""))))</f>
        <v/>
      </c>
      <c r="L49" s="220">
        <f>IF($B49="","",IFERROR(MATCH($D49,'Control (Don’t Touch)'!$E$4:$E$30,0),99))</f>
        <v/>
      </c>
      <c r="M49" s="220">
        <f>IF($B49="","",IFERROR(MATCH($F49,'Control (Don’t Touch)'!$B$4:$B$30,0),99))</f>
        <v/>
      </c>
      <c r="N49" s="220">
        <f>IF($B49="","",$L49*1000000+$M49*10000+ROW())</f>
        <v/>
      </c>
      <c r="O49" s="220">
        <f>IF($B49="","",COUNTIF($N$2:$N$205,"&lt;"&amp;$N49)+1)</f>
        <v/>
      </c>
      <c r="P49" s="221">
        <f>IF($K49="","",IFERROR(DATE(IFERROR(VALUE(RIGHT(TRIM(INDEX('Initiative Tracker'!$G$5:$G$200,$K49)),4)),YEAR(TODAY())),MATCH(LEFT(TRIM(INDEX('Initiative Tracker'!$G$5:$G$200,$K49)),3),$U$2:$U$13,0),1),""))</f>
        <v/>
      </c>
      <c r="Q49" s="221">
        <f>IF($K49="","",IFERROR(DATE(IFERROR(VALUE(RIGHT(TRIM(INDEX('Initiative Tracker'!$H$5:$H$200,$K49)),4)),YEAR(TODAY())),MATCH(LEFT(TRIM(INDEX('Initiative Tracker'!$H$5:$H$200,$K49)),3),$U$2:$U$13,0),1),""))</f>
        <v/>
      </c>
    </row>
    <row r="50">
      <c r="A50" s="220" t="n">
        <v>50</v>
      </c>
      <c r="B50" s="220">
        <f>IF(TRIM(Weekly!E50)="","",TRIM(Weekly!E50))</f>
        <v/>
      </c>
      <c r="C50" s="220">
        <f>IF($B50="","",Weekly!B50)</f>
        <v/>
      </c>
      <c r="D50" s="220">
        <f>IF($B50="","",IF(TRIM(Weekly!C50)="","(No theme assigned)",TRIM(Weekly!C50)))</f>
        <v/>
      </c>
      <c r="E50" s="220">
        <f>IF($B50="","",TRIM(Weekly!F50))</f>
        <v/>
      </c>
      <c r="F50" s="220">
        <f>IF($B50="","",Weekly!G50)</f>
        <v/>
      </c>
      <c r="G50" s="221">
        <f>IF($B50="","",IF(COUNTA(Weekly!$H50:$CT50)=0,"",SUMPRODUCT(MIN(IF(Weekly!$H50:$CT50&lt;&gt;"",Weekly!$H$1:$CT$1)))))</f>
        <v/>
      </c>
      <c r="H50" s="221">
        <f>IF($B50="","",IF(COUNTA(Weekly!$H50:$CT50)=0,"",SUMPRODUCT(MAX(IF(Weekly!$H50:$CT50&lt;&gt;"",Weekly!$H$1:$CT$1)))))</f>
        <v/>
      </c>
      <c r="I50" s="221">
        <f>IF($Q50&lt;&gt;"",IF($P50&lt;&gt;"",$P50,$Q50),IF($P50&lt;&gt;"",$P50,""))</f>
        <v/>
      </c>
      <c r="J50" s="221">
        <f>IF($Q50&lt;&gt;"",EOMONTH($Q50,0),IF($P50&lt;&gt;"",EOMONTH($P50,0),""))</f>
        <v/>
      </c>
      <c r="K50" s="220">
        <f>IF($B50="","",IFERROR(MATCH($B50,'Initiative Tracker'!$A$5:$A$200,0),IF($E50="","",IFERROR(MATCH($E50,'Initiative Tracker'!$B$5:$B$200,0),""))))</f>
        <v/>
      </c>
      <c r="L50" s="220">
        <f>IF($B50="","",IFERROR(MATCH($D50,'Control (Don’t Touch)'!$E$4:$E$30,0),99))</f>
        <v/>
      </c>
      <c r="M50" s="220">
        <f>IF($B50="","",IFERROR(MATCH($F50,'Control (Don’t Touch)'!$B$4:$B$30,0),99))</f>
        <v/>
      </c>
      <c r="N50" s="220">
        <f>IF($B50="","",$L50*1000000+$M50*10000+ROW())</f>
        <v/>
      </c>
      <c r="O50" s="220">
        <f>IF($B50="","",COUNTIF($N$2:$N$205,"&lt;"&amp;$N50)+1)</f>
        <v/>
      </c>
      <c r="P50" s="221">
        <f>IF($K50="","",IFERROR(DATE(IFERROR(VALUE(RIGHT(TRIM(INDEX('Initiative Tracker'!$G$5:$G$200,$K50)),4)),YEAR(TODAY())),MATCH(LEFT(TRIM(INDEX('Initiative Tracker'!$G$5:$G$200,$K50)),3),$U$2:$U$13,0),1),""))</f>
        <v/>
      </c>
      <c r="Q50" s="221">
        <f>IF($K50="","",IFERROR(DATE(IFERROR(VALUE(RIGHT(TRIM(INDEX('Initiative Tracker'!$H$5:$H$200,$K50)),4)),YEAR(TODAY())),MATCH(LEFT(TRIM(INDEX('Initiative Tracker'!$H$5:$H$200,$K50)),3),$U$2:$U$13,0),1),""))</f>
        <v/>
      </c>
    </row>
    <row r="51">
      <c r="A51" s="220" t="n">
        <v>51</v>
      </c>
      <c r="B51" s="220">
        <f>IF(TRIM(Weekly!E51)="","",TRIM(Weekly!E51))</f>
        <v/>
      </c>
      <c r="C51" s="220">
        <f>IF($B51="","",Weekly!B51)</f>
        <v/>
      </c>
      <c r="D51" s="220">
        <f>IF($B51="","",IF(TRIM(Weekly!C51)="","(No theme assigned)",TRIM(Weekly!C51)))</f>
        <v/>
      </c>
      <c r="E51" s="220">
        <f>IF($B51="","",TRIM(Weekly!F51))</f>
        <v/>
      </c>
      <c r="F51" s="220">
        <f>IF($B51="","",Weekly!G51)</f>
        <v/>
      </c>
      <c r="G51" s="221">
        <f>IF($B51="","",IF(COUNTA(Weekly!$H51:$CT51)=0,"",SUMPRODUCT(MIN(IF(Weekly!$H51:$CT51&lt;&gt;"",Weekly!$H$1:$CT$1)))))</f>
        <v/>
      </c>
      <c r="H51" s="221">
        <f>IF($B51="","",IF(COUNTA(Weekly!$H51:$CT51)=0,"",SUMPRODUCT(MAX(IF(Weekly!$H51:$CT51&lt;&gt;"",Weekly!$H$1:$CT$1)))))</f>
        <v/>
      </c>
      <c r="I51" s="221">
        <f>IF($Q51&lt;&gt;"",IF($P51&lt;&gt;"",$P51,$Q51),IF($P51&lt;&gt;"",$P51,""))</f>
        <v/>
      </c>
      <c r="J51" s="221">
        <f>IF($Q51&lt;&gt;"",EOMONTH($Q51,0),IF($P51&lt;&gt;"",EOMONTH($P51,0),""))</f>
        <v/>
      </c>
      <c r="K51" s="220">
        <f>IF($B51="","",IFERROR(MATCH($B51,'Initiative Tracker'!$A$5:$A$200,0),IF($E51="","",IFERROR(MATCH($E51,'Initiative Tracker'!$B$5:$B$200,0),""))))</f>
        <v/>
      </c>
      <c r="L51" s="220">
        <f>IF($B51="","",IFERROR(MATCH($D51,'Control (Don’t Touch)'!$E$4:$E$30,0),99))</f>
        <v/>
      </c>
      <c r="M51" s="220">
        <f>IF($B51="","",IFERROR(MATCH($F51,'Control (Don’t Touch)'!$B$4:$B$30,0),99))</f>
        <v/>
      </c>
      <c r="N51" s="220">
        <f>IF($B51="","",$L51*1000000+$M51*10000+ROW())</f>
        <v/>
      </c>
      <c r="O51" s="220">
        <f>IF($B51="","",COUNTIF($N$2:$N$205,"&lt;"&amp;$N51)+1)</f>
        <v/>
      </c>
      <c r="P51" s="221">
        <f>IF($K51="","",IFERROR(DATE(IFERROR(VALUE(RIGHT(TRIM(INDEX('Initiative Tracker'!$G$5:$G$200,$K51)),4)),YEAR(TODAY())),MATCH(LEFT(TRIM(INDEX('Initiative Tracker'!$G$5:$G$200,$K51)),3),$U$2:$U$13,0),1),""))</f>
        <v/>
      </c>
      <c r="Q51" s="221">
        <f>IF($K51="","",IFERROR(DATE(IFERROR(VALUE(RIGHT(TRIM(INDEX('Initiative Tracker'!$H$5:$H$200,$K51)),4)),YEAR(TODAY())),MATCH(LEFT(TRIM(INDEX('Initiative Tracker'!$H$5:$H$200,$K51)),3),$U$2:$U$13,0),1),""))</f>
        <v/>
      </c>
    </row>
    <row r="52">
      <c r="A52" s="220" t="n">
        <v>52</v>
      </c>
      <c r="B52" s="220">
        <f>IF(TRIM(Weekly!E52)="","",TRIM(Weekly!E52))</f>
        <v/>
      </c>
      <c r="C52" s="220">
        <f>IF($B52="","",Weekly!B52)</f>
        <v/>
      </c>
      <c r="D52" s="220">
        <f>IF($B52="","",IF(TRIM(Weekly!C52)="","(No theme assigned)",TRIM(Weekly!C52)))</f>
        <v/>
      </c>
      <c r="E52" s="220">
        <f>IF($B52="","",TRIM(Weekly!F52))</f>
        <v/>
      </c>
      <c r="F52" s="220">
        <f>IF($B52="","",Weekly!G52)</f>
        <v/>
      </c>
      <c r="G52" s="221">
        <f>IF($B52="","",IF(COUNTA(Weekly!$H52:$CT52)=0,"",SUMPRODUCT(MIN(IF(Weekly!$H52:$CT52&lt;&gt;"",Weekly!$H$1:$CT$1)))))</f>
        <v/>
      </c>
      <c r="H52" s="221">
        <f>IF($B52="","",IF(COUNTA(Weekly!$H52:$CT52)=0,"",SUMPRODUCT(MAX(IF(Weekly!$H52:$CT52&lt;&gt;"",Weekly!$H$1:$CT$1)))))</f>
        <v/>
      </c>
      <c r="I52" s="221">
        <f>IF($Q52&lt;&gt;"",IF($P52&lt;&gt;"",$P52,$Q52),IF($P52&lt;&gt;"",$P52,""))</f>
        <v/>
      </c>
      <c r="J52" s="221">
        <f>IF($Q52&lt;&gt;"",EOMONTH($Q52,0),IF($P52&lt;&gt;"",EOMONTH($P52,0),""))</f>
        <v/>
      </c>
      <c r="K52" s="220">
        <f>IF($B52="","",IFERROR(MATCH($B52,'Initiative Tracker'!$A$5:$A$200,0),IF($E52="","",IFERROR(MATCH($E52,'Initiative Tracker'!$B$5:$B$200,0),""))))</f>
        <v/>
      </c>
      <c r="L52" s="220">
        <f>IF($B52="","",IFERROR(MATCH($D52,'Control (Don’t Touch)'!$E$4:$E$30,0),99))</f>
        <v/>
      </c>
      <c r="M52" s="220">
        <f>IF($B52="","",IFERROR(MATCH($F52,'Control (Don’t Touch)'!$B$4:$B$30,0),99))</f>
        <v/>
      </c>
      <c r="N52" s="220">
        <f>IF($B52="","",$L52*1000000+$M52*10000+ROW())</f>
        <v/>
      </c>
      <c r="O52" s="220">
        <f>IF($B52="","",COUNTIF($N$2:$N$205,"&lt;"&amp;$N52)+1)</f>
        <v/>
      </c>
      <c r="P52" s="221">
        <f>IF($K52="","",IFERROR(DATE(IFERROR(VALUE(RIGHT(TRIM(INDEX('Initiative Tracker'!$G$5:$G$200,$K52)),4)),YEAR(TODAY())),MATCH(LEFT(TRIM(INDEX('Initiative Tracker'!$G$5:$G$200,$K52)),3),$U$2:$U$13,0),1),""))</f>
        <v/>
      </c>
      <c r="Q52" s="221">
        <f>IF($K52="","",IFERROR(DATE(IFERROR(VALUE(RIGHT(TRIM(INDEX('Initiative Tracker'!$H$5:$H$200,$K52)),4)),YEAR(TODAY())),MATCH(LEFT(TRIM(INDEX('Initiative Tracker'!$H$5:$H$200,$K52)),3),$U$2:$U$13,0),1),""))</f>
        <v/>
      </c>
    </row>
    <row r="53">
      <c r="A53" s="220" t="n">
        <v>53</v>
      </c>
      <c r="B53" s="220">
        <f>IF(TRIM(Weekly!E53)="","",TRIM(Weekly!E53))</f>
        <v/>
      </c>
      <c r="C53" s="220">
        <f>IF($B53="","",Weekly!B53)</f>
        <v/>
      </c>
      <c r="D53" s="220">
        <f>IF($B53="","",IF(TRIM(Weekly!C53)="","(No theme assigned)",TRIM(Weekly!C53)))</f>
        <v/>
      </c>
      <c r="E53" s="220">
        <f>IF($B53="","",TRIM(Weekly!F53))</f>
        <v/>
      </c>
      <c r="F53" s="220">
        <f>IF($B53="","",Weekly!G53)</f>
        <v/>
      </c>
      <c r="G53" s="221">
        <f>IF($B53="","",IF(COUNTA(Weekly!$H53:$CT53)=0,"",SUMPRODUCT(MIN(IF(Weekly!$H53:$CT53&lt;&gt;"",Weekly!$H$1:$CT$1)))))</f>
        <v/>
      </c>
      <c r="H53" s="221">
        <f>IF($B53="","",IF(COUNTA(Weekly!$H53:$CT53)=0,"",SUMPRODUCT(MAX(IF(Weekly!$H53:$CT53&lt;&gt;"",Weekly!$H$1:$CT$1)))))</f>
        <v/>
      </c>
      <c r="I53" s="221">
        <f>IF($Q53&lt;&gt;"",IF($P53&lt;&gt;"",$P53,$Q53),IF($P53&lt;&gt;"",$P53,""))</f>
        <v/>
      </c>
      <c r="J53" s="221">
        <f>IF($Q53&lt;&gt;"",EOMONTH($Q53,0),IF($P53&lt;&gt;"",EOMONTH($P53,0),""))</f>
        <v/>
      </c>
      <c r="K53" s="220">
        <f>IF($B53="","",IFERROR(MATCH($B53,'Initiative Tracker'!$A$5:$A$200,0),IF($E53="","",IFERROR(MATCH($E53,'Initiative Tracker'!$B$5:$B$200,0),""))))</f>
        <v/>
      </c>
      <c r="L53" s="220">
        <f>IF($B53="","",IFERROR(MATCH($D53,'Control (Don’t Touch)'!$E$4:$E$30,0),99))</f>
        <v/>
      </c>
      <c r="M53" s="220">
        <f>IF($B53="","",IFERROR(MATCH($F53,'Control (Don’t Touch)'!$B$4:$B$30,0),99))</f>
        <v/>
      </c>
      <c r="N53" s="220">
        <f>IF($B53="","",$L53*1000000+$M53*10000+ROW())</f>
        <v/>
      </c>
      <c r="O53" s="220">
        <f>IF($B53="","",COUNTIF($N$2:$N$205,"&lt;"&amp;$N53)+1)</f>
        <v/>
      </c>
      <c r="P53" s="221">
        <f>IF($K53="","",IFERROR(DATE(IFERROR(VALUE(RIGHT(TRIM(INDEX('Initiative Tracker'!$G$5:$G$200,$K53)),4)),YEAR(TODAY())),MATCH(LEFT(TRIM(INDEX('Initiative Tracker'!$G$5:$G$200,$K53)),3),$U$2:$U$13,0),1),""))</f>
        <v/>
      </c>
      <c r="Q53" s="221">
        <f>IF($K53="","",IFERROR(DATE(IFERROR(VALUE(RIGHT(TRIM(INDEX('Initiative Tracker'!$H$5:$H$200,$K53)),4)),YEAR(TODAY())),MATCH(LEFT(TRIM(INDEX('Initiative Tracker'!$H$5:$H$200,$K53)),3),$U$2:$U$13,0),1),""))</f>
        <v/>
      </c>
    </row>
    <row r="54">
      <c r="A54" s="220" t="n">
        <v>54</v>
      </c>
      <c r="B54" s="220">
        <f>IF(TRIM(Weekly!E54)="","",TRIM(Weekly!E54))</f>
        <v/>
      </c>
      <c r="C54" s="220">
        <f>IF($B54="","",Weekly!B54)</f>
        <v/>
      </c>
      <c r="D54" s="220">
        <f>IF($B54="","",IF(TRIM(Weekly!C54)="","(No theme assigned)",TRIM(Weekly!C54)))</f>
        <v/>
      </c>
      <c r="E54" s="220">
        <f>IF($B54="","",TRIM(Weekly!F54))</f>
        <v/>
      </c>
      <c r="F54" s="220">
        <f>IF($B54="","",Weekly!G54)</f>
        <v/>
      </c>
      <c r="G54" s="221">
        <f>IF($B54="","",IF(COUNTA(Weekly!$H54:$CT54)=0,"",SUMPRODUCT(MIN(IF(Weekly!$H54:$CT54&lt;&gt;"",Weekly!$H$1:$CT$1)))))</f>
        <v/>
      </c>
      <c r="H54" s="221">
        <f>IF($B54="","",IF(COUNTA(Weekly!$H54:$CT54)=0,"",SUMPRODUCT(MAX(IF(Weekly!$H54:$CT54&lt;&gt;"",Weekly!$H$1:$CT$1)))))</f>
        <v/>
      </c>
      <c r="I54" s="221">
        <f>IF($Q54&lt;&gt;"",IF($P54&lt;&gt;"",$P54,$Q54),IF($P54&lt;&gt;"",$P54,""))</f>
        <v/>
      </c>
      <c r="J54" s="221">
        <f>IF($Q54&lt;&gt;"",EOMONTH($Q54,0),IF($P54&lt;&gt;"",EOMONTH($P54,0),""))</f>
        <v/>
      </c>
      <c r="K54" s="220">
        <f>IF($B54="","",IFERROR(MATCH($B54,'Initiative Tracker'!$A$5:$A$200,0),IF($E54="","",IFERROR(MATCH($E54,'Initiative Tracker'!$B$5:$B$200,0),""))))</f>
        <v/>
      </c>
      <c r="L54" s="220">
        <f>IF($B54="","",IFERROR(MATCH($D54,'Control (Don’t Touch)'!$E$4:$E$30,0),99))</f>
        <v/>
      </c>
      <c r="M54" s="220">
        <f>IF($B54="","",IFERROR(MATCH($F54,'Control (Don’t Touch)'!$B$4:$B$30,0),99))</f>
        <v/>
      </c>
      <c r="N54" s="220">
        <f>IF($B54="","",$L54*1000000+$M54*10000+ROW())</f>
        <v/>
      </c>
      <c r="O54" s="220">
        <f>IF($B54="","",COUNTIF($N$2:$N$205,"&lt;"&amp;$N54)+1)</f>
        <v/>
      </c>
      <c r="P54" s="221">
        <f>IF($K54="","",IFERROR(DATE(IFERROR(VALUE(RIGHT(TRIM(INDEX('Initiative Tracker'!$G$5:$G$200,$K54)),4)),YEAR(TODAY())),MATCH(LEFT(TRIM(INDEX('Initiative Tracker'!$G$5:$G$200,$K54)),3),$U$2:$U$13,0),1),""))</f>
        <v/>
      </c>
      <c r="Q54" s="221">
        <f>IF($K54="","",IFERROR(DATE(IFERROR(VALUE(RIGHT(TRIM(INDEX('Initiative Tracker'!$H$5:$H$200,$K54)),4)),YEAR(TODAY())),MATCH(LEFT(TRIM(INDEX('Initiative Tracker'!$H$5:$H$200,$K54)),3),$U$2:$U$13,0),1),""))</f>
        <v/>
      </c>
    </row>
    <row r="55">
      <c r="A55" s="220" t="n">
        <v>55</v>
      </c>
      <c r="B55" s="220">
        <f>IF(TRIM(Weekly!E55)="","",TRIM(Weekly!E55))</f>
        <v/>
      </c>
      <c r="C55" s="220">
        <f>IF($B55="","",Weekly!B55)</f>
        <v/>
      </c>
      <c r="D55" s="220">
        <f>IF($B55="","",IF(TRIM(Weekly!C55)="","(No theme assigned)",TRIM(Weekly!C55)))</f>
        <v/>
      </c>
      <c r="E55" s="220">
        <f>IF($B55="","",TRIM(Weekly!F55))</f>
        <v/>
      </c>
      <c r="F55" s="220">
        <f>IF($B55="","",Weekly!G55)</f>
        <v/>
      </c>
      <c r="G55" s="221">
        <f>IF($B55="","",IF(COUNTA(Weekly!$H55:$CT55)=0,"",SUMPRODUCT(MIN(IF(Weekly!$H55:$CT55&lt;&gt;"",Weekly!$H$1:$CT$1)))))</f>
        <v/>
      </c>
      <c r="H55" s="221">
        <f>IF($B55="","",IF(COUNTA(Weekly!$H55:$CT55)=0,"",SUMPRODUCT(MAX(IF(Weekly!$H55:$CT55&lt;&gt;"",Weekly!$H$1:$CT$1)))))</f>
        <v/>
      </c>
      <c r="I55" s="221">
        <f>IF($Q55&lt;&gt;"",IF($P55&lt;&gt;"",$P55,$Q55),IF($P55&lt;&gt;"",$P55,""))</f>
        <v/>
      </c>
      <c r="J55" s="221">
        <f>IF($Q55&lt;&gt;"",EOMONTH($Q55,0),IF($P55&lt;&gt;"",EOMONTH($P55,0),""))</f>
        <v/>
      </c>
      <c r="K55" s="220">
        <f>IF($B55="","",IFERROR(MATCH($B55,'Initiative Tracker'!$A$5:$A$200,0),IF($E55="","",IFERROR(MATCH($E55,'Initiative Tracker'!$B$5:$B$200,0),""))))</f>
        <v/>
      </c>
      <c r="L55" s="220">
        <f>IF($B55="","",IFERROR(MATCH($D55,'Control (Don’t Touch)'!$E$4:$E$30,0),99))</f>
        <v/>
      </c>
      <c r="M55" s="220">
        <f>IF($B55="","",IFERROR(MATCH($F55,'Control (Don’t Touch)'!$B$4:$B$30,0),99))</f>
        <v/>
      </c>
      <c r="N55" s="220">
        <f>IF($B55="","",$L55*1000000+$M55*10000+ROW())</f>
        <v/>
      </c>
      <c r="O55" s="220">
        <f>IF($B55="","",COUNTIF($N$2:$N$205,"&lt;"&amp;$N55)+1)</f>
        <v/>
      </c>
      <c r="P55" s="221">
        <f>IF($K55="","",IFERROR(DATE(IFERROR(VALUE(RIGHT(TRIM(INDEX('Initiative Tracker'!$G$5:$G$200,$K55)),4)),YEAR(TODAY())),MATCH(LEFT(TRIM(INDEX('Initiative Tracker'!$G$5:$G$200,$K55)),3),$U$2:$U$13,0),1),""))</f>
        <v/>
      </c>
      <c r="Q55" s="221">
        <f>IF($K55="","",IFERROR(DATE(IFERROR(VALUE(RIGHT(TRIM(INDEX('Initiative Tracker'!$H$5:$H$200,$K55)),4)),YEAR(TODAY())),MATCH(LEFT(TRIM(INDEX('Initiative Tracker'!$H$5:$H$200,$K55)),3),$U$2:$U$13,0),1),""))</f>
        <v/>
      </c>
    </row>
    <row r="56">
      <c r="A56" s="220" t="n">
        <v>56</v>
      </c>
      <c r="B56" s="220">
        <f>IF(TRIM(Weekly!E56)="","",TRIM(Weekly!E56))</f>
        <v/>
      </c>
      <c r="C56" s="220">
        <f>IF($B56="","",Weekly!B56)</f>
        <v/>
      </c>
      <c r="D56" s="220">
        <f>IF($B56="","",IF(TRIM(Weekly!C56)="","(No theme assigned)",TRIM(Weekly!C56)))</f>
        <v/>
      </c>
      <c r="E56" s="220">
        <f>IF($B56="","",TRIM(Weekly!F56))</f>
        <v/>
      </c>
      <c r="F56" s="220">
        <f>IF($B56="","",Weekly!G56)</f>
        <v/>
      </c>
      <c r="G56" s="221">
        <f>IF($B56="","",IF(COUNTA(Weekly!$H56:$CT56)=0,"",SUMPRODUCT(MIN(IF(Weekly!$H56:$CT56&lt;&gt;"",Weekly!$H$1:$CT$1)))))</f>
        <v/>
      </c>
      <c r="H56" s="221">
        <f>IF($B56="","",IF(COUNTA(Weekly!$H56:$CT56)=0,"",SUMPRODUCT(MAX(IF(Weekly!$H56:$CT56&lt;&gt;"",Weekly!$H$1:$CT$1)))))</f>
        <v/>
      </c>
      <c r="I56" s="221">
        <f>IF($Q56&lt;&gt;"",IF($P56&lt;&gt;"",$P56,$Q56),IF($P56&lt;&gt;"",$P56,""))</f>
        <v/>
      </c>
      <c r="J56" s="221">
        <f>IF($Q56&lt;&gt;"",EOMONTH($Q56,0),IF($P56&lt;&gt;"",EOMONTH($P56,0),""))</f>
        <v/>
      </c>
      <c r="K56" s="220">
        <f>IF($B56="","",IFERROR(MATCH($B56,'Initiative Tracker'!$A$5:$A$200,0),IF($E56="","",IFERROR(MATCH($E56,'Initiative Tracker'!$B$5:$B$200,0),""))))</f>
        <v/>
      </c>
      <c r="L56" s="220">
        <f>IF($B56="","",IFERROR(MATCH($D56,'Control (Don’t Touch)'!$E$4:$E$30,0),99))</f>
        <v/>
      </c>
      <c r="M56" s="220">
        <f>IF($B56="","",IFERROR(MATCH($F56,'Control (Don’t Touch)'!$B$4:$B$30,0),99))</f>
        <v/>
      </c>
      <c r="N56" s="220">
        <f>IF($B56="","",$L56*1000000+$M56*10000+ROW())</f>
        <v/>
      </c>
      <c r="O56" s="220">
        <f>IF($B56="","",COUNTIF($N$2:$N$205,"&lt;"&amp;$N56)+1)</f>
        <v/>
      </c>
      <c r="P56" s="221">
        <f>IF($K56="","",IFERROR(DATE(IFERROR(VALUE(RIGHT(TRIM(INDEX('Initiative Tracker'!$G$5:$G$200,$K56)),4)),YEAR(TODAY())),MATCH(LEFT(TRIM(INDEX('Initiative Tracker'!$G$5:$G$200,$K56)),3),$U$2:$U$13,0),1),""))</f>
        <v/>
      </c>
      <c r="Q56" s="221">
        <f>IF($K56="","",IFERROR(DATE(IFERROR(VALUE(RIGHT(TRIM(INDEX('Initiative Tracker'!$H$5:$H$200,$K56)),4)),YEAR(TODAY())),MATCH(LEFT(TRIM(INDEX('Initiative Tracker'!$H$5:$H$200,$K56)),3),$U$2:$U$13,0),1),""))</f>
        <v/>
      </c>
    </row>
    <row r="57">
      <c r="A57" s="220" t="n">
        <v>57</v>
      </c>
      <c r="B57" s="220">
        <f>IF(TRIM(Weekly!E57)="","",TRIM(Weekly!E57))</f>
        <v/>
      </c>
      <c r="C57" s="220">
        <f>IF($B57="","",Weekly!B57)</f>
        <v/>
      </c>
      <c r="D57" s="220">
        <f>IF($B57="","",IF(TRIM(Weekly!C57)="","(No theme assigned)",TRIM(Weekly!C57)))</f>
        <v/>
      </c>
      <c r="E57" s="220">
        <f>IF($B57="","",TRIM(Weekly!F57))</f>
        <v/>
      </c>
      <c r="F57" s="220">
        <f>IF($B57="","",Weekly!G57)</f>
        <v/>
      </c>
      <c r="G57" s="221">
        <f>IF($B57="","",IF(COUNTA(Weekly!$H57:$CT57)=0,"",SUMPRODUCT(MIN(IF(Weekly!$H57:$CT57&lt;&gt;"",Weekly!$H$1:$CT$1)))))</f>
        <v/>
      </c>
      <c r="H57" s="221">
        <f>IF($B57="","",IF(COUNTA(Weekly!$H57:$CT57)=0,"",SUMPRODUCT(MAX(IF(Weekly!$H57:$CT57&lt;&gt;"",Weekly!$H$1:$CT$1)))))</f>
        <v/>
      </c>
      <c r="I57" s="221">
        <f>IF($Q57&lt;&gt;"",IF($P57&lt;&gt;"",$P57,$Q57),IF($P57&lt;&gt;"",$P57,""))</f>
        <v/>
      </c>
      <c r="J57" s="221">
        <f>IF($Q57&lt;&gt;"",EOMONTH($Q57,0),IF($P57&lt;&gt;"",EOMONTH($P57,0),""))</f>
        <v/>
      </c>
      <c r="K57" s="220">
        <f>IF($B57="","",IFERROR(MATCH($B57,'Initiative Tracker'!$A$5:$A$200,0),IF($E57="","",IFERROR(MATCH($E57,'Initiative Tracker'!$B$5:$B$200,0),""))))</f>
        <v/>
      </c>
      <c r="L57" s="220">
        <f>IF($B57="","",IFERROR(MATCH($D57,'Control (Don’t Touch)'!$E$4:$E$30,0),99))</f>
        <v/>
      </c>
      <c r="M57" s="220">
        <f>IF($B57="","",IFERROR(MATCH($F57,'Control (Don’t Touch)'!$B$4:$B$30,0),99))</f>
        <v/>
      </c>
      <c r="N57" s="220">
        <f>IF($B57="","",$L57*1000000+$M57*10000+ROW())</f>
        <v/>
      </c>
      <c r="O57" s="220">
        <f>IF($B57="","",COUNTIF($N$2:$N$205,"&lt;"&amp;$N57)+1)</f>
        <v/>
      </c>
      <c r="P57" s="221">
        <f>IF($K57="","",IFERROR(DATE(IFERROR(VALUE(RIGHT(TRIM(INDEX('Initiative Tracker'!$G$5:$G$200,$K57)),4)),YEAR(TODAY())),MATCH(LEFT(TRIM(INDEX('Initiative Tracker'!$G$5:$G$200,$K57)),3),$U$2:$U$13,0),1),""))</f>
        <v/>
      </c>
      <c r="Q57" s="221">
        <f>IF($K57="","",IFERROR(DATE(IFERROR(VALUE(RIGHT(TRIM(INDEX('Initiative Tracker'!$H$5:$H$200,$K57)),4)),YEAR(TODAY())),MATCH(LEFT(TRIM(INDEX('Initiative Tracker'!$H$5:$H$200,$K57)),3),$U$2:$U$13,0),1),""))</f>
        <v/>
      </c>
    </row>
    <row r="58">
      <c r="A58" s="220" t="n">
        <v>58</v>
      </c>
      <c r="B58" s="220">
        <f>IF(TRIM(Weekly!E58)="","",TRIM(Weekly!E58))</f>
        <v/>
      </c>
      <c r="C58" s="220">
        <f>IF($B58="","",Weekly!B58)</f>
        <v/>
      </c>
      <c r="D58" s="220">
        <f>IF($B58="","",IF(TRIM(Weekly!C58)="","(No theme assigned)",TRIM(Weekly!C58)))</f>
        <v/>
      </c>
      <c r="E58" s="220">
        <f>IF($B58="","",TRIM(Weekly!F58))</f>
        <v/>
      </c>
      <c r="F58" s="220">
        <f>IF($B58="","",Weekly!G58)</f>
        <v/>
      </c>
      <c r="G58" s="221">
        <f>IF($B58="","",IF(COUNTA(Weekly!$H58:$CT58)=0,"",SUMPRODUCT(MIN(IF(Weekly!$H58:$CT58&lt;&gt;"",Weekly!$H$1:$CT$1)))))</f>
        <v/>
      </c>
      <c r="H58" s="221">
        <f>IF($B58="","",IF(COUNTA(Weekly!$H58:$CT58)=0,"",SUMPRODUCT(MAX(IF(Weekly!$H58:$CT58&lt;&gt;"",Weekly!$H$1:$CT$1)))))</f>
        <v/>
      </c>
      <c r="I58" s="221">
        <f>IF($Q58&lt;&gt;"",IF($P58&lt;&gt;"",$P58,$Q58),IF($P58&lt;&gt;"",$P58,""))</f>
        <v/>
      </c>
      <c r="J58" s="221">
        <f>IF($Q58&lt;&gt;"",EOMONTH($Q58,0),IF($P58&lt;&gt;"",EOMONTH($P58,0),""))</f>
        <v/>
      </c>
      <c r="K58" s="220">
        <f>IF($B58="","",IFERROR(MATCH($B58,'Initiative Tracker'!$A$5:$A$200,0),IF($E58="","",IFERROR(MATCH($E58,'Initiative Tracker'!$B$5:$B$200,0),""))))</f>
        <v/>
      </c>
      <c r="L58" s="220">
        <f>IF($B58="","",IFERROR(MATCH($D58,'Control (Don’t Touch)'!$E$4:$E$30,0),99))</f>
        <v/>
      </c>
      <c r="M58" s="220">
        <f>IF($B58="","",IFERROR(MATCH($F58,'Control (Don’t Touch)'!$B$4:$B$30,0),99))</f>
        <v/>
      </c>
      <c r="N58" s="220">
        <f>IF($B58="","",$L58*1000000+$M58*10000+ROW())</f>
        <v/>
      </c>
      <c r="O58" s="220">
        <f>IF($B58="","",COUNTIF($N$2:$N$205,"&lt;"&amp;$N58)+1)</f>
        <v/>
      </c>
      <c r="P58" s="221">
        <f>IF($K58="","",IFERROR(DATE(IFERROR(VALUE(RIGHT(TRIM(INDEX('Initiative Tracker'!$G$5:$G$200,$K58)),4)),YEAR(TODAY())),MATCH(LEFT(TRIM(INDEX('Initiative Tracker'!$G$5:$G$200,$K58)),3),$U$2:$U$13,0),1),""))</f>
        <v/>
      </c>
      <c r="Q58" s="221">
        <f>IF($K58="","",IFERROR(DATE(IFERROR(VALUE(RIGHT(TRIM(INDEX('Initiative Tracker'!$H$5:$H$200,$K58)),4)),YEAR(TODAY())),MATCH(LEFT(TRIM(INDEX('Initiative Tracker'!$H$5:$H$200,$K58)),3),$U$2:$U$13,0),1),""))</f>
        <v/>
      </c>
    </row>
    <row r="59">
      <c r="A59" s="220" t="n">
        <v>59</v>
      </c>
      <c r="B59" s="220">
        <f>IF(TRIM(Weekly!E59)="","",TRIM(Weekly!E59))</f>
        <v/>
      </c>
      <c r="C59" s="220">
        <f>IF($B59="","",Weekly!B59)</f>
        <v/>
      </c>
      <c r="D59" s="220">
        <f>IF($B59="","",IF(TRIM(Weekly!C59)="","(No theme assigned)",TRIM(Weekly!C59)))</f>
        <v/>
      </c>
      <c r="E59" s="220">
        <f>IF($B59="","",TRIM(Weekly!F59))</f>
        <v/>
      </c>
      <c r="F59" s="220">
        <f>IF($B59="","",Weekly!G59)</f>
        <v/>
      </c>
      <c r="G59" s="221">
        <f>IF($B59="","",IF(COUNTA(Weekly!$H59:$CT59)=0,"",SUMPRODUCT(MIN(IF(Weekly!$H59:$CT59&lt;&gt;"",Weekly!$H$1:$CT$1)))))</f>
        <v/>
      </c>
      <c r="H59" s="221">
        <f>IF($B59="","",IF(COUNTA(Weekly!$H59:$CT59)=0,"",SUMPRODUCT(MAX(IF(Weekly!$H59:$CT59&lt;&gt;"",Weekly!$H$1:$CT$1)))))</f>
        <v/>
      </c>
      <c r="I59" s="221">
        <f>IF($Q59&lt;&gt;"",IF($P59&lt;&gt;"",$P59,$Q59),IF($P59&lt;&gt;"",$P59,""))</f>
        <v/>
      </c>
      <c r="J59" s="221">
        <f>IF($Q59&lt;&gt;"",EOMONTH($Q59,0),IF($P59&lt;&gt;"",EOMONTH($P59,0),""))</f>
        <v/>
      </c>
      <c r="K59" s="220">
        <f>IF($B59="","",IFERROR(MATCH($B59,'Initiative Tracker'!$A$5:$A$200,0),IF($E59="","",IFERROR(MATCH($E59,'Initiative Tracker'!$B$5:$B$200,0),""))))</f>
        <v/>
      </c>
      <c r="L59" s="220">
        <f>IF($B59="","",IFERROR(MATCH($D59,'Control (Don’t Touch)'!$E$4:$E$30,0),99))</f>
        <v/>
      </c>
      <c r="M59" s="220">
        <f>IF($B59="","",IFERROR(MATCH($F59,'Control (Don’t Touch)'!$B$4:$B$30,0),99))</f>
        <v/>
      </c>
      <c r="N59" s="220">
        <f>IF($B59="","",$L59*1000000+$M59*10000+ROW())</f>
        <v/>
      </c>
      <c r="O59" s="220">
        <f>IF($B59="","",COUNTIF($N$2:$N$205,"&lt;"&amp;$N59)+1)</f>
        <v/>
      </c>
      <c r="P59" s="221">
        <f>IF($K59="","",IFERROR(DATE(IFERROR(VALUE(RIGHT(TRIM(INDEX('Initiative Tracker'!$G$5:$G$200,$K59)),4)),YEAR(TODAY())),MATCH(LEFT(TRIM(INDEX('Initiative Tracker'!$G$5:$G$200,$K59)),3),$U$2:$U$13,0),1),""))</f>
        <v/>
      </c>
      <c r="Q59" s="221">
        <f>IF($K59="","",IFERROR(DATE(IFERROR(VALUE(RIGHT(TRIM(INDEX('Initiative Tracker'!$H$5:$H$200,$K59)),4)),YEAR(TODAY())),MATCH(LEFT(TRIM(INDEX('Initiative Tracker'!$H$5:$H$200,$K59)),3),$U$2:$U$13,0),1),""))</f>
        <v/>
      </c>
    </row>
    <row r="60">
      <c r="A60" s="220" t="n">
        <v>60</v>
      </c>
      <c r="B60" s="220">
        <f>IF(TRIM(Weekly!E60)="","",TRIM(Weekly!E60))</f>
        <v/>
      </c>
      <c r="C60" s="220">
        <f>IF($B60="","",Weekly!B60)</f>
        <v/>
      </c>
      <c r="D60" s="220">
        <f>IF($B60="","",IF(TRIM(Weekly!C60)="","(No theme assigned)",TRIM(Weekly!C60)))</f>
        <v/>
      </c>
      <c r="E60" s="220">
        <f>IF($B60="","",TRIM(Weekly!F60))</f>
        <v/>
      </c>
      <c r="F60" s="220">
        <f>IF($B60="","",Weekly!G60)</f>
        <v/>
      </c>
      <c r="G60" s="221">
        <f>IF($B60="","",IF(COUNTA(Weekly!$H60:$CT60)=0,"",SUMPRODUCT(MIN(IF(Weekly!$H60:$CT60&lt;&gt;"",Weekly!$H$1:$CT$1)))))</f>
        <v/>
      </c>
      <c r="H60" s="221">
        <f>IF($B60="","",IF(COUNTA(Weekly!$H60:$CT60)=0,"",SUMPRODUCT(MAX(IF(Weekly!$H60:$CT60&lt;&gt;"",Weekly!$H$1:$CT$1)))))</f>
        <v/>
      </c>
      <c r="I60" s="221">
        <f>IF($Q60&lt;&gt;"",IF($P60&lt;&gt;"",$P60,$Q60),IF($P60&lt;&gt;"",$P60,""))</f>
        <v/>
      </c>
      <c r="J60" s="221">
        <f>IF($Q60&lt;&gt;"",EOMONTH($Q60,0),IF($P60&lt;&gt;"",EOMONTH($P60,0),""))</f>
        <v/>
      </c>
      <c r="K60" s="220">
        <f>IF($B60="","",IFERROR(MATCH($B60,'Initiative Tracker'!$A$5:$A$200,0),IF($E60="","",IFERROR(MATCH($E60,'Initiative Tracker'!$B$5:$B$200,0),""))))</f>
        <v/>
      </c>
      <c r="L60" s="220">
        <f>IF($B60="","",IFERROR(MATCH($D60,'Control (Don’t Touch)'!$E$4:$E$30,0),99))</f>
        <v/>
      </c>
      <c r="M60" s="220">
        <f>IF($B60="","",IFERROR(MATCH($F60,'Control (Don’t Touch)'!$B$4:$B$30,0),99))</f>
        <v/>
      </c>
      <c r="N60" s="220">
        <f>IF($B60="","",$L60*1000000+$M60*10000+ROW())</f>
        <v/>
      </c>
      <c r="O60" s="220">
        <f>IF($B60="","",COUNTIF($N$2:$N$205,"&lt;"&amp;$N60)+1)</f>
        <v/>
      </c>
      <c r="P60" s="221">
        <f>IF($K60="","",IFERROR(DATE(IFERROR(VALUE(RIGHT(TRIM(INDEX('Initiative Tracker'!$G$5:$G$200,$K60)),4)),YEAR(TODAY())),MATCH(LEFT(TRIM(INDEX('Initiative Tracker'!$G$5:$G$200,$K60)),3),$U$2:$U$13,0),1),""))</f>
        <v/>
      </c>
      <c r="Q60" s="221">
        <f>IF($K60="","",IFERROR(DATE(IFERROR(VALUE(RIGHT(TRIM(INDEX('Initiative Tracker'!$H$5:$H$200,$K60)),4)),YEAR(TODAY())),MATCH(LEFT(TRIM(INDEX('Initiative Tracker'!$H$5:$H$200,$K60)),3),$U$2:$U$13,0),1),""))</f>
        <v/>
      </c>
    </row>
    <row r="61">
      <c r="A61" s="220" t="n">
        <v>61</v>
      </c>
      <c r="B61" s="220">
        <f>IF(TRIM(Weekly!E61)="","",TRIM(Weekly!E61))</f>
        <v/>
      </c>
      <c r="C61" s="220">
        <f>IF($B61="","",Weekly!B61)</f>
        <v/>
      </c>
      <c r="D61" s="220">
        <f>IF($B61="","",IF(TRIM(Weekly!C61)="","(No theme assigned)",TRIM(Weekly!C61)))</f>
        <v/>
      </c>
      <c r="E61" s="220">
        <f>IF($B61="","",TRIM(Weekly!F61))</f>
        <v/>
      </c>
      <c r="F61" s="220">
        <f>IF($B61="","",Weekly!G61)</f>
        <v/>
      </c>
      <c r="G61" s="221">
        <f>IF($B61="","",IF(COUNTA(Weekly!$H61:$CT61)=0,"",SUMPRODUCT(MIN(IF(Weekly!$H61:$CT61&lt;&gt;"",Weekly!$H$1:$CT$1)))))</f>
        <v/>
      </c>
      <c r="H61" s="221">
        <f>IF($B61="","",IF(COUNTA(Weekly!$H61:$CT61)=0,"",SUMPRODUCT(MAX(IF(Weekly!$H61:$CT61&lt;&gt;"",Weekly!$H$1:$CT$1)))))</f>
        <v/>
      </c>
      <c r="I61" s="221">
        <f>IF($Q61&lt;&gt;"",IF($P61&lt;&gt;"",$P61,$Q61),IF($P61&lt;&gt;"",$P61,""))</f>
        <v/>
      </c>
      <c r="J61" s="221">
        <f>IF($Q61&lt;&gt;"",EOMONTH($Q61,0),IF($P61&lt;&gt;"",EOMONTH($P61,0),""))</f>
        <v/>
      </c>
      <c r="K61" s="220">
        <f>IF($B61="","",IFERROR(MATCH($B61,'Initiative Tracker'!$A$5:$A$200,0),IF($E61="","",IFERROR(MATCH($E61,'Initiative Tracker'!$B$5:$B$200,0),""))))</f>
        <v/>
      </c>
      <c r="L61" s="220">
        <f>IF($B61="","",IFERROR(MATCH($D61,'Control (Don’t Touch)'!$E$4:$E$30,0),99))</f>
        <v/>
      </c>
      <c r="M61" s="220">
        <f>IF($B61="","",IFERROR(MATCH($F61,'Control (Don’t Touch)'!$B$4:$B$30,0),99))</f>
        <v/>
      </c>
      <c r="N61" s="220">
        <f>IF($B61="","",$L61*1000000+$M61*10000+ROW())</f>
        <v/>
      </c>
      <c r="O61" s="220">
        <f>IF($B61="","",COUNTIF($N$2:$N$205,"&lt;"&amp;$N61)+1)</f>
        <v/>
      </c>
      <c r="P61" s="221">
        <f>IF($K61="","",IFERROR(DATE(IFERROR(VALUE(RIGHT(TRIM(INDEX('Initiative Tracker'!$G$5:$G$200,$K61)),4)),YEAR(TODAY())),MATCH(LEFT(TRIM(INDEX('Initiative Tracker'!$G$5:$G$200,$K61)),3),$U$2:$U$13,0),1),""))</f>
        <v/>
      </c>
      <c r="Q61" s="221">
        <f>IF($K61="","",IFERROR(DATE(IFERROR(VALUE(RIGHT(TRIM(INDEX('Initiative Tracker'!$H$5:$H$200,$K61)),4)),YEAR(TODAY())),MATCH(LEFT(TRIM(INDEX('Initiative Tracker'!$H$5:$H$200,$K61)),3),$U$2:$U$13,0),1),""))</f>
        <v/>
      </c>
    </row>
    <row r="62">
      <c r="A62" s="220" t="n">
        <v>62</v>
      </c>
      <c r="B62" s="220">
        <f>IF(TRIM(Weekly!E62)="","",TRIM(Weekly!E62))</f>
        <v/>
      </c>
      <c r="C62" s="220">
        <f>IF($B62="","",Weekly!B62)</f>
        <v/>
      </c>
      <c r="D62" s="220">
        <f>IF($B62="","",IF(TRIM(Weekly!C62)="","(No theme assigned)",TRIM(Weekly!C62)))</f>
        <v/>
      </c>
      <c r="E62" s="220">
        <f>IF($B62="","",TRIM(Weekly!F62))</f>
        <v/>
      </c>
      <c r="F62" s="220">
        <f>IF($B62="","",Weekly!G62)</f>
        <v/>
      </c>
      <c r="G62" s="221">
        <f>IF($B62="","",IF(COUNTA(Weekly!$H62:$CT62)=0,"",SUMPRODUCT(MIN(IF(Weekly!$H62:$CT62&lt;&gt;"",Weekly!$H$1:$CT$1)))))</f>
        <v/>
      </c>
      <c r="H62" s="221">
        <f>IF($B62="","",IF(COUNTA(Weekly!$H62:$CT62)=0,"",SUMPRODUCT(MAX(IF(Weekly!$H62:$CT62&lt;&gt;"",Weekly!$H$1:$CT$1)))))</f>
        <v/>
      </c>
      <c r="I62" s="221">
        <f>IF($Q62&lt;&gt;"",IF($P62&lt;&gt;"",$P62,$Q62),IF($P62&lt;&gt;"",$P62,""))</f>
        <v/>
      </c>
      <c r="J62" s="221">
        <f>IF($Q62&lt;&gt;"",EOMONTH($Q62,0),IF($P62&lt;&gt;"",EOMONTH($P62,0),""))</f>
        <v/>
      </c>
      <c r="K62" s="220">
        <f>IF($B62="","",IFERROR(MATCH($B62,'Initiative Tracker'!$A$5:$A$200,0),IF($E62="","",IFERROR(MATCH($E62,'Initiative Tracker'!$B$5:$B$200,0),""))))</f>
        <v/>
      </c>
      <c r="L62" s="220">
        <f>IF($B62="","",IFERROR(MATCH($D62,'Control (Don’t Touch)'!$E$4:$E$30,0),99))</f>
        <v/>
      </c>
      <c r="M62" s="220">
        <f>IF($B62="","",IFERROR(MATCH($F62,'Control (Don’t Touch)'!$B$4:$B$30,0),99))</f>
        <v/>
      </c>
      <c r="N62" s="220">
        <f>IF($B62="","",$L62*1000000+$M62*10000+ROW())</f>
        <v/>
      </c>
      <c r="O62" s="220">
        <f>IF($B62="","",COUNTIF($N$2:$N$205,"&lt;"&amp;$N62)+1)</f>
        <v/>
      </c>
      <c r="P62" s="221">
        <f>IF($K62="","",IFERROR(DATE(IFERROR(VALUE(RIGHT(TRIM(INDEX('Initiative Tracker'!$G$5:$G$200,$K62)),4)),YEAR(TODAY())),MATCH(LEFT(TRIM(INDEX('Initiative Tracker'!$G$5:$G$200,$K62)),3),$U$2:$U$13,0),1),""))</f>
        <v/>
      </c>
      <c r="Q62" s="221">
        <f>IF($K62="","",IFERROR(DATE(IFERROR(VALUE(RIGHT(TRIM(INDEX('Initiative Tracker'!$H$5:$H$200,$K62)),4)),YEAR(TODAY())),MATCH(LEFT(TRIM(INDEX('Initiative Tracker'!$H$5:$H$200,$K62)),3),$U$2:$U$13,0),1),""))</f>
        <v/>
      </c>
    </row>
    <row r="63">
      <c r="A63" s="220" t="n">
        <v>63</v>
      </c>
      <c r="B63" s="220">
        <f>IF(TRIM(Weekly!E63)="","",TRIM(Weekly!E63))</f>
        <v/>
      </c>
      <c r="C63" s="220">
        <f>IF($B63="","",Weekly!B63)</f>
        <v/>
      </c>
      <c r="D63" s="220">
        <f>IF($B63="","",IF(TRIM(Weekly!C63)="","(No theme assigned)",TRIM(Weekly!C63)))</f>
        <v/>
      </c>
      <c r="E63" s="220">
        <f>IF($B63="","",TRIM(Weekly!F63))</f>
        <v/>
      </c>
      <c r="F63" s="220">
        <f>IF($B63="","",Weekly!G63)</f>
        <v/>
      </c>
      <c r="G63" s="221">
        <f>IF($B63="","",IF(COUNTA(Weekly!$H63:$CT63)=0,"",SUMPRODUCT(MIN(IF(Weekly!$H63:$CT63&lt;&gt;"",Weekly!$H$1:$CT$1)))))</f>
        <v/>
      </c>
      <c r="H63" s="221">
        <f>IF($B63="","",IF(COUNTA(Weekly!$H63:$CT63)=0,"",SUMPRODUCT(MAX(IF(Weekly!$H63:$CT63&lt;&gt;"",Weekly!$H$1:$CT$1)))))</f>
        <v/>
      </c>
      <c r="I63" s="221">
        <f>IF($Q63&lt;&gt;"",IF($P63&lt;&gt;"",$P63,$Q63),IF($P63&lt;&gt;"",$P63,""))</f>
        <v/>
      </c>
      <c r="J63" s="221">
        <f>IF($Q63&lt;&gt;"",EOMONTH($Q63,0),IF($P63&lt;&gt;"",EOMONTH($P63,0),""))</f>
        <v/>
      </c>
      <c r="K63" s="220">
        <f>IF($B63="","",IFERROR(MATCH($B63,'Initiative Tracker'!$A$5:$A$200,0),IF($E63="","",IFERROR(MATCH($E63,'Initiative Tracker'!$B$5:$B$200,0),""))))</f>
        <v/>
      </c>
      <c r="L63" s="220">
        <f>IF($B63="","",IFERROR(MATCH($D63,'Control (Don’t Touch)'!$E$4:$E$30,0),99))</f>
        <v/>
      </c>
      <c r="M63" s="220">
        <f>IF($B63="","",IFERROR(MATCH($F63,'Control (Don’t Touch)'!$B$4:$B$30,0),99))</f>
        <v/>
      </c>
      <c r="N63" s="220">
        <f>IF($B63="","",$L63*1000000+$M63*10000+ROW())</f>
        <v/>
      </c>
      <c r="O63" s="220">
        <f>IF($B63="","",COUNTIF($N$2:$N$205,"&lt;"&amp;$N63)+1)</f>
        <v/>
      </c>
      <c r="P63" s="221">
        <f>IF($K63="","",IFERROR(DATE(IFERROR(VALUE(RIGHT(TRIM(INDEX('Initiative Tracker'!$G$5:$G$200,$K63)),4)),YEAR(TODAY())),MATCH(LEFT(TRIM(INDEX('Initiative Tracker'!$G$5:$G$200,$K63)),3),$U$2:$U$13,0),1),""))</f>
        <v/>
      </c>
      <c r="Q63" s="221">
        <f>IF($K63="","",IFERROR(DATE(IFERROR(VALUE(RIGHT(TRIM(INDEX('Initiative Tracker'!$H$5:$H$200,$K63)),4)),YEAR(TODAY())),MATCH(LEFT(TRIM(INDEX('Initiative Tracker'!$H$5:$H$200,$K63)),3),$U$2:$U$13,0),1),""))</f>
        <v/>
      </c>
    </row>
    <row r="64">
      <c r="A64" s="220" t="n">
        <v>64</v>
      </c>
      <c r="B64" s="220">
        <f>IF(TRIM(Weekly!E64)="","",TRIM(Weekly!E64))</f>
        <v/>
      </c>
      <c r="C64" s="220">
        <f>IF($B64="","",Weekly!B64)</f>
        <v/>
      </c>
      <c r="D64" s="220">
        <f>IF($B64="","",IF(TRIM(Weekly!C64)="","(No theme assigned)",TRIM(Weekly!C64)))</f>
        <v/>
      </c>
      <c r="E64" s="220">
        <f>IF($B64="","",TRIM(Weekly!F64))</f>
        <v/>
      </c>
      <c r="F64" s="220">
        <f>IF($B64="","",Weekly!G64)</f>
        <v/>
      </c>
      <c r="G64" s="221">
        <f>IF($B64="","",IF(COUNTA(Weekly!$H64:$CT64)=0,"",SUMPRODUCT(MIN(IF(Weekly!$H64:$CT64&lt;&gt;"",Weekly!$H$1:$CT$1)))))</f>
        <v/>
      </c>
      <c r="H64" s="221">
        <f>IF($B64="","",IF(COUNTA(Weekly!$H64:$CT64)=0,"",SUMPRODUCT(MAX(IF(Weekly!$H64:$CT64&lt;&gt;"",Weekly!$H$1:$CT$1)))))</f>
        <v/>
      </c>
      <c r="I64" s="221">
        <f>IF($Q64&lt;&gt;"",IF($P64&lt;&gt;"",$P64,$Q64),IF($P64&lt;&gt;"",$P64,""))</f>
        <v/>
      </c>
      <c r="J64" s="221">
        <f>IF($Q64&lt;&gt;"",EOMONTH($Q64,0),IF($P64&lt;&gt;"",EOMONTH($P64,0),""))</f>
        <v/>
      </c>
      <c r="K64" s="220">
        <f>IF($B64="","",IFERROR(MATCH($B64,'Initiative Tracker'!$A$5:$A$200,0),IF($E64="","",IFERROR(MATCH($E64,'Initiative Tracker'!$B$5:$B$200,0),""))))</f>
        <v/>
      </c>
      <c r="L64" s="220">
        <f>IF($B64="","",IFERROR(MATCH($D64,'Control (Don’t Touch)'!$E$4:$E$30,0),99))</f>
        <v/>
      </c>
      <c r="M64" s="220">
        <f>IF($B64="","",IFERROR(MATCH($F64,'Control (Don’t Touch)'!$B$4:$B$30,0),99))</f>
        <v/>
      </c>
      <c r="N64" s="220">
        <f>IF($B64="","",$L64*1000000+$M64*10000+ROW())</f>
        <v/>
      </c>
      <c r="O64" s="220">
        <f>IF($B64="","",COUNTIF($N$2:$N$205,"&lt;"&amp;$N64)+1)</f>
        <v/>
      </c>
      <c r="P64" s="221">
        <f>IF($K64="","",IFERROR(DATE(IFERROR(VALUE(RIGHT(TRIM(INDEX('Initiative Tracker'!$G$5:$G$200,$K64)),4)),YEAR(TODAY())),MATCH(LEFT(TRIM(INDEX('Initiative Tracker'!$G$5:$G$200,$K64)),3),$U$2:$U$13,0),1),""))</f>
        <v/>
      </c>
      <c r="Q64" s="221">
        <f>IF($K64="","",IFERROR(DATE(IFERROR(VALUE(RIGHT(TRIM(INDEX('Initiative Tracker'!$H$5:$H$200,$K64)),4)),YEAR(TODAY())),MATCH(LEFT(TRIM(INDEX('Initiative Tracker'!$H$5:$H$200,$K64)),3),$U$2:$U$13,0),1),""))</f>
        <v/>
      </c>
    </row>
    <row r="65">
      <c r="A65" s="220" t="n">
        <v>65</v>
      </c>
      <c r="B65" s="220">
        <f>IF(TRIM(Weekly!E65)="","",TRIM(Weekly!E65))</f>
        <v/>
      </c>
      <c r="C65" s="220">
        <f>IF($B65="","",Weekly!B65)</f>
        <v/>
      </c>
      <c r="D65" s="220">
        <f>IF($B65="","",IF(TRIM(Weekly!C65)="","(No theme assigned)",TRIM(Weekly!C65)))</f>
        <v/>
      </c>
      <c r="E65" s="220">
        <f>IF($B65="","",TRIM(Weekly!F65))</f>
        <v/>
      </c>
      <c r="F65" s="220">
        <f>IF($B65="","",Weekly!G65)</f>
        <v/>
      </c>
      <c r="G65" s="221">
        <f>IF($B65="","",IF(COUNTA(Weekly!$H65:$CT65)=0,"",SUMPRODUCT(MIN(IF(Weekly!$H65:$CT65&lt;&gt;"",Weekly!$H$1:$CT$1)))))</f>
        <v/>
      </c>
      <c r="H65" s="221">
        <f>IF($B65="","",IF(COUNTA(Weekly!$H65:$CT65)=0,"",SUMPRODUCT(MAX(IF(Weekly!$H65:$CT65&lt;&gt;"",Weekly!$H$1:$CT$1)))))</f>
        <v/>
      </c>
      <c r="I65" s="221">
        <f>IF($Q65&lt;&gt;"",IF($P65&lt;&gt;"",$P65,$Q65),IF($P65&lt;&gt;"",$P65,""))</f>
        <v/>
      </c>
      <c r="J65" s="221">
        <f>IF($Q65&lt;&gt;"",EOMONTH($Q65,0),IF($P65&lt;&gt;"",EOMONTH($P65,0),""))</f>
        <v/>
      </c>
      <c r="K65" s="220">
        <f>IF($B65="","",IFERROR(MATCH($B65,'Initiative Tracker'!$A$5:$A$200,0),IF($E65="","",IFERROR(MATCH($E65,'Initiative Tracker'!$B$5:$B$200,0),""))))</f>
        <v/>
      </c>
      <c r="L65" s="220">
        <f>IF($B65="","",IFERROR(MATCH($D65,'Control (Don’t Touch)'!$E$4:$E$30,0),99))</f>
        <v/>
      </c>
      <c r="M65" s="220">
        <f>IF($B65="","",IFERROR(MATCH($F65,'Control (Don’t Touch)'!$B$4:$B$30,0),99))</f>
        <v/>
      </c>
      <c r="N65" s="220">
        <f>IF($B65="","",$L65*1000000+$M65*10000+ROW())</f>
        <v/>
      </c>
      <c r="O65" s="220">
        <f>IF($B65="","",COUNTIF($N$2:$N$205,"&lt;"&amp;$N65)+1)</f>
        <v/>
      </c>
      <c r="P65" s="221">
        <f>IF($K65="","",IFERROR(DATE(IFERROR(VALUE(RIGHT(TRIM(INDEX('Initiative Tracker'!$G$5:$G$200,$K65)),4)),YEAR(TODAY())),MATCH(LEFT(TRIM(INDEX('Initiative Tracker'!$G$5:$G$200,$K65)),3),$U$2:$U$13,0),1),""))</f>
        <v/>
      </c>
      <c r="Q65" s="221">
        <f>IF($K65="","",IFERROR(DATE(IFERROR(VALUE(RIGHT(TRIM(INDEX('Initiative Tracker'!$H$5:$H$200,$K65)),4)),YEAR(TODAY())),MATCH(LEFT(TRIM(INDEX('Initiative Tracker'!$H$5:$H$200,$K65)),3),$U$2:$U$13,0),1),""))</f>
        <v/>
      </c>
    </row>
    <row r="66">
      <c r="A66" s="220" t="n">
        <v>66</v>
      </c>
      <c r="B66" s="220">
        <f>IF(TRIM(Weekly!E66)="","",TRIM(Weekly!E66))</f>
        <v/>
      </c>
      <c r="C66" s="220">
        <f>IF($B66="","",Weekly!B66)</f>
        <v/>
      </c>
      <c r="D66" s="220">
        <f>IF($B66="","",IF(TRIM(Weekly!C66)="","(No theme assigned)",TRIM(Weekly!C66)))</f>
        <v/>
      </c>
      <c r="E66" s="220">
        <f>IF($B66="","",TRIM(Weekly!F66))</f>
        <v/>
      </c>
      <c r="F66" s="220">
        <f>IF($B66="","",Weekly!G66)</f>
        <v/>
      </c>
      <c r="G66" s="221">
        <f>IF($B66="","",IF(COUNTA(Weekly!$H66:$CT66)=0,"",SUMPRODUCT(MIN(IF(Weekly!$H66:$CT66&lt;&gt;"",Weekly!$H$1:$CT$1)))))</f>
        <v/>
      </c>
      <c r="H66" s="221">
        <f>IF($B66="","",IF(COUNTA(Weekly!$H66:$CT66)=0,"",SUMPRODUCT(MAX(IF(Weekly!$H66:$CT66&lt;&gt;"",Weekly!$H$1:$CT$1)))))</f>
        <v/>
      </c>
      <c r="I66" s="221">
        <f>IF($Q66&lt;&gt;"",IF($P66&lt;&gt;"",$P66,$Q66),IF($P66&lt;&gt;"",$P66,""))</f>
        <v/>
      </c>
      <c r="J66" s="221">
        <f>IF($Q66&lt;&gt;"",EOMONTH($Q66,0),IF($P66&lt;&gt;"",EOMONTH($P66,0),""))</f>
        <v/>
      </c>
      <c r="K66" s="220">
        <f>IF($B66="","",IFERROR(MATCH($B66,'Initiative Tracker'!$A$5:$A$200,0),IF($E66="","",IFERROR(MATCH($E66,'Initiative Tracker'!$B$5:$B$200,0),""))))</f>
        <v/>
      </c>
      <c r="L66" s="220">
        <f>IF($B66="","",IFERROR(MATCH($D66,'Control (Don’t Touch)'!$E$4:$E$30,0),99))</f>
        <v/>
      </c>
      <c r="M66" s="220">
        <f>IF($B66="","",IFERROR(MATCH($F66,'Control (Don’t Touch)'!$B$4:$B$30,0),99))</f>
        <v/>
      </c>
      <c r="N66" s="220">
        <f>IF($B66="","",$L66*1000000+$M66*10000+ROW())</f>
        <v/>
      </c>
      <c r="O66" s="220">
        <f>IF($B66="","",COUNTIF($N$2:$N$205,"&lt;"&amp;$N66)+1)</f>
        <v/>
      </c>
      <c r="P66" s="221">
        <f>IF($K66="","",IFERROR(DATE(IFERROR(VALUE(RIGHT(TRIM(INDEX('Initiative Tracker'!$G$5:$G$200,$K66)),4)),YEAR(TODAY())),MATCH(LEFT(TRIM(INDEX('Initiative Tracker'!$G$5:$G$200,$K66)),3),$U$2:$U$13,0),1),""))</f>
        <v/>
      </c>
      <c r="Q66" s="221">
        <f>IF($K66="","",IFERROR(DATE(IFERROR(VALUE(RIGHT(TRIM(INDEX('Initiative Tracker'!$H$5:$H$200,$K66)),4)),YEAR(TODAY())),MATCH(LEFT(TRIM(INDEX('Initiative Tracker'!$H$5:$H$200,$K66)),3),$U$2:$U$13,0),1),""))</f>
        <v/>
      </c>
    </row>
    <row r="67">
      <c r="A67" s="220" t="n">
        <v>67</v>
      </c>
      <c r="B67" s="220">
        <f>IF(TRIM(Weekly!E67)="","",TRIM(Weekly!E67))</f>
        <v/>
      </c>
      <c r="C67" s="220">
        <f>IF($B67="","",Weekly!B67)</f>
        <v/>
      </c>
      <c r="D67" s="220">
        <f>IF($B67="","",IF(TRIM(Weekly!C67)="","(No theme assigned)",TRIM(Weekly!C67)))</f>
        <v/>
      </c>
      <c r="E67" s="220">
        <f>IF($B67="","",TRIM(Weekly!F67))</f>
        <v/>
      </c>
      <c r="F67" s="220">
        <f>IF($B67="","",Weekly!G67)</f>
        <v/>
      </c>
      <c r="G67" s="221">
        <f>IF($B67="","",IF(COUNTA(Weekly!$H67:$CT67)=0,"",SUMPRODUCT(MIN(IF(Weekly!$H67:$CT67&lt;&gt;"",Weekly!$H$1:$CT$1)))))</f>
        <v/>
      </c>
      <c r="H67" s="221">
        <f>IF($B67="","",IF(COUNTA(Weekly!$H67:$CT67)=0,"",SUMPRODUCT(MAX(IF(Weekly!$H67:$CT67&lt;&gt;"",Weekly!$H$1:$CT$1)))))</f>
        <v/>
      </c>
      <c r="I67" s="221">
        <f>IF($Q67&lt;&gt;"",IF($P67&lt;&gt;"",$P67,$Q67),IF($P67&lt;&gt;"",$P67,""))</f>
        <v/>
      </c>
      <c r="J67" s="221">
        <f>IF($Q67&lt;&gt;"",EOMONTH($Q67,0),IF($P67&lt;&gt;"",EOMONTH($P67,0),""))</f>
        <v/>
      </c>
      <c r="K67" s="220">
        <f>IF($B67="","",IFERROR(MATCH($B67,'Initiative Tracker'!$A$5:$A$200,0),IF($E67="","",IFERROR(MATCH($E67,'Initiative Tracker'!$B$5:$B$200,0),""))))</f>
        <v/>
      </c>
      <c r="L67" s="220">
        <f>IF($B67="","",IFERROR(MATCH($D67,'Control (Don’t Touch)'!$E$4:$E$30,0),99))</f>
        <v/>
      </c>
      <c r="M67" s="220">
        <f>IF($B67="","",IFERROR(MATCH($F67,'Control (Don’t Touch)'!$B$4:$B$30,0),99))</f>
        <v/>
      </c>
      <c r="N67" s="220">
        <f>IF($B67="","",$L67*1000000+$M67*10000+ROW())</f>
        <v/>
      </c>
      <c r="O67" s="220">
        <f>IF($B67="","",COUNTIF($N$2:$N$205,"&lt;"&amp;$N67)+1)</f>
        <v/>
      </c>
      <c r="P67" s="221">
        <f>IF($K67="","",IFERROR(DATE(IFERROR(VALUE(RIGHT(TRIM(INDEX('Initiative Tracker'!$G$5:$G$200,$K67)),4)),YEAR(TODAY())),MATCH(LEFT(TRIM(INDEX('Initiative Tracker'!$G$5:$G$200,$K67)),3),$U$2:$U$13,0),1),""))</f>
        <v/>
      </c>
      <c r="Q67" s="221">
        <f>IF($K67="","",IFERROR(DATE(IFERROR(VALUE(RIGHT(TRIM(INDEX('Initiative Tracker'!$H$5:$H$200,$K67)),4)),YEAR(TODAY())),MATCH(LEFT(TRIM(INDEX('Initiative Tracker'!$H$5:$H$200,$K67)),3),$U$2:$U$13,0),1),""))</f>
        <v/>
      </c>
    </row>
    <row r="68">
      <c r="A68" s="220" t="n">
        <v>68</v>
      </c>
      <c r="B68" s="220">
        <f>IF(TRIM(Weekly!E68)="","",TRIM(Weekly!E68))</f>
        <v/>
      </c>
      <c r="C68" s="220">
        <f>IF($B68="","",Weekly!B68)</f>
        <v/>
      </c>
      <c r="D68" s="220">
        <f>IF($B68="","",IF(TRIM(Weekly!C68)="","(No theme assigned)",TRIM(Weekly!C68)))</f>
        <v/>
      </c>
      <c r="E68" s="220">
        <f>IF($B68="","",TRIM(Weekly!F68))</f>
        <v/>
      </c>
      <c r="F68" s="220">
        <f>IF($B68="","",Weekly!G68)</f>
        <v/>
      </c>
      <c r="G68" s="221">
        <f>IF($B68="","",IF(COUNTA(Weekly!$H68:$CT68)=0,"",SUMPRODUCT(MIN(IF(Weekly!$H68:$CT68&lt;&gt;"",Weekly!$H$1:$CT$1)))))</f>
        <v/>
      </c>
      <c r="H68" s="221">
        <f>IF($B68="","",IF(COUNTA(Weekly!$H68:$CT68)=0,"",SUMPRODUCT(MAX(IF(Weekly!$H68:$CT68&lt;&gt;"",Weekly!$H$1:$CT$1)))))</f>
        <v/>
      </c>
      <c r="I68" s="221">
        <f>IF($Q68&lt;&gt;"",IF($P68&lt;&gt;"",$P68,$Q68),IF($P68&lt;&gt;"",$P68,""))</f>
        <v/>
      </c>
      <c r="J68" s="221">
        <f>IF($Q68&lt;&gt;"",EOMONTH($Q68,0),IF($P68&lt;&gt;"",EOMONTH($P68,0),""))</f>
        <v/>
      </c>
      <c r="K68" s="220">
        <f>IF($B68="","",IFERROR(MATCH($B68,'Initiative Tracker'!$A$5:$A$200,0),IF($E68="","",IFERROR(MATCH($E68,'Initiative Tracker'!$B$5:$B$200,0),""))))</f>
        <v/>
      </c>
      <c r="L68" s="220">
        <f>IF($B68="","",IFERROR(MATCH($D68,'Control (Don’t Touch)'!$E$4:$E$30,0),99))</f>
        <v/>
      </c>
      <c r="M68" s="220">
        <f>IF($B68="","",IFERROR(MATCH($F68,'Control (Don’t Touch)'!$B$4:$B$30,0),99))</f>
        <v/>
      </c>
      <c r="N68" s="220">
        <f>IF($B68="","",$L68*1000000+$M68*10000+ROW())</f>
        <v/>
      </c>
      <c r="O68" s="220">
        <f>IF($B68="","",COUNTIF($N$2:$N$205,"&lt;"&amp;$N68)+1)</f>
        <v/>
      </c>
      <c r="P68" s="221">
        <f>IF($K68="","",IFERROR(DATE(IFERROR(VALUE(RIGHT(TRIM(INDEX('Initiative Tracker'!$G$5:$G$200,$K68)),4)),YEAR(TODAY())),MATCH(LEFT(TRIM(INDEX('Initiative Tracker'!$G$5:$G$200,$K68)),3),$U$2:$U$13,0),1),""))</f>
        <v/>
      </c>
      <c r="Q68" s="221">
        <f>IF($K68="","",IFERROR(DATE(IFERROR(VALUE(RIGHT(TRIM(INDEX('Initiative Tracker'!$H$5:$H$200,$K68)),4)),YEAR(TODAY())),MATCH(LEFT(TRIM(INDEX('Initiative Tracker'!$H$5:$H$200,$K68)),3),$U$2:$U$13,0),1),""))</f>
        <v/>
      </c>
    </row>
    <row r="69">
      <c r="A69" s="220" t="n">
        <v>69</v>
      </c>
      <c r="B69" s="220">
        <f>IF(TRIM(Weekly!E69)="","",TRIM(Weekly!E69))</f>
        <v/>
      </c>
      <c r="C69" s="220">
        <f>IF($B69="","",Weekly!B69)</f>
        <v/>
      </c>
      <c r="D69" s="220">
        <f>IF($B69="","",IF(TRIM(Weekly!C69)="","(No theme assigned)",TRIM(Weekly!C69)))</f>
        <v/>
      </c>
      <c r="E69" s="220">
        <f>IF($B69="","",TRIM(Weekly!F69))</f>
        <v/>
      </c>
      <c r="F69" s="220">
        <f>IF($B69="","",Weekly!G69)</f>
        <v/>
      </c>
      <c r="G69" s="221">
        <f>IF($B69="","",IF(COUNTA(Weekly!$H69:$CT69)=0,"",SUMPRODUCT(MIN(IF(Weekly!$H69:$CT69&lt;&gt;"",Weekly!$H$1:$CT$1)))))</f>
        <v/>
      </c>
      <c r="H69" s="221">
        <f>IF($B69="","",IF(COUNTA(Weekly!$H69:$CT69)=0,"",SUMPRODUCT(MAX(IF(Weekly!$H69:$CT69&lt;&gt;"",Weekly!$H$1:$CT$1)))))</f>
        <v/>
      </c>
      <c r="I69" s="221">
        <f>IF($Q69&lt;&gt;"",IF($P69&lt;&gt;"",$P69,$Q69),IF($P69&lt;&gt;"",$P69,""))</f>
        <v/>
      </c>
      <c r="J69" s="221">
        <f>IF($Q69&lt;&gt;"",EOMONTH($Q69,0),IF($P69&lt;&gt;"",EOMONTH($P69,0),""))</f>
        <v/>
      </c>
      <c r="K69" s="220">
        <f>IF($B69="","",IFERROR(MATCH($B69,'Initiative Tracker'!$A$5:$A$200,0),IF($E69="","",IFERROR(MATCH($E69,'Initiative Tracker'!$B$5:$B$200,0),""))))</f>
        <v/>
      </c>
      <c r="L69" s="220">
        <f>IF($B69="","",IFERROR(MATCH($D69,'Control (Don’t Touch)'!$E$4:$E$30,0),99))</f>
        <v/>
      </c>
      <c r="M69" s="220">
        <f>IF($B69="","",IFERROR(MATCH($F69,'Control (Don’t Touch)'!$B$4:$B$30,0),99))</f>
        <v/>
      </c>
      <c r="N69" s="220">
        <f>IF($B69="","",$L69*1000000+$M69*10000+ROW())</f>
        <v/>
      </c>
      <c r="O69" s="220">
        <f>IF($B69="","",COUNTIF($N$2:$N$205,"&lt;"&amp;$N69)+1)</f>
        <v/>
      </c>
      <c r="P69" s="221">
        <f>IF($K69="","",IFERROR(DATE(IFERROR(VALUE(RIGHT(TRIM(INDEX('Initiative Tracker'!$G$5:$G$200,$K69)),4)),YEAR(TODAY())),MATCH(LEFT(TRIM(INDEX('Initiative Tracker'!$G$5:$G$200,$K69)),3),$U$2:$U$13,0),1),""))</f>
        <v/>
      </c>
      <c r="Q69" s="221">
        <f>IF($K69="","",IFERROR(DATE(IFERROR(VALUE(RIGHT(TRIM(INDEX('Initiative Tracker'!$H$5:$H$200,$K69)),4)),YEAR(TODAY())),MATCH(LEFT(TRIM(INDEX('Initiative Tracker'!$H$5:$H$200,$K69)),3),$U$2:$U$13,0),1),""))</f>
        <v/>
      </c>
    </row>
    <row r="70">
      <c r="A70" s="220" t="n">
        <v>70</v>
      </c>
      <c r="B70" s="220">
        <f>IF(TRIM(Weekly!E70)="","",TRIM(Weekly!E70))</f>
        <v/>
      </c>
      <c r="C70" s="220">
        <f>IF($B70="","",Weekly!B70)</f>
        <v/>
      </c>
      <c r="D70" s="220">
        <f>IF($B70="","",IF(TRIM(Weekly!C70)="","(No theme assigned)",TRIM(Weekly!C70)))</f>
        <v/>
      </c>
      <c r="E70" s="220">
        <f>IF($B70="","",TRIM(Weekly!F70))</f>
        <v/>
      </c>
      <c r="F70" s="220">
        <f>IF($B70="","",Weekly!G70)</f>
        <v/>
      </c>
      <c r="G70" s="221">
        <f>IF($B70="","",IF(COUNTA(Weekly!$H70:$CT70)=0,"",SUMPRODUCT(MIN(IF(Weekly!$H70:$CT70&lt;&gt;"",Weekly!$H$1:$CT$1)))))</f>
        <v/>
      </c>
      <c r="H70" s="221">
        <f>IF($B70="","",IF(COUNTA(Weekly!$H70:$CT70)=0,"",SUMPRODUCT(MAX(IF(Weekly!$H70:$CT70&lt;&gt;"",Weekly!$H$1:$CT$1)))))</f>
        <v/>
      </c>
      <c r="I70" s="221">
        <f>IF($Q70&lt;&gt;"",IF($P70&lt;&gt;"",$P70,$Q70),IF($P70&lt;&gt;"",$P70,""))</f>
        <v/>
      </c>
      <c r="J70" s="221">
        <f>IF($Q70&lt;&gt;"",EOMONTH($Q70,0),IF($P70&lt;&gt;"",EOMONTH($P70,0),""))</f>
        <v/>
      </c>
      <c r="K70" s="220">
        <f>IF($B70="","",IFERROR(MATCH($B70,'Initiative Tracker'!$A$5:$A$200,0),IF($E70="","",IFERROR(MATCH($E70,'Initiative Tracker'!$B$5:$B$200,0),""))))</f>
        <v/>
      </c>
      <c r="L70" s="220">
        <f>IF($B70="","",IFERROR(MATCH($D70,'Control (Don’t Touch)'!$E$4:$E$30,0),99))</f>
        <v/>
      </c>
      <c r="M70" s="220">
        <f>IF($B70="","",IFERROR(MATCH($F70,'Control (Don’t Touch)'!$B$4:$B$30,0),99))</f>
        <v/>
      </c>
      <c r="N70" s="220">
        <f>IF($B70="","",$L70*1000000+$M70*10000+ROW())</f>
        <v/>
      </c>
      <c r="O70" s="220">
        <f>IF($B70="","",COUNTIF($N$2:$N$205,"&lt;"&amp;$N70)+1)</f>
        <v/>
      </c>
      <c r="P70" s="221">
        <f>IF($K70="","",IFERROR(DATE(IFERROR(VALUE(RIGHT(TRIM(INDEX('Initiative Tracker'!$G$5:$G$200,$K70)),4)),YEAR(TODAY())),MATCH(LEFT(TRIM(INDEX('Initiative Tracker'!$G$5:$G$200,$K70)),3),$U$2:$U$13,0),1),""))</f>
        <v/>
      </c>
      <c r="Q70" s="221">
        <f>IF($K70="","",IFERROR(DATE(IFERROR(VALUE(RIGHT(TRIM(INDEX('Initiative Tracker'!$H$5:$H$200,$K70)),4)),YEAR(TODAY())),MATCH(LEFT(TRIM(INDEX('Initiative Tracker'!$H$5:$H$200,$K70)),3),$U$2:$U$13,0),1),""))</f>
        <v/>
      </c>
    </row>
    <row r="71">
      <c r="A71" s="220" t="n">
        <v>71</v>
      </c>
      <c r="B71" s="220">
        <f>IF(TRIM(Weekly!E71)="","",TRIM(Weekly!E71))</f>
        <v/>
      </c>
      <c r="C71" s="220">
        <f>IF($B71="","",Weekly!B71)</f>
        <v/>
      </c>
      <c r="D71" s="220">
        <f>IF($B71="","",IF(TRIM(Weekly!C71)="","(No theme assigned)",TRIM(Weekly!C71)))</f>
        <v/>
      </c>
      <c r="E71" s="220">
        <f>IF($B71="","",TRIM(Weekly!F71))</f>
        <v/>
      </c>
      <c r="F71" s="220">
        <f>IF($B71="","",Weekly!G71)</f>
        <v/>
      </c>
      <c r="G71" s="221">
        <f>IF($B71="","",IF(COUNTA(Weekly!$H71:$CT71)=0,"",SUMPRODUCT(MIN(IF(Weekly!$H71:$CT71&lt;&gt;"",Weekly!$H$1:$CT$1)))))</f>
        <v/>
      </c>
      <c r="H71" s="221">
        <f>IF($B71="","",IF(COUNTA(Weekly!$H71:$CT71)=0,"",SUMPRODUCT(MAX(IF(Weekly!$H71:$CT71&lt;&gt;"",Weekly!$H$1:$CT$1)))))</f>
        <v/>
      </c>
      <c r="I71" s="221">
        <f>IF($Q71&lt;&gt;"",IF($P71&lt;&gt;"",$P71,$Q71),IF($P71&lt;&gt;"",$P71,""))</f>
        <v/>
      </c>
      <c r="J71" s="221">
        <f>IF($Q71&lt;&gt;"",EOMONTH($Q71,0),IF($P71&lt;&gt;"",EOMONTH($P71,0),""))</f>
        <v/>
      </c>
      <c r="K71" s="220">
        <f>IF($B71="","",IFERROR(MATCH($B71,'Initiative Tracker'!$A$5:$A$200,0),IF($E71="","",IFERROR(MATCH($E71,'Initiative Tracker'!$B$5:$B$200,0),""))))</f>
        <v/>
      </c>
      <c r="L71" s="220">
        <f>IF($B71="","",IFERROR(MATCH($D71,'Control (Don’t Touch)'!$E$4:$E$30,0),99))</f>
        <v/>
      </c>
      <c r="M71" s="220">
        <f>IF($B71="","",IFERROR(MATCH($F71,'Control (Don’t Touch)'!$B$4:$B$30,0),99))</f>
        <v/>
      </c>
      <c r="N71" s="220">
        <f>IF($B71="","",$L71*1000000+$M71*10000+ROW())</f>
        <v/>
      </c>
      <c r="O71" s="220">
        <f>IF($B71="","",COUNTIF($N$2:$N$205,"&lt;"&amp;$N71)+1)</f>
        <v/>
      </c>
      <c r="P71" s="221">
        <f>IF($K71="","",IFERROR(DATE(IFERROR(VALUE(RIGHT(TRIM(INDEX('Initiative Tracker'!$G$5:$G$200,$K71)),4)),YEAR(TODAY())),MATCH(LEFT(TRIM(INDEX('Initiative Tracker'!$G$5:$G$200,$K71)),3),$U$2:$U$13,0),1),""))</f>
        <v/>
      </c>
      <c r="Q71" s="221">
        <f>IF($K71="","",IFERROR(DATE(IFERROR(VALUE(RIGHT(TRIM(INDEX('Initiative Tracker'!$H$5:$H$200,$K71)),4)),YEAR(TODAY())),MATCH(LEFT(TRIM(INDEX('Initiative Tracker'!$H$5:$H$200,$K71)),3),$U$2:$U$13,0),1),""))</f>
        <v/>
      </c>
    </row>
    <row r="72">
      <c r="A72" s="220" t="n">
        <v>72</v>
      </c>
      <c r="B72" s="220">
        <f>IF(TRIM(Weekly!E72)="","",TRIM(Weekly!E72))</f>
        <v/>
      </c>
      <c r="C72" s="220">
        <f>IF($B72="","",Weekly!B72)</f>
        <v/>
      </c>
      <c r="D72" s="220">
        <f>IF($B72="","",IF(TRIM(Weekly!C72)="","(No theme assigned)",TRIM(Weekly!C72)))</f>
        <v/>
      </c>
      <c r="E72" s="220">
        <f>IF($B72="","",TRIM(Weekly!F72))</f>
        <v/>
      </c>
      <c r="F72" s="220">
        <f>IF($B72="","",Weekly!G72)</f>
        <v/>
      </c>
      <c r="G72" s="221">
        <f>IF($B72="","",IF(COUNTA(Weekly!$H72:$CT72)=0,"",SUMPRODUCT(MIN(IF(Weekly!$H72:$CT72&lt;&gt;"",Weekly!$H$1:$CT$1)))))</f>
        <v/>
      </c>
      <c r="H72" s="221">
        <f>IF($B72="","",IF(COUNTA(Weekly!$H72:$CT72)=0,"",SUMPRODUCT(MAX(IF(Weekly!$H72:$CT72&lt;&gt;"",Weekly!$H$1:$CT$1)))))</f>
        <v/>
      </c>
      <c r="I72" s="221">
        <f>IF($Q72&lt;&gt;"",IF($P72&lt;&gt;"",$P72,$Q72),IF($P72&lt;&gt;"",$P72,""))</f>
        <v/>
      </c>
      <c r="J72" s="221">
        <f>IF($Q72&lt;&gt;"",EOMONTH($Q72,0),IF($P72&lt;&gt;"",EOMONTH($P72,0),""))</f>
        <v/>
      </c>
      <c r="K72" s="220">
        <f>IF($B72="","",IFERROR(MATCH($B72,'Initiative Tracker'!$A$5:$A$200,0),IF($E72="","",IFERROR(MATCH($E72,'Initiative Tracker'!$B$5:$B$200,0),""))))</f>
        <v/>
      </c>
      <c r="L72" s="220">
        <f>IF($B72="","",IFERROR(MATCH($D72,'Control (Don’t Touch)'!$E$4:$E$30,0),99))</f>
        <v/>
      </c>
      <c r="M72" s="220">
        <f>IF($B72="","",IFERROR(MATCH($F72,'Control (Don’t Touch)'!$B$4:$B$30,0),99))</f>
        <v/>
      </c>
      <c r="N72" s="220">
        <f>IF($B72="","",$L72*1000000+$M72*10000+ROW())</f>
        <v/>
      </c>
      <c r="O72" s="220">
        <f>IF($B72="","",COUNTIF($N$2:$N$205,"&lt;"&amp;$N72)+1)</f>
        <v/>
      </c>
      <c r="P72" s="221">
        <f>IF($K72="","",IFERROR(DATE(IFERROR(VALUE(RIGHT(TRIM(INDEX('Initiative Tracker'!$G$5:$G$200,$K72)),4)),YEAR(TODAY())),MATCH(LEFT(TRIM(INDEX('Initiative Tracker'!$G$5:$G$200,$K72)),3),$U$2:$U$13,0),1),""))</f>
        <v/>
      </c>
      <c r="Q72" s="221">
        <f>IF($K72="","",IFERROR(DATE(IFERROR(VALUE(RIGHT(TRIM(INDEX('Initiative Tracker'!$H$5:$H$200,$K72)),4)),YEAR(TODAY())),MATCH(LEFT(TRIM(INDEX('Initiative Tracker'!$H$5:$H$200,$K72)),3),$U$2:$U$13,0),1),""))</f>
        <v/>
      </c>
    </row>
    <row r="73">
      <c r="A73" s="220" t="n">
        <v>73</v>
      </c>
      <c r="B73" s="220">
        <f>IF(TRIM(Weekly!E73)="","",TRIM(Weekly!E73))</f>
        <v/>
      </c>
      <c r="C73" s="220">
        <f>IF($B73="","",Weekly!B73)</f>
        <v/>
      </c>
      <c r="D73" s="220">
        <f>IF($B73="","",IF(TRIM(Weekly!C73)="","(No theme assigned)",TRIM(Weekly!C73)))</f>
        <v/>
      </c>
      <c r="E73" s="220">
        <f>IF($B73="","",TRIM(Weekly!F73))</f>
        <v/>
      </c>
      <c r="F73" s="220">
        <f>IF($B73="","",Weekly!G73)</f>
        <v/>
      </c>
      <c r="G73" s="221">
        <f>IF($B73="","",IF(COUNTA(Weekly!$H73:$CT73)=0,"",SUMPRODUCT(MIN(IF(Weekly!$H73:$CT73&lt;&gt;"",Weekly!$H$1:$CT$1)))))</f>
        <v/>
      </c>
      <c r="H73" s="221">
        <f>IF($B73="","",IF(COUNTA(Weekly!$H73:$CT73)=0,"",SUMPRODUCT(MAX(IF(Weekly!$H73:$CT73&lt;&gt;"",Weekly!$H$1:$CT$1)))))</f>
        <v/>
      </c>
      <c r="I73" s="221">
        <f>IF($Q73&lt;&gt;"",IF($P73&lt;&gt;"",$P73,$Q73),IF($P73&lt;&gt;"",$P73,""))</f>
        <v/>
      </c>
      <c r="J73" s="221">
        <f>IF($Q73&lt;&gt;"",EOMONTH($Q73,0),IF($P73&lt;&gt;"",EOMONTH($P73,0),""))</f>
        <v/>
      </c>
      <c r="K73" s="220">
        <f>IF($B73="","",IFERROR(MATCH($B73,'Initiative Tracker'!$A$5:$A$200,0),IF($E73="","",IFERROR(MATCH($E73,'Initiative Tracker'!$B$5:$B$200,0),""))))</f>
        <v/>
      </c>
      <c r="L73" s="220">
        <f>IF($B73="","",IFERROR(MATCH($D73,'Control (Don’t Touch)'!$E$4:$E$30,0),99))</f>
        <v/>
      </c>
      <c r="M73" s="220">
        <f>IF($B73="","",IFERROR(MATCH($F73,'Control (Don’t Touch)'!$B$4:$B$30,0),99))</f>
        <v/>
      </c>
      <c r="N73" s="220">
        <f>IF($B73="","",$L73*1000000+$M73*10000+ROW())</f>
        <v/>
      </c>
      <c r="O73" s="220">
        <f>IF($B73="","",COUNTIF($N$2:$N$205,"&lt;"&amp;$N73)+1)</f>
        <v/>
      </c>
      <c r="P73" s="221">
        <f>IF($K73="","",IFERROR(DATE(IFERROR(VALUE(RIGHT(TRIM(INDEX('Initiative Tracker'!$G$5:$G$200,$K73)),4)),YEAR(TODAY())),MATCH(LEFT(TRIM(INDEX('Initiative Tracker'!$G$5:$G$200,$K73)),3),$U$2:$U$13,0),1),""))</f>
        <v/>
      </c>
      <c r="Q73" s="221">
        <f>IF($K73="","",IFERROR(DATE(IFERROR(VALUE(RIGHT(TRIM(INDEX('Initiative Tracker'!$H$5:$H$200,$K73)),4)),YEAR(TODAY())),MATCH(LEFT(TRIM(INDEX('Initiative Tracker'!$H$5:$H$200,$K73)),3),$U$2:$U$13,0),1),""))</f>
        <v/>
      </c>
    </row>
    <row r="74">
      <c r="A74" s="220" t="n">
        <v>74</v>
      </c>
      <c r="B74" s="220">
        <f>IF(TRIM(Weekly!E74)="","",TRIM(Weekly!E74))</f>
        <v/>
      </c>
      <c r="C74" s="220">
        <f>IF($B74="","",Weekly!B74)</f>
        <v/>
      </c>
      <c r="D74" s="220">
        <f>IF($B74="","",IF(TRIM(Weekly!C74)="","(No theme assigned)",TRIM(Weekly!C74)))</f>
        <v/>
      </c>
      <c r="E74" s="220">
        <f>IF($B74="","",TRIM(Weekly!F74))</f>
        <v/>
      </c>
      <c r="F74" s="220">
        <f>IF($B74="","",Weekly!G74)</f>
        <v/>
      </c>
      <c r="G74" s="221">
        <f>IF($B74="","",IF(COUNTA(Weekly!$H74:$CT74)=0,"",SUMPRODUCT(MIN(IF(Weekly!$H74:$CT74&lt;&gt;"",Weekly!$H$1:$CT$1)))))</f>
        <v/>
      </c>
      <c r="H74" s="221">
        <f>IF($B74="","",IF(COUNTA(Weekly!$H74:$CT74)=0,"",SUMPRODUCT(MAX(IF(Weekly!$H74:$CT74&lt;&gt;"",Weekly!$H$1:$CT$1)))))</f>
        <v/>
      </c>
      <c r="I74" s="221">
        <f>IF($Q74&lt;&gt;"",IF($P74&lt;&gt;"",$P74,$Q74),IF($P74&lt;&gt;"",$P74,""))</f>
        <v/>
      </c>
      <c r="J74" s="221">
        <f>IF($Q74&lt;&gt;"",EOMONTH($Q74,0),IF($P74&lt;&gt;"",EOMONTH($P74,0),""))</f>
        <v/>
      </c>
      <c r="K74" s="220">
        <f>IF($B74="","",IFERROR(MATCH($B74,'Initiative Tracker'!$A$5:$A$200,0),IF($E74="","",IFERROR(MATCH($E74,'Initiative Tracker'!$B$5:$B$200,0),""))))</f>
        <v/>
      </c>
      <c r="L74" s="220">
        <f>IF($B74="","",IFERROR(MATCH($D74,'Control (Don’t Touch)'!$E$4:$E$30,0),99))</f>
        <v/>
      </c>
      <c r="M74" s="220">
        <f>IF($B74="","",IFERROR(MATCH($F74,'Control (Don’t Touch)'!$B$4:$B$30,0),99))</f>
        <v/>
      </c>
      <c r="N74" s="220">
        <f>IF($B74="","",$L74*1000000+$M74*10000+ROW())</f>
        <v/>
      </c>
      <c r="O74" s="220">
        <f>IF($B74="","",COUNTIF($N$2:$N$205,"&lt;"&amp;$N74)+1)</f>
        <v/>
      </c>
      <c r="P74" s="221">
        <f>IF($K74="","",IFERROR(DATE(IFERROR(VALUE(RIGHT(TRIM(INDEX('Initiative Tracker'!$G$5:$G$200,$K74)),4)),YEAR(TODAY())),MATCH(LEFT(TRIM(INDEX('Initiative Tracker'!$G$5:$G$200,$K74)),3),$U$2:$U$13,0),1),""))</f>
        <v/>
      </c>
      <c r="Q74" s="221">
        <f>IF($K74="","",IFERROR(DATE(IFERROR(VALUE(RIGHT(TRIM(INDEX('Initiative Tracker'!$H$5:$H$200,$K74)),4)),YEAR(TODAY())),MATCH(LEFT(TRIM(INDEX('Initiative Tracker'!$H$5:$H$200,$K74)),3),$U$2:$U$13,0),1),""))</f>
        <v/>
      </c>
    </row>
    <row r="75">
      <c r="A75" s="220" t="n">
        <v>75</v>
      </c>
      <c r="B75" s="220">
        <f>IF(TRIM(Weekly!E75)="","",TRIM(Weekly!E75))</f>
        <v/>
      </c>
      <c r="C75" s="220">
        <f>IF($B75="","",Weekly!B75)</f>
        <v/>
      </c>
      <c r="D75" s="220">
        <f>IF($B75="","",IF(TRIM(Weekly!C75)="","(No theme assigned)",TRIM(Weekly!C75)))</f>
        <v/>
      </c>
      <c r="E75" s="220">
        <f>IF($B75="","",TRIM(Weekly!F75))</f>
        <v/>
      </c>
      <c r="F75" s="220">
        <f>IF($B75="","",Weekly!G75)</f>
        <v/>
      </c>
      <c r="G75" s="221">
        <f>IF($B75="","",IF(COUNTA(Weekly!$H75:$CT75)=0,"",SUMPRODUCT(MIN(IF(Weekly!$H75:$CT75&lt;&gt;"",Weekly!$H$1:$CT$1)))))</f>
        <v/>
      </c>
      <c r="H75" s="221">
        <f>IF($B75="","",IF(COUNTA(Weekly!$H75:$CT75)=0,"",SUMPRODUCT(MAX(IF(Weekly!$H75:$CT75&lt;&gt;"",Weekly!$H$1:$CT$1)))))</f>
        <v/>
      </c>
      <c r="I75" s="221">
        <f>IF($Q75&lt;&gt;"",IF($P75&lt;&gt;"",$P75,$Q75),IF($P75&lt;&gt;"",$P75,""))</f>
        <v/>
      </c>
      <c r="J75" s="221">
        <f>IF($Q75&lt;&gt;"",EOMONTH($Q75,0),IF($P75&lt;&gt;"",EOMONTH($P75,0),""))</f>
        <v/>
      </c>
      <c r="K75" s="220">
        <f>IF($B75="","",IFERROR(MATCH($B75,'Initiative Tracker'!$A$5:$A$200,0),IF($E75="","",IFERROR(MATCH($E75,'Initiative Tracker'!$B$5:$B$200,0),""))))</f>
        <v/>
      </c>
      <c r="L75" s="220">
        <f>IF($B75="","",IFERROR(MATCH($D75,'Control (Don’t Touch)'!$E$4:$E$30,0),99))</f>
        <v/>
      </c>
      <c r="M75" s="220">
        <f>IF($B75="","",IFERROR(MATCH($F75,'Control (Don’t Touch)'!$B$4:$B$30,0),99))</f>
        <v/>
      </c>
      <c r="N75" s="220">
        <f>IF($B75="","",$L75*1000000+$M75*10000+ROW())</f>
        <v/>
      </c>
      <c r="O75" s="220">
        <f>IF($B75="","",COUNTIF($N$2:$N$205,"&lt;"&amp;$N75)+1)</f>
        <v/>
      </c>
      <c r="P75" s="221">
        <f>IF($K75="","",IFERROR(DATE(IFERROR(VALUE(RIGHT(TRIM(INDEX('Initiative Tracker'!$G$5:$G$200,$K75)),4)),YEAR(TODAY())),MATCH(LEFT(TRIM(INDEX('Initiative Tracker'!$G$5:$G$200,$K75)),3),$U$2:$U$13,0),1),""))</f>
        <v/>
      </c>
      <c r="Q75" s="221">
        <f>IF($K75="","",IFERROR(DATE(IFERROR(VALUE(RIGHT(TRIM(INDEX('Initiative Tracker'!$H$5:$H$200,$K75)),4)),YEAR(TODAY())),MATCH(LEFT(TRIM(INDEX('Initiative Tracker'!$H$5:$H$200,$K75)),3),$U$2:$U$13,0),1),""))</f>
        <v/>
      </c>
    </row>
    <row r="76">
      <c r="A76" s="220" t="n">
        <v>76</v>
      </c>
      <c r="B76" s="220">
        <f>IF(TRIM(Weekly!E76)="","",TRIM(Weekly!E76))</f>
        <v/>
      </c>
      <c r="C76" s="220">
        <f>IF($B76="","",Weekly!B76)</f>
        <v/>
      </c>
      <c r="D76" s="220">
        <f>IF($B76="","",IF(TRIM(Weekly!C76)="","(No theme assigned)",TRIM(Weekly!C76)))</f>
        <v/>
      </c>
      <c r="E76" s="220">
        <f>IF($B76="","",TRIM(Weekly!F76))</f>
        <v/>
      </c>
      <c r="F76" s="220">
        <f>IF($B76="","",Weekly!G76)</f>
        <v/>
      </c>
      <c r="G76" s="221">
        <f>IF($B76="","",IF(COUNTA(Weekly!$H76:$CT76)=0,"",SUMPRODUCT(MIN(IF(Weekly!$H76:$CT76&lt;&gt;"",Weekly!$H$1:$CT$1)))))</f>
        <v/>
      </c>
      <c r="H76" s="221">
        <f>IF($B76="","",IF(COUNTA(Weekly!$H76:$CT76)=0,"",SUMPRODUCT(MAX(IF(Weekly!$H76:$CT76&lt;&gt;"",Weekly!$H$1:$CT$1)))))</f>
        <v/>
      </c>
      <c r="I76" s="221">
        <f>IF($Q76&lt;&gt;"",IF($P76&lt;&gt;"",$P76,$Q76),IF($P76&lt;&gt;"",$P76,""))</f>
        <v/>
      </c>
      <c r="J76" s="221">
        <f>IF($Q76&lt;&gt;"",EOMONTH($Q76,0),IF($P76&lt;&gt;"",EOMONTH($P76,0),""))</f>
        <v/>
      </c>
      <c r="K76" s="220">
        <f>IF($B76="","",IFERROR(MATCH($B76,'Initiative Tracker'!$A$5:$A$200,0),IF($E76="","",IFERROR(MATCH($E76,'Initiative Tracker'!$B$5:$B$200,0),""))))</f>
        <v/>
      </c>
      <c r="L76" s="220">
        <f>IF($B76="","",IFERROR(MATCH($D76,'Control (Don’t Touch)'!$E$4:$E$30,0),99))</f>
        <v/>
      </c>
      <c r="M76" s="220">
        <f>IF($B76="","",IFERROR(MATCH($F76,'Control (Don’t Touch)'!$B$4:$B$30,0),99))</f>
        <v/>
      </c>
      <c r="N76" s="220">
        <f>IF($B76="","",$L76*1000000+$M76*10000+ROW())</f>
        <v/>
      </c>
      <c r="O76" s="220">
        <f>IF($B76="","",COUNTIF($N$2:$N$205,"&lt;"&amp;$N76)+1)</f>
        <v/>
      </c>
      <c r="P76" s="221">
        <f>IF($K76="","",IFERROR(DATE(IFERROR(VALUE(RIGHT(TRIM(INDEX('Initiative Tracker'!$G$5:$G$200,$K76)),4)),YEAR(TODAY())),MATCH(LEFT(TRIM(INDEX('Initiative Tracker'!$G$5:$G$200,$K76)),3),$U$2:$U$13,0),1),""))</f>
        <v/>
      </c>
      <c r="Q76" s="221">
        <f>IF($K76="","",IFERROR(DATE(IFERROR(VALUE(RIGHT(TRIM(INDEX('Initiative Tracker'!$H$5:$H$200,$K76)),4)),YEAR(TODAY())),MATCH(LEFT(TRIM(INDEX('Initiative Tracker'!$H$5:$H$200,$K76)),3),$U$2:$U$13,0),1),""))</f>
        <v/>
      </c>
    </row>
    <row r="77">
      <c r="A77" s="220" t="n">
        <v>77</v>
      </c>
      <c r="B77" s="220">
        <f>IF(TRIM(Weekly!E77)="","",TRIM(Weekly!E77))</f>
        <v/>
      </c>
      <c r="C77" s="220">
        <f>IF($B77="","",Weekly!B77)</f>
        <v/>
      </c>
      <c r="D77" s="220">
        <f>IF($B77="","",IF(TRIM(Weekly!C77)="","(No theme assigned)",TRIM(Weekly!C77)))</f>
        <v/>
      </c>
      <c r="E77" s="220">
        <f>IF($B77="","",TRIM(Weekly!F77))</f>
        <v/>
      </c>
      <c r="F77" s="220">
        <f>IF($B77="","",Weekly!G77)</f>
        <v/>
      </c>
      <c r="G77" s="221">
        <f>IF($B77="","",IF(COUNTA(Weekly!$H77:$CT77)=0,"",SUMPRODUCT(MIN(IF(Weekly!$H77:$CT77&lt;&gt;"",Weekly!$H$1:$CT$1)))))</f>
        <v/>
      </c>
      <c r="H77" s="221">
        <f>IF($B77="","",IF(COUNTA(Weekly!$H77:$CT77)=0,"",SUMPRODUCT(MAX(IF(Weekly!$H77:$CT77&lt;&gt;"",Weekly!$H$1:$CT$1)))))</f>
        <v/>
      </c>
      <c r="I77" s="221">
        <f>IF($Q77&lt;&gt;"",IF($P77&lt;&gt;"",$P77,$Q77),IF($P77&lt;&gt;"",$P77,""))</f>
        <v/>
      </c>
      <c r="J77" s="221">
        <f>IF($Q77&lt;&gt;"",EOMONTH($Q77,0),IF($P77&lt;&gt;"",EOMONTH($P77,0),""))</f>
        <v/>
      </c>
      <c r="K77" s="220">
        <f>IF($B77="","",IFERROR(MATCH($B77,'Initiative Tracker'!$A$5:$A$200,0),IF($E77="","",IFERROR(MATCH($E77,'Initiative Tracker'!$B$5:$B$200,0),""))))</f>
        <v/>
      </c>
      <c r="L77" s="220">
        <f>IF($B77="","",IFERROR(MATCH($D77,'Control (Don’t Touch)'!$E$4:$E$30,0),99))</f>
        <v/>
      </c>
      <c r="M77" s="220">
        <f>IF($B77="","",IFERROR(MATCH($F77,'Control (Don’t Touch)'!$B$4:$B$30,0),99))</f>
        <v/>
      </c>
      <c r="N77" s="220">
        <f>IF($B77="","",$L77*1000000+$M77*10000+ROW())</f>
        <v/>
      </c>
      <c r="O77" s="220">
        <f>IF($B77="","",COUNTIF($N$2:$N$205,"&lt;"&amp;$N77)+1)</f>
        <v/>
      </c>
      <c r="P77" s="221">
        <f>IF($K77="","",IFERROR(DATE(IFERROR(VALUE(RIGHT(TRIM(INDEX('Initiative Tracker'!$G$5:$G$200,$K77)),4)),YEAR(TODAY())),MATCH(LEFT(TRIM(INDEX('Initiative Tracker'!$G$5:$G$200,$K77)),3),$U$2:$U$13,0),1),""))</f>
        <v/>
      </c>
      <c r="Q77" s="221">
        <f>IF($K77="","",IFERROR(DATE(IFERROR(VALUE(RIGHT(TRIM(INDEX('Initiative Tracker'!$H$5:$H$200,$K77)),4)),YEAR(TODAY())),MATCH(LEFT(TRIM(INDEX('Initiative Tracker'!$H$5:$H$200,$K77)),3),$U$2:$U$13,0),1),""))</f>
        <v/>
      </c>
    </row>
    <row r="78">
      <c r="A78" s="220" t="n">
        <v>78</v>
      </c>
      <c r="B78" s="220">
        <f>IF(TRIM(Weekly!E78)="","",TRIM(Weekly!E78))</f>
        <v/>
      </c>
      <c r="C78" s="220">
        <f>IF($B78="","",Weekly!B78)</f>
        <v/>
      </c>
      <c r="D78" s="220">
        <f>IF($B78="","",IF(TRIM(Weekly!C78)="","(No theme assigned)",TRIM(Weekly!C78)))</f>
        <v/>
      </c>
      <c r="E78" s="220">
        <f>IF($B78="","",TRIM(Weekly!F78))</f>
        <v/>
      </c>
      <c r="F78" s="220">
        <f>IF($B78="","",Weekly!G78)</f>
        <v/>
      </c>
      <c r="G78" s="221">
        <f>IF($B78="","",IF(COUNTA(Weekly!$H78:$CT78)=0,"",SUMPRODUCT(MIN(IF(Weekly!$H78:$CT78&lt;&gt;"",Weekly!$H$1:$CT$1)))))</f>
        <v/>
      </c>
      <c r="H78" s="221">
        <f>IF($B78="","",IF(COUNTA(Weekly!$H78:$CT78)=0,"",SUMPRODUCT(MAX(IF(Weekly!$H78:$CT78&lt;&gt;"",Weekly!$H$1:$CT$1)))))</f>
        <v/>
      </c>
      <c r="I78" s="221">
        <f>IF($Q78&lt;&gt;"",IF($P78&lt;&gt;"",$P78,$Q78),IF($P78&lt;&gt;"",$P78,""))</f>
        <v/>
      </c>
      <c r="J78" s="221">
        <f>IF($Q78&lt;&gt;"",EOMONTH($Q78,0),IF($P78&lt;&gt;"",EOMONTH($P78,0),""))</f>
        <v/>
      </c>
      <c r="K78" s="220">
        <f>IF($B78="","",IFERROR(MATCH($B78,'Initiative Tracker'!$A$5:$A$200,0),IF($E78="","",IFERROR(MATCH($E78,'Initiative Tracker'!$B$5:$B$200,0),""))))</f>
        <v/>
      </c>
      <c r="L78" s="220">
        <f>IF($B78="","",IFERROR(MATCH($D78,'Control (Don’t Touch)'!$E$4:$E$30,0),99))</f>
        <v/>
      </c>
      <c r="M78" s="220">
        <f>IF($B78="","",IFERROR(MATCH($F78,'Control (Don’t Touch)'!$B$4:$B$30,0),99))</f>
        <v/>
      </c>
      <c r="N78" s="220">
        <f>IF($B78="","",$L78*1000000+$M78*10000+ROW())</f>
        <v/>
      </c>
      <c r="O78" s="220">
        <f>IF($B78="","",COUNTIF($N$2:$N$205,"&lt;"&amp;$N78)+1)</f>
        <v/>
      </c>
      <c r="P78" s="221">
        <f>IF($K78="","",IFERROR(DATE(IFERROR(VALUE(RIGHT(TRIM(INDEX('Initiative Tracker'!$G$5:$G$200,$K78)),4)),YEAR(TODAY())),MATCH(LEFT(TRIM(INDEX('Initiative Tracker'!$G$5:$G$200,$K78)),3),$U$2:$U$13,0),1),""))</f>
        <v/>
      </c>
      <c r="Q78" s="221">
        <f>IF($K78="","",IFERROR(DATE(IFERROR(VALUE(RIGHT(TRIM(INDEX('Initiative Tracker'!$H$5:$H$200,$K78)),4)),YEAR(TODAY())),MATCH(LEFT(TRIM(INDEX('Initiative Tracker'!$H$5:$H$200,$K78)),3),$U$2:$U$13,0),1),""))</f>
        <v/>
      </c>
    </row>
    <row r="79">
      <c r="A79" s="220" t="n">
        <v>79</v>
      </c>
      <c r="B79" s="220">
        <f>IF(TRIM(Weekly!E79)="","",TRIM(Weekly!E79))</f>
        <v/>
      </c>
      <c r="C79" s="220">
        <f>IF($B79="","",Weekly!B79)</f>
        <v/>
      </c>
      <c r="D79" s="220">
        <f>IF($B79="","",IF(TRIM(Weekly!C79)="","(No theme assigned)",TRIM(Weekly!C79)))</f>
        <v/>
      </c>
      <c r="E79" s="220">
        <f>IF($B79="","",TRIM(Weekly!F79))</f>
        <v/>
      </c>
      <c r="F79" s="220">
        <f>IF($B79="","",Weekly!G79)</f>
        <v/>
      </c>
      <c r="G79" s="221">
        <f>IF($B79="","",IF(COUNTA(Weekly!$H79:$CT79)=0,"",SUMPRODUCT(MIN(IF(Weekly!$H79:$CT79&lt;&gt;"",Weekly!$H$1:$CT$1)))))</f>
        <v/>
      </c>
      <c r="H79" s="221">
        <f>IF($B79="","",IF(COUNTA(Weekly!$H79:$CT79)=0,"",SUMPRODUCT(MAX(IF(Weekly!$H79:$CT79&lt;&gt;"",Weekly!$H$1:$CT$1)))))</f>
        <v/>
      </c>
      <c r="I79" s="221">
        <f>IF($Q79&lt;&gt;"",IF($P79&lt;&gt;"",$P79,$Q79),IF($P79&lt;&gt;"",$P79,""))</f>
        <v/>
      </c>
      <c r="J79" s="221">
        <f>IF($Q79&lt;&gt;"",EOMONTH($Q79,0),IF($P79&lt;&gt;"",EOMONTH($P79,0),""))</f>
        <v/>
      </c>
      <c r="K79" s="220">
        <f>IF($B79="","",IFERROR(MATCH($B79,'Initiative Tracker'!$A$5:$A$200,0),IF($E79="","",IFERROR(MATCH($E79,'Initiative Tracker'!$B$5:$B$200,0),""))))</f>
        <v/>
      </c>
      <c r="L79" s="220">
        <f>IF($B79="","",IFERROR(MATCH($D79,'Control (Don’t Touch)'!$E$4:$E$30,0),99))</f>
        <v/>
      </c>
      <c r="M79" s="220">
        <f>IF($B79="","",IFERROR(MATCH($F79,'Control (Don’t Touch)'!$B$4:$B$30,0),99))</f>
        <v/>
      </c>
      <c r="N79" s="220">
        <f>IF($B79="","",$L79*1000000+$M79*10000+ROW())</f>
        <v/>
      </c>
      <c r="O79" s="220">
        <f>IF($B79="","",COUNTIF($N$2:$N$205,"&lt;"&amp;$N79)+1)</f>
        <v/>
      </c>
      <c r="P79" s="221">
        <f>IF($K79="","",IFERROR(DATE(IFERROR(VALUE(RIGHT(TRIM(INDEX('Initiative Tracker'!$G$5:$G$200,$K79)),4)),YEAR(TODAY())),MATCH(LEFT(TRIM(INDEX('Initiative Tracker'!$G$5:$G$200,$K79)),3),$U$2:$U$13,0),1),""))</f>
        <v/>
      </c>
      <c r="Q79" s="221">
        <f>IF($K79="","",IFERROR(DATE(IFERROR(VALUE(RIGHT(TRIM(INDEX('Initiative Tracker'!$H$5:$H$200,$K79)),4)),YEAR(TODAY())),MATCH(LEFT(TRIM(INDEX('Initiative Tracker'!$H$5:$H$200,$K79)),3),$U$2:$U$13,0),1),""))</f>
        <v/>
      </c>
    </row>
    <row r="80">
      <c r="A80" s="220" t="n">
        <v>80</v>
      </c>
      <c r="B80" s="220">
        <f>IF(TRIM(Weekly!E80)="","",TRIM(Weekly!E80))</f>
        <v/>
      </c>
      <c r="C80" s="220">
        <f>IF($B80="","",Weekly!B80)</f>
        <v/>
      </c>
      <c r="D80" s="220">
        <f>IF($B80="","",IF(TRIM(Weekly!C80)="","(No theme assigned)",TRIM(Weekly!C80)))</f>
        <v/>
      </c>
      <c r="E80" s="220">
        <f>IF($B80="","",TRIM(Weekly!F80))</f>
        <v/>
      </c>
      <c r="F80" s="220">
        <f>IF($B80="","",Weekly!G80)</f>
        <v/>
      </c>
      <c r="G80" s="221">
        <f>IF($B80="","",IF(COUNTA(Weekly!$H80:$CT80)=0,"",SUMPRODUCT(MIN(IF(Weekly!$H80:$CT80&lt;&gt;"",Weekly!$H$1:$CT$1)))))</f>
        <v/>
      </c>
      <c r="H80" s="221">
        <f>IF($B80="","",IF(COUNTA(Weekly!$H80:$CT80)=0,"",SUMPRODUCT(MAX(IF(Weekly!$H80:$CT80&lt;&gt;"",Weekly!$H$1:$CT$1)))))</f>
        <v/>
      </c>
      <c r="I80" s="221">
        <f>IF($Q80&lt;&gt;"",IF($P80&lt;&gt;"",$P80,$Q80),IF($P80&lt;&gt;"",$P80,""))</f>
        <v/>
      </c>
      <c r="J80" s="221">
        <f>IF($Q80&lt;&gt;"",EOMONTH($Q80,0),IF($P80&lt;&gt;"",EOMONTH($P80,0),""))</f>
        <v/>
      </c>
      <c r="K80" s="220">
        <f>IF($B80="","",IFERROR(MATCH($B80,'Initiative Tracker'!$A$5:$A$200,0),IF($E80="","",IFERROR(MATCH($E80,'Initiative Tracker'!$B$5:$B$200,0),""))))</f>
        <v/>
      </c>
      <c r="L80" s="220">
        <f>IF($B80="","",IFERROR(MATCH($D80,'Control (Don’t Touch)'!$E$4:$E$30,0),99))</f>
        <v/>
      </c>
      <c r="M80" s="220">
        <f>IF($B80="","",IFERROR(MATCH($F80,'Control (Don’t Touch)'!$B$4:$B$30,0),99))</f>
        <v/>
      </c>
      <c r="N80" s="220">
        <f>IF($B80="","",$L80*1000000+$M80*10000+ROW())</f>
        <v/>
      </c>
      <c r="O80" s="220">
        <f>IF($B80="","",COUNTIF($N$2:$N$205,"&lt;"&amp;$N80)+1)</f>
        <v/>
      </c>
      <c r="P80" s="221">
        <f>IF($K80="","",IFERROR(DATE(IFERROR(VALUE(RIGHT(TRIM(INDEX('Initiative Tracker'!$G$5:$G$200,$K80)),4)),YEAR(TODAY())),MATCH(LEFT(TRIM(INDEX('Initiative Tracker'!$G$5:$G$200,$K80)),3),$U$2:$U$13,0),1),""))</f>
        <v/>
      </c>
      <c r="Q80" s="221">
        <f>IF($K80="","",IFERROR(DATE(IFERROR(VALUE(RIGHT(TRIM(INDEX('Initiative Tracker'!$H$5:$H$200,$K80)),4)),YEAR(TODAY())),MATCH(LEFT(TRIM(INDEX('Initiative Tracker'!$H$5:$H$200,$K80)),3),$U$2:$U$13,0),1),""))</f>
        <v/>
      </c>
    </row>
    <row r="81">
      <c r="A81" s="220" t="n">
        <v>81</v>
      </c>
      <c r="B81" s="220">
        <f>IF(TRIM(Weekly!E81)="","",TRIM(Weekly!E81))</f>
        <v/>
      </c>
      <c r="C81" s="220">
        <f>IF($B81="","",Weekly!B81)</f>
        <v/>
      </c>
      <c r="D81" s="220">
        <f>IF($B81="","",IF(TRIM(Weekly!C81)="","(No theme assigned)",TRIM(Weekly!C81)))</f>
        <v/>
      </c>
      <c r="E81" s="220">
        <f>IF($B81="","",TRIM(Weekly!F81))</f>
        <v/>
      </c>
      <c r="F81" s="220">
        <f>IF($B81="","",Weekly!G81)</f>
        <v/>
      </c>
      <c r="G81" s="221">
        <f>IF($B81="","",IF(COUNTA(Weekly!$H81:$CT81)=0,"",SUMPRODUCT(MIN(IF(Weekly!$H81:$CT81&lt;&gt;"",Weekly!$H$1:$CT$1)))))</f>
        <v/>
      </c>
      <c r="H81" s="221">
        <f>IF($B81="","",IF(COUNTA(Weekly!$H81:$CT81)=0,"",SUMPRODUCT(MAX(IF(Weekly!$H81:$CT81&lt;&gt;"",Weekly!$H$1:$CT$1)))))</f>
        <v/>
      </c>
      <c r="I81" s="221">
        <f>IF($Q81&lt;&gt;"",IF($P81&lt;&gt;"",$P81,$Q81),IF($P81&lt;&gt;"",$P81,""))</f>
        <v/>
      </c>
      <c r="J81" s="221">
        <f>IF($Q81&lt;&gt;"",EOMONTH($Q81,0),IF($P81&lt;&gt;"",EOMONTH($P81,0),""))</f>
        <v/>
      </c>
      <c r="K81" s="220">
        <f>IF($B81="","",IFERROR(MATCH($B81,'Initiative Tracker'!$A$5:$A$200,0),IF($E81="","",IFERROR(MATCH($E81,'Initiative Tracker'!$B$5:$B$200,0),""))))</f>
        <v/>
      </c>
      <c r="L81" s="220">
        <f>IF($B81="","",IFERROR(MATCH($D81,'Control (Don’t Touch)'!$E$4:$E$30,0),99))</f>
        <v/>
      </c>
      <c r="M81" s="220">
        <f>IF($B81="","",IFERROR(MATCH($F81,'Control (Don’t Touch)'!$B$4:$B$30,0),99))</f>
        <v/>
      </c>
      <c r="N81" s="220">
        <f>IF($B81="","",$L81*1000000+$M81*10000+ROW())</f>
        <v/>
      </c>
      <c r="O81" s="220">
        <f>IF($B81="","",COUNTIF($N$2:$N$205,"&lt;"&amp;$N81)+1)</f>
        <v/>
      </c>
      <c r="P81" s="221">
        <f>IF($K81="","",IFERROR(DATE(IFERROR(VALUE(RIGHT(TRIM(INDEX('Initiative Tracker'!$G$5:$G$200,$K81)),4)),YEAR(TODAY())),MATCH(LEFT(TRIM(INDEX('Initiative Tracker'!$G$5:$G$200,$K81)),3),$U$2:$U$13,0),1),""))</f>
        <v/>
      </c>
      <c r="Q81" s="221">
        <f>IF($K81="","",IFERROR(DATE(IFERROR(VALUE(RIGHT(TRIM(INDEX('Initiative Tracker'!$H$5:$H$200,$K81)),4)),YEAR(TODAY())),MATCH(LEFT(TRIM(INDEX('Initiative Tracker'!$H$5:$H$200,$K81)),3),$U$2:$U$13,0),1),""))</f>
        <v/>
      </c>
    </row>
    <row r="82">
      <c r="A82" s="220" t="n">
        <v>82</v>
      </c>
      <c r="B82" s="220">
        <f>IF(TRIM(Weekly!E82)="","",TRIM(Weekly!E82))</f>
        <v/>
      </c>
      <c r="C82" s="220">
        <f>IF($B82="","",Weekly!B82)</f>
        <v/>
      </c>
      <c r="D82" s="220">
        <f>IF($B82="","",IF(TRIM(Weekly!C82)="","(No theme assigned)",TRIM(Weekly!C82)))</f>
        <v/>
      </c>
      <c r="E82" s="220">
        <f>IF($B82="","",TRIM(Weekly!F82))</f>
        <v/>
      </c>
      <c r="F82" s="220">
        <f>IF($B82="","",Weekly!G82)</f>
        <v/>
      </c>
      <c r="G82" s="221">
        <f>IF($B82="","",IF(COUNTA(Weekly!$H82:$CT82)=0,"",SUMPRODUCT(MIN(IF(Weekly!$H82:$CT82&lt;&gt;"",Weekly!$H$1:$CT$1)))))</f>
        <v/>
      </c>
      <c r="H82" s="221">
        <f>IF($B82="","",IF(COUNTA(Weekly!$H82:$CT82)=0,"",SUMPRODUCT(MAX(IF(Weekly!$H82:$CT82&lt;&gt;"",Weekly!$H$1:$CT$1)))))</f>
        <v/>
      </c>
      <c r="I82" s="221">
        <f>IF($Q82&lt;&gt;"",IF($P82&lt;&gt;"",$P82,$Q82),IF($P82&lt;&gt;"",$P82,""))</f>
        <v/>
      </c>
      <c r="J82" s="221">
        <f>IF($Q82&lt;&gt;"",EOMONTH($Q82,0),IF($P82&lt;&gt;"",EOMONTH($P82,0),""))</f>
        <v/>
      </c>
      <c r="K82" s="220">
        <f>IF($B82="","",IFERROR(MATCH($B82,'Initiative Tracker'!$A$5:$A$200,0),IF($E82="","",IFERROR(MATCH($E82,'Initiative Tracker'!$B$5:$B$200,0),""))))</f>
        <v/>
      </c>
      <c r="L82" s="220">
        <f>IF($B82="","",IFERROR(MATCH($D82,'Control (Don’t Touch)'!$E$4:$E$30,0),99))</f>
        <v/>
      </c>
      <c r="M82" s="220">
        <f>IF($B82="","",IFERROR(MATCH($F82,'Control (Don’t Touch)'!$B$4:$B$30,0),99))</f>
        <v/>
      </c>
      <c r="N82" s="220">
        <f>IF($B82="","",$L82*1000000+$M82*10000+ROW())</f>
        <v/>
      </c>
      <c r="O82" s="220">
        <f>IF($B82="","",COUNTIF($N$2:$N$205,"&lt;"&amp;$N82)+1)</f>
        <v/>
      </c>
      <c r="P82" s="221">
        <f>IF($K82="","",IFERROR(DATE(IFERROR(VALUE(RIGHT(TRIM(INDEX('Initiative Tracker'!$G$5:$G$200,$K82)),4)),YEAR(TODAY())),MATCH(LEFT(TRIM(INDEX('Initiative Tracker'!$G$5:$G$200,$K82)),3),$U$2:$U$13,0),1),""))</f>
        <v/>
      </c>
      <c r="Q82" s="221">
        <f>IF($K82="","",IFERROR(DATE(IFERROR(VALUE(RIGHT(TRIM(INDEX('Initiative Tracker'!$H$5:$H$200,$K82)),4)),YEAR(TODAY())),MATCH(LEFT(TRIM(INDEX('Initiative Tracker'!$H$5:$H$200,$K82)),3),$U$2:$U$13,0),1),""))</f>
        <v/>
      </c>
    </row>
    <row r="83">
      <c r="A83" s="220" t="n">
        <v>83</v>
      </c>
      <c r="B83" s="220">
        <f>IF(TRIM(Weekly!E83)="","",TRIM(Weekly!E83))</f>
        <v/>
      </c>
      <c r="C83" s="220">
        <f>IF($B83="","",Weekly!B83)</f>
        <v/>
      </c>
      <c r="D83" s="220">
        <f>IF($B83="","",IF(TRIM(Weekly!C83)="","(No theme assigned)",TRIM(Weekly!C83)))</f>
        <v/>
      </c>
      <c r="E83" s="220">
        <f>IF($B83="","",TRIM(Weekly!F83))</f>
        <v/>
      </c>
      <c r="F83" s="220">
        <f>IF($B83="","",Weekly!G83)</f>
        <v/>
      </c>
      <c r="G83" s="221">
        <f>IF($B83="","",IF(COUNTA(Weekly!$H83:$CT83)=0,"",SUMPRODUCT(MIN(IF(Weekly!$H83:$CT83&lt;&gt;"",Weekly!$H$1:$CT$1)))))</f>
        <v/>
      </c>
      <c r="H83" s="221">
        <f>IF($B83="","",IF(COUNTA(Weekly!$H83:$CT83)=0,"",SUMPRODUCT(MAX(IF(Weekly!$H83:$CT83&lt;&gt;"",Weekly!$H$1:$CT$1)))))</f>
        <v/>
      </c>
      <c r="I83" s="221">
        <f>IF($Q83&lt;&gt;"",IF($P83&lt;&gt;"",$P83,$Q83),IF($P83&lt;&gt;"",$P83,""))</f>
        <v/>
      </c>
      <c r="J83" s="221">
        <f>IF($Q83&lt;&gt;"",EOMONTH($Q83,0),IF($P83&lt;&gt;"",EOMONTH($P83,0),""))</f>
        <v/>
      </c>
      <c r="K83" s="220">
        <f>IF($B83="","",IFERROR(MATCH($B83,'Initiative Tracker'!$A$5:$A$200,0),IF($E83="","",IFERROR(MATCH($E83,'Initiative Tracker'!$B$5:$B$200,0),""))))</f>
        <v/>
      </c>
      <c r="L83" s="220">
        <f>IF($B83="","",IFERROR(MATCH($D83,'Control (Don’t Touch)'!$E$4:$E$30,0),99))</f>
        <v/>
      </c>
      <c r="M83" s="220">
        <f>IF($B83="","",IFERROR(MATCH($F83,'Control (Don’t Touch)'!$B$4:$B$30,0),99))</f>
        <v/>
      </c>
      <c r="N83" s="220">
        <f>IF($B83="","",$L83*1000000+$M83*10000+ROW())</f>
        <v/>
      </c>
      <c r="O83" s="220">
        <f>IF($B83="","",COUNTIF($N$2:$N$205,"&lt;"&amp;$N83)+1)</f>
        <v/>
      </c>
      <c r="P83" s="221">
        <f>IF($K83="","",IFERROR(DATE(IFERROR(VALUE(RIGHT(TRIM(INDEX('Initiative Tracker'!$G$5:$G$200,$K83)),4)),YEAR(TODAY())),MATCH(LEFT(TRIM(INDEX('Initiative Tracker'!$G$5:$G$200,$K83)),3),$U$2:$U$13,0),1),""))</f>
        <v/>
      </c>
      <c r="Q83" s="221">
        <f>IF($K83="","",IFERROR(DATE(IFERROR(VALUE(RIGHT(TRIM(INDEX('Initiative Tracker'!$H$5:$H$200,$K83)),4)),YEAR(TODAY())),MATCH(LEFT(TRIM(INDEX('Initiative Tracker'!$H$5:$H$200,$K83)),3),$U$2:$U$13,0),1),""))</f>
        <v/>
      </c>
    </row>
    <row r="84">
      <c r="A84" s="220" t="n">
        <v>84</v>
      </c>
      <c r="B84" s="220">
        <f>IF(TRIM(Weekly!E84)="","",TRIM(Weekly!E84))</f>
        <v/>
      </c>
      <c r="C84" s="220">
        <f>IF($B84="","",Weekly!B84)</f>
        <v/>
      </c>
      <c r="D84" s="220">
        <f>IF($B84="","",IF(TRIM(Weekly!C84)="","(No theme assigned)",TRIM(Weekly!C84)))</f>
        <v/>
      </c>
      <c r="E84" s="220">
        <f>IF($B84="","",TRIM(Weekly!F84))</f>
        <v/>
      </c>
      <c r="F84" s="220">
        <f>IF($B84="","",Weekly!G84)</f>
        <v/>
      </c>
      <c r="G84" s="221">
        <f>IF($B84="","",IF(COUNTA(Weekly!$H84:$CT84)=0,"",SUMPRODUCT(MIN(IF(Weekly!$H84:$CT84&lt;&gt;"",Weekly!$H$1:$CT$1)))))</f>
        <v/>
      </c>
      <c r="H84" s="221">
        <f>IF($B84="","",IF(COUNTA(Weekly!$H84:$CT84)=0,"",SUMPRODUCT(MAX(IF(Weekly!$H84:$CT84&lt;&gt;"",Weekly!$H$1:$CT$1)))))</f>
        <v/>
      </c>
      <c r="I84" s="221">
        <f>IF($Q84&lt;&gt;"",IF($P84&lt;&gt;"",$P84,$Q84),IF($P84&lt;&gt;"",$P84,""))</f>
        <v/>
      </c>
      <c r="J84" s="221">
        <f>IF($Q84&lt;&gt;"",EOMONTH($Q84,0),IF($P84&lt;&gt;"",EOMONTH($P84,0),""))</f>
        <v/>
      </c>
      <c r="K84" s="220">
        <f>IF($B84="","",IFERROR(MATCH($B84,'Initiative Tracker'!$A$5:$A$200,0),IF($E84="","",IFERROR(MATCH($E84,'Initiative Tracker'!$B$5:$B$200,0),""))))</f>
        <v/>
      </c>
      <c r="L84" s="220">
        <f>IF($B84="","",IFERROR(MATCH($D84,'Control (Don’t Touch)'!$E$4:$E$30,0),99))</f>
        <v/>
      </c>
      <c r="M84" s="220">
        <f>IF($B84="","",IFERROR(MATCH($F84,'Control (Don’t Touch)'!$B$4:$B$30,0),99))</f>
        <v/>
      </c>
      <c r="N84" s="220">
        <f>IF($B84="","",$L84*1000000+$M84*10000+ROW())</f>
        <v/>
      </c>
      <c r="O84" s="220">
        <f>IF($B84="","",COUNTIF($N$2:$N$205,"&lt;"&amp;$N84)+1)</f>
        <v/>
      </c>
      <c r="P84" s="221">
        <f>IF($K84="","",IFERROR(DATE(IFERROR(VALUE(RIGHT(TRIM(INDEX('Initiative Tracker'!$G$5:$G$200,$K84)),4)),YEAR(TODAY())),MATCH(LEFT(TRIM(INDEX('Initiative Tracker'!$G$5:$G$200,$K84)),3),$U$2:$U$13,0),1),""))</f>
        <v/>
      </c>
      <c r="Q84" s="221">
        <f>IF($K84="","",IFERROR(DATE(IFERROR(VALUE(RIGHT(TRIM(INDEX('Initiative Tracker'!$H$5:$H$200,$K84)),4)),YEAR(TODAY())),MATCH(LEFT(TRIM(INDEX('Initiative Tracker'!$H$5:$H$200,$K84)),3),$U$2:$U$13,0),1),""))</f>
        <v/>
      </c>
    </row>
    <row r="85">
      <c r="A85" s="220" t="n">
        <v>85</v>
      </c>
      <c r="B85" s="220">
        <f>IF(TRIM(Weekly!E85)="","",TRIM(Weekly!E85))</f>
        <v/>
      </c>
      <c r="C85" s="220">
        <f>IF($B85="","",Weekly!B85)</f>
        <v/>
      </c>
      <c r="D85" s="220">
        <f>IF($B85="","",IF(TRIM(Weekly!C85)="","(No theme assigned)",TRIM(Weekly!C85)))</f>
        <v/>
      </c>
      <c r="E85" s="220">
        <f>IF($B85="","",TRIM(Weekly!F85))</f>
        <v/>
      </c>
      <c r="F85" s="220">
        <f>IF($B85="","",Weekly!G85)</f>
        <v/>
      </c>
      <c r="G85" s="221">
        <f>IF($B85="","",IF(COUNTA(Weekly!$H85:$CT85)=0,"",SUMPRODUCT(MIN(IF(Weekly!$H85:$CT85&lt;&gt;"",Weekly!$H$1:$CT$1)))))</f>
        <v/>
      </c>
      <c r="H85" s="221">
        <f>IF($B85="","",IF(COUNTA(Weekly!$H85:$CT85)=0,"",SUMPRODUCT(MAX(IF(Weekly!$H85:$CT85&lt;&gt;"",Weekly!$H$1:$CT$1)))))</f>
        <v/>
      </c>
      <c r="I85" s="221">
        <f>IF($Q85&lt;&gt;"",IF($P85&lt;&gt;"",$P85,$Q85),IF($P85&lt;&gt;"",$P85,""))</f>
        <v/>
      </c>
      <c r="J85" s="221">
        <f>IF($Q85&lt;&gt;"",EOMONTH($Q85,0),IF($P85&lt;&gt;"",EOMONTH($P85,0),""))</f>
        <v/>
      </c>
      <c r="K85" s="220">
        <f>IF($B85="","",IFERROR(MATCH($B85,'Initiative Tracker'!$A$5:$A$200,0),IF($E85="","",IFERROR(MATCH($E85,'Initiative Tracker'!$B$5:$B$200,0),""))))</f>
        <v/>
      </c>
      <c r="L85" s="220">
        <f>IF($B85="","",IFERROR(MATCH($D85,'Control (Don’t Touch)'!$E$4:$E$30,0),99))</f>
        <v/>
      </c>
      <c r="M85" s="220">
        <f>IF($B85="","",IFERROR(MATCH($F85,'Control (Don’t Touch)'!$B$4:$B$30,0),99))</f>
        <v/>
      </c>
      <c r="N85" s="220">
        <f>IF($B85="","",$L85*1000000+$M85*10000+ROW())</f>
        <v/>
      </c>
      <c r="O85" s="220">
        <f>IF($B85="","",COUNTIF($N$2:$N$205,"&lt;"&amp;$N85)+1)</f>
        <v/>
      </c>
      <c r="P85" s="221">
        <f>IF($K85="","",IFERROR(DATE(IFERROR(VALUE(RIGHT(TRIM(INDEX('Initiative Tracker'!$G$5:$G$200,$K85)),4)),YEAR(TODAY())),MATCH(LEFT(TRIM(INDEX('Initiative Tracker'!$G$5:$G$200,$K85)),3),$U$2:$U$13,0),1),""))</f>
        <v/>
      </c>
      <c r="Q85" s="221">
        <f>IF($K85="","",IFERROR(DATE(IFERROR(VALUE(RIGHT(TRIM(INDEX('Initiative Tracker'!$H$5:$H$200,$K85)),4)),YEAR(TODAY())),MATCH(LEFT(TRIM(INDEX('Initiative Tracker'!$H$5:$H$200,$K85)),3),$U$2:$U$13,0),1),""))</f>
        <v/>
      </c>
    </row>
    <row r="86">
      <c r="A86" s="220" t="n">
        <v>86</v>
      </c>
      <c r="B86" s="220">
        <f>IF(TRIM(Weekly!E86)="","",TRIM(Weekly!E86))</f>
        <v/>
      </c>
      <c r="C86" s="220">
        <f>IF($B86="","",Weekly!B86)</f>
        <v/>
      </c>
      <c r="D86" s="220">
        <f>IF($B86="","",IF(TRIM(Weekly!C86)="","(No theme assigned)",TRIM(Weekly!C86)))</f>
        <v/>
      </c>
      <c r="E86" s="220">
        <f>IF($B86="","",TRIM(Weekly!F86))</f>
        <v/>
      </c>
      <c r="F86" s="220">
        <f>IF($B86="","",Weekly!G86)</f>
        <v/>
      </c>
      <c r="G86" s="221">
        <f>IF($B86="","",IF(COUNTA(Weekly!$H86:$CT86)=0,"",SUMPRODUCT(MIN(IF(Weekly!$H86:$CT86&lt;&gt;"",Weekly!$H$1:$CT$1)))))</f>
        <v/>
      </c>
      <c r="H86" s="221">
        <f>IF($B86="","",IF(COUNTA(Weekly!$H86:$CT86)=0,"",SUMPRODUCT(MAX(IF(Weekly!$H86:$CT86&lt;&gt;"",Weekly!$H$1:$CT$1)))))</f>
        <v/>
      </c>
      <c r="I86" s="221">
        <f>IF($Q86&lt;&gt;"",IF($P86&lt;&gt;"",$P86,$Q86),IF($P86&lt;&gt;"",$P86,""))</f>
        <v/>
      </c>
      <c r="J86" s="221">
        <f>IF($Q86&lt;&gt;"",EOMONTH($Q86,0),IF($P86&lt;&gt;"",EOMONTH($P86,0),""))</f>
        <v/>
      </c>
      <c r="K86" s="220">
        <f>IF($B86="","",IFERROR(MATCH($B86,'Initiative Tracker'!$A$5:$A$200,0),IF($E86="","",IFERROR(MATCH($E86,'Initiative Tracker'!$B$5:$B$200,0),""))))</f>
        <v/>
      </c>
      <c r="L86" s="220">
        <f>IF($B86="","",IFERROR(MATCH($D86,'Control (Don’t Touch)'!$E$4:$E$30,0),99))</f>
        <v/>
      </c>
      <c r="M86" s="220">
        <f>IF($B86="","",IFERROR(MATCH($F86,'Control (Don’t Touch)'!$B$4:$B$30,0),99))</f>
        <v/>
      </c>
      <c r="N86" s="220">
        <f>IF($B86="","",$L86*1000000+$M86*10000+ROW())</f>
        <v/>
      </c>
      <c r="O86" s="220">
        <f>IF($B86="","",COUNTIF($N$2:$N$205,"&lt;"&amp;$N86)+1)</f>
        <v/>
      </c>
      <c r="P86" s="221">
        <f>IF($K86="","",IFERROR(DATE(IFERROR(VALUE(RIGHT(TRIM(INDEX('Initiative Tracker'!$G$5:$G$200,$K86)),4)),YEAR(TODAY())),MATCH(LEFT(TRIM(INDEX('Initiative Tracker'!$G$5:$G$200,$K86)),3),$U$2:$U$13,0),1),""))</f>
        <v/>
      </c>
      <c r="Q86" s="221">
        <f>IF($K86="","",IFERROR(DATE(IFERROR(VALUE(RIGHT(TRIM(INDEX('Initiative Tracker'!$H$5:$H$200,$K86)),4)),YEAR(TODAY())),MATCH(LEFT(TRIM(INDEX('Initiative Tracker'!$H$5:$H$200,$K86)),3),$U$2:$U$13,0),1),""))</f>
        <v/>
      </c>
    </row>
    <row r="87">
      <c r="A87" s="220" t="n">
        <v>87</v>
      </c>
      <c r="B87" s="220">
        <f>IF(TRIM(Weekly!E87)="","",TRIM(Weekly!E87))</f>
        <v/>
      </c>
      <c r="C87" s="220">
        <f>IF($B87="","",Weekly!B87)</f>
        <v/>
      </c>
      <c r="D87" s="220">
        <f>IF($B87="","",IF(TRIM(Weekly!C87)="","(No theme assigned)",TRIM(Weekly!C87)))</f>
        <v/>
      </c>
      <c r="E87" s="220">
        <f>IF($B87="","",TRIM(Weekly!F87))</f>
        <v/>
      </c>
      <c r="F87" s="220">
        <f>IF($B87="","",Weekly!G87)</f>
        <v/>
      </c>
      <c r="G87" s="221">
        <f>IF($B87="","",IF(COUNTA(Weekly!$H87:$CT87)=0,"",SUMPRODUCT(MIN(IF(Weekly!$H87:$CT87&lt;&gt;"",Weekly!$H$1:$CT$1)))))</f>
        <v/>
      </c>
      <c r="H87" s="221">
        <f>IF($B87="","",IF(COUNTA(Weekly!$H87:$CT87)=0,"",SUMPRODUCT(MAX(IF(Weekly!$H87:$CT87&lt;&gt;"",Weekly!$H$1:$CT$1)))))</f>
        <v/>
      </c>
      <c r="I87" s="221">
        <f>IF($Q87&lt;&gt;"",IF($P87&lt;&gt;"",$P87,$Q87),IF($P87&lt;&gt;"",$P87,""))</f>
        <v/>
      </c>
      <c r="J87" s="221">
        <f>IF($Q87&lt;&gt;"",EOMONTH($Q87,0),IF($P87&lt;&gt;"",EOMONTH($P87,0),""))</f>
        <v/>
      </c>
      <c r="K87" s="220">
        <f>IF($B87="","",IFERROR(MATCH($B87,'Initiative Tracker'!$A$5:$A$200,0),IF($E87="","",IFERROR(MATCH($E87,'Initiative Tracker'!$B$5:$B$200,0),""))))</f>
        <v/>
      </c>
      <c r="L87" s="220">
        <f>IF($B87="","",IFERROR(MATCH($D87,'Control (Don’t Touch)'!$E$4:$E$30,0),99))</f>
        <v/>
      </c>
      <c r="M87" s="220">
        <f>IF($B87="","",IFERROR(MATCH($F87,'Control (Don’t Touch)'!$B$4:$B$30,0),99))</f>
        <v/>
      </c>
      <c r="N87" s="220">
        <f>IF($B87="","",$L87*1000000+$M87*10000+ROW())</f>
        <v/>
      </c>
      <c r="O87" s="220">
        <f>IF($B87="","",COUNTIF($N$2:$N$205,"&lt;"&amp;$N87)+1)</f>
        <v/>
      </c>
      <c r="P87" s="221">
        <f>IF($K87="","",IFERROR(DATE(IFERROR(VALUE(RIGHT(TRIM(INDEX('Initiative Tracker'!$G$5:$G$200,$K87)),4)),YEAR(TODAY())),MATCH(LEFT(TRIM(INDEX('Initiative Tracker'!$G$5:$G$200,$K87)),3),$U$2:$U$13,0),1),""))</f>
        <v/>
      </c>
      <c r="Q87" s="221">
        <f>IF($K87="","",IFERROR(DATE(IFERROR(VALUE(RIGHT(TRIM(INDEX('Initiative Tracker'!$H$5:$H$200,$K87)),4)),YEAR(TODAY())),MATCH(LEFT(TRIM(INDEX('Initiative Tracker'!$H$5:$H$200,$K87)),3),$U$2:$U$13,0),1),""))</f>
        <v/>
      </c>
    </row>
    <row r="88">
      <c r="A88" s="220" t="n">
        <v>88</v>
      </c>
      <c r="B88" s="220">
        <f>IF(TRIM(Weekly!E88)="","",TRIM(Weekly!E88))</f>
        <v/>
      </c>
      <c r="C88" s="220">
        <f>IF($B88="","",Weekly!B88)</f>
        <v/>
      </c>
      <c r="D88" s="220">
        <f>IF($B88="","",IF(TRIM(Weekly!C88)="","(No theme assigned)",TRIM(Weekly!C88)))</f>
        <v/>
      </c>
      <c r="E88" s="220">
        <f>IF($B88="","",TRIM(Weekly!F88))</f>
        <v/>
      </c>
      <c r="F88" s="220">
        <f>IF($B88="","",Weekly!G88)</f>
        <v/>
      </c>
      <c r="G88" s="221">
        <f>IF($B88="","",IF(COUNTA(Weekly!$H88:$CT88)=0,"",SUMPRODUCT(MIN(IF(Weekly!$H88:$CT88&lt;&gt;"",Weekly!$H$1:$CT$1)))))</f>
        <v/>
      </c>
      <c r="H88" s="221">
        <f>IF($B88="","",IF(COUNTA(Weekly!$H88:$CT88)=0,"",SUMPRODUCT(MAX(IF(Weekly!$H88:$CT88&lt;&gt;"",Weekly!$H$1:$CT$1)))))</f>
        <v/>
      </c>
      <c r="I88" s="221">
        <f>IF($Q88&lt;&gt;"",IF($P88&lt;&gt;"",$P88,$Q88),IF($P88&lt;&gt;"",$P88,""))</f>
        <v/>
      </c>
      <c r="J88" s="221">
        <f>IF($Q88&lt;&gt;"",EOMONTH($Q88,0),IF($P88&lt;&gt;"",EOMONTH($P88,0),""))</f>
        <v/>
      </c>
      <c r="K88" s="220">
        <f>IF($B88="","",IFERROR(MATCH($B88,'Initiative Tracker'!$A$5:$A$200,0),IF($E88="","",IFERROR(MATCH($E88,'Initiative Tracker'!$B$5:$B$200,0),""))))</f>
        <v/>
      </c>
      <c r="L88" s="220">
        <f>IF($B88="","",IFERROR(MATCH($D88,'Control (Don’t Touch)'!$E$4:$E$30,0),99))</f>
        <v/>
      </c>
      <c r="M88" s="220">
        <f>IF($B88="","",IFERROR(MATCH($F88,'Control (Don’t Touch)'!$B$4:$B$30,0),99))</f>
        <v/>
      </c>
      <c r="N88" s="220">
        <f>IF($B88="","",$L88*1000000+$M88*10000+ROW())</f>
        <v/>
      </c>
      <c r="O88" s="220">
        <f>IF($B88="","",COUNTIF($N$2:$N$205,"&lt;"&amp;$N88)+1)</f>
        <v/>
      </c>
      <c r="P88" s="221">
        <f>IF($K88="","",IFERROR(DATE(IFERROR(VALUE(RIGHT(TRIM(INDEX('Initiative Tracker'!$G$5:$G$200,$K88)),4)),YEAR(TODAY())),MATCH(LEFT(TRIM(INDEX('Initiative Tracker'!$G$5:$G$200,$K88)),3),$U$2:$U$13,0),1),""))</f>
        <v/>
      </c>
      <c r="Q88" s="221">
        <f>IF($K88="","",IFERROR(DATE(IFERROR(VALUE(RIGHT(TRIM(INDEX('Initiative Tracker'!$H$5:$H$200,$K88)),4)),YEAR(TODAY())),MATCH(LEFT(TRIM(INDEX('Initiative Tracker'!$H$5:$H$200,$K88)),3),$U$2:$U$13,0),1),""))</f>
        <v/>
      </c>
    </row>
    <row r="89">
      <c r="A89" s="220" t="n">
        <v>89</v>
      </c>
      <c r="B89" s="220">
        <f>IF(TRIM(Weekly!E89)="","",TRIM(Weekly!E89))</f>
        <v/>
      </c>
      <c r="C89" s="220">
        <f>IF($B89="","",Weekly!B89)</f>
        <v/>
      </c>
      <c r="D89" s="220">
        <f>IF($B89="","",IF(TRIM(Weekly!C89)="","(No theme assigned)",TRIM(Weekly!C89)))</f>
        <v/>
      </c>
      <c r="E89" s="220">
        <f>IF($B89="","",TRIM(Weekly!F89))</f>
        <v/>
      </c>
      <c r="F89" s="220">
        <f>IF($B89="","",Weekly!G89)</f>
        <v/>
      </c>
      <c r="G89" s="221">
        <f>IF($B89="","",IF(COUNTA(Weekly!$H89:$CT89)=0,"",SUMPRODUCT(MIN(IF(Weekly!$H89:$CT89&lt;&gt;"",Weekly!$H$1:$CT$1)))))</f>
        <v/>
      </c>
      <c r="H89" s="221">
        <f>IF($B89="","",IF(COUNTA(Weekly!$H89:$CT89)=0,"",SUMPRODUCT(MAX(IF(Weekly!$H89:$CT89&lt;&gt;"",Weekly!$H$1:$CT$1)))))</f>
        <v/>
      </c>
      <c r="I89" s="221">
        <f>IF($Q89&lt;&gt;"",IF($P89&lt;&gt;"",$P89,$Q89),IF($P89&lt;&gt;"",$P89,""))</f>
        <v/>
      </c>
      <c r="J89" s="221">
        <f>IF($Q89&lt;&gt;"",EOMONTH($Q89,0),IF($P89&lt;&gt;"",EOMONTH($P89,0),""))</f>
        <v/>
      </c>
      <c r="K89" s="220">
        <f>IF($B89="","",IFERROR(MATCH($B89,'Initiative Tracker'!$A$5:$A$200,0),IF($E89="","",IFERROR(MATCH($E89,'Initiative Tracker'!$B$5:$B$200,0),""))))</f>
        <v/>
      </c>
      <c r="L89" s="220">
        <f>IF($B89="","",IFERROR(MATCH($D89,'Control (Don’t Touch)'!$E$4:$E$30,0),99))</f>
        <v/>
      </c>
      <c r="M89" s="220">
        <f>IF($B89="","",IFERROR(MATCH($F89,'Control (Don’t Touch)'!$B$4:$B$30,0),99))</f>
        <v/>
      </c>
      <c r="N89" s="220">
        <f>IF($B89="","",$L89*1000000+$M89*10000+ROW())</f>
        <v/>
      </c>
      <c r="O89" s="220">
        <f>IF($B89="","",COUNTIF($N$2:$N$205,"&lt;"&amp;$N89)+1)</f>
        <v/>
      </c>
      <c r="P89" s="221">
        <f>IF($K89="","",IFERROR(DATE(IFERROR(VALUE(RIGHT(TRIM(INDEX('Initiative Tracker'!$G$5:$G$200,$K89)),4)),YEAR(TODAY())),MATCH(LEFT(TRIM(INDEX('Initiative Tracker'!$G$5:$G$200,$K89)),3),$U$2:$U$13,0),1),""))</f>
        <v/>
      </c>
      <c r="Q89" s="221">
        <f>IF($K89="","",IFERROR(DATE(IFERROR(VALUE(RIGHT(TRIM(INDEX('Initiative Tracker'!$H$5:$H$200,$K89)),4)),YEAR(TODAY())),MATCH(LEFT(TRIM(INDEX('Initiative Tracker'!$H$5:$H$200,$K89)),3),$U$2:$U$13,0),1),""))</f>
        <v/>
      </c>
    </row>
    <row r="90">
      <c r="A90" s="220" t="n">
        <v>90</v>
      </c>
      <c r="B90" s="220">
        <f>IF(TRIM(Weekly!E90)="","",TRIM(Weekly!E90))</f>
        <v/>
      </c>
      <c r="C90" s="220">
        <f>IF($B90="","",Weekly!B90)</f>
        <v/>
      </c>
      <c r="D90" s="220">
        <f>IF($B90="","",IF(TRIM(Weekly!C90)="","(No theme assigned)",TRIM(Weekly!C90)))</f>
        <v/>
      </c>
      <c r="E90" s="220">
        <f>IF($B90="","",TRIM(Weekly!F90))</f>
        <v/>
      </c>
      <c r="F90" s="220">
        <f>IF($B90="","",Weekly!G90)</f>
        <v/>
      </c>
      <c r="G90" s="221">
        <f>IF($B90="","",IF(COUNTA(Weekly!$H90:$CT90)=0,"",SUMPRODUCT(MIN(IF(Weekly!$H90:$CT90&lt;&gt;"",Weekly!$H$1:$CT$1)))))</f>
        <v/>
      </c>
      <c r="H90" s="221">
        <f>IF($B90="","",IF(COUNTA(Weekly!$H90:$CT90)=0,"",SUMPRODUCT(MAX(IF(Weekly!$H90:$CT90&lt;&gt;"",Weekly!$H$1:$CT$1)))))</f>
        <v/>
      </c>
      <c r="I90" s="221">
        <f>IF($Q90&lt;&gt;"",IF($P90&lt;&gt;"",$P90,$Q90),IF($P90&lt;&gt;"",$P90,""))</f>
        <v/>
      </c>
      <c r="J90" s="221">
        <f>IF($Q90&lt;&gt;"",EOMONTH($Q90,0),IF($P90&lt;&gt;"",EOMONTH($P90,0),""))</f>
        <v/>
      </c>
      <c r="K90" s="220">
        <f>IF($B90="","",IFERROR(MATCH($B90,'Initiative Tracker'!$A$5:$A$200,0),IF($E90="","",IFERROR(MATCH($E90,'Initiative Tracker'!$B$5:$B$200,0),""))))</f>
        <v/>
      </c>
      <c r="L90" s="220">
        <f>IF($B90="","",IFERROR(MATCH($D90,'Control (Don’t Touch)'!$E$4:$E$30,0),99))</f>
        <v/>
      </c>
      <c r="M90" s="220">
        <f>IF($B90="","",IFERROR(MATCH($F90,'Control (Don’t Touch)'!$B$4:$B$30,0),99))</f>
        <v/>
      </c>
      <c r="N90" s="220">
        <f>IF($B90="","",$L90*1000000+$M90*10000+ROW())</f>
        <v/>
      </c>
      <c r="O90" s="220">
        <f>IF($B90="","",COUNTIF($N$2:$N$205,"&lt;"&amp;$N90)+1)</f>
        <v/>
      </c>
      <c r="P90" s="221">
        <f>IF($K90="","",IFERROR(DATE(IFERROR(VALUE(RIGHT(TRIM(INDEX('Initiative Tracker'!$G$5:$G$200,$K90)),4)),YEAR(TODAY())),MATCH(LEFT(TRIM(INDEX('Initiative Tracker'!$G$5:$G$200,$K90)),3),$U$2:$U$13,0),1),""))</f>
        <v/>
      </c>
      <c r="Q90" s="221">
        <f>IF($K90="","",IFERROR(DATE(IFERROR(VALUE(RIGHT(TRIM(INDEX('Initiative Tracker'!$H$5:$H$200,$K90)),4)),YEAR(TODAY())),MATCH(LEFT(TRIM(INDEX('Initiative Tracker'!$H$5:$H$200,$K90)),3),$U$2:$U$13,0),1),""))</f>
        <v/>
      </c>
    </row>
    <row r="91">
      <c r="A91" s="220" t="n">
        <v>91</v>
      </c>
      <c r="B91" s="220">
        <f>IF(TRIM(Weekly!E91)="","",TRIM(Weekly!E91))</f>
        <v/>
      </c>
      <c r="C91" s="220">
        <f>IF($B91="","",Weekly!B91)</f>
        <v/>
      </c>
      <c r="D91" s="220">
        <f>IF($B91="","",IF(TRIM(Weekly!C91)="","(No theme assigned)",TRIM(Weekly!C91)))</f>
        <v/>
      </c>
      <c r="E91" s="220">
        <f>IF($B91="","",TRIM(Weekly!F91))</f>
        <v/>
      </c>
      <c r="F91" s="220">
        <f>IF($B91="","",Weekly!G91)</f>
        <v/>
      </c>
      <c r="G91" s="221">
        <f>IF($B91="","",IF(COUNTA(Weekly!$H91:$CT91)=0,"",SUMPRODUCT(MIN(IF(Weekly!$H91:$CT91&lt;&gt;"",Weekly!$H$1:$CT$1)))))</f>
        <v/>
      </c>
      <c r="H91" s="221">
        <f>IF($B91="","",IF(COUNTA(Weekly!$H91:$CT91)=0,"",SUMPRODUCT(MAX(IF(Weekly!$H91:$CT91&lt;&gt;"",Weekly!$H$1:$CT$1)))))</f>
        <v/>
      </c>
      <c r="I91" s="221">
        <f>IF($Q91&lt;&gt;"",IF($P91&lt;&gt;"",$P91,$Q91),IF($P91&lt;&gt;"",$P91,""))</f>
        <v/>
      </c>
      <c r="J91" s="221">
        <f>IF($Q91&lt;&gt;"",EOMONTH($Q91,0),IF($P91&lt;&gt;"",EOMONTH($P91,0),""))</f>
        <v/>
      </c>
      <c r="K91" s="220">
        <f>IF($B91="","",IFERROR(MATCH($B91,'Initiative Tracker'!$A$5:$A$200,0),IF($E91="","",IFERROR(MATCH($E91,'Initiative Tracker'!$B$5:$B$200,0),""))))</f>
        <v/>
      </c>
      <c r="L91" s="220">
        <f>IF($B91="","",IFERROR(MATCH($D91,'Control (Don’t Touch)'!$E$4:$E$30,0),99))</f>
        <v/>
      </c>
      <c r="M91" s="220">
        <f>IF($B91="","",IFERROR(MATCH($F91,'Control (Don’t Touch)'!$B$4:$B$30,0),99))</f>
        <v/>
      </c>
      <c r="N91" s="220">
        <f>IF($B91="","",$L91*1000000+$M91*10000+ROW())</f>
        <v/>
      </c>
      <c r="O91" s="220">
        <f>IF($B91="","",COUNTIF($N$2:$N$205,"&lt;"&amp;$N91)+1)</f>
        <v/>
      </c>
      <c r="P91" s="221">
        <f>IF($K91="","",IFERROR(DATE(IFERROR(VALUE(RIGHT(TRIM(INDEX('Initiative Tracker'!$G$5:$G$200,$K91)),4)),YEAR(TODAY())),MATCH(LEFT(TRIM(INDEX('Initiative Tracker'!$G$5:$G$200,$K91)),3),$U$2:$U$13,0),1),""))</f>
        <v/>
      </c>
      <c r="Q91" s="221">
        <f>IF($K91="","",IFERROR(DATE(IFERROR(VALUE(RIGHT(TRIM(INDEX('Initiative Tracker'!$H$5:$H$200,$K91)),4)),YEAR(TODAY())),MATCH(LEFT(TRIM(INDEX('Initiative Tracker'!$H$5:$H$200,$K91)),3),$U$2:$U$13,0),1),""))</f>
        <v/>
      </c>
    </row>
    <row r="92">
      <c r="A92" s="220" t="n">
        <v>92</v>
      </c>
      <c r="B92" s="220">
        <f>IF(TRIM(Weekly!E92)="","",TRIM(Weekly!E92))</f>
        <v/>
      </c>
      <c r="C92" s="220">
        <f>IF($B92="","",Weekly!B92)</f>
        <v/>
      </c>
      <c r="D92" s="220">
        <f>IF($B92="","",IF(TRIM(Weekly!C92)="","(No theme assigned)",TRIM(Weekly!C92)))</f>
        <v/>
      </c>
      <c r="E92" s="220">
        <f>IF($B92="","",TRIM(Weekly!F92))</f>
        <v/>
      </c>
      <c r="F92" s="220">
        <f>IF($B92="","",Weekly!G92)</f>
        <v/>
      </c>
      <c r="G92" s="221">
        <f>IF($B92="","",IF(COUNTA(Weekly!$H92:$CT92)=0,"",SUMPRODUCT(MIN(IF(Weekly!$H92:$CT92&lt;&gt;"",Weekly!$H$1:$CT$1)))))</f>
        <v/>
      </c>
      <c r="H92" s="221">
        <f>IF($B92="","",IF(COUNTA(Weekly!$H92:$CT92)=0,"",SUMPRODUCT(MAX(IF(Weekly!$H92:$CT92&lt;&gt;"",Weekly!$H$1:$CT$1)))))</f>
        <v/>
      </c>
      <c r="I92" s="221">
        <f>IF($Q92&lt;&gt;"",IF($P92&lt;&gt;"",$P92,$Q92),IF($P92&lt;&gt;"",$P92,""))</f>
        <v/>
      </c>
      <c r="J92" s="221">
        <f>IF($Q92&lt;&gt;"",EOMONTH($Q92,0),IF($P92&lt;&gt;"",EOMONTH($P92,0),""))</f>
        <v/>
      </c>
      <c r="K92" s="220">
        <f>IF($B92="","",IFERROR(MATCH($B92,'Initiative Tracker'!$A$5:$A$200,0),IF($E92="","",IFERROR(MATCH($E92,'Initiative Tracker'!$B$5:$B$200,0),""))))</f>
        <v/>
      </c>
      <c r="L92" s="220">
        <f>IF($B92="","",IFERROR(MATCH($D92,'Control (Don’t Touch)'!$E$4:$E$30,0),99))</f>
        <v/>
      </c>
      <c r="M92" s="220">
        <f>IF($B92="","",IFERROR(MATCH($F92,'Control (Don’t Touch)'!$B$4:$B$30,0),99))</f>
        <v/>
      </c>
      <c r="N92" s="220">
        <f>IF($B92="","",$L92*1000000+$M92*10000+ROW())</f>
        <v/>
      </c>
      <c r="O92" s="220">
        <f>IF($B92="","",COUNTIF($N$2:$N$205,"&lt;"&amp;$N92)+1)</f>
        <v/>
      </c>
      <c r="P92" s="221">
        <f>IF($K92="","",IFERROR(DATE(IFERROR(VALUE(RIGHT(TRIM(INDEX('Initiative Tracker'!$G$5:$G$200,$K92)),4)),YEAR(TODAY())),MATCH(LEFT(TRIM(INDEX('Initiative Tracker'!$G$5:$G$200,$K92)),3),$U$2:$U$13,0),1),""))</f>
        <v/>
      </c>
      <c r="Q92" s="221">
        <f>IF($K92="","",IFERROR(DATE(IFERROR(VALUE(RIGHT(TRIM(INDEX('Initiative Tracker'!$H$5:$H$200,$K92)),4)),YEAR(TODAY())),MATCH(LEFT(TRIM(INDEX('Initiative Tracker'!$H$5:$H$200,$K92)),3),$U$2:$U$13,0),1),""))</f>
        <v/>
      </c>
    </row>
    <row r="93">
      <c r="A93" s="220" t="n">
        <v>93</v>
      </c>
      <c r="B93" s="220">
        <f>IF(TRIM(Weekly!E93)="","",TRIM(Weekly!E93))</f>
        <v/>
      </c>
      <c r="C93" s="220">
        <f>IF($B93="","",Weekly!B93)</f>
        <v/>
      </c>
      <c r="D93" s="220">
        <f>IF($B93="","",IF(TRIM(Weekly!C93)="","(No theme assigned)",TRIM(Weekly!C93)))</f>
        <v/>
      </c>
      <c r="E93" s="220">
        <f>IF($B93="","",TRIM(Weekly!F93))</f>
        <v/>
      </c>
      <c r="F93" s="220">
        <f>IF($B93="","",Weekly!G93)</f>
        <v/>
      </c>
      <c r="G93" s="221">
        <f>IF($B93="","",IF(COUNTA(Weekly!$H93:$CT93)=0,"",SUMPRODUCT(MIN(IF(Weekly!$H93:$CT93&lt;&gt;"",Weekly!$H$1:$CT$1)))))</f>
        <v/>
      </c>
      <c r="H93" s="221">
        <f>IF($B93="","",IF(COUNTA(Weekly!$H93:$CT93)=0,"",SUMPRODUCT(MAX(IF(Weekly!$H93:$CT93&lt;&gt;"",Weekly!$H$1:$CT$1)))))</f>
        <v/>
      </c>
      <c r="I93" s="221">
        <f>IF($Q93&lt;&gt;"",IF($P93&lt;&gt;"",$P93,$Q93),IF($P93&lt;&gt;"",$P93,""))</f>
        <v/>
      </c>
      <c r="J93" s="221">
        <f>IF($Q93&lt;&gt;"",EOMONTH($Q93,0),IF($P93&lt;&gt;"",EOMONTH($P93,0),""))</f>
        <v/>
      </c>
      <c r="K93" s="220">
        <f>IF($B93="","",IFERROR(MATCH($B93,'Initiative Tracker'!$A$5:$A$200,0),IF($E93="","",IFERROR(MATCH($E93,'Initiative Tracker'!$B$5:$B$200,0),""))))</f>
        <v/>
      </c>
      <c r="L93" s="220">
        <f>IF($B93="","",IFERROR(MATCH($D93,'Control (Don’t Touch)'!$E$4:$E$30,0),99))</f>
        <v/>
      </c>
      <c r="M93" s="220">
        <f>IF($B93="","",IFERROR(MATCH($F93,'Control (Don’t Touch)'!$B$4:$B$30,0),99))</f>
        <v/>
      </c>
      <c r="N93" s="220">
        <f>IF($B93="","",$L93*1000000+$M93*10000+ROW())</f>
        <v/>
      </c>
      <c r="O93" s="220">
        <f>IF($B93="","",COUNTIF($N$2:$N$205,"&lt;"&amp;$N93)+1)</f>
        <v/>
      </c>
      <c r="P93" s="221">
        <f>IF($K93="","",IFERROR(DATE(IFERROR(VALUE(RIGHT(TRIM(INDEX('Initiative Tracker'!$G$5:$G$200,$K93)),4)),YEAR(TODAY())),MATCH(LEFT(TRIM(INDEX('Initiative Tracker'!$G$5:$G$200,$K93)),3),$U$2:$U$13,0),1),""))</f>
        <v/>
      </c>
      <c r="Q93" s="221">
        <f>IF($K93="","",IFERROR(DATE(IFERROR(VALUE(RIGHT(TRIM(INDEX('Initiative Tracker'!$H$5:$H$200,$K93)),4)),YEAR(TODAY())),MATCH(LEFT(TRIM(INDEX('Initiative Tracker'!$H$5:$H$200,$K93)),3),$U$2:$U$13,0),1),""))</f>
        <v/>
      </c>
    </row>
    <row r="94">
      <c r="A94" s="220" t="n">
        <v>94</v>
      </c>
      <c r="B94" s="220">
        <f>IF(TRIM(Weekly!E94)="","",TRIM(Weekly!E94))</f>
        <v/>
      </c>
      <c r="C94" s="220">
        <f>IF($B94="","",Weekly!B94)</f>
        <v/>
      </c>
      <c r="D94" s="220">
        <f>IF($B94="","",IF(TRIM(Weekly!C94)="","(No theme assigned)",TRIM(Weekly!C94)))</f>
        <v/>
      </c>
      <c r="E94" s="220">
        <f>IF($B94="","",TRIM(Weekly!F94))</f>
        <v/>
      </c>
      <c r="F94" s="220">
        <f>IF($B94="","",Weekly!G94)</f>
        <v/>
      </c>
      <c r="G94" s="221">
        <f>IF($B94="","",IF(COUNTA(Weekly!$H94:$CT94)=0,"",SUMPRODUCT(MIN(IF(Weekly!$H94:$CT94&lt;&gt;"",Weekly!$H$1:$CT$1)))))</f>
        <v/>
      </c>
      <c r="H94" s="221">
        <f>IF($B94="","",IF(COUNTA(Weekly!$H94:$CT94)=0,"",SUMPRODUCT(MAX(IF(Weekly!$H94:$CT94&lt;&gt;"",Weekly!$H$1:$CT$1)))))</f>
        <v/>
      </c>
      <c r="I94" s="221">
        <f>IF($Q94&lt;&gt;"",IF($P94&lt;&gt;"",$P94,$Q94),IF($P94&lt;&gt;"",$P94,""))</f>
        <v/>
      </c>
      <c r="J94" s="221">
        <f>IF($Q94&lt;&gt;"",EOMONTH($Q94,0),IF($P94&lt;&gt;"",EOMONTH($P94,0),""))</f>
        <v/>
      </c>
      <c r="K94" s="220">
        <f>IF($B94="","",IFERROR(MATCH($B94,'Initiative Tracker'!$A$5:$A$200,0),IF($E94="","",IFERROR(MATCH($E94,'Initiative Tracker'!$B$5:$B$200,0),""))))</f>
        <v/>
      </c>
      <c r="L94" s="220">
        <f>IF($B94="","",IFERROR(MATCH($D94,'Control (Don’t Touch)'!$E$4:$E$30,0),99))</f>
        <v/>
      </c>
      <c r="M94" s="220">
        <f>IF($B94="","",IFERROR(MATCH($F94,'Control (Don’t Touch)'!$B$4:$B$30,0),99))</f>
        <v/>
      </c>
      <c r="N94" s="220">
        <f>IF($B94="","",$L94*1000000+$M94*10000+ROW())</f>
        <v/>
      </c>
      <c r="O94" s="220">
        <f>IF($B94="","",COUNTIF($N$2:$N$205,"&lt;"&amp;$N94)+1)</f>
        <v/>
      </c>
      <c r="P94" s="221">
        <f>IF($K94="","",IFERROR(DATE(IFERROR(VALUE(RIGHT(TRIM(INDEX('Initiative Tracker'!$G$5:$G$200,$K94)),4)),YEAR(TODAY())),MATCH(LEFT(TRIM(INDEX('Initiative Tracker'!$G$5:$G$200,$K94)),3),$U$2:$U$13,0),1),""))</f>
        <v/>
      </c>
      <c r="Q94" s="221">
        <f>IF($K94="","",IFERROR(DATE(IFERROR(VALUE(RIGHT(TRIM(INDEX('Initiative Tracker'!$H$5:$H$200,$K94)),4)),YEAR(TODAY())),MATCH(LEFT(TRIM(INDEX('Initiative Tracker'!$H$5:$H$200,$K94)),3),$U$2:$U$13,0),1),""))</f>
        <v/>
      </c>
    </row>
    <row r="95">
      <c r="A95" s="220" t="n">
        <v>95</v>
      </c>
      <c r="B95" s="220">
        <f>IF(TRIM(Weekly!E95)="","",TRIM(Weekly!E95))</f>
        <v/>
      </c>
      <c r="C95" s="220">
        <f>IF($B95="","",Weekly!B95)</f>
        <v/>
      </c>
      <c r="D95" s="220">
        <f>IF($B95="","",IF(TRIM(Weekly!C95)="","(No theme assigned)",TRIM(Weekly!C95)))</f>
        <v/>
      </c>
      <c r="E95" s="220">
        <f>IF($B95="","",TRIM(Weekly!F95))</f>
        <v/>
      </c>
      <c r="F95" s="220">
        <f>IF($B95="","",Weekly!G95)</f>
        <v/>
      </c>
      <c r="G95" s="221">
        <f>IF($B95="","",IF(COUNTA(Weekly!$H95:$CT95)=0,"",SUMPRODUCT(MIN(IF(Weekly!$H95:$CT95&lt;&gt;"",Weekly!$H$1:$CT$1)))))</f>
        <v/>
      </c>
      <c r="H95" s="221">
        <f>IF($B95="","",IF(COUNTA(Weekly!$H95:$CT95)=0,"",SUMPRODUCT(MAX(IF(Weekly!$H95:$CT95&lt;&gt;"",Weekly!$H$1:$CT$1)))))</f>
        <v/>
      </c>
      <c r="I95" s="221">
        <f>IF($Q95&lt;&gt;"",IF($P95&lt;&gt;"",$P95,$Q95),IF($P95&lt;&gt;"",$P95,""))</f>
        <v/>
      </c>
      <c r="J95" s="221">
        <f>IF($Q95&lt;&gt;"",EOMONTH($Q95,0),IF($P95&lt;&gt;"",EOMONTH($P95,0),""))</f>
        <v/>
      </c>
      <c r="K95" s="220">
        <f>IF($B95="","",IFERROR(MATCH($B95,'Initiative Tracker'!$A$5:$A$200,0),IF($E95="","",IFERROR(MATCH($E95,'Initiative Tracker'!$B$5:$B$200,0),""))))</f>
        <v/>
      </c>
      <c r="L95" s="220">
        <f>IF($B95="","",IFERROR(MATCH($D95,'Control (Don’t Touch)'!$E$4:$E$30,0),99))</f>
        <v/>
      </c>
      <c r="M95" s="220">
        <f>IF($B95="","",IFERROR(MATCH($F95,'Control (Don’t Touch)'!$B$4:$B$30,0),99))</f>
        <v/>
      </c>
      <c r="N95" s="220">
        <f>IF($B95="","",$L95*1000000+$M95*10000+ROW())</f>
        <v/>
      </c>
      <c r="O95" s="220">
        <f>IF($B95="","",COUNTIF($N$2:$N$205,"&lt;"&amp;$N95)+1)</f>
        <v/>
      </c>
      <c r="P95" s="221">
        <f>IF($K95="","",IFERROR(DATE(IFERROR(VALUE(RIGHT(TRIM(INDEX('Initiative Tracker'!$G$5:$G$200,$K95)),4)),YEAR(TODAY())),MATCH(LEFT(TRIM(INDEX('Initiative Tracker'!$G$5:$G$200,$K95)),3),$U$2:$U$13,0),1),""))</f>
        <v/>
      </c>
      <c r="Q95" s="221">
        <f>IF($K95="","",IFERROR(DATE(IFERROR(VALUE(RIGHT(TRIM(INDEX('Initiative Tracker'!$H$5:$H$200,$K95)),4)),YEAR(TODAY())),MATCH(LEFT(TRIM(INDEX('Initiative Tracker'!$H$5:$H$200,$K95)),3),$U$2:$U$13,0),1),""))</f>
        <v/>
      </c>
    </row>
    <row r="96">
      <c r="A96" s="220" t="n">
        <v>96</v>
      </c>
      <c r="B96" s="220">
        <f>IF(TRIM(Weekly!E96)="","",TRIM(Weekly!E96))</f>
        <v/>
      </c>
      <c r="C96" s="220">
        <f>IF($B96="","",Weekly!B96)</f>
        <v/>
      </c>
      <c r="D96" s="220">
        <f>IF($B96="","",IF(TRIM(Weekly!C96)="","(No theme assigned)",TRIM(Weekly!C96)))</f>
        <v/>
      </c>
      <c r="E96" s="220">
        <f>IF($B96="","",TRIM(Weekly!F96))</f>
        <v/>
      </c>
      <c r="F96" s="220">
        <f>IF($B96="","",Weekly!G96)</f>
        <v/>
      </c>
      <c r="G96" s="221">
        <f>IF($B96="","",IF(COUNTA(Weekly!$H96:$CT96)=0,"",SUMPRODUCT(MIN(IF(Weekly!$H96:$CT96&lt;&gt;"",Weekly!$H$1:$CT$1)))))</f>
        <v/>
      </c>
      <c r="H96" s="221">
        <f>IF($B96="","",IF(COUNTA(Weekly!$H96:$CT96)=0,"",SUMPRODUCT(MAX(IF(Weekly!$H96:$CT96&lt;&gt;"",Weekly!$H$1:$CT$1)))))</f>
        <v/>
      </c>
      <c r="I96" s="221">
        <f>IF($Q96&lt;&gt;"",IF($P96&lt;&gt;"",$P96,$Q96),IF($P96&lt;&gt;"",$P96,""))</f>
        <v/>
      </c>
      <c r="J96" s="221">
        <f>IF($Q96&lt;&gt;"",EOMONTH($Q96,0),IF($P96&lt;&gt;"",EOMONTH($P96,0),""))</f>
        <v/>
      </c>
      <c r="K96" s="220">
        <f>IF($B96="","",IFERROR(MATCH($B96,'Initiative Tracker'!$A$5:$A$200,0),IF($E96="","",IFERROR(MATCH($E96,'Initiative Tracker'!$B$5:$B$200,0),""))))</f>
        <v/>
      </c>
      <c r="L96" s="220">
        <f>IF($B96="","",IFERROR(MATCH($D96,'Control (Don’t Touch)'!$E$4:$E$30,0),99))</f>
        <v/>
      </c>
      <c r="M96" s="220">
        <f>IF($B96="","",IFERROR(MATCH($F96,'Control (Don’t Touch)'!$B$4:$B$30,0),99))</f>
        <v/>
      </c>
      <c r="N96" s="220">
        <f>IF($B96="","",$L96*1000000+$M96*10000+ROW())</f>
        <v/>
      </c>
      <c r="O96" s="220">
        <f>IF($B96="","",COUNTIF($N$2:$N$205,"&lt;"&amp;$N96)+1)</f>
        <v/>
      </c>
      <c r="P96" s="221">
        <f>IF($K96="","",IFERROR(DATE(IFERROR(VALUE(RIGHT(TRIM(INDEX('Initiative Tracker'!$G$5:$G$200,$K96)),4)),YEAR(TODAY())),MATCH(LEFT(TRIM(INDEX('Initiative Tracker'!$G$5:$G$200,$K96)),3),$U$2:$U$13,0),1),""))</f>
        <v/>
      </c>
      <c r="Q96" s="221">
        <f>IF($K96="","",IFERROR(DATE(IFERROR(VALUE(RIGHT(TRIM(INDEX('Initiative Tracker'!$H$5:$H$200,$K96)),4)),YEAR(TODAY())),MATCH(LEFT(TRIM(INDEX('Initiative Tracker'!$H$5:$H$200,$K96)),3),$U$2:$U$13,0),1),""))</f>
        <v/>
      </c>
    </row>
    <row r="97">
      <c r="A97" s="220" t="n">
        <v>97</v>
      </c>
      <c r="B97" s="220">
        <f>IF(TRIM(Weekly!E97)="","",TRIM(Weekly!E97))</f>
        <v/>
      </c>
      <c r="C97" s="220">
        <f>IF($B97="","",Weekly!B97)</f>
        <v/>
      </c>
      <c r="D97" s="220">
        <f>IF($B97="","",IF(TRIM(Weekly!C97)="","(No theme assigned)",TRIM(Weekly!C97)))</f>
        <v/>
      </c>
      <c r="E97" s="220">
        <f>IF($B97="","",TRIM(Weekly!F97))</f>
        <v/>
      </c>
      <c r="F97" s="220">
        <f>IF($B97="","",Weekly!G97)</f>
        <v/>
      </c>
      <c r="G97" s="221">
        <f>IF($B97="","",IF(COUNTA(Weekly!$H97:$CT97)=0,"",SUMPRODUCT(MIN(IF(Weekly!$H97:$CT97&lt;&gt;"",Weekly!$H$1:$CT$1)))))</f>
        <v/>
      </c>
      <c r="H97" s="221">
        <f>IF($B97="","",IF(COUNTA(Weekly!$H97:$CT97)=0,"",SUMPRODUCT(MAX(IF(Weekly!$H97:$CT97&lt;&gt;"",Weekly!$H$1:$CT$1)))))</f>
        <v/>
      </c>
      <c r="I97" s="221">
        <f>IF($Q97&lt;&gt;"",IF($P97&lt;&gt;"",$P97,$Q97),IF($P97&lt;&gt;"",$P97,""))</f>
        <v/>
      </c>
      <c r="J97" s="221">
        <f>IF($Q97&lt;&gt;"",EOMONTH($Q97,0),IF($P97&lt;&gt;"",EOMONTH($P97,0),""))</f>
        <v/>
      </c>
      <c r="K97" s="220">
        <f>IF($B97="","",IFERROR(MATCH($B97,'Initiative Tracker'!$A$5:$A$200,0),IF($E97="","",IFERROR(MATCH($E97,'Initiative Tracker'!$B$5:$B$200,0),""))))</f>
        <v/>
      </c>
      <c r="L97" s="220">
        <f>IF($B97="","",IFERROR(MATCH($D97,'Control (Don’t Touch)'!$E$4:$E$30,0),99))</f>
        <v/>
      </c>
      <c r="M97" s="220">
        <f>IF($B97="","",IFERROR(MATCH($F97,'Control (Don’t Touch)'!$B$4:$B$30,0),99))</f>
        <v/>
      </c>
      <c r="N97" s="220">
        <f>IF($B97="","",$L97*1000000+$M97*10000+ROW())</f>
        <v/>
      </c>
      <c r="O97" s="220">
        <f>IF($B97="","",COUNTIF($N$2:$N$205,"&lt;"&amp;$N97)+1)</f>
        <v/>
      </c>
      <c r="P97" s="221">
        <f>IF($K97="","",IFERROR(DATE(IFERROR(VALUE(RIGHT(TRIM(INDEX('Initiative Tracker'!$G$5:$G$200,$K97)),4)),YEAR(TODAY())),MATCH(LEFT(TRIM(INDEX('Initiative Tracker'!$G$5:$G$200,$K97)),3),$U$2:$U$13,0),1),""))</f>
        <v/>
      </c>
      <c r="Q97" s="221">
        <f>IF($K97="","",IFERROR(DATE(IFERROR(VALUE(RIGHT(TRIM(INDEX('Initiative Tracker'!$H$5:$H$200,$K97)),4)),YEAR(TODAY())),MATCH(LEFT(TRIM(INDEX('Initiative Tracker'!$H$5:$H$200,$K97)),3),$U$2:$U$13,0),1),""))</f>
        <v/>
      </c>
    </row>
    <row r="98">
      <c r="A98" s="220" t="n">
        <v>98</v>
      </c>
      <c r="B98" s="220">
        <f>IF(TRIM(Weekly!E98)="","",TRIM(Weekly!E98))</f>
        <v/>
      </c>
      <c r="C98" s="220">
        <f>IF($B98="","",Weekly!B98)</f>
        <v/>
      </c>
      <c r="D98" s="220">
        <f>IF($B98="","",IF(TRIM(Weekly!C98)="","(No theme assigned)",TRIM(Weekly!C98)))</f>
        <v/>
      </c>
      <c r="E98" s="220">
        <f>IF($B98="","",TRIM(Weekly!F98))</f>
        <v/>
      </c>
      <c r="F98" s="220">
        <f>IF($B98="","",Weekly!G98)</f>
        <v/>
      </c>
      <c r="G98" s="221">
        <f>IF($B98="","",IF(COUNTA(Weekly!$H98:$CT98)=0,"",SUMPRODUCT(MIN(IF(Weekly!$H98:$CT98&lt;&gt;"",Weekly!$H$1:$CT$1)))))</f>
        <v/>
      </c>
      <c r="H98" s="221">
        <f>IF($B98="","",IF(COUNTA(Weekly!$H98:$CT98)=0,"",SUMPRODUCT(MAX(IF(Weekly!$H98:$CT98&lt;&gt;"",Weekly!$H$1:$CT$1)))))</f>
        <v/>
      </c>
      <c r="I98" s="221">
        <f>IF($Q98&lt;&gt;"",IF($P98&lt;&gt;"",$P98,$Q98),IF($P98&lt;&gt;"",$P98,""))</f>
        <v/>
      </c>
      <c r="J98" s="221">
        <f>IF($Q98&lt;&gt;"",EOMONTH($Q98,0),IF($P98&lt;&gt;"",EOMONTH($P98,0),""))</f>
        <v/>
      </c>
      <c r="K98" s="220">
        <f>IF($B98="","",IFERROR(MATCH($B98,'Initiative Tracker'!$A$5:$A$200,0),IF($E98="","",IFERROR(MATCH($E98,'Initiative Tracker'!$B$5:$B$200,0),""))))</f>
        <v/>
      </c>
      <c r="L98" s="220">
        <f>IF($B98="","",IFERROR(MATCH($D98,'Control (Don’t Touch)'!$E$4:$E$30,0),99))</f>
        <v/>
      </c>
      <c r="M98" s="220">
        <f>IF($B98="","",IFERROR(MATCH($F98,'Control (Don’t Touch)'!$B$4:$B$30,0),99))</f>
        <v/>
      </c>
      <c r="N98" s="220">
        <f>IF($B98="","",$L98*1000000+$M98*10000+ROW())</f>
        <v/>
      </c>
      <c r="O98" s="220">
        <f>IF($B98="","",COUNTIF($N$2:$N$205,"&lt;"&amp;$N98)+1)</f>
        <v/>
      </c>
      <c r="P98" s="221">
        <f>IF($K98="","",IFERROR(DATE(IFERROR(VALUE(RIGHT(TRIM(INDEX('Initiative Tracker'!$G$5:$G$200,$K98)),4)),YEAR(TODAY())),MATCH(LEFT(TRIM(INDEX('Initiative Tracker'!$G$5:$G$200,$K98)),3),$U$2:$U$13,0),1),""))</f>
        <v/>
      </c>
      <c r="Q98" s="221">
        <f>IF($K98="","",IFERROR(DATE(IFERROR(VALUE(RIGHT(TRIM(INDEX('Initiative Tracker'!$H$5:$H$200,$K98)),4)),YEAR(TODAY())),MATCH(LEFT(TRIM(INDEX('Initiative Tracker'!$H$5:$H$200,$K98)),3),$U$2:$U$13,0),1),""))</f>
        <v/>
      </c>
    </row>
    <row r="99">
      <c r="A99" s="220" t="n">
        <v>99</v>
      </c>
      <c r="B99" s="220">
        <f>IF(TRIM(Weekly!E99)="","",TRIM(Weekly!E99))</f>
        <v/>
      </c>
      <c r="C99" s="220">
        <f>IF($B99="","",Weekly!B99)</f>
        <v/>
      </c>
      <c r="D99" s="220">
        <f>IF($B99="","",IF(TRIM(Weekly!C99)="","(No theme assigned)",TRIM(Weekly!C99)))</f>
        <v/>
      </c>
      <c r="E99" s="220">
        <f>IF($B99="","",TRIM(Weekly!F99))</f>
        <v/>
      </c>
      <c r="F99" s="220">
        <f>IF($B99="","",Weekly!G99)</f>
        <v/>
      </c>
      <c r="G99" s="221">
        <f>IF($B99="","",IF(COUNTA(Weekly!$H99:$CT99)=0,"",SUMPRODUCT(MIN(IF(Weekly!$H99:$CT99&lt;&gt;"",Weekly!$H$1:$CT$1)))))</f>
        <v/>
      </c>
      <c r="H99" s="221">
        <f>IF($B99="","",IF(COUNTA(Weekly!$H99:$CT99)=0,"",SUMPRODUCT(MAX(IF(Weekly!$H99:$CT99&lt;&gt;"",Weekly!$H$1:$CT$1)))))</f>
        <v/>
      </c>
      <c r="I99" s="221">
        <f>IF($Q99&lt;&gt;"",IF($P99&lt;&gt;"",$P99,$Q99),IF($P99&lt;&gt;"",$P99,""))</f>
        <v/>
      </c>
      <c r="J99" s="221">
        <f>IF($Q99&lt;&gt;"",EOMONTH($Q99,0),IF($P99&lt;&gt;"",EOMONTH($P99,0),""))</f>
        <v/>
      </c>
      <c r="K99" s="220">
        <f>IF($B99="","",IFERROR(MATCH($B99,'Initiative Tracker'!$A$5:$A$200,0),IF($E99="","",IFERROR(MATCH($E99,'Initiative Tracker'!$B$5:$B$200,0),""))))</f>
        <v/>
      </c>
      <c r="L99" s="220">
        <f>IF($B99="","",IFERROR(MATCH($D99,'Control (Don’t Touch)'!$E$4:$E$30,0),99))</f>
        <v/>
      </c>
      <c r="M99" s="220">
        <f>IF($B99="","",IFERROR(MATCH($F99,'Control (Don’t Touch)'!$B$4:$B$30,0),99))</f>
        <v/>
      </c>
      <c r="N99" s="220">
        <f>IF($B99="","",$L99*1000000+$M99*10000+ROW())</f>
        <v/>
      </c>
      <c r="O99" s="220">
        <f>IF($B99="","",COUNTIF($N$2:$N$205,"&lt;"&amp;$N99)+1)</f>
        <v/>
      </c>
      <c r="P99" s="221">
        <f>IF($K99="","",IFERROR(DATE(IFERROR(VALUE(RIGHT(TRIM(INDEX('Initiative Tracker'!$G$5:$G$200,$K99)),4)),YEAR(TODAY())),MATCH(LEFT(TRIM(INDEX('Initiative Tracker'!$G$5:$G$200,$K99)),3),$U$2:$U$13,0),1),""))</f>
        <v/>
      </c>
      <c r="Q99" s="221">
        <f>IF($K99="","",IFERROR(DATE(IFERROR(VALUE(RIGHT(TRIM(INDEX('Initiative Tracker'!$H$5:$H$200,$K99)),4)),YEAR(TODAY())),MATCH(LEFT(TRIM(INDEX('Initiative Tracker'!$H$5:$H$200,$K99)),3),$U$2:$U$13,0),1),""))</f>
        <v/>
      </c>
    </row>
    <row r="100">
      <c r="A100" s="220" t="n">
        <v>100</v>
      </c>
      <c r="B100" s="220">
        <f>IF(TRIM(Weekly!E100)="","",TRIM(Weekly!E100))</f>
        <v/>
      </c>
      <c r="C100" s="220">
        <f>IF($B100="","",Weekly!B100)</f>
        <v/>
      </c>
      <c r="D100" s="220">
        <f>IF($B100="","",IF(TRIM(Weekly!C100)="","(No theme assigned)",TRIM(Weekly!C100)))</f>
        <v/>
      </c>
      <c r="E100" s="220">
        <f>IF($B100="","",TRIM(Weekly!F100))</f>
        <v/>
      </c>
      <c r="F100" s="220">
        <f>IF($B100="","",Weekly!G100)</f>
        <v/>
      </c>
      <c r="G100" s="221">
        <f>IF($B100="","",IF(COUNTA(Weekly!$H100:$CT100)=0,"",SUMPRODUCT(MIN(IF(Weekly!$H100:$CT100&lt;&gt;"",Weekly!$H$1:$CT$1)))))</f>
        <v/>
      </c>
      <c r="H100" s="221">
        <f>IF($B100="","",IF(COUNTA(Weekly!$H100:$CT100)=0,"",SUMPRODUCT(MAX(IF(Weekly!$H100:$CT100&lt;&gt;"",Weekly!$H$1:$CT$1)))))</f>
        <v/>
      </c>
      <c r="I100" s="221">
        <f>IF($Q100&lt;&gt;"",IF($P100&lt;&gt;"",$P100,$Q100),IF($P100&lt;&gt;"",$P100,""))</f>
        <v/>
      </c>
      <c r="J100" s="221">
        <f>IF($Q100&lt;&gt;"",EOMONTH($Q100,0),IF($P100&lt;&gt;"",EOMONTH($P100,0),""))</f>
        <v/>
      </c>
      <c r="K100" s="220">
        <f>IF($B100="","",IFERROR(MATCH($B100,'Initiative Tracker'!$A$5:$A$200,0),IF($E100="","",IFERROR(MATCH($E100,'Initiative Tracker'!$B$5:$B$200,0),""))))</f>
        <v/>
      </c>
      <c r="L100" s="220">
        <f>IF($B100="","",IFERROR(MATCH($D100,'Control (Don’t Touch)'!$E$4:$E$30,0),99))</f>
        <v/>
      </c>
      <c r="M100" s="220">
        <f>IF($B100="","",IFERROR(MATCH($F100,'Control (Don’t Touch)'!$B$4:$B$30,0),99))</f>
        <v/>
      </c>
      <c r="N100" s="220">
        <f>IF($B100="","",$L100*1000000+$M100*10000+ROW())</f>
        <v/>
      </c>
      <c r="O100" s="220">
        <f>IF($B100="","",COUNTIF($N$2:$N$205,"&lt;"&amp;$N100)+1)</f>
        <v/>
      </c>
      <c r="P100" s="221">
        <f>IF($K100="","",IFERROR(DATE(IFERROR(VALUE(RIGHT(TRIM(INDEX('Initiative Tracker'!$G$5:$G$200,$K100)),4)),YEAR(TODAY())),MATCH(LEFT(TRIM(INDEX('Initiative Tracker'!$G$5:$G$200,$K100)),3),$U$2:$U$13,0),1),""))</f>
        <v/>
      </c>
      <c r="Q100" s="221">
        <f>IF($K100="","",IFERROR(DATE(IFERROR(VALUE(RIGHT(TRIM(INDEX('Initiative Tracker'!$H$5:$H$200,$K100)),4)),YEAR(TODAY())),MATCH(LEFT(TRIM(INDEX('Initiative Tracker'!$H$5:$H$200,$K100)),3),$U$2:$U$13,0),1),""))</f>
        <v/>
      </c>
    </row>
    <row r="101">
      <c r="A101" s="220" t="n">
        <v>101</v>
      </c>
      <c r="B101" s="220">
        <f>IF(TRIM(Weekly!E101)="","",TRIM(Weekly!E101))</f>
        <v/>
      </c>
      <c r="C101" s="220">
        <f>IF($B101="","",Weekly!B101)</f>
        <v/>
      </c>
      <c r="D101" s="220">
        <f>IF($B101="","",IF(TRIM(Weekly!C101)="","(No theme assigned)",TRIM(Weekly!C101)))</f>
        <v/>
      </c>
      <c r="E101" s="220">
        <f>IF($B101="","",TRIM(Weekly!F101))</f>
        <v/>
      </c>
      <c r="F101" s="220">
        <f>IF($B101="","",Weekly!G101)</f>
        <v/>
      </c>
      <c r="G101" s="221">
        <f>IF($B101="","",IF(COUNTA(Weekly!$H101:$CT101)=0,"",SUMPRODUCT(MIN(IF(Weekly!$H101:$CT101&lt;&gt;"",Weekly!$H$1:$CT$1)))))</f>
        <v/>
      </c>
      <c r="H101" s="221">
        <f>IF($B101="","",IF(COUNTA(Weekly!$H101:$CT101)=0,"",SUMPRODUCT(MAX(IF(Weekly!$H101:$CT101&lt;&gt;"",Weekly!$H$1:$CT$1)))))</f>
        <v/>
      </c>
      <c r="I101" s="221">
        <f>IF($Q101&lt;&gt;"",IF($P101&lt;&gt;"",$P101,$Q101),IF($P101&lt;&gt;"",$P101,""))</f>
        <v/>
      </c>
      <c r="J101" s="221">
        <f>IF($Q101&lt;&gt;"",EOMONTH($Q101,0),IF($P101&lt;&gt;"",EOMONTH($P101,0),""))</f>
        <v/>
      </c>
      <c r="K101" s="220">
        <f>IF($B101="","",IFERROR(MATCH($B101,'Initiative Tracker'!$A$5:$A$200,0),IF($E101="","",IFERROR(MATCH($E101,'Initiative Tracker'!$B$5:$B$200,0),""))))</f>
        <v/>
      </c>
      <c r="L101" s="220">
        <f>IF($B101="","",IFERROR(MATCH($D101,'Control (Don’t Touch)'!$E$4:$E$30,0),99))</f>
        <v/>
      </c>
      <c r="M101" s="220">
        <f>IF($B101="","",IFERROR(MATCH($F101,'Control (Don’t Touch)'!$B$4:$B$30,0),99))</f>
        <v/>
      </c>
      <c r="N101" s="220">
        <f>IF($B101="","",$L101*1000000+$M101*10000+ROW())</f>
        <v/>
      </c>
      <c r="O101" s="220">
        <f>IF($B101="","",COUNTIF($N$2:$N$205,"&lt;"&amp;$N101)+1)</f>
        <v/>
      </c>
      <c r="P101" s="221">
        <f>IF($K101="","",IFERROR(DATE(IFERROR(VALUE(RIGHT(TRIM(INDEX('Initiative Tracker'!$G$5:$G$200,$K101)),4)),YEAR(TODAY())),MATCH(LEFT(TRIM(INDEX('Initiative Tracker'!$G$5:$G$200,$K101)),3),$U$2:$U$13,0),1),""))</f>
        <v/>
      </c>
      <c r="Q101" s="221">
        <f>IF($K101="","",IFERROR(DATE(IFERROR(VALUE(RIGHT(TRIM(INDEX('Initiative Tracker'!$H$5:$H$200,$K101)),4)),YEAR(TODAY())),MATCH(LEFT(TRIM(INDEX('Initiative Tracker'!$H$5:$H$200,$K101)),3),$U$2:$U$13,0),1),""))</f>
        <v/>
      </c>
    </row>
    <row r="102">
      <c r="A102" s="220" t="n">
        <v>102</v>
      </c>
      <c r="B102" s="220">
        <f>IF(TRIM(Weekly!E102)="","",TRIM(Weekly!E102))</f>
        <v/>
      </c>
      <c r="C102" s="220">
        <f>IF($B102="","",Weekly!B102)</f>
        <v/>
      </c>
      <c r="D102" s="220">
        <f>IF($B102="","",IF(TRIM(Weekly!C102)="","(No theme assigned)",TRIM(Weekly!C102)))</f>
        <v/>
      </c>
      <c r="E102" s="220">
        <f>IF($B102="","",TRIM(Weekly!F102))</f>
        <v/>
      </c>
      <c r="F102" s="220">
        <f>IF($B102="","",Weekly!G102)</f>
        <v/>
      </c>
      <c r="G102" s="221">
        <f>IF($B102="","",IF(COUNTA(Weekly!$H102:$CT102)=0,"",SUMPRODUCT(MIN(IF(Weekly!$H102:$CT102&lt;&gt;"",Weekly!$H$1:$CT$1)))))</f>
        <v/>
      </c>
      <c r="H102" s="221">
        <f>IF($B102="","",IF(COUNTA(Weekly!$H102:$CT102)=0,"",SUMPRODUCT(MAX(IF(Weekly!$H102:$CT102&lt;&gt;"",Weekly!$H$1:$CT$1)))))</f>
        <v/>
      </c>
      <c r="I102" s="221">
        <f>IF($Q102&lt;&gt;"",IF($P102&lt;&gt;"",$P102,$Q102),IF($P102&lt;&gt;"",$P102,""))</f>
        <v/>
      </c>
      <c r="J102" s="221">
        <f>IF($Q102&lt;&gt;"",EOMONTH($Q102,0),IF($P102&lt;&gt;"",EOMONTH($P102,0),""))</f>
        <v/>
      </c>
      <c r="K102" s="220">
        <f>IF($B102="","",IFERROR(MATCH($B102,'Initiative Tracker'!$A$5:$A$200,0),IF($E102="","",IFERROR(MATCH($E102,'Initiative Tracker'!$B$5:$B$200,0),""))))</f>
        <v/>
      </c>
      <c r="L102" s="220">
        <f>IF($B102="","",IFERROR(MATCH($D102,'Control (Don’t Touch)'!$E$4:$E$30,0),99))</f>
        <v/>
      </c>
      <c r="M102" s="220">
        <f>IF($B102="","",IFERROR(MATCH($F102,'Control (Don’t Touch)'!$B$4:$B$30,0),99))</f>
        <v/>
      </c>
      <c r="N102" s="220">
        <f>IF($B102="","",$L102*1000000+$M102*10000+ROW())</f>
        <v/>
      </c>
      <c r="O102" s="220">
        <f>IF($B102="","",COUNTIF($N$2:$N$205,"&lt;"&amp;$N102)+1)</f>
        <v/>
      </c>
      <c r="P102" s="221">
        <f>IF($K102="","",IFERROR(DATE(IFERROR(VALUE(RIGHT(TRIM(INDEX('Initiative Tracker'!$G$5:$G$200,$K102)),4)),YEAR(TODAY())),MATCH(LEFT(TRIM(INDEX('Initiative Tracker'!$G$5:$G$200,$K102)),3),$U$2:$U$13,0),1),""))</f>
        <v/>
      </c>
      <c r="Q102" s="221">
        <f>IF($K102="","",IFERROR(DATE(IFERROR(VALUE(RIGHT(TRIM(INDEX('Initiative Tracker'!$H$5:$H$200,$K102)),4)),YEAR(TODAY())),MATCH(LEFT(TRIM(INDEX('Initiative Tracker'!$H$5:$H$200,$K102)),3),$U$2:$U$13,0),1),""))</f>
        <v/>
      </c>
    </row>
    <row r="103">
      <c r="A103" s="220" t="n">
        <v>103</v>
      </c>
      <c r="B103" s="220">
        <f>IF(TRIM(Weekly!E103)="","",TRIM(Weekly!E103))</f>
        <v/>
      </c>
      <c r="C103" s="220">
        <f>IF($B103="","",Weekly!B103)</f>
        <v/>
      </c>
      <c r="D103" s="220">
        <f>IF($B103="","",IF(TRIM(Weekly!C103)="","(No theme assigned)",TRIM(Weekly!C103)))</f>
        <v/>
      </c>
      <c r="E103" s="220">
        <f>IF($B103="","",TRIM(Weekly!F103))</f>
        <v/>
      </c>
      <c r="F103" s="220">
        <f>IF($B103="","",Weekly!G103)</f>
        <v/>
      </c>
      <c r="G103" s="221">
        <f>IF($B103="","",IF(COUNTA(Weekly!$H103:$CT103)=0,"",SUMPRODUCT(MIN(IF(Weekly!$H103:$CT103&lt;&gt;"",Weekly!$H$1:$CT$1)))))</f>
        <v/>
      </c>
      <c r="H103" s="221">
        <f>IF($B103="","",IF(COUNTA(Weekly!$H103:$CT103)=0,"",SUMPRODUCT(MAX(IF(Weekly!$H103:$CT103&lt;&gt;"",Weekly!$H$1:$CT$1)))))</f>
        <v/>
      </c>
      <c r="I103" s="221">
        <f>IF($Q103&lt;&gt;"",IF($P103&lt;&gt;"",$P103,$Q103),IF($P103&lt;&gt;"",$P103,""))</f>
        <v/>
      </c>
      <c r="J103" s="221">
        <f>IF($Q103&lt;&gt;"",EOMONTH($Q103,0),IF($P103&lt;&gt;"",EOMONTH($P103,0),""))</f>
        <v/>
      </c>
      <c r="K103" s="220">
        <f>IF($B103="","",IFERROR(MATCH($B103,'Initiative Tracker'!$A$5:$A$200,0),IF($E103="","",IFERROR(MATCH($E103,'Initiative Tracker'!$B$5:$B$200,0),""))))</f>
        <v/>
      </c>
      <c r="L103" s="220">
        <f>IF($B103="","",IFERROR(MATCH($D103,'Control (Don’t Touch)'!$E$4:$E$30,0),99))</f>
        <v/>
      </c>
      <c r="M103" s="220">
        <f>IF($B103="","",IFERROR(MATCH($F103,'Control (Don’t Touch)'!$B$4:$B$30,0),99))</f>
        <v/>
      </c>
      <c r="N103" s="220">
        <f>IF($B103="","",$L103*1000000+$M103*10000+ROW())</f>
        <v/>
      </c>
      <c r="O103" s="220">
        <f>IF($B103="","",COUNTIF($N$2:$N$205,"&lt;"&amp;$N103)+1)</f>
        <v/>
      </c>
      <c r="P103" s="221">
        <f>IF($K103="","",IFERROR(DATE(IFERROR(VALUE(RIGHT(TRIM(INDEX('Initiative Tracker'!$G$5:$G$200,$K103)),4)),YEAR(TODAY())),MATCH(LEFT(TRIM(INDEX('Initiative Tracker'!$G$5:$G$200,$K103)),3),$U$2:$U$13,0),1),""))</f>
        <v/>
      </c>
      <c r="Q103" s="221">
        <f>IF($K103="","",IFERROR(DATE(IFERROR(VALUE(RIGHT(TRIM(INDEX('Initiative Tracker'!$H$5:$H$200,$K103)),4)),YEAR(TODAY())),MATCH(LEFT(TRIM(INDEX('Initiative Tracker'!$H$5:$H$200,$K103)),3),$U$2:$U$13,0),1),""))</f>
        <v/>
      </c>
    </row>
    <row r="104">
      <c r="A104" s="220" t="n">
        <v>104</v>
      </c>
      <c r="B104" s="220">
        <f>IF(TRIM(Weekly!E104)="","",TRIM(Weekly!E104))</f>
        <v/>
      </c>
      <c r="C104" s="220">
        <f>IF($B104="","",Weekly!B104)</f>
        <v/>
      </c>
      <c r="D104" s="220">
        <f>IF($B104="","",IF(TRIM(Weekly!C104)="","(No theme assigned)",TRIM(Weekly!C104)))</f>
        <v/>
      </c>
      <c r="E104" s="220">
        <f>IF($B104="","",TRIM(Weekly!F104))</f>
        <v/>
      </c>
      <c r="F104" s="220">
        <f>IF($B104="","",Weekly!G104)</f>
        <v/>
      </c>
      <c r="G104" s="221">
        <f>IF($B104="","",IF(COUNTA(Weekly!$H104:$CT104)=0,"",SUMPRODUCT(MIN(IF(Weekly!$H104:$CT104&lt;&gt;"",Weekly!$H$1:$CT$1)))))</f>
        <v/>
      </c>
      <c r="H104" s="221">
        <f>IF($B104="","",IF(COUNTA(Weekly!$H104:$CT104)=0,"",SUMPRODUCT(MAX(IF(Weekly!$H104:$CT104&lt;&gt;"",Weekly!$H$1:$CT$1)))))</f>
        <v/>
      </c>
      <c r="I104" s="221">
        <f>IF($Q104&lt;&gt;"",IF($P104&lt;&gt;"",$P104,$Q104),IF($P104&lt;&gt;"",$P104,""))</f>
        <v/>
      </c>
      <c r="J104" s="221">
        <f>IF($Q104&lt;&gt;"",EOMONTH($Q104,0),IF($P104&lt;&gt;"",EOMONTH($P104,0),""))</f>
        <v/>
      </c>
      <c r="K104" s="220">
        <f>IF($B104="","",IFERROR(MATCH($B104,'Initiative Tracker'!$A$5:$A$200,0),IF($E104="","",IFERROR(MATCH($E104,'Initiative Tracker'!$B$5:$B$200,0),""))))</f>
        <v/>
      </c>
      <c r="L104" s="220">
        <f>IF($B104="","",IFERROR(MATCH($D104,'Control (Don’t Touch)'!$E$4:$E$30,0),99))</f>
        <v/>
      </c>
      <c r="M104" s="220">
        <f>IF($B104="","",IFERROR(MATCH($F104,'Control (Don’t Touch)'!$B$4:$B$30,0),99))</f>
        <v/>
      </c>
      <c r="N104" s="220">
        <f>IF($B104="","",$L104*1000000+$M104*10000+ROW())</f>
        <v/>
      </c>
      <c r="O104" s="220">
        <f>IF($B104="","",COUNTIF($N$2:$N$205,"&lt;"&amp;$N104)+1)</f>
        <v/>
      </c>
      <c r="P104" s="221">
        <f>IF($K104="","",IFERROR(DATE(IFERROR(VALUE(RIGHT(TRIM(INDEX('Initiative Tracker'!$G$5:$G$200,$K104)),4)),YEAR(TODAY())),MATCH(LEFT(TRIM(INDEX('Initiative Tracker'!$G$5:$G$200,$K104)),3),$U$2:$U$13,0),1),""))</f>
        <v/>
      </c>
      <c r="Q104" s="221">
        <f>IF($K104="","",IFERROR(DATE(IFERROR(VALUE(RIGHT(TRIM(INDEX('Initiative Tracker'!$H$5:$H$200,$K104)),4)),YEAR(TODAY())),MATCH(LEFT(TRIM(INDEX('Initiative Tracker'!$H$5:$H$200,$K104)),3),$U$2:$U$13,0),1),""))</f>
        <v/>
      </c>
    </row>
    <row r="105">
      <c r="A105" s="220" t="n">
        <v>105</v>
      </c>
      <c r="B105" s="220">
        <f>IF(TRIM(Weekly!E105)="","",TRIM(Weekly!E105))</f>
        <v/>
      </c>
      <c r="C105" s="220">
        <f>IF($B105="","",Weekly!B105)</f>
        <v/>
      </c>
      <c r="D105" s="220">
        <f>IF($B105="","",IF(TRIM(Weekly!C105)="","(No theme assigned)",TRIM(Weekly!C105)))</f>
        <v/>
      </c>
      <c r="E105" s="220">
        <f>IF($B105="","",TRIM(Weekly!F105))</f>
        <v/>
      </c>
      <c r="F105" s="220">
        <f>IF($B105="","",Weekly!G105)</f>
        <v/>
      </c>
      <c r="G105" s="221">
        <f>IF($B105="","",IF(COUNTA(Weekly!$H105:$CT105)=0,"",SUMPRODUCT(MIN(IF(Weekly!$H105:$CT105&lt;&gt;"",Weekly!$H$1:$CT$1)))))</f>
        <v/>
      </c>
      <c r="H105" s="221">
        <f>IF($B105="","",IF(COUNTA(Weekly!$H105:$CT105)=0,"",SUMPRODUCT(MAX(IF(Weekly!$H105:$CT105&lt;&gt;"",Weekly!$H$1:$CT$1)))))</f>
        <v/>
      </c>
      <c r="I105" s="221">
        <f>IF($Q105&lt;&gt;"",IF($P105&lt;&gt;"",$P105,$Q105),IF($P105&lt;&gt;"",$P105,""))</f>
        <v/>
      </c>
      <c r="J105" s="221">
        <f>IF($Q105&lt;&gt;"",EOMONTH($Q105,0),IF($P105&lt;&gt;"",EOMONTH($P105,0),""))</f>
        <v/>
      </c>
      <c r="K105" s="220">
        <f>IF($B105="","",IFERROR(MATCH($B105,'Initiative Tracker'!$A$5:$A$200,0),IF($E105="","",IFERROR(MATCH($E105,'Initiative Tracker'!$B$5:$B$200,0),""))))</f>
        <v/>
      </c>
      <c r="L105" s="220">
        <f>IF($B105="","",IFERROR(MATCH($D105,'Control (Don’t Touch)'!$E$4:$E$30,0),99))</f>
        <v/>
      </c>
      <c r="M105" s="220">
        <f>IF($B105="","",IFERROR(MATCH($F105,'Control (Don’t Touch)'!$B$4:$B$30,0),99))</f>
        <v/>
      </c>
      <c r="N105" s="220">
        <f>IF($B105="","",$L105*1000000+$M105*10000+ROW())</f>
        <v/>
      </c>
      <c r="O105" s="220">
        <f>IF($B105="","",COUNTIF($N$2:$N$205,"&lt;"&amp;$N105)+1)</f>
        <v/>
      </c>
      <c r="P105" s="221">
        <f>IF($K105="","",IFERROR(DATE(IFERROR(VALUE(RIGHT(TRIM(INDEX('Initiative Tracker'!$G$5:$G$200,$K105)),4)),YEAR(TODAY())),MATCH(LEFT(TRIM(INDEX('Initiative Tracker'!$G$5:$G$200,$K105)),3),$U$2:$U$13,0),1),""))</f>
        <v/>
      </c>
      <c r="Q105" s="221">
        <f>IF($K105="","",IFERROR(DATE(IFERROR(VALUE(RIGHT(TRIM(INDEX('Initiative Tracker'!$H$5:$H$200,$K105)),4)),YEAR(TODAY())),MATCH(LEFT(TRIM(INDEX('Initiative Tracker'!$H$5:$H$200,$K105)),3),$U$2:$U$13,0),1),""))</f>
        <v/>
      </c>
    </row>
    <row r="106">
      <c r="A106" s="220" t="n">
        <v>106</v>
      </c>
      <c r="B106" s="220">
        <f>IF(TRIM(Weekly!E106)="","",TRIM(Weekly!E106))</f>
        <v/>
      </c>
      <c r="C106" s="220">
        <f>IF($B106="","",Weekly!B106)</f>
        <v/>
      </c>
      <c r="D106" s="220">
        <f>IF($B106="","",IF(TRIM(Weekly!C106)="","(No theme assigned)",TRIM(Weekly!C106)))</f>
        <v/>
      </c>
      <c r="E106" s="220">
        <f>IF($B106="","",TRIM(Weekly!F106))</f>
        <v/>
      </c>
      <c r="F106" s="220">
        <f>IF($B106="","",Weekly!G106)</f>
        <v/>
      </c>
      <c r="G106" s="221">
        <f>IF($B106="","",IF(COUNTA(Weekly!$H106:$CT106)=0,"",SUMPRODUCT(MIN(IF(Weekly!$H106:$CT106&lt;&gt;"",Weekly!$H$1:$CT$1)))))</f>
        <v/>
      </c>
      <c r="H106" s="221">
        <f>IF($B106="","",IF(COUNTA(Weekly!$H106:$CT106)=0,"",SUMPRODUCT(MAX(IF(Weekly!$H106:$CT106&lt;&gt;"",Weekly!$H$1:$CT$1)))))</f>
        <v/>
      </c>
      <c r="I106" s="221">
        <f>IF($Q106&lt;&gt;"",IF($P106&lt;&gt;"",$P106,$Q106),IF($P106&lt;&gt;"",$P106,""))</f>
        <v/>
      </c>
      <c r="J106" s="221">
        <f>IF($Q106&lt;&gt;"",EOMONTH($Q106,0),IF($P106&lt;&gt;"",EOMONTH($P106,0),""))</f>
        <v/>
      </c>
      <c r="K106" s="220">
        <f>IF($B106="","",IFERROR(MATCH($B106,'Initiative Tracker'!$A$5:$A$200,0),IF($E106="","",IFERROR(MATCH($E106,'Initiative Tracker'!$B$5:$B$200,0),""))))</f>
        <v/>
      </c>
      <c r="L106" s="220">
        <f>IF($B106="","",IFERROR(MATCH($D106,'Control (Don’t Touch)'!$E$4:$E$30,0),99))</f>
        <v/>
      </c>
      <c r="M106" s="220">
        <f>IF($B106="","",IFERROR(MATCH($F106,'Control (Don’t Touch)'!$B$4:$B$30,0),99))</f>
        <v/>
      </c>
      <c r="N106" s="220">
        <f>IF($B106="","",$L106*1000000+$M106*10000+ROW())</f>
        <v/>
      </c>
      <c r="O106" s="220">
        <f>IF($B106="","",COUNTIF($N$2:$N$205,"&lt;"&amp;$N106)+1)</f>
        <v/>
      </c>
      <c r="P106" s="221">
        <f>IF($K106="","",IFERROR(DATE(IFERROR(VALUE(RIGHT(TRIM(INDEX('Initiative Tracker'!$G$5:$G$200,$K106)),4)),YEAR(TODAY())),MATCH(LEFT(TRIM(INDEX('Initiative Tracker'!$G$5:$G$200,$K106)),3),$U$2:$U$13,0),1),""))</f>
        <v/>
      </c>
      <c r="Q106" s="221">
        <f>IF($K106="","",IFERROR(DATE(IFERROR(VALUE(RIGHT(TRIM(INDEX('Initiative Tracker'!$H$5:$H$200,$K106)),4)),YEAR(TODAY())),MATCH(LEFT(TRIM(INDEX('Initiative Tracker'!$H$5:$H$200,$K106)),3),$U$2:$U$13,0),1),""))</f>
        <v/>
      </c>
    </row>
    <row r="107">
      <c r="A107" s="220" t="n">
        <v>107</v>
      </c>
      <c r="B107" s="220">
        <f>IF(TRIM(Weekly!E107)="","",TRIM(Weekly!E107))</f>
        <v/>
      </c>
      <c r="C107" s="220">
        <f>IF($B107="","",Weekly!B107)</f>
        <v/>
      </c>
      <c r="D107" s="220">
        <f>IF($B107="","",IF(TRIM(Weekly!C107)="","(No theme assigned)",TRIM(Weekly!C107)))</f>
        <v/>
      </c>
      <c r="E107" s="220">
        <f>IF($B107="","",TRIM(Weekly!F107))</f>
        <v/>
      </c>
      <c r="F107" s="220">
        <f>IF($B107="","",Weekly!G107)</f>
        <v/>
      </c>
      <c r="G107" s="221">
        <f>IF($B107="","",IF(COUNTA(Weekly!$H107:$CT107)=0,"",SUMPRODUCT(MIN(IF(Weekly!$H107:$CT107&lt;&gt;"",Weekly!$H$1:$CT$1)))))</f>
        <v/>
      </c>
      <c r="H107" s="221">
        <f>IF($B107="","",IF(COUNTA(Weekly!$H107:$CT107)=0,"",SUMPRODUCT(MAX(IF(Weekly!$H107:$CT107&lt;&gt;"",Weekly!$H$1:$CT$1)))))</f>
        <v/>
      </c>
      <c r="I107" s="221">
        <f>IF($Q107&lt;&gt;"",IF($P107&lt;&gt;"",$P107,$Q107),IF($P107&lt;&gt;"",$P107,""))</f>
        <v/>
      </c>
      <c r="J107" s="221">
        <f>IF($Q107&lt;&gt;"",EOMONTH($Q107,0),IF($P107&lt;&gt;"",EOMONTH($P107,0),""))</f>
        <v/>
      </c>
      <c r="K107" s="220">
        <f>IF($B107="","",IFERROR(MATCH($B107,'Initiative Tracker'!$A$5:$A$200,0),IF($E107="","",IFERROR(MATCH($E107,'Initiative Tracker'!$B$5:$B$200,0),""))))</f>
        <v/>
      </c>
      <c r="L107" s="220">
        <f>IF($B107="","",IFERROR(MATCH($D107,'Control (Don’t Touch)'!$E$4:$E$30,0),99))</f>
        <v/>
      </c>
      <c r="M107" s="220">
        <f>IF($B107="","",IFERROR(MATCH($F107,'Control (Don’t Touch)'!$B$4:$B$30,0),99))</f>
        <v/>
      </c>
      <c r="N107" s="220">
        <f>IF($B107="","",$L107*1000000+$M107*10000+ROW())</f>
        <v/>
      </c>
      <c r="O107" s="220">
        <f>IF($B107="","",COUNTIF($N$2:$N$205,"&lt;"&amp;$N107)+1)</f>
        <v/>
      </c>
      <c r="P107" s="221">
        <f>IF($K107="","",IFERROR(DATE(IFERROR(VALUE(RIGHT(TRIM(INDEX('Initiative Tracker'!$G$5:$G$200,$K107)),4)),YEAR(TODAY())),MATCH(LEFT(TRIM(INDEX('Initiative Tracker'!$G$5:$G$200,$K107)),3),$U$2:$U$13,0),1),""))</f>
        <v/>
      </c>
      <c r="Q107" s="221">
        <f>IF($K107="","",IFERROR(DATE(IFERROR(VALUE(RIGHT(TRIM(INDEX('Initiative Tracker'!$H$5:$H$200,$K107)),4)),YEAR(TODAY())),MATCH(LEFT(TRIM(INDEX('Initiative Tracker'!$H$5:$H$200,$K107)),3),$U$2:$U$13,0),1),""))</f>
        <v/>
      </c>
    </row>
    <row r="108">
      <c r="A108" s="220" t="n">
        <v>108</v>
      </c>
      <c r="B108" s="220">
        <f>IF(TRIM(Weekly!E108)="","",TRIM(Weekly!E108))</f>
        <v/>
      </c>
      <c r="C108" s="220">
        <f>IF($B108="","",Weekly!B108)</f>
        <v/>
      </c>
      <c r="D108" s="220">
        <f>IF($B108="","",IF(TRIM(Weekly!C108)="","(No theme assigned)",TRIM(Weekly!C108)))</f>
        <v/>
      </c>
      <c r="E108" s="220">
        <f>IF($B108="","",TRIM(Weekly!F108))</f>
        <v/>
      </c>
      <c r="F108" s="220">
        <f>IF($B108="","",Weekly!G108)</f>
        <v/>
      </c>
      <c r="G108" s="221">
        <f>IF($B108="","",IF(COUNTA(Weekly!$H108:$CT108)=0,"",SUMPRODUCT(MIN(IF(Weekly!$H108:$CT108&lt;&gt;"",Weekly!$H$1:$CT$1)))))</f>
        <v/>
      </c>
      <c r="H108" s="221">
        <f>IF($B108="","",IF(COUNTA(Weekly!$H108:$CT108)=0,"",SUMPRODUCT(MAX(IF(Weekly!$H108:$CT108&lt;&gt;"",Weekly!$H$1:$CT$1)))))</f>
        <v/>
      </c>
      <c r="I108" s="221">
        <f>IF($Q108&lt;&gt;"",IF($P108&lt;&gt;"",$P108,$Q108),IF($P108&lt;&gt;"",$P108,""))</f>
        <v/>
      </c>
      <c r="J108" s="221">
        <f>IF($Q108&lt;&gt;"",EOMONTH($Q108,0),IF($P108&lt;&gt;"",EOMONTH($P108,0),""))</f>
        <v/>
      </c>
      <c r="K108" s="220">
        <f>IF($B108="","",IFERROR(MATCH($B108,'Initiative Tracker'!$A$5:$A$200,0),IF($E108="","",IFERROR(MATCH($E108,'Initiative Tracker'!$B$5:$B$200,0),""))))</f>
        <v/>
      </c>
      <c r="L108" s="220">
        <f>IF($B108="","",IFERROR(MATCH($D108,'Control (Don’t Touch)'!$E$4:$E$30,0),99))</f>
        <v/>
      </c>
      <c r="M108" s="220">
        <f>IF($B108="","",IFERROR(MATCH($F108,'Control (Don’t Touch)'!$B$4:$B$30,0),99))</f>
        <v/>
      </c>
      <c r="N108" s="220">
        <f>IF($B108="","",$L108*1000000+$M108*10000+ROW())</f>
        <v/>
      </c>
      <c r="O108" s="220">
        <f>IF($B108="","",COUNTIF($N$2:$N$205,"&lt;"&amp;$N108)+1)</f>
        <v/>
      </c>
      <c r="P108" s="221">
        <f>IF($K108="","",IFERROR(DATE(IFERROR(VALUE(RIGHT(TRIM(INDEX('Initiative Tracker'!$G$5:$G$200,$K108)),4)),YEAR(TODAY())),MATCH(LEFT(TRIM(INDEX('Initiative Tracker'!$G$5:$G$200,$K108)),3),$U$2:$U$13,0),1),""))</f>
        <v/>
      </c>
      <c r="Q108" s="221">
        <f>IF($K108="","",IFERROR(DATE(IFERROR(VALUE(RIGHT(TRIM(INDEX('Initiative Tracker'!$H$5:$H$200,$K108)),4)),YEAR(TODAY())),MATCH(LEFT(TRIM(INDEX('Initiative Tracker'!$H$5:$H$200,$K108)),3),$U$2:$U$13,0),1),""))</f>
        <v/>
      </c>
    </row>
    <row r="109">
      <c r="A109" s="220" t="n">
        <v>109</v>
      </c>
      <c r="B109" s="220">
        <f>IF(TRIM(Weekly!E109)="","",TRIM(Weekly!E109))</f>
        <v/>
      </c>
      <c r="C109" s="220">
        <f>IF($B109="","",Weekly!B109)</f>
        <v/>
      </c>
      <c r="D109" s="220">
        <f>IF($B109="","",IF(TRIM(Weekly!C109)="","(No theme assigned)",TRIM(Weekly!C109)))</f>
        <v/>
      </c>
      <c r="E109" s="220">
        <f>IF($B109="","",TRIM(Weekly!F109))</f>
        <v/>
      </c>
      <c r="F109" s="220">
        <f>IF($B109="","",Weekly!G109)</f>
        <v/>
      </c>
      <c r="G109" s="221">
        <f>IF($B109="","",IF(COUNTA(Weekly!$H109:$CT109)=0,"",SUMPRODUCT(MIN(IF(Weekly!$H109:$CT109&lt;&gt;"",Weekly!$H$1:$CT$1)))))</f>
        <v/>
      </c>
      <c r="H109" s="221">
        <f>IF($B109="","",IF(COUNTA(Weekly!$H109:$CT109)=0,"",SUMPRODUCT(MAX(IF(Weekly!$H109:$CT109&lt;&gt;"",Weekly!$H$1:$CT$1)))))</f>
        <v/>
      </c>
      <c r="I109" s="221">
        <f>IF($Q109&lt;&gt;"",IF($P109&lt;&gt;"",$P109,$Q109),IF($P109&lt;&gt;"",$P109,""))</f>
        <v/>
      </c>
      <c r="J109" s="221">
        <f>IF($Q109&lt;&gt;"",EOMONTH($Q109,0),IF($P109&lt;&gt;"",EOMONTH($P109,0),""))</f>
        <v/>
      </c>
      <c r="K109" s="220">
        <f>IF($B109="","",IFERROR(MATCH($B109,'Initiative Tracker'!$A$5:$A$200,0),IF($E109="","",IFERROR(MATCH($E109,'Initiative Tracker'!$B$5:$B$200,0),""))))</f>
        <v/>
      </c>
      <c r="L109" s="220">
        <f>IF($B109="","",IFERROR(MATCH($D109,'Control (Don’t Touch)'!$E$4:$E$30,0),99))</f>
        <v/>
      </c>
      <c r="M109" s="220">
        <f>IF($B109="","",IFERROR(MATCH($F109,'Control (Don’t Touch)'!$B$4:$B$30,0),99))</f>
        <v/>
      </c>
      <c r="N109" s="220">
        <f>IF($B109="","",$L109*1000000+$M109*10000+ROW())</f>
        <v/>
      </c>
      <c r="O109" s="220">
        <f>IF($B109="","",COUNTIF($N$2:$N$205,"&lt;"&amp;$N109)+1)</f>
        <v/>
      </c>
      <c r="P109" s="221">
        <f>IF($K109="","",IFERROR(DATE(IFERROR(VALUE(RIGHT(TRIM(INDEX('Initiative Tracker'!$G$5:$G$200,$K109)),4)),YEAR(TODAY())),MATCH(LEFT(TRIM(INDEX('Initiative Tracker'!$G$5:$G$200,$K109)),3),$U$2:$U$13,0),1),""))</f>
        <v/>
      </c>
      <c r="Q109" s="221">
        <f>IF($K109="","",IFERROR(DATE(IFERROR(VALUE(RIGHT(TRIM(INDEX('Initiative Tracker'!$H$5:$H$200,$K109)),4)),YEAR(TODAY())),MATCH(LEFT(TRIM(INDEX('Initiative Tracker'!$H$5:$H$200,$K109)),3),$U$2:$U$13,0),1),""))</f>
        <v/>
      </c>
    </row>
    <row r="110">
      <c r="A110" s="220" t="n">
        <v>110</v>
      </c>
      <c r="B110" s="220">
        <f>IF(TRIM(Weekly!E110)="","",TRIM(Weekly!E110))</f>
        <v/>
      </c>
      <c r="C110" s="220">
        <f>IF($B110="","",Weekly!B110)</f>
        <v/>
      </c>
      <c r="D110" s="220">
        <f>IF($B110="","",IF(TRIM(Weekly!C110)="","(No theme assigned)",TRIM(Weekly!C110)))</f>
        <v/>
      </c>
      <c r="E110" s="220">
        <f>IF($B110="","",TRIM(Weekly!F110))</f>
        <v/>
      </c>
      <c r="F110" s="220">
        <f>IF($B110="","",Weekly!G110)</f>
        <v/>
      </c>
      <c r="G110" s="221">
        <f>IF($B110="","",IF(COUNTA(Weekly!$H110:$CT110)=0,"",SUMPRODUCT(MIN(IF(Weekly!$H110:$CT110&lt;&gt;"",Weekly!$H$1:$CT$1)))))</f>
        <v/>
      </c>
      <c r="H110" s="221">
        <f>IF($B110="","",IF(COUNTA(Weekly!$H110:$CT110)=0,"",SUMPRODUCT(MAX(IF(Weekly!$H110:$CT110&lt;&gt;"",Weekly!$H$1:$CT$1)))))</f>
        <v/>
      </c>
      <c r="I110" s="221">
        <f>IF($Q110&lt;&gt;"",IF($P110&lt;&gt;"",$P110,$Q110),IF($P110&lt;&gt;"",$P110,""))</f>
        <v/>
      </c>
      <c r="J110" s="221">
        <f>IF($Q110&lt;&gt;"",EOMONTH($Q110,0),IF($P110&lt;&gt;"",EOMONTH($P110,0),""))</f>
        <v/>
      </c>
      <c r="K110" s="220">
        <f>IF($B110="","",IFERROR(MATCH($B110,'Initiative Tracker'!$A$5:$A$200,0),IF($E110="","",IFERROR(MATCH($E110,'Initiative Tracker'!$B$5:$B$200,0),""))))</f>
        <v/>
      </c>
      <c r="L110" s="220">
        <f>IF($B110="","",IFERROR(MATCH($D110,'Control (Don’t Touch)'!$E$4:$E$30,0),99))</f>
        <v/>
      </c>
      <c r="M110" s="220">
        <f>IF($B110="","",IFERROR(MATCH($F110,'Control (Don’t Touch)'!$B$4:$B$30,0),99))</f>
        <v/>
      </c>
      <c r="N110" s="220">
        <f>IF($B110="","",$L110*1000000+$M110*10000+ROW())</f>
        <v/>
      </c>
      <c r="O110" s="220">
        <f>IF($B110="","",COUNTIF($N$2:$N$205,"&lt;"&amp;$N110)+1)</f>
        <v/>
      </c>
      <c r="P110" s="221">
        <f>IF($K110="","",IFERROR(DATE(IFERROR(VALUE(RIGHT(TRIM(INDEX('Initiative Tracker'!$G$5:$G$200,$K110)),4)),YEAR(TODAY())),MATCH(LEFT(TRIM(INDEX('Initiative Tracker'!$G$5:$G$200,$K110)),3),$U$2:$U$13,0),1),""))</f>
        <v/>
      </c>
      <c r="Q110" s="221">
        <f>IF($K110="","",IFERROR(DATE(IFERROR(VALUE(RIGHT(TRIM(INDEX('Initiative Tracker'!$H$5:$H$200,$K110)),4)),YEAR(TODAY())),MATCH(LEFT(TRIM(INDEX('Initiative Tracker'!$H$5:$H$200,$K110)),3),$U$2:$U$13,0),1),""))</f>
        <v/>
      </c>
    </row>
    <row r="111">
      <c r="A111" s="220" t="n">
        <v>111</v>
      </c>
      <c r="B111" s="220">
        <f>IF(TRIM(Weekly!E111)="","",TRIM(Weekly!E111))</f>
        <v/>
      </c>
      <c r="C111" s="220">
        <f>IF($B111="","",Weekly!B111)</f>
        <v/>
      </c>
      <c r="D111" s="220">
        <f>IF($B111="","",IF(TRIM(Weekly!C111)="","(No theme assigned)",TRIM(Weekly!C111)))</f>
        <v/>
      </c>
      <c r="E111" s="220">
        <f>IF($B111="","",TRIM(Weekly!F111))</f>
        <v/>
      </c>
      <c r="F111" s="220">
        <f>IF($B111="","",Weekly!G111)</f>
        <v/>
      </c>
      <c r="G111" s="221">
        <f>IF($B111="","",IF(COUNTA(Weekly!$H111:$CT111)=0,"",SUMPRODUCT(MIN(IF(Weekly!$H111:$CT111&lt;&gt;"",Weekly!$H$1:$CT$1)))))</f>
        <v/>
      </c>
      <c r="H111" s="221">
        <f>IF($B111="","",IF(COUNTA(Weekly!$H111:$CT111)=0,"",SUMPRODUCT(MAX(IF(Weekly!$H111:$CT111&lt;&gt;"",Weekly!$H$1:$CT$1)))))</f>
        <v/>
      </c>
      <c r="I111" s="221">
        <f>IF($Q111&lt;&gt;"",IF($P111&lt;&gt;"",$P111,$Q111),IF($P111&lt;&gt;"",$P111,""))</f>
        <v/>
      </c>
      <c r="J111" s="221">
        <f>IF($Q111&lt;&gt;"",EOMONTH($Q111,0),IF($P111&lt;&gt;"",EOMONTH($P111,0),""))</f>
        <v/>
      </c>
      <c r="K111" s="220">
        <f>IF($B111="","",IFERROR(MATCH($B111,'Initiative Tracker'!$A$5:$A$200,0),IF($E111="","",IFERROR(MATCH($E111,'Initiative Tracker'!$B$5:$B$200,0),""))))</f>
        <v/>
      </c>
      <c r="L111" s="220">
        <f>IF($B111="","",IFERROR(MATCH($D111,'Control (Don’t Touch)'!$E$4:$E$30,0),99))</f>
        <v/>
      </c>
      <c r="M111" s="220">
        <f>IF($B111="","",IFERROR(MATCH($F111,'Control (Don’t Touch)'!$B$4:$B$30,0),99))</f>
        <v/>
      </c>
      <c r="N111" s="220">
        <f>IF($B111="","",$L111*1000000+$M111*10000+ROW())</f>
        <v/>
      </c>
      <c r="O111" s="220">
        <f>IF($B111="","",COUNTIF($N$2:$N$205,"&lt;"&amp;$N111)+1)</f>
        <v/>
      </c>
      <c r="P111" s="221">
        <f>IF($K111="","",IFERROR(DATE(IFERROR(VALUE(RIGHT(TRIM(INDEX('Initiative Tracker'!$G$5:$G$200,$K111)),4)),YEAR(TODAY())),MATCH(LEFT(TRIM(INDEX('Initiative Tracker'!$G$5:$G$200,$K111)),3),$U$2:$U$13,0),1),""))</f>
        <v/>
      </c>
      <c r="Q111" s="221">
        <f>IF($K111="","",IFERROR(DATE(IFERROR(VALUE(RIGHT(TRIM(INDEX('Initiative Tracker'!$H$5:$H$200,$K111)),4)),YEAR(TODAY())),MATCH(LEFT(TRIM(INDEX('Initiative Tracker'!$H$5:$H$200,$K111)),3),$U$2:$U$13,0),1),""))</f>
        <v/>
      </c>
    </row>
    <row r="112">
      <c r="A112" s="220" t="n">
        <v>112</v>
      </c>
      <c r="B112" s="220">
        <f>IF(TRIM(Weekly!E112)="","",TRIM(Weekly!E112))</f>
        <v/>
      </c>
      <c r="C112" s="220">
        <f>IF($B112="","",Weekly!B112)</f>
        <v/>
      </c>
      <c r="D112" s="220">
        <f>IF($B112="","",IF(TRIM(Weekly!C112)="","(No theme assigned)",TRIM(Weekly!C112)))</f>
        <v/>
      </c>
      <c r="E112" s="220">
        <f>IF($B112="","",TRIM(Weekly!F112))</f>
        <v/>
      </c>
      <c r="F112" s="220">
        <f>IF($B112="","",Weekly!G112)</f>
        <v/>
      </c>
      <c r="G112" s="221">
        <f>IF($B112="","",IF(COUNTA(Weekly!$H112:$CT112)=0,"",SUMPRODUCT(MIN(IF(Weekly!$H112:$CT112&lt;&gt;"",Weekly!$H$1:$CT$1)))))</f>
        <v/>
      </c>
      <c r="H112" s="221">
        <f>IF($B112="","",IF(COUNTA(Weekly!$H112:$CT112)=0,"",SUMPRODUCT(MAX(IF(Weekly!$H112:$CT112&lt;&gt;"",Weekly!$H$1:$CT$1)))))</f>
        <v/>
      </c>
      <c r="I112" s="221">
        <f>IF($Q112&lt;&gt;"",IF($P112&lt;&gt;"",$P112,$Q112),IF($P112&lt;&gt;"",$P112,""))</f>
        <v/>
      </c>
      <c r="J112" s="221">
        <f>IF($Q112&lt;&gt;"",EOMONTH($Q112,0),IF($P112&lt;&gt;"",EOMONTH($P112,0),""))</f>
        <v/>
      </c>
      <c r="K112" s="220">
        <f>IF($B112="","",IFERROR(MATCH($B112,'Initiative Tracker'!$A$5:$A$200,0),IF($E112="","",IFERROR(MATCH($E112,'Initiative Tracker'!$B$5:$B$200,0),""))))</f>
        <v/>
      </c>
      <c r="L112" s="220">
        <f>IF($B112="","",IFERROR(MATCH($D112,'Control (Don’t Touch)'!$E$4:$E$30,0),99))</f>
        <v/>
      </c>
      <c r="M112" s="220">
        <f>IF($B112="","",IFERROR(MATCH($F112,'Control (Don’t Touch)'!$B$4:$B$30,0),99))</f>
        <v/>
      </c>
      <c r="N112" s="220">
        <f>IF($B112="","",$L112*1000000+$M112*10000+ROW())</f>
        <v/>
      </c>
      <c r="O112" s="220">
        <f>IF($B112="","",COUNTIF($N$2:$N$205,"&lt;"&amp;$N112)+1)</f>
        <v/>
      </c>
      <c r="P112" s="221">
        <f>IF($K112="","",IFERROR(DATE(IFERROR(VALUE(RIGHT(TRIM(INDEX('Initiative Tracker'!$G$5:$G$200,$K112)),4)),YEAR(TODAY())),MATCH(LEFT(TRIM(INDEX('Initiative Tracker'!$G$5:$G$200,$K112)),3),$U$2:$U$13,0),1),""))</f>
        <v/>
      </c>
      <c r="Q112" s="221">
        <f>IF($K112="","",IFERROR(DATE(IFERROR(VALUE(RIGHT(TRIM(INDEX('Initiative Tracker'!$H$5:$H$200,$K112)),4)),YEAR(TODAY())),MATCH(LEFT(TRIM(INDEX('Initiative Tracker'!$H$5:$H$200,$K112)),3),$U$2:$U$13,0),1),""))</f>
        <v/>
      </c>
    </row>
    <row r="113">
      <c r="A113" s="220" t="n">
        <v>113</v>
      </c>
      <c r="B113" s="220">
        <f>IF(TRIM(Weekly!E113)="","",TRIM(Weekly!E113))</f>
        <v/>
      </c>
      <c r="C113" s="220">
        <f>IF($B113="","",Weekly!B113)</f>
        <v/>
      </c>
      <c r="D113" s="220">
        <f>IF($B113="","",IF(TRIM(Weekly!C113)="","(No theme assigned)",TRIM(Weekly!C113)))</f>
        <v/>
      </c>
      <c r="E113" s="220">
        <f>IF($B113="","",TRIM(Weekly!F113))</f>
        <v/>
      </c>
      <c r="F113" s="220">
        <f>IF($B113="","",Weekly!G113)</f>
        <v/>
      </c>
      <c r="G113" s="221">
        <f>IF($B113="","",IF(COUNTA(Weekly!$H113:$CT113)=0,"",SUMPRODUCT(MIN(IF(Weekly!$H113:$CT113&lt;&gt;"",Weekly!$H$1:$CT$1)))))</f>
        <v/>
      </c>
      <c r="H113" s="221">
        <f>IF($B113="","",IF(COUNTA(Weekly!$H113:$CT113)=0,"",SUMPRODUCT(MAX(IF(Weekly!$H113:$CT113&lt;&gt;"",Weekly!$H$1:$CT$1)))))</f>
        <v/>
      </c>
      <c r="I113" s="221">
        <f>IF($Q113&lt;&gt;"",IF($P113&lt;&gt;"",$P113,$Q113),IF($P113&lt;&gt;"",$P113,""))</f>
        <v/>
      </c>
      <c r="J113" s="221">
        <f>IF($Q113&lt;&gt;"",EOMONTH($Q113,0),IF($P113&lt;&gt;"",EOMONTH($P113,0),""))</f>
        <v/>
      </c>
      <c r="K113" s="220">
        <f>IF($B113="","",IFERROR(MATCH($B113,'Initiative Tracker'!$A$5:$A$200,0),IF($E113="","",IFERROR(MATCH($E113,'Initiative Tracker'!$B$5:$B$200,0),""))))</f>
        <v/>
      </c>
      <c r="L113" s="220">
        <f>IF($B113="","",IFERROR(MATCH($D113,'Control (Don’t Touch)'!$E$4:$E$30,0),99))</f>
        <v/>
      </c>
      <c r="M113" s="220">
        <f>IF($B113="","",IFERROR(MATCH($F113,'Control (Don’t Touch)'!$B$4:$B$30,0),99))</f>
        <v/>
      </c>
      <c r="N113" s="220">
        <f>IF($B113="","",$L113*1000000+$M113*10000+ROW())</f>
        <v/>
      </c>
      <c r="O113" s="220">
        <f>IF($B113="","",COUNTIF($N$2:$N$205,"&lt;"&amp;$N113)+1)</f>
        <v/>
      </c>
      <c r="P113" s="221">
        <f>IF($K113="","",IFERROR(DATE(IFERROR(VALUE(RIGHT(TRIM(INDEX('Initiative Tracker'!$G$5:$G$200,$K113)),4)),YEAR(TODAY())),MATCH(LEFT(TRIM(INDEX('Initiative Tracker'!$G$5:$G$200,$K113)),3),$U$2:$U$13,0),1),""))</f>
        <v/>
      </c>
      <c r="Q113" s="221">
        <f>IF($K113="","",IFERROR(DATE(IFERROR(VALUE(RIGHT(TRIM(INDEX('Initiative Tracker'!$H$5:$H$200,$K113)),4)),YEAR(TODAY())),MATCH(LEFT(TRIM(INDEX('Initiative Tracker'!$H$5:$H$200,$K113)),3),$U$2:$U$13,0),1),""))</f>
        <v/>
      </c>
    </row>
    <row r="114">
      <c r="A114" s="220" t="n">
        <v>114</v>
      </c>
      <c r="B114" s="220">
        <f>IF(TRIM(Weekly!E114)="","",TRIM(Weekly!E114))</f>
        <v/>
      </c>
      <c r="C114" s="220">
        <f>IF($B114="","",Weekly!B114)</f>
        <v/>
      </c>
      <c r="D114" s="220">
        <f>IF($B114="","",IF(TRIM(Weekly!C114)="","(No theme assigned)",TRIM(Weekly!C114)))</f>
        <v/>
      </c>
      <c r="E114" s="220">
        <f>IF($B114="","",TRIM(Weekly!F114))</f>
        <v/>
      </c>
      <c r="F114" s="220">
        <f>IF($B114="","",Weekly!G114)</f>
        <v/>
      </c>
      <c r="G114" s="221">
        <f>IF($B114="","",IF(COUNTA(Weekly!$H114:$CT114)=0,"",SUMPRODUCT(MIN(IF(Weekly!$H114:$CT114&lt;&gt;"",Weekly!$H$1:$CT$1)))))</f>
        <v/>
      </c>
      <c r="H114" s="221">
        <f>IF($B114="","",IF(COUNTA(Weekly!$H114:$CT114)=0,"",SUMPRODUCT(MAX(IF(Weekly!$H114:$CT114&lt;&gt;"",Weekly!$H$1:$CT$1)))))</f>
        <v/>
      </c>
      <c r="I114" s="221">
        <f>IF($Q114&lt;&gt;"",IF($P114&lt;&gt;"",$P114,$Q114),IF($P114&lt;&gt;"",$P114,""))</f>
        <v/>
      </c>
      <c r="J114" s="221">
        <f>IF($Q114&lt;&gt;"",EOMONTH($Q114,0),IF($P114&lt;&gt;"",EOMONTH($P114,0),""))</f>
        <v/>
      </c>
      <c r="K114" s="220">
        <f>IF($B114="","",IFERROR(MATCH($B114,'Initiative Tracker'!$A$5:$A$200,0),IF($E114="","",IFERROR(MATCH($E114,'Initiative Tracker'!$B$5:$B$200,0),""))))</f>
        <v/>
      </c>
      <c r="L114" s="220">
        <f>IF($B114="","",IFERROR(MATCH($D114,'Control (Don’t Touch)'!$E$4:$E$30,0),99))</f>
        <v/>
      </c>
      <c r="M114" s="220">
        <f>IF($B114="","",IFERROR(MATCH($F114,'Control (Don’t Touch)'!$B$4:$B$30,0),99))</f>
        <v/>
      </c>
      <c r="N114" s="220">
        <f>IF($B114="","",$L114*1000000+$M114*10000+ROW())</f>
        <v/>
      </c>
      <c r="O114" s="220">
        <f>IF($B114="","",COUNTIF($N$2:$N$205,"&lt;"&amp;$N114)+1)</f>
        <v/>
      </c>
      <c r="P114" s="221">
        <f>IF($K114="","",IFERROR(DATE(IFERROR(VALUE(RIGHT(TRIM(INDEX('Initiative Tracker'!$G$5:$G$200,$K114)),4)),YEAR(TODAY())),MATCH(LEFT(TRIM(INDEX('Initiative Tracker'!$G$5:$G$200,$K114)),3),$U$2:$U$13,0),1),""))</f>
        <v/>
      </c>
      <c r="Q114" s="221">
        <f>IF($K114="","",IFERROR(DATE(IFERROR(VALUE(RIGHT(TRIM(INDEX('Initiative Tracker'!$H$5:$H$200,$K114)),4)),YEAR(TODAY())),MATCH(LEFT(TRIM(INDEX('Initiative Tracker'!$H$5:$H$200,$K114)),3),$U$2:$U$13,0),1),""))</f>
        <v/>
      </c>
    </row>
    <row r="115">
      <c r="A115" s="220" t="n">
        <v>115</v>
      </c>
      <c r="B115" s="220">
        <f>IF(TRIM(Weekly!E115)="","",TRIM(Weekly!E115))</f>
        <v/>
      </c>
      <c r="C115" s="220">
        <f>IF($B115="","",Weekly!B115)</f>
        <v/>
      </c>
      <c r="D115" s="220">
        <f>IF($B115="","",IF(TRIM(Weekly!C115)="","(No theme assigned)",TRIM(Weekly!C115)))</f>
        <v/>
      </c>
      <c r="E115" s="220">
        <f>IF($B115="","",TRIM(Weekly!F115))</f>
        <v/>
      </c>
      <c r="F115" s="220">
        <f>IF($B115="","",Weekly!G115)</f>
        <v/>
      </c>
      <c r="G115" s="221">
        <f>IF($B115="","",IF(COUNTA(Weekly!$H115:$CT115)=0,"",SUMPRODUCT(MIN(IF(Weekly!$H115:$CT115&lt;&gt;"",Weekly!$H$1:$CT$1)))))</f>
        <v/>
      </c>
      <c r="H115" s="221">
        <f>IF($B115="","",IF(COUNTA(Weekly!$H115:$CT115)=0,"",SUMPRODUCT(MAX(IF(Weekly!$H115:$CT115&lt;&gt;"",Weekly!$H$1:$CT$1)))))</f>
        <v/>
      </c>
      <c r="I115" s="221">
        <f>IF($Q115&lt;&gt;"",IF($P115&lt;&gt;"",$P115,$Q115),IF($P115&lt;&gt;"",$P115,""))</f>
        <v/>
      </c>
      <c r="J115" s="221">
        <f>IF($Q115&lt;&gt;"",EOMONTH($Q115,0),IF($P115&lt;&gt;"",EOMONTH($P115,0),""))</f>
        <v/>
      </c>
      <c r="K115" s="220">
        <f>IF($B115="","",IFERROR(MATCH($B115,'Initiative Tracker'!$A$5:$A$200,0),IF($E115="","",IFERROR(MATCH($E115,'Initiative Tracker'!$B$5:$B$200,0),""))))</f>
        <v/>
      </c>
      <c r="L115" s="220">
        <f>IF($B115="","",IFERROR(MATCH($D115,'Control (Don’t Touch)'!$E$4:$E$30,0),99))</f>
        <v/>
      </c>
      <c r="M115" s="220">
        <f>IF($B115="","",IFERROR(MATCH($F115,'Control (Don’t Touch)'!$B$4:$B$30,0),99))</f>
        <v/>
      </c>
      <c r="N115" s="220">
        <f>IF($B115="","",$L115*1000000+$M115*10000+ROW())</f>
        <v/>
      </c>
      <c r="O115" s="220">
        <f>IF($B115="","",COUNTIF($N$2:$N$205,"&lt;"&amp;$N115)+1)</f>
        <v/>
      </c>
      <c r="P115" s="221">
        <f>IF($K115="","",IFERROR(DATE(IFERROR(VALUE(RIGHT(TRIM(INDEX('Initiative Tracker'!$G$5:$G$200,$K115)),4)),YEAR(TODAY())),MATCH(LEFT(TRIM(INDEX('Initiative Tracker'!$G$5:$G$200,$K115)),3),$U$2:$U$13,0),1),""))</f>
        <v/>
      </c>
      <c r="Q115" s="221">
        <f>IF($K115="","",IFERROR(DATE(IFERROR(VALUE(RIGHT(TRIM(INDEX('Initiative Tracker'!$H$5:$H$200,$K115)),4)),YEAR(TODAY())),MATCH(LEFT(TRIM(INDEX('Initiative Tracker'!$H$5:$H$200,$K115)),3),$U$2:$U$13,0),1),""))</f>
        <v/>
      </c>
    </row>
    <row r="116">
      <c r="A116" s="220" t="n">
        <v>116</v>
      </c>
      <c r="B116" s="220">
        <f>IF(TRIM(Weekly!E116)="","",TRIM(Weekly!E116))</f>
        <v/>
      </c>
      <c r="C116" s="220">
        <f>IF($B116="","",Weekly!B116)</f>
        <v/>
      </c>
      <c r="D116" s="220">
        <f>IF($B116="","",IF(TRIM(Weekly!C116)="","(No theme assigned)",TRIM(Weekly!C116)))</f>
        <v/>
      </c>
      <c r="E116" s="220">
        <f>IF($B116="","",TRIM(Weekly!F116))</f>
        <v/>
      </c>
      <c r="F116" s="220">
        <f>IF($B116="","",Weekly!G116)</f>
        <v/>
      </c>
      <c r="G116" s="221">
        <f>IF($B116="","",IF(COUNTA(Weekly!$H116:$CT116)=0,"",SUMPRODUCT(MIN(IF(Weekly!$H116:$CT116&lt;&gt;"",Weekly!$H$1:$CT$1)))))</f>
        <v/>
      </c>
      <c r="H116" s="221">
        <f>IF($B116="","",IF(COUNTA(Weekly!$H116:$CT116)=0,"",SUMPRODUCT(MAX(IF(Weekly!$H116:$CT116&lt;&gt;"",Weekly!$H$1:$CT$1)))))</f>
        <v/>
      </c>
      <c r="I116" s="221">
        <f>IF($Q116&lt;&gt;"",IF($P116&lt;&gt;"",$P116,$Q116),IF($P116&lt;&gt;"",$P116,""))</f>
        <v/>
      </c>
      <c r="J116" s="221">
        <f>IF($Q116&lt;&gt;"",EOMONTH($Q116,0),IF($P116&lt;&gt;"",EOMONTH($P116,0),""))</f>
        <v/>
      </c>
      <c r="K116" s="220">
        <f>IF($B116="","",IFERROR(MATCH($B116,'Initiative Tracker'!$A$5:$A$200,0),IF($E116="","",IFERROR(MATCH($E116,'Initiative Tracker'!$B$5:$B$200,0),""))))</f>
        <v/>
      </c>
      <c r="L116" s="220">
        <f>IF($B116="","",IFERROR(MATCH($D116,'Control (Don’t Touch)'!$E$4:$E$30,0),99))</f>
        <v/>
      </c>
      <c r="M116" s="220">
        <f>IF($B116="","",IFERROR(MATCH($F116,'Control (Don’t Touch)'!$B$4:$B$30,0),99))</f>
        <v/>
      </c>
      <c r="N116" s="220">
        <f>IF($B116="","",$L116*1000000+$M116*10000+ROW())</f>
        <v/>
      </c>
      <c r="O116" s="220">
        <f>IF($B116="","",COUNTIF($N$2:$N$205,"&lt;"&amp;$N116)+1)</f>
        <v/>
      </c>
      <c r="P116" s="221">
        <f>IF($K116="","",IFERROR(DATE(IFERROR(VALUE(RIGHT(TRIM(INDEX('Initiative Tracker'!$G$5:$G$200,$K116)),4)),YEAR(TODAY())),MATCH(LEFT(TRIM(INDEX('Initiative Tracker'!$G$5:$G$200,$K116)),3),$U$2:$U$13,0),1),""))</f>
        <v/>
      </c>
      <c r="Q116" s="221">
        <f>IF($K116="","",IFERROR(DATE(IFERROR(VALUE(RIGHT(TRIM(INDEX('Initiative Tracker'!$H$5:$H$200,$K116)),4)),YEAR(TODAY())),MATCH(LEFT(TRIM(INDEX('Initiative Tracker'!$H$5:$H$200,$K116)),3),$U$2:$U$13,0),1),""))</f>
        <v/>
      </c>
    </row>
    <row r="117">
      <c r="A117" s="220" t="n">
        <v>117</v>
      </c>
      <c r="B117" s="220">
        <f>IF(TRIM(Weekly!E117)="","",TRIM(Weekly!E117))</f>
        <v/>
      </c>
      <c r="C117" s="220">
        <f>IF($B117="","",Weekly!B117)</f>
        <v/>
      </c>
      <c r="D117" s="220">
        <f>IF($B117="","",IF(TRIM(Weekly!C117)="","(No theme assigned)",TRIM(Weekly!C117)))</f>
        <v/>
      </c>
      <c r="E117" s="220">
        <f>IF($B117="","",TRIM(Weekly!F117))</f>
        <v/>
      </c>
      <c r="F117" s="220">
        <f>IF($B117="","",Weekly!G117)</f>
        <v/>
      </c>
      <c r="G117" s="221">
        <f>IF($B117="","",IF(COUNTA(Weekly!$H117:$CT117)=0,"",SUMPRODUCT(MIN(IF(Weekly!$H117:$CT117&lt;&gt;"",Weekly!$H$1:$CT$1)))))</f>
        <v/>
      </c>
      <c r="H117" s="221">
        <f>IF($B117="","",IF(COUNTA(Weekly!$H117:$CT117)=0,"",SUMPRODUCT(MAX(IF(Weekly!$H117:$CT117&lt;&gt;"",Weekly!$H$1:$CT$1)))))</f>
        <v/>
      </c>
      <c r="I117" s="221">
        <f>IF($Q117&lt;&gt;"",IF($P117&lt;&gt;"",$P117,$Q117),IF($P117&lt;&gt;"",$P117,""))</f>
        <v/>
      </c>
      <c r="J117" s="221">
        <f>IF($Q117&lt;&gt;"",EOMONTH($Q117,0),IF($P117&lt;&gt;"",EOMONTH($P117,0),""))</f>
        <v/>
      </c>
      <c r="K117" s="220">
        <f>IF($B117="","",IFERROR(MATCH($B117,'Initiative Tracker'!$A$5:$A$200,0),IF($E117="","",IFERROR(MATCH($E117,'Initiative Tracker'!$B$5:$B$200,0),""))))</f>
        <v/>
      </c>
      <c r="L117" s="220">
        <f>IF($B117="","",IFERROR(MATCH($D117,'Control (Don’t Touch)'!$E$4:$E$30,0),99))</f>
        <v/>
      </c>
      <c r="M117" s="220">
        <f>IF($B117="","",IFERROR(MATCH($F117,'Control (Don’t Touch)'!$B$4:$B$30,0),99))</f>
        <v/>
      </c>
      <c r="N117" s="220">
        <f>IF($B117="","",$L117*1000000+$M117*10000+ROW())</f>
        <v/>
      </c>
      <c r="O117" s="220">
        <f>IF($B117="","",COUNTIF($N$2:$N$205,"&lt;"&amp;$N117)+1)</f>
        <v/>
      </c>
      <c r="P117" s="221">
        <f>IF($K117="","",IFERROR(DATE(IFERROR(VALUE(RIGHT(TRIM(INDEX('Initiative Tracker'!$G$5:$G$200,$K117)),4)),YEAR(TODAY())),MATCH(LEFT(TRIM(INDEX('Initiative Tracker'!$G$5:$G$200,$K117)),3),$U$2:$U$13,0),1),""))</f>
        <v/>
      </c>
      <c r="Q117" s="221">
        <f>IF($K117="","",IFERROR(DATE(IFERROR(VALUE(RIGHT(TRIM(INDEX('Initiative Tracker'!$H$5:$H$200,$K117)),4)),YEAR(TODAY())),MATCH(LEFT(TRIM(INDEX('Initiative Tracker'!$H$5:$H$200,$K117)),3),$U$2:$U$13,0),1),""))</f>
        <v/>
      </c>
    </row>
    <row r="118">
      <c r="A118" s="220" t="n">
        <v>118</v>
      </c>
      <c r="B118" s="220">
        <f>IF(TRIM(Weekly!E118)="","",TRIM(Weekly!E118))</f>
        <v/>
      </c>
      <c r="C118" s="220">
        <f>IF($B118="","",Weekly!B118)</f>
        <v/>
      </c>
      <c r="D118" s="220">
        <f>IF($B118="","",IF(TRIM(Weekly!C118)="","(No theme assigned)",TRIM(Weekly!C118)))</f>
        <v/>
      </c>
      <c r="E118" s="220">
        <f>IF($B118="","",TRIM(Weekly!F118))</f>
        <v/>
      </c>
      <c r="F118" s="220">
        <f>IF($B118="","",Weekly!G118)</f>
        <v/>
      </c>
      <c r="G118" s="221">
        <f>IF($B118="","",IF(COUNTA(Weekly!$H118:$CT118)=0,"",SUMPRODUCT(MIN(IF(Weekly!$H118:$CT118&lt;&gt;"",Weekly!$H$1:$CT$1)))))</f>
        <v/>
      </c>
      <c r="H118" s="221">
        <f>IF($B118="","",IF(COUNTA(Weekly!$H118:$CT118)=0,"",SUMPRODUCT(MAX(IF(Weekly!$H118:$CT118&lt;&gt;"",Weekly!$H$1:$CT$1)))))</f>
        <v/>
      </c>
      <c r="I118" s="221">
        <f>IF($Q118&lt;&gt;"",IF($P118&lt;&gt;"",$P118,$Q118),IF($P118&lt;&gt;"",$P118,""))</f>
        <v/>
      </c>
      <c r="J118" s="221">
        <f>IF($Q118&lt;&gt;"",EOMONTH($Q118,0),IF($P118&lt;&gt;"",EOMONTH($P118,0),""))</f>
        <v/>
      </c>
      <c r="K118" s="220">
        <f>IF($B118="","",IFERROR(MATCH($B118,'Initiative Tracker'!$A$5:$A$200,0),IF($E118="","",IFERROR(MATCH($E118,'Initiative Tracker'!$B$5:$B$200,0),""))))</f>
        <v/>
      </c>
      <c r="L118" s="220">
        <f>IF($B118="","",IFERROR(MATCH($D118,'Control (Don’t Touch)'!$E$4:$E$30,0),99))</f>
        <v/>
      </c>
      <c r="M118" s="220">
        <f>IF($B118="","",IFERROR(MATCH($F118,'Control (Don’t Touch)'!$B$4:$B$30,0),99))</f>
        <v/>
      </c>
      <c r="N118" s="220">
        <f>IF($B118="","",$L118*1000000+$M118*10000+ROW())</f>
        <v/>
      </c>
      <c r="O118" s="220">
        <f>IF($B118="","",COUNTIF($N$2:$N$205,"&lt;"&amp;$N118)+1)</f>
        <v/>
      </c>
      <c r="P118" s="221">
        <f>IF($K118="","",IFERROR(DATE(IFERROR(VALUE(RIGHT(TRIM(INDEX('Initiative Tracker'!$G$5:$G$200,$K118)),4)),YEAR(TODAY())),MATCH(LEFT(TRIM(INDEX('Initiative Tracker'!$G$5:$G$200,$K118)),3),$U$2:$U$13,0),1),""))</f>
        <v/>
      </c>
      <c r="Q118" s="221">
        <f>IF($K118="","",IFERROR(DATE(IFERROR(VALUE(RIGHT(TRIM(INDEX('Initiative Tracker'!$H$5:$H$200,$K118)),4)),YEAR(TODAY())),MATCH(LEFT(TRIM(INDEX('Initiative Tracker'!$H$5:$H$200,$K118)),3),$U$2:$U$13,0),1),""))</f>
        <v/>
      </c>
    </row>
    <row r="119">
      <c r="A119" s="220" t="n">
        <v>119</v>
      </c>
      <c r="B119" s="220">
        <f>IF(TRIM(Weekly!E119)="","",TRIM(Weekly!E119))</f>
        <v/>
      </c>
      <c r="C119" s="220">
        <f>IF($B119="","",Weekly!B119)</f>
        <v/>
      </c>
      <c r="D119" s="220">
        <f>IF($B119="","",IF(TRIM(Weekly!C119)="","(No theme assigned)",TRIM(Weekly!C119)))</f>
        <v/>
      </c>
      <c r="E119" s="220">
        <f>IF($B119="","",TRIM(Weekly!F119))</f>
        <v/>
      </c>
      <c r="F119" s="220">
        <f>IF($B119="","",Weekly!G119)</f>
        <v/>
      </c>
      <c r="G119" s="221">
        <f>IF($B119="","",IF(COUNTA(Weekly!$H119:$CT119)=0,"",SUMPRODUCT(MIN(IF(Weekly!$H119:$CT119&lt;&gt;"",Weekly!$H$1:$CT$1)))))</f>
        <v/>
      </c>
      <c r="H119" s="221">
        <f>IF($B119="","",IF(COUNTA(Weekly!$H119:$CT119)=0,"",SUMPRODUCT(MAX(IF(Weekly!$H119:$CT119&lt;&gt;"",Weekly!$H$1:$CT$1)))))</f>
        <v/>
      </c>
      <c r="I119" s="221">
        <f>IF($Q119&lt;&gt;"",IF($P119&lt;&gt;"",$P119,$Q119),IF($P119&lt;&gt;"",$P119,""))</f>
        <v/>
      </c>
      <c r="J119" s="221">
        <f>IF($Q119&lt;&gt;"",EOMONTH($Q119,0),IF($P119&lt;&gt;"",EOMONTH($P119,0),""))</f>
        <v/>
      </c>
      <c r="K119" s="220">
        <f>IF($B119="","",IFERROR(MATCH($B119,'Initiative Tracker'!$A$5:$A$200,0),IF($E119="","",IFERROR(MATCH($E119,'Initiative Tracker'!$B$5:$B$200,0),""))))</f>
        <v/>
      </c>
      <c r="L119" s="220">
        <f>IF($B119="","",IFERROR(MATCH($D119,'Control (Don’t Touch)'!$E$4:$E$30,0),99))</f>
        <v/>
      </c>
      <c r="M119" s="220">
        <f>IF($B119="","",IFERROR(MATCH($F119,'Control (Don’t Touch)'!$B$4:$B$30,0),99))</f>
        <v/>
      </c>
      <c r="N119" s="220">
        <f>IF($B119="","",$L119*1000000+$M119*10000+ROW())</f>
        <v/>
      </c>
      <c r="O119" s="220">
        <f>IF($B119="","",COUNTIF($N$2:$N$205,"&lt;"&amp;$N119)+1)</f>
        <v/>
      </c>
      <c r="P119" s="221">
        <f>IF($K119="","",IFERROR(DATE(IFERROR(VALUE(RIGHT(TRIM(INDEX('Initiative Tracker'!$G$5:$G$200,$K119)),4)),YEAR(TODAY())),MATCH(LEFT(TRIM(INDEX('Initiative Tracker'!$G$5:$G$200,$K119)),3),$U$2:$U$13,0),1),""))</f>
        <v/>
      </c>
      <c r="Q119" s="221">
        <f>IF($K119="","",IFERROR(DATE(IFERROR(VALUE(RIGHT(TRIM(INDEX('Initiative Tracker'!$H$5:$H$200,$K119)),4)),YEAR(TODAY())),MATCH(LEFT(TRIM(INDEX('Initiative Tracker'!$H$5:$H$200,$K119)),3),$U$2:$U$13,0),1),""))</f>
        <v/>
      </c>
    </row>
    <row r="120">
      <c r="A120" s="220" t="n">
        <v>120</v>
      </c>
      <c r="B120" s="220">
        <f>IF(TRIM(Weekly!E120)="","",TRIM(Weekly!E120))</f>
        <v/>
      </c>
      <c r="C120" s="220">
        <f>IF($B120="","",Weekly!B120)</f>
        <v/>
      </c>
      <c r="D120" s="220">
        <f>IF($B120="","",IF(TRIM(Weekly!C120)="","(No theme assigned)",TRIM(Weekly!C120)))</f>
        <v/>
      </c>
      <c r="E120" s="220">
        <f>IF($B120="","",TRIM(Weekly!F120))</f>
        <v/>
      </c>
      <c r="F120" s="220">
        <f>IF($B120="","",Weekly!G120)</f>
        <v/>
      </c>
      <c r="G120" s="221">
        <f>IF($B120="","",IF(COUNTA(Weekly!$H120:$CT120)=0,"",SUMPRODUCT(MIN(IF(Weekly!$H120:$CT120&lt;&gt;"",Weekly!$H$1:$CT$1)))))</f>
        <v/>
      </c>
      <c r="H120" s="221">
        <f>IF($B120="","",IF(COUNTA(Weekly!$H120:$CT120)=0,"",SUMPRODUCT(MAX(IF(Weekly!$H120:$CT120&lt;&gt;"",Weekly!$H$1:$CT$1)))))</f>
        <v/>
      </c>
      <c r="I120" s="221">
        <f>IF($Q120&lt;&gt;"",IF($P120&lt;&gt;"",$P120,$Q120),IF($P120&lt;&gt;"",$P120,""))</f>
        <v/>
      </c>
      <c r="J120" s="221">
        <f>IF($Q120&lt;&gt;"",EOMONTH($Q120,0),IF($P120&lt;&gt;"",EOMONTH($P120,0),""))</f>
        <v/>
      </c>
      <c r="K120" s="220">
        <f>IF($B120="","",IFERROR(MATCH($B120,'Initiative Tracker'!$A$5:$A$200,0),IF($E120="","",IFERROR(MATCH($E120,'Initiative Tracker'!$B$5:$B$200,0),""))))</f>
        <v/>
      </c>
      <c r="L120" s="220">
        <f>IF($B120="","",IFERROR(MATCH($D120,'Control (Don’t Touch)'!$E$4:$E$30,0),99))</f>
        <v/>
      </c>
      <c r="M120" s="220">
        <f>IF($B120="","",IFERROR(MATCH($F120,'Control (Don’t Touch)'!$B$4:$B$30,0),99))</f>
        <v/>
      </c>
      <c r="N120" s="220">
        <f>IF($B120="","",$L120*1000000+$M120*10000+ROW())</f>
        <v/>
      </c>
      <c r="O120" s="220">
        <f>IF($B120="","",COUNTIF($N$2:$N$205,"&lt;"&amp;$N120)+1)</f>
        <v/>
      </c>
      <c r="P120" s="221">
        <f>IF($K120="","",IFERROR(DATE(IFERROR(VALUE(RIGHT(TRIM(INDEX('Initiative Tracker'!$G$5:$G$200,$K120)),4)),YEAR(TODAY())),MATCH(LEFT(TRIM(INDEX('Initiative Tracker'!$G$5:$G$200,$K120)),3),$U$2:$U$13,0),1),""))</f>
        <v/>
      </c>
      <c r="Q120" s="221">
        <f>IF($K120="","",IFERROR(DATE(IFERROR(VALUE(RIGHT(TRIM(INDEX('Initiative Tracker'!$H$5:$H$200,$K120)),4)),YEAR(TODAY())),MATCH(LEFT(TRIM(INDEX('Initiative Tracker'!$H$5:$H$200,$K120)),3),$U$2:$U$13,0),1),""))</f>
        <v/>
      </c>
    </row>
    <row r="121">
      <c r="A121" s="220" t="n">
        <v>121</v>
      </c>
      <c r="B121" s="220">
        <f>IF(TRIM(Weekly!E121)="","",TRIM(Weekly!E121))</f>
        <v/>
      </c>
      <c r="C121" s="220">
        <f>IF($B121="","",Weekly!B121)</f>
        <v/>
      </c>
      <c r="D121" s="220">
        <f>IF($B121="","",IF(TRIM(Weekly!C121)="","(No theme assigned)",TRIM(Weekly!C121)))</f>
        <v/>
      </c>
      <c r="E121" s="220">
        <f>IF($B121="","",TRIM(Weekly!F121))</f>
        <v/>
      </c>
      <c r="F121" s="220">
        <f>IF($B121="","",Weekly!G121)</f>
        <v/>
      </c>
      <c r="G121" s="221">
        <f>IF($B121="","",IF(COUNTA(Weekly!$H121:$CT121)=0,"",SUMPRODUCT(MIN(IF(Weekly!$H121:$CT121&lt;&gt;"",Weekly!$H$1:$CT$1)))))</f>
        <v/>
      </c>
      <c r="H121" s="221">
        <f>IF($B121="","",IF(COUNTA(Weekly!$H121:$CT121)=0,"",SUMPRODUCT(MAX(IF(Weekly!$H121:$CT121&lt;&gt;"",Weekly!$H$1:$CT$1)))))</f>
        <v/>
      </c>
      <c r="I121" s="221">
        <f>IF($Q121&lt;&gt;"",IF($P121&lt;&gt;"",$P121,$Q121),IF($P121&lt;&gt;"",$P121,""))</f>
        <v/>
      </c>
      <c r="J121" s="221">
        <f>IF($Q121&lt;&gt;"",EOMONTH($Q121,0),IF($P121&lt;&gt;"",EOMONTH($P121,0),""))</f>
        <v/>
      </c>
      <c r="K121" s="220">
        <f>IF($B121="","",IFERROR(MATCH($B121,'Initiative Tracker'!$A$5:$A$200,0),IF($E121="","",IFERROR(MATCH($E121,'Initiative Tracker'!$B$5:$B$200,0),""))))</f>
        <v/>
      </c>
      <c r="L121" s="220">
        <f>IF($B121="","",IFERROR(MATCH($D121,'Control (Don’t Touch)'!$E$4:$E$30,0),99))</f>
        <v/>
      </c>
      <c r="M121" s="220">
        <f>IF($B121="","",IFERROR(MATCH($F121,'Control (Don’t Touch)'!$B$4:$B$30,0),99))</f>
        <v/>
      </c>
      <c r="N121" s="220">
        <f>IF($B121="","",$L121*1000000+$M121*10000+ROW())</f>
        <v/>
      </c>
      <c r="O121" s="220">
        <f>IF($B121="","",COUNTIF($N$2:$N$205,"&lt;"&amp;$N121)+1)</f>
        <v/>
      </c>
      <c r="P121" s="221">
        <f>IF($K121="","",IFERROR(DATE(IFERROR(VALUE(RIGHT(TRIM(INDEX('Initiative Tracker'!$G$5:$G$200,$K121)),4)),YEAR(TODAY())),MATCH(LEFT(TRIM(INDEX('Initiative Tracker'!$G$5:$G$200,$K121)),3),$U$2:$U$13,0),1),""))</f>
        <v/>
      </c>
      <c r="Q121" s="221">
        <f>IF($K121="","",IFERROR(DATE(IFERROR(VALUE(RIGHT(TRIM(INDEX('Initiative Tracker'!$H$5:$H$200,$K121)),4)),YEAR(TODAY())),MATCH(LEFT(TRIM(INDEX('Initiative Tracker'!$H$5:$H$200,$K121)),3),$U$2:$U$13,0),1),""))</f>
        <v/>
      </c>
    </row>
    <row r="122">
      <c r="A122" s="220" t="n">
        <v>122</v>
      </c>
      <c r="B122" s="220">
        <f>IF(TRIM(Weekly!E122)="","",TRIM(Weekly!E122))</f>
        <v/>
      </c>
      <c r="C122" s="220">
        <f>IF($B122="","",Weekly!B122)</f>
        <v/>
      </c>
      <c r="D122" s="220">
        <f>IF($B122="","",IF(TRIM(Weekly!C122)="","(No theme assigned)",TRIM(Weekly!C122)))</f>
        <v/>
      </c>
      <c r="E122" s="220">
        <f>IF($B122="","",TRIM(Weekly!F122))</f>
        <v/>
      </c>
      <c r="F122" s="220">
        <f>IF($B122="","",Weekly!G122)</f>
        <v/>
      </c>
      <c r="G122" s="221">
        <f>IF($B122="","",IF(COUNTA(Weekly!$H122:$CT122)=0,"",SUMPRODUCT(MIN(IF(Weekly!$H122:$CT122&lt;&gt;"",Weekly!$H$1:$CT$1)))))</f>
        <v/>
      </c>
      <c r="H122" s="221">
        <f>IF($B122="","",IF(COUNTA(Weekly!$H122:$CT122)=0,"",SUMPRODUCT(MAX(IF(Weekly!$H122:$CT122&lt;&gt;"",Weekly!$H$1:$CT$1)))))</f>
        <v/>
      </c>
      <c r="I122" s="221">
        <f>IF($Q122&lt;&gt;"",IF($P122&lt;&gt;"",$P122,$Q122),IF($P122&lt;&gt;"",$P122,""))</f>
        <v/>
      </c>
      <c r="J122" s="221">
        <f>IF($Q122&lt;&gt;"",EOMONTH($Q122,0),IF($P122&lt;&gt;"",EOMONTH($P122,0),""))</f>
        <v/>
      </c>
      <c r="K122" s="220">
        <f>IF($B122="","",IFERROR(MATCH($B122,'Initiative Tracker'!$A$5:$A$200,0),IF($E122="","",IFERROR(MATCH($E122,'Initiative Tracker'!$B$5:$B$200,0),""))))</f>
        <v/>
      </c>
      <c r="L122" s="220">
        <f>IF($B122="","",IFERROR(MATCH($D122,'Control (Don’t Touch)'!$E$4:$E$30,0),99))</f>
        <v/>
      </c>
      <c r="M122" s="220">
        <f>IF($B122="","",IFERROR(MATCH($F122,'Control (Don’t Touch)'!$B$4:$B$30,0),99))</f>
        <v/>
      </c>
      <c r="N122" s="220">
        <f>IF($B122="","",$L122*1000000+$M122*10000+ROW())</f>
        <v/>
      </c>
      <c r="O122" s="220">
        <f>IF($B122="","",COUNTIF($N$2:$N$205,"&lt;"&amp;$N122)+1)</f>
        <v/>
      </c>
      <c r="P122" s="221">
        <f>IF($K122="","",IFERROR(DATE(IFERROR(VALUE(RIGHT(TRIM(INDEX('Initiative Tracker'!$G$5:$G$200,$K122)),4)),YEAR(TODAY())),MATCH(LEFT(TRIM(INDEX('Initiative Tracker'!$G$5:$G$200,$K122)),3),$U$2:$U$13,0),1),""))</f>
        <v/>
      </c>
      <c r="Q122" s="221">
        <f>IF($K122="","",IFERROR(DATE(IFERROR(VALUE(RIGHT(TRIM(INDEX('Initiative Tracker'!$H$5:$H$200,$K122)),4)),YEAR(TODAY())),MATCH(LEFT(TRIM(INDEX('Initiative Tracker'!$H$5:$H$200,$K122)),3),$U$2:$U$13,0),1),""))</f>
        <v/>
      </c>
    </row>
    <row r="123">
      <c r="A123" s="220" t="n">
        <v>123</v>
      </c>
      <c r="B123" s="220">
        <f>IF(TRIM(Weekly!E123)="","",TRIM(Weekly!E123))</f>
        <v/>
      </c>
      <c r="C123" s="220">
        <f>IF($B123="","",Weekly!B123)</f>
        <v/>
      </c>
      <c r="D123" s="220">
        <f>IF($B123="","",IF(TRIM(Weekly!C123)="","(No theme assigned)",TRIM(Weekly!C123)))</f>
        <v/>
      </c>
      <c r="E123" s="220">
        <f>IF($B123="","",TRIM(Weekly!F123))</f>
        <v/>
      </c>
      <c r="F123" s="220">
        <f>IF($B123="","",Weekly!G123)</f>
        <v/>
      </c>
      <c r="G123" s="221">
        <f>IF($B123="","",IF(COUNTA(Weekly!$H123:$CT123)=0,"",SUMPRODUCT(MIN(IF(Weekly!$H123:$CT123&lt;&gt;"",Weekly!$H$1:$CT$1)))))</f>
        <v/>
      </c>
      <c r="H123" s="221">
        <f>IF($B123="","",IF(COUNTA(Weekly!$H123:$CT123)=0,"",SUMPRODUCT(MAX(IF(Weekly!$H123:$CT123&lt;&gt;"",Weekly!$H$1:$CT$1)))))</f>
        <v/>
      </c>
      <c r="I123" s="221">
        <f>IF($Q123&lt;&gt;"",IF($P123&lt;&gt;"",$P123,$Q123),IF($P123&lt;&gt;"",$P123,""))</f>
        <v/>
      </c>
      <c r="J123" s="221">
        <f>IF($Q123&lt;&gt;"",EOMONTH($Q123,0),IF($P123&lt;&gt;"",EOMONTH($P123,0),""))</f>
        <v/>
      </c>
      <c r="K123" s="220">
        <f>IF($B123="","",IFERROR(MATCH($B123,'Initiative Tracker'!$A$5:$A$200,0),IF($E123="","",IFERROR(MATCH($E123,'Initiative Tracker'!$B$5:$B$200,0),""))))</f>
        <v/>
      </c>
      <c r="L123" s="220">
        <f>IF($B123="","",IFERROR(MATCH($D123,'Control (Don’t Touch)'!$E$4:$E$30,0),99))</f>
        <v/>
      </c>
      <c r="M123" s="220">
        <f>IF($B123="","",IFERROR(MATCH($F123,'Control (Don’t Touch)'!$B$4:$B$30,0),99))</f>
        <v/>
      </c>
      <c r="N123" s="220">
        <f>IF($B123="","",$L123*1000000+$M123*10000+ROW())</f>
        <v/>
      </c>
      <c r="O123" s="220">
        <f>IF($B123="","",COUNTIF($N$2:$N$205,"&lt;"&amp;$N123)+1)</f>
        <v/>
      </c>
      <c r="P123" s="221">
        <f>IF($K123="","",IFERROR(DATE(IFERROR(VALUE(RIGHT(TRIM(INDEX('Initiative Tracker'!$G$5:$G$200,$K123)),4)),YEAR(TODAY())),MATCH(LEFT(TRIM(INDEX('Initiative Tracker'!$G$5:$G$200,$K123)),3),$U$2:$U$13,0),1),""))</f>
        <v/>
      </c>
      <c r="Q123" s="221">
        <f>IF($K123="","",IFERROR(DATE(IFERROR(VALUE(RIGHT(TRIM(INDEX('Initiative Tracker'!$H$5:$H$200,$K123)),4)),YEAR(TODAY())),MATCH(LEFT(TRIM(INDEX('Initiative Tracker'!$H$5:$H$200,$K123)),3),$U$2:$U$13,0),1),""))</f>
        <v/>
      </c>
    </row>
    <row r="124">
      <c r="A124" s="220" t="n">
        <v>124</v>
      </c>
      <c r="B124" s="220">
        <f>IF(TRIM(Weekly!E124)="","",TRIM(Weekly!E124))</f>
        <v/>
      </c>
      <c r="C124" s="220">
        <f>IF($B124="","",Weekly!B124)</f>
        <v/>
      </c>
      <c r="D124" s="220">
        <f>IF($B124="","",IF(TRIM(Weekly!C124)="","(No theme assigned)",TRIM(Weekly!C124)))</f>
        <v/>
      </c>
      <c r="E124" s="220">
        <f>IF($B124="","",TRIM(Weekly!F124))</f>
        <v/>
      </c>
      <c r="F124" s="220">
        <f>IF($B124="","",Weekly!G124)</f>
        <v/>
      </c>
      <c r="G124" s="221">
        <f>IF($B124="","",IF(COUNTA(Weekly!$H124:$CT124)=0,"",SUMPRODUCT(MIN(IF(Weekly!$H124:$CT124&lt;&gt;"",Weekly!$H$1:$CT$1)))))</f>
        <v/>
      </c>
      <c r="H124" s="221">
        <f>IF($B124="","",IF(COUNTA(Weekly!$H124:$CT124)=0,"",SUMPRODUCT(MAX(IF(Weekly!$H124:$CT124&lt;&gt;"",Weekly!$H$1:$CT$1)))))</f>
        <v/>
      </c>
      <c r="I124" s="221">
        <f>IF($Q124&lt;&gt;"",IF($P124&lt;&gt;"",$P124,$Q124),IF($P124&lt;&gt;"",$P124,""))</f>
        <v/>
      </c>
      <c r="J124" s="221">
        <f>IF($Q124&lt;&gt;"",EOMONTH($Q124,0),IF($P124&lt;&gt;"",EOMONTH($P124,0),""))</f>
        <v/>
      </c>
      <c r="K124" s="220">
        <f>IF($B124="","",IFERROR(MATCH($B124,'Initiative Tracker'!$A$5:$A$200,0),IF($E124="","",IFERROR(MATCH($E124,'Initiative Tracker'!$B$5:$B$200,0),""))))</f>
        <v/>
      </c>
      <c r="L124" s="220">
        <f>IF($B124="","",IFERROR(MATCH($D124,'Control (Don’t Touch)'!$E$4:$E$30,0),99))</f>
        <v/>
      </c>
      <c r="M124" s="220">
        <f>IF($B124="","",IFERROR(MATCH($F124,'Control (Don’t Touch)'!$B$4:$B$30,0),99))</f>
        <v/>
      </c>
      <c r="N124" s="220">
        <f>IF($B124="","",$L124*1000000+$M124*10000+ROW())</f>
        <v/>
      </c>
      <c r="O124" s="220">
        <f>IF($B124="","",COUNTIF($N$2:$N$205,"&lt;"&amp;$N124)+1)</f>
        <v/>
      </c>
      <c r="P124" s="221">
        <f>IF($K124="","",IFERROR(DATE(IFERROR(VALUE(RIGHT(TRIM(INDEX('Initiative Tracker'!$G$5:$G$200,$K124)),4)),YEAR(TODAY())),MATCH(LEFT(TRIM(INDEX('Initiative Tracker'!$G$5:$G$200,$K124)),3),$U$2:$U$13,0),1),""))</f>
        <v/>
      </c>
      <c r="Q124" s="221">
        <f>IF($K124="","",IFERROR(DATE(IFERROR(VALUE(RIGHT(TRIM(INDEX('Initiative Tracker'!$H$5:$H$200,$K124)),4)),YEAR(TODAY())),MATCH(LEFT(TRIM(INDEX('Initiative Tracker'!$H$5:$H$200,$K124)),3),$U$2:$U$13,0),1),""))</f>
        <v/>
      </c>
    </row>
    <row r="125">
      <c r="A125" s="220" t="n">
        <v>125</v>
      </c>
      <c r="B125" s="220">
        <f>IF(TRIM(Weekly!E125)="","",TRIM(Weekly!E125))</f>
        <v/>
      </c>
      <c r="C125" s="220">
        <f>IF($B125="","",Weekly!B125)</f>
        <v/>
      </c>
      <c r="D125" s="220">
        <f>IF($B125="","",IF(TRIM(Weekly!C125)="","(No theme assigned)",TRIM(Weekly!C125)))</f>
        <v/>
      </c>
      <c r="E125" s="220">
        <f>IF($B125="","",TRIM(Weekly!F125))</f>
        <v/>
      </c>
      <c r="F125" s="220">
        <f>IF($B125="","",Weekly!G125)</f>
        <v/>
      </c>
      <c r="G125" s="221">
        <f>IF($B125="","",IF(COUNTA(Weekly!$H125:$CT125)=0,"",SUMPRODUCT(MIN(IF(Weekly!$H125:$CT125&lt;&gt;"",Weekly!$H$1:$CT$1)))))</f>
        <v/>
      </c>
      <c r="H125" s="221">
        <f>IF($B125="","",IF(COUNTA(Weekly!$H125:$CT125)=0,"",SUMPRODUCT(MAX(IF(Weekly!$H125:$CT125&lt;&gt;"",Weekly!$H$1:$CT$1)))))</f>
        <v/>
      </c>
      <c r="I125" s="221">
        <f>IF($Q125&lt;&gt;"",IF($P125&lt;&gt;"",$P125,$Q125),IF($P125&lt;&gt;"",$P125,""))</f>
        <v/>
      </c>
      <c r="J125" s="221">
        <f>IF($Q125&lt;&gt;"",EOMONTH($Q125,0),IF($P125&lt;&gt;"",EOMONTH($P125,0),""))</f>
        <v/>
      </c>
      <c r="K125" s="220">
        <f>IF($B125="","",IFERROR(MATCH($B125,'Initiative Tracker'!$A$5:$A$200,0),IF($E125="","",IFERROR(MATCH($E125,'Initiative Tracker'!$B$5:$B$200,0),""))))</f>
        <v/>
      </c>
      <c r="L125" s="220">
        <f>IF($B125="","",IFERROR(MATCH($D125,'Control (Don’t Touch)'!$E$4:$E$30,0),99))</f>
        <v/>
      </c>
      <c r="M125" s="220">
        <f>IF($B125="","",IFERROR(MATCH($F125,'Control (Don’t Touch)'!$B$4:$B$30,0),99))</f>
        <v/>
      </c>
      <c r="N125" s="220">
        <f>IF($B125="","",$L125*1000000+$M125*10000+ROW())</f>
        <v/>
      </c>
      <c r="O125" s="220">
        <f>IF($B125="","",COUNTIF($N$2:$N$205,"&lt;"&amp;$N125)+1)</f>
        <v/>
      </c>
      <c r="P125" s="221">
        <f>IF($K125="","",IFERROR(DATE(IFERROR(VALUE(RIGHT(TRIM(INDEX('Initiative Tracker'!$G$5:$G$200,$K125)),4)),YEAR(TODAY())),MATCH(LEFT(TRIM(INDEX('Initiative Tracker'!$G$5:$G$200,$K125)),3),$U$2:$U$13,0),1),""))</f>
        <v/>
      </c>
      <c r="Q125" s="221">
        <f>IF($K125="","",IFERROR(DATE(IFERROR(VALUE(RIGHT(TRIM(INDEX('Initiative Tracker'!$H$5:$H$200,$K125)),4)),YEAR(TODAY())),MATCH(LEFT(TRIM(INDEX('Initiative Tracker'!$H$5:$H$200,$K125)),3),$U$2:$U$13,0),1),""))</f>
        <v/>
      </c>
    </row>
    <row r="126">
      <c r="A126" s="220" t="n">
        <v>126</v>
      </c>
      <c r="B126" s="220">
        <f>IF(TRIM(Weekly!E126)="","",TRIM(Weekly!E126))</f>
        <v/>
      </c>
      <c r="C126" s="220">
        <f>IF($B126="","",Weekly!B126)</f>
        <v/>
      </c>
      <c r="D126" s="220">
        <f>IF($B126="","",IF(TRIM(Weekly!C126)="","(No theme assigned)",TRIM(Weekly!C126)))</f>
        <v/>
      </c>
      <c r="E126" s="220">
        <f>IF($B126="","",TRIM(Weekly!F126))</f>
        <v/>
      </c>
      <c r="F126" s="220">
        <f>IF($B126="","",Weekly!G126)</f>
        <v/>
      </c>
      <c r="G126" s="221">
        <f>IF($B126="","",IF(COUNTA(Weekly!$H126:$CT126)=0,"",SUMPRODUCT(MIN(IF(Weekly!$H126:$CT126&lt;&gt;"",Weekly!$H$1:$CT$1)))))</f>
        <v/>
      </c>
      <c r="H126" s="221">
        <f>IF($B126="","",IF(COUNTA(Weekly!$H126:$CT126)=0,"",SUMPRODUCT(MAX(IF(Weekly!$H126:$CT126&lt;&gt;"",Weekly!$H$1:$CT$1)))))</f>
        <v/>
      </c>
      <c r="I126" s="221">
        <f>IF($Q126&lt;&gt;"",IF($P126&lt;&gt;"",$P126,$Q126),IF($P126&lt;&gt;"",$P126,""))</f>
        <v/>
      </c>
      <c r="J126" s="221">
        <f>IF($Q126&lt;&gt;"",EOMONTH($Q126,0),IF($P126&lt;&gt;"",EOMONTH($P126,0),""))</f>
        <v/>
      </c>
      <c r="K126" s="220">
        <f>IF($B126="","",IFERROR(MATCH($B126,'Initiative Tracker'!$A$5:$A$200,0),IF($E126="","",IFERROR(MATCH($E126,'Initiative Tracker'!$B$5:$B$200,0),""))))</f>
        <v/>
      </c>
      <c r="L126" s="220">
        <f>IF($B126="","",IFERROR(MATCH($D126,'Control (Don’t Touch)'!$E$4:$E$30,0),99))</f>
        <v/>
      </c>
      <c r="M126" s="220">
        <f>IF($B126="","",IFERROR(MATCH($F126,'Control (Don’t Touch)'!$B$4:$B$30,0),99))</f>
        <v/>
      </c>
      <c r="N126" s="220">
        <f>IF($B126="","",$L126*1000000+$M126*10000+ROW())</f>
        <v/>
      </c>
      <c r="O126" s="220">
        <f>IF($B126="","",COUNTIF($N$2:$N$205,"&lt;"&amp;$N126)+1)</f>
        <v/>
      </c>
      <c r="P126" s="221">
        <f>IF($K126="","",IFERROR(DATE(IFERROR(VALUE(RIGHT(TRIM(INDEX('Initiative Tracker'!$G$5:$G$200,$K126)),4)),YEAR(TODAY())),MATCH(LEFT(TRIM(INDEX('Initiative Tracker'!$G$5:$G$200,$K126)),3),$U$2:$U$13,0),1),""))</f>
        <v/>
      </c>
      <c r="Q126" s="221">
        <f>IF($K126="","",IFERROR(DATE(IFERROR(VALUE(RIGHT(TRIM(INDEX('Initiative Tracker'!$H$5:$H$200,$K126)),4)),YEAR(TODAY())),MATCH(LEFT(TRIM(INDEX('Initiative Tracker'!$H$5:$H$200,$K126)),3),$U$2:$U$13,0),1),""))</f>
        <v/>
      </c>
    </row>
    <row r="127">
      <c r="A127" s="220" t="n">
        <v>127</v>
      </c>
      <c r="B127" s="220">
        <f>IF(TRIM(Weekly!E127)="","",TRIM(Weekly!E127))</f>
        <v/>
      </c>
      <c r="C127" s="220">
        <f>IF($B127="","",Weekly!B127)</f>
        <v/>
      </c>
      <c r="D127" s="220">
        <f>IF($B127="","",IF(TRIM(Weekly!C127)="","(No theme assigned)",TRIM(Weekly!C127)))</f>
        <v/>
      </c>
      <c r="E127" s="220">
        <f>IF($B127="","",TRIM(Weekly!F127))</f>
        <v/>
      </c>
      <c r="F127" s="220">
        <f>IF($B127="","",Weekly!G127)</f>
        <v/>
      </c>
      <c r="G127" s="221">
        <f>IF($B127="","",IF(COUNTA(Weekly!$H127:$CT127)=0,"",SUMPRODUCT(MIN(IF(Weekly!$H127:$CT127&lt;&gt;"",Weekly!$H$1:$CT$1)))))</f>
        <v/>
      </c>
      <c r="H127" s="221">
        <f>IF($B127="","",IF(COUNTA(Weekly!$H127:$CT127)=0,"",SUMPRODUCT(MAX(IF(Weekly!$H127:$CT127&lt;&gt;"",Weekly!$H$1:$CT$1)))))</f>
        <v/>
      </c>
      <c r="I127" s="221">
        <f>IF($Q127&lt;&gt;"",IF($P127&lt;&gt;"",$P127,$Q127),IF($P127&lt;&gt;"",$P127,""))</f>
        <v/>
      </c>
      <c r="J127" s="221">
        <f>IF($Q127&lt;&gt;"",EOMONTH($Q127,0),IF($P127&lt;&gt;"",EOMONTH($P127,0),""))</f>
        <v/>
      </c>
      <c r="K127" s="220">
        <f>IF($B127="","",IFERROR(MATCH($B127,'Initiative Tracker'!$A$5:$A$200,0),IF($E127="","",IFERROR(MATCH($E127,'Initiative Tracker'!$B$5:$B$200,0),""))))</f>
        <v/>
      </c>
      <c r="L127" s="220">
        <f>IF($B127="","",IFERROR(MATCH($D127,'Control (Don’t Touch)'!$E$4:$E$30,0),99))</f>
        <v/>
      </c>
      <c r="M127" s="220">
        <f>IF($B127="","",IFERROR(MATCH($F127,'Control (Don’t Touch)'!$B$4:$B$30,0),99))</f>
        <v/>
      </c>
      <c r="N127" s="220">
        <f>IF($B127="","",$L127*1000000+$M127*10000+ROW())</f>
        <v/>
      </c>
      <c r="O127" s="220">
        <f>IF($B127="","",COUNTIF($N$2:$N$205,"&lt;"&amp;$N127)+1)</f>
        <v/>
      </c>
      <c r="P127" s="221">
        <f>IF($K127="","",IFERROR(DATE(IFERROR(VALUE(RIGHT(TRIM(INDEX('Initiative Tracker'!$G$5:$G$200,$K127)),4)),YEAR(TODAY())),MATCH(LEFT(TRIM(INDEX('Initiative Tracker'!$G$5:$G$200,$K127)),3),$U$2:$U$13,0),1),""))</f>
        <v/>
      </c>
      <c r="Q127" s="221">
        <f>IF($K127="","",IFERROR(DATE(IFERROR(VALUE(RIGHT(TRIM(INDEX('Initiative Tracker'!$H$5:$H$200,$K127)),4)),YEAR(TODAY())),MATCH(LEFT(TRIM(INDEX('Initiative Tracker'!$H$5:$H$200,$K127)),3),$U$2:$U$13,0),1),""))</f>
        <v/>
      </c>
    </row>
    <row r="128">
      <c r="A128" s="220" t="n">
        <v>128</v>
      </c>
      <c r="B128" s="220">
        <f>IF(TRIM(Weekly!E128)="","",TRIM(Weekly!E128))</f>
        <v/>
      </c>
      <c r="C128" s="220">
        <f>IF($B128="","",Weekly!B128)</f>
        <v/>
      </c>
      <c r="D128" s="220">
        <f>IF($B128="","",IF(TRIM(Weekly!C128)="","(No theme assigned)",TRIM(Weekly!C128)))</f>
        <v/>
      </c>
      <c r="E128" s="220">
        <f>IF($B128="","",TRIM(Weekly!F128))</f>
        <v/>
      </c>
      <c r="F128" s="220">
        <f>IF($B128="","",Weekly!G128)</f>
        <v/>
      </c>
      <c r="G128" s="221">
        <f>IF($B128="","",IF(COUNTA(Weekly!$H128:$CT128)=0,"",SUMPRODUCT(MIN(IF(Weekly!$H128:$CT128&lt;&gt;"",Weekly!$H$1:$CT$1)))))</f>
        <v/>
      </c>
      <c r="H128" s="221">
        <f>IF($B128="","",IF(COUNTA(Weekly!$H128:$CT128)=0,"",SUMPRODUCT(MAX(IF(Weekly!$H128:$CT128&lt;&gt;"",Weekly!$H$1:$CT$1)))))</f>
        <v/>
      </c>
      <c r="I128" s="221">
        <f>IF($Q128&lt;&gt;"",IF($P128&lt;&gt;"",$P128,$Q128),IF($P128&lt;&gt;"",$P128,""))</f>
        <v/>
      </c>
      <c r="J128" s="221">
        <f>IF($Q128&lt;&gt;"",EOMONTH($Q128,0),IF($P128&lt;&gt;"",EOMONTH($P128,0),""))</f>
        <v/>
      </c>
      <c r="K128" s="220">
        <f>IF($B128="","",IFERROR(MATCH($B128,'Initiative Tracker'!$A$5:$A$200,0),IF($E128="","",IFERROR(MATCH($E128,'Initiative Tracker'!$B$5:$B$200,0),""))))</f>
        <v/>
      </c>
      <c r="L128" s="220">
        <f>IF($B128="","",IFERROR(MATCH($D128,'Control (Don’t Touch)'!$E$4:$E$30,0),99))</f>
        <v/>
      </c>
      <c r="M128" s="220">
        <f>IF($B128="","",IFERROR(MATCH($F128,'Control (Don’t Touch)'!$B$4:$B$30,0),99))</f>
        <v/>
      </c>
      <c r="N128" s="220">
        <f>IF($B128="","",$L128*1000000+$M128*10000+ROW())</f>
        <v/>
      </c>
      <c r="O128" s="220">
        <f>IF($B128="","",COUNTIF($N$2:$N$205,"&lt;"&amp;$N128)+1)</f>
        <v/>
      </c>
      <c r="P128" s="221">
        <f>IF($K128="","",IFERROR(DATE(IFERROR(VALUE(RIGHT(TRIM(INDEX('Initiative Tracker'!$G$5:$G$200,$K128)),4)),YEAR(TODAY())),MATCH(LEFT(TRIM(INDEX('Initiative Tracker'!$G$5:$G$200,$K128)),3),$U$2:$U$13,0),1),""))</f>
        <v/>
      </c>
      <c r="Q128" s="221">
        <f>IF($K128="","",IFERROR(DATE(IFERROR(VALUE(RIGHT(TRIM(INDEX('Initiative Tracker'!$H$5:$H$200,$K128)),4)),YEAR(TODAY())),MATCH(LEFT(TRIM(INDEX('Initiative Tracker'!$H$5:$H$200,$K128)),3),$U$2:$U$13,0),1),""))</f>
        <v/>
      </c>
    </row>
    <row r="129">
      <c r="A129" s="220" t="n">
        <v>129</v>
      </c>
      <c r="B129" s="220">
        <f>IF(TRIM(Weekly!E129)="","",TRIM(Weekly!E129))</f>
        <v/>
      </c>
      <c r="C129" s="220">
        <f>IF($B129="","",Weekly!B129)</f>
        <v/>
      </c>
      <c r="D129" s="220">
        <f>IF($B129="","",IF(TRIM(Weekly!C129)="","(No theme assigned)",TRIM(Weekly!C129)))</f>
        <v/>
      </c>
      <c r="E129" s="220">
        <f>IF($B129="","",TRIM(Weekly!F129))</f>
        <v/>
      </c>
      <c r="F129" s="220">
        <f>IF($B129="","",Weekly!G129)</f>
        <v/>
      </c>
      <c r="G129" s="221">
        <f>IF($B129="","",IF(COUNTA(Weekly!$H129:$CT129)=0,"",SUMPRODUCT(MIN(IF(Weekly!$H129:$CT129&lt;&gt;"",Weekly!$H$1:$CT$1)))))</f>
        <v/>
      </c>
      <c r="H129" s="221">
        <f>IF($B129="","",IF(COUNTA(Weekly!$H129:$CT129)=0,"",SUMPRODUCT(MAX(IF(Weekly!$H129:$CT129&lt;&gt;"",Weekly!$H$1:$CT$1)))))</f>
        <v/>
      </c>
      <c r="I129" s="221">
        <f>IF($Q129&lt;&gt;"",IF($P129&lt;&gt;"",$P129,$Q129),IF($P129&lt;&gt;"",$P129,""))</f>
        <v/>
      </c>
      <c r="J129" s="221">
        <f>IF($Q129&lt;&gt;"",EOMONTH($Q129,0),IF($P129&lt;&gt;"",EOMONTH($P129,0),""))</f>
        <v/>
      </c>
      <c r="K129" s="220">
        <f>IF($B129="","",IFERROR(MATCH($B129,'Initiative Tracker'!$A$5:$A$200,0),IF($E129="","",IFERROR(MATCH($E129,'Initiative Tracker'!$B$5:$B$200,0),""))))</f>
        <v/>
      </c>
      <c r="L129" s="220">
        <f>IF($B129="","",IFERROR(MATCH($D129,'Control (Don’t Touch)'!$E$4:$E$30,0),99))</f>
        <v/>
      </c>
      <c r="M129" s="220">
        <f>IF($B129="","",IFERROR(MATCH($F129,'Control (Don’t Touch)'!$B$4:$B$30,0),99))</f>
        <v/>
      </c>
      <c r="N129" s="220">
        <f>IF($B129="","",$L129*1000000+$M129*10000+ROW())</f>
        <v/>
      </c>
      <c r="O129" s="220">
        <f>IF($B129="","",COUNTIF($N$2:$N$205,"&lt;"&amp;$N129)+1)</f>
        <v/>
      </c>
      <c r="P129" s="221">
        <f>IF($K129="","",IFERROR(DATE(IFERROR(VALUE(RIGHT(TRIM(INDEX('Initiative Tracker'!$G$5:$G$200,$K129)),4)),YEAR(TODAY())),MATCH(LEFT(TRIM(INDEX('Initiative Tracker'!$G$5:$G$200,$K129)),3),$U$2:$U$13,0),1),""))</f>
        <v/>
      </c>
      <c r="Q129" s="221">
        <f>IF($K129="","",IFERROR(DATE(IFERROR(VALUE(RIGHT(TRIM(INDEX('Initiative Tracker'!$H$5:$H$200,$K129)),4)),YEAR(TODAY())),MATCH(LEFT(TRIM(INDEX('Initiative Tracker'!$H$5:$H$200,$K129)),3),$U$2:$U$13,0),1),""))</f>
        <v/>
      </c>
    </row>
    <row r="130">
      <c r="A130" s="220" t="n">
        <v>130</v>
      </c>
      <c r="B130" s="220">
        <f>IF(TRIM(Weekly!E130)="","",TRIM(Weekly!E130))</f>
        <v/>
      </c>
      <c r="C130" s="220">
        <f>IF($B130="","",Weekly!B130)</f>
        <v/>
      </c>
      <c r="D130" s="220">
        <f>IF($B130="","",IF(TRIM(Weekly!C130)="","(No theme assigned)",TRIM(Weekly!C130)))</f>
        <v/>
      </c>
      <c r="E130" s="220">
        <f>IF($B130="","",TRIM(Weekly!F130))</f>
        <v/>
      </c>
      <c r="F130" s="220">
        <f>IF($B130="","",Weekly!G130)</f>
        <v/>
      </c>
      <c r="G130" s="221">
        <f>IF($B130="","",IF(COUNTA(Weekly!$H130:$CT130)=0,"",SUMPRODUCT(MIN(IF(Weekly!$H130:$CT130&lt;&gt;"",Weekly!$H$1:$CT$1)))))</f>
        <v/>
      </c>
      <c r="H130" s="221">
        <f>IF($B130="","",IF(COUNTA(Weekly!$H130:$CT130)=0,"",SUMPRODUCT(MAX(IF(Weekly!$H130:$CT130&lt;&gt;"",Weekly!$H$1:$CT$1)))))</f>
        <v/>
      </c>
      <c r="I130" s="221">
        <f>IF($Q130&lt;&gt;"",IF($P130&lt;&gt;"",$P130,$Q130),IF($P130&lt;&gt;"",$P130,""))</f>
        <v/>
      </c>
      <c r="J130" s="221">
        <f>IF($Q130&lt;&gt;"",EOMONTH($Q130,0),IF($P130&lt;&gt;"",EOMONTH($P130,0),""))</f>
        <v/>
      </c>
      <c r="K130" s="220">
        <f>IF($B130="","",IFERROR(MATCH($B130,'Initiative Tracker'!$A$5:$A$200,0),IF($E130="","",IFERROR(MATCH($E130,'Initiative Tracker'!$B$5:$B$200,0),""))))</f>
        <v/>
      </c>
      <c r="L130" s="220">
        <f>IF($B130="","",IFERROR(MATCH($D130,'Control (Don’t Touch)'!$E$4:$E$30,0),99))</f>
        <v/>
      </c>
      <c r="M130" s="220">
        <f>IF($B130="","",IFERROR(MATCH($F130,'Control (Don’t Touch)'!$B$4:$B$30,0),99))</f>
        <v/>
      </c>
      <c r="N130" s="220">
        <f>IF($B130="","",$L130*1000000+$M130*10000+ROW())</f>
        <v/>
      </c>
      <c r="O130" s="220">
        <f>IF($B130="","",COUNTIF($N$2:$N$205,"&lt;"&amp;$N130)+1)</f>
        <v/>
      </c>
      <c r="P130" s="221">
        <f>IF($K130="","",IFERROR(DATE(IFERROR(VALUE(RIGHT(TRIM(INDEX('Initiative Tracker'!$G$5:$G$200,$K130)),4)),YEAR(TODAY())),MATCH(LEFT(TRIM(INDEX('Initiative Tracker'!$G$5:$G$200,$K130)),3),$U$2:$U$13,0),1),""))</f>
        <v/>
      </c>
      <c r="Q130" s="221">
        <f>IF($K130="","",IFERROR(DATE(IFERROR(VALUE(RIGHT(TRIM(INDEX('Initiative Tracker'!$H$5:$H$200,$K130)),4)),YEAR(TODAY())),MATCH(LEFT(TRIM(INDEX('Initiative Tracker'!$H$5:$H$200,$K130)),3),$U$2:$U$13,0),1),""))</f>
        <v/>
      </c>
    </row>
    <row r="131">
      <c r="A131" s="220" t="n">
        <v>131</v>
      </c>
      <c r="B131" s="220">
        <f>IF(TRIM(Weekly!E131)="","",TRIM(Weekly!E131))</f>
        <v/>
      </c>
      <c r="C131" s="220">
        <f>IF($B131="","",Weekly!B131)</f>
        <v/>
      </c>
      <c r="D131" s="220">
        <f>IF($B131="","",IF(TRIM(Weekly!C131)="","(No theme assigned)",TRIM(Weekly!C131)))</f>
        <v/>
      </c>
      <c r="E131" s="220">
        <f>IF($B131="","",TRIM(Weekly!F131))</f>
        <v/>
      </c>
      <c r="F131" s="220">
        <f>IF($B131="","",Weekly!G131)</f>
        <v/>
      </c>
      <c r="G131" s="221">
        <f>IF($B131="","",IF(COUNTA(Weekly!$H131:$CT131)=0,"",SUMPRODUCT(MIN(IF(Weekly!$H131:$CT131&lt;&gt;"",Weekly!$H$1:$CT$1)))))</f>
        <v/>
      </c>
      <c r="H131" s="221">
        <f>IF($B131="","",IF(COUNTA(Weekly!$H131:$CT131)=0,"",SUMPRODUCT(MAX(IF(Weekly!$H131:$CT131&lt;&gt;"",Weekly!$H$1:$CT$1)))))</f>
        <v/>
      </c>
      <c r="I131" s="221">
        <f>IF($Q131&lt;&gt;"",IF($P131&lt;&gt;"",$P131,$Q131),IF($P131&lt;&gt;"",$P131,""))</f>
        <v/>
      </c>
      <c r="J131" s="221">
        <f>IF($Q131&lt;&gt;"",EOMONTH($Q131,0),IF($P131&lt;&gt;"",EOMONTH($P131,0),""))</f>
        <v/>
      </c>
      <c r="K131" s="220">
        <f>IF($B131="","",IFERROR(MATCH($B131,'Initiative Tracker'!$A$5:$A$200,0),IF($E131="","",IFERROR(MATCH($E131,'Initiative Tracker'!$B$5:$B$200,0),""))))</f>
        <v/>
      </c>
      <c r="L131" s="220">
        <f>IF($B131="","",IFERROR(MATCH($D131,'Control (Don’t Touch)'!$E$4:$E$30,0),99))</f>
        <v/>
      </c>
      <c r="M131" s="220">
        <f>IF($B131="","",IFERROR(MATCH($F131,'Control (Don’t Touch)'!$B$4:$B$30,0),99))</f>
        <v/>
      </c>
      <c r="N131" s="220">
        <f>IF($B131="","",$L131*1000000+$M131*10000+ROW())</f>
        <v/>
      </c>
      <c r="O131" s="220">
        <f>IF($B131="","",COUNTIF($N$2:$N$205,"&lt;"&amp;$N131)+1)</f>
        <v/>
      </c>
      <c r="P131" s="221">
        <f>IF($K131="","",IFERROR(DATE(IFERROR(VALUE(RIGHT(TRIM(INDEX('Initiative Tracker'!$G$5:$G$200,$K131)),4)),YEAR(TODAY())),MATCH(LEFT(TRIM(INDEX('Initiative Tracker'!$G$5:$G$200,$K131)),3),$U$2:$U$13,0),1),""))</f>
        <v/>
      </c>
      <c r="Q131" s="221">
        <f>IF($K131="","",IFERROR(DATE(IFERROR(VALUE(RIGHT(TRIM(INDEX('Initiative Tracker'!$H$5:$H$200,$K131)),4)),YEAR(TODAY())),MATCH(LEFT(TRIM(INDEX('Initiative Tracker'!$H$5:$H$200,$K131)),3),$U$2:$U$13,0),1),""))</f>
        <v/>
      </c>
    </row>
    <row r="132">
      <c r="A132" s="220" t="n">
        <v>132</v>
      </c>
      <c r="B132" s="220">
        <f>IF(TRIM(Weekly!E132)="","",TRIM(Weekly!E132))</f>
        <v/>
      </c>
      <c r="C132" s="220">
        <f>IF($B132="","",Weekly!B132)</f>
        <v/>
      </c>
      <c r="D132" s="220">
        <f>IF($B132="","",IF(TRIM(Weekly!C132)="","(No theme assigned)",TRIM(Weekly!C132)))</f>
        <v/>
      </c>
      <c r="E132" s="220">
        <f>IF($B132="","",TRIM(Weekly!F132))</f>
        <v/>
      </c>
      <c r="F132" s="220">
        <f>IF($B132="","",Weekly!G132)</f>
        <v/>
      </c>
      <c r="G132" s="221">
        <f>IF($B132="","",IF(COUNTA(Weekly!$H132:$CT132)=0,"",SUMPRODUCT(MIN(IF(Weekly!$H132:$CT132&lt;&gt;"",Weekly!$H$1:$CT$1)))))</f>
        <v/>
      </c>
      <c r="H132" s="221">
        <f>IF($B132="","",IF(COUNTA(Weekly!$H132:$CT132)=0,"",SUMPRODUCT(MAX(IF(Weekly!$H132:$CT132&lt;&gt;"",Weekly!$H$1:$CT$1)))))</f>
        <v/>
      </c>
      <c r="I132" s="221">
        <f>IF($Q132&lt;&gt;"",IF($P132&lt;&gt;"",$P132,$Q132),IF($P132&lt;&gt;"",$P132,""))</f>
        <v/>
      </c>
      <c r="J132" s="221">
        <f>IF($Q132&lt;&gt;"",EOMONTH($Q132,0),IF($P132&lt;&gt;"",EOMONTH($P132,0),""))</f>
        <v/>
      </c>
      <c r="K132" s="220">
        <f>IF($B132="","",IFERROR(MATCH($B132,'Initiative Tracker'!$A$5:$A$200,0),IF($E132="","",IFERROR(MATCH($E132,'Initiative Tracker'!$B$5:$B$200,0),""))))</f>
        <v/>
      </c>
      <c r="L132" s="220">
        <f>IF($B132="","",IFERROR(MATCH($D132,'Control (Don’t Touch)'!$E$4:$E$30,0),99))</f>
        <v/>
      </c>
      <c r="M132" s="220">
        <f>IF($B132="","",IFERROR(MATCH($F132,'Control (Don’t Touch)'!$B$4:$B$30,0),99))</f>
        <v/>
      </c>
      <c r="N132" s="220">
        <f>IF($B132="","",$L132*1000000+$M132*10000+ROW())</f>
        <v/>
      </c>
      <c r="O132" s="220">
        <f>IF($B132="","",COUNTIF($N$2:$N$205,"&lt;"&amp;$N132)+1)</f>
        <v/>
      </c>
      <c r="P132" s="221">
        <f>IF($K132="","",IFERROR(DATE(IFERROR(VALUE(RIGHT(TRIM(INDEX('Initiative Tracker'!$G$5:$G$200,$K132)),4)),YEAR(TODAY())),MATCH(LEFT(TRIM(INDEX('Initiative Tracker'!$G$5:$G$200,$K132)),3),$U$2:$U$13,0),1),""))</f>
        <v/>
      </c>
      <c r="Q132" s="221">
        <f>IF($K132="","",IFERROR(DATE(IFERROR(VALUE(RIGHT(TRIM(INDEX('Initiative Tracker'!$H$5:$H$200,$K132)),4)),YEAR(TODAY())),MATCH(LEFT(TRIM(INDEX('Initiative Tracker'!$H$5:$H$200,$K132)),3),$U$2:$U$13,0),1),""))</f>
        <v/>
      </c>
    </row>
    <row r="133">
      <c r="A133" s="220" t="n">
        <v>133</v>
      </c>
      <c r="B133" s="220">
        <f>IF(TRIM(Weekly!E133)="","",TRIM(Weekly!E133))</f>
        <v/>
      </c>
      <c r="C133" s="220">
        <f>IF($B133="","",Weekly!B133)</f>
        <v/>
      </c>
      <c r="D133" s="220">
        <f>IF($B133="","",IF(TRIM(Weekly!C133)="","(No theme assigned)",TRIM(Weekly!C133)))</f>
        <v/>
      </c>
      <c r="E133" s="220">
        <f>IF($B133="","",TRIM(Weekly!F133))</f>
        <v/>
      </c>
      <c r="F133" s="220">
        <f>IF($B133="","",Weekly!G133)</f>
        <v/>
      </c>
      <c r="G133" s="221">
        <f>IF($B133="","",IF(COUNTA(Weekly!$H133:$CT133)=0,"",SUMPRODUCT(MIN(IF(Weekly!$H133:$CT133&lt;&gt;"",Weekly!$H$1:$CT$1)))))</f>
        <v/>
      </c>
      <c r="H133" s="221">
        <f>IF($B133="","",IF(COUNTA(Weekly!$H133:$CT133)=0,"",SUMPRODUCT(MAX(IF(Weekly!$H133:$CT133&lt;&gt;"",Weekly!$H$1:$CT$1)))))</f>
        <v/>
      </c>
      <c r="I133" s="221">
        <f>IF($Q133&lt;&gt;"",IF($P133&lt;&gt;"",$P133,$Q133),IF($P133&lt;&gt;"",$P133,""))</f>
        <v/>
      </c>
      <c r="J133" s="221">
        <f>IF($Q133&lt;&gt;"",EOMONTH($Q133,0),IF($P133&lt;&gt;"",EOMONTH($P133,0),""))</f>
        <v/>
      </c>
      <c r="K133" s="220">
        <f>IF($B133="","",IFERROR(MATCH($B133,'Initiative Tracker'!$A$5:$A$200,0),IF($E133="","",IFERROR(MATCH($E133,'Initiative Tracker'!$B$5:$B$200,0),""))))</f>
        <v/>
      </c>
      <c r="L133" s="220">
        <f>IF($B133="","",IFERROR(MATCH($D133,'Control (Don’t Touch)'!$E$4:$E$30,0),99))</f>
        <v/>
      </c>
      <c r="M133" s="220">
        <f>IF($B133="","",IFERROR(MATCH($F133,'Control (Don’t Touch)'!$B$4:$B$30,0),99))</f>
        <v/>
      </c>
      <c r="N133" s="220">
        <f>IF($B133="","",$L133*1000000+$M133*10000+ROW())</f>
        <v/>
      </c>
      <c r="O133" s="220">
        <f>IF($B133="","",COUNTIF($N$2:$N$205,"&lt;"&amp;$N133)+1)</f>
        <v/>
      </c>
      <c r="P133" s="221">
        <f>IF($K133="","",IFERROR(DATE(IFERROR(VALUE(RIGHT(TRIM(INDEX('Initiative Tracker'!$G$5:$G$200,$K133)),4)),YEAR(TODAY())),MATCH(LEFT(TRIM(INDEX('Initiative Tracker'!$G$5:$G$200,$K133)),3),$U$2:$U$13,0),1),""))</f>
        <v/>
      </c>
      <c r="Q133" s="221">
        <f>IF($K133="","",IFERROR(DATE(IFERROR(VALUE(RIGHT(TRIM(INDEX('Initiative Tracker'!$H$5:$H$200,$K133)),4)),YEAR(TODAY())),MATCH(LEFT(TRIM(INDEX('Initiative Tracker'!$H$5:$H$200,$K133)),3),$U$2:$U$13,0),1),""))</f>
        <v/>
      </c>
    </row>
    <row r="134">
      <c r="A134" s="220" t="n">
        <v>134</v>
      </c>
      <c r="B134" s="220">
        <f>IF(TRIM(Weekly!E134)="","",TRIM(Weekly!E134))</f>
        <v/>
      </c>
      <c r="C134" s="220">
        <f>IF($B134="","",Weekly!B134)</f>
        <v/>
      </c>
      <c r="D134" s="220">
        <f>IF($B134="","",IF(TRIM(Weekly!C134)="","(No theme assigned)",TRIM(Weekly!C134)))</f>
        <v/>
      </c>
      <c r="E134" s="220">
        <f>IF($B134="","",TRIM(Weekly!F134))</f>
        <v/>
      </c>
      <c r="F134" s="220">
        <f>IF($B134="","",Weekly!G134)</f>
        <v/>
      </c>
      <c r="G134" s="221">
        <f>IF($B134="","",IF(COUNTA(Weekly!$H134:$CT134)=0,"",SUMPRODUCT(MIN(IF(Weekly!$H134:$CT134&lt;&gt;"",Weekly!$H$1:$CT$1)))))</f>
        <v/>
      </c>
      <c r="H134" s="221">
        <f>IF($B134="","",IF(COUNTA(Weekly!$H134:$CT134)=0,"",SUMPRODUCT(MAX(IF(Weekly!$H134:$CT134&lt;&gt;"",Weekly!$H$1:$CT$1)))))</f>
        <v/>
      </c>
      <c r="I134" s="221">
        <f>IF($Q134&lt;&gt;"",IF($P134&lt;&gt;"",$P134,$Q134),IF($P134&lt;&gt;"",$P134,""))</f>
        <v/>
      </c>
      <c r="J134" s="221">
        <f>IF($Q134&lt;&gt;"",EOMONTH($Q134,0),IF($P134&lt;&gt;"",EOMONTH($P134,0),""))</f>
        <v/>
      </c>
      <c r="K134" s="220">
        <f>IF($B134="","",IFERROR(MATCH($B134,'Initiative Tracker'!$A$5:$A$200,0),IF($E134="","",IFERROR(MATCH($E134,'Initiative Tracker'!$B$5:$B$200,0),""))))</f>
        <v/>
      </c>
      <c r="L134" s="220">
        <f>IF($B134="","",IFERROR(MATCH($D134,'Control (Don’t Touch)'!$E$4:$E$30,0),99))</f>
        <v/>
      </c>
      <c r="M134" s="220">
        <f>IF($B134="","",IFERROR(MATCH($F134,'Control (Don’t Touch)'!$B$4:$B$30,0),99))</f>
        <v/>
      </c>
      <c r="N134" s="220">
        <f>IF($B134="","",$L134*1000000+$M134*10000+ROW())</f>
        <v/>
      </c>
      <c r="O134" s="220">
        <f>IF($B134="","",COUNTIF($N$2:$N$205,"&lt;"&amp;$N134)+1)</f>
        <v/>
      </c>
      <c r="P134" s="221">
        <f>IF($K134="","",IFERROR(DATE(IFERROR(VALUE(RIGHT(TRIM(INDEX('Initiative Tracker'!$G$5:$G$200,$K134)),4)),YEAR(TODAY())),MATCH(LEFT(TRIM(INDEX('Initiative Tracker'!$G$5:$G$200,$K134)),3),$U$2:$U$13,0),1),""))</f>
        <v/>
      </c>
      <c r="Q134" s="221">
        <f>IF($K134="","",IFERROR(DATE(IFERROR(VALUE(RIGHT(TRIM(INDEX('Initiative Tracker'!$H$5:$H$200,$K134)),4)),YEAR(TODAY())),MATCH(LEFT(TRIM(INDEX('Initiative Tracker'!$H$5:$H$200,$K134)),3),$U$2:$U$13,0),1),""))</f>
        <v/>
      </c>
    </row>
    <row r="135">
      <c r="A135" s="220" t="n">
        <v>135</v>
      </c>
      <c r="B135" s="220">
        <f>IF(TRIM(Weekly!E135)="","",TRIM(Weekly!E135))</f>
        <v/>
      </c>
      <c r="C135" s="220">
        <f>IF($B135="","",Weekly!B135)</f>
        <v/>
      </c>
      <c r="D135" s="220">
        <f>IF($B135="","",IF(TRIM(Weekly!C135)="","(No theme assigned)",TRIM(Weekly!C135)))</f>
        <v/>
      </c>
      <c r="E135" s="220">
        <f>IF($B135="","",TRIM(Weekly!F135))</f>
        <v/>
      </c>
      <c r="F135" s="220">
        <f>IF($B135="","",Weekly!G135)</f>
        <v/>
      </c>
      <c r="G135" s="221">
        <f>IF($B135="","",IF(COUNTA(Weekly!$H135:$CT135)=0,"",SUMPRODUCT(MIN(IF(Weekly!$H135:$CT135&lt;&gt;"",Weekly!$H$1:$CT$1)))))</f>
        <v/>
      </c>
      <c r="H135" s="221">
        <f>IF($B135="","",IF(COUNTA(Weekly!$H135:$CT135)=0,"",SUMPRODUCT(MAX(IF(Weekly!$H135:$CT135&lt;&gt;"",Weekly!$H$1:$CT$1)))))</f>
        <v/>
      </c>
      <c r="I135" s="221">
        <f>IF($Q135&lt;&gt;"",IF($P135&lt;&gt;"",$P135,$Q135),IF($P135&lt;&gt;"",$P135,""))</f>
        <v/>
      </c>
      <c r="J135" s="221">
        <f>IF($Q135&lt;&gt;"",EOMONTH($Q135,0),IF($P135&lt;&gt;"",EOMONTH($P135,0),""))</f>
        <v/>
      </c>
      <c r="K135" s="220">
        <f>IF($B135="","",IFERROR(MATCH($B135,'Initiative Tracker'!$A$5:$A$200,0),IF($E135="","",IFERROR(MATCH($E135,'Initiative Tracker'!$B$5:$B$200,0),""))))</f>
        <v/>
      </c>
      <c r="L135" s="220">
        <f>IF($B135="","",IFERROR(MATCH($D135,'Control (Don’t Touch)'!$E$4:$E$30,0),99))</f>
        <v/>
      </c>
      <c r="M135" s="220">
        <f>IF($B135="","",IFERROR(MATCH($F135,'Control (Don’t Touch)'!$B$4:$B$30,0),99))</f>
        <v/>
      </c>
      <c r="N135" s="220">
        <f>IF($B135="","",$L135*1000000+$M135*10000+ROW())</f>
        <v/>
      </c>
      <c r="O135" s="220">
        <f>IF($B135="","",COUNTIF($N$2:$N$205,"&lt;"&amp;$N135)+1)</f>
        <v/>
      </c>
      <c r="P135" s="221">
        <f>IF($K135="","",IFERROR(DATE(IFERROR(VALUE(RIGHT(TRIM(INDEX('Initiative Tracker'!$G$5:$G$200,$K135)),4)),YEAR(TODAY())),MATCH(LEFT(TRIM(INDEX('Initiative Tracker'!$G$5:$G$200,$K135)),3),$U$2:$U$13,0),1),""))</f>
        <v/>
      </c>
      <c r="Q135" s="221">
        <f>IF($K135="","",IFERROR(DATE(IFERROR(VALUE(RIGHT(TRIM(INDEX('Initiative Tracker'!$H$5:$H$200,$K135)),4)),YEAR(TODAY())),MATCH(LEFT(TRIM(INDEX('Initiative Tracker'!$H$5:$H$200,$K135)),3),$U$2:$U$13,0),1),""))</f>
        <v/>
      </c>
    </row>
    <row r="136">
      <c r="A136" s="220" t="n">
        <v>136</v>
      </c>
      <c r="B136" s="220">
        <f>IF(TRIM(Weekly!E136)="","",TRIM(Weekly!E136))</f>
        <v/>
      </c>
      <c r="C136" s="220">
        <f>IF($B136="","",Weekly!B136)</f>
        <v/>
      </c>
      <c r="D136" s="220">
        <f>IF($B136="","",IF(TRIM(Weekly!C136)="","(No theme assigned)",TRIM(Weekly!C136)))</f>
        <v/>
      </c>
      <c r="E136" s="220">
        <f>IF($B136="","",TRIM(Weekly!F136))</f>
        <v/>
      </c>
      <c r="F136" s="220">
        <f>IF($B136="","",Weekly!G136)</f>
        <v/>
      </c>
      <c r="G136" s="221">
        <f>IF($B136="","",IF(COUNTA(Weekly!$H136:$CT136)=0,"",SUMPRODUCT(MIN(IF(Weekly!$H136:$CT136&lt;&gt;"",Weekly!$H$1:$CT$1)))))</f>
        <v/>
      </c>
      <c r="H136" s="221">
        <f>IF($B136="","",IF(COUNTA(Weekly!$H136:$CT136)=0,"",SUMPRODUCT(MAX(IF(Weekly!$H136:$CT136&lt;&gt;"",Weekly!$H$1:$CT$1)))))</f>
        <v/>
      </c>
      <c r="I136" s="221">
        <f>IF($Q136&lt;&gt;"",IF($P136&lt;&gt;"",$P136,$Q136),IF($P136&lt;&gt;"",$P136,""))</f>
        <v/>
      </c>
      <c r="J136" s="221">
        <f>IF($Q136&lt;&gt;"",EOMONTH($Q136,0),IF($P136&lt;&gt;"",EOMONTH($P136,0),""))</f>
        <v/>
      </c>
      <c r="K136" s="220">
        <f>IF($B136="","",IFERROR(MATCH($B136,'Initiative Tracker'!$A$5:$A$200,0),IF($E136="","",IFERROR(MATCH($E136,'Initiative Tracker'!$B$5:$B$200,0),""))))</f>
        <v/>
      </c>
      <c r="L136" s="220">
        <f>IF($B136="","",IFERROR(MATCH($D136,'Control (Don’t Touch)'!$E$4:$E$30,0),99))</f>
        <v/>
      </c>
      <c r="M136" s="220">
        <f>IF($B136="","",IFERROR(MATCH($F136,'Control (Don’t Touch)'!$B$4:$B$30,0),99))</f>
        <v/>
      </c>
      <c r="N136" s="220">
        <f>IF($B136="","",$L136*1000000+$M136*10000+ROW())</f>
        <v/>
      </c>
      <c r="O136" s="220">
        <f>IF($B136="","",COUNTIF($N$2:$N$205,"&lt;"&amp;$N136)+1)</f>
        <v/>
      </c>
      <c r="P136" s="221">
        <f>IF($K136="","",IFERROR(DATE(IFERROR(VALUE(RIGHT(TRIM(INDEX('Initiative Tracker'!$G$5:$G$200,$K136)),4)),YEAR(TODAY())),MATCH(LEFT(TRIM(INDEX('Initiative Tracker'!$G$5:$G$200,$K136)),3),$U$2:$U$13,0),1),""))</f>
        <v/>
      </c>
      <c r="Q136" s="221">
        <f>IF($K136="","",IFERROR(DATE(IFERROR(VALUE(RIGHT(TRIM(INDEX('Initiative Tracker'!$H$5:$H$200,$K136)),4)),YEAR(TODAY())),MATCH(LEFT(TRIM(INDEX('Initiative Tracker'!$H$5:$H$200,$K136)),3),$U$2:$U$13,0),1),""))</f>
        <v/>
      </c>
    </row>
    <row r="137">
      <c r="A137" s="220" t="n">
        <v>137</v>
      </c>
      <c r="B137" s="220">
        <f>IF(TRIM(Weekly!E137)="","",TRIM(Weekly!E137))</f>
        <v/>
      </c>
      <c r="C137" s="220">
        <f>IF($B137="","",Weekly!B137)</f>
        <v/>
      </c>
      <c r="D137" s="220">
        <f>IF($B137="","",IF(TRIM(Weekly!C137)="","(No theme assigned)",TRIM(Weekly!C137)))</f>
        <v/>
      </c>
      <c r="E137" s="220">
        <f>IF($B137="","",TRIM(Weekly!F137))</f>
        <v/>
      </c>
      <c r="F137" s="220">
        <f>IF($B137="","",Weekly!G137)</f>
        <v/>
      </c>
      <c r="G137" s="221">
        <f>IF($B137="","",IF(COUNTA(Weekly!$H137:$CT137)=0,"",SUMPRODUCT(MIN(IF(Weekly!$H137:$CT137&lt;&gt;"",Weekly!$H$1:$CT$1)))))</f>
        <v/>
      </c>
      <c r="H137" s="221">
        <f>IF($B137="","",IF(COUNTA(Weekly!$H137:$CT137)=0,"",SUMPRODUCT(MAX(IF(Weekly!$H137:$CT137&lt;&gt;"",Weekly!$H$1:$CT$1)))))</f>
        <v/>
      </c>
      <c r="I137" s="221">
        <f>IF($Q137&lt;&gt;"",IF($P137&lt;&gt;"",$P137,$Q137),IF($P137&lt;&gt;"",$P137,""))</f>
        <v/>
      </c>
      <c r="J137" s="221">
        <f>IF($Q137&lt;&gt;"",EOMONTH($Q137,0),IF($P137&lt;&gt;"",EOMONTH($P137,0),""))</f>
        <v/>
      </c>
      <c r="K137" s="220">
        <f>IF($B137="","",IFERROR(MATCH($B137,'Initiative Tracker'!$A$5:$A$200,0),IF($E137="","",IFERROR(MATCH($E137,'Initiative Tracker'!$B$5:$B$200,0),""))))</f>
        <v/>
      </c>
      <c r="L137" s="220">
        <f>IF($B137="","",IFERROR(MATCH($D137,'Control (Don’t Touch)'!$E$4:$E$30,0),99))</f>
        <v/>
      </c>
      <c r="M137" s="220">
        <f>IF($B137="","",IFERROR(MATCH($F137,'Control (Don’t Touch)'!$B$4:$B$30,0),99))</f>
        <v/>
      </c>
      <c r="N137" s="220">
        <f>IF($B137="","",$L137*1000000+$M137*10000+ROW())</f>
        <v/>
      </c>
      <c r="O137" s="220">
        <f>IF($B137="","",COUNTIF($N$2:$N$205,"&lt;"&amp;$N137)+1)</f>
        <v/>
      </c>
      <c r="P137" s="221">
        <f>IF($K137="","",IFERROR(DATE(IFERROR(VALUE(RIGHT(TRIM(INDEX('Initiative Tracker'!$G$5:$G$200,$K137)),4)),YEAR(TODAY())),MATCH(LEFT(TRIM(INDEX('Initiative Tracker'!$G$5:$G$200,$K137)),3),$U$2:$U$13,0),1),""))</f>
        <v/>
      </c>
      <c r="Q137" s="221">
        <f>IF($K137="","",IFERROR(DATE(IFERROR(VALUE(RIGHT(TRIM(INDEX('Initiative Tracker'!$H$5:$H$200,$K137)),4)),YEAR(TODAY())),MATCH(LEFT(TRIM(INDEX('Initiative Tracker'!$H$5:$H$200,$K137)),3),$U$2:$U$13,0),1),""))</f>
        <v/>
      </c>
    </row>
    <row r="138">
      <c r="A138" s="220" t="n">
        <v>138</v>
      </c>
      <c r="B138" s="220">
        <f>IF(TRIM(Weekly!E138)="","",TRIM(Weekly!E138))</f>
        <v/>
      </c>
      <c r="C138" s="220">
        <f>IF($B138="","",Weekly!B138)</f>
        <v/>
      </c>
      <c r="D138" s="220">
        <f>IF($B138="","",IF(TRIM(Weekly!C138)="","(No theme assigned)",TRIM(Weekly!C138)))</f>
        <v/>
      </c>
      <c r="E138" s="220">
        <f>IF($B138="","",TRIM(Weekly!F138))</f>
        <v/>
      </c>
      <c r="F138" s="220">
        <f>IF($B138="","",Weekly!G138)</f>
        <v/>
      </c>
      <c r="G138" s="221">
        <f>IF($B138="","",IF(COUNTA(Weekly!$H138:$CT138)=0,"",SUMPRODUCT(MIN(IF(Weekly!$H138:$CT138&lt;&gt;"",Weekly!$H$1:$CT$1)))))</f>
        <v/>
      </c>
      <c r="H138" s="221">
        <f>IF($B138="","",IF(COUNTA(Weekly!$H138:$CT138)=0,"",SUMPRODUCT(MAX(IF(Weekly!$H138:$CT138&lt;&gt;"",Weekly!$H$1:$CT$1)))))</f>
        <v/>
      </c>
      <c r="I138" s="221">
        <f>IF($Q138&lt;&gt;"",IF($P138&lt;&gt;"",$P138,$Q138),IF($P138&lt;&gt;"",$P138,""))</f>
        <v/>
      </c>
      <c r="J138" s="221">
        <f>IF($Q138&lt;&gt;"",EOMONTH($Q138,0),IF($P138&lt;&gt;"",EOMONTH($P138,0),""))</f>
        <v/>
      </c>
      <c r="K138" s="220">
        <f>IF($B138="","",IFERROR(MATCH($B138,'Initiative Tracker'!$A$5:$A$200,0),IF($E138="","",IFERROR(MATCH($E138,'Initiative Tracker'!$B$5:$B$200,0),""))))</f>
        <v/>
      </c>
      <c r="L138" s="220">
        <f>IF($B138="","",IFERROR(MATCH($D138,'Control (Don’t Touch)'!$E$4:$E$30,0),99))</f>
        <v/>
      </c>
      <c r="M138" s="220">
        <f>IF($B138="","",IFERROR(MATCH($F138,'Control (Don’t Touch)'!$B$4:$B$30,0),99))</f>
        <v/>
      </c>
      <c r="N138" s="220">
        <f>IF($B138="","",$L138*1000000+$M138*10000+ROW())</f>
        <v/>
      </c>
      <c r="O138" s="220">
        <f>IF($B138="","",COUNTIF($N$2:$N$205,"&lt;"&amp;$N138)+1)</f>
        <v/>
      </c>
      <c r="P138" s="221">
        <f>IF($K138="","",IFERROR(DATE(IFERROR(VALUE(RIGHT(TRIM(INDEX('Initiative Tracker'!$G$5:$G$200,$K138)),4)),YEAR(TODAY())),MATCH(LEFT(TRIM(INDEX('Initiative Tracker'!$G$5:$G$200,$K138)),3),$U$2:$U$13,0),1),""))</f>
        <v/>
      </c>
      <c r="Q138" s="221">
        <f>IF($K138="","",IFERROR(DATE(IFERROR(VALUE(RIGHT(TRIM(INDEX('Initiative Tracker'!$H$5:$H$200,$K138)),4)),YEAR(TODAY())),MATCH(LEFT(TRIM(INDEX('Initiative Tracker'!$H$5:$H$200,$K138)),3),$U$2:$U$13,0),1),""))</f>
        <v/>
      </c>
    </row>
    <row r="139">
      <c r="A139" s="220" t="n">
        <v>139</v>
      </c>
      <c r="B139" s="220">
        <f>IF(TRIM(Weekly!E139)="","",TRIM(Weekly!E139))</f>
        <v/>
      </c>
      <c r="C139" s="220">
        <f>IF($B139="","",Weekly!B139)</f>
        <v/>
      </c>
      <c r="D139" s="220">
        <f>IF($B139="","",IF(TRIM(Weekly!C139)="","(No theme assigned)",TRIM(Weekly!C139)))</f>
        <v/>
      </c>
      <c r="E139" s="220">
        <f>IF($B139="","",TRIM(Weekly!F139))</f>
        <v/>
      </c>
      <c r="F139" s="220">
        <f>IF($B139="","",Weekly!G139)</f>
        <v/>
      </c>
      <c r="G139" s="221">
        <f>IF($B139="","",IF(COUNTA(Weekly!$H139:$CT139)=0,"",SUMPRODUCT(MIN(IF(Weekly!$H139:$CT139&lt;&gt;"",Weekly!$H$1:$CT$1)))))</f>
        <v/>
      </c>
      <c r="H139" s="221">
        <f>IF($B139="","",IF(COUNTA(Weekly!$H139:$CT139)=0,"",SUMPRODUCT(MAX(IF(Weekly!$H139:$CT139&lt;&gt;"",Weekly!$H$1:$CT$1)))))</f>
        <v/>
      </c>
      <c r="I139" s="221">
        <f>IF($Q139&lt;&gt;"",IF($P139&lt;&gt;"",$P139,$Q139),IF($P139&lt;&gt;"",$P139,""))</f>
        <v/>
      </c>
      <c r="J139" s="221">
        <f>IF($Q139&lt;&gt;"",EOMONTH($Q139,0),IF($P139&lt;&gt;"",EOMONTH($P139,0),""))</f>
        <v/>
      </c>
      <c r="K139" s="220">
        <f>IF($B139="","",IFERROR(MATCH($B139,'Initiative Tracker'!$A$5:$A$200,0),IF($E139="","",IFERROR(MATCH($E139,'Initiative Tracker'!$B$5:$B$200,0),""))))</f>
        <v/>
      </c>
      <c r="L139" s="220">
        <f>IF($B139="","",IFERROR(MATCH($D139,'Control (Don’t Touch)'!$E$4:$E$30,0),99))</f>
        <v/>
      </c>
      <c r="M139" s="220">
        <f>IF($B139="","",IFERROR(MATCH($F139,'Control (Don’t Touch)'!$B$4:$B$30,0),99))</f>
        <v/>
      </c>
      <c r="N139" s="220">
        <f>IF($B139="","",$L139*1000000+$M139*10000+ROW())</f>
        <v/>
      </c>
      <c r="O139" s="220">
        <f>IF($B139="","",COUNTIF($N$2:$N$205,"&lt;"&amp;$N139)+1)</f>
        <v/>
      </c>
      <c r="P139" s="221">
        <f>IF($K139="","",IFERROR(DATE(IFERROR(VALUE(RIGHT(TRIM(INDEX('Initiative Tracker'!$G$5:$G$200,$K139)),4)),YEAR(TODAY())),MATCH(LEFT(TRIM(INDEX('Initiative Tracker'!$G$5:$G$200,$K139)),3),$U$2:$U$13,0),1),""))</f>
        <v/>
      </c>
      <c r="Q139" s="221">
        <f>IF($K139="","",IFERROR(DATE(IFERROR(VALUE(RIGHT(TRIM(INDEX('Initiative Tracker'!$H$5:$H$200,$K139)),4)),YEAR(TODAY())),MATCH(LEFT(TRIM(INDEX('Initiative Tracker'!$H$5:$H$200,$K139)),3),$U$2:$U$13,0),1),""))</f>
        <v/>
      </c>
    </row>
    <row r="140">
      <c r="A140" s="220" t="n">
        <v>140</v>
      </c>
      <c r="B140" s="220">
        <f>IF(TRIM(Weekly!E140)="","",TRIM(Weekly!E140))</f>
        <v/>
      </c>
      <c r="C140" s="220">
        <f>IF($B140="","",Weekly!B140)</f>
        <v/>
      </c>
      <c r="D140" s="220">
        <f>IF($B140="","",IF(TRIM(Weekly!C140)="","(No theme assigned)",TRIM(Weekly!C140)))</f>
        <v/>
      </c>
      <c r="E140" s="220">
        <f>IF($B140="","",TRIM(Weekly!F140))</f>
        <v/>
      </c>
      <c r="F140" s="220">
        <f>IF($B140="","",Weekly!G140)</f>
        <v/>
      </c>
      <c r="G140" s="221">
        <f>IF($B140="","",IF(COUNTA(Weekly!$H140:$CT140)=0,"",SUMPRODUCT(MIN(IF(Weekly!$H140:$CT140&lt;&gt;"",Weekly!$H$1:$CT$1)))))</f>
        <v/>
      </c>
      <c r="H140" s="221">
        <f>IF($B140="","",IF(COUNTA(Weekly!$H140:$CT140)=0,"",SUMPRODUCT(MAX(IF(Weekly!$H140:$CT140&lt;&gt;"",Weekly!$H$1:$CT$1)))))</f>
        <v/>
      </c>
      <c r="I140" s="221">
        <f>IF($Q140&lt;&gt;"",IF($P140&lt;&gt;"",$P140,$Q140),IF($P140&lt;&gt;"",$P140,""))</f>
        <v/>
      </c>
      <c r="J140" s="221">
        <f>IF($Q140&lt;&gt;"",EOMONTH($Q140,0),IF($P140&lt;&gt;"",EOMONTH($P140,0),""))</f>
        <v/>
      </c>
      <c r="K140" s="220">
        <f>IF($B140="","",IFERROR(MATCH($B140,'Initiative Tracker'!$A$5:$A$200,0),IF($E140="","",IFERROR(MATCH($E140,'Initiative Tracker'!$B$5:$B$200,0),""))))</f>
        <v/>
      </c>
      <c r="L140" s="220">
        <f>IF($B140="","",IFERROR(MATCH($D140,'Control (Don’t Touch)'!$E$4:$E$30,0),99))</f>
        <v/>
      </c>
      <c r="M140" s="220">
        <f>IF($B140="","",IFERROR(MATCH($F140,'Control (Don’t Touch)'!$B$4:$B$30,0),99))</f>
        <v/>
      </c>
      <c r="N140" s="220">
        <f>IF($B140="","",$L140*1000000+$M140*10000+ROW())</f>
        <v/>
      </c>
      <c r="O140" s="220">
        <f>IF($B140="","",COUNTIF($N$2:$N$205,"&lt;"&amp;$N140)+1)</f>
        <v/>
      </c>
      <c r="P140" s="221">
        <f>IF($K140="","",IFERROR(DATE(IFERROR(VALUE(RIGHT(TRIM(INDEX('Initiative Tracker'!$G$5:$G$200,$K140)),4)),YEAR(TODAY())),MATCH(LEFT(TRIM(INDEX('Initiative Tracker'!$G$5:$G$200,$K140)),3),$U$2:$U$13,0),1),""))</f>
        <v/>
      </c>
      <c r="Q140" s="221">
        <f>IF($K140="","",IFERROR(DATE(IFERROR(VALUE(RIGHT(TRIM(INDEX('Initiative Tracker'!$H$5:$H$200,$K140)),4)),YEAR(TODAY())),MATCH(LEFT(TRIM(INDEX('Initiative Tracker'!$H$5:$H$200,$K140)),3),$U$2:$U$13,0),1),""))</f>
        <v/>
      </c>
    </row>
    <row r="141">
      <c r="A141" s="220" t="n">
        <v>141</v>
      </c>
      <c r="B141" s="220">
        <f>IF(TRIM(Weekly!E141)="","",TRIM(Weekly!E141))</f>
        <v/>
      </c>
      <c r="C141" s="220">
        <f>IF($B141="","",Weekly!B141)</f>
        <v/>
      </c>
      <c r="D141" s="220">
        <f>IF($B141="","",IF(TRIM(Weekly!C141)="","(No theme assigned)",TRIM(Weekly!C141)))</f>
        <v/>
      </c>
      <c r="E141" s="220">
        <f>IF($B141="","",TRIM(Weekly!F141))</f>
        <v/>
      </c>
      <c r="F141" s="220">
        <f>IF($B141="","",Weekly!G141)</f>
        <v/>
      </c>
      <c r="G141" s="221">
        <f>IF($B141="","",IF(COUNTA(Weekly!$H141:$CT141)=0,"",SUMPRODUCT(MIN(IF(Weekly!$H141:$CT141&lt;&gt;"",Weekly!$H$1:$CT$1)))))</f>
        <v/>
      </c>
      <c r="H141" s="221">
        <f>IF($B141="","",IF(COUNTA(Weekly!$H141:$CT141)=0,"",SUMPRODUCT(MAX(IF(Weekly!$H141:$CT141&lt;&gt;"",Weekly!$H$1:$CT$1)))))</f>
        <v/>
      </c>
      <c r="I141" s="221">
        <f>IF($Q141&lt;&gt;"",IF($P141&lt;&gt;"",$P141,$Q141),IF($P141&lt;&gt;"",$P141,""))</f>
        <v/>
      </c>
      <c r="J141" s="221">
        <f>IF($Q141&lt;&gt;"",EOMONTH($Q141,0),IF($P141&lt;&gt;"",EOMONTH($P141,0),""))</f>
        <v/>
      </c>
      <c r="K141" s="220">
        <f>IF($B141="","",IFERROR(MATCH($B141,'Initiative Tracker'!$A$5:$A$200,0),IF($E141="","",IFERROR(MATCH($E141,'Initiative Tracker'!$B$5:$B$200,0),""))))</f>
        <v/>
      </c>
      <c r="L141" s="220">
        <f>IF($B141="","",IFERROR(MATCH($D141,'Control (Don’t Touch)'!$E$4:$E$30,0),99))</f>
        <v/>
      </c>
      <c r="M141" s="220">
        <f>IF($B141="","",IFERROR(MATCH($F141,'Control (Don’t Touch)'!$B$4:$B$30,0),99))</f>
        <v/>
      </c>
      <c r="N141" s="220">
        <f>IF($B141="","",$L141*1000000+$M141*10000+ROW())</f>
        <v/>
      </c>
      <c r="O141" s="220">
        <f>IF($B141="","",COUNTIF($N$2:$N$205,"&lt;"&amp;$N141)+1)</f>
        <v/>
      </c>
      <c r="P141" s="221">
        <f>IF($K141="","",IFERROR(DATE(IFERROR(VALUE(RIGHT(TRIM(INDEX('Initiative Tracker'!$G$5:$G$200,$K141)),4)),YEAR(TODAY())),MATCH(LEFT(TRIM(INDEX('Initiative Tracker'!$G$5:$G$200,$K141)),3),$U$2:$U$13,0),1),""))</f>
        <v/>
      </c>
      <c r="Q141" s="221">
        <f>IF($K141="","",IFERROR(DATE(IFERROR(VALUE(RIGHT(TRIM(INDEX('Initiative Tracker'!$H$5:$H$200,$K141)),4)),YEAR(TODAY())),MATCH(LEFT(TRIM(INDEX('Initiative Tracker'!$H$5:$H$200,$K141)),3),$U$2:$U$13,0),1),""))</f>
        <v/>
      </c>
    </row>
    <row r="142">
      <c r="A142" s="220" t="n">
        <v>142</v>
      </c>
      <c r="B142" s="220">
        <f>IF(TRIM(Weekly!E142)="","",TRIM(Weekly!E142))</f>
        <v/>
      </c>
      <c r="C142" s="220">
        <f>IF($B142="","",Weekly!B142)</f>
        <v/>
      </c>
      <c r="D142" s="220">
        <f>IF($B142="","",IF(TRIM(Weekly!C142)="","(No theme assigned)",TRIM(Weekly!C142)))</f>
        <v/>
      </c>
      <c r="E142" s="220">
        <f>IF($B142="","",TRIM(Weekly!F142))</f>
        <v/>
      </c>
      <c r="F142" s="220">
        <f>IF($B142="","",Weekly!G142)</f>
        <v/>
      </c>
      <c r="G142" s="221">
        <f>IF($B142="","",IF(COUNTA(Weekly!$H142:$CT142)=0,"",SUMPRODUCT(MIN(IF(Weekly!$H142:$CT142&lt;&gt;"",Weekly!$H$1:$CT$1)))))</f>
        <v/>
      </c>
      <c r="H142" s="221">
        <f>IF($B142="","",IF(COUNTA(Weekly!$H142:$CT142)=0,"",SUMPRODUCT(MAX(IF(Weekly!$H142:$CT142&lt;&gt;"",Weekly!$H$1:$CT$1)))))</f>
        <v/>
      </c>
      <c r="I142" s="221">
        <f>IF($Q142&lt;&gt;"",IF($P142&lt;&gt;"",$P142,$Q142),IF($P142&lt;&gt;"",$P142,""))</f>
        <v/>
      </c>
      <c r="J142" s="221">
        <f>IF($Q142&lt;&gt;"",EOMONTH($Q142,0),IF($P142&lt;&gt;"",EOMONTH($P142,0),""))</f>
        <v/>
      </c>
      <c r="K142" s="220">
        <f>IF($B142="","",IFERROR(MATCH($B142,'Initiative Tracker'!$A$5:$A$200,0),IF($E142="","",IFERROR(MATCH($E142,'Initiative Tracker'!$B$5:$B$200,0),""))))</f>
        <v/>
      </c>
      <c r="L142" s="220">
        <f>IF($B142="","",IFERROR(MATCH($D142,'Control (Don’t Touch)'!$E$4:$E$30,0),99))</f>
        <v/>
      </c>
      <c r="M142" s="220">
        <f>IF($B142="","",IFERROR(MATCH($F142,'Control (Don’t Touch)'!$B$4:$B$30,0),99))</f>
        <v/>
      </c>
      <c r="N142" s="220">
        <f>IF($B142="","",$L142*1000000+$M142*10000+ROW())</f>
        <v/>
      </c>
      <c r="O142" s="220">
        <f>IF($B142="","",COUNTIF($N$2:$N$205,"&lt;"&amp;$N142)+1)</f>
        <v/>
      </c>
      <c r="P142" s="221">
        <f>IF($K142="","",IFERROR(DATE(IFERROR(VALUE(RIGHT(TRIM(INDEX('Initiative Tracker'!$G$5:$G$200,$K142)),4)),YEAR(TODAY())),MATCH(LEFT(TRIM(INDEX('Initiative Tracker'!$G$5:$G$200,$K142)),3),$U$2:$U$13,0),1),""))</f>
        <v/>
      </c>
      <c r="Q142" s="221">
        <f>IF($K142="","",IFERROR(DATE(IFERROR(VALUE(RIGHT(TRIM(INDEX('Initiative Tracker'!$H$5:$H$200,$K142)),4)),YEAR(TODAY())),MATCH(LEFT(TRIM(INDEX('Initiative Tracker'!$H$5:$H$200,$K142)),3),$U$2:$U$13,0),1),""))</f>
        <v/>
      </c>
    </row>
    <row r="143">
      <c r="A143" s="220" t="n">
        <v>143</v>
      </c>
      <c r="B143" s="220">
        <f>IF(TRIM(Weekly!E143)="","",TRIM(Weekly!E143))</f>
        <v/>
      </c>
      <c r="C143" s="220">
        <f>IF($B143="","",Weekly!B143)</f>
        <v/>
      </c>
      <c r="D143" s="220">
        <f>IF($B143="","",IF(TRIM(Weekly!C143)="","(No theme assigned)",TRIM(Weekly!C143)))</f>
        <v/>
      </c>
      <c r="E143" s="220">
        <f>IF($B143="","",TRIM(Weekly!F143))</f>
        <v/>
      </c>
      <c r="F143" s="220">
        <f>IF($B143="","",Weekly!G143)</f>
        <v/>
      </c>
      <c r="G143" s="221">
        <f>IF($B143="","",IF(COUNTA(Weekly!$H143:$CT143)=0,"",SUMPRODUCT(MIN(IF(Weekly!$H143:$CT143&lt;&gt;"",Weekly!$H$1:$CT$1)))))</f>
        <v/>
      </c>
      <c r="H143" s="221">
        <f>IF($B143="","",IF(COUNTA(Weekly!$H143:$CT143)=0,"",SUMPRODUCT(MAX(IF(Weekly!$H143:$CT143&lt;&gt;"",Weekly!$H$1:$CT$1)))))</f>
        <v/>
      </c>
      <c r="I143" s="221">
        <f>IF($Q143&lt;&gt;"",IF($P143&lt;&gt;"",$P143,$Q143),IF($P143&lt;&gt;"",$P143,""))</f>
        <v/>
      </c>
      <c r="J143" s="221">
        <f>IF($Q143&lt;&gt;"",EOMONTH($Q143,0),IF($P143&lt;&gt;"",EOMONTH($P143,0),""))</f>
        <v/>
      </c>
      <c r="K143" s="220">
        <f>IF($B143="","",IFERROR(MATCH($B143,'Initiative Tracker'!$A$5:$A$200,0),IF($E143="","",IFERROR(MATCH($E143,'Initiative Tracker'!$B$5:$B$200,0),""))))</f>
        <v/>
      </c>
      <c r="L143" s="220">
        <f>IF($B143="","",IFERROR(MATCH($D143,'Control (Don’t Touch)'!$E$4:$E$30,0),99))</f>
        <v/>
      </c>
      <c r="M143" s="220">
        <f>IF($B143="","",IFERROR(MATCH($F143,'Control (Don’t Touch)'!$B$4:$B$30,0),99))</f>
        <v/>
      </c>
      <c r="N143" s="220">
        <f>IF($B143="","",$L143*1000000+$M143*10000+ROW())</f>
        <v/>
      </c>
      <c r="O143" s="220">
        <f>IF($B143="","",COUNTIF($N$2:$N$205,"&lt;"&amp;$N143)+1)</f>
        <v/>
      </c>
      <c r="P143" s="221">
        <f>IF($K143="","",IFERROR(DATE(IFERROR(VALUE(RIGHT(TRIM(INDEX('Initiative Tracker'!$G$5:$G$200,$K143)),4)),YEAR(TODAY())),MATCH(LEFT(TRIM(INDEX('Initiative Tracker'!$G$5:$G$200,$K143)),3),$U$2:$U$13,0),1),""))</f>
        <v/>
      </c>
      <c r="Q143" s="221">
        <f>IF($K143="","",IFERROR(DATE(IFERROR(VALUE(RIGHT(TRIM(INDEX('Initiative Tracker'!$H$5:$H$200,$K143)),4)),YEAR(TODAY())),MATCH(LEFT(TRIM(INDEX('Initiative Tracker'!$H$5:$H$200,$K143)),3),$U$2:$U$13,0),1),""))</f>
        <v/>
      </c>
    </row>
    <row r="144">
      <c r="A144" s="220" t="n">
        <v>144</v>
      </c>
      <c r="B144" s="220">
        <f>IF(TRIM(Weekly!E144)="","",TRIM(Weekly!E144))</f>
        <v/>
      </c>
      <c r="C144" s="220">
        <f>IF($B144="","",Weekly!B144)</f>
        <v/>
      </c>
      <c r="D144" s="220">
        <f>IF($B144="","",IF(TRIM(Weekly!C144)="","(No theme assigned)",TRIM(Weekly!C144)))</f>
        <v/>
      </c>
      <c r="E144" s="220">
        <f>IF($B144="","",TRIM(Weekly!F144))</f>
        <v/>
      </c>
      <c r="F144" s="220">
        <f>IF($B144="","",Weekly!G144)</f>
        <v/>
      </c>
      <c r="G144" s="221">
        <f>IF($B144="","",IF(COUNTA(Weekly!$H144:$CT144)=0,"",SUMPRODUCT(MIN(IF(Weekly!$H144:$CT144&lt;&gt;"",Weekly!$H$1:$CT$1)))))</f>
        <v/>
      </c>
      <c r="H144" s="221">
        <f>IF($B144="","",IF(COUNTA(Weekly!$H144:$CT144)=0,"",SUMPRODUCT(MAX(IF(Weekly!$H144:$CT144&lt;&gt;"",Weekly!$H$1:$CT$1)))))</f>
        <v/>
      </c>
      <c r="I144" s="221">
        <f>IF($Q144&lt;&gt;"",IF($P144&lt;&gt;"",$P144,$Q144),IF($P144&lt;&gt;"",$P144,""))</f>
        <v/>
      </c>
      <c r="J144" s="221">
        <f>IF($Q144&lt;&gt;"",EOMONTH($Q144,0),IF($P144&lt;&gt;"",EOMONTH($P144,0),""))</f>
        <v/>
      </c>
      <c r="K144" s="220">
        <f>IF($B144="","",IFERROR(MATCH($B144,'Initiative Tracker'!$A$5:$A$200,0),IF($E144="","",IFERROR(MATCH($E144,'Initiative Tracker'!$B$5:$B$200,0),""))))</f>
        <v/>
      </c>
      <c r="L144" s="220">
        <f>IF($B144="","",IFERROR(MATCH($D144,'Control (Don’t Touch)'!$E$4:$E$30,0),99))</f>
        <v/>
      </c>
      <c r="M144" s="220">
        <f>IF($B144="","",IFERROR(MATCH($F144,'Control (Don’t Touch)'!$B$4:$B$30,0),99))</f>
        <v/>
      </c>
      <c r="N144" s="220">
        <f>IF($B144="","",$L144*1000000+$M144*10000+ROW())</f>
        <v/>
      </c>
      <c r="O144" s="220">
        <f>IF($B144="","",COUNTIF($N$2:$N$205,"&lt;"&amp;$N144)+1)</f>
        <v/>
      </c>
      <c r="P144" s="221">
        <f>IF($K144="","",IFERROR(DATE(IFERROR(VALUE(RIGHT(TRIM(INDEX('Initiative Tracker'!$G$5:$G$200,$K144)),4)),YEAR(TODAY())),MATCH(LEFT(TRIM(INDEX('Initiative Tracker'!$G$5:$G$200,$K144)),3),$U$2:$U$13,0),1),""))</f>
        <v/>
      </c>
      <c r="Q144" s="221">
        <f>IF($K144="","",IFERROR(DATE(IFERROR(VALUE(RIGHT(TRIM(INDEX('Initiative Tracker'!$H$5:$H$200,$K144)),4)),YEAR(TODAY())),MATCH(LEFT(TRIM(INDEX('Initiative Tracker'!$H$5:$H$200,$K144)),3),$U$2:$U$13,0),1),""))</f>
        <v/>
      </c>
    </row>
    <row r="145">
      <c r="A145" s="220" t="n">
        <v>145</v>
      </c>
      <c r="B145" s="220">
        <f>IF(TRIM(Weekly!E145)="","",TRIM(Weekly!E145))</f>
        <v/>
      </c>
      <c r="C145" s="220">
        <f>IF($B145="","",Weekly!B145)</f>
        <v/>
      </c>
      <c r="D145" s="220">
        <f>IF($B145="","",IF(TRIM(Weekly!C145)="","(No theme assigned)",TRIM(Weekly!C145)))</f>
        <v/>
      </c>
      <c r="E145" s="220">
        <f>IF($B145="","",TRIM(Weekly!F145))</f>
        <v/>
      </c>
      <c r="F145" s="220">
        <f>IF($B145="","",Weekly!G145)</f>
        <v/>
      </c>
      <c r="G145" s="221">
        <f>IF($B145="","",IF(COUNTA(Weekly!$H145:$CT145)=0,"",SUMPRODUCT(MIN(IF(Weekly!$H145:$CT145&lt;&gt;"",Weekly!$H$1:$CT$1)))))</f>
        <v/>
      </c>
      <c r="H145" s="221">
        <f>IF($B145="","",IF(COUNTA(Weekly!$H145:$CT145)=0,"",SUMPRODUCT(MAX(IF(Weekly!$H145:$CT145&lt;&gt;"",Weekly!$H$1:$CT$1)))))</f>
        <v/>
      </c>
      <c r="I145" s="221">
        <f>IF($Q145&lt;&gt;"",IF($P145&lt;&gt;"",$P145,$Q145),IF($P145&lt;&gt;"",$P145,""))</f>
        <v/>
      </c>
      <c r="J145" s="221">
        <f>IF($Q145&lt;&gt;"",EOMONTH($Q145,0),IF($P145&lt;&gt;"",EOMONTH($P145,0),""))</f>
        <v/>
      </c>
      <c r="K145" s="220">
        <f>IF($B145="","",IFERROR(MATCH($B145,'Initiative Tracker'!$A$5:$A$200,0),IF($E145="","",IFERROR(MATCH($E145,'Initiative Tracker'!$B$5:$B$200,0),""))))</f>
        <v/>
      </c>
      <c r="L145" s="220">
        <f>IF($B145="","",IFERROR(MATCH($D145,'Control (Don’t Touch)'!$E$4:$E$30,0),99))</f>
        <v/>
      </c>
      <c r="M145" s="220">
        <f>IF($B145="","",IFERROR(MATCH($F145,'Control (Don’t Touch)'!$B$4:$B$30,0),99))</f>
        <v/>
      </c>
      <c r="N145" s="220">
        <f>IF($B145="","",$L145*1000000+$M145*10000+ROW())</f>
        <v/>
      </c>
      <c r="O145" s="220">
        <f>IF($B145="","",COUNTIF($N$2:$N$205,"&lt;"&amp;$N145)+1)</f>
        <v/>
      </c>
      <c r="P145" s="221">
        <f>IF($K145="","",IFERROR(DATE(IFERROR(VALUE(RIGHT(TRIM(INDEX('Initiative Tracker'!$G$5:$G$200,$K145)),4)),YEAR(TODAY())),MATCH(LEFT(TRIM(INDEX('Initiative Tracker'!$G$5:$G$200,$K145)),3),$U$2:$U$13,0),1),""))</f>
        <v/>
      </c>
      <c r="Q145" s="221">
        <f>IF($K145="","",IFERROR(DATE(IFERROR(VALUE(RIGHT(TRIM(INDEX('Initiative Tracker'!$H$5:$H$200,$K145)),4)),YEAR(TODAY())),MATCH(LEFT(TRIM(INDEX('Initiative Tracker'!$H$5:$H$200,$K145)),3),$U$2:$U$13,0),1),""))</f>
        <v/>
      </c>
    </row>
    <row r="146">
      <c r="A146" s="220" t="n">
        <v>146</v>
      </c>
      <c r="B146" s="220">
        <f>IF(TRIM(Weekly!E146)="","",TRIM(Weekly!E146))</f>
        <v/>
      </c>
      <c r="C146" s="220">
        <f>IF($B146="","",Weekly!B146)</f>
        <v/>
      </c>
      <c r="D146" s="220">
        <f>IF($B146="","",IF(TRIM(Weekly!C146)="","(No theme assigned)",TRIM(Weekly!C146)))</f>
        <v/>
      </c>
      <c r="E146" s="220">
        <f>IF($B146="","",TRIM(Weekly!F146))</f>
        <v/>
      </c>
      <c r="F146" s="220">
        <f>IF($B146="","",Weekly!G146)</f>
        <v/>
      </c>
      <c r="G146" s="221">
        <f>IF($B146="","",IF(COUNTA(Weekly!$H146:$CT146)=0,"",SUMPRODUCT(MIN(IF(Weekly!$H146:$CT146&lt;&gt;"",Weekly!$H$1:$CT$1)))))</f>
        <v/>
      </c>
      <c r="H146" s="221">
        <f>IF($B146="","",IF(COUNTA(Weekly!$H146:$CT146)=0,"",SUMPRODUCT(MAX(IF(Weekly!$H146:$CT146&lt;&gt;"",Weekly!$H$1:$CT$1)))))</f>
        <v/>
      </c>
      <c r="I146" s="221">
        <f>IF($Q146&lt;&gt;"",IF($P146&lt;&gt;"",$P146,$Q146),IF($P146&lt;&gt;"",$P146,""))</f>
        <v/>
      </c>
      <c r="J146" s="221">
        <f>IF($Q146&lt;&gt;"",EOMONTH($Q146,0),IF($P146&lt;&gt;"",EOMONTH($P146,0),""))</f>
        <v/>
      </c>
      <c r="K146" s="220">
        <f>IF($B146="","",IFERROR(MATCH($B146,'Initiative Tracker'!$A$5:$A$200,0),IF($E146="","",IFERROR(MATCH($E146,'Initiative Tracker'!$B$5:$B$200,0),""))))</f>
        <v/>
      </c>
      <c r="L146" s="220">
        <f>IF($B146="","",IFERROR(MATCH($D146,'Control (Don’t Touch)'!$E$4:$E$30,0),99))</f>
        <v/>
      </c>
      <c r="M146" s="220">
        <f>IF($B146="","",IFERROR(MATCH($F146,'Control (Don’t Touch)'!$B$4:$B$30,0),99))</f>
        <v/>
      </c>
      <c r="N146" s="220">
        <f>IF($B146="","",$L146*1000000+$M146*10000+ROW())</f>
        <v/>
      </c>
      <c r="O146" s="220">
        <f>IF($B146="","",COUNTIF($N$2:$N$205,"&lt;"&amp;$N146)+1)</f>
        <v/>
      </c>
      <c r="P146" s="221">
        <f>IF($K146="","",IFERROR(DATE(IFERROR(VALUE(RIGHT(TRIM(INDEX('Initiative Tracker'!$G$5:$G$200,$K146)),4)),YEAR(TODAY())),MATCH(LEFT(TRIM(INDEX('Initiative Tracker'!$G$5:$G$200,$K146)),3),$U$2:$U$13,0),1),""))</f>
        <v/>
      </c>
      <c r="Q146" s="221">
        <f>IF($K146="","",IFERROR(DATE(IFERROR(VALUE(RIGHT(TRIM(INDEX('Initiative Tracker'!$H$5:$H$200,$K146)),4)),YEAR(TODAY())),MATCH(LEFT(TRIM(INDEX('Initiative Tracker'!$H$5:$H$200,$K146)),3),$U$2:$U$13,0),1),""))</f>
        <v/>
      </c>
    </row>
    <row r="147">
      <c r="A147" s="220" t="n">
        <v>147</v>
      </c>
      <c r="B147" s="220">
        <f>IF(TRIM(Weekly!E147)="","",TRIM(Weekly!E147))</f>
        <v/>
      </c>
      <c r="C147" s="220">
        <f>IF($B147="","",Weekly!B147)</f>
        <v/>
      </c>
      <c r="D147" s="220">
        <f>IF($B147="","",IF(TRIM(Weekly!C147)="","(No theme assigned)",TRIM(Weekly!C147)))</f>
        <v/>
      </c>
      <c r="E147" s="220">
        <f>IF($B147="","",TRIM(Weekly!F147))</f>
        <v/>
      </c>
      <c r="F147" s="220">
        <f>IF($B147="","",Weekly!G147)</f>
        <v/>
      </c>
      <c r="G147" s="221">
        <f>IF($B147="","",IF(COUNTA(Weekly!$H147:$CT147)=0,"",SUMPRODUCT(MIN(IF(Weekly!$H147:$CT147&lt;&gt;"",Weekly!$H$1:$CT$1)))))</f>
        <v/>
      </c>
      <c r="H147" s="221">
        <f>IF($B147="","",IF(COUNTA(Weekly!$H147:$CT147)=0,"",SUMPRODUCT(MAX(IF(Weekly!$H147:$CT147&lt;&gt;"",Weekly!$H$1:$CT$1)))))</f>
        <v/>
      </c>
      <c r="I147" s="221">
        <f>IF($Q147&lt;&gt;"",IF($P147&lt;&gt;"",$P147,$Q147),IF($P147&lt;&gt;"",$P147,""))</f>
        <v/>
      </c>
      <c r="J147" s="221">
        <f>IF($Q147&lt;&gt;"",EOMONTH($Q147,0),IF($P147&lt;&gt;"",EOMONTH($P147,0),""))</f>
        <v/>
      </c>
      <c r="K147" s="220">
        <f>IF($B147="","",IFERROR(MATCH($B147,'Initiative Tracker'!$A$5:$A$200,0),IF($E147="","",IFERROR(MATCH($E147,'Initiative Tracker'!$B$5:$B$200,0),""))))</f>
        <v/>
      </c>
      <c r="L147" s="220">
        <f>IF($B147="","",IFERROR(MATCH($D147,'Control (Don’t Touch)'!$E$4:$E$30,0),99))</f>
        <v/>
      </c>
      <c r="M147" s="220">
        <f>IF($B147="","",IFERROR(MATCH($F147,'Control (Don’t Touch)'!$B$4:$B$30,0),99))</f>
        <v/>
      </c>
      <c r="N147" s="220">
        <f>IF($B147="","",$L147*1000000+$M147*10000+ROW())</f>
        <v/>
      </c>
      <c r="O147" s="220">
        <f>IF($B147="","",COUNTIF($N$2:$N$205,"&lt;"&amp;$N147)+1)</f>
        <v/>
      </c>
      <c r="P147" s="221">
        <f>IF($K147="","",IFERROR(DATE(IFERROR(VALUE(RIGHT(TRIM(INDEX('Initiative Tracker'!$G$5:$G$200,$K147)),4)),YEAR(TODAY())),MATCH(LEFT(TRIM(INDEX('Initiative Tracker'!$G$5:$G$200,$K147)),3),$U$2:$U$13,0),1),""))</f>
        <v/>
      </c>
      <c r="Q147" s="221">
        <f>IF($K147="","",IFERROR(DATE(IFERROR(VALUE(RIGHT(TRIM(INDEX('Initiative Tracker'!$H$5:$H$200,$K147)),4)),YEAR(TODAY())),MATCH(LEFT(TRIM(INDEX('Initiative Tracker'!$H$5:$H$200,$K147)),3),$U$2:$U$13,0),1),""))</f>
        <v/>
      </c>
    </row>
    <row r="148">
      <c r="A148" s="220" t="n">
        <v>148</v>
      </c>
      <c r="B148" s="220">
        <f>IF(TRIM(Weekly!E148)="","",TRIM(Weekly!E148))</f>
        <v/>
      </c>
      <c r="C148" s="220">
        <f>IF($B148="","",Weekly!B148)</f>
        <v/>
      </c>
      <c r="D148" s="220">
        <f>IF($B148="","",IF(TRIM(Weekly!C148)="","(No theme assigned)",TRIM(Weekly!C148)))</f>
        <v/>
      </c>
      <c r="E148" s="220">
        <f>IF($B148="","",TRIM(Weekly!F148))</f>
        <v/>
      </c>
      <c r="F148" s="220">
        <f>IF($B148="","",Weekly!G148)</f>
        <v/>
      </c>
      <c r="G148" s="221">
        <f>IF($B148="","",IF(COUNTA(Weekly!$H148:$CT148)=0,"",SUMPRODUCT(MIN(IF(Weekly!$H148:$CT148&lt;&gt;"",Weekly!$H$1:$CT$1)))))</f>
        <v/>
      </c>
      <c r="H148" s="221">
        <f>IF($B148="","",IF(COUNTA(Weekly!$H148:$CT148)=0,"",SUMPRODUCT(MAX(IF(Weekly!$H148:$CT148&lt;&gt;"",Weekly!$H$1:$CT$1)))))</f>
        <v/>
      </c>
      <c r="I148" s="221">
        <f>IF($Q148&lt;&gt;"",IF($P148&lt;&gt;"",$P148,$Q148),IF($P148&lt;&gt;"",$P148,""))</f>
        <v/>
      </c>
      <c r="J148" s="221">
        <f>IF($Q148&lt;&gt;"",EOMONTH($Q148,0),IF($P148&lt;&gt;"",EOMONTH($P148,0),""))</f>
        <v/>
      </c>
      <c r="K148" s="220">
        <f>IF($B148="","",IFERROR(MATCH($B148,'Initiative Tracker'!$A$5:$A$200,0),IF($E148="","",IFERROR(MATCH($E148,'Initiative Tracker'!$B$5:$B$200,0),""))))</f>
        <v/>
      </c>
      <c r="L148" s="220">
        <f>IF($B148="","",IFERROR(MATCH($D148,'Control (Don’t Touch)'!$E$4:$E$30,0),99))</f>
        <v/>
      </c>
      <c r="M148" s="220">
        <f>IF($B148="","",IFERROR(MATCH($F148,'Control (Don’t Touch)'!$B$4:$B$30,0),99))</f>
        <v/>
      </c>
      <c r="N148" s="220">
        <f>IF($B148="","",$L148*1000000+$M148*10000+ROW())</f>
        <v/>
      </c>
      <c r="O148" s="220">
        <f>IF($B148="","",COUNTIF($N$2:$N$205,"&lt;"&amp;$N148)+1)</f>
        <v/>
      </c>
      <c r="P148" s="221">
        <f>IF($K148="","",IFERROR(DATE(IFERROR(VALUE(RIGHT(TRIM(INDEX('Initiative Tracker'!$G$5:$G$200,$K148)),4)),YEAR(TODAY())),MATCH(LEFT(TRIM(INDEX('Initiative Tracker'!$G$5:$G$200,$K148)),3),$U$2:$U$13,0),1),""))</f>
        <v/>
      </c>
      <c r="Q148" s="221">
        <f>IF($K148="","",IFERROR(DATE(IFERROR(VALUE(RIGHT(TRIM(INDEX('Initiative Tracker'!$H$5:$H$200,$K148)),4)),YEAR(TODAY())),MATCH(LEFT(TRIM(INDEX('Initiative Tracker'!$H$5:$H$200,$K148)),3),$U$2:$U$13,0),1),""))</f>
        <v/>
      </c>
    </row>
    <row r="149">
      <c r="A149" s="220" t="n">
        <v>149</v>
      </c>
      <c r="B149" s="220">
        <f>IF(TRIM(Weekly!E149)="","",TRIM(Weekly!E149))</f>
        <v/>
      </c>
      <c r="C149" s="220">
        <f>IF($B149="","",Weekly!B149)</f>
        <v/>
      </c>
      <c r="D149" s="220">
        <f>IF($B149="","",IF(TRIM(Weekly!C149)="","(No theme assigned)",TRIM(Weekly!C149)))</f>
        <v/>
      </c>
      <c r="E149" s="220">
        <f>IF($B149="","",TRIM(Weekly!F149))</f>
        <v/>
      </c>
      <c r="F149" s="220">
        <f>IF($B149="","",Weekly!G149)</f>
        <v/>
      </c>
      <c r="G149" s="221">
        <f>IF($B149="","",IF(COUNTA(Weekly!$H149:$CT149)=0,"",SUMPRODUCT(MIN(IF(Weekly!$H149:$CT149&lt;&gt;"",Weekly!$H$1:$CT$1)))))</f>
        <v/>
      </c>
      <c r="H149" s="221">
        <f>IF($B149="","",IF(COUNTA(Weekly!$H149:$CT149)=0,"",SUMPRODUCT(MAX(IF(Weekly!$H149:$CT149&lt;&gt;"",Weekly!$H$1:$CT$1)))))</f>
        <v/>
      </c>
      <c r="I149" s="221">
        <f>IF($Q149&lt;&gt;"",IF($P149&lt;&gt;"",$P149,$Q149),IF($P149&lt;&gt;"",$P149,""))</f>
        <v/>
      </c>
      <c r="J149" s="221">
        <f>IF($Q149&lt;&gt;"",EOMONTH($Q149,0),IF($P149&lt;&gt;"",EOMONTH($P149,0),""))</f>
        <v/>
      </c>
      <c r="K149" s="220">
        <f>IF($B149="","",IFERROR(MATCH($B149,'Initiative Tracker'!$A$5:$A$200,0),IF($E149="","",IFERROR(MATCH($E149,'Initiative Tracker'!$B$5:$B$200,0),""))))</f>
        <v/>
      </c>
      <c r="L149" s="220">
        <f>IF($B149="","",IFERROR(MATCH($D149,'Control (Don’t Touch)'!$E$4:$E$30,0),99))</f>
        <v/>
      </c>
      <c r="M149" s="220">
        <f>IF($B149="","",IFERROR(MATCH($F149,'Control (Don’t Touch)'!$B$4:$B$30,0),99))</f>
        <v/>
      </c>
      <c r="N149" s="220">
        <f>IF($B149="","",$L149*1000000+$M149*10000+ROW())</f>
        <v/>
      </c>
      <c r="O149" s="220">
        <f>IF($B149="","",COUNTIF($N$2:$N$205,"&lt;"&amp;$N149)+1)</f>
        <v/>
      </c>
      <c r="P149" s="221">
        <f>IF($K149="","",IFERROR(DATE(IFERROR(VALUE(RIGHT(TRIM(INDEX('Initiative Tracker'!$G$5:$G$200,$K149)),4)),YEAR(TODAY())),MATCH(LEFT(TRIM(INDEX('Initiative Tracker'!$G$5:$G$200,$K149)),3),$U$2:$U$13,0),1),""))</f>
        <v/>
      </c>
      <c r="Q149" s="221">
        <f>IF($K149="","",IFERROR(DATE(IFERROR(VALUE(RIGHT(TRIM(INDEX('Initiative Tracker'!$H$5:$H$200,$K149)),4)),YEAR(TODAY())),MATCH(LEFT(TRIM(INDEX('Initiative Tracker'!$H$5:$H$200,$K149)),3),$U$2:$U$13,0),1),""))</f>
        <v/>
      </c>
    </row>
    <row r="150">
      <c r="A150" s="220" t="n">
        <v>150</v>
      </c>
      <c r="B150" s="220">
        <f>IF(TRIM(Weekly!E150)="","",TRIM(Weekly!E150))</f>
        <v/>
      </c>
      <c r="C150" s="220">
        <f>IF($B150="","",Weekly!B150)</f>
        <v/>
      </c>
      <c r="D150" s="220">
        <f>IF($B150="","",IF(TRIM(Weekly!C150)="","(No theme assigned)",TRIM(Weekly!C150)))</f>
        <v/>
      </c>
      <c r="E150" s="220">
        <f>IF($B150="","",TRIM(Weekly!F150))</f>
        <v/>
      </c>
      <c r="F150" s="220">
        <f>IF($B150="","",Weekly!G150)</f>
        <v/>
      </c>
      <c r="G150" s="221">
        <f>IF($B150="","",IF(COUNTA(Weekly!$H150:$CT150)=0,"",SUMPRODUCT(MIN(IF(Weekly!$H150:$CT150&lt;&gt;"",Weekly!$H$1:$CT$1)))))</f>
        <v/>
      </c>
      <c r="H150" s="221">
        <f>IF($B150="","",IF(COUNTA(Weekly!$H150:$CT150)=0,"",SUMPRODUCT(MAX(IF(Weekly!$H150:$CT150&lt;&gt;"",Weekly!$H$1:$CT$1)))))</f>
        <v/>
      </c>
      <c r="I150" s="221">
        <f>IF($Q150&lt;&gt;"",IF($P150&lt;&gt;"",$P150,$Q150),IF($P150&lt;&gt;"",$P150,""))</f>
        <v/>
      </c>
      <c r="J150" s="221">
        <f>IF($Q150&lt;&gt;"",EOMONTH($Q150,0),IF($P150&lt;&gt;"",EOMONTH($P150,0),""))</f>
        <v/>
      </c>
      <c r="K150" s="220">
        <f>IF($B150="","",IFERROR(MATCH($B150,'Initiative Tracker'!$A$5:$A$200,0),IF($E150="","",IFERROR(MATCH($E150,'Initiative Tracker'!$B$5:$B$200,0),""))))</f>
        <v/>
      </c>
      <c r="L150" s="220">
        <f>IF($B150="","",IFERROR(MATCH($D150,'Control (Don’t Touch)'!$E$4:$E$30,0),99))</f>
        <v/>
      </c>
      <c r="M150" s="220">
        <f>IF($B150="","",IFERROR(MATCH($F150,'Control (Don’t Touch)'!$B$4:$B$30,0),99))</f>
        <v/>
      </c>
      <c r="N150" s="220">
        <f>IF($B150="","",$L150*1000000+$M150*10000+ROW())</f>
        <v/>
      </c>
      <c r="O150" s="220">
        <f>IF($B150="","",COUNTIF($N$2:$N$205,"&lt;"&amp;$N150)+1)</f>
        <v/>
      </c>
      <c r="P150" s="221">
        <f>IF($K150="","",IFERROR(DATE(IFERROR(VALUE(RIGHT(TRIM(INDEX('Initiative Tracker'!$G$5:$G$200,$K150)),4)),YEAR(TODAY())),MATCH(LEFT(TRIM(INDEX('Initiative Tracker'!$G$5:$G$200,$K150)),3),$U$2:$U$13,0),1),""))</f>
        <v/>
      </c>
      <c r="Q150" s="221">
        <f>IF($K150="","",IFERROR(DATE(IFERROR(VALUE(RIGHT(TRIM(INDEX('Initiative Tracker'!$H$5:$H$200,$K150)),4)),YEAR(TODAY())),MATCH(LEFT(TRIM(INDEX('Initiative Tracker'!$H$5:$H$200,$K150)),3),$U$2:$U$13,0),1),""))</f>
        <v/>
      </c>
    </row>
    <row r="151">
      <c r="A151" s="220" t="n">
        <v>151</v>
      </c>
      <c r="B151" s="220">
        <f>IF(TRIM(Weekly!E151)="","",TRIM(Weekly!E151))</f>
        <v/>
      </c>
      <c r="C151" s="220">
        <f>IF($B151="","",Weekly!B151)</f>
        <v/>
      </c>
      <c r="D151" s="220">
        <f>IF($B151="","",IF(TRIM(Weekly!C151)="","(No theme assigned)",TRIM(Weekly!C151)))</f>
        <v/>
      </c>
      <c r="E151" s="220">
        <f>IF($B151="","",TRIM(Weekly!F151))</f>
        <v/>
      </c>
      <c r="F151" s="220">
        <f>IF($B151="","",Weekly!G151)</f>
        <v/>
      </c>
      <c r="G151" s="221">
        <f>IF($B151="","",IF(COUNTA(Weekly!$H151:$CT151)=0,"",SUMPRODUCT(MIN(IF(Weekly!$H151:$CT151&lt;&gt;"",Weekly!$H$1:$CT$1)))))</f>
        <v/>
      </c>
      <c r="H151" s="221">
        <f>IF($B151="","",IF(COUNTA(Weekly!$H151:$CT151)=0,"",SUMPRODUCT(MAX(IF(Weekly!$H151:$CT151&lt;&gt;"",Weekly!$H$1:$CT$1)))))</f>
        <v/>
      </c>
      <c r="I151" s="221">
        <f>IF($Q151&lt;&gt;"",IF($P151&lt;&gt;"",$P151,$Q151),IF($P151&lt;&gt;"",$P151,""))</f>
        <v/>
      </c>
      <c r="J151" s="221">
        <f>IF($Q151&lt;&gt;"",EOMONTH($Q151,0),IF($P151&lt;&gt;"",EOMONTH($P151,0),""))</f>
        <v/>
      </c>
      <c r="K151" s="220">
        <f>IF($B151="","",IFERROR(MATCH($B151,'Initiative Tracker'!$A$5:$A$200,0),IF($E151="","",IFERROR(MATCH($E151,'Initiative Tracker'!$B$5:$B$200,0),""))))</f>
        <v/>
      </c>
      <c r="L151" s="220">
        <f>IF($B151="","",IFERROR(MATCH($D151,'Control (Don’t Touch)'!$E$4:$E$30,0),99))</f>
        <v/>
      </c>
      <c r="M151" s="220">
        <f>IF($B151="","",IFERROR(MATCH($F151,'Control (Don’t Touch)'!$B$4:$B$30,0),99))</f>
        <v/>
      </c>
      <c r="N151" s="220">
        <f>IF($B151="","",$L151*1000000+$M151*10000+ROW())</f>
        <v/>
      </c>
      <c r="O151" s="220">
        <f>IF($B151="","",COUNTIF($N$2:$N$205,"&lt;"&amp;$N151)+1)</f>
        <v/>
      </c>
      <c r="P151" s="221">
        <f>IF($K151="","",IFERROR(DATE(IFERROR(VALUE(RIGHT(TRIM(INDEX('Initiative Tracker'!$G$5:$G$200,$K151)),4)),YEAR(TODAY())),MATCH(LEFT(TRIM(INDEX('Initiative Tracker'!$G$5:$G$200,$K151)),3),$U$2:$U$13,0),1),""))</f>
        <v/>
      </c>
      <c r="Q151" s="221">
        <f>IF($K151="","",IFERROR(DATE(IFERROR(VALUE(RIGHT(TRIM(INDEX('Initiative Tracker'!$H$5:$H$200,$K151)),4)),YEAR(TODAY())),MATCH(LEFT(TRIM(INDEX('Initiative Tracker'!$H$5:$H$200,$K151)),3),$U$2:$U$13,0),1),""))</f>
        <v/>
      </c>
    </row>
    <row r="155">
      <c r="A155" s="220" t="n">
        <v>5</v>
      </c>
      <c r="B155" s="220">
        <f>IF(TRIM('Initiative Tracker'!A5)="","",IF(COUNTIF($K$2:$K$151,1)&gt;0,"",TRIM('Initiative Tracker'!A5)))</f>
        <v/>
      </c>
      <c r="C155" s="220">
        <f>IF($B155="","",'Initiative Tracker'!D5)</f>
        <v/>
      </c>
      <c r="D155" s="220">
        <f>IF($B155="","","(Tracker only — no Weekly row)")</f>
        <v/>
      </c>
      <c r="E155" s="220">
        <f>IF($B155="","",TRIM('Initiative Tracker'!B5))</f>
        <v/>
      </c>
      <c r="F155" s="220">
        <f>IF($B155="","",'Initiative Tracker'!C5)</f>
        <v/>
      </c>
      <c r="G155" s="221">
        <f>""</f>
        <v/>
      </c>
      <c r="H155" s="221">
        <f>""</f>
        <v/>
      </c>
      <c r="I155" s="221">
        <f>IF($Q155&lt;&gt;"",IF($P155&lt;&gt;"",$P155,$Q155),IF($P155&lt;&gt;"",$P155,""))</f>
        <v/>
      </c>
      <c r="J155" s="221">
        <f>IF($Q155&lt;&gt;"",EOMONTH($Q155,0),IF($P155&lt;&gt;"",EOMONTH($P155,0),""))</f>
        <v/>
      </c>
      <c r="K155" s="220">
        <f>IF($B155="","",1)</f>
        <v/>
      </c>
      <c r="L155" s="220">
        <f>IF($B155="","",100)</f>
        <v/>
      </c>
      <c r="M155" s="220">
        <f>IF($B155="","",IFERROR(MATCH($F155,'Control (Don’t Touch)'!$B$4:$B$30,0),99))</f>
        <v/>
      </c>
      <c r="N155" s="220">
        <f>IF($B155="","",$L155*1000000+$M155*10000+ROW())</f>
        <v/>
      </c>
      <c r="O155" s="220">
        <f>IF($B155="","",COUNTIF($N$2:$N$205,"&lt;"&amp;$N155)+1)</f>
        <v/>
      </c>
      <c r="P155" s="221">
        <f>IF($B155="","",IFERROR(DATE(IFERROR(VALUE(RIGHT(TRIM('Initiative Tracker'!G5),4)),YEAR(TODAY())),MATCH(LEFT(TRIM('Initiative Tracker'!G5),3),$U$2:$U$13,0),1),""))</f>
        <v/>
      </c>
      <c r="Q155" s="221">
        <f>IF($B155="","",IFERROR(DATE(IFERROR(VALUE(RIGHT(TRIM('Initiative Tracker'!H5),4)),YEAR(TODAY())),MATCH(LEFT(TRIM('Initiative Tracker'!H5),3),$U$2:$U$13,0),1),""))</f>
        <v/>
      </c>
    </row>
    <row r="156">
      <c r="A156" s="220" t="n">
        <v>6</v>
      </c>
      <c r="B156" s="220">
        <f>IF(TRIM('Initiative Tracker'!A6)="","",IF(COUNTIF($K$2:$K$151,2)&gt;0,"",TRIM('Initiative Tracker'!A6)))</f>
        <v/>
      </c>
      <c r="C156" s="220">
        <f>IF($B156="","",'Initiative Tracker'!D6)</f>
        <v/>
      </c>
      <c r="D156" s="220">
        <f>IF($B156="","","(Tracker only — no Weekly row)")</f>
        <v/>
      </c>
      <c r="E156" s="220">
        <f>IF($B156="","",TRIM('Initiative Tracker'!B6))</f>
        <v/>
      </c>
      <c r="F156" s="220">
        <f>IF($B156="","",'Initiative Tracker'!C6)</f>
        <v/>
      </c>
      <c r="G156" s="221">
        <f>""</f>
        <v/>
      </c>
      <c r="H156" s="221">
        <f>""</f>
        <v/>
      </c>
      <c r="I156" s="221">
        <f>IF($Q156&lt;&gt;"",IF($P156&lt;&gt;"",$P156,$Q156),IF($P156&lt;&gt;"",$P156,""))</f>
        <v/>
      </c>
      <c r="J156" s="221">
        <f>IF($Q156&lt;&gt;"",EOMONTH($Q156,0),IF($P156&lt;&gt;"",EOMONTH($P156,0),""))</f>
        <v/>
      </c>
      <c r="K156" s="220">
        <f>IF($B156="","",2)</f>
        <v/>
      </c>
      <c r="L156" s="220">
        <f>IF($B156="","",100)</f>
        <v/>
      </c>
      <c r="M156" s="220">
        <f>IF($B156="","",IFERROR(MATCH($F156,'Control (Don’t Touch)'!$B$4:$B$30,0),99))</f>
        <v/>
      </c>
      <c r="N156" s="220">
        <f>IF($B156="","",$L156*1000000+$M156*10000+ROW())</f>
        <v/>
      </c>
      <c r="O156" s="220">
        <f>IF($B156="","",COUNTIF($N$2:$N$205,"&lt;"&amp;$N156)+1)</f>
        <v/>
      </c>
      <c r="P156" s="221">
        <f>IF($B156="","",IFERROR(DATE(IFERROR(VALUE(RIGHT(TRIM('Initiative Tracker'!G6),4)),YEAR(TODAY())),MATCH(LEFT(TRIM('Initiative Tracker'!G6),3),$U$2:$U$13,0),1),""))</f>
        <v/>
      </c>
      <c r="Q156" s="221">
        <f>IF($B156="","",IFERROR(DATE(IFERROR(VALUE(RIGHT(TRIM('Initiative Tracker'!H6),4)),YEAR(TODAY())),MATCH(LEFT(TRIM('Initiative Tracker'!H6),3),$U$2:$U$13,0),1),""))</f>
        <v/>
      </c>
    </row>
    <row r="157">
      <c r="A157" s="220" t="n">
        <v>7</v>
      </c>
      <c r="B157" s="220">
        <f>IF(TRIM('Initiative Tracker'!A7)="","",IF(COUNTIF($K$2:$K$151,3)&gt;0,"",TRIM('Initiative Tracker'!A7)))</f>
        <v/>
      </c>
      <c r="C157" s="220">
        <f>IF($B157="","",'Initiative Tracker'!D7)</f>
        <v/>
      </c>
      <c r="D157" s="220">
        <f>IF($B157="","","(Tracker only — no Weekly row)")</f>
        <v/>
      </c>
      <c r="E157" s="220">
        <f>IF($B157="","",TRIM('Initiative Tracker'!B7))</f>
        <v/>
      </c>
      <c r="F157" s="220">
        <f>IF($B157="","",'Initiative Tracker'!C7)</f>
        <v/>
      </c>
      <c r="G157" s="221">
        <f>""</f>
        <v/>
      </c>
      <c r="H157" s="221">
        <f>""</f>
        <v/>
      </c>
      <c r="I157" s="221">
        <f>IF($Q157&lt;&gt;"",IF($P157&lt;&gt;"",$P157,$Q157),IF($P157&lt;&gt;"",$P157,""))</f>
        <v/>
      </c>
      <c r="J157" s="221">
        <f>IF($Q157&lt;&gt;"",EOMONTH($Q157,0),IF($P157&lt;&gt;"",EOMONTH($P157,0),""))</f>
        <v/>
      </c>
      <c r="K157" s="220">
        <f>IF($B157="","",3)</f>
        <v/>
      </c>
      <c r="L157" s="220">
        <f>IF($B157="","",100)</f>
        <v/>
      </c>
      <c r="M157" s="220">
        <f>IF($B157="","",IFERROR(MATCH($F157,'Control (Don’t Touch)'!$B$4:$B$30,0),99))</f>
        <v/>
      </c>
      <c r="N157" s="220">
        <f>IF($B157="","",$L157*1000000+$M157*10000+ROW())</f>
        <v/>
      </c>
      <c r="O157" s="220">
        <f>IF($B157="","",COUNTIF($N$2:$N$205,"&lt;"&amp;$N157)+1)</f>
        <v/>
      </c>
      <c r="P157" s="221">
        <f>IF($B157="","",IFERROR(DATE(IFERROR(VALUE(RIGHT(TRIM('Initiative Tracker'!G7),4)),YEAR(TODAY())),MATCH(LEFT(TRIM('Initiative Tracker'!G7),3),$U$2:$U$13,0),1),""))</f>
        <v/>
      </c>
      <c r="Q157" s="221">
        <f>IF($B157="","",IFERROR(DATE(IFERROR(VALUE(RIGHT(TRIM('Initiative Tracker'!H7),4)),YEAR(TODAY())),MATCH(LEFT(TRIM('Initiative Tracker'!H7),3),$U$2:$U$13,0),1),""))</f>
        <v/>
      </c>
    </row>
    <row r="158">
      <c r="A158" s="220" t="n">
        <v>8</v>
      </c>
      <c r="B158" s="220">
        <f>IF(TRIM('Initiative Tracker'!A8)="","",IF(COUNTIF($K$2:$K$151,4)&gt;0,"",TRIM('Initiative Tracker'!A8)))</f>
        <v/>
      </c>
      <c r="C158" s="220">
        <f>IF($B158="","",'Initiative Tracker'!D8)</f>
        <v/>
      </c>
      <c r="D158" s="220">
        <f>IF($B158="","","(Tracker only — no Weekly row)")</f>
        <v/>
      </c>
      <c r="E158" s="220">
        <f>IF($B158="","",TRIM('Initiative Tracker'!B8))</f>
        <v/>
      </c>
      <c r="F158" s="220">
        <f>IF($B158="","",'Initiative Tracker'!C8)</f>
        <v/>
      </c>
      <c r="G158" s="221">
        <f>""</f>
        <v/>
      </c>
      <c r="H158" s="221">
        <f>""</f>
        <v/>
      </c>
      <c r="I158" s="221">
        <f>IF($Q158&lt;&gt;"",IF($P158&lt;&gt;"",$P158,$Q158),IF($P158&lt;&gt;"",$P158,""))</f>
        <v/>
      </c>
      <c r="J158" s="221">
        <f>IF($Q158&lt;&gt;"",EOMONTH($Q158,0),IF($P158&lt;&gt;"",EOMONTH($P158,0),""))</f>
        <v/>
      </c>
      <c r="K158" s="220">
        <f>IF($B158="","",4)</f>
        <v/>
      </c>
      <c r="L158" s="220">
        <f>IF($B158="","",100)</f>
        <v/>
      </c>
      <c r="M158" s="220">
        <f>IF($B158="","",IFERROR(MATCH($F158,'Control (Don’t Touch)'!$B$4:$B$30,0),99))</f>
        <v/>
      </c>
      <c r="N158" s="220">
        <f>IF($B158="","",$L158*1000000+$M158*10000+ROW())</f>
        <v/>
      </c>
      <c r="O158" s="220">
        <f>IF($B158="","",COUNTIF($N$2:$N$205,"&lt;"&amp;$N158)+1)</f>
        <v/>
      </c>
      <c r="P158" s="221">
        <f>IF($B158="","",IFERROR(DATE(IFERROR(VALUE(RIGHT(TRIM('Initiative Tracker'!G8),4)),YEAR(TODAY())),MATCH(LEFT(TRIM('Initiative Tracker'!G8),3),$U$2:$U$13,0),1),""))</f>
        <v/>
      </c>
      <c r="Q158" s="221">
        <f>IF($B158="","",IFERROR(DATE(IFERROR(VALUE(RIGHT(TRIM('Initiative Tracker'!H8),4)),YEAR(TODAY())),MATCH(LEFT(TRIM('Initiative Tracker'!H8),3),$U$2:$U$13,0),1),""))</f>
        <v/>
      </c>
    </row>
    <row r="159">
      <c r="A159" s="220" t="n">
        <v>9</v>
      </c>
      <c r="B159" s="220">
        <f>IF(TRIM('Initiative Tracker'!A9)="","",IF(COUNTIF($K$2:$K$151,5)&gt;0,"",TRIM('Initiative Tracker'!A9)))</f>
        <v/>
      </c>
      <c r="C159" s="220">
        <f>IF($B159="","",'Initiative Tracker'!D9)</f>
        <v/>
      </c>
      <c r="D159" s="220">
        <f>IF($B159="","","(Tracker only — no Weekly row)")</f>
        <v/>
      </c>
      <c r="E159" s="220">
        <f>IF($B159="","",TRIM('Initiative Tracker'!B9))</f>
        <v/>
      </c>
      <c r="F159" s="220">
        <f>IF($B159="","",'Initiative Tracker'!C9)</f>
        <v/>
      </c>
      <c r="G159" s="221">
        <f>""</f>
        <v/>
      </c>
      <c r="H159" s="221">
        <f>""</f>
        <v/>
      </c>
      <c r="I159" s="221">
        <f>IF($Q159&lt;&gt;"",IF($P159&lt;&gt;"",$P159,$Q159),IF($P159&lt;&gt;"",$P159,""))</f>
        <v/>
      </c>
      <c r="J159" s="221">
        <f>IF($Q159&lt;&gt;"",EOMONTH($Q159,0),IF($P159&lt;&gt;"",EOMONTH($P159,0),""))</f>
        <v/>
      </c>
      <c r="K159" s="220">
        <f>IF($B159="","",5)</f>
        <v/>
      </c>
      <c r="L159" s="220">
        <f>IF($B159="","",100)</f>
        <v/>
      </c>
      <c r="M159" s="220">
        <f>IF($B159="","",IFERROR(MATCH($F159,'Control (Don’t Touch)'!$B$4:$B$30,0),99))</f>
        <v/>
      </c>
      <c r="N159" s="220">
        <f>IF($B159="","",$L159*1000000+$M159*10000+ROW())</f>
        <v/>
      </c>
      <c r="O159" s="220">
        <f>IF($B159="","",COUNTIF($N$2:$N$205,"&lt;"&amp;$N159)+1)</f>
        <v/>
      </c>
      <c r="P159" s="221">
        <f>IF($B159="","",IFERROR(DATE(IFERROR(VALUE(RIGHT(TRIM('Initiative Tracker'!G9),4)),YEAR(TODAY())),MATCH(LEFT(TRIM('Initiative Tracker'!G9),3),$U$2:$U$13,0),1),""))</f>
        <v/>
      </c>
      <c r="Q159" s="221">
        <f>IF($B159="","",IFERROR(DATE(IFERROR(VALUE(RIGHT(TRIM('Initiative Tracker'!H9),4)),YEAR(TODAY())),MATCH(LEFT(TRIM('Initiative Tracker'!H9),3),$U$2:$U$13,0),1),""))</f>
        <v/>
      </c>
    </row>
    <row r="160">
      <c r="A160" s="220" t="n">
        <v>10</v>
      </c>
      <c r="B160" s="220">
        <f>IF(TRIM('Initiative Tracker'!A10)="","",IF(COUNTIF($K$2:$K$151,6)&gt;0,"",TRIM('Initiative Tracker'!A10)))</f>
        <v/>
      </c>
      <c r="C160" s="220">
        <f>IF($B160="","",'Initiative Tracker'!D10)</f>
        <v/>
      </c>
      <c r="D160" s="220">
        <f>IF($B160="","","(Tracker only — no Weekly row)")</f>
        <v/>
      </c>
      <c r="E160" s="220">
        <f>IF($B160="","",TRIM('Initiative Tracker'!B10))</f>
        <v/>
      </c>
      <c r="F160" s="220">
        <f>IF($B160="","",'Initiative Tracker'!C10)</f>
        <v/>
      </c>
      <c r="G160" s="221">
        <f>""</f>
        <v/>
      </c>
      <c r="H160" s="221">
        <f>""</f>
        <v/>
      </c>
      <c r="I160" s="221">
        <f>IF($Q160&lt;&gt;"",IF($P160&lt;&gt;"",$P160,$Q160),IF($P160&lt;&gt;"",$P160,""))</f>
        <v/>
      </c>
      <c r="J160" s="221">
        <f>IF($Q160&lt;&gt;"",EOMONTH($Q160,0),IF($P160&lt;&gt;"",EOMONTH($P160,0),""))</f>
        <v/>
      </c>
      <c r="K160" s="220">
        <f>IF($B160="","",6)</f>
        <v/>
      </c>
      <c r="L160" s="220">
        <f>IF($B160="","",100)</f>
        <v/>
      </c>
      <c r="M160" s="220">
        <f>IF($B160="","",IFERROR(MATCH($F160,'Control (Don’t Touch)'!$B$4:$B$30,0),99))</f>
        <v/>
      </c>
      <c r="N160" s="220">
        <f>IF($B160="","",$L160*1000000+$M160*10000+ROW())</f>
        <v/>
      </c>
      <c r="O160" s="220">
        <f>IF($B160="","",COUNTIF($N$2:$N$205,"&lt;"&amp;$N160)+1)</f>
        <v/>
      </c>
      <c r="P160" s="221">
        <f>IF($B160="","",IFERROR(DATE(IFERROR(VALUE(RIGHT(TRIM('Initiative Tracker'!G10),4)),YEAR(TODAY())),MATCH(LEFT(TRIM('Initiative Tracker'!G10),3),$U$2:$U$13,0),1),""))</f>
        <v/>
      </c>
      <c r="Q160" s="221">
        <f>IF($B160="","",IFERROR(DATE(IFERROR(VALUE(RIGHT(TRIM('Initiative Tracker'!H10),4)),YEAR(TODAY())),MATCH(LEFT(TRIM('Initiative Tracker'!H10),3),$U$2:$U$13,0),1),""))</f>
        <v/>
      </c>
    </row>
    <row r="161">
      <c r="A161" s="220" t="n">
        <v>11</v>
      </c>
      <c r="B161" s="220">
        <f>IF(TRIM('Initiative Tracker'!A11)="","",IF(COUNTIF($K$2:$K$151,7)&gt;0,"",TRIM('Initiative Tracker'!A11)))</f>
        <v/>
      </c>
      <c r="C161" s="220">
        <f>IF($B161="","",'Initiative Tracker'!D11)</f>
        <v/>
      </c>
      <c r="D161" s="220">
        <f>IF($B161="","","(Tracker only — no Weekly row)")</f>
        <v/>
      </c>
      <c r="E161" s="220">
        <f>IF($B161="","",TRIM('Initiative Tracker'!B11))</f>
        <v/>
      </c>
      <c r="F161" s="220">
        <f>IF($B161="","",'Initiative Tracker'!C11)</f>
        <v/>
      </c>
      <c r="G161" s="221">
        <f>""</f>
        <v/>
      </c>
      <c r="H161" s="221">
        <f>""</f>
        <v/>
      </c>
      <c r="I161" s="221">
        <f>IF($Q161&lt;&gt;"",IF($P161&lt;&gt;"",$P161,$Q161),IF($P161&lt;&gt;"",$P161,""))</f>
        <v/>
      </c>
      <c r="J161" s="221">
        <f>IF($Q161&lt;&gt;"",EOMONTH($Q161,0),IF($P161&lt;&gt;"",EOMONTH($P161,0),""))</f>
        <v/>
      </c>
      <c r="K161" s="220">
        <f>IF($B161="","",7)</f>
        <v/>
      </c>
      <c r="L161" s="220">
        <f>IF($B161="","",100)</f>
        <v/>
      </c>
      <c r="M161" s="220">
        <f>IF($B161="","",IFERROR(MATCH($F161,'Control (Don’t Touch)'!$B$4:$B$30,0),99))</f>
        <v/>
      </c>
      <c r="N161" s="220">
        <f>IF($B161="","",$L161*1000000+$M161*10000+ROW())</f>
        <v/>
      </c>
      <c r="O161" s="220">
        <f>IF($B161="","",COUNTIF($N$2:$N$205,"&lt;"&amp;$N161)+1)</f>
        <v/>
      </c>
      <c r="P161" s="221">
        <f>IF($B161="","",IFERROR(DATE(IFERROR(VALUE(RIGHT(TRIM('Initiative Tracker'!G11),4)),YEAR(TODAY())),MATCH(LEFT(TRIM('Initiative Tracker'!G11),3),$U$2:$U$13,0),1),""))</f>
        <v/>
      </c>
      <c r="Q161" s="221">
        <f>IF($B161="","",IFERROR(DATE(IFERROR(VALUE(RIGHT(TRIM('Initiative Tracker'!H11),4)),YEAR(TODAY())),MATCH(LEFT(TRIM('Initiative Tracker'!H11),3),$U$2:$U$13,0),1),""))</f>
        <v/>
      </c>
    </row>
    <row r="162">
      <c r="A162" s="220" t="n">
        <v>12</v>
      </c>
      <c r="B162" s="220">
        <f>IF(TRIM('Initiative Tracker'!A12)="","",IF(COUNTIF($K$2:$K$151,8)&gt;0,"",TRIM('Initiative Tracker'!A12)))</f>
        <v/>
      </c>
      <c r="C162" s="220">
        <f>IF($B162="","",'Initiative Tracker'!D12)</f>
        <v/>
      </c>
      <c r="D162" s="220">
        <f>IF($B162="","","(Tracker only — no Weekly row)")</f>
        <v/>
      </c>
      <c r="E162" s="220">
        <f>IF($B162="","",TRIM('Initiative Tracker'!B12))</f>
        <v/>
      </c>
      <c r="F162" s="220">
        <f>IF($B162="","",'Initiative Tracker'!C12)</f>
        <v/>
      </c>
      <c r="G162" s="221">
        <f>""</f>
        <v/>
      </c>
      <c r="H162" s="221">
        <f>""</f>
        <v/>
      </c>
      <c r="I162" s="221">
        <f>IF($Q162&lt;&gt;"",IF($P162&lt;&gt;"",$P162,$Q162),IF($P162&lt;&gt;"",$P162,""))</f>
        <v/>
      </c>
      <c r="J162" s="221">
        <f>IF($Q162&lt;&gt;"",EOMONTH($Q162,0),IF($P162&lt;&gt;"",EOMONTH($P162,0),""))</f>
        <v/>
      </c>
      <c r="K162" s="220">
        <f>IF($B162="","",8)</f>
        <v/>
      </c>
      <c r="L162" s="220">
        <f>IF($B162="","",100)</f>
        <v/>
      </c>
      <c r="M162" s="220">
        <f>IF($B162="","",IFERROR(MATCH($F162,'Control (Don’t Touch)'!$B$4:$B$30,0),99))</f>
        <v/>
      </c>
      <c r="N162" s="220">
        <f>IF($B162="","",$L162*1000000+$M162*10000+ROW())</f>
        <v/>
      </c>
      <c r="O162" s="220">
        <f>IF($B162="","",COUNTIF($N$2:$N$205,"&lt;"&amp;$N162)+1)</f>
        <v/>
      </c>
      <c r="P162" s="221">
        <f>IF($B162="","",IFERROR(DATE(IFERROR(VALUE(RIGHT(TRIM('Initiative Tracker'!G12),4)),YEAR(TODAY())),MATCH(LEFT(TRIM('Initiative Tracker'!G12),3),$U$2:$U$13,0),1),""))</f>
        <v/>
      </c>
      <c r="Q162" s="221">
        <f>IF($B162="","",IFERROR(DATE(IFERROR(VALUE(RIGHT(TRIM('Initiative Tracker'!H12),4)),YEAR(TODAY())),MATCH(LEFT(TRIM('Initiative Tracker'!H12),3),$U$2:$U$13,0),1),""))</f>
        <v/>
      </c>
    </row>
    <row r="163">
      <c r="A163" s="220" t="n">
        <v>13</v>
      </c>
      <c r="B163" s="220">
        <f>IF(TRIM('Initiative Tracker'!A13)="","",IF(COUNTIF($K$2:$K$151,9)&gt;0,"",TRIM('Initiative Tracker'!A13)))</f>
        <v/>
      </c>
      <c r="C163" s="220">
        <f>IF($B163="","",'Initiative Tracker'!D13)</f>
        <v/>
      </c>
      <c r="D163" s="220">
        <f>IF($B163="","","(Tracker only — no Weekly row)")</f>
        <v/>
      </c>
      <c r="E163" s="220">
        <f>IF($B163="","",TRIM('Initiative Tracker'!B13))</f>
        <v/>
      </c>
      <c r="F163" s="220">
        <f>IF($B163="","",'Initiative Tracker'!C13)</f>
        <v/>
      </c>
      <c r="G163" s="221">
        <f>""</f>
        <v/>
      </c>
      <c r="H163" s="221">
        <f>""</f>
        <v/>
      </c>
      <c r="I163" s="221">
        <f>IF($Q163&lt;&gt;"",IF($P163&lt;&gt;"",$P163,$Q163),IF($P163&lt;&gt;"",$P163,""))</f>
        <v/>
      </c>
      <c r="J163" s="221">
        <f>IF($Q163&lt;&gt;"",EOMONTH($Q163,0),IF($P163&lt;&gt;"",EOMONTH($P163,0),""))</f>
        <v/>
      </c>
      <c r="K163" s="220">
        <f>IF($B163="","",9)</f>
        <v/>
      </c>
      <c r="L163" s="220">
        <f>IF($B163="","",100)</f>
        <v/>
      </c>
      <c r="M163" s="220">
        <f>IF($B163="","",IFERROR(MATCH($F163,'Control (Don’t Touch)'!$B$4:$B$30,0),99))</f>
        <v/>
      </c>
      <c r="N163" s="220">
        <f>IF($B163="","",$L163*1000000+$M163*10000+ROW())</f>
        <v/>
      </c>
      <c r="O163" s="220">
        <f>IF($B163="","",COUNTIF($N$2:$N$205,"&lt;"&amp;$N163)+1)</f>
        <v/>
      </c>
      <c r="P163" s="221">
        <f>IF($B163="","",IFERROR(DATE(IFERROR(VALUE(RIGHT(TRIM('Initiative Tracker'!G13),4)),YEAR(TODAY())),MATCH(LEFT(TRIM('Initiative Tracker'!G13),3),$U$2:$U$13,0),1),""))</f>
        <v/>
      </c>
      <c r="Q163" s="221">
        <f>IF($B163="","",IFERROR(DATE(IFERROR(VALUE(RIGHT(TRIM('Initiative Tracker'!H13),4)),YEAR(TODAY())),MATCH(LEFT(TRIM('Initiative Tracker'!H13),3),$U$2:$U$13,0),1),""))</f>
        <v/>
      </c>
    </row>
    <row r="164">
      <c r="A164" s="220" t="n">
        <v>14</v>
      </c>
      <c r="B164" s="220">
        <f>IF(TRIM('Initiative Tracker'!A14)="","",IF(COUNTIF($K$2:$K$151,10)&gt;0,"",TRIM('Initiative Tracker'!A14)))</f>
        <v/>
      </c>
      <c r="C164" s="220">
        <f>IF($B164="","",'Initiative Tracker'!D14)</f>
        <v/>
      </c>
      <c r="D164" s="220">
        <f>IF($B164="","","(Tracker only — no Weekly row)")</f>
        <v/>
      </c>
      <c r="E164" s="220">
        <f>IF($B164="","",TRIM('Initiative Tracker'!B14))</f>
        <v/>
      </c>
      <c r="F164" s="220">
        <f>IF($B164="","",'Initiative Tracker'!C14)</f>
        <v/>
      </c>
      <c r="G164" s="221">
        <f>""</f>
        <v/>
      </c>
      <c r="H164" s="221">
        <f>""</f>
        <v/>
      </c>
      <c r="I164" s="221">
        <f>IF($Q164&lt;&gt;"",IF($P164&lt;&gt;"",$P164,$Q164),IF($P164&lt;&gt;"",$P164,""))</f>
        <v/>
      </c>
      <c r="J164" s="221">
        <f>IF($Q164&lt;&gt;"",EOMONTH($Q164,0),IF($P164&lt;&gt;"",EOMONTH($P164,0),""))</f>
        <v/>
      </c>
      <c r="K164" s="220">
        <f>IF($B164="","",10)</f>
        <v/>
      </c>
      <c r="L164" s="220">
        <f>IF($B164="","",100)</f>
        <v/>
      </c>
      <c r="M164" s="220">
        <f>IF($B164="","",IFERROR(MATCH($F164,'Control (Don’t Touch)'!$B$4:$B$30,0),99))</f>
        <v/>
      </c>
      <c r="N164" s="220">
        <f>IF($B164="","",$L164*1000000+$M164*10000+ROW())</f>
        <v/>
      </c>
      <c r="O164" s="220">
        <f>IF($B164="","",COUNTIF($N$2:$N$205,"&lt;"&amp;$N164)+1)</f>
        <v/>
      </c>
      <c r="P164" s="221">
        <f>IF($B164="","",IFERROR(DATE(IFERROR(VALUE(RIGHT(TRIM('Initiative Tracker'!G14),4)),YEAR(TODAY())),MATCH(LEFT(TRIM('Initiative Tracker'!G14),3),$U$2:$U$13,0),1),""))</f>
        <v/>
      </c>
      <c r="Q164" s="221">
        <f>IF($B164="","",IFERROR(DATE(IFERROR(VALUE(RIGHT(TRIM('Initiative Tracker'!H14),4)),YEAR(TODAY())),MATCH(LEFT(TRIM('Initiative Tracker'!H14),3),$U$2:$U$13,0),1),""))</f>
        <v/>
      </c>
    </row>
    <row r="165">
      <c r="A165" s="220" t="n">
        <v>15</v>
      </c>
      <c r="B165" s="220">
        <f>IF(TRIM('Initiative Tracker'!A15)="","",IF(COUNTIF($K$2:$K$151,11)&gt;0,"",TRIM('Initiative Tracker'!A15)))</f>
        <v/>
      </c>
      <c r="C165" s="220">
        <f>IF($B165="","",'Initiative Tracker'!D15)</f>
        <v/>
      </c>
      <c r="D165" s="220">
        <f>IF($B165="","","(Tracker only — no Weekly row)")</f>
        <v/>
      </c>
      <c r="E165" s="220">
        <f>IF($B165="","",TRIM('Initiative Tracker'!B15))</f>
        <v/>
      </c>
      <c r="F165" s="220">
        <f>IF($B165="","",'Initiative Tracker'!C15)</f>
        <v/>
      </c>
      <c r="G165" s="221">
        <f>""</f>
        <v/>
      </c>
      <c r="H165" s="221">
        <f>""</f>
        <v/>
      </c>
      <c r="I165" s="221">
        <f>IF($Q165&lt;&gt;"",IF($P165&lt;&gt;"",$P165,$Q165),IF($P165&lt;&gt;"",$P165,""))</f>
        <v/>
      </c>
      <c r="J165" s="221">
        <f>IF($Q165&lt;&gt;"",EOMONTH($Q165,0),IF($P165&lt;&gt;"",EOMONTH($P165,0),""))</f>
        <v/>
      </c>
      <c r="K165" s="220">
        <f>IF($B165="","",11)</f>
        <v/>
      </c>
      <c r="L165" s="220">
        <f>IF($B165="","",100)</f>
        <v/>
      </c>
      <c r="M165" s="220">
        <f>IF($B165="","",IFERROR(MATCH($F165,'Control (Don’t Touch)'!$B$4:$B$30,0),99))</f>
        <v/>
      </c>
      <c r="N165" s="220">
        <f>IF($B165="","",$L165*1000000+$M165*10000+ROW())</f>
        <v/>
      </c>
      <c r="O165" s="220">
        <f>IF($B165="","",COUNTIF($N$2:$N$205,"&lt;"&amp;$N165)+1)</f>
        <v/>
      </c>
      <c r="P165" s="221">
        <f>IF($B165="","",IFERROR(DATE(IFERROR(VALUE(RIGHT(TRIM('Initiative Tracker'!G15),4)),YEAR(TODAY())),MATCH(LEFT(TRIM('Initiative Tracker'!G15),3),$U$2:$U$13,0),1),""))</f>
        <v/>
      </c>
      <c r="Q165" s="221">
        <f>IF($B165="","",IFERROR(DATE(IFERROR(VALUE(RIGHT(TRIM('Initiative Tracker'!H15),4)),YEAR(TODAY())),MATCH(LEFT(TRIM('Initiative Tracker'!H15),3),$U$2:$U$13,0),1),""))</f>
        <v/>
      </c>
    </row>
    <row r="166">
      <c r="A166" s="220" t="n">
        <v>16</v>
      </c>
      <c r="B166" s="220">
        <f>IF(TRIM('Initiative Tracker'!A16)="","",IF(COUNTIF($K$2:$K$151,12)&gt;0,"",TRIM('Initiative Tracker'!A16)))</f>
        <v/>
      </c>
      <c r="C166" s="220">
        <f>IF($B166="","",'Initiative Tracker'!D16)</f>
        <v/>
      </c>
      <c r="D166" s="220">
        <f>IF($B166="","","(Tracker only — no Weekly row)")</f>
        <v/>
      </c>
      <c r="E166" s="220">
        <f>IF($B166="","",TRIM('Initiative Tracker'!B16))</f>
        <v/>
      </c>
      <c r="F166" s="220">
        <f>IF($B166="","",'Initiative Tracker'!C16)</f>
        <v/>
      </c>
      <c r="G166" s="221">
        <f>""</f>
        <v/>
      </c>
      <c r="H166" s="221">
        <f>""</f>
        <v/>
      </c>
      <c r="I166" s="221">
        <f>IF($Q166&lt;&gt;"",IF($P166&lt;&gt;"",$P166,$Q166),IF($P166&lt;&gt;"",$P166,""))</f>
        <v/>
      </c>
      <c r="J166" s="221">
        <f>IF($Q166&lt;&gt;"",EOMONTH($Q166,0),IF($P166&lt;&gt;"",EOMONTH($P166,0),""))</f>
        <v/>
      </c>
      <c r="K166" s="220">
        <f>IF($B166="","",12)</f>
        <v/>
      </c>
      <c r="L166" s="220">
        <f>IF($B166="","",100)</f>
        <v/>
      </c>
      <c r="M166" s="220">
        <f>IF($B166="","",IFERROR(MATCH($F166,'Control (Don’t Touch)'!$B$4:$B$30,0),99))</f>
        <v/>
      </c>
      <c r="N166" s="220">
        <f>IF($B166="","",$L166*1000000+$M166*10000+ROW())</f>
        <v/>
      </c>
      <c r="O166" s="220">
        <f>IF($B166="","",COUNTIF($N$2:$N$205,"&lt;"&amp;$N166)+1)</f>
        <v/>
      </c>
      <c r="P166" s="221">
        <f>IF($B166="","",IFERROR(DATE(IFERROR(VALUE(RIGHT(TRIM('Initiative Tracker'!G16),4)),YEAR(TODAY())),MATCH(LEFT(TRIM('Initiative Tracker'!G16),3),$U$2:$U$13,0),1),""))</f>
        <v/>
      </c>
      <c r="Q166" s="221">
        <f>IF($B166="","",IFERROR(DATE(IFERROR(VALUE(RIGHT(TRIM('Initiative Tracker'!H16),4)),YEAR(TODAY())),MATCH(LEFT(TRIM('Initiative Tracker'!H16),3),$U$2:$U$13,0),1),""))</f>
        <v/>
      </c>
    </row>
    <row r="167">
      <c r="A167" s="220" t="n">
        <v>17</v>
      </c>
      <c r="B167" s="220">
        <f>IF(TRIM('Initiative Tracker'!A17)="","",IF(COUNTIF($K$2:$K$151,13)&gt;0,"",TRIM('Initiative Tracker'!A17)))</f>
        <v/>
      </c>
      <c r="C167" s="220">
        <f>IF($B167="","",'Initiative Tracker'!D17)</f>
        <v/>
      </c>
      <c r="D167" s="220">
        <f>IF($B167="","","(Tracker only — no Weekly row)")</f>
        <v/>
      </c>
      <c r="E167" s="220">
        <f>IF($B167="","",TRIM('Initiative Tracker'!B17))</f>
        <v/>
      </c>
      <c r="F167" s="220">
        <f>IF($B167="","",'Initiative Tracker'!C17)</f>
        <v/>
      </c>
      <c r="G167" s="221">
        <f>""</f>
        <v/>
      </c>
      <c r="H167" s="221">
        <f>""</f>
        <v/>
      </c>
      <c r="I167" s="221">
        <f>IF($Q167&lt;&gt;"",IF($P167&lt;&gt;"",$P167,$Q167),IF($P167&lt;&gt;"",$P167,""))</f>
        <v/>
      </c>
      <c r="J167" s="221">
        <f>IF($Q167&lt;&gt;"",EOMONTH($Q167,0),IF($P167&lt;&gt;"",EOMONTH($P167,0),""))</f>
        <v/>
      </c>
      <c r="K167" s="220">
        <f>IF($B167="","",13)</f>
        <v/>
      </c>
      <c r="L167" s="220">
        <f>IF($B167="","",100)</f>
        <v/>
      </c>
      <c r="M167" s="220">
        <f>IF($B167="","",IFERROR(MATCH($F167,'Control (Don’t Touch)'!$B$4:$B$30,0),99))</f>
        <v/>
      </c>
      <c r="N167" s="220">
        <f>IF($B167="","",$L167*1000000+$M167*10000+ROW())</f>
        <v/>
      </c>
      <c r="O167" s="220">
        <f>IF($B167="","",COUNTIF($N$2:$N$205,"&lt;"&amp;$N167)+1)</f>
        <v/>
      </c>
      <c r="P167" s="221">
        <f>IF($B167="","",IFERROR(DATE(IFERROR(VALUE(RIGHT(TRIM('Initiative Tracker'!G17),4)),YEAR(TODAY())),MATCH(LEFT(TRIM('Initiative Tracker'!G17),3),$U$2:$U$13,0),1),""))</f>
        <v/>
      </c>
      <c r="Q167" s="221">
        <f>IF($B167="","",IFERROR(DATE(IFERROR(VALUE(RIGHT(TRIM('Initiative Tracker'!H17),4)),YEAR(TODAY())),MATCH(LEFT(TRIM('Initiative Tracker'!H17),3),$U$2:$U$13,0),1),""))</f>
        <v/>
      </c>
    </row>
    <row r="168">
      <c r="A168" s="220" t="n">
        <v>18</v>
      </c>
      <c r="B168" s="220">
        <f>IF(TRIM('Initiative Tracker'!A18)="","",IF(COUNTIF($K$2:$K$151,14)&gt;0,"",TRIM('Initiative Tracker'!A18)))</f>
        <v/>
      </c>
      <c r="C168" s="220">
        <f>IF($B168="","",'Initiative Tracker'!D18)</f>
        <v/>
      </c>
      <c r="D168" s="220">
        <f>IF($B168="","","(Tracker only — no Weekly row)")</f>
        <v/>
      </c>
      <c r="E168" s="220">
        <f>IF($B168="","",TRIM('Initiative Tracker'!B18))</f>
        <v/>
      </c>
      <c r="F168" s="220">
        <f>IF($B168="","",'Initiative Tracker'!C18)</f>
        <v/>
      </c>
      <c r="G168" s="221">
        <f>""</f>
        <v/>
      </c>
      <c r="H168" s="221">
        <f>""</f>
        <v/>
      </c>
      <c r="I168" s="221">
        <f>IF($Q168&lt;&gt;"",IF($P168&lt;&gt;"",$P168,$Q168),IF($P168&lt;&gt;"",$P168,""))</f>
        <v/>
      </c>
      <c r="J168" s="221">
        <f>IF($Q168&lt;&gt;"",EOMONTH($Q168,0),IF($P168&lt;&gt;"",EOMONTH($P168,0),""))</f>
        <v/>
      </c>
      <c r="K168" s="220">
        <f>IF($B168="","",14)</f>
        <v/>
      </c>
      <c r="L168" s="220">
        <f>IF($B168="","",100)</f>
        <v/>
      </c>
      <c r="M168" s="220">
        <f>IF($B168="","",IFERROR(MATCH($F168,'Control (Don’t Touch)'!$B$4:$B$30,0),99))</f>
        <v/>
      </c>
      <c r="N168" s="220">
        <f>IF($B168="","",$L168*1000000+$M168*10000+ROW())</f>
        <v/>
      </c>
      <c r="O168" s="220">
        <f>IF($B168="","",COUNTIF($N$2:$N$205,"&lt;"&amp;$N168)+1)</f>
        <v/>
      </c>
      <c r="P168" s="221">
        <f>IF($B168="","",IFERROR(DATE(IFERROR(VALUE(RIGHT(TRIM('Initiative Tracker'!G18),4)),YEAR(TODAY())),MATCH(LEFT(TRIM('Initiative Tracker'!G18),3),$U$2:$U$13,0),1),""))</f>
        <v/>
      </c>
      <c r="Q168" s="221">
        <f>IF($B168="","",IFERROR(DATE(IFERROR(VALUE(RIGHT(TRIM('Initiative Tracker'!H18),4)),YEAR(TODAY())),MATCH(LEFT(TRIM('Initiative Tracker'!H18),3),$U$2:$U$13,0),1),""))</f>
        <v/>
      </c>
    </row>
    <row r="169">
      <c r="A169" s="220" t="n">
        <v>19</v>
      </c>
      <c r="B169" s="220">
        <f>IF(TRIM('Initiative Tracker'!A19)="","",IF(COUNTIF($K$2:$K$151,15)&gt;0,"",TRIM('Initiative Tracker'!A19)))</f>
        <v/>
      </c>
      <c r="C169" s="220">
        <f>IF($B169="","",'Initiative Tracker'!D19)</f>
        <v/>
      </c>
      <c r="D169" s="220">
        <f>IF($B169="","","(Tracker only — no Weekly row)")</f>
        <v/>
      </c>
      <c r="E169" s="220">
        <f>IF($B169="","",TRIM('Initiative Tracker'!B19))</f>
        <v/>
      </c>
      <c r="F169" s="220">
        <f>IF($B169="","",'Initiative Tracker'!C19)</f>
        <v/>
      </c>
      <c r="G169" s="221">
        <f>""</f>
        <v/>
      </c>
      <c r="H169" s="221">
        <f>""</f>
        <v/>
      </c>
      <c r="I169" s="221">
        <f>IF($Q169&lt;&gt;"",IF($P169&lt;&gt;"",$P169,$Q169),IF($P169&lt;&gt;"",$P169,""))</f>
        <v/>
      </c>
      <c r="J169" s="221">
        <f>IF($Q169&lt;&gt;"",EOMONTH($Q169,0),IF($P169&lt;&gt;"",EOMONTH($P169,0),""))</f>
        <v/>
      </c>
      <c r="K169" s="220">
        <f>IF($B169="","",15)</f>
        <v/>
      </c>
      <c r="L169" s="220">
        <f>IF($B169="","",100)</f>
        <v/>
      </c>
      <c r="M169" s="220">
        <f>IF($B169="","",IFERROR(MATCH($F169,'Control (Don’t Touch)'!$B$4:$B$30,0),99))</f>
        <v/>
      </c>
      <c r="N169" s="220">
        <f>IF($B169="","",$L169*1000000+$M169*10000+ROW())</f>
        <v/>
      </c>
      <c r="O169" s="220">
        <f>IF($B169="","",COUNTIF($N$2:$N$205,"&lt;"&amp;$N169)+1)</f>
        <v/>
      </c>
      <c r="P169" s="221">
        <f>IF($B169="","",IFERROR(DATE(IFERROR(VALUE(RIGHT(TRIM('Initiative Tracker'!G19),4)),YEAR(TODAY())),MATCH(LEFT(TRIM('Initiative Tracker'!G19),3),$U$2:$U$13,0),1),""))</f>
        <v/>
      </c>
      <c r="Q169" s="221">
        <f>IF($B169="","",IFERROR(DATE(IFERROR(VALUE(RIGHT(TRIM('Initiative Tracker'!H19),4)),YEAR(TODAY())),MATCH(LEFT(TRIM('Initiative Tracker'!H19),3),$U$2:$U$13,0),1),""))</f>
        <v/>
      </c>
    </row>
    <row r="170">
      <c r="A170" s="220" t="n">
        <v>20</v>
      </c>
      <c r="B170" s="220">
        <f>IF(TRIM('Initiative Tracker'!A20)="","",IF(COUNTIF($K$2:$K$151,16)&gt;0,"",TRIM('Initiative Tracker'!A20)))</f>
        <v/>
      </c>
      <c r="C170" s="220">
        <f>IF($B170="","",'Initiative Tracker'!D20)</f>
        <v/>
      </c>
      <c r="D170" s="220">
        <f>IF($B170="","","(Tracker only — no Weekly row)")</f>
        <v/>
      </c>
      <c r="E170" s="220">
        <f>IF($B170="","",TRIM('Initiative Tracker'!B20))</f>
        <v/>
      </c>
      <c r="F170" s="220">
        <f>IF($B170="","",'Initiative Tracker'!C20)</f>
        <v/>
      </c>
      <c r="G170" s="221">
        <f>""</f>
        <v/>
      </c>
      <c r="H170" s="221">
        <f>""</f>
        <v/>
      </c>
      <c r="I170" s="221">
        <f>IF($Q170&lt;&gt;"",IF($P170&lt;&gt;"",$P170,$Q170),IF($P170&lt;&gt;"",$P170,""))</f>
        <v/>
      </c>
      <c r="J170" s="221">
        <f>IF($Q170&lt;&gt;"",EOMONTH($Q170,0),IF($P170&lt;&gt;"",EOMONTH($P170,0),""))</f>
        <v/>
      </c>
      <c r="K170" s="220">
        <f>IF($B170="","",16)</f>
        <v/>
      </c>
      <c r="L170" s="220">
        <f>IF($B170="","",100)</f>
        <v/>
      </c>
      <c r="M170" s="220">
        <f>IF($B170="","",IFERROR(MATCH($F170,'Control (Don’t Touch)'!$B$4:$B$30,0),99))</f>
        <v/>
      </c>
      <c r="N170" s="220">
        <f>IF($B170="","",$L170*1000000+$M170*10000+ROW())</f>
        <v/>
      </c>
      <c r="O170" s="220">
        <f>IF($B170="","",COUNTIF($N$2:$N$205,"&lt;"&amp;$N170)+1)</f>
        <v/>
      </c>
      <c r="P170" s="221">
        <f>IF($B170="","",IFERROR(DATE(IFERROR(VALUE(RIGHT(TRIM('Initiative Tracker'!G20),4)),YEAR(TODAY())),MATCH(LEFT(TRIM('Initiative Tracker'!G20),3),$U$2:$U$13,0),1),""))</f>
        <v/>
      </c>
      <c r="Q170" s="221">
        <f>IF($B170="","",IFERROR(DATE(IFERROR(VALUE(RIGHT(TRIM('Initiative Tracker'!H20),4)),YEAR(TODAY())),MATCH(LEFT(TRIM('Initiative Tracker'!H20),3),$U$2:$U$13,0),1),""))</f>
        <v/>
      </c>
    </row>
    <row r="171">
      <c r="A171" s="220" t="n">
        <v>21</v>
      </c>
      <c r="B171" s="220">
        <f>IF(TRIM('Initiative Tracker'!A21)="","",IF(COUNTIF($K$2:$K$151,17)&gt;0,"",TRIM('Initiative Tracker'!A21)))</f>
        <v/>
      </c>
      <c r="C171" s="220">
        <f>IF($B171="","",'Initiative Tracker'!D21)</f>
        <v/>
      </c>
      <c r="D171" s="220">
        <f>IF($B171="","","(Tracker only — no Weekly row)")</f>
        <v/>
      </c>
      <c r="E171" s="220">
        <f>IF($B171="","",TRIM('Initiative Tracker'!B21))</f>
        <v/>
      </c>
      <c r="F171" s="220">
        <f>IF($B171="","",'Initiative Tracker'!C21)</f>
        <v/>
      </c>
      <c r="G171" s="221">
        <f>""</f>
        <v/>
      </c>
      <c r="H171" s="221">
        <f>""</f>
        <v/>
      </c>
      <c r="I171" s="221">
        <f>IF($Q171&lt;&gt;"",IF($P171&lt;&gt;"",$P171,$Q171),IF($P171&lt;&gt;"",$P171,""))</f>
        <v/>
      </c>
      <c r="J171" s="221">
        <f>IF($Q171&lt;&gt;"",EOMONTH($Q171,0),IF($P171&lt;&gt;"",EOMONTH($P171,0),""))</f>
        <v/>
      </c>
      <c r="K171" s="220">
        <f>IF($B171="","",17)</f>
        <v/>
      </c>
      <c r="L171" s="220">
        <f>IF($B171="","",100)</f>
        <v/>
      </c>
      <c r="M171" s="220">
        <f>IF($B171="","",IFERROR(MATCH($F171,'Control (Don’t Touch)'!$B$4:$B$30,0),99))</f>
        <v/>
      </c>
      <c r="N171" s="220">
        <f>IF($B171="","",$L171*1000000+$M171*10000+ROW())</f>
        <v/>
      </c>
      <c r="O171" s="220">
        <f>IF($B171="","",COUNTIF($N$2:$N$205,"&lt;"&amp;$N171)+1)</f>
        <v/>
      </c>
      <c r="P171" s="221">
        <f>IF($B171="","",IFERROR(DATE(IFERROR(VALUE(RIGHT(TRIM('Initiative Tracker'!G21),4)),YEAR(TODAY())),MATCH(LEFT(TRIM('Initiative Tracker'!G21),3),$U$2:$U$13,0),1),""))</f>
        <v/>
      </c>
      <c r="Q171" s="221">
        <f>IF($B171="","",IFERROR(DATE(IFERROR(VALUE(RIGHT(TRIM('Initiative Tracker'!H21),4)),YEAR(TODAY())),MATCH(LEFT(TRIM('Initiative Tracker'!H21),3),$U$2:$U$13,0),1),""))</f>
        <v/>
      </c>
    </row>
    <row r="172">
      <c r="A172" s="220" t="n">
        <v>22</v>
      </c>
      <c r="B172" s="220">
        <f>IF(TRIM('Initiative Tracker'!A22)="","",IF(COUNTIF($K$2:$K$151,18)&gt;0,"",TRIM('Initiative Tracker'!A22)))</f>
        <v/>
      </c>
      <c r="C172" s="220">
        <f>IF($B172="","",'Initiative Tracker'!D22)</f>
        <v/>
      </c>
      <c r="D172" s="220">
        <f>IF($B172="","","(Tracker only — no Weekly row)")</f>
        <v/>
      </c>
      <c r="E172" s="220">
        <f>IF($B172="","",TRIM('Initiative Tracker'!B22))</f>
        <v/>
      </c>
      <c r="F172" s="220">
        <f>IF($B172="","",'Initiative Tracker'!C22)</f>
        <v/>
      </c>
      <c r="G172" s="221">
        <f>""</f>
        <v/>
      </c>
      <c r="H172" s="221">
        <f>""</f>
        <v/>
      </c>
      <c r="I172" s="221">
        <f>IF($Q172&lt;&gt;"",IF($P172&lt;&gt;"",$P172,$Q172),IF($P172&lt;&gt;"",$P172,""))</f>
        <v/>
      </c>
      <c r="J172" s="221">
        <f>IF($Q172&lt;&gt;"",EOMONTH($Q172,0),IF($P172&lt;&gt;"",EOMONTH($P172,0),""))</f>
        <v/>
      </c>
      <c r="K172" s="220">
        <f>IF($B172="","",18)</f>
        <v/>
      </c>
      <c r="L172" s="220">
        <f>IF($B172="","",100)</f>
        <v/>
      </c>
      <c r="M172" s="220">
        <f>IF($B172="","",IFERROR(MATCH($F172,'Control (Don’t Touch)'!$B$4:$B$30,0),99))</f>
        <v/>
      </c>
      <c r="N172" s="220">
        <f>IF($B172="","",$L172*1000000+$M172*10000+ROW())</f>
        <v/>
      </c>
      <c r="O172" s="220">
        <f>IF($B172="","",COUNTIF($N$2:$N$205,"&lt;"&amp;$N172)+1)</f>
        <v/>
      </c>
      <c r="P172" s="221">
        <f>IF($B172="","",IFERROR(DATE(IFERROR(VALUE(RIGHT(TRIM('Initiative Tracker'!G22),4)),YEAR(TODAY())),MATCH(LEFT(TRIM('Initiative Tracker'!G22),3),$U$2:$U$13,0),1),""))</f>
        <v/>
      </c>
      <c r="Q172" s="221">
        <f>IF($B172="","",IFERROR(DATE(IFERROR(VALUE(RIGHT(TRIM('Initiative Tracker'!H22),4)),YEAR(TODAY())),MATCH(LEFT(TRIM('Initiative Tracker'!H22),3),$U$2:$U$13,0),1),""))</f>
        <v/>
      </c>
    </row>
    <row r="173">
      <c r="A173" s="220" t="n">
        <v>23</v>
      </c>
      <c r="B173" s="220">
        <f>IF(TRIM('Initiative Tracker'!A23)="","",IF(COUNTIF($K$2:$K$151,19)&gt;0,"",TRIM('Initiative Tracker'!A23)))</f>
        <v/>
      </c>
      <c r="C173" s="220">
        <f>IF($B173="","",'Initiative Tracker'!D23)</f>
        <v/>
      </c>
      <c r="D173" s="220">
        <f>IF($B173="","","(Tracker only — no Weekly row)")</f>
        <v/>
      </c>
      <c r="E173" s="220">
        <f>IF($B173="","",TRIM('Initiative Tracker'!B23))</f>
        <v/>
      </c>
      <c r="F173" s="220">
        <f>IF($B173="","",'Initiative Tracker'!C23)</f>
        <v/>
      </c>
      <c r="G173" s="221">
        <f>""</f>
        <v/>
      </c>
      <c r="H173" s="221">
        <f>""</f>
        <v/>
      </c>
      <c r="I173" s="221">
        <f>IF($Q173&lt;&gt;"",IF($P173&lt;&gt;"",$P173,$Q173),IF($P173&lt;&gt;"",$P173,""))</f>
        <v/>
      </c>
      <c r="J173" s="221">
        <f>IF($Q173&lt;&gt;"",EOMONTH($Q173,0),IF($P173&lt;&gt;"",EOMONTH($P173,0),""))</f>
        <v/>
      </c>
      <c r="K173" s="220">
        <f>IF($B173="","",19)</f>
        <v/>
      </c>
      <c r="L173" s="220">
        <f>IF($B173="","",100)</f>
        <v/>
      </c>
      <c r="M173" s="220">
        <f>IF($B173="","",IFERROR(MATCH($F173,'Control (Don’t Touch)'!$B$4:$B$30,0),99))</f>
        <v/>
      </c>
      <c r="N173" s="220">
        <f>IF($B173="","",$L173*1000000+$M173*10000+ROW())</f>
        <v/>
      </c>
      <c r="O173" s="220">
        <f>IF($B173="","",COUNTIF($N$2:$N$205,"&lt;"&amp;$N173)+1)</f>
        <v/>
      </c>
      <c r="P173" s="221">
        <f>IF($B173="","",IFERROR(DATE(IFERROR(VALUE(RIGHT(TRIM('Initiative Tracker'!G23),4)),YEAR(TODAY())),MATCH(LEFT(TRIM('Initiative Tracker'!G23),3),$U$2:$U$13,0),1),""))</f>
        <v/>
      </c>
      <c r="Q173" s="221">
        <f>IF($B173="","",IFERROR(DATE(IFERROR(VALUE(RIGHT(TRIM('Initiative Tracker'!H23),4)),YEAR(TODAY())),MATCH(LEFT(TRIM('Initiative Tracker'!H23),3),$U$2:$U$13,0),1),""))</f>
        <v/>
      </c>
    </row>
    <row r="174">
      <c r="A174" s="220" t="n">
        <v>24</v>
      </c>
      <c r="B174" s="220">
        <f>IF(TRIM('Initiative Tracker'!A24)="","",IF(COUNTIF($K$2:$K$151,20)&gt;0,"",TRIM('Initiative Tracker'!A24)))</f>
        <v/>
      </c>
      <c r="C174" s="220">
        <f>IF($B174="","",'Initiative Tracker'!D24)</f>
        <v/>
      </c>
      <c r="D174" s="220">
        <f>IF($B174="","","(Tracker only — no Weekly row)")</f>
        <v/>
      </c>
      <c r="E174" s="220">
        <f>IF($B174="","",TRIM('Initiative Tracker'!B24))</f>
        <v/>
      </c>
      <c r="F174" s="220">
        <f>IF($B174="","",'Initiative Tracker'!C24)</f>
        <v/>
      </c>
      <c r="G174" s="221">
        <f>""</f>
        <v/>
      </c>
      <c r="H174" s="221">
        <f>""</f>
        <v/>
      </c>
      <c r="I174" s="221">
        <f>IF($Q174&lt;&gt;"",IF($P174&lt;&gt;"",$P174,$Q174),IF($P174&lt;&gt;"",$P174,""))</f>
        <v/>
      </c>
      <c r="J174" s="221">
        <f>IF($Q174&lt;&gt;"",EOMONTH($Q174,0),IF($P174&lt;&gt;"",EOMONTH($P174,0),""))</f>
        <v/>
      </c>
      <c r="K174" s="220">
        <f>IF($B174="","",20)</f>
        <v/>
      </c>
      <c r="L174" s="220">
        <f>IF($B174="","",100)</f>
        <v/>
      </c>
      <c r="M174" s="220">
        <f>IF($B174="","",IFERROR(MATCH($F174,'Control (Don’t Touch)'!$B$4:$B$30,0),99))</f>
        <v/>
      </c>
      <c r="N174" s="220">
        <f>IF($B174="","",$L174*1000000+$M174*10000+ROW())</f>
        <v/>
      </c>
      <c r="O174" s="220">
        <f>IF($B174="","",COUNTIF($N$2:$N$205,"&lt;"&amp;$N174)+1)</f>
        <v/>
      </c>
      <c r="P174" s="221">
        <f>IF($B174="","",IFERROR(DATE(IFERROR(VALUE(RIGHT(TRIM('Initiative Tracker'!G24),4)),YEAR(TODAY())),MATCH(LEFT(TRIM('Initiative Tracker'!G24),3),$U$2:$U$13,0),1),""))</f>
        <v/>
      </c>
      <c r="Q174" s="221">
        <f>IF($B174="","",IFERROR(DATE(IFERROR(VALUE(RIGHT(TRIM('Initiative Tracker'!H24),4)),YEAR(TODAY())),MATCH(LEFT(TRIM('Initiative Tracker'!H24),3),$U$2:$U$13,0),1),""))</f>
        <v/>
      </c>
    </row>
    <row r="175">
      <c r="A175" s="220" t="n">
        <v>25</v>
      </c>
      <c r="B175" s="220">
        <f>IF(TRIM('Initiative Tracker'!A25)="","",IF(COUNTIF($K$2:$K$151,21)&gt;0,"",TRIM('Initiative Tracker'!A25)))</f>
        <v/>
      </c>
      <c r="C175" s="220">
        <f>IF($B175="","",'Initiative Tracker'!D25)</f>
        <v/>
      </c>
      <c r="D175" s="220">
        <f>IF($B175="","","(Tracker only — no Weekly row)")</f>
        <v/>
      </c>
      <c r="E175" s="220">
        <f>IF($B175="","",TRIM('Initiative Tracker'!B25))</f>
        <v/>
      </c>
      <c r="F175" s="220">
        <f>IF($B175="","",'Initiative Tracker'!C25)</f>
        <v/>
      </c>
      <c r="G175" s="221">
        <f>""</f>
        <v/>
      </c>
      <c r="H175" s="221">
        <f>""</f>
        <v/>
      </c>
      <c r="I175" s="221">
        <f>IF($Q175&lt;&gt;"",IF($P175&lt;&gt;"",$P175,$Q175),IF($P175&lt;&gt;"",$P175,""))</f>
        <v/>
      </c>
      <c r="J175" s="221">
        <f>IF($Q175&lt;&gt;"",EOMONTH($Q175,0),IF($P175&lt;&gt;"",EOMONTH($P175,0),""))</f>
        <v/>
      </c>
      <c r="K175" s="220">
        <f>IF($B175="","",21)</f>
        <v/>
      </c>
      <c r="L175" s="220">
        <f>IF($B175="","",100)</f>
        <v/>
      </c>
      <c r="M175" s="220">
        <f>IF($B175="","",IFERROR(MATCH($F175,'Control (Don’t Touch)'!$B$4:$B$30,0),99))</f>
        <v/>
      </c>
      <c r="N175" s="220">
        <f>IF($B175="","",$L175*1000000+$M175*10000+ROW())</f>
        <v/>
      </c>
      <c r="O175" s="220">
        <f>IF($B175="","",COUNTIF($N$2:$N$205,"&lt;"&amp;$N175)+1)</f>
        <v/>
      </c>
      <c r="P175" s="221">
        <f>IF($B175="","",IFERROR(DATE(IFERROR(VALUE(RIGHT(TRIM('Initiative Tracker'!G25),4)),YEAR(TODAY())),MATCH(LEFT(TRIM('Initiative Tracker'!G25),3),$U$2:$U$13,0),1),""))</f>
        <v/>
      </c>
      <c r="Q175" s="221">
        <f>IF($B175="","",IFERROR(DATE(IFERROR(VALUE(RIGHT(TRIM('Initiative Tracker'!H25),4)),YEAR(TODAY())),MATCH(LEFT(TRIM('Initiative Tracker'!H25),3),$U$2:$U$13,0),1),""))</f>
        <v/>
      </c>
    </row>
    <row r="176">
      <c r="A176" s="220" t="n">
        <v>26</v>
      </c>
      <c r="B176" s="220">
        <f>IF(TRIM('Initiative Tracker'!A26)="","",IF(COUNTIF($K$2:$K$151,22)&gt;0,"",TRIM('Initiative Tracker'!A26)))</f>
        <v/>
      </c>
      <c r="C176" s="220">
        <f>IF($B176="","",'Initiative Tracker'!D26)</f>
        <v/>
      </c>
      <c r="D176" s="220">
        <f>IF($B176="","","(Tracker only — no Weekly row)")</f>
        <v/>
      </c>
      <c r="E176" s="220">
        <f>IF($B176="","",TRIM('Initiative Tracker'!B26))</f>
        <v/>
      </c>
      <c r="F176" s="220">
        <f>IF($B176="","",'Initiative Tracker'!C26)</f>
        <v/>
      </c>
      <c r="G176" s="221">
        <f>""</f>
        <v/>
      </c>
      <c r="H176" s="221">
        <f>""</f>
        <v/>
      </c>
      <c r="I176" s="221">
        <f>IF($Q176&lt;&gt;"",IF($P176&lt;&gt;"",$P176,$Q176),IF($P176&lt;&gt;"",$P176,""))</f>
        <v/>
      </c>
      <c r="J176" s="221">
        <f>IF($Q176&lt;&gt;"",EOMONTH($Q176,0),IF($P176&lt;&gt;"",EOMONTH($P176,0),""))</f>
        <v/>
      </c>
      <c r="K176" s="220">
        <f>IF($B176="","",22)</f>
        <v/>
      </c>
      <c r="L176" s="220">
        <f>IF($B176="","",100)</f>
        <v/>
      </c>
      <c r="M176" s="220">
        <f>IF($B176="","",IFERROR(MATCH($F176,'Control (Don’t Touch)'!$B$4:$B$30,0),99))</f>
        <v/>
      </c>
      <c r="N176" s="220">
        <f>IF($B176="","",$L176*1000000+$M176*10000+ROW())</f>
        <v/>
      </c>
      <c r="O176" s="220">
        <f>IF($B176="","",COUNTIF($N$2:$N$205,"&lt;"&amp;$N176)+1)</f>
        <v/>
      </c>
      <c r="P176" s="221">
        <f>IF($B176="","",IFERROR(DATE(IFERROR(VALUE(RIGHT(TRIM('Initiative Tracker'!G26),4)),YEAR(TODAY())),MATCH(LEFT(TRIM('Initiative Tracker'!G26),3),$U$2:$U$13,0),1),""))</f>
        <v/>
      </c>
      <c r="Q176" s="221">
        <f>IF($B176="","",IFERROR(DATE(IFERROR(VALUE(RIGHT(TRIM('Initiative Tracker'!H26),4)),YEAR(TODAY())),MATCH(LEFT(TRIM('Initiative Tracker'!H26),3),$U$2:$U$13,0),1),""))</f>
        <v/>
      </c>
    </row>
    <row r="177">
      <c r="A177" s="220" t="n">
        <v>27</v>
      </c>
      <c r="B177" s="220">
        <f>IF(TRIM('Initiative Tracker'!A27)="","",IF(COUNTIF($K$2:$K$151,23)&gt;0,"",TRIM('Initiative Tracker'!A27)))</f>
        <v/>
      </c>
      <c r="C177" s="220">
        <f>IF($B177="","",'Initiative Tracker'!D27)</f>
        <v/>
      </c>
      <c r="D177" s="220">
        <f>IF($B177="","","(Tracker only — no Weekly row)")</f>
        <v/>
      </c>
      <c r="E177" s="220">
        <f>IF($B177="","",TRIM('Initiative Tracker'!B27))</f>
        <v/>
      </c>
      <c r="F177" s="220">
        <f>IF($B177="","",'Initiative Tracker'!C27)</f>
        <v/>
      </c>
      <c r="G177" s="221">
        <f>""</f>
        <v/>
      </c>
      <c r="H177" s="221">
        <f>""</f>
        <v/>
      </c>
      <c r="I177" s="221">
        <f>IF($Q177&lt;&gt;"",IF($P177&lt;&gt;"",$P177,$Q177),IF($P177&lt;&gt;"",$P177,""))</f>
        <v/>
      </c>
      <c r="J177" s="221">
        <f>IF($Q177&lt;&gt;"",EOMONTH($Q177,0),IF($P177&lt;&gt;"",EOMONTH($P177,0),""))</f>
        <v/>
      </c>
      <c r="K177" s="220">
        <f>IF($B177="","",23)</f>
        <v/>
      </c>
      <c r="L177" s="220">
        <f>IF($B177="","",100)</f>
        <v/>
      </c>
      <c r="M177" s="220">
        <f>IF($B177="","",IFERROR(MATCH($F177,'Control (Don’t Touch)'!$B$4:$B$30,0),99))</f>
        <v/>
      </c>
      <c r="N177" s="220">
        <f>IF($B177="","",$L177*1000000+$M177*10000+ROW())</f>
        <v/>
      </c>
      <c r="O177" s="220">
        <f>IF($B177="","",COUNTIF($N$2:$N$205,"&lt;"&amp;$N177)+1)</f>
        <v/>
      </c>
      <c r="P177" s="221">
        <f>IF($B177="","",IFERROR(DATE(IFERROR(VALUE(RIGHT(TRIM('Initiative Tracker'!G27),4)),YEAR(TODAY())),MATCH(LEFT(TRIM('Initiative Tracker'!G27),3),$U$2:$U$13,0),1),""))</f>
        <v/>
      </c>
      <c r="Q177" s="221">
        <f>IF($B177="","",IFERROR(DATE(IFERROR(VALUE(RIGHT(TRIM('Initiative Tracker'!H27),4)),YEAR(TODAY())),MATCH(LEFT(TRIM('Initiative Tracker'!H27),3),$U$2:$U$13,0),1),""))</f>
        <v/>
      </c>
    </row>
    <row r="178">
      <c r="A178" s="220" t="n">
        <v>28</v>
      </c>
      <c r="B178" s="220">
        <f>IF(TRIM('Initiative Tracker'!A28)="","",IF(COUNTIF($K$2:$K$151,24)&gt;0,"",TRIM('Initiative Tracker'!A28)))</f>
        <v/>
      </c>
      <c r="C178" s="220">
        <f>IF($B178="","",'Initiative Tracker'!D28)</f>
        <v/>
      </c>
      <c r="D178" s="220">
        <f>IF($B178="","","(Tracker only — no Weekly row)")</f>
        <v/>
      </c>
      <c r="E178" s="220">
        <f>IF($B178="","",TRIM('Initiative Tracker'!B28))</f>
        <v/>
      </c>
      <c r="F178" s="220">
        <f>IF($B178="","",'Initiative Tracker'!C28)</f>
        <v/>
      </c>
      <c r="G178" s="221">
        <f>""</f>
        <v/>
      </c>
      <c r="H178" s="221">
        <f>""</f>
        <v/>
      </c>
      <c r="I178" s="221">
        <f>IF($Q178&lt;&gt;"",IF($P178&lt;&gt;"",$P178,$Q178),IF($P178&lt;&gt;"",$P178,""))</f>
        <v/>
      </c>
      <c r="J178" s="221">
        <f>IF($Q178&lt;&gt;"",EOMONTH($Q178,0),IF($P178&lt;&gt;"",EOMONTH($P178,0),""))</f>
        <v/>
      </c>
      <c r="K178" s="220">
        <f>IF($B178="","",24)</f>
        <v/>
      </c>
      <c r="L178" s="220">
        <f>IF($B178="","",100)</f>
        <v/>
      </c>
      <c r="M178" s="220">
        <f>IF($B178="","",IFERROR(MATCH($F178,'Control (Don’t Touch)'!$B$4:$B$30,0),99))</f>
        <v/>
      </c>
      <c r="N178" s="220">
        <f>IF($B178="","",$L178*1000000+$M178*10000+ROW())</f>
        <v/>
      </c>
      <c r="O178" s="220">
        <f>IF($B178="","",COUNTIF($N$2:$N$205,"&lt;"&amp;$N178)+1)</f>
        <v/>
      </c>
      <c r="P178" s="221">
        <f>IF($B178="","",IFERROR(DATE(IFERROR(VALUE(RIGHT(TRIM('Initiative Tracker'!G28),4)),YEAR(TODAY())),MATCH(LEFT(TRIM('Initiative Tracker'!G28),3),$U$2:$U$13,0),1),""))</f>
        <v/>
      </c>
      <c r="Q178" s="221">
        <f>IF($B178="","",IFERROR(DATE(IFERROR(VALUE(RIGHT(TRIM('Initiative Tracker'!H28),4)),YEAR(TODAY())),MATCH(LEFT(TRIM('Initiative Tracker'!H28),3),$U$2:$U$13,0),1),""))</f>
        <v/>
      </c>
    </row>
    <row r="179">
      <c r="A179" s="220" t="n">
        <v>29</v>
      </c>
      <c r="B179" s="220">
        <f>IF(TRIM('Initiative Tracker'!A29)="","",IF(COUNTIF($K$2:$K$151,25)&gt;0,"",TRIM('Initiative Tracker'!A29)))</f>
        <v/>
      </c>
      <c r="C179" s="220">
        <f>IF($B179="","",'Initiative Tracker'!D29)</f>
        <v/>
      </c>
      <c r="D179" s="220">
        <f>IF($B179="","","(Tracker only — no Weekly row)")</f>
        <v/>
      </c>
      <c r="E179" s="220">
        <f>IF($B179="","",TRIM('Initiative Tracker'!B29))</f>
        <v/>
      </c>
      <c r="F179" s="220">
        <f>IF($B179="","",'Initiative Tracker'!C29)</f>
        <v/>
      </c>
      <c r="G179" s="221">
        <f>""</f>
        <v/>
      </c>
      <c r="H179" s="221">
        <f>""</f>
        <v/>
      </c>
      <c r="I179" s="221">
        <f>IF($Q179&lt;&gt;"",IF($P179&lt;&gt;"",$P179,$Q179),IF($P179&lt;&gt;"",$P179,""))</f>
        <v/>
      </c>
      <c r="J179" s="221">
        <f>IF($Q179&lt;&gt;"",EOMONTH($Q179,0),IF($P179&lt;&gt;"",EOMONTH($P179,0),""))</f>
        <v/>
      </c>
      <c r="K179" s="220">
        <f>IF($B179="","",25)</f>
        <v/>
      </c>
      <c r="L179" s="220">
        <f>IF($B179="","",100)</f>
        <v/>
      </c>
      <c r="M179" s="220">
        <f>IF($B179="","",IFERROR(MATCH($F179,'Control (Don’t Touch)'!$B$4:$B$30,0),99))</f>
        <v/>
      </c>
      <c r="N179" s="220">
        <f>IF($B179="","",$L179*1000000+$M179*10000+ROW())</f>
        <v/>
      </c>
      <c r="O179" s="220">
        <f>IF($B179="","",COUNTIF($N$2:$N$205,"&lt;"&amp;$N179)+1)</f>
        <v/>
      </c>
      <c r="P179" s="221">
        <f>IF($B179="","",IFERROR(DATE(IFERROR(VALUE(RIGHT(TRIM('Initiative Tracker'!G29),4)),YEAR(TODAY())),MATCH(LEFT(TRIM('Initiative Tracker'!G29),3),$U$2:$U$13,0),1),""))</f>
        <v/>
      </c>
      <c r="Q179" s="221">
        <f>IF($B179="","",IFERROR(DATE(IFERROR(VALUE(RIGHT(TRIM('Initiative Tracker'!H29),4)),YEAR(TODAY())),MATCH(LEFT(TRIM('Initiative Tracker'!H29),3),$U$2:$U$13,0),1),""))</f>
        <v/>
      </c>
    </row>
    <row r="180">
      <c r="A180" s="220" t="n">
        <v>30</v>
      </c>
      <c r="B180" s="220">
        <f>IF(TRIM('Initiative Tracker'!A30)="","",IF(COUNTIF($K$2:$K$151,26)&gt;0,"",TRIM('Initiative Tracker'!A30)))</f>
        <v/>
      </c>
      <c r="C180" s="220">
        <f>IF($B180="","",'Initiative Tracker'!D30)</f>
        <v/>
      </c>
      <c r="D180" s="220">
        <f>IF($B180="","","(Tracker only — no Weekly row)")</f>
        <v/>
      </c>
      <c r="E180" s="220">
        <f>IF($B180="","",TRIM('Initiative Tracker'!B30))</f>
        <v/>
      </c>
      <c r="F180" s="220">
        <f>IF($B180="","",'Initiative Tracker'!C30)</f>
        <v/>
      </c>
      <c r="G180" s="221">
        <f>""</f>
        <v/>
      </c>
      <c r="H180" s="221">
        <f>""</f>
        <v/>
      </c>
      <c r="I180" s="221">
        <f>IF($Q180&lt;&gt;"",IF($P180&lt;&gt;"",$P180,$Q180),IF($P180&lt;&gt;"",$P180,""))</f>
        <v/>
      </c>
      <c r="J180" s="221">
        <f>IF($Q180&lt;&gt;"",EOMONTH($Q180,0),IF($P180&lt;&gt;"",EOMONTH($P180,0),""))</f>
        <v/>
      </c>
      <c r="K180" s="220">
        <f>IF($B180="","",26)</f>
        <v/>
      </c>
      <c r="L180" s="220">
        <f>IF($B180="","",100)</f>
        <v/>
      </c>
      <c r="M180" s="220">
        <f>IF($B180="","",IFERROR(MATCH($F180,'Control (Don’t Touch)'!$B$4:$B$30,0),99))</f>
        <v/>
      </c>
      <c r="N180" s="220">
        <f>IF($B180="","",$L180*1000000+$M180*10000+ROW())</f>
        <v/>
      </c>
      <c r="O180" s="220">
        <f>IF($B180="","",COUNTIF($N$2:$N$205,"&lt;"&amp;$N180)+1)</f>
        <v/>
      </c>
      <c r="P180" s="221">
        <f>IF($B180="","",IFERROR(DATE(IFERROR(VALUE(RIGHT(TRIM('Initiative Tracker'!G30),4)),YEAR(TODAY())),MATCH(LEFT(TRIM('Initiative Tracker'!G30),3),$U$2:$U$13,0),1),""))</f>
        <v/>
      </c>
      <c r="Q180" s="221">
        <f>IF($B180="","",IFERROR(DATE(IFERROR(VALUE(RIGHT(TRIM('Initiative Tracker'!H30),4)),YEAR(TODAY())),MATCH(LEFT(TRIM('Initiative Tracker'!H30),3),$U$2:$U$13,0),1),""))</f>
        <v/>
      </c>
    </row>
    <row r="181">
      <c r="A181" s="220" t="n">
        <v>31</v>
      </c>
      <c r="B181" s="220">
        <f>IF(TRIM('Initiative Tracker'!A31)="","",IF(COUNTIF($K$2:$K$151,27)&gt;0,"",TRIM('Initiative Tracker'!A31)))</f>
        <v/>
      </c>
      <c r="C181" s="220">
        <f>IF($B181="","",'Initiative Tracker'!D31)</f>
        <v/>
      </c>
      <c r="D181" s="220">
        <f>IF($B181="","","(Tracker only — no Weekly row)")</f>
        <v/>
      </c>
      <c r="E181" s="220">
        <f>IF($B181="","",TRIM('Initiative Tracker'!B31))</f>
        <v/>
      </c>
      <c r="F181" s="220">
        <f>IF($B181="","",'Initiative Tracker'!C31)</f>
        <v/>
      </c>
      <c r="G181" s="221">
        <f>""</f>
        <v/>
      </c>
      <c r="H181" s="221">
        <f>""</f>
        <v/>
      </c>
      <c r="I181" s="221">
        <f>IF($Q181&lt;&gt;"",IF($P181&lt;&gt;"",$P181,$Q181),IF($P181&lt;&gt;"",$P181,""))</f>
        <v/>
      </c>
      <c r="J181" s="221">
        <f>IF($Q181&lt;&gt;"",EOMONTH($Q181,0),IF($P181&lt;&gt;"",EOMONTH($P181,0),""))</f>
        <v/>
      </c>
      <c r="K181" s="220">
        <f>IF($B181="","",27)</f>
        <v/>
      </c>
      <c r="L181" s="220">
        <f>IF($B181="","",100)</f>
        <v/>
      </c>
      <c r="M181" s="220">
        <f>IF($B181="","",IFERROR(MATCH($F181,'Control (Don’t Touch)'!$B$4:$B$30,0),99))</f>
        <v/>
      </c>
      <c r="N181" s="220">
        <f>IF($B181="","",$L181*1000000+$M181*10000+ROW())</f>
        <v/>
      </c>
      <c r="O181" s="220">
        <f>IF($B181="","",COUNTIF($N$2:$N$205,"&lt;"&amp;$N181)+1)</f>
        <v/>
      </c>
      <c r="P181" s="221">
        <f>IF($B181="","",IFERROR(DATE(IFERROR(VALUE(RIGHT(TRIM('Initiative Tracker'!G31),4)),YEAR(TODAY())),MATCH(LEFT(TRIM('Initiative Tracker'!G31),3),$U$2:$U$13,0),1),""))</f>
        <v/>
      </c>
      <c r="Q181" s="221">
        <f>IF($B181="","",IFERROR(DATE(IFERROR(VALUE(RIGHT(TRIM('Initiative Tracker'!H31),4)),YEAR(TODAY())),MATCH(LEFT(TRIM('Initiative Tracker'!H31),3),$U$2:$U$13,0),1),""))</f>
        <v/>
      </c>
    </row>
    <row r="182">
      <c r="A182" s="220" t="n">
        <v>32</v>
      </c>
      <c r="B182" s="220">
        <f>IF(TRIM('Initiative Tracker'!A32)="","",IF(COUNTIF($K$2:$K$151,28)&gt;0,"",TRIM('Initiative Tracker'!A32)))</f>
        <v/>
      </c>
      <c r="C182" s="220">
        <f>IF($B182="","",'Initiative Tracker'!D32)</f>
        <v/>
      </c>
      <c r="D182" s="220">
        <f>IF($B182="","","(Tracker only — no Weekly row)")</f>
        <v/>
      </c>
      <c r="E182" s="220">
        <f>IF($B182="","",TRIM('Initiative Tracker'!B32))</f>
        <v/>
      </c>
      <c r="F182" s="220">
        <f>IF($B182="","",'Initiative Tracker'!C32)</f>
        <v/>
      </c>
      <c r="G182" s="221">
        <f>""</f>
        <v/>
      </c>
      <c r="H182" s="221">
        <f>""</f>
        <v/>
      </c>
      <c r="I182" s="221">
        <f>IF($Q182&lt;&gt;"",IF($P182&lt;&gt;"",$P182,$Q182),IF($P182&lt;&gt;"",$P182,""))</f>
        <v/>
      </c>
      <c r="J182" s="221">
        <f>IF($Q182&lt;&gt;"",EOMONTH($Q182,0),IF($P182&lt;&gt;"",EOMONTH($P182,0),""))</f>
        <v/>
      </c>
      <c r="K182" s="220">
        <f>IF($B182="","",28)</f>
        <v/>
      </c>
      <c r="L182" s="220">
        <f>IF($B182="","",100)</f>
        <v/>
      </c>
      <c r="M182" s="220">
        <f>IF($B182="","",IFERROR(MATCH($F182,'Control (Don’t Touch)'!$B$4:$B$30,0),99))</f>
        <v/>
      </c>
      <c r="N182" s="220">
        <f>IF($B182="","",$L182*1000000+$M182*10000+ROW())</f>
        <v/>
      </c>
      <c r="O182" s="220">
        <f>IF($B182="","",COUNTIF($N$2:$N$205,"&lt;"&amp;$N182)+1)</f>
        <v/>
      </c>
      <c r="P182" s="221">
        <f>IF($B182="","",IFERROR(DATE(IFERROR(VALUE(RIGHT(TRIM('Initiative Tracker'!G32),4)),YEAR(TODAY())),MATCH(LEFT(TRIM('Initiative Tracker'!G32),3),$U$2:$U$13,0),1),""))</f>
        <v/>
      </c>
      <c r="Q182" s="221">
        <f>IF($B182="","",IFERROR(DATE(IFERROR(VALUE(RIGHT(TRIM('Initiative Tracker'!H32),4)),YEAR(TODAY())),MATCH(LEFT(TRIM('Initiative Tracker'!H32),3),$U$2:$U$13,0),1),""))</f>
        <v/>
      </c>
    </row>
    <row r="183">
      <c r="A183" s="220" t="n">
        <v>33</v>
      </c>
      <c r="B183" s="220">
        <f>IF(TRIM('Initiative Tracker'!A33)="","",IF(COUNTIF($K$2:$K$151,29)&gt;0,"",TRIM('Initiative Tracker'!A33)))</f>
        <v/>
      </c>
      <c r="C183" s="220">
        <f>IF($B183="","",'Initiative Tracker'!D33)</f>
        <v/>
      </c>
      <c r="D183" s="220">
        <f>IF($B183="","","(Tracker only — no Weekly row)")</f>
        <v/>
      </c>
      <c r="E183" s="220">
        <f>IF($B183="","",TRIM('Initiative Tracker'!B33))</f>
        <v/>
      </c>
      <c r="F183" s="220">
        <f>IF($B183="","",'Initiative Tracker'!C33)</f>
        <v/>
      </c>
      <c r="G183" s="221">
        <f>""</f>
        <v/>
      </c>
      <c r="H183" s="221">
        <f>""</f>
        <v/>
      </c>
      <c r="I183" s="221">
        <f>IF($Q183&lt;&gt;"",IF($P183&lt;&gt;"",$P183,$Q183),IF($P183&lt;&gt;"",$P183,""))</f>
        <v/>
      </c>
      <c r="J183" s="221">
        <f>IF($Q183&lt;&gt;"",EOMONTH($Q183,0),IF($P183&lt;&gt;"",EOMONTH($P183,0),""))</f>
        <v/>
      </c>
      <c r="K183" s="220">
        <f>IF($B183="","",29)</f>
        <v/>
      </c>
      <c r="L183" s="220">
        <f>IF($B183="","",100)</f>
        <v/>
      </c>
      <c r="M183" s="220">
        <f>IF($B183="","",IFERROR(MATCH($F183,'Control (Don’t Touch)'!$B$4:$B$30,0),99))</f>
        <v/>
      </c>
      <c r="N183" s="220">
        <f>IF($B183="","",$L183*1000000+$M183*10000+ROW())</f>
        <v/>
      </c>
      <c r="O183" s="220">
        <f>IF($B183="","",COUNTIF($N$2:$N$205,"&lt;"&amp;$N183)+1)</f>
        <v/>
      </c>
      <c r="P183" s="221">
        <f>IF($B183="","",IFERROR(DATE(IFERROR(VALUE(RIGHT(TRIM('Initiative Tracker'!G33),4)),YEAR(TODAY())),MATCH(LEFT(TRIM('Initiative Tracker'!G33),3),$U$2:$U$13,0),1),""))</f>
        <v/>
      </c>
      <c r="Q183" s="221">
        <f>IF($B183="","",IFERROR(DATE(IFERROR(VALUE(RIGHT(TRIM('Initiative Tracker'!H33),4)),YEAR(TODAY())),MATCH(LEFT(TRIM('Initiative Tracker'!H33),3),$U$2:$U$13,0),1),""))</f>
        <v/>
      </c>
    </row>
    <row r="184">
      <c r="A184" s="220" t="n">
        <v>34</v>
      </c>
      <c r="B184" s="220">
        <f>IF(TRIM('Initiative Tracker'!A34)="","",IF(COUNTIF($K$2:$K$151,30)&gt;0,"",TRIM('Initiative Tracker'!A34)))</f>
        <v/>
      </c>
      <c r="C184" s="220">
        <f>IF($B184="","",'Initiative Tracker'!D34)</f>
        <v/>
      </c>
      <c r="D184" s="220">
        <f>IF($B184="","","(Tracker only — no Weekly row)")</f>
        <v/>
      </c>
      <c r="E184" s="220">
        <f>IF($B184="","",TRIM('Initiative Tracker'!B34))</f>
        <v/>
      </c>
      <c r="F184" s="220">
        <f>IF($B184="","",'Initiative Tracker'!C34)</f>
        <v/>
      </c>
      <c r="G184" s="221">
        <f>""</f>
        <v/>
      </c>
      <c r="H184" s="221">
        <f>""</f>
        <v/>
      </c>
      <c r="I184" s="221">
        <f>IF($Q184&lt;&gt;"",IF($P184&lt;&gt;"",$P184,$Q184),IF($P184&lt;&gt;"",$P184,""))</f>
        <v/>
      </c>
      <c r="J184" s="221">
        <f>IF($Q184&lt;&gt;"",EOMONTH($Q184,0),IF($P184&lt;&gt;"",EOMONTH($P184,0),""))</f>
        <v/>
      </c>
      <c r="K184" s="220">
        <f>IF($B184="","",30)</f>
        <v/>
      </c>
      <c r="L184" s="220">
        <f>IF($B184="","",100)</f>
        <v/>
      </c>
      <c r="M184" s="220">
        <f>IF($B184="","",IFERROR(MATCH($F184,'Control (Don’t Touch)'!$B$4:$B$30,0),99))</f>
        <v/>
      </c>
      <c r="N184" s="220">
        <f>IF($B184="","",$L184*1000000+$M184*10000+ROW())</f>
        <v/>
      </c>
      <c r="O184" s="220">
        <f>IF($B184="","",COUNTIF($N$2:$N$205,"&lt;"&amp;$N184)+1)</f>
        <v/>
      </c>
      <c r="P184" s="221">
        <f>IF($B184="","",IFERROR(DATE(IFERROR(VALUE(RIGHT(TRIM('Initiative Tracker'!G34),4)),YEAR(TODAY())),MATCH(LEFT(TRIM('Initiative Tracker'!G34),3),$U$2:$U$13,0),1),""))</f>
        <v/>
      </c>
      <c r="Q184" s="221">
        <f>IF($B184="","",IFERROR(DATE(IFERROR(VALUE(RIGHT(TRIM('Initiative Tracker'!H34),4)),YEAR(TODAY())),MATCH(LEFT(TRIM('Initiative Tracker'!H34),3),$U$2:$U$13,0),1),""))</f>
        <v/>
      </c>
    </row>
    <row r="185">
      <c r="A185" s="220" t="n">
        <v>35</v>
      </c>
      <c r="B185" s="220">
        <f>IF(TRIM('Initiative Tracker'!A35)="","",IF(COUNTIF($K$2:$K$151,31)&gt;0,"",TRIM('Initiative Tracker'!A35)))</f>
        <v/>
      </c>
      <c r="C185" s="220">
        <f>IF($B185="","",'Initiative Tracker'!D35)</f>
        <v/>
      </c>
      <c r="D185" s="220">
        <f>IF($B185="","","(Tracker only — no Weekly row)")</f>
        <v/>
      </c>
      <c r="E185" s="220">
        <f>IF($B185="","",TRIM('Initiative Tracker'!B35))</f>
        <v/>
      </c>
      <c r="F185" s="220">
        <f>IF($B185="","",'Initiative Tracker'!C35)</f>
        <v/>
      </c>
      <c r="G185" s="221">
        <f>""</f>
        <v/>
      </c>
      <c r="H185" s="221">
        <f>""</f>
        <v/>
      </c>
      <c r="I185" s="221">
        <f>IF($Q185&lt;&gt;"",IF($P185&lt;&gt;"",$P185,$Q185),IF($P185&lt;&gt;"",$P185,""))</f>
        <v/>
      </c>
      <c r="J185" s="221">
        <f>IF($Q185&lt;&gt;"",EOMONTH($Q185,0),IF($P185&lt;&gt;"",EOMONTH($P185,0),""))</f>
        <v/>
      </c>
      <c r="K185" s="220">
        <f>IF($B185="","",31)</f>
        <v/>
      </c>
      <c r="L185" s="220">
        <f>IF($B185="","",100)</f>
        <v/>
      </c>
      <c r="M185" s="220">
        <f>IF($B185="","",IFERROR(MATCH($F185,'Control (Don’t Touch)'!$B$4:$B$30,0),99))</f>
        <v/>
      </c>
      <c r="N185" s="220">
        <f>IF($B185="","",$L185*1000000+$M185*10000+ROW())</f>
        <v/>
      </c>
      <c r="O185" s="220">
        <f>IF($B185="","",COUNTIF($N$2:$N$205,"&lt;"&amp;$N185)+1)</f>
        <v/>
      </c>
      <c r="P185" s="221">
        <f>IF($B185="","",IFERROR(DATE(IFERROR(VALUE(RIGHT(TRIM('Initiative Tracker'!G35),4)),YEAR(TODAY())),MATCH(LEFT(TRIM('Initiative Tracker'!G35),3),$U$2:$U$13,0),1),""))</f>
        <v/>
      </c>
      <c r="Q185" s="221">
        <f>IF($B185="","",IFERROR(DATE(IFERROR(VALUE(RIGHT(TRIM('Initiative Tracker'!H35),4)),YEAR(TODAY())),MATCH(LEFT(TRIM('Initiative Tracker'!H35),3),$U$2:$U$13,0),1),""))</f>
        <v/>
      </c>
    </row>
    <row r="186">
      <c r="A186" s="220" t="n">
        <v>36</v>
      </c>
      <c r="B186" s="220">
        <f>IF(TRIM('Initiative Tracker'!A36)="","",IF(COUNTIF($K$2:$K$151,32)&gt;0,"",TRIM('Initiative Tracker'!A36)))</f>
        <v/>
      </c>
      <c r="C186" s="220">
        <f>IF($B186="","",'Initiative Tracker'!D36)</f>
        <v/>
      </c>
      <c r="D186" s="220">
        <f>IF($B186="","","(Tracker only — no Weekly row)")</f>
        <v/>
      </c>
      <c r="E186" s="220">
        <f>IF($B186="","",TRIM('Initiative Tracker'!B36))</f>
        <v/>
      </c>
      <c r="F186" s="220">
        <f>IF($B186="","",'Initiative Tracker'!C36)</f>
        <v/>
      </c>
      <c r="G186" s="221">
        <f>""</f>
        <v/>
      </c>
      <c r="H186" s="221">
        <f>""</f>
        <v/>
      </c>
      <c r="I186" s="221">
        <f>IF($Q186&lt;&gt;"",IF($P186&lt;&gt;"",$P186,$Q186),IF($P186&lt;&gt;"",$P186,""))</f>
        <v/>
      </c>
      <c r="J186" s="221">
        <f>IF($Q186&lt;&gt;"",EOMONTH($Q186,0),IF($P186&lt;&gt;"",EOMONTH($P186,0),""))</f>
        <v/>
      </c>
      <c r="K186" s="220">
        <f>IF($B186="","",32)</f>
        <v/>
      </c>
      <c r="L186" s="220">
        <f>IF($B186="","",100)</f>
        <v/>
      </c>
      <c r="M186" s="220">
        <f>IF($B186="","",IFERROR(MATCH($F186,'Control (Don’t Touch)'!$B$4:$B$30,0),99))</f>
        <v/>
      </c>
      <c r="N186" s="220">
        <f>IF($B186="","",$L186*1000000+$M186*10000+ROW())</f>
        <v/>
      </c>
      <c r="O186" s="220">
        <f>IF($B186="","",COUNTIF($N$2:$N$205,"&lt;"&amp;$N186)+1)</f>
        <v/>
      </c>
      <c r="P186" s="221">
        <f>IF($B186="","",IFERROR(DATE(IFERROR(VALUE(RIGHT(TRIM('Initiative Tracker'!G36),4)),YEAR(TODAY())),MATCH(LEFT(TRIM('Initiative Tracker'!G36),3),$U$2:$U$13,0),1),""))</f>
        <v/>
      </c>
      <c r="Q186" s="221">
        <f>IF($B186="","",IFERROR(DATE(IFERROR(VALUE(RIGHT(TRIM('Initiative Tracker'!H36),4)),YEAR(TODAY())),MATCH(LEFT(TRIM('Initiative Tracker'!H36),3),$U$2:$U$13,0),1),""))</f>
        <v/>
      </c>
    </row>
    <row r="187">
      <c r="A187" s="220" t="n">
        <v>37</v>
      </c>
      <c r="B187" s="220">
        <f>IF(TRIM('Initiative Tracker'!A37)="","",IF(COUNTIF($K$2:$K$151,33)&gt;0,"",TRIM('Initiative Tracker'!A37)))</f>
        <v/>
      </c>
      <c r="C187" s="220">
        <f>IF($B187="","",'Initiative Tracker'!D37)</f>
        <v/>
      </c>
      <c r="D187" s="220">
        <f>IF($B187="","","(Tracker only — no Weekly row)")</f>
        <v/>
      </c>
      <c r="E187" s="220">
        <f>IF($B187="","",TRIM('Initiative Tracker'!B37))</f>
        <v/>
      </c>
      <c r="F187" s="220">
        <f>IF($B187="","",'Initiative Tracker'!C37)</f>
        <v/>
      </c>
      <c r="G187" s="221">
        <f>""</f>
        <v/>
      </c>
      <c r="H187" s="221">
        <f>""</f>
        <v/>
      </c>
      <c r="I187" s="221">
        <f>IF($Q187&lt;&gt;"",IF($P187&lt;&gt;"",$P187,$Q187),IF($P187&lt;&gt;"",$P187,""))</f>
        <v/>
      </c>
      <c r="J187" s="221">
        <f>IF($Q187&lt;&gt;"",EOMONTH($Q187,0),IF($P187&lt;&gt;"",EOMONTH($P187,0),""))</f>
        <v/>
      </c>
      <c r="K187" s="220">
        <f>IF($B187="","",33)</f>
        <v/>
      </c>
      <c r="L187" s="220">
        <f>IF($B187="","",100)</f>
        <v/>
      </c>
      <c r="M187" s="220">
        <f>IF($B187="","",IFERROR(MATCH($F187,'Control (Don’t Touch)'!$B$4:$B$30,0),99))</f>
        <v/>
      </c>
      <c r="N187" s="220">
        <f>IF($B187="","",$L187*1000000+$M187*10000+ROW())</f>
        <v/>
      </c>
      <c r="O187" s="220">
        <f>IF($B187="","",COUNTIF($N$2:$N$205,"&lt;"&amp;$N187)+1)</f>
        <v/>
      </c>
      <c r="P187" s="221">
        <f>IF($B187="","",IFERROR(DATE(IFERROR(VALUE(RIGHT(TRIM('Initiative Tracker'!G37),4)),YEAR(TODAY())),MATCH(LEFT(TRIM('Initiative Tracker'!G37),3),$U$2:$U$13,0),1),""))</f>
        <v/>
      </c>
      <c r="Q187" s="221">
        <f>IF($B187="","",IFERROR(DATE(IFERROR(VALUE(RIGHT(TRIM('Initiative Tracker'!H37),4)),YEAR(TODAY())),MATCH(LEFT(TRIM('Initiative Tracker'!H37),3),$U$2:$U$13,0),1),""))</f>
        <v/>
      </c>
    </row>
    <row r="188">
      <c r="A188" s="220" t="n">
        <v>38</v>
      </c>
      <c r="B188" s="220">
        <f>IF(TRIM('Initiative Tracker'!A38)="","",IF(COUNTIF($K$2:$K$151,34)&gt;0,"",TRIM('Initiative Tracker'!A38)))</f>
        <v/>
      </c>
      <c r="C188" s="220">
        <f>IF($B188="","",'Initiative Tracker'!D38)</f>
        <v/>
      </c>
      <c r="D188" s="220">
        <f>IF($B188="","","(Tracker only — no Weekly row)")</f>
        <v/>
      </c>
      <c r="E188" s="220">
        <f>IF($B188="","",TRIM('Initiative Tracker'!B38))</f>
        <v/>
      </c>
      <c r="F188" s="220">
        <f>IF($B188="","",'Initiative Tracker'!C38)</f>
        <v/>
      </c>
      <c r="G188" s="221">
        <f>""</f>
        <v/>
      </c>
      <c r="H188" s="221">
        <f>""</f>
        <v/>
      </c>
      <c r="I188" s="221">
        <f>IF($Q188&lt;&gt;"",IF($P188&lt;&gt;"",$P188,$Q188),IF($P188&lt;&gt;"",$P188,""))</f>
        <v/>
      </c>
      <c r="J188" s="221">
        <f>IF($Q188&lt;&gt;"",EOMONTH($Q188,0),IF($P188&lt;&gt;"",EOMONTH($P188,0),""))</f>
        <v/>
      </c>
      <c r="K188" s="220">
        <f>IF($B188="","",34)</f>
        <v/>
      </c>
      <c r="L188" s="220">
        <f>IF($B188="","",100)</f>
        <v/>
      </c>
      <c r="M188" s="220">
        <f>IF($B188="","",IFERROR(MATCH($F188,'Control (Don’t Touch)'!$B$4:$B$30,0),99))</f>
        <v/>
      </c>
      <c r="N188" s="220">
        <f>IF($B188="","",$L188*1000000+$M188*10000+ROW())</f>
        <v/>
      </c>
      <c r="O188" s="220">
        <f>IF($B188="","",COUNTIF($N$2:$N$205,"&lt;"&amp;$N188)+1)</f>
        <v/>
      </c>
      <c r="P188" s="221">
        <f>IF($B188="","",IFERROR(DATE(IFERROR(VALUE(RIGHT(TRIM('Initiative Tracker'!G38),4)),YEAR(TODAY())),MATCH(LEFT(TRIM('Initiative Tracker'!G38),3),$U$2:$U$13,0),1),""))</f>
        <v/>
      </c>
      <c r="Q188" s="221">
        <f>IF($B188="","",IFERROR(DATE(IFERROR(VALUE(RIGHT(TRIM('Initiative Tracker'!H38),4)),YEAR(TODAY())),MATCH(LEFT(TRIM('Initiative Tracker'!H38),3),$U$2:$U$13,0),1),""))</f>
        <v/>
      </c>
    </row>
    <row r="189">
      <c r="A189" s="220" t="n">
        <v>39</v>
      </c>
      <c r="B189" s="220">
        <f>IF(TRIM('Initiative Tracker'!A39)="","",IF(COUNTIF($K$2:$K$151,35)&gt;0,"",TRIM('Initiative Tracker'!A39)))</f>
        <v/>
      </c>
      <c r="C189" s="220">
        <f>IF($B189="","",'Initiative Tracker'!D39)</f>
        <v/>
      </c>
      <c r="D189" s="220">
        <f>IF($B189="","","(Tracker only — no Weekly row)")</f>
        <v/>
      </c>
      <c r="E189" s="220">
        <f>IF($B189="","",TRIM('Initiative Tracker'!B39))</f>
        <v/>
      </c>
      <c r="F189" s="220">
        <f>IF($B189="","",'Initiative Tracker'!C39)</f>
        <v/>
      </c>
      <c r="G189" s="221">
        <f>""</f>
        <v/>
      </c>
      <c r="H189" s="221">
        <f>""</f>
        <v/>
      </c>
      <c r="I189" s="221">
        <f>IF($Q189&lt;&gt;"",IF($P189&lt;&gt;"",$P189,$Q189),IF($P189&lt;&gt;"",$P189,""))</f>
        <v/>
      </c>
      <c r="J189" s="221">
        <f>IF($Q189&lt;&gt;"",EOMONTH($Q189,0),IF($P189&lt;&gt;"",EOMONTH($P189,0),""))</f>
        <v/>
      </c>
      <c r="K189" s="220">
        <f>IF($B189="","",35)</f>
        <v/>
      </c>
      <c r="L189" s="220">
        <f>IF($B189="","",100)</f>
        <v/>
      </c>
      <c r="M189" s="220">
        <f>IF($B189="","",IFERROR(MATCH($F189,'Control (Don’t Touch)'!$B$4:$B$30,0),99))</f>
        <v/>
      </c>
      <c r="N189" s="220">
        <f>IF($B189="","",$L189*1000000+$M189*10000+ROW())</f>
        <v/>
      </c>
      <c r="O189" s="220">
        <f>IF($B189="","",COUNTIF($N$2:$N$205,"&lt;"&amp;$N189)+1)</f>
        <v/>
      </c>
      <c r="P189" s="221">
        <f>IF($B189="","",IFERROR(DATE(IFERROR(VALUE(RIGHT(TRIM('Initiative Tracker'!G39),4)),YEAR(TODAY())),MATCH(LEFT(TRIM('Initiative Tracker'!G39),3),$U$2:$U$13,0),1),""))</f>
        <v/>
      </c>
      <c r="Q189" s="221">
        <f>IF($B189="","",IFERROR(DATE(IFERROR(VALUE(RIGHT(TRIM('Initiative Tracker'!H39),4)),YEAR(TODAY())),MATCH(LEFT(TRIM('Initiative Tracker'!H39),3),$U$2:$U$13,0),1),""))</f>
        <v/>
      </c>
    </row>
    <row r="190">
      <c r="A190" s="220" t="n">
        <v>40</v>
      </c>
      <c r="B190" s="220">
        <f>IF(TRIM('Initiative Tracker'!A40)="","",IF(COUNTIF($K$2:$K$151,36)&gt;0,"",TRIM('Initiative Tracker'!A40)))</f>
        <v/>
      </c>
      <c r="C190" s="220">
        <f>IF($B190="","",'Initiative Tracker'!D40)</f>
        <v/>
      </c>
      <c r="D190" s="220">
        <f>IF($B190="","","(Tracker only — no Weekly row)")</f>
        <v/>
      </c>
      <c r="E190" s="220">
        <f>IF($B190="","",TRIM('Initiative Tracker'!B40))</f>
        <v/>
      </c>
      <c r="F190" s="220">
        <f>IF($B190="","",'Initiative Tracker'!C40)</f>
        <v/>
      </c>
      <c r="G190" s="221">
        <f>""</f>
        <v/>
      </c>
      <c r="H190" s="221">
        <f>""</f>
        <v/>
      </c>
      <c r="I190" s="221">
        <f>IF($Q190&lt;&gt;"",IF($P190&lt;&gt;"",$P190,$Q190),IF($P190&lt;&gt;"",$P190,""))</f>
        <v/>
      </c>
      <c r="J190" s="221">
        <f>IF($Q190&lt;&gt;"",EOMONTH($Q190,0),IF($P190&lt;&gt;"",EOMONTH($P190,0),""))</f>
        <v/>
      </c>
      <c r="K190" s="220">
        <f>IF($B190="","",36)</f>
        <v/>
      </c>
      <c r="L190" s="220">
        <f>IF($B190="","",100)</f>
        <v/>
      </c>
      <c r="M190" s="220">
        <f>IF($B190="","",IFERROR(MATCH($F190,'Control (Don’t Touch)'!$B$4:$B$30,0),99))</f>
        <v/>
      </c>
      <c r="N190" s="220">
        <f>IF($B190="","",$L190*1000000+$M190*10000+ROW())</f>
        <v/>
      </c>
      <c r="O190" s="220">
        <f>IF($B190="","",COUNTIF($N$2:$N$205,"&lt;"&amp;$N190)+1)</f>
        <v/>
      </c>
      <c r="P190" s="221">
        <f>IF($B190="","",IFERROR(DATE(IFERROR(VALUE(RIGHT(TRIM('Initiative Tracker'!G40),4)),YEAR(TODAY())),MATCH(LEFT(TRIM('Initiative Tracker'!G40),3),$U$2:$U$13,0),1),""))</f>
        <v/>
      </c>
      <c r="Q190" s="221">
        <f>IF($B190="","",IFERROR(DATE(IFERROR(VALUE(RIGHT(TRIM('Initiative Tracker'!H40),4)),YEAR(TODAY())),MATCH(LEFT(TRIM('Initiative Tracker'!H40),3),$U$2:$U$13,0),1),""))</f>
        <v/>
      </c>
    </row>
    <row r="191">
      <c r="A191" s="220" t="n">
        <v>41</v>
      </c>
      <c r="B191" s="220">
        <f>IF(TRIM('Initiative Tracker'!A41)="","",IF(COUNTIF($K$2:$K$151,37)&gt;0,"",TRIM('Initiative Tracker'!A41)))</f>
        <v/>
      </c>
      <c r="C191" s="220">
        <f>IF($B191="","",'Initiative Tracker'!D41)</f>
        <v/>
      </c>
      <c r="D191" s="220">
        <f>IF($B191="","","(Tracker only — no Weekly row)")</f>
        <v/>
      </c>
      <c r="E191" s="220">
        <f>IF($B191="","",TRIM('Initiative Tracker'!B41))</f>
        <v/>
      </c>
      <c r="F191" s="220">
        <f>IF($B191="","",'Initiative Tracker'!C41)</f>
        <v/>
      </c>
      <c r="G191" s="221">
        <f>""</f>
        <v/>
      </c>
      <c r="H191" s="221">
        <f>""</f>
        <v/>
      </c>
      <c r="I191" s="221">
        <f>IF($Q191&lt;&gt;"",IF($P191&lt;&gt;"",$P191,$Q191),IF($P191&lt;&gt;"",$P191,""))</f>
        <v/>
      </c>
      <c r="J191" s="221">
        <f>IF($Q191&lt;&gt;"",EOMONTH($Q191,0),IF($P191&lt;&gt;"",EOMONTH($P191,0),""))</f>
        <v/>
      </c>
      <c r="K191" s="220">
        <f>IF($B191="","",37)</f>
        <v/>
      </c>
      <c r="L191" s="220">
        <f>IF($B191="","",100)</f>
        <v/>
      </c>
      <c r="M191" s="220">
        <f>IF($B191="","",IFERROR(MATCH($F191,'Control (Don’t Touch)'!$B$4:$B$30,0),99))</f>
        <v/>
      </c>
      <c r="N191" s="220">
        <f>IF($B191="","",$L191*1000000+$M191*10000+ROW())</f>
        <v/>
      </c>
      <c r="O191" s="220">
        <f>IF($B191="","",COUNTIF($N$2:$N$205,"&lt;"&amp;$N191)+1)</f>
        <v/>
      </c>
      <c r="P191" s="221">
        <f>IF($B191="","",IFERROR(DATE(IFERROR(VALUE(RIGHT(TRIM('Initiative Tracker'!G41),4)),YEAR(TODAY())),MATCH(LEFT(TRIM('Initiative Tracker'!G41),3),$U$2:$U$13,0),1),""))</f>
        <v/>
      </c>
      <c r="Q191" s="221">
        <f>IF($B191="","",IFERROR(DATE(IFERROR(VALUE(RIGHT(TRIM('Initiative Tracker'!H41),4)),YEAR(TODAY())),MATCH(LEFT(TRIM('Initiative Tracker'!H41),3),$U$2:$U$13,0),1),""))</f>
        <v/>
      </c>
    </row>
    <row r="192">
      <c r="A192" s="220" t="n">
        <v>42</v>
      </c>
      <c r="B192" s="220">
        <f>IF(TRIM('Initiative Tracker'!A42)="","",IF(COUNTIF($K$2:$K$151,38)&gt;0,"",TRIM('Initiative Tracker'!A42)))</f>
        <v/>
      </c>
      <c r="C192" s="220">
        <f>IF($B192="","",'Initiative Tracker'!D42)</f>
        <v/>
      </c>
      <c r="D192" s="220">
        <f>IF($B192="","","(Tracker only — no Weekly row)")</f>
        <v/>
      </c>
      <c r="E192" s="220">
        <f>IF($B192="","",TRIM('Initiative Tracker'!B42))</f>
        <v/>
      </c>
      <c r="F192" s="220">
        <f>IF($B192="","",'Initiative Tracker'!C42)</f>
        <v/>
      </c>
      <c r="G192" s="221">
        <f>""</f>
        <v/>
      </c>
      <c r="H192" s="221">
        <f>""</f>
        <v/>
      </c>
      <c r="I192" s="221">
        <f>IF($Q192&lt;&gt;"",IF($P192&lt;&gt;"",$P192,$Q192),IF($P192&lt;&gt;"",$P192,""))</f>
        <v/>
      </c>
      <c r="J192" s="221">
        <f>IF($Q192&lt;&gt;"",EOMONTH($Q192,0),IF($P192&lt;&gt;"",EOMONTH($P192,0),""))</f>
        <v/>
      </c>
      <c r="K192" s="220">
        <f>IF($B192="","",38)</f>
        <v/>
      </c>
      <c r="L192" s="220">
        <f>IF($B192="","",100)</f>
        <v/>
      </c>
      <c r="M192" s="220">
        <f>IF($B192="","",IFERROR(MATCH($F192,'Control (Don’t Touch)'!$B$4:$B$30,0),99))</f>
        <v/>
      </c>
      <c r="N192" s="220">
        <f>IF($B192="","",$L192*1000000+$M192*10000+ROW())</f>
        <v/>
      </c>
      <c r="O192" s="220">
        <f>IF($B192="","",COUNTIF($N$2:$N$205,"&lt;"&amp;$N192)+1)</f>
        <v/>
      </c>
      <c r="P192" s="221">
        <f>IF($B192="","",IFERROR(DATE(IFERROR(VALUE(RIGHT(TRIM('Initiative Tracker'!G42),4)),YEAR(TODAY())),MATCH(LEFT(TRIM('Initiative Tracker'!G42),3),$U$2:$U$13,0),1),""))</f>
        <v/>
      </c>
      <c r="Q192" s="221">
        <f>IF($B192="","",IFERROR(DATE(IFERROR(VALUE(RIGHT(TRIM('Initiative Tracker'!H42),4)),YEAR(TODAY())),MATCH(LEFT(TRIM('Initiative Tracker'!H42),3),$U$2:$U$13,0),1),""))</f>
        <v/>
      </c>
    </row>
    <row r="193">
      <c r="A193" s="220" t="n">
        <v>43</v>
      </c>
      <c r="B193" s="220">
        <f>IF(TRIM('Initiative Tracker'!A43)="","",IF(COUNTIF($K$2:$K$151,39)&gt;0,"",TRIM('Initiative Tracker'!A43)))</f>
        <v/>
      </c>
      <c r="C193" s="220">
        <f>IF($B193="","",'Initiative Tracker'!D43)</f>
        <v/>
      </c>
      <c r="D193" s="220">
        <f>IF($B193="","","(Tracker only — no Weekly row)")</f>
        <v/>
      </c>
      <c r="E193" s="220">
        <f>IF($B193="","",TRIM('Initiative Tracker'!B43))</f>
        <v/>
      </c>
      <c r="F193" s="220">
        <f>IF($B193="","",'Initiative Tracker'!C43)</f>
        <v/>
      </c>
      <c r="G193" s="221">
        <f>""</f>
        <v/>
      </c>
      <c r="H193" s="221">
        <f>""</f>
        <v/>
      </c>
      <c r="I193" s="221">
        <f>IF($Q193&lt;&gt;"",IF($P193&lt;&gt;"",$P193,$Q193),IF($P193&lt;&gt;"",$P193,""))</f>
        <v/>
      </c>
      <c r="J193" s="221">
        <f>IF($Q193&lt;&gt;"",EOMONTH($Q193,0),IF($P193&lt;&gt;"",EOMONTH($P193,0),""))</f>
        <v/>
      </c>
      <c r="K193" s="220">
        <f>IF($B193="","",39)</f>
        <v/>
      </c>
      <c r="L193" s="220">
        <f>IF($B193="","",100)</f>
        <v/>
      </c>
      <c r="M193" s="220">
        <f>IF($B193="","",IFERROR(MATCH($F193,'Control (Don’t Touch)'!$B$4:$B$30,0),99))</f>
        <v/>
      </c>
      <c r="N193" s="220">
        <f>IF($B193="","",$L193*1000000+$M193*10000+ROW())</f>
        <v/>
      </c>
      <c r="O193" s="220">
        <f>IF($B193="","",COUNTIF($N$2:$N$205,"&lt;"&amp;$N193)+1)</f>
        <v/>
      </c>
      <c r="P193" s="221">
        <f>IF($B193="","",IFERROR(DATE(IFERROR(VALUE(RIGHT(TRIM('Initiative Tracker'!G43),4)),YEAR(TODAY())),MATCH(LEFT(TRIM('Initiative Tracker'!G43),3),$U$2:$U$13,0),1),""))</f>
        <v/>
      </c>
      <c r="Q193" s="221">
        <f>IF($B193="","",IFERROR(DATE(IFERROR(VALUE(RIGHT(TRIM('Initiative Tracker'!H43),4)),YEAR(TODAY())),MATCH(LEFT(TRIM('Initiative Tracker'!H43),3),$U$2:$U$13,0),1),""))</f>
        <v/>
      </c>
    </row>
    <row r="194">
      <c r="A194" s="220" t="n">
        <v>44</v>
      </c>
      <c r="B194" s="220">
        <f>IF(TRIM('Initiative Tracker'!A44)="","",IF(COUNTIF($K$2:$K$151,40)&gt;0,"",TRIM('Initiative Tracker'!A44)))</f>
        <v/>
      </c>
      <c r="C194" s="220">
        <f>IF($B194="","",'Initiative Tracker'!D44)</f>
        <v/>
      </c>
      <c r="D194" s="220">
        <f>IF($B194="","","(Tracker only — no Weekly row)")</f>
        <v/>
      </c>
      <c r="E194" s="220">
        <f>IF($B194="","",TRIM('Initiative Tracker'!B44))</f>
        <v/>
      </c>
      <c r="F194" s="220">
        <f>IF($B194="","",'Initiative Tracker'!C44)</f>
        <v/>
      </c>
      <c r="G194" s="221">
        <f>""</f>
        <v/>
      </c>
      <c r="H194" s="221">
        <f>""</f>
        <v/>
      </c>
      <c r="I194" s="221">
        <f>IF($Q194&lt;&gt;"",IF($P194&lt;&gt;"",$P194,$Q194),IF($P194&lt;&gt;"",$P194,""))</f>
        <v/>
      </c>
      <c r="J194" s="221">
        <f>IF($Q194&lt;&gt;"",EOMONTH($Q194,0),IF($P194&lt;&gt;"",EOMONTH($P194,0),""))</f>
        <v/>
      </c>
      <c r="K194" s="220">
        <f>IF($B194="","",40)</f>
        <v/>
      </c>
      <c r="L194" s="220">
        <f>IF($B194="","",100)</f>
        <v/>
      </c>
      <c r="M194" s="220">
        <f>IF($B194="","",IFERROR(MATCH($F194,'Control (Don’t Touch)'!$B$4:$B$30,0),99))</f>
        <v/>
      </c>
      <c r="N194" s="220">
        <f>IF($B194="","",$L194*1000000+$M194*10000+ROW())</f>
        <v/>
      </c>
      <c r="O194" s="220">
        <f>IF($B194="","",COUNTIF($N$2:$N$205,"&lt;"&amp;$N194)+1)</f>
        <v/>
      </c>
      <c r="P194" s="221">
        <f>IF($B194="","",IFERROR(DATE(IFERROR(VALUE(RIGHT(TRIM('Initiative Tracker'!G44),4)),YEAR(TODAY())),MATCH(LEFT(TRIM('Initiative Tracker'!G44),3),$U$2:$U$13,0),1),""))</f>
        <v/>
      </c>
      <c r="Q194" s="221">
        <f>IF($B194="","",IFERROR(DATE(IFERROR(VALUE(RIGHT(TRIM('Initiative Tracker'!H44),4)),YEAR(TODAY())),MATCH(LEFT(TRIM('Initiative Tracker'!H44),3),$U$2:$U$13,0),1),""))</f>
        <v/>
      </c>
    </row>
    <row r="195">
      <c r="A195" s="220" t="n">
        <v>45</v>
      </c>
      <c r="B195" s="220">
        <f>IF(TRIM('Initiative Tracker'!A45)="","",IF(COUNTIF($K$2:$K$151,41)&gt;0,"",TRIM('Initiative Tracker'!A45)))</f>
        <v/>
      </c>
      <c r="C195" s="220">
        <f>IF($B195="","",'Initiative Tracker'!D45)</f>
        <v/>
      </c>
      <c r="D195" s="220">
        <f>IF($B195="","","(Tracker only — no Weekly row)")</f>
        <v/>
      </c>
      <c r="E195" s="220">
        <f>IF($B195="","",TRIM('Initiative Tracker'!B45))</f>
        <v/>
      </c>
      <c r="F195" s="220">
        <f>IF($B195="","",'Initiative Tracker'!C45)</f>
        <v/>
      </c>
      <c r="G195" s="221">
        <f>""</f>
        <v/>
      </c>
      <c r="H195" s="221">
        <f>""</f>
        <v/>
      </c>
      <c r="I195" s="221">
        <f>IF($Q195&lt;&gt;"",IF($P195&lt;&gt;"",$P195,$Q195),IF($P195&lt;&gt;"",$P195,""))</f>
        <v/>
      </c>
      <c r="J195" s="221">
        <f>IF($Q195&lt;&gt;"",EOMONTH($Q195,0),IF($P195&lt;&gt;"",EOMONTH($P195,0),""))</f>
        <v/>
      </c>
      <c r="K195" s="220">
        <f>IF($B195="","",41)</f>
        <v/>
      </c>
      <c r="L195" s="220">
        <f>IF($B195="","",100)</f>
        <v/>
      </c>
      <c r="M195" s="220">
        <f>IF($B195="","",IFERROR(MATCH($F195,'Control (Don’t Touch)'!$B$4:$B$30,0),99))</f>
        <v/>
      </c>
      <c r="N195" s="220">
        <f>IF($B195="","",$L195*1000000+$M195*10000+ROW())</f>
        <v/>
      </c>
      <c r="O195" s="220">
        <f>IF($B195="","",COUNTIF($N$2:$N$205,"&lt;"&amp;$N195)+1)</f>
        <v/>
      </c>
      <c r="P195" s="221">
        <f>IF($B195="","",IFERROR(DATE(IFERROR(VALUE(RIGHT(TRIM('Initiative Tracker'!G45),4)),YEAR(TODAY())),MATCH(LEFT(TRIM('Initiative Tracker'!G45),3),$U$2:$U$13,0),1),""))</f>
        <v/>
      </c>
      <c r="Q195" s="221">
        <f>IF($B195="","",IFERROR(DATE(IFERROR(VALUE(RIGHT(TRIM('Initiative Tracker'!H45),4)),YEAR(TODAY())),MATCH(LEFT(TRIM('Initiative Tracker'!H45),3),$U$2:$U$13,0),1),""))</f>
        <v/>
      </c>
    </row>
    <row r="196">
      <c r="A196" s="220" t="n">
        <v>46</v>
      </c>
      <c r="B196" s="220">
        <f>IF(TRIM('Initiative Tracker'!A46)="","",IF(COUNTIF($K$2:$K$151,42)&gt;0,"",TRIM('Initiative Tracker'!A46)))</f>
        <v/>
      </c>
      <c r="C196" s="220">
        <f>IF($B196="","",'Initiative Tracker'!D46)</f>
        <v/>
      </c>
      <c r="D196" s="220">
        <f>IF($B196="","","(Tracker only — no Weekly row)")</f>
        <v/>
      </c>
      <c r="E196" s="220">
        <f>IF($B196="","",TRIM('Initiative Tracker'!B46))</f>
        <v/>
      </c>
      <c r="F196" s="220">
        <f>IF($B196="","",'Initiative Tracker'!C46)</f>
        <v/>
      </c>
      <c r="G196" s="221">
        <f>""</f>
        <v/>
      </c>
      <c r="H196" s="221">
        <f>""</f>
        <v/>
      </c>
      <c r="I196" s="221">
        <f>IF($Q196&lt;&gt;"",IF($P196&lt;&gt;"",$P196,$Q196),IF($P196&lt;&gt;"",$P196,""))</f>
        <v/>
      </c>
      <c r="J196" s="221">
        <f>IF($Q196&lt;&gt;"",EOMONTH($Q196,0),IF($P196&lt;&gt;"",EOMONTH($P196,0),""))</f>
        <v/>
      </c>
      <c r="K196" s="220">
        <f>IF($B196="","",42)</f>
        <v/>
      </c>
      <c r="L196" s="220">
        <f>IF($B196="","",100)</f>
        <v/>
      </c>
      <c r="M196" s="220">
        <f>IF($B196="","",IFERROR(MATCH($F196,'Control (Don’t Touch)'!$B$4:$B$30,0),99))</f>
        <v/>
      </c>
      <c r="N196" s="220">
        <f>IF($B196="","",$L196*1000000+$M196*10000+ROW())</f>
        <v/>
      </c>
      <c r="O196" s="220">
        <f>IF($B196="","",COUNTIF($N$2:$N$205,"&lt;"&amp;$N196)+1)</f>
        <v/>
      </c>
      <c r="P196" s="221">
        <f>IF($B196="","",IFERROR(DATE(IFERROR(VALUE(RIGHT(TRIM('Initiative Tracker'!G46),4)),YEAR(TODAY())),MATCH(LEFT(TRIM('Initiative Tracker'!G46),3),$U$2:$U$13,0),1),""))</f>
        <v/>
      </c>
      <c r="Q196" s="221">
        <f>IF($B196="","",IFERROR(DATE(IFERROR(VALUE(RIGHT(TRIM('Initiative Tracker'!H46),4)),YEAR(TODAY())),MATCH(LEFT(TRIM('Initiative Tracker'!H46),3),$U$2:$U$13,0),1),""))</f>
        <v/>
      </c>
    </row>
    <row r="197">
      <c r="A197" s="220" t="n">
        <v>47</v>
      </c>
      <c r="B197" s="220">
        <f>IF(TRIM('Initiative Tracker'!A47)="","",IF(COUNTIF($K$2:$K$151,43)&gt;0,"",TRIM('Initiative Tracker'!A47)))</f>
        <v/>
      </c>
      <c r="C197" s="220">
        <f>IF($B197="","",'Initiative Tracker'!D47)</f>
        <v/>
      </c>
      <c r="D197" s="220">
        <f>IF($B197="","","(Tracker only — no Weekly row)")</f>
        <v/>
      </c>
      <c r="E197" s="220">
        <f>IF($B197="","",TRIM('Initiative Tracker'!B47))</f>
        <v/>
      </c>
      <c r="F197" s="220">
        <f>IF($B197="","",'Initiative Tracker'!C47)</f>
        <v/>
      </c>
      <c r="G197" s="221">
        <f>""</f>
        <v/>
      </c>
      <c r="H197" s="221">
        <f>""</f>
        <v/>
      </c>
      <c r="I197" s="221">
        <f>IF($Q197&lt;&gt;"",IF($P197&lt;&gt;"",$P197,$Q197),IF($P197&lt;&gt;"",$P197,""))</f>
        <v/>
      </c>
      <c r="J197" s="221">
        <f>IF($Q197&lt;&gt;"",EOMONTH($Q197,0),IF($P197&lt;&gt;"",EOMONTH($P197,0),""))</f>
        <v/>
      </c>
      <c r="K197" s="220">
        <f>IF($B197="","",43)</f>
        <v/>
      </c>
      <c r="L197" s="220">
        <f>IF($B197="","",100)</f>
        <v/>
      </c>
      <c r="M197" s="220">
        <f>IF($B197="","",IFERROR(MATCH($F197,'Control (Don’t Touch)'!$B$4:$B$30,0),99))</f>
        <v/>
      </c>
      <c r="N197" s="220">
        <f>IF($B197="","",$L197*1000000+$M197*10000+ROW())</f>
        <v/>
      </c>
      <c r="O197" s="220">
        <f>IF($B197="","",COUNTIF($N$2:$N$205,"&lt;"&amp;$N197)+1)</f>
        <v/>
      </c>
      <c r="P197" s="221">
        <f>IF($B197="","",IFERROR(DATE(IFERROR(VALUE(RIGHT(TRIM('Initiative Tracker'!G47),4)),YEAR(TODAY())),MATCH(LEFT(TRIM('Initiative Tracker'!G47),3),$U$2:$U$13,0),1),""))</f>
        <v/>
      </c>
      <c r="Q197" s="221">
        <f>IF($B197="","",IFERROR(DATE(IFERROR(VALUE(RIGHT(TRIM('Initiative Tracker'!H47),4)),YEAR(TODAY())),MATCH(LEFT(TRIM('Initiative Tracker'!H47),3),$U$2:$U$13,0),1),""))</f>
        <v/>
      </c>
    </row>
    <row r="198">
      <c r="A198" s="220" t="n">
        <v>48</v>
      </c>
      <c r="B198" s="220">
        <f>IF(TRIM('Initiative Tracker'!A48)="","",IF(COUNTIF($K$2:$K$151,44)&gt;0,"",TRIM('Initiative Tracker'!A48)))</f>
        <v/>
      </c>
      <c r="C198" s="220">
        <f>IF($B198="","",'Initiative Tracker'!D48)</f>
        <v/>
      </c>
      <c r="D198" s="220">
        <f>IF($B198="","","(Tracker only — no Weekly row)")</f>
        <v/>
      </c>
      <c r="E198" s="220">
        <f>IF($B198="","",TRIM('Initiative Tracker'!B48))</f>
        <v/>
      </c>
      <c r="F198" s="220">
        <f>IF($B198="","",'Initiative Tracker'!C48)</f>
        <v/>
      </c>
      <c r="G198" s="221">
        <f>""</f>
        <v/>
      </c>
      <c r="H198" s="221">
        <f>""</f>
        <v/>
      </c>
      <c r="I198" s="221">
        <f>IF($Q198&lt;&gt;"",IF($P198&lt;&gt;"",$P198,$Q198),IF($P198&lt;&gt;"",$P198,""))</f>
        <v/>
      </c>
      <c r="J198" s="221">
        <f>IF($Q198&lt;&gt;"",EOMONTH($Q198,0),IF($P198&lt;&gt;"",EOMONTH($P198,0),""))</f>
        <v/>
      </c>
      <c r="K198" s="220">
        <f>IF($B198="","",44)</f>
        <v/>
      </c>
      <c r="L198" s="220">
        <f>IF($B198="","",100)</f>
        <v/>
      </c>
      <c r="M198" s="220">
        <f>IF($B198="","",IFERROR(MATCH($F198,'Control (Don’t Touch)'!$B$4:$B$30,0),99))</f>
        <v/>
      </c>
      <c r="N198" s="220">
        <f>IF($B198="","",$L198*1000000+$M198*10000+ROW())</f>
        <v/>
      </c>
      <c r="O198" s="220">
        <f>IF($B198="","",COUNTIF($N$2:$N$205,"&lt;"&amp;$N198)+1)</f>
        <v/>
      </c>
      <c r="P198" s="221">
        <f>IF($B198="","",IFERROR(DATE(IFERROR(VALUE(RIGHT(TRIM('Initiative Tracker'!G48),4)),YEAR(TODAY())),MATCH(LEFT(TRIM('Initiative Tracker'!G48),3),$U$2:$U$13,0),1),""))</f>
        <v/>
      </c>
      <c r="Q198" s="221">
        <f>IF($B198="","",IFERROR(DATE(IFERROR(VALUE(RIGHT(TRIM('Initiative Tracker'!H48),4)),YEAR(TODAY())),MATCH(LEFT(TRIM('Initiative Tracker'!H48),3),$U$2:$U$13,0),1),""))</f>
        <v/>
      </c>
    </row>
    <row r="199">
      <c r="A199" s="220" t="n">
        <v>49</v>
      </c>
      <c r="B199" s="220">
        <f>IF(TRIM('Initiative Tracker'!A49)="","",IF(COUNTIF($K$2:$K$151,45)&gt;0,"",TRIM('Initiative Tracker'!A49)))</f>
        <v/>
      </c>
      <c r="C199" s="220">
        <f>IF($B199="","",'Initiative Tracker'!D49)</f>
        <v/>
      </c>
      <c r="D199" s="220">
        <f>IF($B199="","","(Tracker only — no Weekly row)")</f>
        <v/>
      </c>
      <c r="E199" s="220">
        <f>IF($B199="","",TRIM('Initiative Tracker'!B49))</f>
        <v/>
      </c>
      <c r="F199" s="220">
        <f>IF($B199="","",'Initiative Tracker'!C49)</f>
        <v/>
      </c>
      <c r="G199" s="221">
        <f>""</f>
        <v/>
      </c>
      <c r="H199" s="221">
        <f>""</f>
        <v/>
      </c>
      <c r="I199" s="221">
        <f>IF($Q199&lt;&gt;"",IF($P199&lt;&gt;"",$P199,$Q199),IF($P199&lt;&gt;"",$P199,""))</f>
        <v/>
      </c>
      <c r="J199" s="221">
        <f>IF($Q199&lt;&gt;"",EOMONTH($Q199,0),IF($P199&lt;&gt;"",EOMONTH($P199,0),""))</f>
        <v/>
      </c>
      <c r="K199" s="220">
        <f>IF($B199="","",45)</f>
        <v/>
      </c>
      <c r="L199" s="220">
        <f>IF($B199="","",100)</f>
        <v/>
      </c>
      <c r="M199" s="220">
        <f>IF($B199="","",IFERROR(MATCH($F199,'Control (Don’t Touch)'!$B$4:$B$30,0),99))</f>
        <v/>
      </c>
      <c r="N199" s="220">
        <f>IF($B199="","",$L199*1000000+$M199*10000+ROW())</f>
        <v/>
      </c>
      <c r="O199" s="220">
        <f>IF($B199="","",COUNTIF($N$2:$N$205,"&lt;"&amp;$N199)+1)</f>
        <v/>
      </c>
      <c r="P199" s="221">
        <f>IF($B199="","",IFERROR(DATE(IFERROR(VALUE(RIGHT(TRIM('Initiative Tracker'!G49),4)),YEAR(TODAY())),MATCH(LEFT(TRIM('Initiative Tracker'!G49),3),$U$2:$U$13,0),1),""))</f>
        <v/>
      </c>
      <c r="Q199" s="221">
        <f>IF($B199="","",IFERROR(DATE(IFERROR(VALUE(RIGHT(TRIM('Initiative Tracker'!H49),4)),YEAR(TODAY())),MATCH(LEFT(TRIM('Initiative Tracker'!H49),3),$U$2:$U$13,0),1),""))</f>
        <v/>
      </c>
    </row>
    <row r="200">
      <c r="A200" s="220" t="n">
        <v>50</v>
      </c>
      <c r="B200" s="220">
        <f>IF(TRIM('Initiative Tracker'!A50)="","",IF(COUNTIF($K$2:$K$151,46)&gt;0,"",TRIM('Initiative Tracker'!A50)))</f>
        <v/>
      </c>
      <c r="C200" s="220">
        <f>IF($B200="","",'Initiative Tracker'!D50)</f>
        <v/>
      </c>
      <c r="D200" s="220">
        <f>IF($B200="","","(Tracker only — no Weekly row)")</f>
        <v/>
      </c>
      <c r="E200" s="220">
        <f>IF($B200="","",TRIM('Initiative Tracker'!B50))</f>
        <v/>
      </c>
      <c r="F200" s="220">
        <f>IF($B200="","",'Initiative Tracker'!C50)</f>
        <v/>
      </c>
      <c r="G200" s="221">
        <f>""</f>
        <v/>
      </c>
      <c r="H200" s="221">
        <f>""</f>
        <v/>
      </c>
      <c r="I200" s="221">
        <f>IF($Q200&lt;&gt;"",IF($P200&lt;&gt;"",$P200,$Q200),IF($P200&lt;&gt;"",$P200,""))</f>
        <v/>
      </c>
      <c r="J200" s="221">
        <f>IF($Q200&lt;&gt;"",EOMONTH($Q200,0),IF($P200&lt;&gt;"",EOMONTH($P200,0),""))</f>
        <v/>
      </c>
      <c r="K200" s="220">
        <f>IF($B200="","",46)</f>
        <v/>
      </c>
      <c r="L200" s="220">
        <f>IF($B200="","",100)</f>
        <v/>
      </c>
      <c r="M200" s="220">
        <f>IF($B200="","",IFERROR(MATCH($F200,'Control (Don’t Touch)'!$B$4:$B$30,0),99))</f>
        <v/>
      </c>
      <c r="N200" s="220">
        <f>IF($B200="","",$L200*1000000+$M200*10000+ROW())</f>
        <v/>
      </c>
      <c r="O200" s="220">
        <f>IF($B200="","",COUNTIF($N$2:$N$205,"&lt;"&amp;$N200)+1)</f>
        <v/>
      </c>
      <c r="P200" s="221">
        <f>IF($B200="","",IFERROR(DATE(IFERROR(VALUE(RIGHT(TRIM('Initiative Tracker'!G50),4)),YEAR(TODAY())),MATCH(LEFT(TRIM('Initiative Tracker'!G50),3),$U$2:$U$13,0),1),""))</f>
        <v/>
      </c>
      <c r="Q200" s="221">
        <f>IF($B200="","",IFERROR(DATE(IFERROR(VALUE(RIGHT(TRIM('Initiative Tracker'!H50),4)),YEAR(TODAY())),MATCH(LEFT(TRIM('Initiative Tracker'!H50),3),$U$2:$U$13,0),1),""))</f>
        <v/>
      </c>
    </row>
    <row r="201">
      <c r="A201" s="220" t="n">
        <v>51</v>
      </c>
      <c r="B201" s="220">
        <f>IF(TRIM('Initiative Tracker'!A51)="","",IF(COUNTIF($K$2:$K$151,47)&gt;0,"",TRIM('Initiative Tracker'!A51)))</f>
        <v/>
      </c>
      <c r="C201" s="220">
        <f>IF($B201="","",'Initiative Tracker'!D51)</f>
        <v/>
      </c>
      <c r="D201" s="220">
        <f>IF($B201="","","(Tracker only — no Weekly row)")</f>
        <v/>
      </c>
      <c r="E201" s="220">
        <f>IF($B201="","",TRIM('Initiative Tracker'!B51))</f>
        <v/>
      </c>
      <c r="F201" s="220">
        <f>IF($B201="","",'Initiative Tracker'!C51)</f>
        <v/>
      </c>
      <c r="G201" s="221">
        <f>""</f>
        <v/>
      </c>
      <c r="H201" s="221">
        <f>""</f>
        <v/>
      </c>
      <c r="I201" s="221">
        <f>IF($Q201&lt;&gt;"",IF($P201&lt;&gt;"",$P201,$Q201),IF($P201&lt;&gt;"",$P201,""))</f>
        <v/>
      </c>
      <c r="J201" s="221">
        <f>IF($Q201&lt;&gt;"",EOMONTH($Q201,0),IF($P201&lt;&gt;"",EOMONTH($P201,0),""))</f>
        <v/>
      </c>
      <c r="K201" s="220">
        <f>IF($B201="","",47)</f>
        <v/>
      </c>
      <c r="L201" s="220">
        <f>IF($B201="","",100)</f>
        <v/>
      </c>
      <c r="M201" s="220">
        <f>IF($B201="","",IFERROR(MATCH($F201,'Control (Don’t Touch)'!$B$4:$B$30,0),99))</f>
        <v/>
      </c>
      <c r="N201" s="220">
        <f>IF($B201="","",$L201*1000000+$M201*10000+ROW())</f>
        <v/>
      </c>
      <c r="O201" s="220">
        <f>IF($B201="","",COUNTIF($N$2:$N$205,"&lt;"&amp;$N201)+1)</f>
        <v/>
      </c>
      <c r="P201" s="221">
        <f>IF($B201="","",IFERROR(DATE(IFERROR(VALUE(RIGHT(TRIM('Initiative Tracker'!G51),4)),YEAR(TODAY())),MATCH(LEFT(TRIM('Initiative Tracker'!G51),3),$U$2:$U$13,0),1),""))</f>
        <v/>
      </c>
      <c r="Q201" s="221">
        <f>IF($B201="","",IFERROR(DATE(IFERROR(VALUE(RIGHT(TRIM('Initiative Tracker'!H51),4)),YEAR(TODAY())),MATCH(LEFT(TRIM('Initiative Tracker'!H51),3),$U$2:$U$13,0),1),""))</f>
        <v/>
      </c>
    </row>
    <row r="202">
      <c r="A202" s="220" t="n">
        <v>52</v>
      </c>
      <c r="B202" s="220">
        <f>IF(TRIM('Initiative Tracker'!A52)="","",IF(COUNTIF($K$2:$K$151,48)&gt;0,"",TRIM('Initiative Tracker'!A52)))</f>
        <v/>
      </c>
      <c r="C202" s="220">
        <f>IF($B202="","",'Initiative Tracker'!D52)</f>
        <v/>
      </c>
      <c r="D202" s="220">
        <f>IF($B202="","","(Tracker only — no Weekly row)")</f>
        <v/>
      </c>
      <c r="E202" s="220">
        <f>IF($B202="","",TRIM('Initiative Tracker'!B52))</f>
        <v/>
      </c>
      <c r="F202" s="220">
        <f>IF($B202="","",'Initiative Tracker'!C52)</f>
        <v/>
      </c>
      <c r="G202" s="221">
        <f>""</f>
        <v/>
      </c>
      <c r="H202" s="221">
        <f>""</f>
        <v/>
      </c>
      <c r="I202" s="221">
        <f>IF($Q202&lt;&gt;"",IF($P202&lt;&gt;"",$P202,$Q202),IF($P202&lt;&gt;"",$P202,""))</f>
        <v/>
      </c>
      <c r="J202" s="221">
        <f>IF($Q202&lt;&gt;"",EOMONTH($Q202,0),IF($P202&lt;&gt;"",EOMONTH($P202,0),""))</f>
        <v/>
      </c>
      <c r="K202" s="220">
        <f>IF($B202="","",48)</f>
        <v/>
      </c>
      <c r="L202" s="220">
        <f>IF($B202="","",100)</f>
        <v/>
      </c>
      <c r="M202" s="220">
        <f>IF($B202="","",IFERROR(MATCH($F202,'Control (Don’t Touch)'!$B$4:$B$30,0),99))</f>
        <v/>
      </c>
      <c r="N202" s="220">
        <f>IF($B202="","",$L202*1000000+$M202*10000+ROW())</f>
        <v/>
      </c>
      <c r="O202" s="220">
        <f>IF($B202="","",COUNTIF($N$2:$N$205,"&lt;"&amp;$N202)+1)</f>
        <v/>
      </c>
      <c r="P202" s="221">
        <f>IF($B202="","",IFERROR(DATE(IFERROR(VALUE(RIGHT(TRIM('Initiative Tracker'!G52),4)),YEAR(TODAY())),MATCH(LEFT(TRIM('Initiative Tracker'!G52),3),$U$2:$U$13,0),1),""))</f>
        <v/>
      </c>
      <c r="Q202" s="221">
        <f>IF($B202="","",IFERROR(DATE(IFERROR(VALUE(RIGHT(TRIM('Initiative Tracker'!H52),4)),YEAR(TODAY())),MATCH(LEFT(TRIM('Initiative Tracker'!H52),3),$U$2:$U$13,0),1),""))</f>
        <v/>
      </c>
    </row>
    <row r="203">
      <c r="A203" s="220" t="n">
        <v>53</v>
      </c>
      <c r="B203" s="220">
        <f>IF(TRIM('Initiative Tracker'!A53)="","",IF(COUNTIF($K$2:$K$151,49)&gt;0,"",TRIM('Initiative Tracker'!A53)))</f>
        <v/>
      </c>
      <c r="C203" s="220">
        <f>IF($B203="","",'Initiative Tracker'!D53)</f>
        <v/>
      </c>
      <c r="D203" s="220">
        <f>IF($B203="","","(Tracker only — no Weekly row)")</f>
        <v/>
      </c>
      <c r="E203" s="220">
        <f>IF($B203="","",TRIM('Initiative Tracker'!B53))</f>
        <v/>
      </c>
      <c r="F203" s="220">
        <f>IF($B203="","",'Initiative Tracker'!C53)</f>
        <v/>
      </c>
      <c r="G203" s="221">
        <f>""</f>
        <v/>
      </c>
      <c r="H203" s="221">
        <f>""</f>
        <v/>
      </c>
      <c r="I203" s="221">
        <f>IF($Q203&lt;&gt;"",IF($P203&lt;&gt;"",$P203,$Q203),IF($P203&lt;&gt;"",$P203,""))</f>
        <v/>
      </c>
      <c r="J203" s="221">
        <f>IF($Q203&lt;&gt;"",EOMONTH($Q203,0),IF($P203&lt;&gt;"",EOMONTH($P203,0),""))</f>
        <v/>
      </c>
      <c r="K203" s="220">
        <f>IF($B203="","",49)</f>
        <v/>
      </c>
      <c r="L203" s="220">
        <f>IF($B203="","",100)</f>
        <v/>
      </c>
      <c r="M203" s="220">
        <f>IF($B203="","",IFERROR(MATCH($F203,'Control (Don’t Touch)'!$B$4:$B$30,0),99))</f>
        <v/>
      </c>
      <c r="N203" s="220">
        <f>IF($B203="","",$L203*1000000+$M203*10000+ROW())</f>
        <v/>
      </c>
      <c r="O203" s="220">
        <f>IF($B203="","",COUNTIF($N$2:$N$205,"&lt;"&amp;$N203)+1)</f>
        <v/>
      </c>
      <c r="P203" s="221">
        <f>IF($B203="","",IFERROR(DATE(IFERROR(VALUE(RIGHT(TRIM('Initiative Tracker'!G53),4)),YEAR(TODAY())),MATCH(LEFT(TRIM('Initiative Tracker'!G53),3),$U$2:$U$13,0),1),""))</f>
        <v/>
      </c>
      <c r="Q203" s="221">
        <f>IF($B203="","",IFERROR(DATE(IFERROR(VALUE(RIGHT(TRIM('Initiative Tracker'!H53),4)),YEAR(TODAY())),MATCH(LEFT(TRIM('Initiative Tracker'!H53),3),$U$2:$U$13,0),1),""))</f>
        <v/>
      </c>
    </row>
    <row r="204">
      <c r="A204" s="220" t="n">
        <v>54</v>
      </c>
      <c r="B204" s="220">
        <f>IF(TRIM('Initiative Tracker'!A54)="","",IF(COUNTIF($K$2:$K$151,50)&gt;0,"",TRIM('Initiative Tracker'!A54)))</f>
        <v/>
      </c>
      <c r="C204" s="220">
        <f>IF($B204="","",'Initiative Tracker'!D54)</f>
        <v/>
      </c>
      <c r="D204" s="220">
        <f>IF($B204="","","(Tracker only — no Weekly row)")</f>
        <v/>
      </c>
      <c r="E204" s="220">
        <f>IF($B204="","",TRIM('Initiative Tracker'!B54))</f>
        <v/>
      </c>
      <c r="F204" s="220">
        <f>IF($B204="","",'Initiative Tracker'!C54)</f>
        <v/>
      </c>
      <c r="G204" s="221">
        <f>""</f>
        <v/>
      </c>
      <c r="H204" s="221">
        <f>""</f>
        <v/>
      </c>
      <c r="I204" s="221">
        <f>IF($Q204&lt;&gt;"",IF($P204&lt;&gt;"",$P204,$Q204),IF($P204&lt;&gt;"",$P204,""))</f>
        <v/>
      </c>
      <c r="J204" s="221">
        <f>IF($Q204&lt;&gt;"",EOMONTH($Q204,0),IF($P204&lt;&gt;"",EOMONTH($P204,0),""))</f>
        <v/>
      </c>
      <c r="K204" s="220">
        <f>IF($B204="","",50)</f>
        <v/>
      </c>
      <c r="L204" s="220">
        <f>IF($B204="","",100)</f>
        <v/>
      </c>
      <c r="M204" s="220">
        <f>IF($B204="","",IFERROR(MATCH($F204,'Control (Don’t Touch)'!$B$4:$B$30,0),99))</f>
        <v/>
      </c>
      <c r="N204" s="220">
        <f>IF($B204="","",$L204*1000000+$M204*10000+ROW())</f>
        <v/>
      </c>
      <c r="O204" s="220">
        <f>IF($B204="","",COUNTIF($N$2:$N$205,"&lt;"&amp;$N204)+1)</f>
        <v/>
      </c>
      <c r="P204" s="221">
        <f>IF($B204="","",IFERROR(DATE(IFERROR(VALUE(RIGHT(TRIM('Initiative Tracker'!G54),4)),YEAR(TODAY())),MATCH(LEFT(TRIM('Initiative Tracker'!G54),3),$U$2:$U$13,0),1),""))</f>
        <v/>
      </c>
      <c r="Q204" s="221">
        <f>IF($B204="","",IFERROR(DATE(IFERROR(VALUE(RIGHT(TRIM('Initiative Tracker'!H54),4)),YEAR(TODAY())),MATCH(LEFT(TRIM('Initiative Tracker'!H54),3),$U$2:$U$13,0),1),""))</f>
        <v/>
      </c>
    </row>
    <row r="205">
      <c r="A205" s="220" t="n">
        <v>55</v>
      </c>
      <c r="B205" s="220">
        <f>IF(TRIM('Initiative Tracker'!A55)="","",IF(COUNTIF($K$2:$K$151,51)&gt;0,"",TRIM('Initiative Tracker'!A55)))</f>
        <v/>
      </c>
      <c r="C205" s="220">
        <f>IF($B205="","",'Initiative Tracker'!D55)</f>
        <v/>
      </c>
      <c r="D205" s="220">
        <f>IF($B205="","","(Tracker only — no Weekly row)")</f>
        <v/>
      </c>
      <c r="E205" s="220">
        <f>IF($B205="","",TRIM('Initiative Tracker'!B55))</f>
        <v/>
      </c>
      <c r="F205" s="220">
        <f>IF($B205="","",'Initiative Tracker'!C55)</f>
        <v/>
      </c>
      <c r="G205" s="221">
        <f>""</f>
        <v/>
      </c>
      <c r="H205" s="221">
        <f>""</f>
        <v/>
      </c>
      <c r="I205" s="221">
        <f>IF($Q205&lt;&gt;"",IF($P205&lt;&gt;"",$P205,$Q205),IF($P205&lt;&gt;"",$P205,""))</f>
        <v/>
      </c>
      <c r="J205" s="221">
        <f>IF($Q205&lt;&gt;"",EOMONTH($Q205,0),IF($P205&lt;&gt;"",EOMONTH($P205,0),""))</f>
        <v/>
      </c>
      <c r="K205" s="220">
        <f>IF($B205="","",51)</f>
        <v/>
      </c>
      <c r="L205" s="220">
        <f>IF($B205="","",100)</f>
        <v/>
      </c>
      <c r="M205" s="220">
        <f>IF($B205="","",IFERROR(MATCH($F205,'Control (Don’t Touch)'!$B$4:$B$30,0),99))</f>
        <v/>
      </c>
      <c r="N205" s="220">
        <f>IF($B205="","",$L205*1000000+$M205*10000+ROW())</f>
        <v/>
      </c>
      <c r="O205" s="220">
        <f>IF($B205="","",COUNTIF($N$2:$N$205,"&lt;"&amp;$N205)+1)</f>
        <v/>
      </c>
      <c r="P205" s="221">
        <f>IF($B205="","",IFERROR(DATE(IFERROR(VALUE(RIGHT(TRIM('Initiative Tracker'!G55),4)),YEAR(TODAY())),MATCH(LEFT(TRIM('Initiative Tracker'!G55),3),$U$2:$U$13,0),1),""))</f>
        <v/>
      </c>
      <c r="Q205" s="221">
        <f>IF($B205="","",IFERROR(DATE(IFERROR(VALUE(RIGHT(TRIM('Initiative Tracker'!H55),4)),YEAR(TODAY())),MATCH(LEFT(TRIM('Initiative Tracker'!H55),3),$U$2:$U$13,0),1),""))</f>
        <v/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05f3be6-62da-4a58-8444-aeed42041336}" enabled="0" method="" siteId="{b05f3be6-62da-4a58-8444-aeed420413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Quaterly</vt:lpstr>
      <vt:lpstr>Monthly</vt:lpstr>
      <vt:lpstr>Weekly</vt:lpstr>
      <vt:lpstr>Model (Don't Touch)</vt:lpstr>
      <vt:lpstr>Initiative Tracker</vt:lpstr>
      <vt:lpstr>Obsolete</vt:lpstr>
      <vt:lpstr>Control (Don’t Touch)</vt:lpstr>
      <vt:lpstr>Metrics (Don't Touch)</vt:lpstr>
      <vt:lpstr>GA4 (Don't Touch)</vt:lpstr>
      <vt:lpstr>Roadmap 26-27 (Don't Touch)</vt:lpstr>
      <vt:lpstr>Weekly!Print_Area</vt:lpstr>
      <vt:lpstr>Roadmap (Auto)</vt:lpstr>
      <vt:lpstr>Roadmap Calc (Don’t Touch)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Jerel Smith</dc:creator>
  <cp:keywords/>
  <dc:description/>
  <cp:lastModifiedBy>Jerel Smith</cp:lastModifiedBy>
  <cp:revision/>
  <cp:lastPrinted>2026-08-04T14:14:26Z</cp:lastPrinted>
  <dcterms:created xsi:type="dcterms:W3CDTF">2026-03-13T16:05:32Z</dcterms:created>
  <dcterms:modified xsi:type="dcterms:W3CDTF">2026-08-25T14:13:52Z</dcterms:modified>
  <cp:category/>
  <cp:contentStatus/>
</cp:coreProperties>
</file>